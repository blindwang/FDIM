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lation" sheetId="1" state="visible" r:id="rId1"/>
    <sheet xmlns:r="http://schemas.openxmlformats.org/officeDocument/2006/relationships" name="calc" sheetId="2" state="visible" r:id="rId2"/>
    <sheet xmlns:r="http://schemas.openxmlformats.org/officeDocument/2006/relationships" name="mos_metrics" sheetId="3" state="visible" r:id="rId3"/>
    <sheet xmlns:r="http://schemas.openxmlformats.org/officeDocument/2006/relationships" name="README" sheetId="4" state="visible" r:id="rId4"/>
  </sheets>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Times New Roman"/>
      <b val="1"/>
      <color rgb="FFFFFFFF"/>
      <sz val="11"/>
    </font>
    <font>
      <name val="Times New Roman"/>
      <sz val="11"/>
    </font>
    <font>
      <name val="Times New Roman"/>
      <b val="1"/>
      <sz val="11"/>
    </font>
  </fonts>
  <fills count="5">
    <fill>
      <patternFill/>
    </fill>
    <fill>
      <patternFill patternType="gray125"/>
    </fill>
    <fill>
      <patternFill patternType="solid">
        <fgColor rgb="FF24415F"/>
      </patternFill>
    </fill>
    <fill>
      <patternFill patternType="solid">
        <fgColor rgb="FFD9EAF7"/>
      </patternFill>
    </fill>
    <fill>
      <patternFill patternType="solid">
        <fgColor rgb="FF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3" fillId="4"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28" customWidth="1" min="1" max="1"/>
    <col width="12" customWidth="1" min="2" max="2"/>
    <col width="14" customWidth="1" min="5" max="5"/>
    <col width="15.9" customWidth="1" min="8" max="8"/>
    <col width="7.9" customWidth="1" min="9" max="9"/>
    <col width="10.6" customWidth="1" min="10" max="10"/>
    <col width="8.9" customWidth="1" min="11" max="11"/>
  </cols>
  <sheetData>
    <row r="1">
      <c r="A1" s="1" t="inlineStr">
        <is>
          <t>ref_name</t>
        </is>
      </c>
      <c r="B1" s="1" t="inlineStr">
        <is>
          <t>Use</t>
        </is>
      </c>
      <c r="D1" s="1" t="inlineStr">
        <is>
          <t>codec</t>
        </is>
      </c>
      <c r="E1" s="1" t="inlineStr">
        <is>
          <t>Use</t>
        </is>
      </c>
    </row>
    <row r="2">
      <c r="A2" s="2" t="inlineStr">
        <is>
          <t>Buildings2.mp4</t>
        </is>
      </c>
      <c r="B2" s="2" t="n">
        <v>1</v>
      </c>
      <c r="D2" s="2" t="inlineStr">
        <is>
          <t>AVS</t>
        </is>
      </c>
      <c r="E2" s="2" t="n">
        <v>1</v>
      </c>
    </row>
    <row r="3">
      <c r="A3" s="2" t="inlineStr">
        <is>
          <t>Chimera13_1000nit.mp4</t>
        </is>
      </c>
      <c r="B3" s="2" t="n">
        <v>1</v>
      </c>
      <c r="D3" s="2" t="inlineStr">
        <is>
          <t>AlphaVC-P</t>
        </is>
      </c>
      <c r="E3" s="2" t="n">
        <v>1</v>
      </c>
    </row>
    <row r="4">
      <c r="A4" s="2" t="inlineStr">
        <is>
          <t>Chimera2_1000nit.mp4</t>
        </is>
      </c>
      <c r="B4" s="2" t="n">
        <v>1</v>
      </c>
      <c r="D4" s="2" t="inlineStr">
        <is>
          <t>DCVC-RT</t>
        </is>
      </c>
      <c r="E4" s="2" t="n">
        <v>1</v>
      </c>
    </row>
    <row r="5">
      <c r="A5" s="2" t="inlineStr">
        <is>
          <t>Chimera3_1000nit.mp4</t>
        </is>
      </c>
      <c r="B5" s="2" t="n">
        <v>1</v>
      </c>
      <c r="D5" s="2" t="inlineStr">
        <is>
          <t>EEM</t>
        </is>
      </c>
      <c r="E5" s="2" t="n">
        <v>1</v>
      </c>
    </row>
    <row r="6">
      <c r="A6" s="2" t="inlineStr">
        <is>
          <t>Chimera4_1000nit.mp4</t>
        </is>
      </c>
      <c r="B6" s="2" t="n">
        <v>1</v>
      </c>
      <c r="D6" s="2" t="inlineStr">
        <is>
          <t>LTM</t>
        </is>
      </c>
      <c r="E6" s="2" t="n">
        <v>1</v>
      </c>
    </row>
    <row r="7">
      <c r="A7" s="2" t="inlineStr">
        <is>
          <t>Coffee1.mp4</t>
        </is>
      </c>
      <c r="B7" s="2" t="n">
        <v>1</v>
      </c>
      <c r="D7" s="2" t="inlineStr">
        <is>
          <t>NNVC</t>
        </is>
      </c>
      <c r="E7" s="2" t="n">
        <v>1</v>
      </c>
    </row>
    <row r="8">
      <c r="A8" s="2" t="inlineStr">
        <is>
          <t>DroneShowEnding.mp4</t>
        </is>
      </c>
      <c r="B8" s="2" t="n">
        <v>1</v>
      </c>
      <c r="D8" s="2" t="inlineStr">
        <is>
          <t>VTM</t>
        </is>
      </c>
      <c r="E8" s="2" t="n">
        <v>1</v>
      </c>
    </row>
    <row r="9">
      <c r="A9" s="2" t="inlineStr">
        <is>
          <t>Fountain2.mp4</t>
        </is>
      </c>
      <c r="B9" s="2" t="n">
        <v>1</v>
      </c>
    </row>
    <row r="10">
      <c r="A10" s="2" t="inlineStr">
        <is>
          <t>Smithy1_1000nit.mp4</t>
        </is>
      </c>
      <c r="B10" s="2" t="n">
        <v>1</v>
      </c>
    </row>
    <row r="11">
      <c r="A11" s="2" t="inlineStr">
        <is>
          <t>Sparks2_1000nit.mp4</t>
        </is>
      </c>
      <c r="B11" s="2" t="n">
        <v>1</v>
      </c>
    </row>
    <row r="12">
      <c r="A12" s="2" t="inlineStr">
        <is>
          <t>TeaStall.mp4</t>
        </is>
      </c>
      <c r="B12" s="2" t="n">
        <v>1</v>
      </c>
    </row>
    <row r="18">
      <c r="A18" s="3" t="inlineStr">
        <is>
          <t>Statistics</t>
        </is>
      </c>
      <c r="B18" s="3" t="inlineStr">
        <is>
          <t>Value</t>
        </is>
      </c>
    </row>
    <row r="19">
      <c r="A19" s="2" t="inlineStr">
        <is>
          <t># videos</t>
        </is>
      </c>
      <c r="B19" s="2" t="n">
        <v>131</v>
      </c>
    </row>
    <row r="20">
      <c r="A20" s="2" t="inlineStr">
        <is>
          <t># metrics</t>
        </is>
      </c>
      <c r="B20" s="2" t="n">
        <v>6</v>
      </c>
    </row>
    <row r="21">
      <c r="A21" s="2" t="inlineStr">
        <is>
          <t># rows with MOS</t>
        </is>
      </c>
      <c r="B21" s="2">
        <f>COUNT(mos_metrics!$F$2:$F$132)</f>
        <v/>
      </c>
    </row>
    <row r="22">
      <c r="A22" s="2" t="inlineStr">
        <is>
          <t># rows included by controls</t>
        </is>
      </c>
      <c r="B22" s="2">
        <f>SUMPRODUCT(--(calc!$J$3:$J$132=TRUE))</f>
        <v/>
      </c>
    </row>
    <row r="23">
      <c r="A23" s="2" t="inlineStr">
        <is>
          <t># source metric columns</t>
        </is>
      </c>
      <c r="B23" s="2" t="n">
        <v>6</v>
      </c>
    </row>
    <row r="25">
      <c r="A25" s="4" t="inlineStr">
        <is>
          <t>Metric</t>
        </is>
      </c>
      <c r="B25" s="4" t="inlineStr">
        <is>
          <t>PLCC</t>
        </is>
      </c>
      <c r="C25" s="4" t="inlineStr">
        <is>
          <t>SROCC</t>
        </is>
      </c>
      <c r="D25" s="4" t="inlineStr">
        <is>
          <t>KROCC</t>
        </is>
      </c>
      <c r="E25" s="4" t="inlineStr">
        <is>
          <t>RMSE</t>
        </is>
      </c>
      <c r="F25" s="4" t="inlineStr">
        <is>
          <t>Slope</t>
        </is>
      </c>
      <c r="G25" s="4" t="inlineStr">
        <is>
          <t>Intercept</t>
        </is>
      </c>
      <c r="H25" s="4" t="inlineStr">
        <is>
          <t>Nonblank source</t>
        </is>
      </c>
      <c r="I25" s="4" t="inlineStr">
        <is>
          <t>Use</t>
        </is>
      </c>
      <c r="J25" s="4" t="inlineStr">
        <is>
          <t>Direction</t>
        </is>
      </c>
      <c r="K25" s="4" t="inlineStr">
        <is>
          <t>N</t>
        </is>
      </c>
    </row>
    <row r="26">
      <c r="A26" s="2">
        <f>mos_metrics!G$1</f>
        <v/>
      </c>
      <c r="B26" s="5">
        <f>IF($K26&gt;=2,IFERROR(CORREL(calc!$M$3:$M$132,calc!$O$3:$O$132),""),"")</f>
        <v/>
      </c>
      <c r="C26" s="5">
        <f>IF($K26&gt;=2,IFERROR(CORREL(calc!$Q$3:$Q$132,calc!$R$3:$R$132),""),"")</f>
        <v/>
      </c>
      <c r="D26" s="5">
        <f>IF($K26&gt;=2,IFERROR(SUM(calc!$S$3:$S$132)/SQRT((($K26*($K26-1)/2)-(SUMPRODUCT(--(calc!$L$3:$L$132=TRUE),COUNTIF(calc!$Q$3:$Q$132,calc!$Q$3:$Q$132)-1)/2))*(($K26*($K26-1)/2)-(SUMPRODUCT(--(calc!$L$3:$L$132=TRUE),COUNTIF(calc!$R$3:$R$132,calc!$R$3:$R$132)-1)/2))),""),"")</f>
        <v/>
      </c>
      <c r="E26" s="5">
        <f>IF($K26&gt;=2,IFERROR(SQRT(SUM(calc!$P$3:$P$132)/$K26),""),"")</f>
        <v/>
      </c>
      <c r="F26" s="5">
        <f>IF($K26&gt;=2,IFERROR(SLOPE(calc!$M$3:$M$132,calc!$N$3:$N$132),""),"")</f>
        <v/>
      </c>
      <c r="G26" s="5">
        <f>IF($K26&gt;=2,IFERROR(INTERCEPT(calc!$M$3:$M$132,calc!$N$3:$N$132),""),"")</f>
        <v/>
      </c>
      <c r="H26" s="2">
        <f>COUNT(mos_metrics!G$2:G$132)</f>
        <v/>
      </c>
      <c r="I26" s="2">
        <f>IF($A26&lt;&gt;"",1,"")</f>
        <v/>
      </c>
      <c r="J26" s="2">
        <f>IF($A26="DeltaE",-1,1)</f>
        <v/>
      </c>
      <c r="K26" s="2">
        <f>SUMPRODUCT(--(calc!$L$3:$L$132=TRUE))</f>
        <v/>
      </c>
    </row>
    <row r="27">
      <c r="A27" s="2">
        <f>mos_metrics!H$1</f>
        <v/>
      </c>
      <c r="B27" s="5">
        <f>IF($K27&gt;=2,IFERROR(CORREL(calc!$V$3:$V$132,calc!$X$3:$X$132),""),"")</f>
        <v/>
      </c>
      <c r="C27" s="5">
        <f>IF($K27&gt;=2,IFERROR(CORREL(calc!$Z$3:$Z$132,calc!$AA$3:$AA$132),""),"")</f>
        <v/>
      </c>
      <c r="D27" s="5">
        <f>IF($K27&gt;=2,IFERROR(SUM(calc!$AB$3:$AB$132)/SQRT((($K27*($K27-1)/2)-(SUMPRODUCT(--(calc!$U$3:$U$132=TRUE),COUNTIF(calc!$Z$3:$Z$132,calc!$Z$3:$Z$132)-1)/2))*(($K27*($K27-1)/2)-(SUMPRODUCT(--(calc!$U$3:$U$132=TRUE),COUNTIF(calc!$AA$3:$AA$132,calc!$AA$3:$AA$132)-1)/2))),""),"")</f>
        <v/>
      </c>
      <c r="E27" s="5">
        <f>IF($K27&gt;=2,IFERROR(SQRT(SUM(calc!$Y$3:$Y$132)/$K27),""),"")</f>
        <v/>
      </c>
      <c r="F27" s="5">
        <f>IF($K27&gt;=2,IFERROR(SLOPE(calc!$V$3:$V$132,calc!$W$3:$W$132),""),"")</f>
        <v/>
      </c>
      <c r="G27" s="5">
        <f>IF($K27&gt;=2,IFERROR(INTERCEPT(calc!$V$3:$V$132,calc!$W$3:$W$132),""),"")</f>
        <v/>
      </c>
      <c r="H27" s="2">
        <f>COUNT(mos_metrics!H$2:H$132)</f>
        <v/>
      </c>
      <c r="I27" s="2">
        <f>IF($A27&lt;&gt;"",1,"")</f>
        <v/>
      </c>
      <c r="J27" s="2">
        <f>IF($A27="DeltaE",-1,1)</f>
        <v/>
      </c>
      <c r="K27" s="2">
        <f>SUMPRODUCT(--(calc!$U$3:$U$132=TRUE))</f>
        <v/>
      </c>
    </row>
    <row r="28">
      <c r="A28" s="2">
        <f>mos_metrics!I$1</f>
        <v/>
      </c>
      <c r="B28" s="5">
        <f>IF($K28&gt;=2,IFERROR(CORREL(calc!$AE$3:$AE$132,calc!$AG$3:$AG$132),""),"")</f>
        <v/>
      </c>
      <c r="C28" s="5">
        <f>IF($K28&gt;=2,IFERROR(CORREL(calc!$AI$3:$AI$132,calc!$AJ$3:$AJ$132),""),"")</f>
        <v/>
      </c>
      <c r="D28" s="5">
        <f>IF($K28&gt;=2,IFERROR(SUM(calc!$AK$3:$AK$132)/SQRT((($K28*($K28-1)/2)-(SUMPRODUCT(--(calc!$AD$3:$AD$132=TRUE),COUNTIF(calc!$AI$3:$AI$132,calc!$AI$3:$AI$132)-1)/2))*(($K28*($K28-1)/2)-(SUMPRODUCT(--(calc!$AD$3:$AD$132=TRUE),COUNTIF(calc!$AJ$3:$AJ$132,calc!$AJ$3:$AJ$132)-1)/2))),""),"")</f>
        <v/>
      </c>
      <c r="E28" s="5">
        <f>IF($K28&gt;=2,IFERROR(SQRT(SUM(calc!$AH$3:$AH$132)/$K28),""),"")</f>
        <v/>
      </c>
      <c r="F28" s="5">
        <f>IF($K28&gt;=2,IFERROR(SLOPE(calc!$AE$3:$AE$132,calc!$AF$3:$AF$132),""),"")</f>
        <v/>
      </c>
      <c r="G28" s="5">
        <f>IF($K28&gt;=2,IFERROR(INTERCEPT(calc!$AE$3:$AE$132,calc!$AF$3:$AF$132),""),"")</f>
        <v/>
      </c>
      <c r="H28" s="2">
        <f>COUNT(mos_metrics!I$2:I$132)</f>
        <v/>
      </c>
      <c r="I28" s="2">
        <f>IF($A28&lt;&gt;"",1,"")</f>
        <v/>
      </c>
      <c r="J28" s="2">
        <f>IF($A28="DeltaE",-1,1)</f>
        <v/>
      </c>
      <c r="K28" s="2">
        <f>SUMPRODUCT(--(calc!$AD$3:$AD$132=TRUE))</f>
        <v/>
      </c>
    </row>
    <row r="29">
      <c r="A29" s="2">
        <f>mos_metrics!J$1</f>
        <v/>
      </c>
      <c r="B29" s="5">
        <f>IF($K29&gt;=2,IFERROR(CORREL(calc!$AN$3:$AN$132,calc!$AP$3:$AP$132),""),"")</f>
        <v/>
      </c>
      <c r="C29" s="5">
        <f>IF($K29&gt;=2,IFERROR(CORREL(calc!$AR$3:$AR$132,calc!$AS$3:$AS$132),""),"")</f>
        <v/>
      </c>
      <c r="D29" s="5">
        <f>IF($K29&gt;=2,IFERROR(SUM(calc!$AT$3:$AT$132)/SQRT((($K29*($K29-1)/2)-(SUMPRODUCT(--(calc!$AM$3:$AM$132=TRUE),COUNTIF(calc!$AR$3:$AR$132,calc!$AR$3:$AR$132)-1)/2))*(($K29*($K29-1)/2)-(SUMPRODUCT(--(calc!$AM$3:$AM$132=TRUE),COUNTIF(calc!$AS$3:$AS$132,calc!$AS$3:$AS$132)-1)/2))),""),"")</f>
        <v/>
      </c>
      <c r="E29" s="5">
        <f>IF($K29&gt;=2,IFERROR(SQRT(SUM(calc!$AQ$3:$AQ$132)/$K29),""),"")</f>
        <v/>
      </c>
      <c r="F29" s="5">
        <f>IF($K29&gt;=2,IFERROR(SLOPE(calc!$AN$3:$AN$132,calc!$AO$3:$AO$132),""),"")</f>
        <v/>
      </c>
      <c r="G29" s="5">
        <f>IF($K29&gt;=2,IFERROR(INTERCEPT(calc!$AN$3:$AN$132,calc!$AO$3:$AO$132),""),"")</f>
        <v/>
      </c>
      <c r="H29" s="2">
        <f>COUNT(mos_metrics!J$2:J$132)</f>
        <v/>
      </c>
      <c r="I29" s="2">
        <f>IF($A29&lt;&gt;"",1,"")</f>
        <v/>
      </c>
      <c r="J29" s="2">
        <f>IF($A29="DeltaE",-1,1)</f>
        <v/>
      </c>
      <c r="K29" s="2">
        <f>SUMPRODUCT(--(calc!$AM$3:$AM$132=TRUE))</f>
        <v/>
      </c>
    </row>
    <row r="30">
      <c r="A30" s="2">
        <f>mos_metrics!K$1</f>
        <v/>
      </c>
      <c r="B30" s="5">
        <f>IF($K30&gt;=2,IFERROR(CORREL(calc!$AW$3:$AW$132,calc!$AY$3:$AY$132),""),"")</f>
        <v/>
      </c>
      <c r="C30" s="5">
        <f>IF($K30&gt;=2,IFERROR(CORREL(calc!$BA$3:$BA$132,calc!$BB$3:$BB$132),""),"")</f>
        <v/>
      </c>
      <c r="D30" s="5">
        <f>IF($K30&gt;=2,IFERROR(SUM(calc!$BC$3:$BC$132)/SQRT((($K30*($K30-1)/2)-(SUMPRODUCT(--(calc!$AV$3:$AV$132=TRUE),COUNTIF(calc!$BA$3:$BA$132,calc!$BA$3:$BA$132)-1)/2))*(($K30*($K30-1)/2)-(SUMPRODUCT(--(calc!$AV$3:$AV$132=TRUE),COUNTIF(calc!$BB$3:$BB$132,calc!$BB$3:$BB$132)-1)/2))),""),"")</f>
        <v/>
      </c>
      <c r="E30" s="5">
        <f>IF($K30&gt;=2,IFERROR(SQRT(SUM(calc!$AZ$3:$AZ$132)/$K30),""),"")</f>
        <v/>
      </c>
      <c r="F30" s="5">
        <f>IF($K30&gt;=2,IFERROR(SLOPE(calc!$AW$3:$AW$132,calc!$AX$3:$AX$132),""),"")</f>
        <v/>
      </c>
      <c r="G30" s="5">
        <f>IF($K30&gt;=2,IFERROR(INTERCEPT(calc!$AW$3:$AW$132,calc!$AX$3:$AX$132),""),"")</f>
        <v/>
      </c>
      <c r="H30" s="2">
        <f>COUNT(mos_metrics!K$2:K$132)</f>
        <v/>
      </c>
      <c r="I30" s="2">
        <f>IF($A30&lt;&gt;"",1,"")</f>
        <v/>
      </c>
      <c r="J30" s="2">
        <f>IF($A30="DeltaE",-1,1)</f>
        <v/>
      </c>
      <c r="K30" s="2">
        <f>SUMPRODUCT(--(calc!$AV$3:$AV$132=TRUE))</f>
        <v/>
      </c>
    </row>
    <row r="31">
      <c r="A31" s="2">
        <f>mos_metrics!L$1</f>
        <v/>
      </c>
      <c r="B31" s="5">
        <f>IF($K31&gt;=2,IFERROR(CORREL(calc!$BF$3:$BF$132,calc!$BH$3:$BH$132),""),"")</f>
        <v/>
      </c>
      <c r="C31" s="5">
        <f>IF($K31&gt;=2,IFERROR(CORREL(calc!$BJ$3:$BJ$132,calc!$BK$3:$BK$132),""),"")</f>
        <v/>
      </c>
      <c r="D31" s="5">
        <f>IF($K31&gt;=2,IFERROR(SUM(calc!$BL$3:$BL$132)/SQRT((($K31*($K31-1)/2)-(SUMPRODUCT(--(calc!$BE$3:$BE$132=TRUE),COUNTIF(calc!$BJ$3:$BJ$132,calc!$BJ$3:$BJ$132)-1)/2))*(($K31*($K31-1)/2)-(SUMPRODUCT(--(calc!$BE$3:$BE$132=TRUE),COUNTIF(calc!$BK$3:$BK$132,calc!$BK$3:$BK$132)-1)/2))),""),"")</f>
        <v/>
      </c>
      <c r="E31" s="5">
        <f>IF($K31&gt;=2,IFERROR(SQRT(SUM(calc!$BI$3:$BI$132)/$K31),""),"")</f>
        <v/>
      </c>
      <c r="F31" s="5">
        <f>IF($K31&gt;=2,IFERROR(SLOPE(calc!$BF$3:$BF$132,calc!$BG$3:$BG$132),""),"")</f>
        <v/>
      </c>
      <c r="G31" s="5">
        <f>IF($K31&gt;=2,IFERROR(INTERCEPT(calc!$BF$3:$BF$132,calc!$BG$3:$BG$132),""),"")</f>
        <v/>
      </c>
      <c r="H31" s="2">
        <f>COUNT(mos_metrics!L$2:L$132)</f>
        <v/>
      </c>
      <c r="I31" s="2">
        <f>IF($A31&lt;&gt;"",1,"")</f>
        <v/>
      </c>
      <c r="J31" s="2">
        <f>IF($A31="DeltaE",-1,1)</f>
        <v/>
      </c>
      <c r="K31" s="2">
        <f>SUMPRODUCT(--(calc!$BE$3:$BE$132=TRUE))</f>
        <v/>
      </c>
    </row>
    <row r="32">
      <c r="A32" s="2">
        <f>mos_metrics!M$1</f>
        <v/>
      </c>
      <c r="B32" s="5">
        <f>IF($K32&gt;=2,IFERROR(CORREL(calc!$BO$3:$BO$132,calc!$BQ$3:$BQ$132),""),"")</f>
        <v/>
      </c>
      <c r="C32" s="5">
        <f>IF($K32&gt;=2,IFERROR(CORREL(calc!$BS$3:$BS$132,calc!$BT$3:$BT$132),""),"")</f>
        <v/>
      </c>
      <c r="D32" s="5">
        <f>IF($K32&gt;=2,IFERROR(SUM(calc!$BU$3:$BU$132)/SQRT((($K32*($K32-1)/2)-(SUMPRODUCT(--(calc!$BN$3:$BN$132=TRUE),COUNTIF(calc!$BS$3:$BS$132,calc!$BS$3:$BS$132)-1)/2))*(($K32*($K32-1)/2)-(SUMPRODUCT(--(calc!$BN$3:$BN$132=TRUE),COUNTIF(calc!$BT$3:$BT$132,calc!$BT$3:$BT$132)-1)/2))),""),"")</f>
        <v/>
      </c>
      <c r="E32" s="5">
        <f>IF($K32&gt;=2,IFERROR(SQRT(SUM(calc!$BR$3:$BR$132)/$K32),""),"")</f>
        <v/>
      </c>
      <c r="F32" s="5">
        <f>IF($K32&gt;=2,IFERROR(SLOPE(calc!$BO$3:$BO$132,calc!$BP$3:$BP$132),""),"")</f>
        <v/>
      </c>
      <c r="G32" s="5">
        <f>IF($K32&gt;=2,IFERROR(INTERCEPT(calc!$BO$3:$BO$132,calc!$BP$3:$BP$132),""),"")</f>
        <v/>
      </c>
      <c r="H32" s="2">
        <f>COUNT(mos_metrics!M$2:M$132)</f>
        <v/>
      </c>
      <c r="I32" s="2">
        <f>IF($A32&lt;&gt;"",1,"")</f>
        <v/>
      </c>
      <c r="J32" s="2">
        <f>IF($A32="DeltaE",-1,1)</f>
        <v/>
      </c>
      <c r="K32" s="2">
        <f>SUMPRODUCT(--(calc!$BN$3:$BN$132=TRUE))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33"/>
  <sheetViews>
    <sheetView workbookViewId="0">
      <selection activeCell="A1" sqref="A1"/>
    </sheetView>
  </sheetViews>
  <sheetFormatPr baseColWidth="8" defaultRowHeight="15"/>
  <cols>
    <col width="36" customWidth="1" min="1" max="1"/>
    <col width="24" customWidth="1" min="2" max="2"/>
    <col width="11" customWidth="1" min="4" max="4"/>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s>
  <sheetData>
    <row r="1">
      <c r="A1" s="1" t="inlineStr">
        <is>
          <t>Source / MOS</t>
        </is>
      </c>
      <c r="G1" s="1" t="inlineStr">
        <is>
          <t>Selection flags</t>
        </is>
      </c>
      <c r="K1" s="1" t="inlineStr">
        <is>
          <t>PSNR_avg_score</t>
        </is>
      </c>
      <c r="T1" s="1" t="inlineStr">
        <is>
          <t>ColorVideoVDP_score</t>
        </is>
      </c>
      <c r="AC1" s="1" t="inlineStr">
        <is>
          <t>VMAF_score</t>
        </is>
      </c>
      <c r="AL1" s="1" t="inlineStr">
        <is>
          <t>WTPSNR_score</t>
        </is>
      </c>
      <c r="AU1" s="1" t="inlineStr">
        <is>
          <t>DeltaE_score</t>
        </is>
      </c>
      <c r="BD1" s="1" t="inlineStr">
        <is>
          <t>PSNR_L0100_score</t>
        </is>
      </c>
      <c r="BM1" s="1" t="inlineStr">
        <is>
          <t>FDIM_score</t>
        </is>
      </c>
    </row>
    <row r="2">
      <c r="A2" s="1" t="inlineStr">
        <is>
          <t>KEY</t>
        </is>
      </c>
      <c r="B2" s="1" t="inlineStr">
        <is>
          <t>ref_name</t>
        </is>
      </c>
      <c r="C2" s="1" t="inlineStr">
        <is>
          <t>dis_name</t>
        </is>
      </c>
      <c r="D2" s="1" t="inlineStr">
        <is>
          <t>trc</t>
        </is>
      </c>
      <c r="E2" s="1" t="inlineStr">
        <is>
          <t>codec</t>
        </is>
      </c>
      <c r="F2" s="1" t="inlineStr">
        <is>
          <t>MOS</t>
        </is>
      </c>
      <c r="G2" s="1" t="inlineStr">
        <is>
          <t>ShowSeq</t>
        </is>
      </c>
      <c r="H2" s="1" t="inlineStr">
        <is>
          <t>ShowCodec</t>
        </is>
      </c>
      <c r="I2" s="1" t="inlineStr">
        <is>
          <t>ValidMOS</t>
        </is>
      </c>
      <c r="J2" s="1" t="inlineStr">
        <is>
          <t>UseBase</t>
        </is>
      </c>
      <c r="K2" s="1" t="inlineStr">
        <is>
          <t>raw</t>
        </is>
      </c>
      <c r="L2" s="1" t="inlineStr">
        <is>
          <t>valid</t>
        </is>
      </c>
      <c r="M2" s="1" t="inlineStr">
        <is>
          <t>mos_used</t>
        </is>
      </c>
      <c r="N2" s="1" t="inlineStr">
        <is>
          <t>score</t>
        </is>
      </c>
      <c r="O2" s="1" t="inlineStr">
        <is>
          <t>fit</t>
        </is>
      </c>
      <c r="P2" s="1" t="inlineStr">
        <is>
          <t>sq_error</t>
        </is>
      </c>
      <c r="Q2" s="1" t="inlineStr">
        <is>
          <t>mos_rank</t>
        </is>
      </c>
      <c r="R2" s="1" t="inlineStr">
        <is>
          <t>score_rank</t>
        </is>
      </c>
      <c r="S2" s="1" t="inlineStr">
        <is>
          <t>kendall_num</t>
        </is>
      </c>
      <c r="T2" s="1" t="inlineStr">
        <is>
          <t>raw</t>
        </is>
      </c>
      <c r="U2" s="1" t="inlineStr">
        <is>
          <t>valid</t>
        </is>
      </c>
      <c r="V2" s="1" t="inlineStr">
        <is>
          <t>mos_used</t>
        </is>
      </c>
      <c r="W2" s="1" t="inlineStr">
        <is>
          <t>score</t>
        </is>
      </c>
      <c r="X2" s="1" t="inlineStr">
        <is>
          <t>fit</t>
        </is>
      </c>
      <c r="Y2" s="1" t="inlineStr">
        <is>
          <t>sq_error</t>
        </is>
      </c>
      <c r="Z2" s="1" t="inlineStr">
        <is>
          <t>mos_rank</t>
        </is>
      </c>
      <c r="AA2" s="1" t="inlineStr">
        <is>
          <t>score_rank</t>
        </is>
      </c>
      <c r="AB2" s="1" t="inlineStr">
        <is>
          <t>kendall_num</t>
        </is>
      </c>
      <c r="AC2" s="1" t="inlineStr">
        <is>
          <t>raw</t>
        </is>
      </c>
      <c r="AD2" s="1" t="inlineStr">
        <is>
          <t>valid</t>
        </is>
      </c>
      <c r="AE2" s="1" t="inlineStr">
        <is>
          <t>mos_used</t>
        </is>
      </c>
      <c r="AF2" s="1" t="inlineStr">
        <is>
          <t>score</t>
        </is>
      </c>
      <c r="AG2" s="1" t="inlineStr">
        <is>
          <t>fit</t>
        </is>
      </c>
      <c r="AH2" s="1" t="inlineStr">
        <is>
          <t>sq_error</t>
        </is>
      </c>
      <c r="AI2" s="1" t="inlineStr">
        <is>
          <t>mos_rank</t>
        </is>
      </c>
      <c r="AJ2" s="1" t="inlineStr">
        <is>
          <t>score_rank</t>
        </is>
      </c>
      <c r="AK2" s="1" t="inlineStr">
        <is>
          <t>kendall_num</t>
        </is>
      </c>
      <c r="AL2" s="1" t="inlineStr">
        <is>
          <t>raw</t>
        </is>
      </c>
      <c r="AM2" s="1" t="inlineStr">
        <is>
          <t>valid</t>
        </is>
      </c>
      <c r="AN2" s="1" t="inlineStr">
        <is>
          <t>mos_used</t>
        </is>
      </c>
      <c r="AO2" s="1" t="inlineStr">
        <is>
          <t>score</t>
        </is>
      </c>
      <c r="AP2" s="1" t="inlineStr">
        <is>
          <t>fit</t>
        </is>
      </c>
      <c r="AQ2" s="1" t="inlineStr">
        <is>
          <t>sq_error</t>
        </is>
      </c>
      <c r="AR2" s="1" t="inlineStr">
        <is>
          <t>mos_rank</t>
        </is>
      </c>
      <c r="AS2" s="1" t="inlineStr">
        <is>
          <t>score_rank</t>
        </is>
      </c>
      <c r="AT2" s="1" t="inlineStr">
        <is>
          <t>kendall_num</t>
        </is>
      </c>
      <c r="AU2" s="1" t="inlineStr">
        <is>
          <t>raw</t>
        </is>
      </c>
      <c r="AV2" s="1" t="inlineStr">
        <is>
          <t>valid</t>
        </is>
      </c>
      <c r="AW2" s="1" t="inlineStr">
        <is>
          <t>mos_used</t>
        </is>
      </c>
      <c r="AX2" s="1" t="inlineStr">
        <is>
          <t>score</t>
        </is>
      </c>
      <c r="AY2" s="1" t="inlineStr">
        <is>
          <t>fit</t>
        </is>
      </c>
      <c r="AZ2" s="1" t="inlineStr">
        <is>
          <t>sq_error</t>
        </is>
      </c>
      <c r="BA2" s="1" t="inlineStr">
        <is>
          <t>mos_rank</t>
        </is>
      </c>
      <c r="BB2" s="1" t="inlineStr">
        <is>
          <t>score_rank</t>
        </is>
      </c>
      <c r="BC2" s="1" t="inlineStr">
        <is>
          <t>kendall_num</t>
        </is>
      </c>
      <c r="BD2" s="1" t="inlineStr">
        <is>
          <t>raw</t>
        </is>
      </c>
      <c r="BE2" s="1" t="inlineStr">
        <is>
          <t>valid</t>
        </is>
      </c>
      <c r="BF2" s="1" t="inlineStr">
        <is>
          <t>mos_used</t>
        </is>
      </c>
      <c r="BG2" s="1" t="inlineStr">
        <is>
          <t>score</t>
        </is>
      </c>
      <c r="BH2" s="1" t="inlineStr">
        <is>
          <t>fit</t>
        </is>
      </c>
      <c r="BI2" s="1" t="inlineStr">
        <is>
          <t>sq_error</t>
        </is>
      </c>
      <c r="BJ2" s="1" t="inlineStr">
        <is>
          <t>mos_rank</t>
        </is>
      </c>
      <c r="BK2" s="1" t="inlineStr">
        <is>
          <t>score_rank</t>
        </is>
      </c>
      <c r="BL2" s="1" t="inlineStr">
        <is>
          <t>kendall_num</t>
        </is>
      </c>
      <c r="BM2" s="1" t="inlineStr">
        <is>
          <t>raw</t>
        </is>
      </c>
      <c r="BN2" s="1" t="inlineStr">
        <is>
          <t>valid</t>
        </is>
      </c>
      <c r="BO2" s="1" t="inlineStr">
        <is>
          <t>mos_used</t>
        </is>
      </c>
      <c r="BP2" s="1" t="inlineStr">
        <is>
          <t>score</t>
        </is>
      </c>
      <c r="BQ2" s="1" t="inlineStr">
        <is>
          <t>fit</t>
        </is>
      </c>
      <c r="BR2" s="1" t="inlineStr">
        <is>
          <t>sq_error</t>
        </is>
      </c>
      <c r="BS2" s="1" t="inlineStr">
        <is>
          <t>mos_rank</t>
        </is>
      </c>
      <c r="BT2" s="1" t="inlineStr">
        <is>
          <t>score_rank</t>
        </is>
      </c>
      <c r="BU2" s="1" t="inlineStr">
        <is>
          <t>kendall_num</t>
        </is>
      </c>
    </row>
    <row r="3">
      <c r="A3" s="2">
        <f>mos_metrics!A2</f>
        <v/>
      </c>
      <c r="B3" s="2">
        <f>mos_metrics!B2</f>
        <v/>
      </c>
      <c r="C3" s="2">
        <f>mos_metrics!C2</f>
        <v/>
      </c>
      <c r="D3" s="2">
        <f>mos_metrics!D2</f>
        <v/>
      </c>
      <c r="E3" s="2">
        <f>mos_metrics!E2</f>
        <v/>
      </c>
      <c r="F3" s="2">
        <f>mos_metrics!F2</f>
        <v/>
      </c>
      <c r="G3" s="2">
        <f>IF($B3="","",IFERROR(VLOOKUP($B3,correlation!$A$2:$B$12,2,FALSE),1))</f>
        <v/>
      </c>
      <c r="H3" s="2">
        <f>IF($E3="","",IFERROR(VLOOKUP($E3,correlation!$D$2:$E$8,2,FALSE),1))</f>
        <v/>
      </c>
      <c r="I3" s="2">
        <f>ISNUMBER($F3)</f>
        <v/>
      </c>
      <c r="J3" s="2">
        <f>AND($G3=1,$H3=1,$I3)</f>
        <v/>
      </c>
      <c r="K3" s="5">
        <f>IF(mos_metrics!G2="","",mos_metrics!G2)</f>
        <v/>
      </c>
      <c r="L3" s="2">
        <f>AND($J3,ISNUMBER(K3),correlation!$I$26=1)</f>
        <v/>
      </c>
      <c r="M3" s="5">
        <f>IF(L3,$F3,"")</f>
        <v/>
      </c>
      <c r="N3" s="5">
        <f>IF(L3,K3*correlation!$J$26,"")</f>
        <v/>
      </c>
      <c r="O3" s="5">
        <f>IF(AND(L3,ISNUMBER(correlation!$F$26)),N3*correlation!$F$26+correlation!$G$26,"")</f>
        <v/>
      </c>
      <c r="P3" s="5">
        <f>IF(AND(L3,ISNUMBER(O3)),(M3-O3)^2,"")</f>
        <v/>
      </c>
      <c r="Q3" s="5">
        <f>IF(L3,1+SUMPRODUCT(--(calc!$L$3:$L$132=TRUE),--(calc!$M$3:$M$132&gt;M3))+(SUMPRODUCT(--(calc!$L$3:$L$132=TRUE),--(calc!$M$3:$M$132=M3))-1)/2,"")</f>
        <v/>
      </c>
      <c r="R3" s="5">
        <f>IF(L3,1+SUMPRODUCT(--(calc!$L$3:$L$132=TRUE),--(calc!$N$3:$N$132&gt;N3))+(SUMPRODUCT(--(calc!$L$3:$L$132=TRUE),--(calc!$N$3:$N$132=N3))-1)/2,"")</f>
        <v/>
      </c>
      <c r="S3" s="5">
        <f>IF(L3,SUMPRODUCT(--(calc!$L$3:$L$132=TRUE),--(ROW(calc!$L$3:$L$132)&gt;ROW(L3)),--(((calc!$Q$3:$Q$132&gt;Q3)*(calc!$R$3:$R$132&gt;R3)+(calc!$Q$3:$Q$132&lt;Q3)*(calc!$R$3:$R$132&lt;R3))&gt;0))-SUMPRODUCT(--(calc!$L$3:$L$132=TRUE),--(ROW(calc!$L$3:$L$132)&gt;ROW(L3)),--(((calc!$Q$3:$Q$132&gt;Q3)*(calc!$R$3:$R$132&lt;R3)+(calc!$Q$3:$Q$132&lt;Q3)*(calc!$R$3:$R$132&gt;R3))&gt;0)),0)</f>
        <v/>
      </c>
      <c r="T3" s="5">
        <f>IF(mos_metrics!H2="","",mos_metrics!H2)</f>
        <v/>
      </c>
      <c r="U3" s="2">
        <f>AND($J3,ISNUMBER(T3),correlation!$I$27=1)</f>
        <v/>
      </c>
      <c r="V3" s="5">
        <f>IF(U3,$F3,"")</f>
        <v/>
      </c>
      <c r="W3" s="5">
        <f>IF(U3,T3*correlation!$J$27,"")</f>
        <v/>
      </c>
      <c r="X3" s="5">
        <f>IF(AND(U3,ISNUMBER(correlation!$F$27)),W3*correlation!$F$27+correlation!$G$27,"")</f>
        <v/>
      </c>
      <c r="Y3" s="5">
        <f>IF(AND(U3,ISNUMBER(X3)),(V3-X3)^2,"")</f>
        <v/>
      </c>
      <c r="Z3" s="5">
        <f>IF(U3,1+SUMPRODUCT(--(calc!$U$3:$U$132=TRUE),--(calc!$V$3:$V$132&gt;V3))+(SUMPRODUCT(--(calc!$U$3:$U$132=TRUE),--(calc!$V$3:$V$132=V3))-1)/2,"")</f>
        <v/>
      </c>
      <c r="AA3" s="5">
        <f>IF(U3,1+SUMPRODUCT(--(calc!$U$3:$U$132=TRUE),--(calc!$W$3:$W$132&gt;W3))+(SUMPRODUCT(--(calc!$U$3:$U$132=TRUE),--(calc!$W$3:$W$132=W3))-1)/2,"")</f>
        <v/>
      </c>
      <c r="AB3" s="5">
        <f>IF(U3,SUMPRODUCT(--(calc!$U$3:$U$132=TRUE),--(ROW(calc!$U$3:$U$132)&gt;ROW(U3)),--(((calc!$Z$3:$Z$132&gt;Z3)*(calc!$AA$3:$AA$132&gt;AA3)+(calc!$Z$3:$Z$132&lt;Z3)*(calc!$AA$3:$AA$132&lt;AA3))&gt;0))-SUMPRODUCT(--(calc!$U$3:$U$132=TRUE),--(ROW(calc!$U$3:$U$132)&gt;ROW(U3)),--(((calc!$Z$3:$Z$132&gt;Z3)*(calc!$AA$3:$AA$132&lt;AA3)+(calc!$Z$3:$Z$132&lt;Z3)*(calc!$AA$3:$AA$132&gt;AA3))&gt;0)),0)</f>
        <v/>
      </c>
      <c r="AC3" s="5">
        <f>IF(mos_metrics!I2="","",mos_metrics!I2)</f>
        <v/>
      </c>
      <c r="AD3" s="2">
        <f>AND($J3,ISNUMBER(AC3),correlation!$I$28=1)</f>
        <v/>
      </c>
      <c r="AE3" s="5">
        <f>IF(AD3,$F3,"")</f>
        <v/>
      </c>
      <c r="AF3" s="5">
        <f>IF(AD3,AC3*correlation!$J$28,"")</f>
        <v/>
      </c>
      <c r="AG3" s="5">
        <f>IF(AND(AD3,ISNUMBER(correlation!$F$28)),AF3*correlation!$F$28+correlation!$G$28,"")</f>
        <v/>
      </c>
      <c r="AH3" s="5">
        <f>IF(AND(AD3,ISNUMBER(AG3)),(AE3-AG3)^2,"")</f>
        <v/>
      </c>
      <c r="AI3" s="5">
        <f>IF(AD3,1+SUMPRODUCT(--(calc!$AD$3:$AD$132=TRUE),--(calc!$AE$3:$AE$132&gt;AE3))+(SUMPRODUCT(--(calc!$AD$3:$AD$132=TRUE),--(calc!$AE$3:$AE$132=AE3))-1)/2,"")</f>
        <v/>
      </c>
      <c r="AJ3" s="5">
        <f>IF(AD3,1+SUMPRODUCT(--(calc!$AD$3:$AD$132=TRUE),--(calc!$AF$3:$AF$132&gt;AF3))+(SUMPRODUCT(--(calc!$AD$3:$AD$132=TRUE),--(calc!$AF$3:$AF$132=AF3))-1)/2,"")</f>
        <v/>
      </c>
      <c r="AK3" s="5">
        <f>IF(AD3,SUMPRODUCT(--(calc!$AD$3:$AD$132=TRUE),--(ROW(calc!$AD$3:$AD$132)&gt;ROW(AD3)),--(((calc!$AI$3:$AI$132&gt;AI3)*(calc!$AJ$3:$AJ$132&gt;AJ3)+(calc!$AI$3:$AI$132&lt;AI3)*(calc!$AJ$3:$AJ$132&lt;AJ3))&gt;0))-SUMPRODUCT(--(calc!$AD$3:$AD$132=TRUE),--(ROW(calc!$AD$3:$AD$132)&gt;ROW(AD3)),--(((calc!$AI$3:$AI$132&gt;AI3)*(calc!$AJ$3:$AJ$132&lt;AJ3)+(calc!$AI$3:$AI$132&lt;AI3)*(calc!$AJ$3:$AJ$132&gt;AJ3))&gt;0)),0)</f>
        <v/>
      </c>
      <c r="AL3" s="5">
        <f>IF(mos_metrics!J2="","",mos_metrics!J2)</f>
        <v/>
      </c>
      <c r="AM3" s="2">
        <f>AND($J3,ISNUMBER(AL3),correlation!$I$29=1)</f>
        <v/>
      </c>
      <c r="AN3" s="5">
        <f>IF(AM3,$F3,"")</f>
        <v/>
      </c>
      <c r="AO3" s="5">
        <f>IF(AM3,AL3*correlation!$J$29,"")</f>
        <v/>
      </c>
      <c r="AP3" s="5">
        <f>IF(AND(AM3,ISNUMBER(correlation!$F$29)),AO3*correlation!$F$29+correlation!$G$29,"")</f>
        <v/>
      </c>
      <c r="AQ3" s="5">
        <f>IF(AND(AM3,ISNUMBER(AP3)),(AN3-AP3)^2,"")</f>
        <v/>
      </c>
      <c r="AR3" s="5">
        <f>IF(AM3,1+SUMPRODUCT(--(calc!$AM$3:$AM$132=TRUE),--(calc!$AN$3:$AN$132&gt;AN3))+(SUMPRODUCT(--(calc!$AM$3:$AM$132=TRUE),--(calc!$AN$3:$AN$132=AN3))-1)/2,"")</f>
        <v/>
      </c>
      <c r="AS3" s="5">
        <f>IF(AM3,1+SUMPRODUCT(--(calc!$AM$3:$AM$132=TRUE),--(calc!$AO$3:$AO$132&gt;AO3))+(SUMPRODUCT(--(calc!$AM$3:$AM$132=TRUE),--(calc!$AO$3:$AO$132=AO3))-1)/2,"")</f>
        <v/>
      </c>
      <c r="AT3" s="5">
        <f>IF(AM3,SUMPRODUCT(--(calc!$AM$3:$AM$132=TRUE),--(ROW(calc!$AM$3:$AM$132)&gt;ROW(AM3)),--(((calc!$AR$3:$AR$132&gt;AR3)*(calc!$AS$3:$AS$132&gt;AS3)+(calc!$AR$3:$AR$132&lt;AR3)*(calc!$AS$3:$AS$132&lt;AS3))&gt;0))-SUMPRODUCT(--(calc!$AM$3:$AM$132=TRUE),--(ROW(calc!$AM$3:$AM$132)&gt;ROW(AM3)),--(((calc!$AR$3:$AR$132&gt;AR3)*(calc!$AS$3:$AS$132&lt;AS3)+(calc!$AR$3:$AR$132&lt;AR3)*(calc!$AS$3:$AS$132&gt;AS3))&gt;0)),0)</f>
        <v/>
      </c>
      <c r="AU3" s="5">
        <f>IF(mos_metrics!K2="","",mos_metrics!K2)</f>
        <v/>
      </c>
      <c r="AV3" s="2">
        <f>AND($J3,ISNUMBER(AU3),correlation!$I$30=1)</f>
        <v/>
      </c>
      <c r="AW3" s="5">
        <f>IF(AV3,$F3,"")</f>
        <v/>
      </c>
      <c r="AX3" s="5">
        <f>IF(AV3,AU3*correlation!$J$30,"")</f>
        <v/>
      </c>
      <c r="AY3" s="5">
        <f>IF(AND(AV3,ISNUMBER(correlation!$F$30)),AX3*correlation!$F$30+correlation!$G$30,"")</f>
        <v/>
      </c>
      <c r="AZ3" s="5">
        <f>IF(AND(AV3,ISNUMBER(AY3)),(AW3-AY3)^2,"")</f>
        <v/>
      </c>
      <c r="BA3" s="5">
        <f>IF(AV3,1+SUMPRODUCT(--(calc!$AV$3:$AV$132=TRUE),--(calc!$AW$3:$AW$132&gt;AW3))+(SUMPRODUCT(--(calc!$AV$3:$AV$132=TRUE),--(calc!$AW$3:$AW$132=AW3))-1)/2,"")</f>
        <v/>
      </c>
      <c r="BB3" s="5">
        <f>IF(AV3,1+SUMPRODUCT(--(calc!$AV$3:$AV$132=TRUE),--(calc!$AX$3:$AX$132&gt;AX3))+(SUMPRODUCT(--(calc!$AV$3:$AV$132=TRUE),--(calc!$AX$3:$AX$132=AX3))-1)/2,"")</f>
        <v/>
      </c>
      <c r="BC3" s="5">
        <f>IF(AV3,SUMPRODUCT(--(calc!$AV$3:$AV$132=TRUE),--(ROW(calc!$AV$3:$AV$132)&gt;ROW(AV3)),--(((calc!$BA$3:$BA$132&gt;BA3)*(calc!$BB$3:$BB$132&gt;BB3)+(calc!$BA$3:$BA$132&lt;BA3)*(calc!$BB$3:$BB$132&lt;BB3))&gt;0))-SUMPRODUCT(--(calc!$AV$3:$AV$132=TRUE),--(ROW(calc!$AV$3:$AV$132)&gt;ROW(AV3)),--(((calc!$BA$3:$BA$132&gt;BA3)*(calc!$BB$3:$BB$132&lt;BB3)+(calc!$BA$3:$BA$132&lt;BA3)*(calc!$BB$3:$BB$132&gt;BB3))&gt;0)),0)</f>
        <v/>
      </c>
      <c r="BD3" s="5">
        <f>IF(mos_metrics!L2="","",mos_metrics!L2)</f>
        <v/>
      </c>
      <c r="BE3" s="2">
        <f>AND($J3,ISNUMBER(BD3),correlation!$I$31=1)</f>
        <v/>
      </c>
      <c r="BF3" s="5">
        <f>IF(BE3,$F3,"")</f>
        <v/>
      </c>
      <c r="BG3" s="5">
        <f>IF(BE3,BD3*correlation!$J$31,"")</f>
        <v/>
      </c>
      <c r="BH3" s="5">
        <f>IF(AND(BE3,ISNUMBER(correlation!$F$31)),BG3*correlation!$F$31+correlation!$G$31,"")</f>
        <v/>
      </c>
      <c r="BI3" s="5">
        <f>IF(AND(BE3,ISNUMBER(BH3)),(BF3-BH3)^2,"")</f>
        <v/>
      </c>
      <c r="BJ3" s="5">
        <f>IF(BE3,1+SUMPRODUCT(--(calc!$BE$3:$BE$132=TRUE),--(calc!$BF$3:$BF$132&gt;BF3))+(SUMPRODUCT(--(calc!$BE$3:$BE$132=TRUE),--(calc!$BF$3:$BF$132=BF3))-1)/2,"")</f>
        <v/>
      </c>
      <c r="BK3" s="5">
        <f>IF(BE3,1+SUMPRODUCT(--(calc!$BE$3:$BE$132=TRUE),--(calc!$BG$3:$BG$132&gt;BG3))+(SUMPRODUCT(--(calc!$BE$3:$BE$132=TRUE),--(calc!$BG$3:$BG$132=BG3))-1)/2,"")</f>
        <v/>
      </c>
      <c r="BL3" s="5">
        <f>IF(BE3,SUMPRODUCT(--(calc!$BE$3:$BE$132=TRUE),--(ROW(calc!$BE$3:$BE$132)&gt;ROW(BE3)),--(((calc!$BJ$3:$BJ$132&gt;BJ3)*(calc!$BK$3:$BK$132&gt;BK3)+(calc!$BJ$3:$BJ$132&lt;BJ3)*(calc!$BK$3:$BK$132&lt;BK3))&gt;0))-SUMPRODUCT(--(calc!$BE$3:$BE$132=TRUE),--(ROW(calc!$BE$3:$BE$132)&gt;ROW(BE3)),--(((calc!$BJ$3:$BJ$132&gt;BJ3)*(calc!$BK$3:$BK$132&lt;BK3)+(calc!$BJ$3:$BJ$132&lt;BJ3)*(calc!$BK$3:$BK$132&gt;BK3))&gt;0)),0)</f>
        <v/>
      </c>
      <c r="BM3" s="5">
        <f>IF(mos_metrics!M2="","",mos_metrics!M2)</f>
        <v/>
      </c>
      <c r="BN3" s="2">
        <f>AND($J3,ISNUMBER(BM3),correlation!$I$32=1)</f>
        <v/>
      </c>
      <c r="BO3" s="5">
        <f>IF(BN3,$F3,"")</f>
        <v/>
      </c>
      <c r="BP3" s="5">
        <f>IF(BN3,BM3*correlation!$J$32,"")</f>
        <v/>
      </c>
      <c r="BQ3" s="5">
        <f>IF(AND(BN3,ISNUMBER(correlation!$F$32)),BP3*correlation!$F$32+correlation!$G$32,"")</f>
        <v/>
      </c>
      <c r="BR3" s="5">
        <f>IF(AND(BN3,ISNUMBER(BQ3)),(BO3-BQ3)^2,"")</f>
        <v/>
      </c>
      <c r="BS3" s="5">
        <f>IF(BN3,1+SUMPRODUCT(--(calc!$BN$3:$BN$132=TRUE),--(calc!$BO$3:$BO$132&gt;BO3))+(SUMPRODUCT(--(calc!$BN$3:$BN$132=TRUE),--(calc!$BO$3:$BO$132=BO3))-1)/2,"")</f>
        <v/>
      </c>
      <c r="BT3" s="5">
        <f>IF(BN3,1+SUMPRODUCT(--(calc!$BN$3:$BN$132=TRUE),--(calc!$BP$3:$BP$132&gt;BP3))+(SUMPRODUCT(--(calc!$BN$3:$BN$132=TRUE),--(calc!$BP$3:$BP$132=BP3))-1)/2,"")</f>
        <v/>
      </c>
      <c r="BU3" s="5">
        <f>IF(BN3,SUMPRODUCT(--(calc!$BN$3:$BN$132=TRUE),--(ROW(calc!$BN$3:$BN$132)&gt;ROW(BN3)),--(((calc!$BS$3:$BS$132&gt;BS3)*(calc!$BT$3:$BT$132&gt;BT3)+(calc!$BS$3:$BS$132&lt;BS3)*(calc!$BT$3:$BT$132&lt;BT3))&gt;0))-SUMPRODUCT(--(calc!$BN$3:$BN$132=TRUE),--(ROW(calc!$BN$3:$BN$132)&gt;ROW(BN3)),--(((calc!$BS$3:$BS$132&gt;BS3)*(calc!$BT$3:$BT$132&lt;BT3)+(calc!$BS$3:$BS$132&lt;BS3)*(calc!$BT$3:$BT$132&gt;BT3))&gt;0)),0)</f>
        <v/>
      </c>
    </row>
    <row r="4">
      <c r="A4" s="2">
        <f>mos_metrics!A3</f>
        <v/>
      </c>
      <c r="B4" s="2">
        <f>mos_metrics!B3</f>
        <v/>
      </c>
      <c r="C4" s="2">
        <f>mos_metrics!C3</f>
        <v/>
      </c>
      <c r="D4" s="2">
        <f>mos_metrics!D3</f>
        <v/>
      </c>
      <c r="E4" s="2">
        <f>mos_metrics!E3</f>
        <v/>
      </c>
      <c r="F4" s="2">
        <f>mos_metrics!F3</f>
        <v/>
      </c>
      <c r="G4" s="2">
        <f>IF($B4="","",IFERROR(VLOOKUP($B4,correlation!$A$2:$B$12,2,FALSE),1))</f>
        <v/>
      </c>
      <c r="H4" s="2">
        <f>IF($E4="","",IFERROR(VLOOKUP($E4,correlation!$D$2:$E$8,2,FALSE),1))</f>
        <v/>
      </c>
      <c r="I4" s="2">
        <f>ISNUMBER($F4)</f>
        <v/>
      </c>
      <c r="J4" s="2">
        <f>AND($G4=1,$H4=1,$I4)</f>
        <v/>
      </c>
      <c r="K4" s="5">
        <f>IF(mos_metrics!G3="","",mos_metrics!G3)</f>
        <v/>
      </c>
      <c r="L4" s="2">
        <f>AND($J4,ISNUMBER(K4),correlation!$I$26=1)</f>
        <v/>
      </c>
      <c r="M4" s="5">
        <f>IF(L4,$F4,"")</f>
        <v/>
      </c>
      <c r="N4" s="5">
        <f>IF(L4,K4*correlation!$J$26,"")</f>
        <v/>
      </c>
      <c r="O4" s="5">
        <f>IF(AND(L4,ISNUMBER(correlation!$F$26)),N4*correlation!$F$26+correlation!$G$26,"")</f>
        <v/>
      </c>
      <c r="P4" s="5">
        <f>IF(AND(L4,ISNUMBER(O4)),(M4-O4)^2,"")</f>
        <v/>
      </c>
      <c r="Q4" s="5">
        <f>IF(L4,1+SUMPRODUCT(--(calc!$L$3:$L$132=TRUE),--(calc!$M$3:$M$132&gt;M4))+(SUMPRODUCT(--(calc!$L$3:$L$132=TRUE),--(calc!$M$3:$M$132=M4))-1)/2,"")</f>
        <v/>
      </c>
      <c r="R4" s="5">
        <f>IF(L4,1+SUMPRODUCT(--(calc!$L$3:$L$132=TRUE),--(calc!$N$3:$N$132&gt;N4))+(SUMPRODUCT(--(calc!$L$3:$L$132=TRUE),--(calc!$N$3:$N$132=N4))-1)/2,"")</f>
        <v/>
      </c>
      <c r="S4" s="5">
        <f>IF(L4,SUMPRODUCT(--(calc!$L$3:$L$132=TRUE),--(ROW(calc!$L$3:$L$132)&gt;ROW(L4)),--(((calc!$Q$3:$Q$132&gt;Q4)*(calc!$R$3:$R$132&gt;R4)+(calc!$Q$3:$Q$132&lt;Q4)*(calc!$R$3:$R$132&lt;R4))&gt;0))-SUMPRODUCT(--(calc!$L$3:$L$132=TRUE),--(ROW(calc!$L$3:$L$132)&gt;ROW(L4)),--(((calc!$Q$3:$Q$132&gt;Q4)*(calc!$R$3:$R$132&lt;R4)+(calc!$Q$3:$Q$132&lt;Q4)*(calc!$R$3:$R$132&gt;R4))&gt;0)),0)</f>
        <v/>
      </c>
      <c r="T4" s="5">
        <f>IF(mos_metrics!H3="","",mos_metrics!H3)</f>
        <v/>
      </c>
      <c r="U4" s="2">
        <f>AND($J4,ISNUMBER(T4),correlation!$I$27=1)</f>
        <v/>
      </c>
      <c r="V4" s="5">
        <f>IF(U4,$F4,"")</f>
        <v/>
      </c>
      <c r="W4" s="5">
        <f>IF(U4,T4*correlation!$J$27,"")</f>
        <v/>
      </c>
      <c r="X4" s="5">
        <f>IF(AND(U4,ISNUMBER(correlation!$F$27)),W4*correlation!$F$27+correlation!$G$27,"")</f>
        <v/>
      </c>
      <c r="Y4" s="5">
        <f>IF(AND(U4,ISNUMBER(X4)),(V4-X4)^2,"")</f>
        <v/>
      </c>
      <c r="Z4" s="5">
        <f>IF(U4,1+SUMPRODUCT(--(calc!$U$3:$U$132=TRUE),--(calc!$V$3:$V$132&gt;V4))+(SUMPRODUCT(--(calc!$U$3:$U$132=TRUE),--(calc!$V$3:$V$132=V4))-1)/2,"")</f>
        <v/>
      </c>
      <c r="AA4" s="5">
        <f>IF(U4,1+SUMPRODUCT(--(calc!$U$3:$U$132=TRUE),--(calc!$W$3:$W$132&gt;W4))+(SUMPRODUCT(--(calc!$U$3:$U$132=TRUE),--(calc!$W$3:$W$132=W4))-1)/2,"")</f>
        <v/>
      </c>
      <c r="AB4" s="5">
        <f>IF(U4,SUMPRODUCT(--(calc!$U$3:$U$132=TRUE),--(ROW(calc!$U$3:$U$132)&gt;ROW(U4)),--(((calc!$Z$3:$Z$132&gt;Z4)*(calc!$AA$3:$AA$132&gt;AA4)+(calc!$Z$3:$Z$132&lt;Z4)*(calc!$AA$3:$AA$132&lt;AA4))&gt;0))-SUMPRODUCT(--(calc!$U$3:$U$132=TRUE),--(ROW(calc!$U$3:$U$132)&gt;ROW(U4)),--(((calc!$Z$3:$Z$132&gt;Z4)*(calc!$AA$3:$AA$132&lt;AA4)+(calc!$Z$3:$Z$132&lt;Z4)*(calc!$AA$3:$AA$132&gt;AA4))&gt;0)),0)</f>
        <v/>
      </c>
      <c r="AC4" s="5">
        <f>IF(mos_metrics!I3="","",mos_metrics!I3)</f>
        <v/>
      </c>
      <c r="AD4" s="2">
        <f>AND($J4,ISNUMBER(AC4),correlation!$I$28=1)</f>
        <v/>
      </c>
      <c r="AE4" s="5">
        <f>IF(AD4,$F4,"")</f>
        <v/>
      </c>
      <c r="AF4" s="5">
        <f>IF(AD4,AC4*correlation!$J$28,"")</f>
        <v/>
      </c>
      <c r="AG4" s="5">
        <f>IF(AND(AD4,ISNUMBER(correlation!$F$28)),AF4*correlation!$F$28+correlation!$G$28,"")</f>
        <v/>
      </c>
      <c r="AH4" s="5">
        <f>IF(AND(AD4,ISNUMBER(AG4)),(AE4-AG4)^2,"")</f>
        <v/>
      </c>
      <c r="AI4" s="5">
        <f>IF(AD4,1+SUMPRODUCT(--(calc!$AD$3:$AD$132=TRUE),--(calc!$AE$3:$AE$132&gt;AE4))+(SUMPRODUCT(--(calc!$AD$3:$AD$132=TRUE),--(calc!$AE$3:$AE$132=AE4))-1)/2,"")</f>
        <v/>
      </c>
      <c r="AJ4" s="5">
        <f>IF(AD4,1+SUMPRODUCT(--(calc!$AD$3:$AD$132=TRUE),--(calc!$AF$3:$AF$132&gt;AF4))+(SUMPRODUCT(--(calc!$AD$3:$AD$132=TRUE),--(calc!$AF$3:$AF$132=AF4))-1)/2,"")</f>
        <v/>
      </c>
      <c r="AK4" s="5">
        <f>IF(AD4,SUMPRODUCT(--(calc!$AD$3:$AD$132=TRUE),--(ROW(calc!$AD$3:$AD$132)&gt;ROW(AD4)),--(((calc!$AI$3:$AI$132&gt;AI4)*(calc!$AJ$3:$AJ$132&gt;AJ4)+(calc!$AI$3:$AI$132&lt;AI4)*(calc!$AJ$3:$AJ$132&lt;AJ4))&gt;0))-SUMPRODUCT(--(calc!$AD$3:$AD$132=TRUE),--(ROW(calc!$AD$3:$AD$132)&gt;ROW(AD4)),--(((calc!$AI$3:$AI$132&gt;AI4)*(calc!$AJ$3:$AJ$132&lt;AJ4)+(calc!$AI$3:$AI$132&lt;AI4)*(calc!$AJ$3:$AJ$132&gt;AJ4))&gt;0)),0)</f>
        <v/>
      </c>
      <c r="AL4" s="5">
        <f>IF(mos_metrics!J3="","",mos_metrics!J3)</f>
        <v/>
      </c>
      <c r="AM4" s="2">
        <f>AND($J4,ISNUMBER(AL4),correlation!$I$29=1)</f>
        <v/>
      </c>
      <c r="AN4" s="5">
        <f>IF(AM4,$F4,"")</f>
        <v/>
      </c>
      <c r="AO4" s="5">
        <f>IF(AM4,AL4*correlation!$J$29,"")</f>
        <v/>
      </c>
      <c r="AP4" s="5">
        <f>IF(AND(AM4,ISNUMBER(correlation!$F$29)),AO4*correlation!$F$29+correlation!$G$29,"")</f>
        <v/>
      </c>
      <c r="AQ4" s="5">
        <f>IF(AND(AM4,ISNUMBER(AP4)),(AN4-AP4)^2,"")</f>
        <v/>
      </c>
      <c r="AR4" s="5">
        <f>IF(AM4,1+SUMPRODUCT(--(calc!$AM$3:$AM$132=TRUE),--(calc!$AN$3:$AN$132&gt;AN4))+(SUMPRODUCT(--(calc!$AM$3:$AM$132=TRUE),--(calc!$AN$3:$AN$132=AN4))-1)/2,"")</f>
        <v/>
      </c>
      <c r="AS4" s="5">
        <f>IF(AM4,1+SUMPRODUCT(--(calc!$AM$3:$AM$132=TRUE),--(calc!$AO$3:$AO$132&gt;AO4))+(SUMPRODUCT(--(calc!$AM$3:$AM$132=TRUE),--(calc!$AO$3:$AO$132=AO4))-1)/2,"")</f>
        <v/>
      </c>
      <c r="AT4" s="5">
        <f>IF(AM4,SUMPRODUCT(--(calc!$AM$3:$AM$132=TRUE),--(ROW(calc!$AM$3:$AM$132)&gt;ROW(AM4)),--(((calc!$AR$3:$AR$132&gt;AR4)*(calc!$AS$3:$AS$132&gt;AS4)+(calc!$AR$3:$AR$132&lt;AR4)*(calc!$AS$3:$AS$132&lt;AS4))&gt;0))-SUMPRODUCT(--(calc!$AM$3:$AM$132=TRUE),--(ROW(calc!$AM$3:$AM$132)&gt;ROW(AM4)),--(((calc!$AR$3:$AR$132&gt;AR4)*(calc!$AS$3:$AS$132&lt;AS4)+(calc!$AR$3:$AR$132&lt;AR4)*(calc!$AS$3:$AS$132&gt;AS4))&gt;0)),0)</f>
        <v/>
      </c>
      <c r="AU4" s="5">
        <f>IF(mos_metrics!K3="","",mos_metrics!K3)</f>
        <v/>
      </c>
      <c r="AV4" s="2">
        <f>AND($J4,ISNUMBER(AU4),correlation!$I$30=1)</f>
        <v/>
      </c>
      <c r="AW4" s="5">
        <f>IF(AV4,$F4,"")</f>
        <v/>
      </c>
      <c r="AX4" s="5">
        <f>IF(AV4,AU4*correlation!$J$30,"")</f>
        <v/>
      </c>
      <c r="AY4" s="5">
        <f>IF(AND(AV4,ISNUMBER(correlation!$F$30)),AX4*correlation!$F$30+correlation!$G$30,"")</f>
        <v/>
      </c>
      <c r="AZ4" s="5">
        <f>IF(AND(AV4,ISNUMBER(AY4)),(AW4-AY4)^2,"")</f>
        <v/>
      </c>
      <c r="BA4" s="5">
        <f>IF(AV4,1+SUMPRODUCT(--(calc!$AV$3:$AV$132=TRUE),--(calc!$AW$3:$AW$132&gt;AW4))+(SUMPRODUCT(--(calc!$AV$3:$AV$132=TRUE),--(calc!$AW$3:$AW$132=AW4))-1)/2,"")</f>
        <v/>
      </c>
      <c r="BB4" s="5">
        <f>IF(AV4,1+SUMPRODUCT(--(calc!$AV$3:$AV$132=TRUE),--(calc!$AX$3:$AX$132&gt;AX4))+(SUMPRODUCT(--(calc!$AV$3:$AV$132=TRUE),--(calc!$AX$3:$AX$132=AX4))-1)/2,"")</f>
        <v/>
      </c>
      <c r="BC4" s="5">
        <f>IF(AV4,SUMPRODUCT(--(calc!$AV$3:$AV$132=TRUE),--(ROW(calc!$AV$3:$AV$132)&gt;ROW(AV4)),--(((calc!$BA$3:$BA$132&gt;BA4)*(calc!$BB$3:$BB$132&gt;BB4)+(calc!$BA$3:$BA$132&lt;BA4)*(calc!$BB$3:$BB$132&lt;BB4))&gt;0))-SUMPRODUCT(--(calc!$AV$3:$AV$132=TRUE),--(ROW(calc!$AV$3:$AV$132)&gt;ROW(AV4)),--(((calc!$BA$3:$BA$132&gt;BA4)*(calc!$BB$3:$BB$132&lt;BB4)+(calc!$BA$3:$BA$132&lt;BA4)*(calc!$BB$3:$BB$132&gt;BB4))&gt;0)),0)</f>
        <v/>
      </c>
      <c r="BD4" s="5">
        <f>IF(mos_metrics!L3="","",mos_metrics!L3)</f>
        <v/>
      </c>
      <c r="BE4" s="2">
        <f>AND($J4,ISNUMBER(BD4),correlation!$I$31=1)</f>
        <v/>
      </c>
      <c r="BF4" s="5">
        <f>IF(BE4,$F4,"")</f>
        <v/>
      </c>
      <c r="BG4" s="5">
        <f>IF(BE4,BD4*correlation!$J$31,"")</f>
        <v/>
      </c>
      <c r="BH4" s="5">
        <f>IF(AND(BE4,ISNUMBER(correlation!$F$31)),BG4*correlation!$F$31+correlation!$G$31,"")</f>
        <v/>
      </c>
      <c r="BI4" s="5">
        <f>IF(AND(BE4,ISNUMBER(BH4)),(BF4-BH4)^2,"")</f>
        <v/>
      </c>
      <c r="BJ4" s="5">
        <f>IF(BE4,1+SUMPRODUCT(--(calc!$BE$3:$BE$132=TRUE),--(calc!$BF$3:$BF$132&gt;BF4))+(SUMPRODUCT(--(calc!$BE$3:$BE$132=TRUE),--(calc!$BF$3:$BF$132=BF4))-1)/2,"")</f>
        <v/>
      </c>
      <c r="BK4" s="5">
        <f>IF(BE4,1+SUMPRODUCT(--(calc!$BE$3:$BE$132=TRUE),--(calc!$BG$3:$BG$132&gt;BG4))+(SUMPRODUCT(--(calc!$BE$3:$BE$132=TRUE),--(calc!$BG$3:$BG$132=BG4))-1)/2,"")</f>
        <v/>
      </c>
      <c r="BL4" s="5">
        <f>IF(BE4,SUMPRODUCT(--(calc!$BE$3:$BE$132=TRUE),--(ROW(calc!$BE$3:$BE$132)&gt;ROW(BE4)),--(((calc!$BJ$3:$BJ$132&gt;BJ4)*(calc!$BK$3:$BK$132&gt;BK4)+(calc!$BJ$3:$BJ$132&lt;BJ4)*(calc!$BK$3:$BK$132&lt;BK4))&gt;0))-SUMPRODUCT(--(calc!$BE$3:$BE$132=TRUE),--(ROW(calc!$BE$3:$BE$132)&gt;ROW(BE4)),--(((calc!$BJ$3:$BJ$132&gt;BJ4)*(calc!$BK$3:$BK$132&lt;BK4)+(calc!$BJ$3:$BJ$132&lt;BJ4)*(calc!$BK$3:$BK$132&gt;BK4))&gt;0)),0)</f>
        <v/>
      </c>
      <c r="BM4" s="5">
        <f>IF(mos_metrics!M3="","",mos_metrics!M3)</f>
        <v/>
      </c>
      <c r="BN4" s="2">
        <f>AND($J4,ISNUMBER(BM4),correlation!$I$32=1)</f>
        <v/>
      </c>
      <c r="BO4" s="5">
        <f>IF(BN4,$F4,"")</f>
        <v/>
      </c>
      <c r="BP4" s="5">
        <f>IF(BN4,BM4*correlation!$J$32,"")</f>
        <v/>
      </c>
      <c r="BQ4" s="5">
        <f>IF(AND(BN4,ISNUMBER(correlation!$F$32)),BP4*correlation!$F$32+correlation!$G$32,"")</f>
        <v/>
      </c>
      <c r="BR4" s="5">
        <f>IF(AND(BN4,ISNUMBER(BQ4)),(BO4-BQ4)^2,"")</f>
        <v/>
      </c>
      <c r="BS4" s="5">
        <f>IF(BN4,1+SUMPRODUCT(--(calc!$BN$3:$BN$132=TRUE),--(calc!$BO$3:$BO$132&gt;BO4))+(SUMPRODUCT(--(calc!$BN$3:$BN$132=TRUE),--(calc!$BO$3:$BO$132=BO4))-1)/2,"")</f>
        <v/>
      </c>
      <c r="BT4" s="5">
        <f>IF(BN4,1+SUMPRODUCT(--(calc!$BN$3:$BN$132=TRUE),--(calc!$BP$3:$BP$132&gt;BP4))+(SUMPRODUCT(--(calc!$BN$3:$BN$132=TRUE),--(calc!$BP$3:$BP$132=BP4))-1)/2,"")</f>
        <v/>
      </c>
      <c r="BU4" s="5">
        <f>IF(BN4,SUMPRODUCT(--(calc!$BN$3:$BN$132=TRUE),--(ROW(calc!$BN$3:$BN$132)&gt;ROW(BN4)),--(((calc!$BS$3:$BS$132&gt;BS4)*(calc!$BT$3:$BT$132&gt;BT4)+(calc!$BS$3:$BS$132&lt;BS4)*(calc!$BT$3:$BT$132&lt;BT4))&gt;0))-SUMPRODUCT(--(calc!$BN$3:$BN$132=TRUE),--(ROW(calc!$BN$3:$BN$132)&gt;ROW(BN4)),--(((calc!$BS$3:$BS$132&gt;BS4)*(calc!$BT$3:$BT$132&lt;BT4)+(calc!$BS$3:$BS$132&lt;BS4)*(calc!$BT$3:$BT$132&gt;BT4))&gt;0)),0)</f>
        <v/>
      </c>
    </row>
    <row r="5">
      <c r="A5" s="2">
        <f>mos_metrics!A4</f>
        <v/>
      </c>
      <c r="B5" s="2">
        <f>mos_metrics!B4</f>
        <v/>
      </c>
      <c r="C5" s="2">
        <f>mos_metrics!C4</f>
        <v/>
      </c>
      <c r="D5" s="2">
        <f>mos_metrics!D4</f>
        <v/>
      </c>
      <c r="E5" s="2">
        <f>mos_metrics!E4</f>
        <v/>
      </c>
      <c r="F5" s="2">
        <f>mos_metrics!F4</f>
        <v/>
      </c>
      <c r="G5" s="2">
        <f>IF($B5="","",IFERROR(VLOOKUP($B5,correlation!$A$2:$B$12,2,FALSE),1))</f>
        <v/>
      </c>
      <c r="H5" s="2">
        <f>IF($E5="","",IFERROR(VLOOKUP($E5,correlation!$D$2:$E$8,2,FALSE),1))</f>
        <v/>
      </c>
      <c r="I5" s="2">
        <f>ISNUMBER($F5)</f>
        <v/>
      </c>
      <c r="J5" s="2">
        <f>AND($G5=1,$H5=1,$I5)</f>
        <v/>
      </c>
      <c r="K5" s="5">
        <f>IF(mos_metrics!G4="","",mos_metrics!G4)</f>
        <v/>
      </c>
      <c r="L5" s="2">
        <f>AND($J5,ISNUMBER(K5),correlation!$I$26=1)</f>
        <v/>
      </c>
      <c r="M5" s="5">
        <f>IF(L5,$F5,"")</f>
        <v/>
      </c>
      <c r="N5" s="5">
        <f>IF(L5,K5*correlation!$J$26,"")</f>
        <v/>
      </c>
      <c r="O5" s="5">
        <f>IF(AND(L5,ISNUMBER(correlation!$F$26)),N5*correlation!$F$26+correlation!$G$26,"")</f>
        <v/>
      </c>
      <c r="P5" s="5">
        <f>IF(AND(L5,ISNUMBER(O5)),(M5-O5)^2,"")</f>
        <v/>
      </c>
      <c r="Q5" s="5">
        <f>IF(L5,1+SUMPRODUCT(--(calc!$L$3:$L$132=TRUE),--(calc!$M$3:$M$132&gt;M5))+(SUMPRODUCT(--(calc!$L$3:$L$132=TRUE),--(calc!$M$3:$M$132=M5))-1)/2,"")</f>
        <v/>
      </c>
      <c r="R5" s="5">
        <f>IF(L5,1+SUMPRODUCT(--(calc!$L$3:$L$132=TRUE),--(calc!$N$3:$N$132&gt;N5))+(SUMPRODUCT(--(calc!$L$3:$L$132=TRUE),--(calc!$N$3:$N$132=N5))-1)/2,"")</f>
        <v/>
      </c>
      <c r="S5" s="5">
        <f>IF(L5,SUMPRODUCT(--(calc!$L$3:$L$132=TRUE),--(ROW(calc!$L$3:$L$132)&gt;ROW(L5)),--(((calc!$Q$3:$Q$132&gt;Q5)*(calc!$R$3:$R$132&gt;R5)+(calc!$Q$3:$Q$132&lt;Q5)*(calc!$R$3:$R$132&lt;R5))&gt;0))-SUMPRODUCT(--(calc!$L$3:$L$132=TRUE),--(ROW(calc!$L$3:$L$132)&gt;ROW(L5)),--(((calc!$Q$3:$Q$132&gt;Q5)*(calc!$R$3:$R$132&lt;R5)+(calc!$Q$3:$Q$132&lt;Q5)*(calc!$R$3:$R$132&gt;R5))&gt;0)),0)</f>
        <v/>
      </c>
      <c r="T5" s="5">
        <f>IF(mos_metrics!H4="","",mos_metrics!H4)</f>
        <v/>
      </c>
      <c r="U5" s="2">
        <f>AND($J5,ISNUMBER(T5),correlation!$I$27=1)</f>
        <v/>
      </c>
      <c r="V5" s="5">
        <f>IF(U5,$F5,"")</f>
        <v/>
      </c>
      <c r="W5" s="5">
        <f>IF(U5,T5*correlation!$J$27,"")</f>
        <v/>
      </c>
      <c r="X5" s="5">
        <f>IF(AND(U5,ISNUMBER(correlation!$F$27)),W5*correlation!$F$27+correlation!$G$27,"")</f>
        <v/>
      </c>
      <c r="Y5" s="5">
        <f>IF(AND(U5,ISNUMBER(X5)),(V5-X5)^2,"")</f>
        <v/>
      </c>
      <c r="Z5" s="5">
        <f>IF(U5,1+SUMPRODUCT(--(calc!$U$3:$U$132=TRUE),--(calc!$V$3:$V$132&gt;V5))+(SUMPRODUCT(--(calc!$U$3:$U$132=TRUE),--(calc!$V$3:$V$132=V5))-1)/2,"")</f>
        <v/>
      </c>
      <c r="AA5" s="5">
        <f>IF(U5,1+SUMPRODUCT(--(calc!$U$3:$U$132=TRUE),--(calc!$W$3:$W$132&gt;W5))+(SUMPRODUCT(--(calc!$U$3:$U$132=TRUE),--(calc!$W$3:$W$132=W5))-1)/2,"")</f>
        <v/>
      </c>
      <c r="AB5" s="5">
        <f>IF(U5,SUMPRODUCT(--(calc!$U$3:$U$132=TRUE),--(ROW(calc!$U$3:$U$132)&gt;ROW(U5)),--(((calc!$Z$3:$Z$132&gt;Z5)*(calc!$AA$3:$AA$132&gt;AA5)+(calc!$Z$3:$Z$132&lt;Z5)*(calc!$AA$3:$AA$132&lt;AA5))&gt;0))-SUMPRODUCT(--(calc!$U$3:$U$132=TRUE),--(ROW(calc!$U$3:$U$132)&gt;ROW(U5)),--(((calc!$Z$3:$Z$132&gt;Z5)*(calc!$AA$3:$AA$132&lt;AA5)+(calc!$Z$3:$Z$132&lt;Z5)*(calc!$AA$3:$AA$132&gt;AA5))&gt;0)),0)</f>
        <v/>
      </c>
      <c r="AC5" s="5">
        <f>IF(mos_metrics!I4="","",mos_metrics!I4)</f>
        <v/>
      </c>
      <c r="AD5" s="2">
        <f>AND($J5,ISNUMBER(AC5),correlation!$I$28=1)</f>
        <v/>
      </c>
      <c r="AE5" s="5">
        <f>IF(AD5,$F5,"")</f>
        <v/>
      </c>
      <c r="AF5" s="5">
        <f>IF(AD5,AC5*correlation!$J$28,"")</f>
        <v/>
      </c>
      <c r="AG5" s="5">
        <f>IF(AND(AD5,ISNUMBER(correlation!$F$28)),AF5*correlation!$F$28+correlation!$G$28,"")</f>
        <v/>
      </c>
      <c r="AH5" s="5">
        <f>IF(AND(AD5,ISNUMBER(AG5)),(AE5-AG5)^2,"")</f>
        <v/>
      </c>
      <c r="AI5" s="5">
        <f>IF(AD5,1+SUMPRODUCT(--(calc!$AD$3:$AD$132=TRUE),--(calc!$AE$3:$AE$132&gt;AE5))+(SUMPRODUCT(--(calc!$AD$3:$AD$132=TRUE),--(calc!$AE$3:$AE$132=AE5))-1)/2,"")</f>
        <v/>
      </c>
      <c r="AJ5" s="5">
        <f>IF(AD5,1+SUMPRODUCT(--(calc!$AD$3:$AD$132=TRUE),--(calc!$AF$3:$AF$132&gt;AF5))+(SUMPRODUCT(--(calc!$AD$3:$AD$132=TRUE),--(calc!$AF$3:$AF$132=AF5))-1)/2,"")</f>
        <v/>
      </c>
      <c r="AK5" s="5">
        <f>IF(AD5,SUMPRODUCT(--(calc!$AD$3:$AD$132=TRUE),--(ROW(calc!$AD$3:$AD$132)&gt;ROW(AD5)),--(((calc!$AI$3:$AI$132&gt;AI5)*(calc!$AJ$3:$AJ$132&gt;AJ5)+(calc!$AI$3:$AI$132&lt;AI5)*(calc!$AJ$3:$AJ$132&lt;AJ5))&gt;0))-SUMPRODUCT(--(calc!$AD$3:$AD$132=TRUE),--(ROW(calc!$AD$3:$AD$132)&gt;ROW(AD5)),--(((calc!$AI$3:$AI$132&gt;AI5)*(calc!$AJ$3:$AJ$132&lt;AJ5)+(calc!$AI$3:$AI$132&lt;AI5)*(calc!$AJ$3:$AJ$132&gt;AJ5))&gt;0)),0)</f>
        <v/>
      </c>
      <c r="AL5" s="5">
        <f>IF(mos_metrics!J4="","",mos_metrics!J4)</f>
        <v/>
      </c>
      <c r="AM5" s="2">
        <f>AND($J5,ISNUMBER(AL5),correlation!$I$29=1)</f>
        <v/>
      </c>
      <c r="AN5" s="5">
        <f>IF(AM5,$F5,"")</f>
        <v/>
      </c>
      <c r="AO5" s="5">
        <f>IF(AM5,AL5*correlation!$J$29,"")</f>
        <v/>
      </c>
      <c r="AP5" s="5">
        <f>IF(AND(AM5,ISNUMBER(correlation!$F$29)),AO5*correlation!$F$29+correlation!$G$29,"")</f>
        <v/>
      </c>
      <c r="AQ5" s="5">
        <f>IF(AND(AM5,ISNUMBER(AP5)),(AN5-AP5)^2,"")</f>
        <v/>
      </c>
      <c r="AR5" s="5">
        <f>IF(AM5,1+SUMPRODUCT(--(calc!$AM$3:$AM$132=TRUE),--(calc!$AN$3:$AN$132&gt;AN5))+(SUMPRODUCT(--(calc!$AM$3:$AM$132=TRUE),--(calc!$AN$3:$AN$132=AN5))-1)/2,"")</f>
        <v/>
      </c>
      <c r="AS5" s="5">
        <f>IF(AM5,1+SUMPRODUCT(--(calc!$AM$3:$AM$132=TRUE),--(calc!$AO$3:$AO$132&gt;AO5))+(SUMPRODUCT(--(calc!$AM$3:$AM$132=TRUE),--(calc!$AO$3:$AO$132=AO5))-1)/2,"")</f>
        <v/>
      </c>
      <c r="AT5" s="5">
        <f>IF(AM5,SUMPRODUCT(--(calc!$AM$3:$AM$132=TRUE),--(ROW(calc!$AM$3:$AM$132)&gt;ROW(AM5)),--(((calc!$AR$3:$AR$132&gt;AR5)*(calc!$AS$3:$AS$132&gt;AS5)+(calc!$AR$3:$AR$132&lt;AR5)*(calc!$AS$3:$AS$132&lt;AS5))&gt;0))-SUMPRODUCT(--(calc!$AM$3:$AM$132=TRUE),--(ROW(calc!$AM$3:$AM$132)&gt;ROW(AM5)),--(((calc!$AR$3:$AR$132&gt;AR5)*(calc!$AS$3:$AS$132&lt;AS5)+(calc!$AR$3:$AR$132&lt;AR5)*(calc!$AS$3:$AS$132&gt;AS5))&gt;0)),0)</f>
        <v/>
      </c>
      <c r="AU5" s="5">
        <f>IF(mos_metrics!K4="","",mos_metrics!K4)</f>
        <v/>
      </c>
      <c r="AV5" s="2">
        <f>AND($J5,ISNUMBER(AU5),correlation!$I$30=1)</f>
        <v/>
      </c>
      <c r="AW5" s="5">
        <f>IF(AV5,$F5,"")</f>
        <v/>
      </c>
      <c r="AX5" s="5">
        <f>IF(AV5,AU5*correlation!$J$30,"")</f>
        <v/>
      </c>
      <c r="AY5" s="5">
        <f>IF(AND(AV5,ISNUMBER(correlation!$F$30)),AX5*correlation!$F$30+correlation!$G$30,"")</f>
        <v/>
      </c>
      <c r="AZ5" s="5">
        <f>IF(AND(AV5,ISNUMBER(AY5)),(AW5-AY5)^2,"")</f>
        <v/>
      </c>
      <c r="BA5" s="5">
        <f>IF(AV5,1+SUMPRODUCT(--(calc!$AV$3:$AV$132=TRUE),--(calc!$AW$3:$AW$132&gt;AW5))+(SUMPRODUCT(--(calc!$AV$3:$AV$132=TRUE),--(calc!$AW$3:$AW$132=AW5))-1)/2,"")</f>
        <v/>
      </c>
      <c r="BB5" s="5">
        <f>IF(AV5,1+SUMPRODUCT(--(calc!$AV$3:$AV$132=TRUE),--(calc!$AX$3:$AX$132&gt;AX5))+(SUMPRODUCT(--(calc!$AV$3:$AV$132=TRUE),--(calc!$AX$3:$AX$132=AX5))-1)/2,"")</f>
        <v/>
      </c>
      <c r="BC5" s="5">
        <f>IF(AV5,SUMPRODUCT(--(calc!$AV$3:$AV$132=TRUE),--(ROW(calc!$AV$3:$AV$132)&gt;ROW(AV5)),--(((calc!$BA$3:$BA$132&gt;BA5)*(calc!$BB$3:$BB$132&gt;BB5)+(calc!$BA$3:$BA$132&lt;BA5)*(calc!$BB$3:$BB$132&lt;BB5))&gt;0))-SUMPRODUCT(--(calc!$AV$3:$AV$132=TRUE),--(ROW(calc!$AV$3:$AV$132)&gt;ROW(AV5)),--(((calc!$BA$3:$BA$132&gt;BA5)*(calc!$BB$3:$BB$132&lt;BB5)+(calc!$BA$3:$BA$132&lt;BA5)*(calc!$BB$3:$BB$132&gt;BB5))&gt;0)),0)</f>
        <v/>
      </c>
      <c r="BD5" s="5">
        <f>IF(mos_metrics!L4="","",mos_metrics!L4)</f>
        <v/>
      </c>
      <c r="BE5" s="2">
        <f>AND($J5,ISNUMBER(BD5),correlation!$I$31=1)</f>
        <v/>
      </c>
      <c r="BF5" s="5">
        <f>IF(BE5,$F5,"")</f>
        <v/>
      </c>
      <c r="BG5" s="5">
        <f>IF(BE5,BD5*correlation!$J$31,"")</f>
        <v/>
      </c>
      <c r="BH5" s="5">
        <f>IF(AND(BE5,ISNUMBER(correlation!$F$31)),BG5*correlation!$F$31+correlation!$G$31,"")</f>
        <v/>
      </c>
      <c r="BI5" s="5">
        <f>IF(AND(BE5,ISNUMBER(BH5)),(BF5-BH5)^2,"")</f>
        <v/>
      </c>
      <c r="BJ5" s="5">
        <f>IF(BE5,1+SUMPRODUCT(--(calc!$BE$3:$BE$132=TRUE),--(calc!$BF$3:$BF$132&gt;BF5))+(SUMPRODUCT(--(calc!$BE$3:$BE$132=TRUE),--(calc!$BF$3:$BF$132=BF5))-1)/2,"")</f>
        <v/>
      </c>
      <c r="BK5" s="5">
        <f>IF(BE5,1+SUMPRODUCT(--(calc!$BE$3:$BE$132=TRUE),--(calc!$BG$3:$BG$132&gt;BG5))+(SUMPRODUCT(--(calc!$BE$3:$BE$132=TRUE),--(calc!$BG$3:$BG$132=BG5))-1)/2,"")</f>
        <v/>
      </c>
      <c r="BL5" s="5">
        <f>IF(BE5,SUMPRODUCT(--(calc!$BE$3:$BE$132=TRUE),--(ROW(calc!$BE$3:$BE$132)&gt;ROW(BE5)),--(((calc!$BJ$3:$BJ$132&gt;BJ5)*(calc!$BK$3:$BK$132&gt;BK5)+(calc!$BJ$3:$BJ$132&lt;BJ5)*(calc!$BK$3:$BK$132&lt;BK5))&gt;0))-SUMPRODUCT(--(calc!$BE$3:$BE$132=TRUE),--(ROW(calc!$BE$3:$BE$132)&gt;ROW(BE5)),--(((calc!$BJ$3:$BJ$132&gt;BJ5)*(calc!$BK$3:$BK$132&lt;BK5)+(calc!$BJ$3:$BJ$132&lt;BJ5)*(calc!$BK$3:$BK$132&gt;BK5))&gt;0)),0)</f>
        <v/>
      </c>
      <c r="BM5" s="5">
        <f>IF(mos_metrics!M4="","",mos_metrics!M4)</f>
        <v/>
      </c>
      <c r="BN5" s="2">
        <f>AND($J5,ISNUMBER(BM5),correlation!$I$32=1)</f>
        <v/>
      </c>
      <c r="BO5" s="5">
        <f>IF(BN5,$F5,"")</f>
        <v/>
      </c>
      <c r="BP5" s="5">
        <f>IF(BN5,BM5*correlation!$J$32,"")</f>
        <v/>
      </c>
      <c r="BQ5" s="5">
        <f>IF(AND(BN5,ISNUMBER(correlation!$F$32)),BP5*correlation!$F$32+correlation!$G$32,"")</f>
        <v/>
      </c>
      <c r="BR5" s="5">
        <f>IF(AND(BN5,ISNUMBER(BQ5)),(BO5-BQ5)^2,"")</f>
        <v/>
      </c>
      <c r="BS5" s="5">
        <f>IF(BN5,1+SUMPRODUCT(--(calc!$BN$3:$BN$132=TRUE),--(calc!$BO$3:$BO$132&gt;BO5))+(SUMPRODUCT(--(calc!$BN$3:$BN$132=TRUE),--(calc!$BO$3:$BO$132=BO5))-1)/2,"")</f>
        <v/>
      </c>
      <c r="BT5" s="5">
        <f>IF(BN5,1+SUMPRODUCT(--(calc!$BN$3:$BN$132=TRUE),--(calc!$BP$3:$BP$132&gt;BP5))+(SUMPRODUCT(--(calc!$BN$3:$BN$132=TRUE),--(calc!$BP$3:$BP$132=BP5))-1)/2,"")</f>
        <v/>
      </c>
      <c r="BU5" s="5">
        <f>IF(BN5,SUMPRODUCT(--(calc!$BN$3:$BN$132=TRUE),--(ROW(calc!$BN$3:$BN$132)&gt;ROW(BN5)),--(((calc!$BS$3:$BS$132&gt;BS5)*(calc!$BT$3:$BT$132&gt;BT5)+(calc!$BS$3:$BS$132&lt;BS5)*(calc!$BT$3:$BT$132&lt;BT5))&gt;0))-SUMPRODUCT(--(calc!$BN$3:$BN$132=TRUE),--(ROW(calc!$BN$3:$BN$132)&gt;ROW(BN5)),--(((calc!$BS$3:$BS$132&gt;BS5)*(calc!$BT$3:$BT$132&lt;BT5)+(calc!$BS$3:$BS$132&lt;BS5)*(calc!$BT$3:$BT$132&gt;BT5))&gt;0)),0)</f>
        <v/>
      </c>
    </row>
    <row r="6">
      <c r="A6" s="2">
        <f>mos_metrics!A5</f>
        <v/>
      </c>
      <c r="B6" s="2">
        <f>mos_metrics!B5</f>
        <v/>
      </c>
      <c r="C6" s="2">
        <f>mos_metrics!C5</f>
        <v/>
      </c>
      <c r="D6" s="2">
        <f>mos_metrics!D5</f>
        <v/>
      </c>
      <c r="E6" s="2">
        <f>mos_metrics!E5</f>
        <v/>
      </c>
      <c r="F6" s="2">
        <f>mos_metrics!F5</f>
        <v/>
      </c>
      <c r="G6" s="2">
        <f>IF($B6="","",IFERROR(VLOOKUP($B6,correlation!$A$2:$B$12,2,FALSE),1))</f>
        <v/>
      </c>
      <c r="H6" s="2">
        <f>IF($E6="","",IFERROR(VLOOKUP($E6,correlation!$D$2:$E$8,2,FALSE),1))</f>
        <v/>
      </c>
      <c r="I6" s="2">
        <f>ISNUMBER($F6)</f>
        <v/>
      </c>
      <c r="J6" s="2">
        <f>AND($G6=1,$H6=1,$I6)</f>
        <v/>
      </c>
      <c r="K6" s="5">
        <f>IF(mos_metrics!G5="","",mos_metrics!G5)</f>
        <v/>
      </c>
      <c r="L6" s="2">
        <f>AND($J6,ISNUMBER(K6),correlation!$I$26=1)</f>
        <v/>
      </c>
      <c r="M6" s="5">
        <f>IF(L6,$F6,"")</f>
        <v/>
      </c>
      <c r="N6" s="5">
        <f>IF(L6,K6*correlation!$J$26,"")</f>
        <v/>
      </c>
      <c r="O6" s="5">
        <f>IF(AND(L6,ISNUMBER(correlation!$F$26)),N6*correlation!$F$26+correlation!$G$26,"")</f>
        <v/>
      </c>
      <c r="P6" s="5">
        <f>IF(AND(L6,ISNUMBER(O6)),(M6-O6)^2,"")</f>
        <v/>
      </c>
      <c r="Q6" s="5">
        <f>IF(L6,1+SUMPRODUCT(--(calc!$L$3:$L$132=TRUE),--(calc!$M$3:$M$132&gt;M6))+(SUMPRODUCT(--(calc!$L$3:$L$132=TRUE),--(calc!$M$3:$M$132=M6))-1)/2,"")</f>
        <v/>
      </c>
      <c r="R6" s="5">
        <f>IF(L6,1+SUMPRODUCT(--(calc!$L$3:$L$132=TRUE),--(calc!$N$3:$N$132&gt;N6))+(SUMPRODUCT(--(calc!$L$3:$L$132=TRUE),--(calc!$N$3:$N$132=N6))-1)/2,"")</f>
        <v/>
      </c>
      <c r="S6" s="5">
        <f>IF(L6,SUMPRODUCT(--(calc!$L$3:$L$132=TRUE),--(ROW(calc!$L$3:$L$132)&gt;ROW(L6)),--(((calc!$Q$3:$Q$132&gt;Q6)*(calc!$R$3:$R$132&gt;R6)+(calc!$Q$3:$Q$132&lt;Q6)*(calc!$R$3:$R$132&lt;R6))&gt;0))-SUMPRODUCT(--(calc!$L$3:$L$132=TRUE),--(ROW(calc!$L$3:$L$132)&gt;ROW(L6)),--(((calc!$Q$3:$Q$132&gt;Q6)*(calc!$R$3:$R$132&lt;R6)+(calc!$Q$3:$Q$132&lt;Q6)*(calc!$R$3:$R$132&gt;R6))&gt;0)),0)</f>
        <v/>
      </c>
      <c r="T6" s="5">
        <f>IF(mos_metrics!H5="","",mos_metrics!H5)</f>
        <v/>
      </c>
      <c r="U6" s="2">
        <f>AND($J6,ISNUMBER(T6),correlation!$I$27=1)</f>
        <v/>
      </c>
      <c r="V6" s="5">
        <f>IF(U6,$F6,"")</f>
        <v/>
      </c>
      <c r="W6" s="5">
        <f>IF(U6,T6*correlation!$J$27,"")</f>
        <v/>
      </c>
      <c r="X6" s="5">
        <f>IF(AND(U6,ISNUMBER(correlation!$F$27)),W6*correlation!$F$27+correlation!$G$27,"")</f>
        <v/>
      </c>
      <c r="Y6" s="5">
        <f>IF(AND(U6,ISNUMBER(X6)),(V6-X6)^2,"")</f>
        <v/>
      </c>
      <c r="Z6" s="5">
        <f>IF(U6,1+SUMPRODUCT(--(calc!$U$3:$U$132=TRUE),--(calc!$V$3:$V$132&gt;V6))+(SUMPRODUCT(--(calc!$U$3:$U$132=TRUE),--(calc!$V$3:$V$132=V6))-1)/2,"")</f>
        <v/>
      </c>
      <c r="AA6" s="5">
        <f>IF(U6,1+SUMPRODUCT(--(calc!$U$3:$U$132=TRUE),--(calc!$W$3:$W$132&gt;W6))+(SUMPRODUCT(--(calc!$U$3:$U$132=TRUE),--(calc!$W$3:$W$132=W6))-1)/2,"")</f>
        <v/>
      </c>
      <c r="AB6" s="5">
        <f>IF(U6,SUMPRODUCT(--(calc!$U$3:$U$132=TRUE),--(ROW(calc!$U$3:$U$132)&gt;ROW(U6)),--(((calc!$Z$3:$Z$132&gt;Z6)*(calc!$AA$3:$AA$132&gt;AA6)+(calc!$Z$3:$Z$132&lt;Z6)*(calc!$AA$3:$AA$132&lt;AA6))&gt;0))-SUMPRODUCT(--(calc!$U$3:$U$132=TRUE),--(ROW(calc!$U$3:$U$132)&gt;ROW(U6)),--(((calc!$Z$3:$Z$132&gt;Z6)*(calc!$AA$3:$AA$132&lt;AA6)+(calc!$Z$3:$Z$132&lt;Z6)*(calc!$AA$3:$AA$132&gt;AA6))&gt;0)),0)</f>
        <v/>
      </c>
      <c r="AC6" s="5">
        <f>IF(mos_metrics!I5="","",mos_metrics!I5)</f>
        <v/>
      </c>
      <c r="AD6" s="2">
        <f>AND($J6,ISNUMBER(AC6),correlation!$I$28=1)</f>
        <v/>
      </c>
      <c r="AE6" s="5">
        <f>IF(AD6,$F6,"")</f>
        <v/>
      </c>
      <c r="AF6" s="5">
        <f>IF(AD6,AC6*correlation!$J$28,"")</f>
        <v/>
      </c>
      <c r="AG6" s="5">
        <f>IF(AND(AD6,ISNUMBER(correlation!$F$28)),AF6*correlation!$F$28+correlation!$G$28,"")</f>
        <v/>
      </c>
      <c r="AH6" s="5">
        <f>IF(AND(AD6,ISNUMBER(AG6)),(AE6-AG6)^2,"")</f>
        <v/>
      </c>
      <c r="AI6" s="5">
        <f>IF(AD6,1+SUMPRODUCT(--(calc!$AD$3:$AD$132=TRUE),--(calc!$AE$3:$AE$132&gt;AE6))+(SUMPRODUCT(--(calc!$AD$3:$AD$132=TRUE),--(calc!$AE$3:$AE$132=AE6))-1)/2,"")</f>
        <v/>
      </c>
      <c r="AJ6" s="5">
        <f>IF(AD6,1+SUMPRODUCT(--(calc!$AD$3:$AD$132=TRUE),--(calc!$AF$3:$AF$132&gt;AF6))+(SUMPRODUCT(--(calc!$AD$3:$AD$132=TRUE),--(calc!$AF$3:$AF$132=AF6))-1)/2,"")</f>
        <v/>
      </c>
      <c r="AK6" s="5">
        <f>IF(AD6,SUMPRODUCT(--(calc!$AD$3:$AD$132=TRUE),--(ROW(calc!$AD$3:$AD$132)&gt;ROW(AD6)),--(((calc!$AI$3:$AI$132&gt;AI6)*(calc!$AJ$3:$AJ$132&gt;AJ6)+(calc!$AI$3:$AI$132&lt;AI6)*(calc!$AJ$3:$AJ$132&lt;AJ6))&gt;0))-SUMPRODUCT(--(calc!$AD$3:$AD$132=TRUE),--(ROW(calc!$AD$3:$AD$132)&gt;ROW(AD6)),--(((calc!$AI$3:$AI$132&gt;AI6)*(calc!$AJ$3:$AJ$132&lt;AJ6)+(calc!$AI$3:$AI$132&lt;AI6)*(calc!$AJ$3:$AJ$132&gt;AJ6))&gt;0)),0)</f>
        <v/>
      </c>
      <c r="AL6" s="5">
        <f>IF(mos_metrics!J5="","",mos_metrics!J5)</f>
        <v/>
      </c>
      <c r="AM6" s="2">
        <f>AND($J6,ISNUMBER(AL6),correlation!$I$29=1)</f>
        <v/>
      </c>
      <c r="AN6" s="5">
        <f>IF(AM6,$F6,"")</f>
        <v/>
      </c>
      <c r="AO6" s="5">
        <f>IF(AM6,AL6*correlation!$J$29,"")</f>
        <v/>
      </c>
      <c r="AP6" s="5">
        <f>IF(AND(AM6,ISNUMBER(correlation!$F$29)),AO6*correlation!$F$29+correlation!$G$29,"")</f>
        <v/>
      </c>
      <c r="AQ6" s="5">
        <f>IF(AND(AM6,ISNUMBER(AP6)),(AN6-AP6)^2,"")</f>
        <v/>
      </c>
      <c r="AR6" s="5">
        <f>IF(AM6,1+SUMPRODUCT(--(calc!$AM$3:$AM$132=TRUE),--(calc!$AN$3:$AN$132&gt;AN6))+(SUMPRODUCT(--(calc!$AM$3:$AM$132=TRUE),--(calc!$AN$3:$AN$132=AN6))-1)/2,"")</f>
        <v/>
      </c>
      <c r="AS6" s="5">
        <f>IF(AM6,1+SUMPRODUCT(--(calc!$AM$3:$AM$132=TRUE),--(calc!$AO$3:$AO$132&gt;AO6))+(SUMPRODUCT(--(calc!$AM$3:$AM$132=TRUE),--(calc!$AO$3:$AO$132=AO6))-1)/2,"")</f>
        <v/>
      </c>
      <c r="AT6" s="5">
        <f>IF(AM6,SUMPRODUCT(--(calc!$AM$3:$AM$132=TRUE),--(ROW(calc!$AM$3:$AM$132)&gt;ROW(AM6)),--(((calc!$AR$3:$AR$132&gt;AR6)*(calc!$AS$3:$AS$132&gt;AS6)+(calc!$AR$3:$AR$132&lt;AR6)*(calc!$AS$3:$AS$132&lt;AS6))&gt;0))-SUMPRODUCT(--(calc!$AM$3:$AM$132=TRUE),--(ROW(calc!$AM$3:$AM$132)&gt;ROW(AM6)),--(((calc!$AR$3:$AR$132&gt;AR6)*(calc!$AS$3:$AS$132&lt;AS6)+(calc!$AR$3:$AR$132&lt;AR6)*(calc!$AS$3:$AS$132&gt;AS6))&gt;0)),0)</f>
        <v/>
      </c>
      <c r="AU6" s="5">
        <f>IF(mos_metrics!K5="","",mos_metrics!K5)</f>
        <v/>
      </c>
      <c r="AV6" s="2">
        <f>AND($J6,ISNUMBER(AU6),correlation!$I$30=1)</f>
        <v/>
      </c>
      <c r="AW6" s="5">
        <f>IF(AV6,$F6,"")</f>
        <v/>
      </c>
      <c r="AX6" s="5">
        <f>IF(AV6,AU6*correlation!$J$30,"")</f>
        <v/>
      </c>
      <c r="AY6" s="5">
        <f>IF(AND(AV6,ISNUMBER(correlation!$F$30)),AX6*correlation!$F$30+correlation!$G$30,"")</f>
        <v/>
      </c>
      <c r="AZ6" s="5">
        <f>IF(AND(AV6,ISNUMBER(AY6)),(AW6-AY6)^2,"")</f>
        <v/>
      </c>
      <c r="BA6" s="5">
        <f>IF(AV6,1+SUMPRODUCT(--(calc!$AV$3:$AV$132=TRUE),--(calc!$AW$3:$AW$132&gt;AW6))+(SUMPRODUCT(--(calc!$AV$3:$AV$132=TRUE),--(calc!$AW$3:$AW$132=AW6))-1)/2,"")</f>
        <v/>
      </c>
      <c r="BB6" s="5">
        <f>IF(AV6,1+SUMPRODUCT(--(calc!$AV$3:$AV$132=TRUE),--(calc!$AX$3:$AX$132&gt;AX6))+(SUMPRODUCT(--(calc!$AV$3:$AV$132=TRUE),--(calc!$AX$3:$AX$132=AX6))-1)/2,"")</f>
        <v/>
      </c>
      <c r="BC6" s="5">
        <f>IF(AV6,SUMPRODUCT(--(calc!$AV$3:$AV$132=TRUE),--(ROW(calc!$AV$3:$AV$132)&gt;ROW(AV6)),--(((calc!$BA$3:$BA$132&gt;BA6)*(calc!$BB$3:$BB$132&gt;BB6)+(calc!$BA$3:$BA$132&lt;BA6)*(calc!$BB$3:$BB$132&lt;BB6))&gt;0))-SUMPRODUCT(--(calc!$AV$3:$AV$132=TRUE),--(ROW(calc!$AV$3:$AV$132)&gt;ROW(AV6)),--(((calc!$BA$3:$BA$132&gt;BA6)*(calc!$BB$3:$BB$132&lt;BB6)+(calc!$BA$3:$BA$132&lt;BA6)*(calc!$BB$3:$BB$132&gt;BB6))&gt;0)),0)</f>
        <v/>
      </c>
      <c r="BD6" s="5">
        <f>IF(mos_metrics!L5="","",mos_metrics!L5)</f>
        <v/>
      </c>
      <c r="BE6" s="2">
        <f>AND($J6,ISNUMBER(BD6),correlation!$I$31=1)</f>
        <v/>
      </c>
      <c r="BF6" s="5">
        <f>IF(BE6,$F6,"")</f>
        <v/>
      </c>
      <c r="BG6" s="5">
        <f>IF(BE6,BD6*correlation!$J$31,"")</f>
        <v/>
      </c>
      <c r="BH6" s="5">
        <f>IF(AND(BE6,ISNUMBER(correlation!$F$31)),BG6*correlation!$F$31+correlation!$G$31,"")</f>
        <v/>
      </c>
      <c r="BI6" s="5">
        <f>IF(AND(BE6,ISNUMBER(BH6)),(BF6-BH6)^2,"")</f>
        <v/>
      </c>
      <c r="BJ6" s="5">
        <f>IF(BE6,1+SUMPRODUCT(--(calc!$BE$3:$BE$132=TRUE),--(calc!$BF$3:$BF$132&gt;BF6))+(SUMPRODUCT(--(calc!$BE$3:$BE$132=TRUE),--(calc!$BF$3:$BF$132=BF6))-1)/2,"")</f>
        <v/>
      </c>
      <c r="BK6" s="5">
        <f>IF(BE6,1+SUMPRODUCT(--(calc!$BE$3:$BE$132=TRUE),--(calc!$BG$3:$BG$132&gt;BG6))+(SUMPRODUCT(--(calc!$BE$3:$BE$132=TRUE),--(calc!$BG$3:$BG$132=BG6))-1)/2,"")</f>
        <v/>
      </c>
      <c r="BL6" s="5">
        <f>IF(BE6,SUMPRODUCT(--(calc!$BE$3:$BE$132=TRUE),--(ROW(calc!$BE$3:$BE$132)&gt;ROW(BE6)),--(((calc!$BJ$3:$BJ$132&gt;BJ6)*(calc!$BK$3:$BK$132&gt;BK6)+(calc!$BJ$3:$BJ$132&lt;BJ6)*(calc!$BK$3:$BK$132&lt;BK6))&gt;0))-SUMPRODUCT(--(calc!$BE$3:$BE$132=TRUE),--(ROW(calc!$BE$3:$BE$132)&gt;ROW(BE6)),--(((calc!$BJ$3:$BJ$132&gt;BJ6)*(calc!$BK$3:$BK$132&lt;BK6)+(calc!$BJ$3:$BJ$132&lt;BJ6)*(calc!$BK$3:$BK$132&gt;BK6))&gt;0)),0)</f>
        <v/>
      </c>
      <c r="BM6" s="5">
        <f>IF(mos_metrics!M5="","",mos_metrics!M5)</f>
        <v/>
      </c>
      <c r="BN6" s="2">
        <f>AND($J6,ISNUMBER(BM6),correlation!$I$32=1)</f>
        <v/>
      </c>
      <c r="BO6" s="5">
        <f>IF(BN6,$F6,"")</f>
        <v/>
      </c>
      <c r="BP6" s="5">
        <f>IF(BN6,BM6*correlation!$J$32,"")</f>
        <v/>
      </c>
      <c r="BQ6" s="5">
        <f>IF(AND(BN6,ISNUMBER(correlation!$F$32)),BP6*correlation!$F$32+correlation!$G$32,"")</f>
        <v/>
      </c>
      <c r="BR6" s="5">
        <f>IF(AND(BN6,ISNUMBER(BQ6)),(BO6-BQ6)^2,"")</f>
        <v/>
      </c>
      <c r="BS6" s="5">
        <f>IF(BN6,1+SUMPRODUCT(--(calc!$BN$3:$BN$132=TRUE),--(calc!$BO$3:$BO$132&gt;BO6))+(SUMPRODUCT(--(calc!$BN$3:$BN$132=TRUE),--(calc!$BO$3:$BO$132=BO6))-1)/2,"")</f>
        <v/>
      </c>
      <c r="BT6" s="5">
        <f>IF(BN6,1+SUMPRODUCT(--(calc!$BN$3:$BN$132=TRUE),--(calc!$BP$3:$BP$132&gt;BP6))+(SUMPRODUCT(--(calc!$BN$3:$BN$132=TRUE),--(calc!$BP$3:$BP$132=BP6))-1)/2,"")</f>
        <v/>
      </c>
      <c r="BU6" s="5">
        <f>IF(BN6,SUMPRODUCT(--(calc!$BN$3:$BN$132=TRUE),--(ROW(calc!$BN$3:$BN$132)&gt;ROW(BN6)),--(((calc!$BS$3:$BS$132&gt;BS6)*(calc!$BT$3:$BT$132&gt;BT6)+(calc!$BS$3:$BS$132&lt;BS6)*(calc!$BT$3:$BT$132&lt;BT6))&gt;0))-SUMPRODUCT(--(calc!$BN$3:$BN$132=TRUE),--(ROW(calc!$BN$3:$BN$132)&gt;ROW(BN6)),--(((calc!$BS$3:$BS$132&gt;BS6)*(calc!$BT$3:$BT$132&lt;BT6)+(calc!$BS$3:$BS$132&lt;BS6)*(calc!$BT$3:$BT$132&gt;BT6))&gt;0)),0)</f>
        <v/>
      </c>
    </row>
    <row r="7">
      <c r="A7" s="2">
        <f>mos_metrics!A6</f>
        <v/>
      </c>
      <c r="B7" s="2">
        <f>mos_metrics!B6</f>
        <v/>
      </c>
      <c r="C7" s="2">
        <f>mos_metrics!C6</f>
        <v/>
      </c>
      <c r="D7" s="2">
        <f>mos_metrics!D6</f>
        <v/>
      </c>
      <c r="E7" s="2">
        <f>mos_metrics!E6</f>
        <v/>
      </c>
      <c r="F7" s="2">
        <f>mos_metrics!F6</f>
        <v/>
      </c>
      <c r="G7" s="2">
        <f>IF($B7="","",IFERROR(VLOOKUP($B7,correlation!$A$2:$B$12,2,FALSE),1))</f>
        <v/>
      </c>
      <c r="H7" s="2">
        <f>IF($E7="","",IFERROR(VLOOKUP($E7,correlation!$D$2:$E$8,2,FALSE),1))</f>
        <v/>
      </c>
      <c r="I7" s="2">
        <f>ISNUMBER($F7)</f>
        <v/>
      </c>
      <c r="J7" s="2">
        <f>AND($G7=1,$H7=1,$I7)</f>
        <v/>
      </c>
      <c r="K7" s="5">
        <f>IF(mos_metrics!G6="","",mos_metrics!G6)</f>
        <v/>
      </c>
      <c r="L7" s="2">
        <f>AND($J7,ISNUMBER(K7),correlation!$I$26=1)</f>
        <v/>
      </c>
      <c r="M7" s="5">
        <f>IF(L7,$F7,"")</f>
        <v/>
      </c>
      <c r="N7" s="5">
        <f>IF(L7,K7*correlation!$J$26,"")</f>
        <v/>
      </c>
      <c r="O7" s="5">
        <f>IF(AND(L7,ISNUMBER(correlation!$F$26)),N7*correlation!$F$26+correlation!$G$26,"")</f>
        <v/>
      </c>
      <c r="P7" s="5">
        <f>IF(AND(L7,ISNUMBER(O7)),(M7-O7)^2,"")</f>
        <v/>
      </c>
      <c r="Q7" s="5">
        <f>IF(L7,1+SUMPRODUCT(--(calc!$L$3:$L$132=TRUE),--(calc!$M$3:$M$132&gt;M7))+(SUMPRODUCT(--(calc!$L$3:$L$132=TRUE),--(calc!$M$3:$M$132=M7))-1)/2,"")</f>
        <v/>
      </c>
      <c r="R7" s="5">
        <f>IF(L7,1+SUMPRODUCT(--(calc!$L$3:$L$132=TRUE),--(calc!$N$3:$N$132&gt;N7))+(SUMPRODUCT(--(calc!$L$3:$L$132=TRUE),--(calc!$N$3:$N$132=N7))-1)/2,"")</f>
        <v/>
      </c>
      <c r="S7" s="5">
        <f>IF(L7,SUMPRODUCT(--(calc!$L$3:$L$132=TRUE),--(ROW(calc!$L$3:$L$132)&gt;ROW(L7)),--(((calc!$Q$3:$Q$132&gt;Q7)*(calc!$R$3:$R$132&gt;R7)+(calc!$Q$3:$Q$132&lt;Q7)*(calc!$R$3:$R$132&lt;R7))&gt;0))-SUMPRODUCT(--(calc!$L$3:$L$132=TRUE),--(ROW(calc!$L$3:$L$132)&gt;ROW(L7)),--(((calc!$Q$3:$Q$132&gt;Q7)*(calc!$R$3:$R$132&lt;R7)+(calc!$Q$3:$Q$132&lt;Q7)*(calc!$R$3:$R$132&gt;R7))&gt;0)),0)</f>
        <v/>
      </c>
      <c r="T7" s="5">
        <f>IF(mos_metrics!H6="","",mos_metrics!H6)</f>
        <v/>
      </c>
      <c r="U7" s="2">
        <f>AND($J7,ISNUMBER(T7),correlation!$I$27=1)</f>
        <v/>
      </c>
      <c r="V7" s="5">
        <f>IF(U7,$F7,"")</f>
        <v/>
      </c>
      <c r="W7" s="5">
        <f>IF(U7,T7*correlation!$J$27,"")</f>
        <v/>
      </c>
      <c r="X7" s="5">
        <f>IF(AND(U7,ISNUMBER(correlation!$F$27)),W7*correlation!$F$27+correlation!$G$27,"")</f>
        <v/>
      </c>
      <c r="Y7" s="5">
        <f>IF(AND(U7,ISNUMBER(X7)),(V7-X7)^2,"")</f>
        <v/>
      </c>
      <c r="Z7" s="5">
        <f>IF(U7,1+SUMPRODUCT(--(calc!$U$3:$U$132=TRUE),--(calc!$V$3:$V$132&gt;V7))+(SUMPRODUCT(--(calc!$U$3:$U$132=TRUE),--(calc!$V$3:$V$132=V7))-1)/2,"")</f>
        <v/>
      </c>
      <c r="AA7" s="5">
        <f>IF(U7,1+SUMPRODUCT(--(calc!$U$3:$U$132=TRUE),--(calc!$W$3:$W$132&gt;W7))+(SUMPRODUCT(--(calc!$U$3:$U$132=TRUE),--(calc!$W$3:$W$132=W7))-1)/2,"")</f>
        <v/>
      </c>
      <c r="AB7" s="5">
        <f>IF(U7,SUMPRODUCT(--(calc!$U$3:$U$132=TRUE),--(ROW(calc!$U$3:$U$132)&gt;ROW(U7)),--(((calc!$Z$3:$Z$132&gt;Z7)*(calc!$AA$3:$AA$132&gt;AA7)+(calc!$Z$3:$Z$132&lt;Z7)*(calc!$AA$3:$AA$132&lt;AA7))&gt;0))-SUMPRODUCT(--(calc!$U$3:$U$132=TRUE),--(ROW(calc!$U$3:$U$132)&gt;ROW(U7)),--(((calc!$Z$3:$Z$132&gt;Z7)*(calc!$AA$3:$AA$132&lt;AA7)+(calc!$Z$3:$Z$132&lt;Z7)*(calc!$AA$3:$AA$132&gt;AA7))&gt;0)),0)</f>
        <v/>
      </c>
      <c r="AC7" s="5">
        <f>IF(mos_metrics!I6="","",mos_metrics!I6)</f>
        <v/>
      </c>
      <c r="AD7" s="2">
        <f>AND($J7,ISNUMBER(AC7),correlation!$I$28=1)</f>
        <v/>
      </c>
      <c r="AE7" s="5">
        <f>IF(AD7,$F7,"")</f>
        <v/>
      </c>
      <c r="AF7" s="5">
        <f>IF(AD7,AC7*correlation!$J$28,"")</f>
        <v/>
      </c>
      <c r="AG7" s="5">
        <f>IF(AND(AD7,ISNUMBER(correlation!$F$28)),AF7*correlation!$F$28+correlation!$G$28,"")</f>
        <v/>
      </c>
      <c r="AH7" s="5">
        <f>IF(AND(AD7,ISNUMBER(AG7)),(AE7-AG7)^2,"")</f>
        <v/>
      </c>
      <c r="AI7" s="5">
        <f>IF(AD7,1+SUMPRODUCT(--(calc!$AD$3:$AD$132=TRUE),--(calc!$AE$3:$AE$132&gt;AE7))+(SUMPRODUCT(--(calc!$AD$3:$AD$132=TRUE),--(calc!$AE$3:$AE$132=AE7))-1)/2,"")</f>
        <v/>
      </c>
      <c r="AJ7" s="5">
        <f>IF(AD7,1+SUMPRODUCT(--(calc!$AD$3:$AD$132=TRUE),--(calc!$AF$3:$AF$132&gt;AF7))+(SUMPRODUCT(--(calc!$AD$3:$AD$132=TRUE),--(calc!$AF$3:$AF$132=AF7))-1)/2,"")</f>
        <v/>
      </c>
      <c r="AK7" s="5">
        <f>IF(AD7,SUMPRODUCT(--(calc!$AD$3:$AD$132=TRUE),--(ROW(calc!$AD$3:$AD$132)&gt;ROW(AD7)),--(((calc!$AI$3:$AI$132&gt;AI7)*(calc!$AJ$3:$AJ$132&gt;AJ7)+(calc!$AI$3:$AI$132&lt;AI7)*(calc!$AJ$3:$AJ$132&lt;AJ7))&gt;0))-SUMPRODUCT(--(calc!$AD$3:$AD$132=TRUE),--(ROW(calc!$AD$3:$AD$132)&gt;ROW(AD7)),--(((calc!$AI$3:$AI$132&gt;AI7)*(calc!$AJ$3:$AJ$132&lt;AJ7)+(calc!$AI$3:$AI$132&lt;AI7)*(calc!$AJ$3:$AJ$132&gt;AJ7))&gt;0)),0)</f>
        <v/>
      </c>
      <c r="AL7" s="5">
        <f>IF(mos_metrics!J6="","",mos_metrics!J6)</f>
        <v/>
      </c>
      <c r="AM7" s="2">
        <f>AND($J7,ISNUMBER(AL7),correlation!$I$29=1)</f>
        <v/>
      </c>
      <c r="AN7" s="5">
        <f>IF(AM7,$F7,"")</f>
        <v/>
      </c>
      <c r="AO7" s="5">
        <f>IF(AM7,AL7*correlation!$J$29,"")</f>
        <v/>
      </c>
      <c r="AP7" s="5">
        <f>IF(AND(AM7,ISNUMBER(correlation!$F$29)),AO7*correlation!$F$29+correlation!$G$29,"")</f>
        <v/>
      </c>
      <c r="AQ7" s="5">
        <f>IF(AND(AM7,ISNUMBER(AP7)),(AN7-AP7)^2,"")</f>
        <v/>
      </c>
      <c r="AR7" s="5">
        <f>IF(AM7,1+SUMPRODUCT(--(calc!$AM$3:$AM$132=TRUE),--(calc!$AN$3:$AN$132&gt;AN7))+(SUMPRODUCT(--(calc!$AM$3:$AM$132=TRUE),--(calc!$AN$3:$AN$132=AN7))-1)/2,"")</f>
        <v/>
      </c>
      <c r="AS7" s="5">
        <f>IF(AM7,1+SUMPRODUCT(--(calc!$AM$3:$AM$132=TRUE),--(calc!$AO$3:$AO$132&gt;AO7))+(SUMPRODUCT(--(calc!$AM$3:$AM$132=TRUE),--(calc!$AO$3:$AO$132=AO7))-1)/2,"")</f>
        <v/>
      </c>
      <c r="AT7" s="5">
        <f>IF(AM7,SUMPRODUCT(--(calc!$AM$3:$AM$132=TRUE),--(ROW(calc!$AM$3:$AM$132)&gt;ROW(AM7)),--(((calc!$AR$3:$AR$132&gt;AR7)*(calc!$AS$3:$AS$132&gt;AS7)+(calc!$AR$3:$AR$132&lt;AR7)*(calc!$AS$3:$AS$132&lt;AS7))&gt;0))-SUMPRODUCT(--(calc!$AM$3:$AM$132=TRUE),--(ROW(calc!$AM$3:$AM$132)&gt;ROW(AM7)),--(((calc!$AR$3:$AR$132&gt;AR7)*(calc!$AS$3:$AS$132&lt;AS7)+(calc!$AR$3:$AR$132&lt;AR7)*(calc!$AS$3:$AS$132&gt;AS7))&gt;0)),0)</f>
        <v/>
      </c>
      <c r="AU7" s="5">
        <f>IF(mos_metrics!K6="","",mos_metrics!K6)</f>
        <v/>
      </c>
      <c r="AV7" s="2">
        <f>AND($J7,ISNUMBER(AU7),correlation!$I$30=1)</f>
        <v/>
      </c>
      <c r="AW7" s="5">
        <f>IF(AV7,$F7,"")</f>
        <v/>
      </c>
      <c r="AX7" s="5">
        <f>IF(AV7,AU7*correlation!$J$30,"")</f>
        <v/>
      </c>
      <c r="AY7" s="5">
        <f>IF(AND(AV7,ISNUMBER(correlation!$F$30)),AX7*correlation!$F$30+correlation!$G$30,"")</f>
        <v/>
      </c>
      <c r="AZ7" s="5">
        <f>IF(AND(AV7,ISNUMBER(AY7)),(AW7-AY7)^2,"")</f>
        <v/>
      </c>
      <c r="BA7" s="5">
        <f>IF(AV7,1+SUMPRODUCT(--(calc!$AV$3:$AV$132=TRUE),--(calc!$AW$3:$AW$132&gt;AW7))+(SUMPRODUCT(--(calc!$AV$3:$AV$132=TRUE),--(calc!$AW$3:$AW$132=AW7))-1)/2,"")</f>
        <v/>
      </c>
      <c r="BB7" s="5">
        <f>IF(AV7,1+SUMPRODUCT(--(calc!$AV$3:$AV$132=TRUE),--(calc!$AX$3:$AX$132&gt;AX7))+(SUMPRODUCT(--(calc!$AV$3:$AV$132=TRUE),--(calc!$AX$3:$AX$132=AX7))-1)/2,"")</f>
        <v/>
      </c>
      <c r="BC7" s="5">
        <f>IF(AV7,SUMPRODUCT(--(calc!$AV$3:$AV$132=TRUE),--(ROW(calc!$AV$3:$AV$132)&gt;ROW(AV7)),--(((calc!$BA$3:$BA$132&gt;BA7)*(calc!$BB$3:$BB$132&gt;BB7)+(calc!$BA$3:$BA$132&lt;BA7)*(calc!$BB$3:$BB$132&lt;BB7))&gt;0))-SUMPRODUCT(--(calc!$AV$3:$AV$132=TRUE),--(ROW(calc!$AV$3:$AV$132)&gt;ROW(AV7)),--(((calc!$BA$3:$BA$132&gt;BA7)*(calc!$BB$3:$BB$132&lt;BB7)+(calc!$BA$3:$BA$132&lt;BA7)*(calc!$BB$3:$BB$132&gt;BB7))&gt;0)),0)</f>
        <v/>
      </c>
      <c r="BD7" s="5">
        <f>IF(mos_metrics!L6="","",mos_metrics!L6)</f>
        <v/>
      </c>
      <c r="BE7" s="2">
        <f>AND($J7,ISNUMBER(BD7),correlation!$I$31=1)</f>
        <v/>
      </c>
      <c r="BF7" s="5">
        <f>IF(BE7,$F7,"")</f>
        <v/>
      </c>
      <c r="BG7" s="5">
        <f>IF(BE7,BD7*correlation!$J$31,"")</f>
        <v/>
      </c>
      <c r="BH7" s="5">
        <f>IF(AND(BE7,ISNUMBER(correlation!$F$31)),BG7*correlation!$F$31+correlation!$G$31,"")</f>
        <v/>
      </c>
      <c r="BI7" s="5">
        <f>IF(AND(BE7,ISNUMBER(BH7)),(BF7-BH7)^2,"")</f>
        <v/>
      </c>
      <c r="BJ7" s="5">
        <f>IF(BE7,1+SUMPRODUCT(--(calc!$BE$3:$BE$132=TRUE),--(calc!$BF$3:$BF$132&gt;BF7))+(SUMPRODUCT(--(calc!$BE$3:$BE$132=TRUE),--(calc!$BF$3:$BF$132=BF7))-1)/2,"")</f>
        <v/>
      </c>
      <c r="BK7" s="5">
        <f>IF(BE7,1+SUMPRODUCT(--(calc!$BE$3:$BE$132=TRUE),--(calc!$BG$3:$BG$132&gt;BG7))+(SUMPRODUCT(--(calc!$BE$3:$BE$132=TRUE),--(calc!$BG$3:$BG$132=BG7))-1)/2,"")</f>
        <v/>
      </c>
      <c r="BL7" s="5">
        <f>IF(BE7,SUMPRODUCT(--(calc!$BE$3:$BE$132=TRUE),--(ROW(calc!$BE$3:$BE$132)&gt;ROW(BE7)),--(((calc!$BJ$3:$BJ$132&gt;BJ7)*(calc!$BK$3:$BK$132&gt;BK7)+(calc!$BJ$3:$BJ$132&lt;BJ7)*(calc!$BK$3:$BK$132&lt;BK7))&gt;0))-SUMPRODUCT(--(calc!$BE$3:$BE$132=TRUE),--(ROW(calc!$BE$3:$BE$132)&gt;ROW(BE7)),--(((calc!$BJ$3:$BJ$132&gt;BJ7)*(calc!$BK$3:$BK$132&lt;BK7)+(calc!$BJ$3:$BJ$132&lt;BJ7)*(calc!$BK$3:$BK$132&gt;BK7))&gt;0)),0)</f>
        <v/>
      </c>
      <c r="BM7" s="5">
        <f>IF(mos_metrics!M6="","",mos_metrics!M6)</f>
        <v/>
      </c>
      <c r="BN7" s="2">
        <f>AND($J7,ISNUMBER(BM7),correlation!$I$32=1)</f>
        <v/>
      </c>
      <c r="BO7" s="5">
        <f>IF(BN7,$F7,"")</f>
        <v/>
      </c>
      <c r="BP7" s="5">
        <f>IF(BN7,BM7*correlation!$J$32,"")</f>
        <v/>
      </c>
      <c r="BQ7" s="5">
        <f>IF(AND(BN7,ISNUMBER(correlation!$F$32)),BP7*correlation!$F$32+correlation!$G$32,"")</f>
        <v/>
      </c>
      <c r="BR7" s="5">
        <f>IF(AND(BN7,ISNUMBER(BQ7)),(BO7-BQ7)^2,"")</f>
        <v/>
      </c>
      <c r="BS7" s="5">
        <f>IF(BN7,1+SUMPRODUCT(--(calc!$BN$3:$BN$132=TRUE),--(calc!$BO$3:$BO$132&gt;BO7))+(SUMPRODUCT(--(calc!$BN$3:$BN$132=TRUE),--(calc!$BO$3:$BO$132=BO7))-1)/2,"")</f>
        <v/>
      </c>
      <c r="BT7" s="5">
        <f>IF(BN7,1+SUMPRODUCT(--(calc!$BN$3:$BN$132=TRUE),--(calc!$BP$3:$BP$132&gt;BP7))+(SUMPRODUCT(--(calc!$BN$3:$BN$132=TRUE),--(calc!$BP$3:$BP$132=BP7))-1)/2,"")</f>
        <v/>
      </c>
      <c r="BU7" s="5">
        <f>IF(BN7,SUMPRODUCT(--(calc!$BN$3:$BN$132=TRUE),--(ROW(calc!$BN$3:$BN$132)&gt;ROW(BN7)),--(((calc!$BS$3:$BS$132&gt;BS7)*(calc!$BT$3:$BT$132&gt;BT7)+(calc!$BS$3:$BS$132&lt;BS7)*(calc!$BT$3:$BT$132&lt;BT7))&gt;0))-SUMPRODUCT(--(calc!$BN$3:$BN$132=TRUE),--(ROW(calc!$BN$3:$BN$132)&gt;ROW(BN7)),--(((calc!$BS$3:$BS$132&gt;BS7)*(calc!$BT$3:$BT$132&lt;BT7)+(calc!$BS$3:$BS$132&lt;BS7)*(calc!$BT$3:$BT$132&gt;BT7))&gt;0)),0)</f>
        <v/>
      </c>
    </row>
    <row r="8">
      <c r="A8" s="2">
        <f>mos_metrics!A7</f>
        <v/>
      </c>
      <c r="B8" s="2">
        <f>mos_metrics!B7</f>
        <v/>
      </c>
      <c r="C8" s="2">
        <f>mos_metrics!C7</f>
        <v/>
      </c>
      <c r="D8" s="2">
        <f>mos_metrics!D7</f>
        <v/>
      </c>
      <c r="E8" s="2">
        <f>mos_metrics!E7</f>
        <v/>
      </c>
      <c r="F8" s="2">
        <f>mos_metrics!F7</f>
        <v/>
      </c>
      <c r="G8" s="2">
        <f>IF($B8="","",IFERROR(VLOOKUP($B8,correlation!$A$2:$B$12,2,FALSE),1))</f>
        <v/>
      </c>
      <c r="H8" s="2">
        <f>IF($E8="","",IFERROR(VLOOKUP($E8,correlation!$D$2:$E$8,2,FALSE),1))</f>
        <v/>
      </c>
      <c r="I8" s="2">
        <f>ISNUMBER($F8)</f>
        <v/>
      </c>
      <c r="J8" s="2">
        <f>AND($G8=1,$H8=1,$I8)</f>
        <v/>
      </c>
      <c r="K8" s="5">
        <f>IF(mos_metrics!G7="","",mos_metrics!G7)</f>
        <v/>
      </c>
      <c r="L8" s="2">
        <f>AND($J8,ISNUMBER(K8),correlation!$I$26=1)</f>
        <v/>
      </c>
      <c r="M8" s="5">
        <f>IF(L8,$F8,"")</f>
        <v/>
      </c>
      <c r="N8" s="5">
        <f>IF(L8,K8*correlation!$J$26,"")</f>
        <v/>
      </c>
      <c r="O8" s="5">
        <f>IF(AND(L8,ISNUMBER(correlation!$F$26)),N8*correlation!$F$26+correlation!$G$26,"")</f>
        <v/>
      </c>
      <c r="P8" s="5">
        <f>IF(AND(L8,ISNUMBER(O8)),(M8-O8)^2,"")</f>
        <v/>
      </c>
      <c r="Q8" s="5">
        <f>IF(L8,1+SUMPRODUCT(--(calc!$L$3:$L$132=TRUE),--(calc!$M$3:$M$132&gt;M8))+(SUMPRODUCT(--(calc!$L$3:$L$132=TRUE),--(calc!$M$3:$M$132=M8))-1)/2,"")</f>
        <v/>
      </c>
      <c r="R8" s="5">
        <f>IF(L8,1+SUMPRODUCT(--(calc!$L$3:$L$132=TRUE),--(calc!$N$3:$N$132&gt;N8))+(SUMPRODUCT(--(calc!$L$3:$L$132=TRUE),--(calc!$N$3:$N$132=N8))-1)/2,"")</f>
        <v/>
      </c>
      <c r="S8" s="5">
        <f>IF(L8,SUMPRODUCT(--(calc!$L$3:$L$132=TRUE),--(ROW(calc!$L$3:$L$132)&gt;ROW(L8)),--(((calc!$Q$3:$Q$132&gt;Q8)*(calc!$R$3:$R$132&gt;R8)+(calc!$Q$3:$Q$132&lt;Q8)*(calc!$R$3:$R$132&lt;R8))&gt;0))-SUMPRODUCT(--(calc!$L$3:$L$132=TRUE),--(ROW(calc!$L$3:$L$132)&gt;ROW(L8)),--(((calc!$Q$3:$Q$132&gt;Q8)*(calc!$R$3:$R$132&lt;R8)+(calc!$Q$3:$Q$132&lt;Q8)*(calc!$R$3:$R$132&gt;R8))&gt;0)),0)</f>
        <v/>
      </c>
      <c r="T8" s="5">
        <f>IF(mos_metrics!H7="","",mos_metrics!H7)</f>
        <v/>
      </c>
      <c r="U8" s="2">
        <f>AND($J8,ISNUMBER(T8),correlation!$I$27=1)</f>
        <v/>
      </c>
      <c r="V8" s="5">
        <f>IF(U8,$F8,"")</f>
        <v/>
      </c>
      <c r="W8" s="5">
        <f>IF(U8,T8*correlation!$J$27,"")</f>
        <v/>
      </c>
      <c r="X8" s="5">
        <f>IF(AND(U8,ISNUMBER(correlation!$F$27)),W8*correlation!$F$27+correlation!$G$27,"")</f>
        <v/>
      </c>
      <c r="Y8" s="5">
        <f>IF(AND(U8,ISNUMBER(X8)),(V8-X8)^2,"")</f>
        <v/>
      </c>
      <c r="Z8" s="5">
        <f>IF(U8,1+SUMPRODUCT(--(calc!$U$3:$U$132=TRUE),--(calc!$V$3:$V$132&gt;V8))+(SUMPRODUCT(--(calc!$U$3:$U$132=TRUE),--(calc!$V$3:$V$132=V8))-1)/2,"")</f>
        <v/>
      </c>
      <c r="AA8" s="5">
        <f>IF(U8,1+SUMPRODUCT(--(calc!$U$3:$U$132=TRUE),--(calc!$W$3:$W$132&gt;W8))+(SUMPRODUCT(--(calc!$U$3:$U$132=TRUE),--(calc!$W$3:$W$132=W8))-1)/2,"")</f>
        <v/>
      </c>
      <c r="AB8" s="5">
        <f>IF(U8,SUMPRODUCT(--(calc!$U$3:$U$132=TRUE),--(ROW(calc!$U$3:$U$132)&gt;ROW(U8)),--(((calc!$Z$3:$Z$132&gt;Z8)*(calc!$AA$3:$AA$132&gt;AA8)+(calc!$Z$3:$Z$132&lt;Z8)*(calc!$AA$3:$AA$132&lt;AA8))&gt;0))-SUMPRODUCT(--(calc!$U$3:$U$132=TRUE),--(ROW(calc!$U$3:$U$132)&gt;ROW(U8)),--(((calc!$Z$3:$Z$132&gt;Z8)*(calc!$AA$3:$AA$132&lt;AA8)+(calc!$Z$3:$Z$132&lt;Z8)*(calc!$AA$3:$AA$132&gt;AA8))&gt;0)),0)</f>
        <v/>
      </c>
      <c r="AC8" s="5">
        <f>IF(mos_metrics!I7="","",mos_metrics!I7)</f>
        <v/>
      </c>
      <c r="AD8" s="2">
        <f>AND($J8,ISNUMBER(AC8),correlation!$I$28=1)</f>
        <v/>
      </c>
      <c r="AE8" s="5">
        <f>IF(AD8,$F8,"")</f>
        <v/>
      </c>
      <c r="AF8" s="5">
        <f>IF(AD8,AC8*correlation!$J$28,"")</f>
        <v/>
      </c>
      <c r="AG8" s="5">
        <f>IF(AND(AD8,ISNUMBER(correlation!$F$28)),AF8*correlation!$F$28+correlation!$G$28,"")</f>
        <v/>
      </c>
      <c r="AH8" s="5">
        <f>IF(AND(AD8,ISNUMBER(AG8)),(AE8-AG8)^2,"")</f>
        <v/>
      </c>
      <c r="AI8" s="5">
        <f>IF(AD8,1+SUMPRODUCT(--(calc!$AD$3:$AD$132=TRUE),--(calc!$AE$3:$AE$132&gt;AE8))+(SUMPRODUCT(--(calc!$AD$3:$AD$132=TRUE),--(calc!$AE$3:$AE$132=AE8))-1)/2,"")</f>
        <v/>
      </c>
      <c r="AJ8" s="5">
        <f>IF(AD8,1+SUMPRODUCT(--(calc!$AD$3:$AD$132=TRUE),--(calc!$AF$3:$AF$132&gt;AF8))+(SUMPRODUCT(--(calc!$AD$3:$AD$132=TRUE),--(calc!$AF$3:$AF$132=AF8))-1)/2,"")</f>
        <v/>
      </c>
      <c r="AK8" s="5">
        <f>IF(AD8,SUMPRODUCT(--(calc!$AD$3:$AD$132=TRUE),--(ROW(calc!$AD$3:$AD$132)&gt;ROW(AD8)),--(((calc!$AI$3:$AI$132&gt;AI8)*(calc!$AJ$3:$AJ$132&gt;AJ8)+(calc!$AI$3:$AI$132&lt;AI8)*(calc!$AJ$3:$AJ$132&lt;AJ8))&gt;0))-SUMPRODUCT(--(calc!$AD$3:$AD$132=TRUE),--(ROW(calc!$AD$3:$AD$132)&gt;ROW(AD8)),--(((calc!$AI$3:$AI$132&gt;AI8)*(calc!$AJ$3:$AJ$132&lt;AJ8)+(calc!$AI$3:$AI$132&lt;AI8)*(calc!$AJ$3:$AJ$132&gt;AJ8))&gt;0)),0)</f>
        <v/>
      </c>
      <c r="AL8" s="5">
        <f>IF(mos_metrics!J7="","",mos_metrics!J7)</f>
        <v/>
      </c>
      <c r="AM8" s="2">
        <f>AND($J8,ISNUMBER(AL8),correlation!$I$29=1)</f>
        <v/>
      </c>
      <c r="AN8" s="5">
        <f>IF(AM8,$F8,"")</f>
        <v/>
      </c>
      <c r="AO8" s="5">
        <f>IF(AM8,AL8*correlation!$J$29,"")</f>
        <v/>
      </c>
      <c r="AP8" s="5">
        <f>IF(AND(AM8,ISNUMBER(correlation!$F$29)),AO8*correlation!$F$29+correlation!$G$29,"")</f>
        <v/>
      </c>
      <c r="AQ8" s="5">
        <f>IF(AND(AM8,ISNUMBER(AP8)),(AN8-AP8)^2,"")</f>
        <v/>
      </c>
      <c r="AR8" s="5">
        <f>IF(AM8,1+SUMPRODUCT(--(calc!$AM$3:$AM$132=TRUE),--(calc!$AN$3:$AN$132&gt;AN8))+(SUMPRODUCT(--(calc!$AM$3:$AM$132=TRUE),--(calc!$AN$3:$AN$132=AN8))-1)/2,"")</f>
        <v/>
      </c>
      <c r="AS8" s="5">
        <f>IF(AM8,1+SUMPRODUCT(--(calc!$AM$3:$AM$132=TRUE),--(calc!$AO$3:$AO$132&gt;AO8))+(SUMPRODUCT(--(calc!$AM$3:$AM$132=TRUE),--(calc!$AO$3:$AO$132=AO8))-1)/2,"")</f>
        <v/>
      </c>
      <c r="AT8" s="5">
        <f>IF(AM8,SUMPRODUCT(--(calc!$AM$3:$AM$132=TRUE),--(ROW(calc!$AM$3:$AM$132)&gt;ROW(AM8)),--(((calc!$AR$3:$AR$132&gt;AR8)*(calc!$AS$3:$AS$132&gt;AS8)+(calc!$AR$3:$AR$132&lt;AR8)*(calc!$AS$3:$AS$132&lt;AS8))&gt;0))-SUMPRODUCT(--(calc!$AM$3:$AM$132=TRUE),--(ROW(calc!$AM$3:$AM$132)&gt;ROW(AM8)),--(((calc!$AR$3:$AR$132&gt;AR8)*(calc!$AS$3:$AS$132&lt;AS8)+(calc!$AR$3:$AR$132&lt;AR8)*(calc!$AS$3:$AS$132&gt;AS8))&gt;0)),0)</f>
        <v/>
      </c>
      <c r="AU8" s="5">
        <f>IF(mos_metrics!K7="","",mos_metrics!K7)</f>
        <v/>
      </c>
      <c r="AV8" s="2">
        <f>AND($J8,ISNUMBER(AU8),correlation!$I$30=1)</f>
        <v/>
      </c>
      <c r="AW8" s="5">
        <f>IF(AV8,$F8,"")</f>
        <v/>
      </c>
      <c r="AX8" s="5">
        <f>IF(AV8,AU8*correlation!$J$30,"")</f>
        <v/>
      </c>
      <c r="AY8" s="5">
        <f>IF(AND(AV8,ISNUMBER(correlation!$F$30)),AX8*correlation!$F$30+correlation!$G$30,"")</f>
        <v/>
      </c>
      <c r="AZ8" s="5">
        <f>IF(AND(AV8,ISNUMBER(AY8)),(AW8-AY8)^2,"")</f>
        <v/>
      </c>
      <c r="BA8" s="5">
        <f>IF(AV8,1+SUMPRODUCT(--(calc!$AV$3:$AV$132=TRUE),--(calc!$AW$3:$AW$132&gt;AW8))+(SUMPRODUCT(--(calc!$AV$3:$AV$132=TRUE),--(calc!$AW$3:$AW$132=AW8))-1)/2,"")</f>
        <v/>
      </c>
      <c r="BB8" s="5">
        <f>IF(AV8,1+SUMPRODUCT(--(calc!$AV$3:$AV$132=TRUE),--(calc!$AX$3:$AX$132&gt;AX8))+(SUMPRODUCT(--(calc!$AV$3:$AV$132=TRUE),--(calc!$AX$3:$AX$132=AX8))-1)/2,"")</f>
        <v/>
      </c>
      <c r="BC8" s="5">
        <f>IF(AV8,SUMPRODUCT(--(calc!$AV$3:$AV$132=TRUE),--(ROW(calc!$AV$3:$AV$132)&gt;ROW(AV8)),--(((calc!$BA$3:$BA$132&gt;BA8)*(calc!$BB$3:$BB$132&gt;BB8)+(calc!$BA$3:$BA$132&lt;BA8)*(calc!$BB$3:$BB$132&lt;BB8))&gt;0))-SUMPRODUCT(--(calc!$AV$3:$AV$132=TRUE),--(ROW(calc!$AV$3:$AV$132)&gt;ROW(AV8)),--(((calc!$BA$3:$BA$132&gt;BA8)*(calc!$BB$3:$BB$132&lt;BB8)+(calc!$BA$3:$BA$132&lt;BA8)*(calc!$BB$3:$BB$132&gt;BB8))&gt;0)),0)</f>
        <v/>
      </c>
      <c r="BD8" s="5">
        <f>IF(mos_metrics!L7="","",mos_metrics!L7)</f>
        <v/>
      </c>
      <c r="BE8" s="2">
        <f>AND($J8,ISNUMBER(BD8),correlation!$I$31=1)</f>
        <v/>
      </c>
      <c r="BF8" s="5">
        <f>IF(BE8,$F8,"")</f>
        <v/>
      </c>
      <c r="BG8" s="5">
        <f>IF(BE8,BD8*correlation!$J$31,"")</f>
        <v/>
      </c>
      <c r="BH8" s="5">
        <f>IF(AND(BE8,ISNUMBER(correlation!$F$31)),BG8*correlation!$F$31+correlation!$G$31,"")</f>
        <v/>
      </c>
      <c r="BI8" s="5">
        <f>IF(AND(BE8,ISNUMBER(BH8)),(BF8-BH8)^2,"")</f>
        <v/>
      </c>
      <c r="BJ8" s="5">
        <f>IF(BE8,1+SUMPRODUCT(--(calc!$BE$3:$BE$132=TRUE),--(calc!$BF$3:$BF$132&gt;BF8))+(SUMPRODUCT(--(calc!$BE$3:$BE$132=TRUE),--(calc!$BF$3:$BF$132=BF8))-1)/2,"")</f>
        <v/>
      </c>
      <c r="BK8" s="5">
        <f>IF(BE8,1+SUMPRODUCT(--(calc!$BE$3:$BE$132=TRUE),--(calc!$BG$3:$BG$132&gt;BG8))+(SUMPRODUCT(--(calc!$BE$3:$BE$132=TRUE),--(calc!$BG$3:$BG$132=BG8))-1)/2,"")</f>
        <v/>
      </c>
      <c r="BL8" s="5">
        <f>IF(BE8,SUMPRODUCT(--(calc!$BE$3:$BE$132=TRUE),--(ROW(calc!$BE$3:$BE$132)&gt;ROW(BE8)),--(((calc!$BJ$3:$BJ$132&gt;BJ8)*(calc!$BK$3:$BK$132&gt;BK8)+(calc!$BJ$3:$BJ$132&lt;BJ8)*(calc!$BK$3:$BK$132&lt;BK8))&gt;0))-SUMPRODUCT(--(calc!$BE$3:$BE$132=TRUE),--(ROW(calc!$BE$3:$BE$132)&gt;ROW(BE8)),--(((calc!$BJ$3:$BJ$132&gt;BJ8)*(calc!$BK$3:$BK$132&lt;BK8)+(calc!$BJ$3:$BJ$132&lt;BJ8)*(calc!$BK$3:$BK$132&gt;BK8))&gt;0)),0)</f>
        <v/>
      </c>
      <c r="BM8" s="5">
        <f>IF(mos_metrics!M7="","",mos_metrics!M7)</f>
        <v/>
      </c>
      <c r="BN8" s="2">
        <f>AND($J8,ISNUMBER(BM8),correlation!$I$32=1)</f>
        <v/>
      </c>
      <c r="BO8" s="5">
        <f>IF(BN8,$F8,"")</f>
        <v/>
      </c>
      <c r="BP8" s="5">
        <f>IF(BN8,BM8*correlation!$J$32,"")</f>
        <v/>
      </c>
      <c r="BQ8" s="5">
        <f>IF(AND(BN8,ISNUMBER(correlation!$F$32)),BP8*correlation!$F$32+correlation!$G$32,"")</f>
        <v/>
      </c>
      <c r="BR8" s="5">
        <f>IF(AND(BN8,ISNUMBER(BQ8)),(BO8-BQ8)^2,"")</f>
        <v/>
      </c>
      <c r="BS8" s="5">
        <f>IF(BN8,1+SUMPRODUCT(--(calc!$BN$3:$BN$132=TRUE),--(calc!$BO$3:$BO$132&gt;BO8))+(SUMPRODUCT(--(calc!$BN$3:$BN$132=TRUE),--(calc!$BO$3:$BO$132=BO8))-1)/2,"")</f>
        <v/>
      </c>
      <c r="BT8" s="5">
        <f>IF(BN8,1+SUMPRODUCT(--(calc!$BN$3:$BN$132=TRUE),--(calc!$BP$3:$BP$132&gt;BP8))+(SUMPRODUCT(--(calc!$BN$3:$BN$132=TRUE),--(calc!$BP$3:$BP$132=BP8))-1)/2,"")</f>
        <v/>
      </c>
      <c r="BU8" s="5">
        <f>IF(BN8,SUMPRODUCT(--(calc!$BN$3:$BN$132=TRUE),--(ROW(calc!$BN$3:$BN$132)&gt;ROW(BN8)),--(((calc!$BS$3:$BS$132&gt;BS8)*(calc!$BT$3:$BT$132&gt;BT8)+(calc!$BS$3:$BS$132&lt;BS8)*(calc!$BT$3:$BT$132&lt;BT8))&gt;0))-SUMPRODUCT(--(calc!$BN$3:$BN$132=TRUE),--(ROW(calc!$BN$3:$BN$132)&gt;ROW(BN8)),--(((calc!$BS$3:$BS$132&gt;BS8)*(calc!$BT$3:$BT$132&lt;BT8)+(calc!$BS$3:$BS$132&lt;BS8)*(calc!$BT$3:$BT$132&gt;BT8))&gt;0)),0)</f>
        <v/>
      </c>
    </row>
    <row r="9">
      <c r="A9" s="2">
        <f>mos_metrics!A8</f>
        <v/>
      </c>
      <c r="B9" s="2">
        <f>mos_metrics!B8</f>
        <v/>
      </c>
      <c r="C9" s="2">
        <f>mos_metrics!C8</f>
        <v/>
      </c>
      <c r="D9" s="2">
        <f>mos_metrics!D8</f>
        <v/>
      </c>
      <c r="E9" s="2">
        <f>mos_metrics!E8</f>
        <v/>
      </c>
      <c r="F9" s="2">
        <f>mos_metrics!F8</f>
        <v/>
      </c>
      <c r="G9" s="2">
        <f>IF($B9="","",IFERROR(VLOOKUP($B9,correlation!$A$2:$B$12,2,FALSE),1))</f>
        <v/>
      </c>
      <c r="H9" s="2">
        <f>IF($E9="","",IFERROR(VLOOKUP($E9,correlation!$D$2:$E$8,2,FALSE),1))</f>
        <v/>
      </c>
      <c r="I9" s="2">
        <f>ISNUMBER($F9)</f>
        <v/>
      </c>
      <c r="J9" s="2">
        <f>AND($G9=1,$H9=1,$I9)</f>
        <v/>
      </c>
      <c r="K9" s="5">
        <f>IF(mos_metrics!G8="","",mos_metrics!G8)</f>
        <v/>
      </c>
      <c r="L9" s="2">
        <f>AND($J9,ISNUMBER(K9),correlation!$I$26=1)</f>
        <v/>
      </c>
      <c r="M9" s="5">
        <f>IF(L9,$F9,"")</f>
        <v/>
      </c>
      <c r="N9" s="5">
        <f>IF(L9,K9*correlation!$J$26,"")</f>
        <v/>
      </c>
      <c r="O9" s="5">
        <f>IF(AND(L9,ISNUMBER(correlation!$F$26)),N9*correlation!$F$26+correlation!$G$26,"")</f>
        <v/>
      </c>
      <c r="P9" s="5">
        <f>IF(AND(L9,ISNUMBER(O9)),(M9-O9)^2,"")</f>
        <v/>
      </c>
      <c r="Q9" s="5">
        <f>IF(L9,1+SUMPRODUCT(--(calc!$L$3:$L$132=TRUE),--(calc!$M$3:$M$132&gt;M9))+(SUMPRODUCT(--(calc!$L$3:$L$132=TRUE),--(calc!$M$3:$M$132=M9))-1)/2,"")</f>
        <v/>
      </c>
      <c r="R9" s="5">
        <f>IF(L9,1+SUMPRODUCT(--(calc!$L$3:$L$132=TRUE),--(calc!$N$3:$N$132&gt;N9))+(SUMPRODUCT(--(calc!$L$3:$L$132=TRUE),--(calc!$N$3:$N$132=N9))-1)/2,"")</f>
        <v/>
      </c>
      <c r="S9" s="5">
        <f>IF(L9,SUMPRODUCT(--(calc!$L$3:$L$132=TRUE),--(ROW(calc!$L$3:$L$132)&gt;ROW(L9)),--(((calc!$Q$3:$Q$132&gt;Q9)*(calc!$R$3:$R$132&gt;R9)+(calc!$Q$3:$Q$132&lt;Q9)*(calc!$R$3:$R$132&lt;R9))&gt;0))-SUMPRODUCT(--(calc!$L$3:$L$132=TRUE),--(ROW(calc!$L$3:$L$132)&gt;ROW(L9)),--(((calc!$Q$3:$Q$132&gt;Q9)*(calc!$R$3:$R$132&lt;R9)+(calc!$Q$3:$Q$132&lt;Q9)*(calc!$R$3:$R$132&gt;R9))&gt;0)),0)</f>
        <v/>
      </c>
      <c r="T9" s="5">
        <f>IF(mos_metrics!H8="","",mos_metrics!H8)</f>
        <v/>
      </c>
      <c r="U9" s="2">
        <f>AND($J9,ISNUMBER(T9),correlation!$I$27=1)</f>
        <v/>
      </c>
      <c r="V9" s="5">
        <f>IF(U9,$F9,"")</f>
        <v/>
      </c>
      <c r="W9" s="5">
        <f>IF(U9,T9*correlation!$J$27,"")</f>
        <v/>
      </c>
      <c r="X9" s="5">
        <f>IF(AND(U9,ISNUMBER(correlation!$F$27)),W9*correlation!$F$27+correlation!$G$27,"")</f>
        <v/>
      </c>
      <c r="Y9" s="5">
        <f>IF(AND(U9,ISNUMBER(X9)),(V9-X9)^2,"")</f>
        <v/>
      </c>
      <c r="Z9" s="5">
        <f>IF(U9,1+SUMPRODUCT(--(calc!$U$3:$U$132=TRUE),--(calc!$V$3:$V$132&gt;V9))+(SUMPRODUCT(--(calc!$U$3:$U$132=TRUE),--(calc!$V$3:$V$132=V9))-1)/2,"")</f>
        <v/>
      </c>
      <c r="AA9" s="5">
        <f>IF(U9,1+SUMPRODUCT(--(calc!$U$3:$U$132=TRUE),--(calc!$W$3:$W$132&gt;W9))+(SUMPRODUCT(--(calc!$U$3:$U$132=TRUE),--(calc!$W$3:$W$132=W9))-1)/2,"")</f>
        <v/>
      </c>
      <c r="AB9" s="5">
        <f>IF(U9,SUMPRODUCT(--(calc!$U$3:$U$132=TRUE),--(ROW(calc!$U$3:$U$132)&gt;ROW(U9)),--(((calc!$Z$3:$Z$132&gt;Z9)*(calc!$AA$3:$AA$132&gt;AA9)+(calc!$Z$3:$Z$132&lt;Z9)*(calc!$AA$3:$AA$132&lt;AA9))&gt;0))-SUMPRODUCT(--(calc!$U$3:$U$132=TRUE),--(ROW(calc!$U$3:$U$132)&gt;ROW(U9)),--(((calc!$Z$3:$Z$132&gt;Z9)*(calc!$AA$3:$AA$132&lt;AA9)+(calc!$Z$3:$Z$132&lt;Z9)*(calc!$AA$3:$AA$132&gt;AA9))&gt;0)),0)</f>
        <v/>
      </c>
      <c r="AC9" s="5">
        <f>IF(mos_metrics!I8="","",mos_metrics!I8)</f>
        <v/>
      </c>
      <c r="AD9" s="2">
        <f>AND($J9,ISNUMBER(AC9),correlation!$I$28=1)</f>
        <v/>
      </c>
      <c r="AE9" s="5">
        <f>IF(AD9,$F9,"")</f>
        <v/>
      </c>
      <c r="AF9" s="5">
        <f>IF(AD9,AC9*correlation!$J$28,"")</f>
        <v/>
      </c>
      <c r="AG9" s="5">
        <f>IF(AND(AD9,ISNUMBER(correlation!$F$28)),AF9*correlation!$F$28+correlation!$G$28,"")</f>
        <v/>
      </c>
      <c r="AH9" s="5">
        <f>IF(AND(AD9,ISNUMBER(AG9)),(AE9-AG9)^2,"")</f>
        <v/>
      </c>
      <c r="AI9" s="5">
        <f>IF(AD9,1+SUMPRODUCT(--(calc!$AD$3:$AD$132=TRUE),--(calc!$AE$3:$AE$132&gt;AE9))+(SUMPRODUCT(--(calc!$AD$3:$AD$132=TRUE),--(calc!$AE$3:$AE$132=AE9))-1)/2,"")</f>
        <v/>
      </c>
      <c r="AJ9" s="5">
        <f>IF(AD9,1+SUMPRODUCT(--(calc!$AD$3:$AD$132=TRUE),--(calc!$AF$3:$AF$132&gt;AF9))+(SUMPRODUCT(--(calc!$AD$3:$AD$132=TRUE),--(calc!$AF$3:$AF$132=AF9))-1)/2,"")</f>
        <v/>
      </c>
      <c r="AK9" s="5">
        <f>IF(AD9,SUMPRODUCT(--(calc!$AD$3:$AD$132=TRUE),--(ROW(calc!$AD$3:$AD$132)&gt;ROW(AD9)),--(((calc!$AI$3:$AI$132&gt;AI9)*(calc!$AJ$3:$AJ$132&gt;AJ9)+(calc!$AI$3:$AI$132&lt;AI9)*(calc!$AJ$3:$AJ$132&lt;AJ9))&gt;0))-SUMPRODUCT(--(calc!$AD$3:$AD$132=TRUE),--(ROW(calc!$AD$3:$AD$132)&gt;ROW(AD9)),--(((calc!$AI$3:$AI$132&gt;AI9)*(calc!$AJ$3:$AJ$132&lt;AJ9)+(calc!$AI$3:$AI$132&lt;AI9)*(calc!$AJ$3:$AJ$132&gt;AJ9))&gt;0)),0)</f>
        <v/>
      </c>
      <c r="AL9" s="5">
        <f>IF(mos_metrics!J8="","",mos_metrics!J8)</f>
        <v/>
      </c>
      <c r="AM9" s="2">
        <f>AND($J9,ISNUMBER(AL9),correlation!$I$29=1)</f>
        <v/>
      </c>
      <c r="AN9" s="5">
        <f>IF(AM9,$F9,"")</f>
        <v/>
      </c>
      <c r="AO9" s="5">
        <f>IF(AM9,AL9*correlation!$J$29,"")</f>
        <v/>
      </c>
      <c r="AP9" s="5">
        <f>IF(AND(AM9,ISNUMBER(correlation!$F$29)),AO9*correlation!$F$29+correlation!$G$29,"")</f>
        <v/>
      </c>
      <c r="AQ9" s="5">
        <f>IF(AND(AM9,ISNUMBER(AP9)),(AN9-AP9)^2,"")</f>
        <v/>
      </c>
      <c r="AR9" s="5">
        <f>IF(AM9,1+SUMPRODUCT(--(calc!$AM$3:$AM$132=TRUE),--(calc!$AN$3:$AN$132&gt;AN9))+(SUMPRODUCT(--(calc!$AM$3:$AM$132=TRUE),--(calc!$AN$3:$AN$132=AN9))-1)/2,"")</f>
        <v/>
      </c>
      <c r="AS9" s="5">
        <f>IF(AM9,1+SUMPRODUCT(--(calc!$AM$3:$AM$132=TRUE),--(calc!$AO$3:$AO$132&gt;AO9))+(SUMPRODUCT(--(calc!$AM$3:$AM$132=TRUE),--(calc!$AO$3:$AO$132=AO9))-1)/2,"")</f>
        <v/>
      </c>
      <c r="AT9" s="5">
        <f>IF(AM9,SUMPRODUCT(--(calc!$AM$3:$AM$132=TRUE),--(ROW(calc!$AM$3:$AM$132)&gt;ROW(AM9)),--(((calc!$AR$3:$AR$132&gt;AR9)*(calc!$AS$3:$AS$132&gt;AS9)+(calc!$AR$3:$AR$132&lt;AR9)*(calc!$AS$3:$AS$132&lt;AS9))&gt;0))-SUMPRODUCT(--(calc!$AM$3:$AM$132=TRUE),--(ROW(calc!$AM$3:$AM$132)&gt;ROW(AM9)),--(((calc!$AR$3:$AR$132&gt;AR9)*(calc!$AS$3:$AS$132&lt;AS9)+(calc!$AR$3:$AR$132&lt;AR9)*(calc!$AS$3:$AS$132&gt;AS9))&gt;0)),0)</f>
        <v/>
      </c>
      <c r="AU9" s="5">
        <f>IF(mos_metrics!K8="","",mos_metrics!K8)</f>
        <v/>
      </c>
      <c r="AV9" s="2">
        <f>AND($J9,ISNUMBER(AU9),correlation!$I$30=1)</f>
        <v/>
      </c>
      <c r="AW9" s="5">
        <f>IF(AV9,$F9,"")</f>
        <v/>
      </c>
      <c r="AX9" s="5">
        <f>IF(AV9,AU9*correlation!$J$30,"")</f>
        <v/>
      </c>
      <c r="AY9" s="5">
        <f>IF(AND(AV9,ISNUMBER(correlation!$F$30)),AX9*correlation!$F$30+correlation!$G$30,"")</f>
        <v/>
      </c>
      <c r="AZ9" s="5">
        <f>IF(AND(AV9,ISNUMBER(AY9)),(AW9-AY9)^2,"")</f>
        <v/>
      </c>
      <c r="BA9" s="5">
        <f>IF(AV9,1+SUMPRODUCT(--(calc!$AV$3:$AV$132=TRUE),--(calc!$AW$3:$AW$132&gt;AW9))+(SUMPRODUCT(--(calc!$AV$3:$AV$132=TRUE),--(calc!$AW$3:$AW$132=AW9))-1)/2,"")</f>
        <v/>
      </c>
      <c r="BB9" s="5">
        <f>IF(AV9,1+SUMPRODUCT(--(calc!$AV$3:$AV$132=TRUE),--(calc!$AX$3:$AX$132&gt;AX9))+(SUMPRODUCT(--(calc!$AV$3:$AV$132=TRUE),--(calc!$AX$3:$AX$132=AX9))-1)/2,"")</f>
        <v/>
      </c>
      <c r="BC9" s="5">
        <f>IF(AV9,SUMPRODUCT(--(calc!$AV$3:$AV$132=TRUE),--(ROW(calc!$AV$3:$AV$132)&gt;ROW(AV9)),--(((calc!$BA$3:$BA$132&gt;BA9)*(calc!$BB$3:$BB$132&gt;BB9)+(calc!$BA$3:$BA$132&lt;BA9)*(calc!$BB$3:$BB$132&lt;BB9))&gt;0))-SUMPRODUCT(--(calc!$AV$3:$AV$132=TRUE),--(ROW(calc!$AV$3:$AV$132)&gt;ROW(AV9)),--(((calc!$BA$3:$BA$132&gt;BA9)*(calc!$BB$3:$BB$132&lt;BB9)+(calc!$BA$3:$BA$132&lt;BA9)*(calc!$BB$3:$BB$132&gt;BB9))&gt;0)),0)</f>
        <v/>
      </c>
      <c r="BD9" s="5">
        <f>IF(mos_metrics!L8="","",mos_metrics!L8)</f>
        <v/>
      </c>
      <c r="BE9" s="2">
        <f>AND($J9,ISNUMBER(BD9),correlation!$I$31=1)</f>
        <v/>
      </c>
      <c r="BF9" s="5">
        <f>IF(BE9,$F9,"")</f>
        <v/>
      </c>
      <c r="BG9" s="5">
        <f>IF(BE9,BD9*correlation!$J$31,"")</f>
        <v/>
      </c>
      <c r="BH9" s="5">
        <f>IF(AND(BE9,ISNUMBER(correlation!$F$31)),BG9*correlation!$F$31+correlation!$G$31,"")</f>
        <v/>
      </c>
      <c r="BI9" s="5">
        <f>IF(AND(BE9,ISNUMBER(BH9)),(BF9-BH9)^2,"")</f>
        <v/>
      </c>
      <c r="BJ9" s="5">
        <f>IF(BE9,1+SUMPRODUCT(--(calc!$BE$3:$BE$132=TRUE),--(calc!$BF$3:$BF$132&gt;BF9))+(SUMPRODUCT(--(calc!$BE$3:$BE$132=TRUE),--(calc!$BF$3:$BF$132=BF9))-1)/2,"")</f>
        <v/>
      </c>
      <c r="BK9" s="5">
        <f>IF(BE9,1+SUMPRODUCT(--(calc!$BE$3:$BE$132=TRUE),--(calc!$BG$3:$BG$132&gt;BG9))+(SUMPRODUCT(--(calc!$BE$3:$BE$132=TRUE),--(calc!$BG$3:$BG$132=BG9))-1)/2,"")</f>
        <v/>
      </c>
      <c r="BL9" s="5">
        <f>IF(BE9,SUMPRODUCT(--(calc!$BE$3:$BE$132=TRUE),--(ROW(calc!$BE$3:$BE$132)&gt;ROW(BE9)),--(((calc!$BJ$3:$BJ$132&gt;BJ9)*(calc!$BK$3:$BK$132&gt;BK9)+(calc!$BJ$3:$BJ$132&lt;BJ9)*(calc!$BK$3:$BK$132&lt;BK9))&gt;0))-SUMPRODUCT(--(calc!$BE$3:$BE$132=TRUE),--(ROW(calc!$BE$3:$BE$132)&gt;ROW(BE9)),--(((calc!$BJ$3:$BJ$132&gt;BJ9)*(calc!$BK$3:$BK$132&lt;BK9)+(calc!$BJ$3:$BJ$132&lt;BJ9)*(calc!$BK$3:$BK$132&gt;BK9))&gt;0)),0)</f>
        <v/>
      </c>
      <c r="BM9" s="5">
        <f>IF(mos_metrics!M8="","",mos_metrics!M8)</f>
        <v/>
      </c>
      <c r="BN9" s="2">
        <f>AND($J9,ISNUMBER(BM9),correlation!$I$32=1)</f>
        <v/>
      </c>
      <c r="BO9" s="5">
        <f>IF(BN9,$F9,"")</f>
        <v/>
      </c>
      <c r="BP9" s="5">
        <f>IF(BN9,BM9*correlation!$J$32,"")</f>
        <v/>
      </c>
      <c r="BQ9" s="5">
        <f>IF(AND(BN9,ISNUMBER(correlation!$F$32)),BP9*correlation!$F$32+correlation!$G$32,"")</f>
        <v/>
      </c>
      <c r="BR9" s="5">
        <f>IF(AND(BN9,ISNUMBER(BQ9)),(BO9-BQ9)^2,"")</f>
        <v/>
      </c>
      <c r="BS9" s="5">
        <f>IF(BN9,1+SUMPRODUCT(--(calc!$BN$3:$BN$132=TRUE),--(calc!$BO$3:$BO$132&gt;BO9))+(SUMPRODUCT(--(calc!$BN$3:$BN$132=TRUE),--(calc!$BO$3:$BO$132=BO9))-1)/2,"")</f>
        <v/>
      </c>
      <c r="BT9" s="5">
        <f>IF(BN9,1+SUMPRODUCT(--(calc!$BN$3:$BN$132=TRUE),--(calc!$BP$3:$BP$132&gt;BP9))+(SUMPRODUCT(--(calc!$BN$3:$BN$132=TRUE),--(calc!$BP$3:$BP$132=BP9))-1)/2,"")</f>
        <v/>
      </c>
      <c r="BU9" s="5">
        <f>IF(BN9,SUMPRODUCT(--(calc!$BN$3:$BN$132=TRUE),--(ROW(calc!$BN$3:$BN$132)&gt;ROW(BN9)),--(((calc!$BS$3:$BS$132&gt;BS9)*(calc!$BT$3:$BT$132&gt;BT9)+(calc!$BS$3:$BS$132&lt;BS9)*(calc!$BT$3:$BT$132&lt;BT9))&gt;0))-SUMPRODUCT(--(calc!$BN$3:$BN$132=TRUE),--(ROW(calc!$BN$3:$BN$132)&gt;ROW(BN9)),--(((calc!$BS$3:$BS$132&gt;BS9)*(calc!$BT$3:$BT$132&lt;BT9)+(calc!$BS$3:$BS$132&lt;BS9)*(calc!$BT$3:$BT$132&gt;BT9))&gt;0)),0)</f>
        <v/>
      </c>
    </row>
    <row r="10">
      <c r="A10" s="2">
        <f>mos_metrics!A9</f>
        <v/>
      </c>
      <c r="B10" s="2">
        <f>mos_metrics!B9</f>
        <v/>
      </c>
      <c r="C10" s="2">
        <f>mos_metrics!C9</f>
        <v/>
      </c>
      <c r="D10" s="2">
        <f>mos_metrics!D9</f>
        <v/>
      </c>
      <c r="E10" s="2">
        <f>mos_metrics!E9</f>
        <v/>
      </c>
      <c r="F10" s="2">
        <f>mos_metrics!F9</f>
        <v/>
      </c>
      <c r="G10" s="2">
        <f>IF($B10="","",IFERROR(VLOOKUP($B10,correlation!$A$2:$B$12,2,FALSE),1))</f>
        <v/>
      </c>
      <c r="H10" s="2">
        <f>IF($E10="","",IFERROR(VLOOKUP($E10,correlation!$D$2:$E$8,2,FALSE),1))</f>
        <v/>
      </c>
      <c r="I10" s="2">
        <f>ISNUMBER($F10)</f>
        <v/>
      </c>
      <c r="J10" s="2">
        <f>AND($G10=1,$H10=1,$I10)</f>
        <v/>
      </c>
      <c r="K10" s="5">
        <f>IF(mos_metrics!G9="","",mos_metrics!G9)</f>
        <v/>
      </c>
      <c r="L10" s="2">
        <f>AND($J10,ISNUMBER(K10),correlation!$I$26=1)</f>
        <v/>
      </c>
      <c r="M10" s="5">
        <f>IF(L10,$F10,"")</f>
        <v/>
      </c>
      <c r="N10" s="5">
        <f>IF(L10,K10*correlation!$J$26,"")</f>
        <v/>
      </c>
      <c r="O10" s="5">
        <f>IF(AND(L10,ISNUMBER(correlation!$F$26)),N10*correlation!$F$26+correlation!$G$26,"")</f>
        <v/>
      </c>
      <c r="P10" s="5">
        <f>IF(AND(L10,ISNUMBER(O10)),(M10-O10)^2,"")</f>
        <v/>
      </c>
      <c r="Q10" s="5">
        <f>IF(L10,1+SUMPRODUCT(--(calc!$L$3:$L$132=TRUE),--(calc!$M$3:$M$132&gt;M10))+(SUMPRODUCT(--(calc!$L$3:$L$132=TRUE),--(calc!$M$3:$M$132=M10))-1)/2,"")</f>
        <v/>
      </c>
      <c r="R10" s="5">
        <f>IF(L10,1+SUMPRODUCT(--(calc!$L$3:$L$132=TRUE),--(calc!$N$3:$N$132&gt;N10))+(SUMPRODUCT(--(calc!$L$3:$L$132=TRUE),--(calc!$N$3:$N$132=N10))-1)/2,"")</f>
        <v/>
      </c>
      <c r="S10" s="5">
        <f>IF(L10,SUMPRODUCT(--(calc!$L$3:$L$132=TRUE),--(ROW(calc!$L$3:$L$132)&gt;ROW(L10)),--(((calc!$Q$3:$Q$132&gt;Q10)*(calc!$R$3:$R$132&gt;R10)+(calc!$Q$3:$Q$132&lt;Q10)*(calc!$R$3:$R$132&lt;R10))&gt;0))-SUMPRODUCT(--(calc!$L$3:$L$132=TRUE),--(ROW(calc!$L$3:$L$132)&gt;ROW(L10)),--(((calc!$Q$3:$Q$132&gt;Q10)*(calc!$R$3:$R$132&lt;R10)+(calc!$Q$3:$Q$132&lt;Q10)*(calc!$R$3:$R$132&gt;R10))&gt;0)),0)</f>
        <v/>
      </c>
      <c r="T10" s="5">
        <f>IF(mos_metrics!H9="","",mos_metrics!H9)</f>
        <v/>
      </c>
      <c r="U10" s="2">
        <f>AND($J10,ISNUMBER(T10),correlation!$I$27=1)</f>
        <v/>
      </c>
      <c r="V10" s="5">
        <f>IF(U10,$F10,"")</f>
        <v/>
      </c>
      <c r="W10" s="5">
        <f>IF(U10,T10*correlation!$J$27,"")</f>
        <v/>
      </c>
      <c r="X10" s="5">
        <f>IF(AND(U10,ISNUMBER(correlation!$F$27)),W10*correlation!$F$27+correlation!$G$27,"")</f>
        <v/>
      </c>
      <c r="Y10" s="5">
        <f>IF(AND(U10,ISNUMBER(X10)),(V10-X10)^2,"")</f>
        <v/>
      </c>
      <c r="Z10" s="5">
        <f>IF(U10,1+SUMPRODUCT(--(calc!$U$3:$U$132=TRUE),--(calc!$V$3:$V$132&gt;V10))+(SUMPRODUCT(--(calc!$U$3:$U$132=TRUE),--(calc!$V$3:$V$132=V10))-1)/2,"")</f>
        <v/>
      </c>
      <c r="AA10" s="5">
        <f>IF(U10,1+SUMPRODUCT(--(calc!$U$3:$U$132=TRUE),--(calc!$W$3:$W$132&gt;W10))+(SUMPRODUCT(--(calc!$U$3:$U$132=TRUE),--(calc!$W$3:$W$132=W10))-1)/2,"")</f>
        <v/>
      </c>
      <c r="AB10" s="5">
        <f>IF(U10,SUMPRODUCT(--(calc!$U$3:$U$132=TRUE),--(ROW(calc!$U$3:$U$132)&gt;ROW(U10)),--(((calc!$Z$3:$Z$132&gt;Z10)*(calc!$AA$3:$AA$132&gt;AA10)+(calc!$Z$3:$Z$132&lt;Z10)*(calc!$AA$3:$AA$132&lt;AA10))&gt;0))-SUMPRODUCT(--(calc!$U$3:$U$132=TRUE),--(ROW(calc!$U$3:$U$132)&gt;ROW(U10)),--(((calc!$Z$3:$Z$132&gt;Z10)*(calc!$AA$3:$AA$132&lt;AA10)+(calc!$Z$3:$Z$132&lt;Z10)*(calc!$AA$3:$AA$132&gt;AA10))&gt;0)),0)</f>
        <v/>
      </c>
      <c r="AC10" s="5">
        <f>IF(mos_metrics!I9="","",mos_metrics!I9)</f>
        <v/>
      </c>
      <c r="AD10" s="2">
        <f>AND($J10,ISNUMBER(AC10),correlation!$I$28=1)</f>
        <v/>
      </c>
      <c r="AE10" s="5">
        <f>IF(AD10,$F10,"")</f>
        <v/>
      </c>
      <c r="AF10" s="5">
        <f>IF(AD10,AC10*correlation!$J$28,"")</f>
        <v/>
      </c>
      <c r="AG10" s="5">
        <f>IF(AND(AD10,ISNUMBER(correlation!$F$28)),AF10*correlation!$F$28+correlation!$G$28,"")</f>
        <v/>
      </c>
      <c r="AH10" s="5">
        <f>IF(AND(AD10,ISNUMBER(AG10)),(AE10-AG10)^2,"")</f>
        <v/>
      </c>
      <c r="AI10" s="5">
        <f>IF(AD10,1+SUMPRODUCT(--(calc!$AD$3:$AD$132=TRUE),--(calc!$AE$3:$AE$132&gt;AE10))+(SUMPRODUCT(--(calc!$AD$3:$AD$132=TRUE),--(calc!$AE$3:$AE$132=AE10))-1)/2,"")</f>
        <v/>
      </c>
      <c r="AJ10" s="5">
        <f>IF(AD10,1+SUMPRODUCT(--(calc!$AD$3:$AD$132=TRUE),--(calc!$AF$3:$AF$132&gt;AF10))+(SUMPRODUCT(--(calc!$AD$3:$AD$132=TRUE),--(calc!$AF$3:$AF$132=AF10))-1)/2,"")</f>
        <v/>
      </c>
      <c r="AK10" s="5">
        <f>IF(AD10,SUMPRODUCT(--(calc!$AD$3:$AD$132=TRUE),--(ROW(calc!$AD$3:$AD$132)&gt;ROW(AD10)),--(((calc!$AI$3:$AI$132&gt;AI10)*(calc!$AJ$3:$AJ$132&gt;AJ10)+(calc!$AI$3:$AI$132&lt;AI10)*(calc!$AJ$3:$AJ$132&lt;AJ10))&gt;0))-SUMPRODUCT(--(calc!$AD$3:$AD$132=TRUE),--(ROW(calc!$AD$3:$AD$132)&gt;ROW(AD10)),--(((calc!$AI$3:$AI$132&gt;AI10)*(calc!$AJ$3:$AJ$132&lt;AJ10)+(calc!$AI$3:$AI$132&lt;AI10)*(calc!$AJ$3:$AJ$132&gt;AJ10))&gt;0)),0)</f>
        <v/>
      </c>
      <c r="AL10" s="5">
        <f>IF(mos_metrics!J9="","",mos_metrics!J9)</f>
        <v/>
      </c>
      <c r="AM10" s="2">
        <f>AND($J10,ISNUMBER(AL10),correlation!$I$29=1)</f>
        <v/>
      </c>
      <c r="AN10" s="5">
        <f>IF(AM10,$F10,"")</f>
        <v/>
      </c>
      <c r="AO10" s="5">
        <f>IF(AM10,AL10*correlation!$J$29,"")</f>
        <v/>
      </c>
      <c r="AP10" s="5">
        <f>IF(AND(AM10,ISNUMBER(correlation!$F$29)),AO10*correlation!$F$29+correlation!$G$29,"")</f>
        <v/>
      </c>
      <c r="AQ10" s="5">
        <f>IF(AND(AM10,ISNUMBER(AP10)),(AN10-AP10)^2,"")</f>
        <v/>
      </c>
      <c r="AR10" s="5">
        <f>IF(AM10,1+SUMPRODUCT(--(calc!$AM$3:$AM$132=TRUE),--(calc!$AN$3:$AN$132&gt;AN10))+(SUMPRODUCT(--(calc!$AM$3:$AM$132=TRUE),--(calc!$AN$3:$AN$132=AN10))-1)/2,"")</f>
        <v/>
      </c>
      <c r="AS10" s="5">
        <f>IF(AM10,1+SUMPRODUCT(--(calc!$AM$3:$AM$132=TRUE),--(calc!$AO$3:$AO$132&gt;AO10))+(SUMPRODUCT(--(calc!$AM$3:$AM$132=TRUE),--(calc!$AO$3:$AO$132=AO10))-1)/2,"")</f>
        <v/>
      </c>
      <c r="AT10" s="5">
        <f>IF(AM10,SUMPRODUCT(--(calc!$AM$3:$AM$132=TRUE),--(ROW(calc!$AM$3:$AM$132)&gt;ROW(AM10)),--(((calc!$AR$3:$AR$132&gt;AR10)*(calc!$AS$3:$AS$132&gt;AS10)+(calc!$AR$3:$AR$132&lt;AR10)*(calc!$AS$3:$AS$132&lt;AS10))&gt;0))-SUMPRODUCT(--(calc!$AM$3:$AM$132=TRUE),--(ROW(calc!$AM$3:$AM$132)&gt;ROW(AM10)),--(((calc!$AR$3:$AR$132&gt;AR10)*(calc!$AS$3:$AS$132&lt;AS10)+(calc!$AR$3:$AR$132&lt;AR10)*(calc!$AS$3:$AS$132&gt;AS10))&gt;0)),0)</f>
        <v/>
      </c>
      <c r="AU10" s="5">
        <f>IF(mos_metrics!K9="","",mos_metrics!K9)</f>
        <v/>
      </c>
      <c r="AV10" s="2">
        <f>AND($J10,ISNUMBER(AU10),correlation!$I$30=1)</f>
        <v/>
      </c>
      <c r="AW10" s="5">
        <f>IF(AV10,$F10,"")</f>
        <v/>
      </c>
      <c r="AX10" s="5">
        <f>IF(AV10,AU10*correlation!$J$30,"")</f>
        <v/>
      </c>
      <c r="AY10" s="5">
        <f>IF(AND(AV10,ISNUMBER(correlation!$F$30)),AX10*correlation!$F$30+correlation!$G$30,"")</f>
        <v/>
      </c>
      <c r="AZ10" s="5">
        <f>IF(AND(AV10,ISNUMBER(AY10)),(AW10-AY10)^2,"")</f>
        <v/>
      </c>
      <c r="BA10" s="5">
        <f>IF(AV10,1+SUMPRODUCT(--(calc!$AV$3:$AV$132=TRUE),--(calc!$AW$3:$AW$132&gt;AW10))+(SUMPRODUCT(--(calc!$AV$3:$AV$132=TRUE),--(calc!$AW$3:$AW$132=AW10))-1)/2,"")</f>
        <v/>
      </c>
      <c r="BB10" s="5">
        <f>IF(AV10,1+SUMPRODUCT(--(calc!$AV$3:$AV$132=TRUE),--(calc!$AX$3:$AX$132&gt;AX10))+(SUMPRODUCT(--(calc!$AV$3:$AV$132=TRUE),--(calc!$AX$3:$AX$132=AX10))-1)/2,"")</f>
        <v/>
      </c>
      <c r="BC10" s="5">
        <f>IF(AV10,SUMPRODUCT(--(calc!$AV$3:$AV$132=TRUE),--(ROW(calc!$AV$3:$AV$132)&gt;ROW(AV10)),--(((calc!$BA$3:$BA$132&gt;BA10)*(calc!$BB$3:$BB$132&gt;BB10)+(calc!$BA$3:$BA$132&lt;BA10)*(calc!$BB$3:$BB$132&lt;BB10))&gt;0))-SUMPRODUCT(--(calc!$AV$3:$AV$132=TRUE),--(ROW(calc!$AV$3:$AV$132)&gt;ROW(AV10)),--(((calc!$BA$3:$BA$132&gt;BA10)*(calc!$BB$3:$BB$132&lt;BB10)+(calc!$BA$3:$BA$132&lt;BA10)*(calc!$BB$3:$BB$132&gt;BB10))&gt;0)),0)</f>
        <v/>
      </c>
      <c r="BD10" s="5">
        <f>IF(mos_metrics!L9="","",mos_metrics!L9)</f>
        <v/>
      </c>
      <c r="BE10" s="2">
        <f>AND($J10,ISNUMBER(BD10),correlation!$I$31=1)</f>
        <v/>
      </c>
      <c r="BF10" s="5">
        <f>IF(BE10,$F10,"")</f>
        <v/>
      </c>
      <c r="BG10" s="5">
        <f>IF(BE10,BD10*correlation!$J$31,"")</f>
        <v/>
      </c>
      <c r="BH10" s="5">
        <f>IF(AND(BE10,ISNUMBER(correlation!$F$31)),BG10*correlation!$F$31+correlation!$G$31,"")</f>
        <v/>
      </c>
      <c r="BI10" s="5">
        <f>IF(AND(BE10,ISNUMBER(BH10)),(BF10-BH10)^2,"")</f>
        <v/>
      </c>
      <c r="BJ10" s="5">
        <f>IF(BE10,1+SUMPRODUCT(--(calc!$BE$3:$BE$132=TRUE),--(calc!$BF$3:$BF$132&gt;BF10))+(SUMPRODUCT(--(calc!$BE$3:$BE$132=TRUE),--(calc!$BF$3:$BF$132=BF10))-1)/2,"")</f>
        <v/>
      </c>
      <c r="BK10" s="5">
        <f>IF(BE10,1+SUMPRODUCT(--(calc!$BE$3:$BE$132=TRUE),--(calc!$BG$3:$BG$132&gt;BG10))+(SUMPRODUCT(--(calc!$BE$3:$BE$132=TRUE),--(calc!$BG$3:$BG$132=BG10))-1)/2,"")</f>
        <v/>
      </c>
      <c r="BL10" s="5">
        <f>IF(BE10,SUMPRODUCT(--(calc!$BE$3:$BE$132=TRUE),--(ROW(calc!$BE$3:$BE$132)&gt;ROW(BE10)),--(((calc!$BJ$3:$BJ$132&gt;BJ10)*(calc!$BK$3:$BK$132&gt;BK10)+(calc!$BJ$3:$BJ$132&lt;BJ10)*(calc!$BK$3:$BK$132&lt;BK10))&gt;0))-SUMPRODUCT(--(calc!$BE$3:$BE$132=TRUE),--(ROW(calc!$BE$3:$BE$132)&gt;ROW(BE10)),--(((calc!$BJ$3:$BJ$132&gt;BJ10)*(calc!$BK$3:$BK$132&lt;BK10)+(calc!$BJ$3:$BJ$132&lt;BJ10)*(calc!$BK$3:$BK$132&gt;BK10))&gt;0)),0)</f>
        <v/>
      </c>
      <c r="BM10" s="5">
        <f>IF(mos_metrics!M9="","",mos_metrics!M9)</f>
        <v/>
      </c>
      <c r="BN10" s="2">
        <f>AND($J10,ISNUMBER(BM10),correlation!$I$32=1)</f>
        <v/>
      </c>
      <c r="BO10" s="5">
        <f>IF(BN10,$F10,"")</f>
        <v/>
      </c>
      <c r="BP10" s="5">
        <f>IF(BN10,BM10*correlation!$J$32,"")</f>
        <v/>
      </c>
      <c r="BQ10" s="5">
        <f>IF(AND(BN10,ISNUMBER(correlation!$F$32)),BP10*correlation!$F$32+correlation!$G$32,"")</f>
        <v/>
      </c>
      <c r="BR10" s="5">
        <f>IF(AND(BN10,ISNUMBER(BQ10)),(BO10-BQ10)^2,"")</f>
        <v/>
      </c>
      <c r="BS10" s="5">
        <f>IF(BN10,1+SUMPRODUCT(--(calc!$BN$3:$BN$132=TRUE),--(calc!$BO$3:$BO$132&gt;BO10))+(SUMPRODUCT(--(calc!$BN$3:$BN$132=TRUE),--(calc!$BO$3:$BO$132=BO10))-1)/2,"")</f>
        <v/>
      </c>
      <c r="BT10" s="5">
        <f>IF(BN10,1+SUMPRODUCT(--(calc!$BN$3:$BN$132=TRUE),--(calc!$BP$3:$BP$132&gt;BP10))+(SUMPRODUCT(--(calc!$BN$3:$BN$132=TRUE),--(calc!$BP$3:$BP$132=BP10))-1)/2,"")</f>
        <v/>
      </c>
      <c r="BU10" s="5">
        <f>IF(BN10,SUMPRODUCT(--(calc!$BN$3:$BN$132=TRUE),--(ROW(calc!$BN$3:$BN$132)&gt;ROW(BN10)),--(((calc!$BS$3:$BS$132&gt;BS10)*(calc!$BT$3:$BT$132&gt;BT10)+(calc!$BS$3:$BS$132&lt;BS10)*(calc!$BT$3:$BT$132&lt;BT10))&gt;0))-SUMPRODUCT(--(calc!$BN$3:$BN$132=TRUE),--(ROW(calc!$BN$3:$BN$132)&gt;ROW(BN10)),--(((calc!$BS$3:$BS$132&gt;BS10)*(calc!$BT$3:$BT$132&lt;BT10)+(calc!$BS$3:$BS$132&lt;BS10)*(calc!$BT$3:$BT$132&gt;BT10))&gt;0)),0)</f>
        <v/>
      </c>
    </row>
    <row r="11">
      <c r="A11" s="2">
        <f>mos_metrics!A10</f>
        <v/>
      </c>
      <c r="B11" s="2">
        <f>mos_metrics!B10</f>
        <v/>
      </c>
      <c r="C11" s="2">
        <f>mos_metrics!C10</f>
        <v/>
      </c>
      <c r="D11" s="2">
        <f>mos_metrics!D10</f>
        <v/>
      </c>
      <c r="E11" s="2">
        <f>mos_metrics!E10</f>
        <v/>
      </c>
      <c r="F11" s="2">
        <f>mos_metrics!F10</f>
        <v/>
      </c>
      <c r="G11" s="2">
        <f>IF($B11="","",IFERROR(VLOOKUP($B11,correlation!$A$2:$B$12,2,FALSE),1))</f>
        <v/>
      </c>
      <c r="H11" s="2">
        <f>IF($E11="","",IFERROR(VLOOKUP($E11,correlation!$D$2:$E$8,2,FALSE),1))</f>
        <v/>
      </c>
      <c r="I11" s="2">
        <f>ISNUMBER($F11)</f>
        <v/>
      </c>
      <c r="J11" s="2">
        <f>AND($G11=1,$H11=1,$I11)</f>
        <v/>
      </c>
      <c r="K11" s="5">
        <f>IF(mos_metrics!G10="","",mos_metrics!G10)</f>
        <v/>
      </c>
      <c r="L11" s="2">
        <f>AND($J11,ISNUMBER(K11),correlation!$I$26=1)</f>
        <v/>
      </c>
      <c r="M11" s="5">
        <f>IF(L11,$F11,"")</f>
        <v/>
      </c>
      <c r="N11" s="5">
        <f>IF(L11,K11*correlation!$J$26,"")</f>
        <v/>
      </c>
      <c r="O11" s="5">
        <f>IF(AND(L11,ISNUMBER(correlation!$F$26)),N11*correlation!$F$26+correlation!$G$26,"")</f>
        <v/>
      </c>
      <c r="P11" s="5">
        <f>IF(AND(L11,ISNUMBER(O11)),(M11-O11)^2,"")</f>
        <v/>
      </c>
      <c r="Q11" s="5">
        <f>IF(L11,1+SUMPRODUCT(--(calc!$L$3:$L$132=TRUE),--(calc!$M$3:$M$132&gt;M11))+(SUMPRODUCT(--(calc!$L$3:$L$132=TRUE),--(calc!$M$3:$M$132=M11))-1)/2,"")</f>
        <v/>
      </c>
      <c r="R11" s="5">
        <f>IF(L11,1+SUMPRODUCT(--(calc!$L$3:$L$132=TRUE),--(calc!$N$3:$N$132&gt;N11))+(SUMPRODUCT(--(calc!$L$3:$L$132=TRUE),--(calc!$N$3:$N$132=N11))-1)/2,"")</f>
        <v/>
      </c>
      <c r="S11" s="5">
        <f>IF(L11,SUMPRODUCT(--(calc!$L$3:$L$132=TRUE),--(ROW(calc!$L$3:$L$132)&gt;ROW(L11)),--(((calc!$Q$3:$Q$132&gt;Q11)*(calc!$R$3:$R$132&gt;R11)+(calc!$Q$3:$Q$132&lt;Q11)*(calc!$R$3:$R$132&lt;R11))&gt;0))-SUMPRODUCT(--(calc!$L$3:$L$132=TRUE),--(ROW(calc!$L$3:$L$132)&gt;ROW(L11)),--(((calc!$Q$3:$Q$132&gt;Q11)*(calc!$R$3:$R$132&lt;R11)+(calc!$Q$3:$Q$132&lt;Q11)*(calc!$R$3:$R$132&gt;R11))&gt;0)),0)</f>
        <v/>
      </c>
      <c r="T11" s="5">
        <f>IF(mos_metrics!H10="","",mos_metrics!H10)</f>
        <v/>
      </c>
      <c r="U11" s="2">
        <f>AND($J11,ISNUMBER(T11),correlation!$I$27=1)</f>
        <v/>
      </c>
      <c r="V11" s="5">
        <f>IF(U11,$F11,"")</f>
        <v/>
      </c>
      <c r="W11" s="5">
        <f>IF(U11,T11*correlation!$J$27,"")</f>
        <v/>
      </c>
      <c r="X11" s="5">
        <f>IF(AND(U11,ISNUMBER(correlation!$F$27)),W11*correlation!$F$27+correlation!$G$27,"")</f>
        <v/>
      </c>
      <c r="Y11" s="5">
        <f>IF(AND(U11,ISNUMBER(X11)),(V11-X11)^2,"")</f>
        <v/>
      </c>
      <c r="Z11" s="5">
        <f>IF(U11,1+SUMPRODUCT(--(calc!$U$3:$U$132=TRUE),--(calc!$V$3:$V$132&gt;V11))+(SUMPRODUCT(--(calc!$U$3:$U$132=TRUE),--(calc!$V$3:$V$132=V11))-1)/2,"")</f>
        <v/>
      </c>
      <c r="AA11" s="5">
        <f>IF(U11,1+SUMPRODUCT(--(calc!$U$3:$U$132=TRUE),--(calc!$W$3:$W$132&gt;W11))+(SUMPRODUCT(--(calc!$U$3:$U$132=TRUE),--(calc!$W$3:$W$132=W11))-1)/2,"")</f>
        <v/>
      </c>
      <c r="AB11" s="5">
        <f>IF(U11,SUMPRODUCT(--(calc!$U$3:$U$132=TRUE),--(ROW(calc!$U$3:$U$132)&gt;ROW(U11)),--(((calc!$Z$3:$Z$132&gt;Z11)*(calc!$AA$3:$AA$132&gt;AA11)+(calc!$Z$3:$Z$132&lt;Z11)*(calc!$AA$3:$AA$132&lt;AA11))&gt;0))-SUMPRODUCT(--(calc!$U$3:$U$132=TRUE),--(ROW(calc!$U$3:$U$132)&gt;ROW(U11)),--(((calc!$Z$3:$Z$132&gt;Z11)*(calc!$AA$3:$AA$132&lt;AA11)+(calc!$Z$3:$Z$132&lt;Z11)*(calc!$AA$3:$AA$132&gt;AA11))&gt;0)),0)</f>
        <v/>
      </c>
      <c r="AC11" s="5">
        <f>IF(mos_metrics!I10="","",mos_metrics!I10)</f>
        <v/>
      </c>
      <c r="AD11" s="2">
        <f>AND($J11,ISNUMBER(AC11),correlation!$I$28=1)</f>
        <v/>
      </c>
      <c r="AE11" s="5">
        <f>IF(AD11,$F11,"")</f>
        <v/>
      </c>
      <c r="AF11" s="5">
        <f>IF(AD11,AC11*correlation!$J$28,"")</f>
        <v/>
      </c>
      <c r="AG11" s="5">
        <f>IF(AND(AD11,ISNUMBER(correlation!$F$28)),AF11*correlation!$F$28+correlation!$G$28,"")</f>
        <v/>
      </c>
      <c r="AH11" s="5">
        <f>IF(AND(AD11,ISNUMBER(AG11)),(AE11-AG11)^2,"")</f>
        <v/>
      </c>
      <c r="AI11" s="5">
        <f>IF(AD11,1+SUMPRODUCT(--(calc!$AD$3:$AD$132=TRUE),--(calc!$AE$3:$AE$132&gt;AE11))+(SUMPRODUCT(--(calc!$AD$3:$AD$132=TRUE),--(calc!$AE$3:$AE$132=AE11))-1)/2,"")</f>
        <v/>
      </c>
      <c r="AJ11" s="5">
        <f>IF(AD11,1+SUMPRODUCT(--(calc!$AD$3:$AD$132=TRUE),--(calc!$AF$3:$AF$132&gt;AF11))+(SUMPRODUCT(--(calc!$AD$3:$AD$132=TRUE),--(calc!$AF$3:$AF$132=AF11))-1)/2,"")</f>
        <v/>
      </c>
      <c r="AK11" s="5">
        <f>IF(AD11,SUMPRODUCT(--(calc!$AD$3:$AD$132=TRUE),--(ROW(calc!$AD$3:$AD$132)&gt;ROW(AD11)),--(((calc!$AI$3:$AI$132&gt;AI11)*(calc!$AJ$3:$AJ$132&gt;AJ11)+(calc!$AI$3:$AI$132&lt;AI11)*(calc!$AJ$3:$AJ$132&lt;AJ11))&gt;0))-SUMPRODUCT(--(calc!$AD$3:$AD$132=TRUE),--(ROW(calc!$AD$3:$AD$132)&gt;ROW(AD11)),--(((calc!$AI$3:$AI$132&gt;AI11)*(calc!$AJ$3:$AJ$132&lt;AJ11)+(calc!$AI$3:$AI$132&lt;AI11)*(calc!$AJ$3:$AJ$132&gt;AJ11))&gt;0)),0)</f>
        <v/>
      </c>
      <c r="AL11" s="5">
        <f>IF(mos_metrics!J10="","",mos_metrics!J10)</f>
        <v/>
      </c>
      <c r="AM11" s="2">
        <f>AND($J11,ISNUMBER(AL11),correlation!$I$29=1)</f>
        <v/>
      </c>
      <c r="AN11" s="5">
        <f>IF(AM11,$F11,"")</f>
        <v/>
      </c>
      <c r="AO11" s="5">
        <f>IF(AM11,AL11*correlation!$J$29,"")</f>
        <v/>
      </c>
      <c r="AP11" s="5">
        <f>IF(AND(AM11,ISNUMBER(correlation!$F$29)),AO11*correlation!$F$29+correlation!$G$29,"")</f>
        <v/>
      </c>
      <c r="AQ11" s="5">
        <f>IF(AND(AM11,ISNUMBER(AP11)),(AN11-AP11)^2,"")</f>
        <v/>
      </c>
      <c r="AR11" s="5">
        <f>IF(AM11,1+SUMPRODUCT(--(calc!$AM$3:$AM$132=TRUE),--(calc!$AN$3:$AN$132&gt;AN11))+(SUMPRODUCT(--(calc!$AM$3:$AM$132=TRUE),--(calc!$AN$3:$AN$132=AN11))-1)/2,"")</f>
        <v/>
      </c>
      <c r="AS11" s="5">
        <f>IF(AM11,1+SUMPRODUCT(--(calc!$AM$3:$AM$132=TRUE),--(calc!$AO$3:$AO$132&gt;AO11))+(SUMPRODUCT(--(calc!$AM$3:$AM$132=TRUE),--(calc!$AO$3:$AO$132=AO11))-1)/2,"")</f>
        <v/>
      </c>
      <c r="AT11" s="5">
        <f>IF(AM11,SUMPRODUCT(--(calc!$AM$3:$AM$132=TRUE),--(ROW(calc!$AM$3:$AM$132)&gt;ROW(AM11)),--(((calc!$AR$3:$AR$132&gt;AR11)*(calc!$AS$3:$AS$132&gt;AS11)+(calc!$AR$3:$AR$132&lt;AR11)*(calc!$AS$3:$AS$132&lt;AS11))&gt;0))-SUMPRODUCT(--(calc!$AM$3:$AM$132=TRUE),--(ROW(calc!$AM$3:$AM$132)&gt;ROW(AM11)),--(((calc!$AR$3:$AR$132&gt;AR11)*(calc!$AS$3:$AS$132&lt;AS11)+(calc!$AR$3:$AR$132&lt;AR11)*(calc!$AS$3:$AS$132&gt;AS11))&gt;0)),0)</f>
        <v/>
      </c>
      <c r="AU11" s="5">
        <f>IF(mos_metrics!K10="","",mos_metrics!K10)</f>
        <v/>
      </c>
      <c r="AV11" s="2">
        <f>AND($J11,ISNUMBER(AU11),correlation!$I$30=1)</f>
        <v/>
      </c>
      <c r="AW11" s="5">
        <f>IF(AV11,$F11,"")</f>
        <v/>
      </c>
      <c r="AX11" s="5">
        <f>IF(AV11,AU11*correlation!$J$30,"")</f>
        <v/>
      </c>
      <c r="AY11" s="5">
        <f>IF(AND(AV11,ISNUMBER(correlation!$F$30)),AX11*correlation!$F$30+correlation!$G$30,"")</f>
        <v/>
      </c>
      <c r="AZ11" s="5">
        <f>IF(AND(AV11,ISNUMBER(AY11)),(AW11-AY11)^2,"")</f>
        <v/>
      </c>
      <c r="BA11" s="5">
        <f>IF(AV11,1+SUMPRODUCT(--(calc!$AV$3:$AV$132=TRUE),--(calc!$AW$3:$AW$132&gt;AW11))+(SUMPRODUCT(--(calc!$AV$3:$AV$132=TRUE),--(calc!$AW$3:$AW$132=AW11))-1)/2,"")</f>
        <v/>
      </c>
      <c r="BB11" s="5">
        <f>IF(AV11,1+SUMPRODUCT(--(calc!$AV$3:$AV$132=TRUE),--(calc!$AX$3:$AX$132&gt;AX11))+(SUMPRODUCT(--(calc!$AV$3:$AV$132=TRUE),--(calc!$AX$3:$AX$132=AX11))-1)/2,"")</f>
        <v/>
      </c>
      <c r="BC11" s="5">
        <f>IF(AV11,SUMPRODUCT(--(calc!$AV$3:$AV$132=TRUE),--(ROW(calc!$AV$3:$AV$132)&gt;ROW(AV11)),--(((calc!$BA$3:$BA$132&gt;BA11)*(calc!$BB$3:$BB$132&gt;BB11)+(calc!$BA$3:$BA$132&lt;BA11)*(calc!$BB$3:$BB$132&lt;BB11))&gt;0))-SUMPRODUCT(--(calc!$AV$3:$AV$132=TRUE),--(ROW(calc!$AV$3:$AV$132)&gt;ROW(AV11)),--(((calc!$BA$3:$BA$132&gt;BA11)*(calc!$BB$3:$BB$132&lt;BB11)+(calc!$BA$3:$BA$132&lt;BA11)*(calc!$BB$3:$BB$132&gt;BB11))&gt;0)),0)</f>
        <v/>
      </c>
      <c r="BD11" s="5">
        <f>IF(mos_metrics!L10="","",mos_metrics!L10)</f>
        <v/>
      </c>
      <c r="BE11" s="2">
        <f>AND($J11,ISNUMBER(BD11),correlation!$I$31=1)</f>
        <v/>
      </c>
      <c r="BF11" s="5">
        <f>IF(BE11,$F11,"")</f>
        <v/>
      </c>
      <c r="BG11" s="5">
        <f>IF(BE11,BD11*correlation!$J$31,"")</f>
        <v/>
      </c>
      <c r="BH11" s="5">
        <f>IF(AND(BE11,ISNUMBER(correlation!$F$31)),BG11*correlation!$F$31+correlation!$G$31,"")</f>
        <v/>
      </c>
      <c r="BI11" s="5">
        <f>IF(AND(BE11,ISNUMBER(BH11)),(BF11-BH11)^2,"")</f>
        <v/>
      </c>
      <c r="BJ11" s="5">
        <f>IF(BE11,1+SUMPRODUCT(--(calc!$BE$3:$BE$132=TRUE),--(calc!$BF$3:$BF$132&gt;BF11))+(SUMPRODUCT(--(calc!$BE$3:$BE$132=TRUE),--(calc!$BF$3:$BF$132=BF11))-1)/2,"")</f>
        <v/>
      </c>
      <c r="BK11" s="5">
        <f>IF(BE11,1+SUMPRODUCT(--(calc!$BE$3:$BE$132=TRUE),--(calc!$BG$3:$BG$132&gt;BG11))+(SUMPRODUCT(--(calc!$BE$3:$BE$132=TRUE),--(calc!$BG$3:$BG$132=BG11))-1)/2,"")</f>
        <v/>
      </c>
      <c r="BL11" s="5">
        <f>IF(BE11,SUMPRODUCT(--(calc!$BE$3:$BE$132=TRUE),--(ROW(calc!$BE$3:$BE$132)&gt;ROW(BE11)),--(((calc!$BJ$3:$BJ$132&gt;BJ11)*(calc!$BK$3:$BK$132&gt;BK11)+(calc!$BJ$3:$BJ$132&lt;BJ11)*(calc!$BK$3:$BK$132&lt;BK11))&gt;0))-SUMPRODUCT(--(calc!$BE$3:$BE$132=TRUE),--(ROW(calc!$BE$3:$BE$132)&gt;ROW(BE11)),--(((calc!$BJ$3:$BJ$132&gt;BJ11)*(calc!$BK$3:$BK$132&lt;BK11)+(calc!$BJ$3:$BJ$132&lt;BJ11)*(calc!$BK$3:$BK$132&gt;BK11))&gt;0)),0)</f>
        <v/>
      </c>
      <c r="BM11" s="5">
        <f>IF(mos_metrics!M10="","",mos_metrics!M10)</f>
        <v/>
      </c>
      <c r="BN11" s="2">
        <f>AND($J11,ISNUMBER(BM11),correlation!$I$32=1)</f>
        <v/>
      </c>
      <c r="BO11" s="5">
        <f>IF(BN11,$F11,"")</f>
        <v/>
      </c>
      <c r="BP11" s="5">
        <f>IF(BN11,BM11*correlation!$J$32,"")</f>
        <v/>
      </c>
      <c r="BQ11" s="5">
        <f>IF(AND(BN11,ISNUMBER(correlation!$F$32)),BP11*correlation!$F$32+correlation!$G$32,"")</f>
        <v/>
      </c>
      <c r="BR11" s="5">
        <f>IF(AND(BN11,ISNUMBER(BQ11)),(BO11-BQ11)^2,"")</f>
        <v/>
      </c>
      <c r="BS11" s="5">
        <f>IF(BN11,1+SUMPRODUCT(--(calc!$BN$3:$BN$132=TRUE),--(calc!$BO$3:$BO$132&gt;BO11))+(SUMPRODUCT(--(calc!$BN$3:$BN$132=TRUE),--(calc!$BO$3:$BO$132=BO11))-1)/2,"")</f>
        <v/>
      </c>
      <c r="BT11" s="5">
        <f>IF(BN11,1+SUMPRODUCT(--(calc!$BN$3:$BN$132=TRUE),--(calc!$BP$3:$BP$132&gt;BP11))+(SUMPRODUCT(--(calc!$BN$3:$BN$132=TRUE),--(calc!$BP$3:$BP$132=BP11))-1)/2,"")</f>
        <v/>
      </c>
      <c r="BU11" s="5">
        <f>IF(BN11,SUMPRODUCT(--(calc!$BN$3:$BN$132=TRUE),--(ROW(calc!$BN$3:$BN$132)&gt;ROW(BN11)),--(((calc!$BS$3:$BS$132&gt;BS11)*(calc!$BT$3:$BT$132&gt;BT11)+(calc!$BS$3:$BS$132&lt;BS11)*(calc!$BT$3:$BT$132&lt;BT11))&gt;0))-SUMPRODUCT(--(calc!$BN$3:$BN$132=TRUE),--(ROW(calc!$BN$3:$BN$132)&gt;ROW(BN11)),--(((calc!$BS$3:$BS$132&gt;BS11)*(calc!$BT$3:$BT$132&lt;BT11)+(calc!$BS$3:$BS$132&lt;BS11)*(calc!$BT$3:$BT$132&gt;BT11))&gt;0)),0)</f>
        <v/>
      </c>
    </row>
    <row r="12">
      <c r="A12" s="2">
        <f>mos_metrics!A11</f>
        <v/>
      </c>
      <c r="B12" s="2">
        <f>mos_metrics!B11</f>
        <v/>
      </c>
      <c r="C12" s="2">
        <f>mos_metrics!C11</f>
        <v/>
      </c>
      <c r="D12" s="2">
        <f>mos_metrics!D11</f>
        <v/>
      </c>
      <c r="E12" s="2">
        <f>mos_metrics!E11</f>
        <v/>
      </c>
      <c r="F12" s="2">
        <f>mos_metrics!F11</f>
        <v/>
      </c>
      <c r="G12" s="2">
        <f>IF($B12="","",IFERROR(VLOOKUP($B12,correlation!$A$2:$B$12,2,FALSE),1))</f>
        <v/>
      </c>
      <c r="H12" s="2">
        <f>IF($E12="","",IFERROR(VLOOKUP($E12,correlation!$D$2:$E$8,2,FALSE),1))</f>
        <v/>
      </c>
      <c r="I12" s="2">
        <f>ISNUMBER($F12)</f>
        <v/>
      </c>
      <c r="J12" s="2">
        <f>AND($G12=1,$H12=1,$I12)</f>
        <v/>
      </c>
      <c r="K12" s="5">
        <f>IF(mos_metrics!G11="","",mos_metrics!G11)</f>
        <v/>
      </c>
      <c r="L12" s="2">
        <f>AND($J12,ISNUMBER(K12),correlation!$I$26=1)</f>
        <v/>
      </c>
      <c r="M12" s="5">
        <f>IF(L12,$F12,"")</f>
        <v/>
      </c>
      <c r="N12" s="5">
        <f>IF(L12,K12*correlation!$J$26,"")</f>
        <v/>
      </c>
      <c r="O12" s="5">
        <f>IF(AND(L12,ISNUMBER(correlation!$F$26)),N12*correlation!$F$26+correlation!$G$26,"")</f>
        <v/>
      </c>
      <c r="P12" s="5">
        <f>IF(AND(L12,ISNUMBER(O12)),(M12-O12)^2,"")</f>
        <v/>
      </c>
      <c r="Q12" s="5">
        <f>IF(L12,1+SUMPRODUCT(--(calc!$L$3:$L$132=TRUE),--(calc!$M$3:$M$132&gt;M12))+(SUMPRODUCT(--(calc!$L$3:$L$132=TRUE),--(calc!$M$3:$M$132=M12))-1)/2,"")</f>
        <v/>
      </c>
      <c r="R12" s="5">
        <f>IF(L12,1+SUMPRODUCT(--(calc!$L$3:$L$132=TRUE),--(calc!$N$3:$N$132&gt;N12))+(SUMPRODUCT(--(calc!$L$3:$L$132=TRUE),--(calc!$N$3:$N$132=N12))-1)/2,"")</f>
        <v/>
      </c>
      <c r="S12" s="5">
        <f>IF(L12,SUMPRODUCT(--(calc!$L$3:$L$132=TRUE),--(ROW(calc!$L$3:$L$132)&gt;ROW(L12)),--(((calc!$Q$3:$Q$132&gt;Q12)*(calc!$R$3:$R$132&gt;R12)+(calc!$Q$3:$Q$132&lt;Q12)*(calc!$R$3:$R$132&lt;R12))&gt;0))-SUMPRODUCT(--(calc!$L$3:$L$132=TRUE),--(ROW(calc!$L$3:$L$132)&gt;ROW(L12)),--(((calc!$Q$3:$Q$132&gt;Q12)*(calc!$R$3:$R$132&lt;R12)+(calc!$Q$3:$Q$132&lt;Q12)*(calc!$R$3:$R$132&gt;R12))&gt;0)),0)</f>
        <v/>
      </c>
      <c r="T12" s="5">
        <f>IF(mos_metrics!H11="","",mos_metrics!H11)</f>
        <v/>
      </c>
      <c r="U12" s="2">
        <f>AND($J12,ISNUMBER(T12),correlation!$I$27=1)</f>
        <v/>
      </c>
      <c r="V12" s="5">
        <f>IF(U12,$F12,"")</f>
        <v/>
      </c>
      <c r="W12" s="5">
        <f>IF(U12,T12*correlation!$J$27,"")</f>
        <v/>
      </c>
      <c r="X12" s="5">
        <f>IF(AND(U12,ISNUMBER(correlation!$F$27)),W12*correlation!$F$27+correlation!$G$27,"")</f>
        <v/>
      </c>
      <c r="Y12" s="5">
        <f>IF(AND(U12,ISNUMBER(X12)),(V12-X12)^2,"")</f>
        <v/>
      </c>
      <c r="Z12" s="5">
        <f>IF(U12,1+SUMPRODUCT(--(calc!$U$3:$U$132=TRUE),--(calc!$V$3:$V$132&gt;V12))+(SUMPRODUCT(--(calc!$U$3:$U$132=TRUE),--(calc!$V$3:$V$132=V12))-1)/2,"")</f>
        <v/>
      </c>
      <c r="AA12" s="5">
        <f>IF(U12,1+SUMPRODUCT(--(calc!$U$3:$U$132=TRUE),--(calc!$W$3:$W$132&gt;W12))+(SUMPRODUCT(--(calc!$U$3:$U$132=TRUE),--(calc!$W$3:$W$132=W12))-1)/2,"")</f>
        <v/>
      </c>
      <c r="AB12" s="5">
        <f>IF(U12,SUMPRODUCT(--(calc!$U$3:$U$132=TRUE),--(ROW(calc!$U$3:$U$132)&gt;ROW(U12)),--(((calc!$Z$3:$Z$132&gt;Z12)*(calc!$AA$3:$AA$132&gt;AA12)+(calc!$Z$3:$Z$132&lt;Z12)*(calc!$AA$3:$AA$132&lt;AA12))&gt;0))-SUMPRODUCT(--(calc!$U$3:$U$132=TRUE),--(ROW(calc!$U$3:$U$132)&gt;ROW(U12)),--(((calc!$Z$3:$Z$132&gt;Z12)*(calc!$AA$3:$AA$132&lt;AA12)+(calc!$Z$3:$Z$132&lt;Z12)*(calc!$AA$3:$AA$132&gt;AA12))&gt;0)),0)</f>
        <v/>
      </c>
      <c r="AC12" s="5">
        <f>IF(mos_metrics!I11="","",mos_metrics!I11)</f>
        <v/>
      </c>
      <c r="AD12" s="2">
        <f>AND($J12,ISNUMBER(AC12),correlation!$I$28=1)</f>
        <v/>
      </c>
      <c r="AE12" s="5">
        <f>IF(AD12,$F12,"")</f>
        <v/>
      </c>
      <c r="AF12" s="5">
        <f>IF(AD12,AC12*correlation!$J$28,"")</f>
        <v/>
      </c>
      <c r="AG12" s="5">
        <f>IF(AND(AD12,ISNUMBER(correlation!$F$28)),AF12*correlation!$F$28+correlation!$G$28,"")</f>
        <v/>
      </c>
      <c r="AH12" s="5">
        <f>IF(AND(AD12,ISNUMBER(AG12)),(AE12-AG12)^2,"")</f>
        <v/>
      </c>
      <c r="AI12" s="5">
        <f>IF(AD12,1+SUMPRODUCT(--(calc!$AD$3:$AD$132=TRUE),--(calc!$AE$3:$AE$132&gt;AE12))+(SUMPRODUCT(--(calc!$AD$3:$AD$132=TRUE),--(calc!$AE$3:$AE$132=AE12))-1)/2,"")</f>
        <v/>
      </c>
      <c r="AJ12" s="5">
        <f>IF(AD12,1+SUMPRODUCT(--(calc!$AD$3:$AD$132=TRUE),--(calc!$AF$3:$AF$132&gt;AF12))+(SUMPRODUCT(--(calc!$AD$3:$AD$132=TRUE),--(calc!$AF$3:$AF$132=AF12))-1)/2,"")</f>
        <v/>
      </c>
      <c r="AK12" s="5">
        <f>IF(AD12,SUMPRODUCT(--(calc!$AD$3:$AD$132=TRUE),--(ROW(calc!$AD$3:$AD$132)&gt;ROW(AD12)),--(((calc!$AI$3:$AI$132&gt;AI12)*(calc!$AJ$3:$AJ$132&gt;AJ12)+(calc!$AI$3:$AI$132&lt;AI12)*(calc!$AJ$3:$AJ$132&lt;AJ12))&gt;0))-SUMPRODUCT(--(calc!$AD$3:$AD$132=TRUE),--(ROW(calc!$AD$3:$AD$132)&gt;ROW(AD12)),--(((calc!$AI$3:$AI$132&gt;AI12)*(calc!$AJ$3:$AJ$132&lt;AJ12)+(calc!$AI$3:$AI$132&lt;AI12)*(calc!$AJ$3:$AJ$132&gt;AJ12))&gt;0)),0)</f>
        <v/>
      </c>
      <c r="AL12" s="5">
        <f>IF(mos_metrics!J11="","",mos_metrics!J11)</f>
        <v/>
      </c>
      <c r="AM12" s="2">
        <f>AND($J12,ISNUMBER(AL12),correlation!$I$29=1)</f>
        <v/>
      </c>
      <c r="AN12" s="5">
        <f>IF(AM12,$F12,"")</f>
        <v/>
      </c>
      <c r="AO12" s="5">
        <f>IF(AM12,AL12*correlation!$J$29,"")</f>
        <v/>
      </c>
      <c r="AP12" s="5">
        <f>IF(AND(AM12,ISNUMBER(correlation!$F$29)),AO12*correlation!$F$29+correlation!$G$29,"")</f>
        <v/>
      </c>
      <c r="AQ12" s="5">
        <f>IF(AND(AM12,ISNUMBER(AP12)),(AN12-AP12)^2,"")</f>
        <v/>
      </c>
      <c r="AR12" s="5">
        <f>IF(AM12,1+SUMPRODUCT(--(calc!$AM$3:$AM$132=TRUE),--(calc!$AN$3:$AN$132&gt;AN12))+(SUMPRODUCT(--(calc!$AM$3:$AM$132=TRUE),--(calc!$AN$3:$AN$132=AN12))-1)/2,"")</f>
        <v/>
      </c>
      <c r="AS12" s="5">
        <f>IF(AM12,1+SUMPRODUCT(--(calc!$AM$3:$AM$132=TRUE),--(calc!$AO$3:$AO$132&gt;AO12))+(SUMPRODUCT(--(calc!$AM$3:$AM$132=TRUE),--(calc!$AO$3:$AO$132=AO12))-1)/2,"")</f>
        <v/>
      </c>
      <c r="AT12" s="5">
        <f>IF(AM12,SUMPRODUCT(--(calc!$AM$3:$AM$132=TRUE),--(ROW(calc!$AM$3:$AM$132)&gt;ROW(AM12)),--(((calc!$AR$3:$AR$132&gt;AR12)*(calc!$AS$3:$AS$132&gt;AS12)+(calc!$AR$3:$AR$132&lt;AR12)*(calc!$AS$3:$AS$132&lt;AS12))&gt;0))-SUMPRODUCT(--(calc!$AM$3:$AM$132=TRUE),--(ROW(calc!$AM$3:$AM$132)&gt;ROW(AM12)),--(((calc!$AR$3:$AR$132&gt;AR12)*(calc!$AS$3:$AS$132&lt;AS12)+(calc!$AR$3:$AR$132&lt;AR12)*(calc!$AS$3:$AS$132&gt;AS12))&gt;0)),0)</f>
        <v/>
      </c>
      <c r="AU12" s="5">
        <f>IF(mos_metrics!K11="","",mos_metrics!K11)</f>
        <v/>
      </c>
      <c r="AV12" s="2">
        <f>AND($J12,ISNUMBER(AU12),correlation!$I$30=1)</f>
        <v/>
      </c>
      <c r="AW12" s="5">
        <f>IF(AV12,$F12,"")</f>
        <v/>
      </c>
      <c r="AX12" s="5">
        <f>IF(AV12,AU12*correlation!$J$30,"")</f>
        <v/>
      </c>
      <c r="AY12" s="5">
        <f>IF(AND(AV12,ISNUMBER(correlation!$F$30)),AX12*correlation!$F$30+correlation!$G$30,"")</f>
        <v/>
      </c>
      <c r="AZ12" s="5">
        <f>IF(AND(AV12,ISNUMBER(AY12)),(AW12-AY12)^2,"")</f>
        <v/>
      </c>
      <c r="BA12" s="5">
        <f>IF(AV12,1+SUMPRODUCT(--(calc!$AV$3:$AV$132=TRUE),--(calc!$AW$3:$AW$132&gt;AW12))+(SUMPRODUCT(--(calc!$AV$3:$AV$132=TRUE),--(calc!$AW$3:$AW$132=AW12))-1)/2,"")</f>
        <v/>
      </c>
      <c r="BB12" s="5">
        <f>IF(AV12,1+SUMPRODUCT(--(calc!$AV$3:$AV$132=TRUE),--(calc!$AX$3:$AX$132&gt;AX12))+(SUMPRODUCT(--(calc!$AV$3:$AV$132=TRUE),--(calc!$AX$3:$AX$132=AX12))-1)/2,"")</f>
        <v/>
      </c>
      <c r="BC12" s="5">
        <f>IF(AV12,SUMPRODUCT(--(calc!$AV$3:$AV$132=TRUE),--(ROW(calc!$AV$3:$AV$132)&gt;ROW(AV12)),--(((calc!$BA$3:$BA$132&gt;BA12)*(calc!$BB$3:$BB$132&gt;BB12)+(calc!$BA$3:$BA$132&lt;BA12)*(calc!$BB$3:$BB$132&lt;BB12))&gt;0))-SUMPRODUCT(--(calc!$AV$3:$AV$132=TRUE),--(ROW(calc!$AV$3:$AV$132)&gt;ROW(AV12)),--(((calc!$BA$3:$BA$132&gt;BA12)*(calc!$BB$3:$BB$132&lt;BB12)+(calc!$BA$3:$BA$132&lt;BA12)*(calc!$BB$3:$BB$132&gt;BB12))&gt;0)),0)</f>
        <v/>
      </c>
      <c r="BD12" s="5">
        <f>IF(mos_metrics!L11="","",mos_metrics!L11)</f>
        <v/>
      </c>
      <c r="BE12" s="2">
        <f>AND($J12,ISNUMBER(BD12),correlation!$I$31=1)</f>
        <v/>
      </c>
      <c r="BF12" s="5">
        <f>IF(BE12,$F12,"")</f>
        <v/>
      </c>
      <c r="BG12" s="5">
        <f>IF(BE12,BD12*correlation!$J$31,"")</f>
        <v/>
      </c>
      <c r="BH12" s="5">
        <f>IF(AND(BE12,ISNUMBER(correlation!$F$31)),BG12*correlation!$F$31+correlation!$G$31,"")</f>
        <v/>
      </c>
      <c r="BI12" s="5">
        <f>IF(AND(BE12,ISNUMBER(BH12)),(BF12-BH12)^2,"")</f>
        <v/>
      </c>
      <c r="BJ12" s="5">
        <f>IF(BE12,1+SUMPRODUCT(--(calc!$BE$3:$BE$132=TRUE),--(calc!$BF$3:$BF$132&gt;BF12))+(SUMPRODUCT(--(calc!$BE$3:$BE$132=TRUE),--(calc!$BF$3:$BF$132=BF12))-1)/2,"")</f>
        <v/>
      </c>
      <c r="BK12" s="5">
        <f>IF(BE12,1+SUMPRODUCT(--(calc!$BE$3:$BE$132=TRUE),--(calc!$BG$3:$BG$132&gt;BG12))+(SUMPRODUCT(--(calc!$BE$3:$BE$132=TRUE),--(calc!$BG$3:$BG$132=BG12))-1)/2,"")</f>
        <v/>
      </c>
      <c r="BL12" s="5">
        <f>IF(BE12,SUMPRODUCT(--(calc!$BE$3:$BE$132=TRUE),--(ROW(calc!$BE$3:$BE$132)&gt;ROW(BE12)),--(((calc!$BJ$3:$BJ$132&gt;BJ12)*(calc!$BK$3:$BK$132&gt;BK12)+(calc!$BJ$3:$BJ$132&lt;BJ12)*(calc!$BK$3:$BK$132&lt;BK12))&gt;0))-SUMPRODUCT(--(calc!$BE$3:$BE$132=TRUE),--(ROW(calc!$BE$3:$BE$132)&gt;ROW(BE12)),--(((calc!$BJ$3:$BJ$132&gt;BJ12)*(calc!$BK$3:$BK$132&lt;BK12)+(calc!$BJ$3:$BJ$132&lt;BJ12)*(calc!$BK$3:$BK$132&gt;BK12))&gt;0)),0)</f>
        <v/>
      </c>
      <c r="BM12" s="5">
        <f>IF(mos_metrics!M11="","",mos_metrics!M11)</f>
        <v/>
      </c>
      <c r="BN12" s="2">
        <f>AND($J12,ISNUMBER(BM12),correlation!$I$32=1)</f>
        <v/>
      </c>
      <c r="BO12" s="5">
        <f>IF(BN12,$F12,"")</f>
        <v/>
      </c>
      <c r="BP12" s="5">
        <f>IF(BN12,BM12*correlation!$J$32,"")</f>
        <v/>
      </c>
      <c r="BQ12" s="5">
        <f>IF(AND(BN12,ISNUMBER(correlation!$F$32)),BP12*correlation!$F$32+correlation!$G$32,"")</f>
        <v/>
      </c>
      <c r="BR12" s="5">
        <f>IF(AND(BN12,ISNUMBER(BQ12)),(BO12-BQ12)^2,"")</f>
        <v/>
      </c>
      <c r="BS12" s="5">
        <f>IF(BN12,1+SUMPRODUCT(--(calc!$BN$3:$BN$132=TRUE),--(calc!$BO$3:$BO$132&gt;BO12))+(SUMPRODUCT(--(calc!$BN$3:$BN$132=TRUE),--(calc!$BO$3:$BO$132=BO12))-1)/2,"")</f>
        <v/>
      </c>
      <c r="BT12" s="5">
        <f>IF(BN12,1+SUMPRODUCT(--(calc!$BN$3:$BN$132=TRUE),--(calc!$BP$3:$BP$132&gt;BP12))+(SUMPRODUCT(--(calc!$BN$3:$BN$132=TRUE),--(calc!$BP$3:$BP$132=BP12))-1)/2,"")</f>
        <v/>
      </c>
      <c r="BU12" s="5">
        <f>IF(BN12,SUMPRODUCT(--(calc!$BN$3:$BN$132=TRUE),--(ROW(calc!$BN$3:$BN$132)&gt;ROW(BN12)),--(((calc!$BS$3:$BS$132&gt;BS12)*(calc!$BT$3:$BT$132&gt;BT12)+(calc!$BS$3:$BS$132&lt;BS12)*(calc!$BT$3:$BT$132&lt;BT12))&gt;0))-SUMPRODUCT(--(calc!$BN$3:$BN$132=TRUE),--(ROW(calc!$BN$3:$BN$132)&gt;ROW(BN12)),--(((calc!$BS$3:$BS$132&gt;BS12)*(calc!$BT$3:$BT$132&lt;BT12)+(calc!$BS$3:$BS$132&lt;BS12)*(calc!$BT$3:$BT$132&gt;BT12))&gt;0)),0)</f>
        <v/>
      </c>
    </row>
    <row r="13">
      <c r="A13" s="2">
        <f>mos_metrics!A12</f>
        <v/>
      </c>
      <c r="B13" s="2">
        <f>mos_metrics!B12</f>
        <v/>
      </c>
      <c r="C13" s="2">
        <f>mos_metrics!C12</f>
        <v/>
      </c>
      <c r="D13" s="2">
        <f>mos_metrics!D12</f>
        <v/>
      </c>
      <c r="E13" s="2">
        <f>mos_metrics!E12</f>
        <v/>
      </c>
      <c r="F13" s="2">
        <f>mos_metrics!F12</f>
        <v/>
      </c>
      <c r="G13" s="2">
        <f>IF($B13="","",IFERROR(VLOOKUP($B13,correlation!$A$2:$B$12,2,FALSE),1))</f>
        <v/>
      </c>
      <c r="H13" s="2">
        <f>IF($E13="","",IFERROR(VLOOKUP($E13,correlation!$D$2:$E$8,2,FALSE),1))</f>
        <v/>
      </c>
      <c r="I13" s="2">
        <f>ISNUMBER($F13)</f>
        <v/>
      </c>
      <c r="J13" s="2">
        <f>AND($G13=1,$H13=1,$I13)</f>
        <v/>
      </c>
      <c r="K13" s="5">
        <f>IF(mos_metrics!G12="","",mos_metrics!G12)</f>
        <v/>
      </c>
      <c r="L13" s="2">
        <f>AND($J13,ISNUMBER(K13),correlation!$I$26=1)</f>
        <v/>
      </c>
      <c r="M13" s="5">
        <f>IF(L13,$F13,"")</f>
        <v/>
      </c>
      <c r="N13" s="5">
        <f>IF(L13,K13*correlation!$J$26,"")</f>
        <v/>
      </c>
      <c r="O13" s="5">
        <f>IF(AND(L13,ISNUMBER(correlation!$F$26)),N13*correlation!$F$26+correlation!$G$26,"")</f>
        <v/>
      </c>
      <c r="P13" s="5">
        <f>IF(AND(L13,ISNUMBER(O13)),(M13-O13)^2,"")</f>
        <v/>
      </c>
      <c r="Q13" s="5">
        <f>IF(L13,1+SUMPRODUCT(--(calc!$L$3:$L$132=TRUE),--(calc!$M$3:$M$132&gt;M13))+(SUMPRODUCT(--(calc!$L$3:$L$132=TRUE),--(calc!$M$3:$M$132=M13))-1)/2,"")</f>
        <v/>
      </c>
      <c r="R13" s="5">
        <f>IF(L13,1+SUMPRODUCT(--(calc!$L$3:$L$132=TRUE),--(calc!$N$3:$N$132&gt;N13))+(SUMPRODUCT(--(calc!$L$3:$L$132=TRUE),--(calc!$N$3:$N$132=N13))-1)/2,"")</f>
        <v/>
      </c>
      <c r="S13" s="5">
        <f>IF(L13,SUMPRODUCT(--(calc!$L$3:$L$132=TRUE),--(ROW(calc!$L$3:$L$132)&gt;ROW(L13)),--(((calc!$Q$3:$Q$132&gt;Q13)*(calc!$R$3:$R$132&gt;R13)+(calc!$Q$3:$Q$132&lt;Q13)*(calc!$R$3:$R$132&lt;R13))&gt;0))-SUMPRODUCT(--(calc!$L$3:$L$132=TRUE),--(ROW(calc!$L$3:$L$132)&gt;ROW(L13)),--(((calc!$Q$3:$Q$132&gt;Q13)*(calc!$R$3:$R$132&lt;R13)+(calc!$Q$3:$Q$132&lt;Q13)*(calc!$R$3:$R$132&gt;R13))&gt;0)),0)</f>
        <v/>
      </c>
      <c r="T13" s="5">
        <f>IF(mos_metrics!H12="","",mos_metrics!H12)</f>
        <v/>
      </c>
      <c r="U13" s="2">
        <f>AND($J13,ISNUMBER(T13),correlation!$I$27=1)</f>
        <v/>
      </c>
      <c r="V13" s="5">
        <f>IF(U13,$F13,"")</f>
        <v/>
      </c>
      <c r="W13" s="5">
        <f>IF(U13,T13*correlation!$J$27,"")</f>
        <v/>
      </c>
      <c r="X13" s="5">
        <f>IF(AND(U13,ISNUMBER(correlation!$F$27)),W13*correlation!$F$27+correlation!$G$27,"")</f>
        <v/>
      </c>
      <c r="Y13" s="5">
        <f>IF(AND(U13,ISNUMBER(X13)),(V13-X13)^2,"")</f>
        <v/>
      </c>
      <c r="Z13" s="5">
        <f>IF(U13,1+SUMPRODUCT(--(calc!$U$3:$U$132=TRUE),--(calc!$V$3:$V$132&gt;V13))+(SUMPRODUCT(--(calc!$U$3:$U$132=TRUE),--(calc!$V$3:$V$132=V13))-1)/2,"")</f>
        <v/>
      </c>
      <c r="AA13" s="5">
        <f>IF(U13,1+SUMPRODUCT(--(calc!$U$3:$U$132=TRUE),--(calc!$W$3:$W$132&gt;W13))+(SUMPRODUCT(--(calc!$U$3:$U$132=TRUE),--(calc!$W$3:$W$132=W13))-1)/2,"")</f>
        <v/>
      </c>
      <c r="AB13" s="5">
        <f>IF(U13,SUMPRODUCT(--(calc!$U$3:$U$132=TRUE),--(ROW(calc!$U$3:$U$132)&gt;ROW(U13)),--(((calc!$Z$3:$Z$132&gt;Z13)*(calc!$AA$3:$AA$132&gt;AA13)+(calc!$Z$3:$Z$132&lt;Z13)*(calc!$AA$3:$AA$132&lt;AA13))&gt;0))-SUMPRODUCT(--(calc!$U$3:$U$132=TRUE),--(ROW(calc!$U$3:$U$132)&gt;ROW(U13)),--(((calc!$Z$3:$Z$132&gt;Z13)*(calc!$AA$3:$AA$132&lt;AA13)+(calc!$Z$3:$Z$132&lt;Z13)*(calc!$AA$3:$AA$132&gt;AA13))&gt;0)),0)</f>
        <v/>
      </c>
      <c r="AC13" s="5">
        <f>IF(mos_metrics!I12="","",mos_metrics!I12)</f>
        <v/>
      </c>
      <c r="AD13" s="2">
        <f>AND($J13,ISNUMBER(AC13),correlation!$I$28=1)</f>
        <v/>
      </c>
      <c r="AE13" s="5">
        <f>IF(AD13,$F13,"")</f>
        <v/>
      </c>
      <c r="AF13" s="5">
        <f>IF(AD13,AC13*correlation!$J$28,"")</f>
        <v/>
      </c>
      <c r="AG13" s="5">
        <f>IF(AND(AD13,ISNUMBER(correlation!$F$28)),AF13*correlation!$F$28+correlation!$G$28,"")</f>
        <v/>
      </c>
      <c r="AH13" s="5">
        <f>IF(AND(AD13,ISNUMBER(AG13)),(AE13-AG13)^2,"")</f>
        <v/>
      </c>
      <c r="AI13" s="5">
        <f>IF(AD13,1+SUMPRODUCT(--(calc!$AD$3:$AD$132=TRUE),--(calc!$AE$3:$AE$132&gt;AE13))+(SUMPRODUCT(--(calc!$AD$3:$AD$132=TRUE),--(calc!$AE$3:$AE$132=AE13))-1)/2,"")</f>
        <v/>
      </c>
      <c r="AJ13" s="5">
        <f>IF(AD13,1+SUMPRODUCT(--(calc!$AD$3:$AD$132=TRUE),--(calc!$AF$3:$AF$132&gt;AF13))+(SUMPRODUCT(--(calc!$AD$3:$AD$132=TRUE),--(calc!$AF$3:$AF$132=AF13))-1)/2,"")</f>
        <v/>
      </c>
      <c r="AK13" s="5">
        <f>IF(AD13,SUMPRODUCT(--(calc!$AD$3:$AD$132=TRUE),--(ROW(calc!$AD$3:$AD$132)&gt;ROW(AD13)),--(((calc!$AI$3:$AI$132&gt;AI13)*(calc!$AJ$3:$AJ$132&gt;AJ13)+(calc!$AI$3:$AI$132&lt;AI13)*(calc!$AJ$3:$AJ$132&lt;AJ13))&gt;0))-SUMPRODUCT(--(calc!$AD$3:$AD$132=TRUE),--(ROW(calc!$AD$3:$AD$132)&gt;ROW(AD13)),--(((calc!$AI$3:$AI$132&gt;AI13)*(calc!$AJ$3:$AJ$132&lt;AJ13)+(calc!$AI$3:$AI$132&lt;AI13)*(calc!$AJ$3:$AJ$132&gt;AJ13))&gt;0)),0)</f>
        <v/>
      </c>
      <c r="AL13" s="5">
        <f>IF(mos_metrics!J12="","",mos_metrics!J12)</f>
        <v/>
      </c>
      <c r="AM13" s="2">
        <f>AND($J13,ISNUMBER(AL13),correlation!$I$29=1)</f>
        <v/>
      </c>
      <c r="AN13" s="5">
        <f>IF(AM13,$F13,"")</f>
        <v/>
      </c>
      <c r="AO13" s="5">
        <f>IF(AM13,AL13*correlation!$J$29,"")</f>
        <v/>
      </c>
      <c r="AP13" s="5">
        <f>IF(AND(AM13,ISNUMBER(correlation!$F$29)),AO13*correlation!$F$29+correlation!$G$29,"")</f>
        <v/>
      </c>
      <c r="AQ13" s="5">
        <f>IF(AND(AM13,ISNUMBER(AP13)),(AN13-AP13)^2,"")</f>
        <v/>
      </c>
      <c r="AR13" s="5">
        <f>IF(AM13,1+SUMPRODUCT(--(calc!$AM$3:$AM$132=TRUE),--(calc!$AN$3:$AN$132&gt;AN13))+(SUMPRODUCT(--(calc!$AM$3:$AM$132=TRUE),--(calc!$AN$3:$AN$132=AN13))-1)/2,"")</f>
        <v/>
      </c>
      <c r="AS13" s="5">
        <f>IF(AM13,1+SUMPRODUCT(--(calc!$AM$3:$AM$132=TRUE),--(calc!$AO$3:$AO$132&gt;AO13))+(SUMPRODUCT(--(calc!$AM$3:$AM$132=TRUE),--(calc!$AO$3:$AO$132=AO13))-1)/2,"")</f>
        <v/>
      </c>
      <c r="AT13" s="5">
        <f>IF(AM13,SUMPRODUCT(--(calc!$AM$3:$AM$132=TRUE),--(ROW(calc!$AM$3:$AM$132)&gt;ROW(AM13)),--(((calc!$AR$3:$AR$132&gt;AR13)*(calc!$AS$3:$AS$132&gt;AS13)+(calc!$AR$3:$AR$132&lt;AR13)*(calc!$AS$3:$AS$132&lt;AS13))&gt;0))-SUMPRODUCT(--(calc!$AM$3:$AM$132=TRUE),--(ROW(calc!$AM$3:$AM$132)&gt;ROW(AM13)),--(((calc!$AR$3:$AR$132&gt;AR13)*(calc!$AS$3:$AS$132&lt;AS13)+(calc!$AR$3:$AR$132&lt;AR13)*(calc!$AS$3:$AS$132&gt;AS13))&gt;0)),0)</f>
        <v/>
      </c>
      <c r="AU13" s="5">
        <f>IF(mos_metrics!K12="","",mos_metrics!K12)</f>
        <v/>
      </c>
      <c r="AV13" s="2">
        <f>AND($J13,ISNUMBER(AU13),correlation!$I$30=1)</f>
        <v/>
      </c>
      <c r="AW13" s="5">
        <f>IF(AV13,$F13,"")</f>
        <v/>
      </c>
      <c r="AX13" s="5">
        <f>IF(AV13,AU13*correlation!$J$30,"")</f>
        <v/>
      </c>
      <c r="AY13" s="5">
        <f>IF(AND(AV13,ISNUMBER(correlation!$F$30)),AX13*correlation!$F$30+correlation!$G$30,"")</f>
        <v/>
      </c>
      <c r="AZ13" s="5">
        <f>IF(AND(AV13,ISNUMBER(AY13)),(AW13-AY13)^2,"")</f>
        <v/>
      </c>
      <c r="BA13" s="5">
        <f>IF(AV13,1+SUMPRODUCT(--(calc!$AV$3:$AV$132=TRUE),--(calc!$AW$3:$AW$132&gt;AW13))+(SUMPRODUCT(--(calc!$AV$3:$AV$132=TRUE),--(calc!$AW$3:$AW$132=AW13))-1)/2,"")</f>
        <v/>
      </c>
      <c r="BB13" s="5">
        <f>IF(AV13,1+SUMPRODUCT(--(calc!$AV$3:$AV$132=TRUE),--(calc!$AX$3:$AX$132&gt;AX13))+(SUMPRODUCT(--(calc!$AV$3:$AV$132=TRUE),--(calc!$AX$3:$AX$132=AX13))-1)/2,"")</f>
        <v/>
      </c>
      <c r="BC13" s="5">
        <f>IF(AV13,SUMPRODUCT(--(calc!$AV$3:$AV$132=TRUE),--(ROW(calc!$AV$3:$AV$132)&gt;ROW(AV13)),--(((calc!$BA$3:$BA$132&gt;BA13)*(calc!$BB$3:$BB$132&gt;BB13)+(calc!$BA$3:$BA$132&lt;BA13)*(calc!$BB$3:$BB$132&lt;BB13))&gt;0))-SUMPRODUCT(--(calc!$AV$3:$AV$132=TRUE),--(ROW(calc!$AV$3:$AV$132)&gt;ROW(AV13)),--(((calc!$BA$3:$BA$132&gt;BA13)*(calc!$BB$3:$BB$132&lt;BB13)+(calc!$BA$3:$BA$132&lt;BA13)*(calc!$BB$3:$BB$132&gt;BB13))&gt;0)),0)</f>
        <v/>
      </c>
      <c r="BD13" s="5">
        <f>IF(mos_metrics!L12="","",mos_metrics!L12)</f>
        <v/>
      </c>
      <c r="BE13" s="2">
        <f>AND($J13,ISNUMBER(BD13),correlation!$I$31=1)</f>
        <v/>
      </c>
      <c r="BF13" s="5">
        <f>IF(BE13,$F13,"")</f>
        <v/>
      </c>
      <c r="BG13" s="5">
        <f>IF(BE13,BD13*correlation!$J$31,"")</f>
        <v/>
      </c>
      <c r="BH13" s="5">
        <f>IF(AND(BE13,ISNUMBER(correlation!$F$31)),BG13*correlation!$F$31+correlation!$G$31,"")</f>
        <v/>
      </c>
      <c r="BI13" s="5">
        <f>IF(AND(BE13,ISNUMBER(BH13)),(BF13-BH13)^2,"")</f>
        <v/>
      </c>
      <c r="BJ13" s="5">
        <f>IF(BE13,1+SUMPRODUCT(--(calc!$BE$3:$BE$132=TRUE),--(calc!$BF$3:$BF$132&gt;BF13))+(SUMPRODUCT(--(calc!$BE$3:$BE$132=TRUE),--(calc!$BF$3:$BF$132=BF13))-1)/2,"")</f>
        <v/>
      </c>
      <c r="BK13" s="5">
        <f>IF(BE13,1+SUMPRODUCT(--(calc!$BE$3:$BE$132=TRUE),--(calc!$BG$3:$BG$132&gt;BG13))+(SUMPRODUCT(--(calc!$BE$3:$BE$132=TRUE),--(calc!$BG$3:$BG$132=BG13))-1)/2,"")</f>
        <v/>
      </c>
      <c r="BL13" s="5">
        <f>IF(BE13,SUMPRODUCT(--(calc!$BE$3:$BE$132=TRUE),--(ROW(calc!$BE$3:$BE$132)&gt;ROW(BE13)),--(((calc!$BJ$3:$BJ$132&gt;BJ13)*(calc!$BK$3:$BK$132&gt;BK13)+(calc!$BJ$3:$BJ$132&lt;BJ13)*(calc!$BK$3:$BK$132&lt;BK13))&gt;0))-SUMPRODUCT(--(calc!$BE$3:$BE$132=TRUE),--(ROW(calc!$BE$3:$BE$132)&gt;ROW(BE13)),--(((calc!$BJ$3:$BJ$132&gt;BJ13)*(calc!$BK$3:$BK$132&lt;BK13)+(calc!$BJ$3:$BJ$132&lt;BJ13)*(calc!$BK$3:$BK$132&gt;BK13))&gt;0)),0)</f>
        <v/>
      </c>
      <c r="BM13" s="5">
        <f>IF(mos_metrics!M12="","",mos_metrics!M12)</f>
        <v/>
      </c>
      <c r="BN13" s="2">
        <f>AND($J13,ISNUMBER(BM13),correlation!$I$32=1)</f>
        <v/>
      </c>
      <c r="BO13" s="5">
        <f>IF(BN13,$F13,"")</f>
        <v/>
      </c>
      <c r="BP13" s="5">
        <f>IF(BN13,BM13*correlation!$J$32,"")</f>
        <v/>
      </c>
      <c r="BQ13" s="5">
        <f>IF(AND(BN13,ISNUMBER(correlation!$F$32)),BP13*correlation!$F$32+correlation!$G$32,"")</f>
        <v/>
      </c>
      <c r="BR13" s="5">
        <f>IF(AND(BN13,ISNUMBER(BQ13)),(BO13-BQ13)^2,"")</f>
        <v/>
      </c>
      <c r="BS13" s="5">
        <f>IF(BN13,1+SUMPRODUCT(--(calc!$BN$3:$BN$132=TRUE),--(calc!$BO$3:$BO$132&gt;BO13))+(SUMPRODUCT(--(calc!$BN$3:$BN$132=TRUE),--(calc!$BO$3:$BO$132=BO13))-1)/2,"")</f>
        <v/>
      </c>
      <c r="BT13" s="5">
        <f>IF(BN13,1+SUMPRODUCT(--(calc!$BN$3:$BN$132=TRUE),--(calc!$BP$3:$BP$132&gt;BP13))+(SUMPRODUCT(--(calc!$BN$3:$BN$132=TRUE),--(calc!$BP$3:$BP$132=BP13))-1)/2,"")</f>
        <v/>
      </c>
      <c r="BU13" s="5">
        <f>IF(BN13,SUMPRODUCT(--(calc!$BN$3:$BN$132=TRUE),--(ROW(calc!$BN$3:$BN$132)&gt;ROW(BN13)),--(((calc!$BS$3:$BS$132&gt;BS13)*(calc!$BT$3:$BT$132&gt;BT13)+(calc!$BS$3:$BS$132&lt;BS13)*(calc!$BT$3:$BT$132&lt;BT13))&gt;0))-SUMPRODUCT(--(calc!$BN$3:$BN$132=TRUE),--(ROW(calc!$BN$3:$BN$132)&gt;ROW(BN13)),--(((calc!$BS$3:$BS$132&gt;BS13)*(calc!$BT$3:$BT$132&lt;BT13)+(calc!$BS$3:$BS$132&lt;BS13)*(calc!$BT$3:$BT$132&gt;BT13))&gt;0)),0)</f>
        <v/>
      </c>
    </row>
    <row r="14">
      <c r="A14" s="2">
        <f>mos_metrics!A13</f>
        <v/>
      </c>
      <c r="B14" s="2">
        <f>mos_metrics!B13</f>
        <v/>
      </c>
      <c r="C14" s="2">
        <f>mos_metrics!C13</f>
        <v/>
      </c>
      <c r="D14" s="2">
        <f>mos_metrics!D13</f>
        <v/>
      </c>
      <c r="E14" s="2">
        <f>mos_metrics!E13</f>
        <v/>
      </c>
      <c r="F14" s="2">
        <f>mos_metrics!F13</f>
        <v/>
      </c>
      <c r="G14" s="2">
        <f>IF($B14="","",IFERROR(VLOOKUP($B14,correlation!$A$2:$B$12,2,FALSE),1))</f>
        <v/>
      </c>
      <c r="H14" s="2">
        <f>IF($E14="","",IFERROR(VLOOKUP($E14,correlation!$D$2:$E$8,2,FALSE),1))</f>
        <v/>
      </c>
      <c r="I14" s="2">
        <f>ISNUMBER($F14)</f>
        <v/>
      </c>
      <c r="J14" s="2">
        <f>AND($G14=1,$H14=1,$I14)</f>
        <v/>
      </c>
      <c r="K14" s="5">
        <f>IF(mos_metrics!G13="","",mos_metrics!G13)</f>
        <v/>
      </c>
      <c r="L14" s="2">
        <f>AND($J14,ISNUMBER(K14),correlation!$I$26=1)</f>
        <v/>
      </c>
      <c r="M14" s="5">
        <f>IF(L14,$F14,"")</f>
        <v/>
      </c>
      <c r="N14" s="5">
        <f>IF(L14,K14*correlation!$J$26,"")</f>
        <v/>
      </c>
      <c r="O14" s="5">
        <f>IF(AND(L14,ISNUMBER(correlation!$F$26)),N14*correlation!$F$26+correlation!$G$26,"")</f>
        <v/>
      </c>
      <c r="P14" s="5">
        <f>IF(AND(L14,ISNUMBER(O14)),(M14-O14)^2,"")</f>
        <v/>
      </c>
      <c r="Q14" s="5">
        <f>IF(L14,1+SUMPRODUCT(--(calc!$L$3:$L$132=TRUE),--(calc!$M$3:$M$132&gt;M14))+(SUMPRODUCT(--(calc!$L$3:$L$132=TRUE),--(calc!$M$3:$M$132=M14))-1)/2,"")</f>
        <v/>
      </c>
      <c r="R14" s="5">
        <f>IF(L14,1+SUMPRODUCT(--(calc!$L$3:$L$132=TRUE),--(calc!$N$3:$N$132&gt;N14))+(SUMPRODUCT(--(calc!$L$3:$L$132=TRUE),--(calc!$N$3:$N$132=N14))-1)/2,"")</f>
        <v/>
      </c>
      <c r="S14" s="5">
        <f>IF(L14,SUMPRODUCT(--(calc!$L$3:$L$132=TRUE),--(ROW(calc!$L$3:$L$132)&gt;ROW(L14)),--(((calc!$Q$3:$Q$132&gt;Q14)*(calc!$R$3:$R$132&gt;R14)+(calc!$Q$3:$Q$132&lt;Q14)*(calc!$R$3:$R$132&lt;R14))&gt;0))-SUMPRODUCT(--(calc!$L$3:$L$132=TRUE),--(ROW(calc!$L$3:$L$132)&gt;ROW(L14)),--(((calc!$Q$3:$Q$132&gt;Q14)*(calc!$R$3:$R$132&lt;R14)+(calc!$Q$3:$Q$132&lt;Q14)*(calc!$R$3:$R$132&gt;R14))&gt;0)),0)</f>
        <v/>
      </c>
      <c r="T14" s="5">
        <f>IF(mos_metrics!H13="","",mos_metrics!H13)</f>
        <v/>
      </c>
      <c r="U14" s="2">
        <f>AND($J14,ISNUMBER(T14),correlation!$I$27=1)</f>
        <v/>
      </c>
      <c r="V14" s="5">
        <f>IF(U14,$F14,"")</f>
        <v/>
      </c>
      <c r="W14" s="5">
        <f>IF(U14,T14*correlation!$J$27,"")</f>
        <v/>
      </c>
      <c r="X14" s="5">
        <f>IF(AND(U14,ISNUMBER(correlation!$F$27)),W14*correlation!$F$27+correlation!$G$27,"")</f>
        <v/>
      </c>
      <c r="Y14" s="5">
        <f>IF(AND(U14,ISNUMBER(X14)),(V14-X14)^2,"")</f>
        <v/>
      </c>
      <c r="Z14" s="5">
        <f>IF(U14,1+SUMPRODUCT(--(calc!$U$3:$U$132=TRUE),--(calc!$V$3:$V$132&gt;V14))+(SUMPRODUCT(--(calc!$U$3:$U$132=TRUE),--(calc!$V$3:$V$132=V14))-1)/2,"")</f>
        <v/>
      </c>
      <c r="AA14" s="5">
        <f>IF(U14,1+SUMPRODUCT(--(calc!$U$3:$U$132=TRUE),--(calc!$W$3:$W$132&gt;W14))+(SUMPRODUCT(--(calc!$U$3:$U$132=TRUE),--(calc!$W$3:$W$132=W14))-1)/2,"")</f>
        <v/>
      </c>
      <c r="AB14" s="5">
        <f>IF(U14,SUMPRODUCT(--(calc!$U$3:$U$132=TRUE),--(ROW(calc!$U$3:$U$132)&gt;ROW(U14)),--(((calc!$Z$3:$Z$132&gt;Z14)*(calc!$AA$3:$AA$132&gt;AA14)+(calc!$Z$3:$Z$132&lt;Z14)*(calc!$AA$3:$AA$132&lt;AA14))&gt;0))-SUMPRODUCT(--(calc!$U$3:$U$132=TRUE),--(ROW(calc!$U$3:$U$132)&gt;ROW(U14)),--(((calc!$Z$3:$Z$132&gt;Z14)*(calc!$AA$3:$AA$132&lt;AA14)+(calc!$Z$3:$Z$132&lt;Z14)*(calc!$AA$3:$AA$132&gt;AA14))&gt;0)),0)</f>
        <v/>
      </c>
      <c r="AC14" s="5">
        <f>IF(mos_metrics!I13="","",mos_metrics!I13)</f>
        <v/>
      </c>
      <c r="AD14" s="2">
        <f>AND($J14,ISNUMBER(AC14),correlation!$I$28=1)</f>
        <v/>
      </c>
      <c r="AE14" s="5">
        <f>IF(AD14,$F14,"")</f>
        <v/>
      </c>
      <c r="AF14" s="5">
        <f>IF(AD14,AC14*correlation!$J$28,"")</f>
        <v/>
      </c>
      <c r="AG14" s="5">
        <f>IF(AND(AD14,ISNUMBER(correlation!$F$28)),AF14*correlation!$F$28+correlation!$G$28,"")</f>
        <v/>
      </c>
      <c r="AH14" s="5">
        <f>IF(AND(AD14,ISNUMBER(AG14)),(AE14-AG14)^2,"")</f>
        <v/>
      </c>
      <c r="AI14" s="5">
        <f>IF(AD14,1+SUMPRODUCT(--(calc!$AD$3:$AD$132=TRUE),--(calc!$AE$3:$AE$132&gt;AE14))+(SUMPRODUCT(--(calc!$AD$3:$AD$132=TRUE),--(calc!$AE$3:$AE$132=AE14))-1)/2,"")</f>
        <v/>
      </c>
      <c r="AJ14" s="5">
        <f>IF(AD14,1+SUMPRODUCT(--(calc!$AD$3:$AD$132=TRUE),--(calc!$AF$3:$AF$132&gt;AF14))+(SUMPRODUCT(--(calc!$AD$3:$AD$132=TRUE),--(calc!$AF$3:$AF$132=AF14))-1)/2,"")</f>
        <v/>
      </c>
      <c r="AK14" s="5">
        <f>IF(AD14,SUMPRODUCT(--(calc!$AD$3:$AD$132=TRUE),--(ROW(calc!$AD$3:$AD$132)&gt;ROW(AD14)),--(((calc!$AI$3:$AI$132&gt;AI14)*(calc!$AJ$3:$AJ$132&gt;AJ14)+(calc!$AI$3:$AI$132&lt;AI14)*(calc!$AJ$3:$AJ$132&lt;AJ14))&gt;0))-SUMPRODUCT(--(calc!$AD$3:$AD$132=TRUE),--(ROW(calc!$AD$3:$AD$132)&gt;ROW(AD14)),--(((calc!$AI$3:$AI$132&gt;AI14)*(calc!$AJ$3:$AJ$132&lt;AJ14)+(calc!$AI$3:$AI$132&lt;AI14)*(calc!$AJ$3:$AJ$132&gt;AJ14))&gt;0)),0)</f>
        <v/>
      </c>
      <c r="AL14" s="5">
        <f>IF(mos_metrics!J13="","",mos_metrics!J13)</f>
        <v/>
      </c>
      <c r="AM14" s="2">
        <f>AND($J14,ISNUMBER(AL14),correlation!$I$29=1)</f>
        <v/>
      </c>
      <c r="AN14" s="5">
        <f>IF(AM14,$F14,"")</f>
        <v/>
      </c>
      <c r="AO14" s="5">
        <f>IF(AM14,AL14*correlation!$J$29,"")</f>
        <v/>
      </c>
      <c r="AP14" s="5">
        <f>IF(AND(AM14,ISNUMBER(correlation!$F$29)),AO14*correlation!$F$29+correlation!$G$29,"")</f>
        <v/>
      </c>
      <c r="AQ14" s="5">
        <f>IF(AND(AM14,ISNUMBER(AP14)),(AN14-AP14)^2,"")</f>
        <v/>
      </c>
      <c r="AR14" s="5">
        <f>IF(AM14,1+SUMPRODUCT(--(calc!$AM$3:$AM$132=TRUE),--(calc!$AN$3:$AN$132&gt;AN14))+(SUMPRODUCT(--(calc!$AM$3:$AM$132=TRUE),--(calc!$AN$3:$AN$132=AN14))-1)/2,"")</f>
        <v/>
      </c>
      <c r="AS14" s="5">
        <f>IF(AM14,1+SUMPRODUCT(--(calc!$AM$3:$AM$132=TRUE),--(calc!$AO$3:$AO$132&gt;AO14))+(SUMPRODUCT(--(calc!$AM$3:$AM$132=TRUE),--(calc!$AO$3:$AO$132=AO14))-1)/2,"")</f>
        <v/>
      </c>
      <c r="AT14" s="5">
        <f>IF(AM14,SUMPRODUCT(--(calc!$AM$3:$AM$132=TRUE),--(ROW(calc!$AM$3:$AM$132)&gt;ROW(AM14)),--(((calc!$AR$3:$AR$132&gt;AR14)*(calc!$AS$3:$AS$132&gt;AS14)+(calc!$AR$3:$AR$132&lt;AR14)*(calc!$AS$3:$AS$132&lt;AS14))&gt;0))-SUMPRODUCT(--(calc!$AM$3:$AM$132=TRUE),--(ROW(calc!$AM$3:$AM$132)&gt;ROW(AM14)),--(((calc!$AR$3:$AR$132&gt;AR14)*(calc!$AS$3:$AS$132&lt;AS14)+(calc!$AR$3:$AR$132&lt;AR14)*(calc!$AS$3:$AS$132&gt;AS14))&gt;0)),0)</f>
        <v/>
      </c>
      <c r="AU14" s="5">
        <f>IF(mos_metrics!K13="","",mos_metrics!K13)</f>
        <v/>
      </c>
      <c r="AV14" s="2">
        <f>AND($J14,ISNUMBER(AU14),correlation!$I$30=1)</f>
        <v/>
      </c>
      <c r="AW14" s="5">
        <f>IF(AV14,$F14,"")</f>
        <v/>
      </c>
      <c r="AX14" s="5">
        <f>IF(AV14,AU14*correlation!$J$30,"")</f>
        <v/>
      </c>
      <c r="AY14" s="5">
        <f>IF(AND(AV14,ISNUMBER(correlation!$F$30)),AX14*correlation!$F$30+correlation!$G$30,"")</f>
        <v/>
      </c>
      <c r="AZ14" s="5">
        <f>IF(AND(AV14,ISNUMBER(AY14)),(AW14-AY14)^2,"")</f>
        <v/>
      </c>
      <c r="BA14" s="5">
        <f>IF(AV14,1+SUMPRODUCT(--(calc!$AV$3:$AV$132=TRUE),--(calc!$AW$3:$AW$132&gt;AW14))+(SUMPRODUCT(--(calc!$AV$3:$AV$132=TRUE),--(calc!$AW$3:$AW$132=AW14))-1)/2,"")</f>
        <v/>
      </c>
      <c r="BB14" s="5">
        <f>IF(AV14,1+SUMPRODUCT(--(calc!$AV$3:$AV$132=TRUE),--(calc!$AX$3:$AX$132&gt;AX14))+(SUMPRODUCT(--(calc!$AV$3:$AV$132=TRUE),--(calc!$AX$3:$AX$132=AX14))-1)/2,"")</f>
        <v/>
      </c>
      <c r="BC14" s="5">
        <f>IF(AV14,SUMPRODUCT(--(calc!$AV$3:$AV$132=TRUE),--(ROW(calc!$AV$3:$AV$132)&gt;ROW(AV14)),--(((calc!$BA$3:$BA$132&gt;BA14)*(calc!$BB$3:$BB$132&gt;BB14)+(calc!$BA$3:$BA$132&lt;BA14)*(calc!$BB$3:$BB$132&lt;BB14))&gt;0))-SUMPRODUCT(--(calc!$AV$3:$AV$132=TRUE),--(ROW(calc!$AV$3:$AV$132)&gt;ROW(AV14)),--(((calc!$BA$3:$BA$132&gt;BA14)*(calc!$BB$3:$BB$132&lt;BB14)+(calc!$BA$3:$BA$132&lt;BA14)*(calc!$BB$3:$BB$132&gt;BB14))&gt;0)),0)</f>
        <v/>
      </c>
      <c r="BD14" s="5">
        <f>IF(mos_metrics!L13="","",mos_metrics!L13)</f>
        <v/>
      </c>
      <c r="BE14" s="2">
        <f>AND($J14,ISNUMBER(BD14),correlation!$I$31=1)</f>
        <v/>
      </c>
      <c r="BF14" s="5">
        <f>IF(BE14,$F14,"")</f>
        <v/>
      </c>
      <c r="BG14" s="5">
        <f>IF(BE14,BD14*correlation!$J$31,"")</f>
        <v/>
      </c>
      <c r="BH14" s="5">
        <f>IF(AND(BE14,ISNUMBER(correlation!$F$31)),BG14*correlation!$F$31+correlation!$G$31,"")</f>
        <v/>
      </c>
      <c r="BI14" s="5">
        <f>IF(AND(BE14,ISNUMBER(BH14)),(BF14-BH14)^2,"")</f>
        <v/>
      </c>
      <c r="BJ14" s="5">
        <f>IF(BE14,1+SUMPRODUCT(--(calc!$BE$3:$BE$132=TRUE),--(calc!$BF$3:$BF$132&gt;BF14))+(SUMPRODUCT(--(calc!$BE$3:$BE$132=TRUE),--(calc!$BF$3:$BF$132=BF14))-1)/2,"")</f>
        <v/>
      </c>
      <c r="BK14" s="5">
        <f>IF(BE14,1+SUMPRODUCT(--(calc!$BE$3:$BE$132=TRUE),--(calc!$BG$3:$BG$132&gt;BG14))+(SUMPRODUCT(--(calc!$BE$3:$BE$132=TRUE),--(calc!$BG$3:$BG$132=BG14))-1)/2,"")</f>
        <v/>
      </c>
      <c r="BL14" s="5">
        <f>IF(BE14,SUMPRODUCT(--(calc!$BE$3:$BE$132=TRUE),--(ROW(calc!$BE$3:$BE$132)&gt;ROW(BE14)),--(((calc!$BJ$3:$BJ$132&gt;BJ14)*(calc!$BK$3:$BK$132&gt;BK14)+(calc!$BJ$3:$BJ$132&lt;BJ14)*(calc!$BK$3:$BK$132&lt;BK14))&gt;0))-SUMPRODUCT(--(calc!$BE$3:$BE$132=TRUE),--(ROW(calc!$BE$3:$BE$132)&gt;ROW(BE14)),--(((calc!$BJ$3:$BJ$132&gt;BJ14)*(calc!$BK$3:$BK$132&lt;BK14)+(calc!$BJ$3:$BJ$132&lt;BJ14)*(calc!$BK$3:$BK$132&gt;BK14))&gt;0)),0)</f>
        <v/>
      </c>
      <c r="BM14" s="5">
        <f>IF(mos_metrics!M13="","",mos_metrics!M13)</f>
        <v/>
      </c>
      <c r="BN14" s="2">
        <f>AND($J14,ISNUMBER(BM14),correlation!$I$32=1)</f>
        <v/>
      </c>
      <c r="BO14" s="5">
        <f>IF(BN14,$F14,"")</f>
        <v/>
      </c>
      <c r="BP14" s="5">
        <f>IF(BN14,BM14*correlation!$J$32,"")</f>
        <v/>
      </c>
      <c r="BQ14" s="5">
        <f>IF(AND(BN14,ISNUMBER(correlation!$F$32)),BP14*correlation!$F$32+correlation!$G$32,"")</f>
        <v/>
      </c>
      <c r="BR14" s="5">
        <f>IF(AND(BN14,ISNUMBER(BQ14)),(BO14-BQ14)^2,"")</f>
        <v/>
      </c>
      <c r="BS14" s="5">
        <f>IF(BN14,1+SUMPRODUCT(--(calc!$BN$3:$BN$132=TRUE),--(calc!$BO$3:$BO$132&gt;BO14))+(SUMPRODUCT(--(calc!$BN$3:$BN$132=TRUE),--(calc!$BO$3:$BO$132=BO14))-1)/2,"")</f>
        <v/>
      </c>
      <c r="BT14" s="5">
        <f>IF(BN14,1+SUMPRODUCT(--(calc!$BN$3:$BN$132=TRUE),--(calc!$BP$3:$BP$132&gt;BP14))+(SUMPRODUCT(--(calc!$BN$3:$BN$132=TRUE),--(calc!$BP$3:$BP$132=BP14))-1)/2,"")</f>
        <v/>
      </c>
      <c r="BU14" s="5">
        <f>IF(BN14,SUMPRODUCT(--(calc!$BN$3:$BN$132=TRUE),--(ROW(calc!$BN$3:$BN$132)&gt;ROW(BN14)),--(((calc!$BS$3:$BS$132&gt;BS14)*(calc!$BT$3:$BT$132&gt;BT14)+(calc!$BS$3:$BS$132&lt;BS14)*(calc!$BT$3:$BT$132&lt;BT14))&gt;0))-SUMPRODUCT(--(calc!$BN$3:$BN$132=TRUE),--(ROW(calc!$BN$3:$BN$132)&gt;ROW(BN14)),--(((calc!$BS$3:$BS$132&gt;BS14)*(calc!$BT$3:$BT$132&lt;BT14)+(calc!$BS$3:$BS$132&lt;BS14)*(calc!$BT$3:$BT$132&gt;BT14))&gt;0)),0)</f>
        <v/>
      </c>
    </row>
    <row r="15">
      <c r="A15" s="2">
        <f>mos_metrics!A14</f>
        <v/>
      </c>
      <c r="B15" s="2">
        <f>mos_metrics!B14</f>
        <v/>
      </c>
      <c r="C15" s="2">
        <f>mos_metrics!C14</f>
        <v/>
      </c>
      <c r="D15" s="2">
        <f>mos_metrics!D14</f>
        <v/>
      </c>
      <c r="E15" s="2">
        <f>mos_metrics!E14</f>
        <v/>
      </c>
      <c r="F15" s="2">
        <f>mos_metrics!F14</f>
        <v/>
      </c>
      <c r="G15" s="2">
        <f>IF($B15="","",IFERROR(VLOOKUP($B15,correlation!$A$2:$B$12,2,FALSE),1))</f>
        <v/>
      </c>
      <c r="H15" s="2">
        <f>IF($E15="","",IFERROR(VLOOKUP($E15,correlation!$D$2:$E$8,2,FALSE),1))</f>
        <v/>
      </c>
      <c r="I15" s="2">
        <f>ISNUMBER($F15)</f>
        <v/>
      </c>
      <c r="J15" s="2">
        <f>AND($G15=1,$H15=1,$I15)</f>
        <v/>
      </c>
      <c r="K15" s="5">
        <f>IF(mos_metrics!G14="","",mos_metrics!G14)</f>
        <v/>
      </c>
      <c r="L15" s="2">
        <f>AND($J15,ISNUMBER(K15),correlation!$I$26=1)</f>
        <v/>
      </c>
      <c r="M15" s="5">
        <f>IF(L15,$F15,"")</f>
        <v/>
      </c>
      <c r="N15" s="5">
        <f>IF(L15,K15*correlation!$J$26,"")</f>
        <v/>
      </c>
      <c r="O15" s="5">
        <f>IF(AND(L15,ISNUMBER(correlation!$F$26)),N15*correlation!$F$26+correlation!$G$26,"")</f>
        <v/>
      </c>
      <c r="P15" s="5">
        <f>IF(AND(L15,ISNUMBER(O15)),(M15-O15)^2,"")</f>
        <v/>
      </c>
      <c r="Q15" s="5">
        <f>IF(L15,1+SUMPRODUCT(--(calc!$L$3:$L$132=TRUE),--(calc!$M$3:$M$132&gt;M15))+(SUMPRODUCT(--(calc!$L$3:$L$132=TRUE),--(calc!$M$3:$M$132=M15))-1)/2,"")</f>
        <v/>
      </c>
      <c r="R15" s="5">
        <f>IF(L15,1+SUMPRODUCT(--(calc!$L$3:$L$132=TRUE),--(calc!$N$3:$N$132&gt;N15))+(SUMPRODUCT(--(calc!$L$3:$L$132=TRUE),--(calc!$N$3:$N$132=N15))-1)/2,"")</f>
        <v/>
      </c>
      <c r="S15" s="5">
        <f>IF(L15,SUMPRODUCT(--(calc!$L$3:$L$132=TRUE),--(ROW(calc!$L$3:$L$132)&gt;ROW(L15)),--(((calc!$Q$3:$Q$132&gt;Q15)*(calc!$R$3:$R$132&gt;R15)+(calc!$Q$3:$Q$132&lt;Q15)*(calc!$R$3:$R$132&lt;R15))&gt;0))-SUMPRODUCT(--(calc!$L$3:$L$132=TRUE),--(ROW(calc!$L$3:$L$132)&gt;ROW(L15)),--(((calc!$Q$3:$Q$132&gt;Q15)*(calc!$R$3:$R$132&lt;R15)+(calc!$Q$3:$Q$132&lt;Q15)*(calc!$R$3:$R$132&gt;R15))&gt;0)),0)</f>
        <v/>
      </c>
      <c r="T15" s="5">
        <f>IF(mos_metrics!H14="","",mos_metrics!H14)</f>
        <v/>
      </c>
      <c r="U15" s="2">
        <f>AND($J15,ISNUMBER(T15),correlation!$I$27=1)</f>
        <v/>
      </c>
      <c r="V15" s="5">
        <f>IF(U15,$F15,"")</f>
        <v/>
      </c>
      <c r="W15" s="5">
        <f>IF(U15,T15*correlation!$J$27,"")</f>
        <v/>
      </c>
      <c r="X15" s="5">
        <f>IF(AND(U15,ISNUMBER(correlation!$F$27)),W15*correlation!$F$27+correlation!$G$27,"")</f>
        <v/>
      </c>
      <c r="Y15" s="5">
        <f>IF(AND(U15,ISNUMBER(X15)),(V15-X15)^2,"")</f>
        <v/>
      </c>
      <c r="Z15" s="5">
        <f>IF(U15,1+SUMPRODUCT(--(calc!$U$3:$U$132=TRUE),--(calc!$V$3:$V$132&gt;V15))+(SUMPRODUCT(--(calc!$U$3:$U$132=TRUE),--(calc!$V$3:$V$132=V15))-1)/2,"")</f>
        <v/>
      </c>
      <c r="AA15" s="5">
        <f>IF(U15,1+SUMPRODUCT(--(calc!$U$3:$U$132=TRUE),--(calc!$W$3:$W$132&gt;W15))+(SUMPRODUCT(--(calc!$U$3:$U$132=TRUE),--(calc!$W$3:$W$132=W15))-1)/2,"")</f>
        <v/>
      </c>
      <c r="AB15" s="5">
        <f>IF(U15,SUMPRODUCT(--(calc!$U$3:$U$132=TRUE),--(ROW(calc!$U$3:$U$132)&gt;ROW(U15)),--(((calc!$Z$3:$Z$132&gt;Z15)*(calc!$AA$3:$AA$132&gt;AA15)+(calc!$Z$3:$Z$132&lt;Z15)*(calc!$AA$3:$AA$132&lt;AA15))&gt;0))-SUMPRODUCT(--(calc!$U$3:$U$132=TRUE),--(ROW(calc!$U$3:$U$132)&gt;ROW(U15)),--(((calc!$Z$3:$Z$132&gt;Z15)*(calc!$AA$3:$AA$132&lt;AA15)+(calc!$Z$3:$Z$132&lt;Z15)*(calc!$AA$3:$AA$132&gt;AA15))&gt;0)),0)</f>
        <v/>
      </c>
      <c r="AC15" s="5">
        <f>IF(mos_metrics!I14="","",mos_metrics!I14)</f>
        <v/>
      </c>
      <c r="AD15" s="2">
        <f>AND($J15,ISNUMBER(AC15),correlation!$I$28=1)</f>
        <v/>
      </c>
      <c r="AE15" s="5">
        <f>IF(AD15,$F15,"")</f>
        <v/>
      </c>
      <c r="AF15" s="5">
        <f>IF(AD15,AC15*correlation!$J$28,"")</f>
        <v/>
      </c>
      <c r="AG15" s="5">
        <f>IF(AND(AD15,ISNUMBER(correlation!$F$28)),AF15*correlation!$F$28+correlation!$G$28,"")</f>
        <v/>
      </c>
      <c r="AH15" s="5">
        <f>IF(AND(AD15,ISNUMBER(AG15)),(AE15-AG15)^2,"")</f>
        <v/>
      </c>
      <c r="AI15" s="5">
        <f>IF(AD15,1+SUMPRODUCT(--(calc!$AD$3:$AD$132=TRUE),--(calc!$AE$3:$AE$132&gt;AE15))+(SUMPRODUCT(--(calc!$AD$3:$AD$132=TRUE),--(calc!$AE$3:$AE$132=AE15))-1)/2,"")</f>
        <v/>
      </c>
      <c r="AJ15" s="5">
        <f>IF(AD15,1+SUMPRODUCT(--(calc!$AD$3:$AD$132=TRUE),--(calc!$AF$3:$AF$132&gt;AF15))+(SUMPRODUCT(--(calc!$AD$3:$AD$132=TRUE),--(calc!$AF$3:$AF$132=AF15))-1)/2,"")</f>
        <v/>
      </c>
      <c r="AK15" s="5">
        <f>IF(AD15,SUMPRODUCT(--(calc!$AD$3:$AD$132=TRUE),--(ROW(calc!$AD$3:$AD$132)&gt;ROW(AD15)),--(((calc!$AI$3:$AI$132&gt;AI15)*(calc!$AJ$3:$AJ$132&gt;AJ15)+(calc!$AI$3:$AI$132&lt;AI15)*(calc!$AJ$3:$AJ$132&lt;AJ15))&gt;0))-SUMPRODUCT(--(calc!$AD$3:$AD$132=TRUE),--(ROW(calc!$AD$3:$AD$132)&gt;ROW(AD15)),--(((calc!$AI$3:$AI$132&gt;AI15)*(calc!$AJ$3:$AJ$132&lt;AJ15)+(calc!$AI$3:$AI$132&lt;AI15)*(calc!$AJ$3:$AJ$132&gt;AJ15))&gt;0)),0)</f>
        <v/>
      </c>
      <c r="AL15" s="5">
        <f>IF(mos_metrics!J14="","",mos_metrics!J14)</f>
        <v/>
      </c>
      <c r="AM15" s="2">
        <f>AND($J15,ISNUMBER(AL15),correlation!$I$29=1)</f>
        <v/>
      </c>
      <c r="AN15" s="5">
        <f>IF(AM15,$F15,"")</f>
        <v/>
      </c>
      <c r="AO15" s="5">
        <f>IF(AM15,AL15*correlation!$J$29,"")</f>
        <v/>
      </c>
      <c r="AP15" s="5">
        <f>IF(AND(AM15,ISNUMBER(correlation!$F$29)),AO15*correlation!$F$29+correlation!$G$29,"")</f>
        <v/>
      </c>
      <c r="AQ15" s="5">
        <f>IF(AND(AM15,ISNUMBER(AP15)),(AN15-AP15)^2,"")</f>
        <v/>
      </c>
      <c r="AR15" s="5">
        <f>IF(AM15,1+SUMPRODUCT(--(calc!$AM$3:$AM$132=TRUE),--(calc!$AN$3:$AN$132&gt;AN15))+(SUMPRODUCT(--(calc!$AM$3:$AM$132=TRUE),--(calc!$AN$3:$AN$132=AN15))-1)/2,"")</f>
        <v/>
      </c>
      <c r="AS15" s="5">
        <f>IF(AM15,1+SUMPRODUCT(--(calc!$AM$3:$AM$132=TRUE),--(calc!$AO$3:$AO$132&gt;AO15))+(SUMPRODUCT(--(calc!$AM$3:$AM$132=TRUE),--(calc!$AO$3:$AO$132=AO15))-1)/2,"")</f>
        <v/>
      </c>
      <c r="AT15" s="5">
        <f>IF(AM15,SUMPRODUCT(--(calc!$AM$3:$AM$132=TRUE),--(ROW(calc!$AM$3:$AM$132)&gt;ROW(AM15)),--(((calc!$AR$3:$AR$132&gt;AR15)*(calc!$AS$3:$AS$132&gt;AS15)+(calc!$AR$3:$AR$132&lt;AR15)*(calc!$AS$3:$AS$132&lt;AS15))&gt;0))-SUMPRODUCT(--(calc!$AM$3:$AM$132=TRUE),--(ROW(calc!$AM$3:$AM$132)&gt;ROW(AM15)),--(((calc!$AR$3:$AR$132&gt;AR15)*(calc!$AS$3:$AS$132&lt;AS15)+(calc!$AR$3:$AR$132&lt;AR15)*(calc!$AS$3:$AS$132&gt;AS15))&gt;0)),0)</f>
        <v/>
      </c>
      <c r="AU15" s="5">
        <f>IF(mos_metrics!K14="","",mos_metrics!K14)</f>
        <v/>
      </c>
      <c r="AV15" s="2">
        <f>AND($J15,ISNUMBER(AU15),correlation!$I$30=1)</f>
        <v/>
      </c>
      <c r="AW15" s="5">
        <f>IF(AV15,$F15,"")</f>
        <v/>
      </c>
      <c r="AX15" s="5">
        <f>IF(AV15,AU15*correlation!$J$30,"")</f>
        <v/>
      </c>
      <c r="AY15" s="5">
        <f>IF(AND(AV15,ISNUMBER(correlation!$F$30)),AX15*correlation!$F$30+correlation!$G$30,"")</f>
        <v/>
      </c>
      <c r="AZ15" s="5">
        <f>IF(AND(AV15,ISNUMBER(AY15)),(AW15-AY15)^2,"")</f>
        <v/>
      </c>
      <c r="BA15" s="5">
        <f>IF(AV15,1+SUMPRODUCT(--(calc!$AV$3:$AV$132=TRUE),--(calc!$AW$3:$AW$132&gt;AW15))+(SUMPRODUCT(--(calc!$AV$3:$AV$132=TRUE),--(calc!$AW$3:$AW$132=AW15))-1)/2,"")</f>
        <v/>
      </c>
      <c r="BB15" s="5">
        <f>IF(AV15,1+SUMPRODUCT(--(calc!$AV$3:$AV$132=TRUE),--(calc!$AX$3:$AX$132&gt;AX15))+(SUMPRODUCT(--(calc!$AV$3:$AV$132=TRUE),--(calc!$AX$3:$AX$132=AX15))-1)/2,"")</f>
        <v/>
      </c>
      <c r="BC15" s="5">
        <f>IF(AV15,SUMPRODUCT(--(calc!$AV$3:$AV$132=TRUE),--(ROW(calc!$AV$3:$AV$132)&gt;ROW(AV15)),--(((calc!$BA$3:$BA$132&gt;BA15)*(calc!$BB$3:$BB$132&gt;BB15)+(calc!$BA$3:$BA$132&lt;BA15)*(calc!$BB$3:$BB$132&lt;BB15))&gt;0))-SUMPRODUCT(--(calc!$AV$3:$AV$132=TRUE),--(ROW(calc!$AV$3:$AV$132)&gt;ROW(AV15)),--(((calc!$BA$3:$BA$132&gt;BA15)*(calc!$BB$3:$BB$132&lt;BB15)+(calc!$BA$3:$BA$132&lt;BA15)*(calc!$BB$3:$BB$132&gt;BB15))&gt;0)),0)</f>
        <v/>
      </c>
      <c r="BD15" s="5">
        <f>IF(mos_metrics!L14="","",mos_metrics!L14)</f>
        <v/>
      </c>
      <c r="BE15" s="2">
        <f>AND($J15,ISNUMBER(BD15),correlation!$I$31=1)</f>
        <v/>
      </c>
      <c r="BF15" s="5">
        <f>IF(BE15,$F15,"")</f>
        <v/>
      </c>
      <c r="BG15" s="5">
        <f>IF(BE15,BD15*correlation!$J$31,"")</f>
        <v/>
      </c>
      <c r="BH15" s="5">
        <f>IF(AND(BE15,ISNUMBER(correlation!$F$31)),BG15*correlation!$F$31+correlation!$G$31,"")</f>
        <v/>
      </c>
      <c r="BI15" s="5">
        <f>IF(AND(BE15,ISNUMBER(BH15)),(BF15-BH15)^2,"")</f>
        <v/>
      </c>
      <c r="BJ15" s="5">
        <f>IF(BE15,1+SUMPRODUCT(--(calc!$BE$3:$BE$132=TRUE),--(calc!$BF$3:$BF$132&gt;BF15))+(SUMPRODUCT(--(calc!$BE$3:$BE$132=TRUE),--(calc!$BF$3:$BF$132=BF15))-1)/2,"")</f>
        <v/>
      </c>
      <c r="BK15" s="5">
        <f>IF(BE15,1+SUMPRODUCT(--(calc!$BE$3:$BE$132=TRUE),--(calc!$BG$3:$BG$132&gt;BG15))+(SUMPRODUCT(--(calc!$BE$3:$BE$132=TRUE),--(calc!$BG$3:$BG$132=BG15))-1)/2,"")</f>
        <v/>
      </c>
      <c r="BL15" s="5">
        <f>IF(BE15,SUMPRODUCT(--(calc!$BE$3:$BE$132=TRUE),--(ROW(calc!$BE$3:$BE$132)&gt;ROW(BE15)),--(((calc!$BJ$3:$BJ$132&gt;BJ15)*(calc!$BK$3:$BK$132&gt;BK15)+(calc!$BJ$3:$BJ$132&lt;BJ15)*(calc!$BK$3:$BK$132&lt;BK15))&gt;0))-SUMPRODUCT(--(calc!$BE$3:$BE$132=TRUE),--(ROW(calc!$BE$3:$BE$132)&gt;ROW(BE15)),--(((calc!$BJ$3:$BJ$132&gt;BJ15)*(calc!$BK$3:$BK$132&lt;BK15)+(calc!$BJ$3:$BJ$132&lt;BJ15)*(calc!$BK$3:$BK$132&gt;BK15))&gt;0)),0)</f>
        <v/>
      </c>
      <c r="BM15" s="5">
        <f>IF(mos_metrics!M14="","",mos_metrics!M14)</f>
        <v/>
      </c>
      <c r="BN15" s="2">
        <f>AND($J15,ISNUMBER(BM15),correlation!$I$32=1)</f>
        <v/>
      </c>
      <c r="BO15" s="5">
        <f>IF(BN15,$F15,"")</f>
        <v/>
      </c>
      <c r="BP15" s="5">
        <f>IF(BN15,BM15*correlation!$J$32,"")</f>
        <v/>
      </c>
      <c r="BQ15" s="5">
        <f>IF(AND(BN15,ISNUMBER(correlation!$F$32)),BP15*correlation!$F$32+correlation!$G$32,"")</f>
        <v/>
      </c>
      <c r="BR15" s="5">
        <f>IF(AND(BN15,ISNUMBER(BQ15)),(BO15-BQ15)^2,"")</f>
        <v/>
      </c>
      <c r="BS15" s="5">
        <f>IF(BN15,1+SUMPRODUCT(--(calc!$BN$3:$BN$132=TRUE),--(calc!$BO$3:$BO$132&gt;BO15))+(SUMPRODUCT(--(calc!$BN$3:$BN$132=TRUE),--(calc!$BO$3:$BO$132=BO15))-1)/2,"")</f>
        <v/>
      </c>
      <c r="BT15" s="5">
        <f>IF(BN15,1+SUMPRODUCT(--(calc!$BN$3:$BN$132=TRUE),--(calc!$BP$3:$BP$132&gt;BP15))+(SUMPRODUCT(--(calc!$BN$3:$BN$132=TRUE),--(calc!$BP$3:$BP$132=BP15))-1)/2,"")</f>
        <v/>
      </c>
      <c r="BU15" s="5">
        <f>IF(BN15,SUMPRODUCT(--(calc!$BN$3:$BN$132=TRUE),--(ROW(calc!$BN$3:$BN$132)&gt;ROW(BN15)),--(((calc!$BS$3:$BS$132&gt;BS15)*(calc!$BT$3:$BT$132&gt;BT15)+(calc!$BS$3:$BS$132&lt;BS15)*(calc!$BT$3:$BT$132&lt;BT15))&gt;0))-SUMPRODUCT(--(calc!$BN$3:$BN$132=TRUE),--(ROW(calc!$BN$3:$BN$132)&gt;ROW(BN15)),--(((calc!$BS$3:$BS$132&gt;BS15)*(calc!$BT$3:$BT$132&lt;BT15)+(calc!$BS$3:$BS$132&lt;BS15)*(calc!$BT$3:$BT$132&gt;BT15))&gt;0)),0)</f>
        <v/>
      </c>
    </row>
    <row r="16">
      <c r="A16" s="2">
        <f>mos_metrics!A15</f>
        <v/>
      </c>
      <c r="B16" s="2">
        <f>mos_metrics!B15</f>
        <v/>
      </c>
      <c r="C16" s="2">
        <f>mos_metrics!C15</f>
        <v/>
      </c>
      <c r="D16" s="2">
        <f>mos_metrics!D15</f>
        <v/>
      </c>
      <c r="E16" s="2">
        <f>mos_metrics!E15</f>
        <v/>
      </c>
      <c r="F16" s="2">
        <f>mos_metrics!F15</f>
        <v/>
      </c>
      <c r="G16" s="2">
        <f>IF($B16="","",IFERROR(VLOOKUP($B16,correlation!$A$2:$B$12,2,FALSE),1))</f>
        <v/>
      </c>
      <c r="H16" s="2">
        <f>IF($E16="","",IFERROR(VLOOKUP($E16,correlation!$D$2:$E$8,2,FALSE),1))</f>
        <v/>
      </c>
      <c r="I16" s="2">
        <f>ISNUMBER($F16)</f>
        <v/>
      </c>
      <c r="J16" s="2">
        <f>AND($G16=1,$H16=1,$I16)</f>
        <v/>
      </c>
      <c r="K16" s="5">
        <f>IF(mos_metrics!G15="","",mos_metrics!G15)</f>
        <v/>
      </c>
      <c r="L16" s="2">
        <f>AND($J16,ISNUMBER(K16),correlation!$I$26=1)</f>
        <v/>
      </c>
      <c r="M16" s="5">
        <f>IF(L16,$F16,"")</f>
        <v/>
      </c>
      <c r="N16" s="5">
        <f>IF(L16,K16*correlation!$J$26,"")</f>
        <v/>
      </c>
      <c r="O16" s="5">
        <f>IF(AND(L16,ISNUMBER(correlation!$F$26)),N16*correlation!$F$26+correlation!$G$26,"")</f>
        <v/>
      </c>
      <c r="P16" s="5">
        <f>IF(AND(L16,ISNUMBER(O16)),(M16-O16)^2,"")</f>
        <v/>
      </c>
      <c r="Q16" s="5">
        <f>IF(L16,1+SUMPRODUCT(--(calc!$L$3:$L$132=TRUE),--(calc!$M$3:$M$132&gt;M16))+(SUMPRODUCT(--(calc!$L$3:$L$132=TRUE),--(calc!$M$3:$M$132=M16))-1)/2,"")</f>
        <v/>
      </c>
      <c r="R16" s="5">
        <f>IF(L16,1+SUMPRODUCT(--(calc!$L$3:$L$132=TRUE),--(calc!$N$3:$N$132&gt;N16))+(SUMPRODUCT(--(calc!$L$3:$L$132=TRUE),--(calc!$N$3:$N$132=N16))-1)/2,"")</f>
        <v/>
      </c>
      <c r="S16" s="5">
        <f>IF(L16,SUMPRODUCT(--(calc!$L$3:$L$132=TRUE),--(ROW(calc!$L$3:$L$132)&gt;ROW(L16)),--(((calc!$Q$3:$Q$132&gt;Q16)*(calc!$R$3:$R$132&gt;R16)+(calc!$Q$3:$Q$132&lt;Q16)*(calc!$R$3:$R$132&lt;R16))&gt;0))-SUMPRODUCT(--(calc!$L$3:$L$132=TRUE),--(ROW(calc!$L$3:$L$132)&gt;ROW(L16)),--(((calc!$Q$3:$Q$132&gt;Q16)*(calc!$R$3:$R$132&lt;R16)+(calc!$Q$3:$Q$132&lt;Q16)*(calc!$R$3:$R$132&gt;R16))&gt;0)),0)</f>
        <v/>
      </c>
      <c r="T16" s="5">
        <f>IF(mos_metrics!H15="","",mos_metrics!H15)</f>
        <v/>
      </c>
      <c r="U16" s="2">
        <f>AND($J16,ISNUMBER(T16),correlation!$I$27=1)</f>
        <v/>
      </c>
      <c r="V16" s="5">
        <f>IF(U16,$F16,"")</f>
        <v/>
      </c>
      <c r="W16" s="5">
        <f>IF(U16,T16*correlation!$J$27,"")</f>
        <v/>
      </c>
      <c r="X16" s="5">
        <f>IF(AND(U16,ISNUMBER(correlation!$F$27)),W16*correlation!$F$27+correlation!$G$27,"")</f>
        <v/>
      </c>
      <c r="Y16" s="5">
        <f>IF(AND(U16,ISNUMBER(X16)),(V16-X16)^2,"")</f>
        <v/>
      </c>
      <c r="Z16" s="5">
        <f>IF(U16,1+SUMPRODUCT(--(calc!$U$3:$U$132=TRUE),--(calc!$V$3:$V$132&gt;V16))+(SUMPRODUCT(--(calc!$U$3:$U$132=TRUE),--(calc!$V$3:$V$132=V16))-1)/2,"")</f>
        <v/>
      </c>
      <c r="AA16" s="5">
        <f>IF(U16,1+SUMPRODUCT(--(calc!$U$3:$U$132=TRUE),--(calc!$W$3:$W$132&gt;W16))+(SUMPRODUCT(--(calc!$U$3:$U$132=TRUE),--(calc!$W$3:$W$132=W16))-1)/2,"")</f>
        <v/>
      </c>
      <c r="AB16" s="5">
        <f>IF(U16,SUMPRODUCT(--(calc!$U$3:$U$132=TRUE),--(ROW(calc!$U$3:$U$132)&gt;ROW(U16)),--(((calc!$Z$3:$Z$132&gt;Z16)*(calc!$AA$3:$AA$132&gt;AA16)+(calc!$Z$3:$Z$132&lt;Z16)*(calc!$AA$3:$AA$132&lt;AA16))&gt;0))-SUMPRODUCT(--(calc!$U$3:$U$132=TRUE),--(ROW(calc!$U$3:$U$132)&gt;ROW(U16)),--(((calc!$Z$3:$Z$132&gt;Z16)*(calc!$AA$3:$AA$132&lt;AA16)+(calc!$Z$3:$Z$132&lt;Z16)*(calc!$AA$3:$AA$132&gt;AA16))&gt;0)),0)</f>
        <v/>
      </c>
      <c r="AC16" s="5">
        <f>IF(mos_metrics!I15="","",mos_metrics!I15)</f>
        <v/>
      </c>
      <c r="AD16" s="2">
        <f>AND($J16,ISNUMBER(AC16),correlation!$I$28=1)</f>
        <v/>
      </c>
      <c r="AE16" s="5">
        <f>IF(AD16,$F16,"")</f>
        <v/>
      </c>
      <c r="AF16" s="5">
        <f>IF(AD16,AC16*correlation!$J$28,"")</f>
        <v/>
      </c>
      <c r="AG16" s="5">
        <f>IF(AND(AD16,ISNUMBER(correlation!$F$28)),AF16*correlation!$F$28+correlation!$G$28,"")</f>
        <v/>
      </c>
      <c r="AH16" s="5">
        <f>IF(AND(AD16,ISNUMBER(AG16)),(AE16-AG16)^2,"")</f>
        <v/>
      </c>
      <c r="AI16" s="5">
        <f>IF(AD16,1+SUMPRODUCT(--(calc!$AD$3:$AD$132=TRUE),--(calc!$AE$3:$AE$132&gt;AE16))+(SUMPRODUCT(--(calc!$AD$3:$AD$132=TRUE),--(calc!$AE$3:$AE$132=AE16))-1)/2,"")</f>
        <v/>
      </c>
      <c r="AJ16" s="5">
        <f>IF(AD16,1+SUMPRODUCT(--(calc!$AD$3:$AD$132=TRUE),--(calc!$AF$3:$AF$132&gt;AF16))+(SUMPRODUCT(--(calc!$AD$3:$AD$132=TRUE),--(calc!$AF$3:$AF$132=AF16))-1)/2,"")</f>
        <v/>
      </c>
      <c r="AK16" s="5">
        <f>IF(AD16,SUMPRODUCT(--(calc!$AD$3:$AD$132=TRUE),--(ROW(calc!$AD$3:$AD$132)&gt;ROW(AD16)),--(((calc!$AI$3:$AI$132&gt;AI16)*(calc!$AJ$3:$AJ$132&gt;AJ16)+(calc!$AI$3:$AI$132&lt;AI16)*(calc!$AJ$3:$AJ$132&lt;AJ16))&gt;0))-SUMPRODUCT(--(calc!$AD$3:$AD$132=TRUE),--(ROW(calc!$AD$3:$AD$132)&gt;ROW(AD16)),--(((calc!$AI$3:$AI$132&gt;AI16)*(calc!$AJ$3:$AJ$132&lt;AJ16)+(calc!$AI$3:$AI$132&lt;AI16)*(calc!$AJ$3:$AJ$132&gt;AJ16))&gt;0)),0)</f>
        <v/>
      </c>
      <c r="AL16" s="5">
        <f>IF(mos_metrics!J15="","",mos_metrics!J15)</f>
        <v/>
      </c>
      <c r="AM16" s="2">
        <f>AND($J16,ISNUMBER(AL16),correlation!$I$29=1)</f>
        <v/>
      </c>
      <c r="AN16" s="5">
        <f>IF(AM16,$F16,"")</f>
        <v/>
      </c>
      <c r="AO16" s="5">
        <f>IF(AM16,AL16*correlation!$J$29,"")</f>
        <v/>
      </c>
      <c r="AP16" s="5">
        <f>IF(AND(AM16,ISNUMBER(correlation!$F$29)),AO16*correlation!$F$29+correlation!$G$29,"")</f>
        <v/>
      </c>
      <c r="AQ16" s="5">
        <f>IF(AND(AM16,ISNUMBER(AP16)),(AN16-AP16)^2,"")</f>
        <v/>
      </c>
      <c r="AR16" s="5">
        <f>IF(AM16,1+SUMPRODUCT(--(calc!$AM$3:$AM$132=TRUE),--(calc!$AN$3:$AN$132&gt;AN16))+(SUMPRODUCT(--(calc!$AM$3:$AM$132=TRUE),--(calc!$AN$3:$AN$132=AN16))-1)/2,"")</f>
        <v/>
      </c>
      <c r="AS16" s="5">
        <f>IF(AM16,1+SUMPRODUCT(--(calc!$AM$3:$AM$132=TRUE),--(calc!$AO$3:$AO$132&gt;AO16))+(SUMPRODUCT(--(calc!$AM$3:$AM$132=TRUE),--(calc!$AO$3:$AO$132=AO16))-1)/2,"")</f>
        <v/>
      </c>
      <c r="AT16" s="5">
        <f>IF(AM16,SUMPRODUCT(--(calc!$AM$3:$AM$132=TRUE),--(ROW(calc!$AM$3:$AM$132)&gt;ROW(AM16)),--(((calc!$AR$3:$AR$132&gt;AR16)*(calc!$AS$3:$AS$132&gt;AS16)+(calc!$AR$3:$AR$132&lt;AR16)*(calc!$AS$3:$AS$132&lt;AS16))&gt;0))-SUMPRODUCT(--(calc!$AM$3:$AM$132=TRUE),--(ROW(calc!$AM$3:$AM$132)&gt;ROW(AM16)),--(((calc!$AR$3:$AR$132&gt;AR16)*(calc!$AS$3:$AS$132&lt;AS16)+(calc!$AR$3:$AR$132&lt;AR16)*(calc!$AS$3:$AS$132&gt;AS16))&gt;0)),0)</f>
        <v/>
      </c>
      <c r="AU16" s="5">
        <f>IF(mos_metrics!K15="","",mos_metrics!K15)</f>
        <v/>
      </c>
      <c r="AV16" s="2">
        <f>AND($J16,ISNUMBER(AU16),correlation!$I$30=1)</f>
        <v/>
      </c>
      <c r="AW16" s="5">
        <f>IF(AV16,$F16,"")</f>
        <v/>
      </c>
      <c r="AX16" s="5">
        <f>IF(AV16,AU16*correlation!$J$30,"")</f>
        <v/>
      </c>
      <c r="AY16" s="5">
        <f>IF(AND(AV16,ISNUMBER(correlation!$F$30)),AX16*correlation!$F$30+correlation!$G$30,"")</f>
        <v/>
      </c>
      <c r="AZ16" s="5">
        <f>IF(AND(AV16,ISNUMBER(AY16)),(AW16-AY16)^2,"")</f>
        <v/>
      </c>
      <c r="BA16" s="5">
        <f>IF(AV16,1+SUMPRODUCT(--(calc!$AV$3:$AV$132=TRUE),--(calc!$AW$3:$AW$132&gt;AW16))+(SUMPRODUCT(--(calc!$AV$3:$AV$132=TRUE),--(calc!$AW$3:$AW$132=AW16))-1)/2,"")</f>
        <v/>
      </c>
      <c r="BB16" s="5">
        <f>IF(AV16,1+SUMPRODUCT(--(calc!$AV$3:$AV$132=TRUE),--(calc!$AX$3:$AX$132&gt;AX16))+(SUMPRODUCT(--(calc!$AV$3:$AV$132=TRUE),--(calc!$AX$3:$AX$132=AX16))-1)/2,"")</f>
        <v/>
      </c>
      <c r="BC16" s="5">
        <f>IF(AV16,SUMPRODUCT(--(calc!$AV$3:$AV$132=TRUE),--(ROW(calc!$AV$3:$AV$132)&gt;ROW(AV16)),--(((calc!$BA$3:$BA$132&gt;BA16)*(calc!$BB$3:$BB$132&gt;BB16)+(calc!$BA$3:$BA$132&lt;BA16)*(calc!$BB$3:$BB$132&lt;BB16))&gt;0))-SUMPRODUCT(--(calc!$AV$3:$AV$132=TRUE),--(ROW(calc!$AV$3:$AV$132)&gt;ROW(AV16)),--(((calc!$BA$3:$BA$132&gt;BA16)*(calc!$BB$3:$BB$132&lt;BB16)+(calc!$BA$3:$BA$132&lt;BA16)*(calc!$BB$3:$BB$132&gt;BB16))&gt;0)),0)</f>
        <v/>
      </c>
      <c r="BD16" s="5">
        <f>IF(mos_metrics!L15="","",mos_metrics!L15)</f>
        <v/>
      </c>
      <c r="BE16" s="2">
        <f>AND($J16,ISNUMBER(BD16),correlation!$I$31=1)</f>
        <v/>
      </c>
      <c r="BF16" s="5">
        <f>IF(BE16,$F16,"")</f>
        <v/>
      </c>
      <c r="BG16" s="5">
        <f>IF(BE16,BD16*correlation!$J$31,"")</f>
        <v/>
      </c>
      <c r="BH16" s="5">
        <f>IF(AND(BE16,ISNUMBER(correlation!$F$31)),BG16*correlation!$F$31+correlation!$G$31,"")</f>
        <v/>
      </c>
      <c r="BI16" s="5">
        <f>IF(AND(BE16,ISNUMBER(BH16)),(BF16-BH16)^2,"")</f>
        <v/>
      </c>
      <c r="BJ16" s="5">
        <f>IF(BE16,1+SUMPRODUCT(--(calc!$BE$3:$BE$132=TRUE),--(calc!$BF$3:$BF$132&gt;BF16))+(SUMPRODUCT(--(calc!$BE$3:$BE$132=TRUE),--(calc!$BF$3:$BF$132=BF16))-1)/2,"")</f>
        <v/>
      </c>
      <c r="BK16" s="5">
        <f>IF(BE16,1+SUMPRODUCT(--(calc!$BE$3:$BE$132=TRUE),--(calc!$BG$3:$BG$132&gt;BG16))+(SUMPRODUCT(--(calc!$BE$3:$BE$132=TRUE),--(calc!$BG$3:$BG$132=BG16))-1)/2,"")</f>
        <v/>
      </c>
      <c r="BL16" s="5">
        <f>IF(BE16,SUMPRODUCT(--(calc!$BE$3:$BE$132=TRUE),--(ROW(calc!$BE$3:$BE$132)&gt;ROW(BE16)),--(((calc!$BJ$3:$BJ$132&gt;BJ16)*(calc!$BK$3:$BK$132&gt;BK16)+(calc!$BJ$3:$BJ$132&lt;BJ16)*(calc!$BK$3:$BK$132&lt;BK16))&gt;0))-SUMPRODUCT(--(calc!$BE$3:$BE$132=TRUE),--(ROW(calc!$BE$3:$BE$132)&gt;ROW(BE16)),--(((calc!$BJ$3:$BJ$132&gt;BJ16)*(calc!$BK$3:$BK$132&lt;BK16)+(calc!$BJ$3:$BJ$132&lt;BJ16)*(calc!$BK$3:$BK$132&gt;BK16))&gt;0)),0)</f>
        <v/>
      </c>
      <c r="BM16" s="5">
        <f>IF(mos_metrics!M15="","",mos_metrics!M15)</f>
        <v/>
      </c>
      <c r="BN16" s="2">
        <f>AND($J16,ISNUMBER(BM16),correlation!$I$32=1)</f>
        <v/>
      </c>
      <c r="BO16" s="5">
        <f>IF(BN16,$F16,"")</f>
        <v/>
      </c>
      <c r="BP16" s="5">
        <f>IF(BN16,BM16*correlation!$J$32,"")</f>
        <v/>
      </c>
      <c r="BQ16" s="5">
        <f>IF(AND(BN16,ISNUMBER(correlation!$F$32)),BP16*correlation!$F$32+correlation!$G$32,"")</f>
        <v/>
      </c>
      <c r="BR16" s="5">
        <f>IF(AND(BN16,ISNUMBER(BQ16)),(BO16-BQ16)^2,"")</f>
        <v/>
      </c>
      <c r="BS16" s="5">
        <f>IF(BN16,1+SUMPRODUCT(--(calc!$BN$3:$BN$132=TRUE),--(calc!$BO$3:$BO$132&gt;BO16))+(SUMPRODUCT(--(calc!$BN$3:$BN$132=TRUE),--(calc!$BO$3:$BO$132=BO16))-1)/2,"")</f>
        <v/>
      </c>
      <c r="BT16" s="5">
        <f>IF(BN16,1+SUMPRODUCT(--(calc!$BN$3:$BN$132=TRUE),--(calc!$BP$3:$BP$132&gt;BP16))+(SUMPRODUCT(--(calc!$BN$3:$BN$132=TRUE),--(calc!$BP$3:$BP$132=BP16))-1)/2,"")</f>
        <v/>
      </c>
      <c r="BU16" s="5">
        <f>IF(BN16,SUMPRODUCT(--(calc!$BN$3:$BN$132=TRUE),--(ROW(calc!$BN$3:$BN$132)&gt;ROW(BN16)),--(((calc!$BS$3:$BS$132&gt;BS16)*(calc!$BT$3:$BT$132&gt;BT16)+(calc!$BS$3:$BS$132&lt;BS16)*(calc!$BT$3:$BT$132&lt;BT16))&gt;0))-SUMPRODUCT(--(calc!$BN$3:$BN$132=TRUE),--(ROW(calc!$BN$3:$BN$132)&gt;ROW(BN16)),--(((calc!$BS$3:$BS$132&gt;BS16)*(calc!$BT$3:$BT$132&lt;BT16)+(calc!$BS$3:$BS$132&lt;BS16)*(calc!$BT$3:$BT$132&gt;BT16))&gt;0)),0)</f>
        <v/>
      </c>
    </row>
    <row r="17">
      <c r="A17" s="2">
        <f>mos_metrics!A16</f>
        <v/>
      </c>
      <c r="B17" s="2">
        <f>mos_metrics!B16</f>
        <v/>
      </c>
      <c r="C17" s="2">
        <f>mos_metrics!C16</f>
        <v/>
      </c>
      <c r="D17" s="2">
        <f>mos_metrics!D16</f>
        <v/>
      </c>
      <c r="E17" s="2">
        <f>mos_metrics!E16</f>
        <v/>
      </c>
      <c r="F17" s="2">
        <f>mos_metrics!F16</f>
        <v/>
      </c>
      <c r="G17" s="2">
        <f>IF($B17="","",IFERROR(VLOOKUP($B17,correlation!$A$2:$B$12,2,FALSE),1))</f>
        <v/>
      </c>
      <c r="H17" s="2">
        <f>IF($E17="","",IFERROR(VLOOKUP($E17,correlation!$D$2:$E$8,2,FALSE),1))</f>
        <v/>
      </c>
      <c r="I17" s="2">
        <f>ISNUMBER($F17)</f>
        <v/>
      </c>
      <c r="J17" s="2">
        <f>AND($G17=1,$H17=1,$I17)</f>
        <v/>
      </c>
      <c r="K17" s="5">
        <f>IF(mos_metrics!G16="","",mos_metrics!G16)</f>
        <v/>
      </c>
      <c r="L17" s="2">
        <f>AND($J17,ISNUMBER(K17),correlation!$I$26=1)</f>
        <v/>
      </c>
      <c r="M17" s="5">
        <f>IF(L17,$F17,"")</f>
        <v/>
      </c>
      <c r="N17" s="5">
        <f>IF(L17,K17*correlation!$J$26,"")</f>
        <v/>
      </c>
      <c r="O17" s="5">
        <f>IF(AND(L17,ISNUMBER(correlation!$F$26)),N17*correlation!$F$26+correlation!$G$26,"")</f>
        <v/>
      </c>
      <c r="P17" s="5">
        <f>IF(AND(L17,ISNUMBER(O17)),(M17-O17)^2,"")</f>
        <v/>
      </c>
      <c r="Q17" s="5">
        <f>IF(L17,1+SUMPRODUCT(--(calc!$L$3:$L$132=TRUE),--(calc!$M$3:$M$132&gt;M17))+(SUMPRODUCT(--(calc!$L$3:$L$132=TRUE),--(calc!$M$3:$M$132=M17))-1)/2,"")</f>
        <v/>
      </c>
      <c r="R17" s="5">
        <f>IF(L17,1+SUMPRODUCT(--(calc!$L$3:$L$132=TRUE),--(calc!$N$3:$N$132&gt;N17))+(SUMPRODUCT(--(calc!$L$3:$L$132=TRUE),--(calc!$N$3:$N$132=N17))-1)/2,"")</f>
        <v/>
      </c>
      <c r="S17" s="5">
        <f>IF(L17,SUMPRODUCT(--(calc!$L$3:$L$132=TRUE),--(ROW(calc!$L$3:$L$132)&gt;ROW(L17)),--(((calc!$Q$3:$Q$132&gt;Q17)*(calc!$R$3:$R$132&gt;R17)+(calc!$Q$3:$Q$132&lt;Q17)*(calc!$R$3:$R$132&lt;R17))&gt;0))-SUMPRODUCT(--(calc!$L$3:$L$132=TRUE),--(ROW(calc!$L$3:$L$132)&gt;ROW(L17)),--(((calc!$Q$3:$Q$132&gt;Q17)*(calc!$R$3:$R$132&lt;R17)+(calc!$Q$3:$Q$132&lt;Q17)*(calc!$R$3:$R$132&gt;R17))&gt;0)),0)</f>
        <v/>
      </c>
      <c r="T17" s="5">
        <f>IF(mos_metrics!H16="","",mos_metrics!H16)</f>
        <v/>
      </c>
      <c r="U17" s="2">
        <f>AND($J17,ISNUMBER(T17),correlation!$I$27=1)</f>
        <v/>
      </c>
      <c r="V17" s="5">
        <f>IF(U17,$F17,"")</f>
        <v/>
      </c>
      <c r="W17" s="5">
        <f>IF(U17,T17*correlation!$J$27,"")</f>
        <v/>
      </c>
      <c r="X17" s="5">
        <f>IF(AND(U17,ISNUMBER(correlation!$F$27)),W17*correlation!$F$27+correlation!$G$27,"")</f>
        <v/>
      </c>
      <c r="Y17" s="5">
        <f>IF(AND(U17,ISNUMBER(X17)),(V17-X17)^2,"")</f>
        <v/>
      </c>
      <c r="Z17" s="5">
        <f>IF(U17,1+SUMPRODUCT(--(calc!$U$3:$U$132=TRUE),--(calc!$V$3:$V$132&gt;V17))+(SUMPRODUCT(--(calc!$U$3:$U$132=TRUE),--(calc!$V$3:$V$132=V17))-1)/2,"")</f>
        <v/>
      </c>
      <c r="AA17" s="5">
        <f>IF(U17,1+SUMPRODUCT(--(calc!$U$3:$U$132=TRUE),--(calc!$W$3:$W$132&gt;W17))+(SUMPRODUCT(--(calc!$U$3:$U$132=TRUE),--(calc!$W$3:$W$132=W17))-1)/2,"")</f>
        <v/>
      </c>
      <c r="AB17" s="5">
        <f>IF(U17,SUMPRODUCT(--(calc!$U$3:$U$132=TRUE),--(ROW(calc!$U$3:$U$132)&gt;ROW(U17)),--(((calc!$Z$3:$Z$132&gt;Z17)*(calc!$AA$3:$AA$132&gt;AA17)+(calc!$Z$3:$Z$132&lt;Z17)*(calc!$AA$3:$AA$132&lt;AA17))&gt;0))-SUMPRODUCT(--(calc!$U$3:$U$132=TRUE),--(ROW(calc!$U$3:$U$132)&gt;ROW(U17)),--(((calc!$Z$3:$Z$132&gt;Z17)*(calc!$AA$3:$AA$132&lt;AA17)+(calc!$Z$3:$Z$132&lt;Z17)*(calc!$AA$3:$AA$132&gt;AA17))&gt;0)),0)</f>
        <v/>
      </c>
      <c r="AC17" s="5">
        <f>IF(mos_metrics!I16="","",mos_metrics!I16)</f>
        <v/>
      </c>
      <c r="AD17" s="2">
        <f>AND($J17,ISNUMBER(AC17),correlation!$I$28=1)</f>
        <v/>
      </c>
      <c r="AE17" s="5">
        <f>IF(AD17,$F17,"")</f>
        <v/>
      </c>
      <c r="AF17" s="5">
        <f>IF(AD17,AC17*correlation!$J$28,"")</f>
        <v/>
      </c>
      <c r="AG17" s="5">
        <f>IF(AND(AD17,ISNUMBER(correlation!$F$28)),AF17*correlation!$F$28+correlation!$G$28,"")</f>
        <v/>
      </c>
      <c r="AH17" s="5">
        <f>IF(AND(AD17,ISNUMBER(AG17)),(AE17-AG17)^2,"")</f>
        <v/>
      </c>
      <c r="AI17" s="5">
        <f>IF(AD17,1+SUMPRODUCT(--(calc!$AD$3:$AD$132=TRUE),--(calc!$AE$3:$AE$132&gt;AE17))+(SUMPRODUCT(--(calc!$AD$3:$AD$132=TRUE),--(calc!$AE$3:$AE$132=AE17))-1)/2,"")</f>
        <v/>
      </c>
      <c r="AJ17" s="5">
        <f>IF(AD17,1+SUMPRODUCT(--(calc!$AD$3:$AD$132=TRUE),--(calc!$AF$3:$AF$132&gt;AF17))+(SUMPRODUCT(--(calc!$AD$3:$AD$132=TRUE),--(calc!$AF$3:$AF$132=AF17))-1)/2,"")</f>
        <v/>
      </c>
      <c r="AK17" s="5">
        <f>IF(AD17,SUMPRODUCT(--(calc!$AD$3:$AD$132=TRUE),--(ROW(calc!$AD$3:$AD$132)&gt;ROW(AD17)),--(((calc!$AI$3:$AI$132&gt;AI17)*(calc!$AJ$3:$AJ$132&gt;AJ17)+(calc!$AI$3:$AI$132&lt;AI17)*(calc!$AJ$3:$AJ$132&lt;AJ17))&gt;0))-SUMPRODUCT(--(calc!$AD$3:$AD$132=TRUE),--(ROW(calc!$AD$3:$AD$132)&gt;ROW(AD17)),--(((calc!$AI$3:$AI$132&gt;AI17)*(calc!$AJ$3:$AJ$132&lt;AJ17)+(calc!$AI$3:$AI$132&lt;AI17)*(calc!$AJ$3:$AJ$132&gt;AJ17))&gt;0)),0)</f>
        <v/>
      </c>
      <c r="AL17" s="5">
        <f>IF(mos_metrics!J16="","",mos_metrics!J16)</f>
        <v/>
      </c>
      <c r="AM17" s="2">
        <f>AND($J17,ISNUMBER(AL17),correlation!$I$29=1)</f>
        <v/>
      </c>
      <c r="AN17" s="5">
        <f>IF(AM17,$F17,"")</f>
        <v/>
      </c>
      <c r="AO17" s="5">
        <f>IF(AM17,AL17*correlation!$J$29,"")</f>
        <v/>
      </c>
      <c r="AP17" s="5">
        <f>IF(AND(AM17,ISNUMBER(correlation!$F$29)),AO17*correlation!$F$29+correlation!$G$29,"")</f>
        <v/>
      </c>
      <c r="AQ17" s="5">
        <f>IF(AND(AM17,ISNUMBER(AP17)),(AN17-AP17)^2,"")</f>
        <v/>
      </c>
      <c r="AR17" s="5">
        <f>IF(AM17,1+SUMPRODUCT(--(calc!$AM$3:$AM$132=TRUE),--(calc!$AN$3:$AN$132&gt;AN17))+(SUMPRODUCT(--(calc!$AM$3:$AM$132=TRUE),--(calc!$AN$3:$AN$132=AN17))-1)/2,"")</f>
        <v/>
      </c>
      <c r="AS17" s="5">
        <f>IF(AM17,1+SUMPRODUCT(--(calc!$AM$3:$AM$132=TRUE),--(calc!$AO$3:$AO$132&gt;AO17))+(SUMPRODUCT(--(calc!$AM$3:$AM$132=TRUE),--(calc!$AO$3:$AO$132=AO17))-1)/2,"")</f>
        <v/>
      </c>
      <c r="AT17" s="5">
        <f>IF(AM17,SUMPRODUCT(--(calc!$AM$3:$AM$132=TRUE),--(ROW(calc!$AM$3:$AM$132)&gt;ROW(AM17)),--(((calc!$AR$3:$AR$132&gt;AR17)*(calc!$AS$3:$AS$132&gt;AS17)+(calc!$AR$3:$AR$132&lt;AR17)*(calc!$AS$3:$AS$132&lt;AS17))&gt;0))-SUMPRODUCT(--(calc!$AM$3:$AM$132=TRUE),--(ROW(calc!$AM$3:$AM$132)&gt;ROW(AM17)),--(((calc!$AR$3:$AR$132&gt;AR17)*(calc!$AS$3:$AS$132&lt;AS17)+(calc!$AR$3:$AR$132&lt;AR17)*(calc!$AS$3:$AS$132&gt;AS17))&gt;0)),0)</f>
        <v/>
      </c>
      <c r="AU17" s="5">
        <f>IF(mos_metrics!K16="","",mos_metrics!K16)</f>
        <v/>
      </c>
      <c r="AV17" s="2">
        <f>AND($J17,ISNUMBER(AU17),correlation!$I$30=1)</f>
        <v/>
      </c>
      <c r="AW17" s="5">
        <f>IF(AV17,$F17,"")</f>
        <v/>
      </c>
      <c r="AX17" s="5">
        <f>IF(AV17,AU17*correlation!$J$30,"")</f>
        <v/>
      </c>
      <c r="AY17" s="5">
        <f>IF(AND(AV17,ISNUMBER(correlation!$F$30)),AX17*correlation!$F$30+correlation!$G$30,"")</f>
        <v/>
      </c>
      <c r="AZ17" s="5">
        <f>IF(AND(AV17,ISNUMBER(AY17)),(AW17-AY17)^2,"")</f>
        <v/>
      </c>
      <c r="BA17" s="5">
        <f>IF(AV17,1+SUMPRODUCT(--(calc!$AV$3:$AV$132=TRUE),--(calc!$AW$3:$AW$132&gt;AW17))+(SUMPRODUCT(--(calc!$AV$3:$AV$132=TRUE),--(calc!$AW$3:$AW$132=AW17))-1)/2,"")</f>
        <v/>
      </c>
      <c r="BB17" s="5">
        <f>IF(AV17,1+SUMPRODUCT(--(calc!$AV$3:$AV$132=TRUE),--(calc!$AX$3:$AX$132&gt;AX17))+(SUMPRODUCT(--(calc!$AV$3:$AV$132=TRUE),--(calc!$AX$3:$AX$132=AX17))-1)/2,"")</f>
        <v/>
      </c>
      <c r="BC17" s="5">
        <f>IF(AV17,SUMPRODUCT(--(calc!$AV$3:$AV$132=TRUE),--(ROW(calc!$AV$3:$AV$132)&gt;ROW(AV17)),--(((calc!$BA$3:$BA$132&gt;BA17)*(calc!$BB$3:$BB$132&gt;BB17)+(calc!$BA$3:$BA$132&lt;BA17)*(calc!$BB$3:$BB$132&lt;BB17))&gt;0))-SUMPRODUCT(--(calc!$AV$3:$AV$132=TRUE),--(ROW(calc!$AV$3:$AV$132)&gt;ROW(AV17)),--(((calc!$BA$3:$BA$132&gt;BA17)*(calc!$BB$3:$BB$132&lt;BB17)+(calc!$BA$3:$BA$132&lt;BA17)*(calc!$BB$3:$BB$132&gt;BB17))&gt;0)),0)</f>
        <v/>
      </c>
      <c r="BD17" s="5">
        <f>IF(mos_metrics!L16="","",mos_metrics!L16)</f>
        <v/>
      </c>
      <c r="BE17" s="2">
        <f>AND($J17,ISNUMBER(BD17),correlation!$I$31=1)</f>
        <v/>
      </c>
      <c r="BF17" s="5">
        <f>IF(BE17,$F17,"")</f>
        <v/>
      </c>
      <c r="BG17" s="5">
        <f>IF(BE17,BD17*correlation!$J$31,"")</f>
        <v/>
      </c>
      <c r="BH17" s="5">
        <f>IF(AND(BE17,ISNUMBER(correlation!$F$31)),BG17*correlation!$F$31+correlation!$G$31,"")</f>
        <v/>
      </c>
      <c r="BI17" s="5">
        <f>IF(AND(BE17,ISNUMBER(BH17)),(BF17-BH17)^2,"")</f>
        <v/>
      </c>
      <c r="BJ17" s="5">
        <f>IF(BE17,1+SUMPRODUCT(--(calc!$BE$3:$BE$132=TRUE),--(calc!$BF$3:$BF$132&gt;BF17))+(SUMPRODUCT(--(calc!$BE$3:$BE$132=TRUE),--(calc!$BF$3:$BF$132=BF17))-1)/2,"")</f>
        <v/>
      </c>
      <c r="BK17" s="5">
        <f>IF(BE17,1+SUMPRODUCT(--(calc!$BE$3:$BE$132=TRUE),--(calc!$BG$3:$BG$132&gt;BG17))+(SUMPRODUCT(--(calc!$BE$3:$BE$132=TRUE),--(calc!$BG$3:$BG$132=BG17))-1)/2,"")</f>
        <v/>
      </c>
      <c r="BL17" s="5">
        <f>IF(BE17,SUMPRODUCT(--(calc!$BE$3:$BE$132=TRUE),--(ROW(calc!$BE$3:$BE$132)&gt;ROW(BE17)),--(((calc!$BJ$3:$BJ$132&gt;BJ17)*(calc!$BK$3:$BK$132&gt;BK17)+(calc!$BJ$3:$BJ$132&lt;BJ17)*(calc!$BK$3:$BK$132&lt;BK17))&gt;0))-SUMPRODUCT(--(calc!$BE$3:$BE$132=TRUE),--(ROW(calc!$BE$3:$BE$132)&gt;ROW(BE17)),--(((calc!$BJ$3:$BJ$132&gt;BJ17)*(calc!$BK$3:$BK$132&lt;BK17)+(calc!$BJ$3:$BJ$132&lt;BJ17)*(calc!$BK$3:$BK$132&gt;BK17))&gt;0)),0)</f>
        <v/>
      </c>
      <c r="BM17" s="5">
        <f>IF(mos_metrics!M16="","",mos_metrics!M16)</f>
        <v/>
      </c>
      <c r="BN17" s="2">
        <f>AND($J17,ISNUMBER(BM17),correlation!$I$32=1)</f>
        <v/>
      </c>
      <c r="BO17" s="5">
        <f>IF(BN17,$F17,"")</f>
        <v/>
      </c>
      <c r="BP17" s="5">
        <f>IF(BN17,BM17*correlation!$J$32,"")</f>
        <v/>
      </c>
      <c r="BQ17" s="5">
        <f>IF(AND(BN17,ISNUMBER(correlation!$F$32)),BP17*correlation!$F$32+correlation!$G$32,"")</f>
        <v/>
      </c>
      <c r="BR17" s="5">
        <f>IF(AND(BN17,ISNUMBER(BQ17)),(BO17-BQ17)^2,"")</f>
        <v/>
      </c>
      <c r="BS17" s="5">
        <f>IF(BN17,1+SUMPRODUCT(--(calc!$BN$3:$BN$132=TRUE),--(calc!$BO$3:$BO$132&gt;BO17))+(SUMPRODUCT(--(calc!$BN$3:$BN$132=TRUE),--(calc!$BO$3:$BO$132=BO17))-1)/2,"")</f>
        <v/>
      </c>
      <c r="BT17" s="5">
        <f>IF(BN17,1+SUMPRODUCT(--(calc!$BN$3:$BN$132=TRUE),--(calc!$BP$3:$BP$132&gt;BP17))+(SUMPRODUCT(--(calc!$BN$3:$BN$132=TRUE),--(calc!$BP$3:$BP$132=BP17))-1)/2,"")</f>
        <v/>
      </c>
      <c r="BU17" s="5">
        <f>IF(BN17,SUMPRODUCT(--(calc!$BN$3:$BN$132=TRUE),--(ROW(calc!$BN$3:$BN$132)&gt;ROW(BN17)),--(((calc!$BS$3:$BS$132&gt;BS17)*(calc!$BT$3:$BT$132&gt;BT17)+(calc!$BS$3:$BS$132&lt;BS17)*(calc!$BT$3:$BT$132&lt;BT17))&gt;0))-SUMPRODUCT(--(calc!$BN$3:$BN$132=TRUE),--(ROW(calc!$BN$3:$BN$132)&gt;ROW(BN17)),--(((calc!$BS$3:$BS$132&gt;BS17)*(calc!$BT$3:$BT$132&lt;BT17)+(calc!$BS$3:$BS$132&lt;BS17)*(calc!$BT$3:$BT$132&gt;BT17))&gt;0)),0)</f>
        <v/>
      </c>
    </row>
    <row r="18">
      <c r="A18" s="2">
        <f>mos_metrics!A17</f>
        <v/>
      </c>
      <c r="B18" s="2">
        <f>mos_metrics!B17</f>
        <v/>
      </c>
      <c r="C18" s="2">
        <f>mos_metrics!C17</f>
        <v/>
      </c>
      <c r="D18" s="2">
        <f>mos_metrics!D17</f>
        <v/>
      </c>
      <c r="E18" s="2">
        <f>mos_metrics!E17</f>
        <v/>
      </c>
      <c r="F18" s="2">
        <f>mos_metrics!F17</f>
        <v/>
      </c>
      <c r="G18" s="2">
        <f>IF($B18="","",IFERROR(VLOOKUP($B18,correlation!$A$2:$B$12,2,FALSE),1))</f>
        <v/>
      </c>
      <c r="H18" s="2">
        <f>IF($E18="","",IFERROR(VLOOKUP($E18,correlation!$D$2:$E$8,2,FALSE),1))</f>
        <v/>
      </c>
      <c r="I18" s="2">
        <f>ISNUMBER($F18)</f>
        <v/>
      </c>
      <c r="J18" s="2">
        <f>AND($G18=1,$H18=1,$I18)</f>
        <v/>
      </c>
      <c r="K18" s="5">
        <f>IF(mos_metrics!G17="","",mos_metrics!G17)</f>
        <v/>
      </c>
      <c r="L18" s="2">
        <f>AND($J18,ISNUMBER(K18),correlation!$I$26=1)</f>
        <v/>
      </c>
      <c r="M18" s="5">
        <f>IF(L18,$F18,"")</f>
        <v/>
      </c>
      <c r="N18" s="5">
        <f>IF(L18,K18*correlation!$J$26,"")</f>
        <v/>
      </c>
      <c r="O18" s="5">
        <f>IF(AND(L18,ISNUMBER(correlation!$F$26)),N18*correlation!$F$26+correlation!$G$26,"")</f>
        <v/>
      </c>
      <c r="P18" s="5">
        <f>IF(AND(L18,ISNUMBER(O18)),(M18-O18)^2,"")</f>
        <v/>
      </c>
      <c r="Q18" s="5">
        <f>IF(L18,1+SUMPRODUCT(--(calc!$L$3:$L$132=TRUE),--(calc!$M$3:$M$132&gt;M18))+(SUMPRODUCT(--(calc!$L$3:$L$132=TRUE),--(calc!$M$3:$M$132=M18))-1)/2,"")</f>
        <v/>
      </c>
      <c r="R18" s="5">
        <f>IF(L18,1+SUMPRODUCT(--(calc!$L$3:$L$132=TRUE),--(calc!$N$3:$N$132&gt;N18))+(SUMPRODUCT(--(calc!$L$3:$L$132=TRUE),--(calc!$N$3:$N$132=N18))-1)/2,"")</f>
        <v/>
      </c>
      <c r="S18" s="5">
        <f>IF(L18,SUMPRODUCT(--(calc!$L$3:$L$132=TRUE),--(ROW(calc!$L$3:$L$132)&gt;ROW(L18)),--(((calc!$Q$3:$Q$132&gt;Q18)*(calc!$R$3:$R$132&gt;R18)+(calc!$Q$3:$Q$132&lt;Q18)*(calc!$R$3:$R$132&lt;R18))&gt;0))-SUMPRODUCT(--(calc!$L$3:$L$132=TRUE),--(ROW(calc!$L$3:$L$132)&gt;ROW(L18)),--(((calc!$Q$3:$Q$132&gt;Q18)*(calc!$R$3:$R$132&lt;R18)+(calc!$Q$3:$Q$132&lt;Q18)*(calc!$R$3:$R$132&gt;R18))&gt;0)),0)</f>
        <v/>
      </c>
      <c r="T18" s="5">
        <f>IF(mos_metrics!H17="","",mos_metrics!H17)</f>
        <v/>
      </c>
      <c r="U18" s="2">
        <f>AND($J18,ISNUMBER(T18),correlation!$I$27=1)</f>
        <v/>
      </c>
      <c r="V18" s="5">
        <f>IF(U18,$F18,"")</f>
        <v/>
      </c>
      <c r="W18" s="5">
        <f>IF(U18,T18*correlation!$J$27,"")</f>
        <v/>
      </c>
      <c r="X18" s="5">
        <f>IF(AND(U18,ISNUMBER(correlation!$F$27)),W18*correlation!$F$27+correlation!$G$27,"")</f>
        <v/>
      </c>
      <c r="Y18" s="5">
        <f>IF(AND(U18,ISNUMBER(X18)),(V18-X18)^2,"")</f>
        <v/>
      </c>
      <c r="Z18" s="5">
        <f>IF(U18,1+SUMPRODUCT(--(calc!$U$3:$U$132=TRUE),--(calc!$V$3:$V$132&gt;V18))+(SUMPRODUCT(--(calc!$U$3:$U$132=TRUE),--(calc!$V$3:$V$132=V18))-1)/2,"")</f>
        <v/>
      </c>
      <c r="AA18" s="5">
        <f>IF(U18,1+SUMPRODUCT(--(calc!$U$3:$U$132=TRUE),--(calc!$W$3:$W$132&gt;W18))+(SUMPRODUCT(--(calc!$U$3:$U$132=TRUE),--(calc!$W$3:$W$132=W18))-1)/2,"")</f>
        <v/>
      </c>
      <c r="AB18" s="5">
        <f>IF(U18,SUMPRODUCT(--(calc!$U$3:$U$132=TRUE),--(ROW(calc!$U$3:$U$132)&gt;ROW(U18)),--(((calc!$Z$3:$Z$132&gt;Z18)*(calc!$AA$3:$AA$132&gt;AA18)+(calc!$Z$3:$Z$132&lt;Z18)*(calc!$AA$3:$AA$132&lt;AA18))&gt;0))-SUMPRODUCT(--(calc!$U$3:$U$132=TRUE),--(ROW(calc!$U$3:$U$132)&gt;ROW(U18)),--(((calc!$Z$3:$Z$132&gt;Z18)*(calc!$AA$3:$AA$132&lt;AA18)+(calc!$Z$3:$Z$132&lt;Z18)*(calc!$AA$3:$AA$132&gt;AA18))&gt;0)),0)</f>
        <v/>
      </c>
      <c r="AC18" s="5">
        <f>IF(mos_metrics!I17="","",mos_metrics!I17)</f>
        <v/>
      </c>
      <c r="AD18" s="2">
        <f>AND($J18,ISNUMBER(AC18),correlation!$I$28=1)</f>
        <v/>
      </c>
      <c r="AE18" s="5">
        <f>IF(AD18,$F18,"")</f>
        <v/>
      </c>
      <c r="AF18" s="5">
        <f>IF(AD18,AC18*correlation!$J$28,"")</f>
        <v/>
      </c>
      <c r="AG18" s="5">
        <f>IF(AND(AD18,ISNUMBER(correlation!$F$28)),AF18*correlation!$F$28+correlation!$G$28,"")</f>
        <v/>
      </c>
      <c r="AH18" s="5">
        <f>IF(AND(AD18,ISNUMBER(AG18)),(AE18-AG18)^2,"")</f>
        <v/>
      </c>
      <c r="AI18" s="5">
        <f>IF(AD18,1+SUMPRODUCT(--(calc!$AD$3:$AD$132=TRUE),--(calc!$AE$3:$AE$132&gt;AE18))+(SUMPRODUCT(--(calc!$AD$3:$AD$132=TRUE),--(calc!$AE$3:$AE$132=AE18))-1)/2,"")</f>
        <v/>
      </c>
      <c r="AJ18" s="5">
        <f>IF(AD18,1+SUMPRODUCT(--(calc!$AD$3:$AD$132=TRUE),--(calc!$AF$3:$AF$132&gt;AF18))+(SUMPRODUCT(--(calc!$AD$3:$AD$132=TRUE),--(calc!$AF$3:$AF$132=AF18))-1)/2,"")</f>
        <v/>
      </c>
      <c r="AK18" s="5">
        <f>IF(AD18,SUMPRODUCT(--(calc!$AD$3:$AD$132=TRUE),--(ROW(calc!$AD$3:$AD$132)&gt;ROW(AD18)),--(((calc!$AI$3:$AI$132&gt;AI18)*(calc!$AJ$3:$AJ$132&gt;AJ18)+(calc!$AI$3:$AI$132&lt;AI18)*(calc!$AJ$3:$AJ$132&lt;AJ18))&gt;0))-SUMPRODUCT(--(calc!$AD$3:$AD$132=TRUE),--(ROW(calc!$AD$3:$AD$132)&gt;ROW(AD18)),--(((calc!$AI$3:$AI$132&gt;AI18)*(calc!$AJ$3:$AJ$132&lt;AJ18)+(calc!$AI$3:$AI$132&lt;AI18)*(calc!$AJ$3:$AJ$132&gt;AJ18))&gt;0)),0)</f>
        <v/>
      </c>
      <c r="AL18" s="5">
        <f>IF(mos_metrics!J17="","",mos_metrics!J17)</f>
        <v/>
      </c>
      <c r="AM18" s="2">
        <f>AND($J18,ISNUMBER(AL18),correlation!$I$29=1)</f>
        <v/>
      </c>
      <c r="AN18" s="5">
        <f>IF(AM18,$F18,"")</f>
        <v/>
      </c>
      <c r="AO18" s="5">
        <f>IF(AM18,AL18*correlation!$J$29,"")</f>
        <v/>
      </c>
      <c r="AP18" s="5">
        <f>IF(AND(AM18,ISNUMBER(correlation!$F$29)),AO18*correlation!$F$29+correlation!$G$29,"")</f>
        <v/>
      </c>
      <c r="AQ18" s="5">
        <f>IF(AND(AM18,ISNUMBER(AP18)),(AN18-AP18)^2,"")</f>
        <v/>
      </c>
      <c r="AR18" s="5">
        <f>IF(AM18,1+SUMPRODUCT(--(calc!$AM$3:$AM$132=TRUE),--(calc!$AN$3:$AN$132&gt;AN18))+(SUMPRODUCT(--(calc!$AM$3:$AM$132=TRUE),--(calc!$AN$3:$AN$132=AN18))-1)/2,"")</f>
        <v/>
      </c>
      <c r="AS18" s="5">
        <f>IF(AM18,1+SUMPRODUCT(--(calc!$AM$3:$AM$132=TRUE),--(calc!$AO$3:$AO$132&gt;AO18))+(SUMPRODUCT(--(calc!$AM$3:$AM$132=TRUE),--(calc!$AO$3:$AO$132=AO18))-1)/2,"")</f>
        <v/>
      </c>
      <c r="AT18" s="5">
        <f>IF(AM18,SUMPRODUCT(--(calc!$AM$3:$AM$132=TRUE),--(ROW(calc!$AM$3:$AM$132)&gt;ROW(AM18)),--(((calc!$AR$3:$AR$132&gt;AR18)*(calc!$AS$3:$AS$132&gt;AS18)+(calc!$AR$3:$AR$132&lt;AR18)*(calc!$AS$3:$AS$132&lt;AS18))&gt;0))-SUMPRODUCT(--(calc!$AM$3:$AM$132=TRUE),--(ROW(calc!$AM$3:$AM$132)&gt;ROW(AM18)),--(((calc!$AR$3:$AR$132&gt;AR18)*(calc!$AS$3:$AS$132&lt;AS18)+(calc!$AR$3:$AR$132&lt;AR18)*(calc!$AS$3:$AS$132&gt;AS18))&gt;0)),0)</f>
        <v/>
      </c>
      <c r="AU18" s="5">
        <f>IF(mos_metrics!K17="","",mos_metrics!K17)</f>
        <v/>
      </c>
      <c r="AV18" s="2">
        <f>AND($J18,ISNUMBER(AU18),correlation!$I$30=1)</f>
        <v/>
      </c>
      <c r="AW18" s="5">
        <f>IF(AV18,$F18,"")</f>
        <v/>
      </c>
      <c r="AX18" s="5">
        <f>IF(AV18,AU18*correlation!$J$30,"")</f>
        <v/>
      </c>
      <c r="AY18" s="5">
        <f>IF(AND(AV18,ISNUMBER(correlation!$F$30)),AX18*correlation!$F$30+correlation!$G$30,"")</f>
        <v/>
      </c>
      <c r="AZ18" s="5">
        <f>IF(AND(AV18,ISNUMBER(AY18)),(AW18-AY18)^2,"")</f>
        <v/>
      </c>
      <c r="BA18" s="5">
        <f>IF(AV18,1+SUMPRODUCT(--(calc!$AV$3:$AV$132=TRUE),--(calc!$AW$3:$AW$132&gt;AW18))+(SUMPRODUCT(--(calc!$AV$3:$AV$132=TRUE),--(calc!$AW$3:$AW$132=AW18))-1)/2,"")</f>
        <v/>
      </c>
      <c r="BB18" s="5">
        <f>IF(AV18,1+SUMPRODUCT(--(calc!$AV$3:$AV$132=TRUE),--(calc!$AX$3:$AX$132&gt;AX18))+(SUMPRODUCT(--(calc!$AV$3:$AV$132=TRUE),--(calc!$AX$3:$AX$132=AX18))-1)/2,"")</f>
        <v/>
      </c>
      <c r="BC18" s="5">
        <f>IF(AV18,SUMPRODUCT(--(calc!$AV$3:$AV$132=TRUE),--(ROW(calc!$AV$3:$AV$132)&gt;ROW(AV18)),--(((calc!$BA$3:$BA$132&gt;BA18)*(calc!$BB$3:$BB$132&gt;BB18)+(calc!$BA$3:$BA$132&lt;BA18)*(calc!$BB$3:$BB$132&lt;BB18))&gt;0))-SUMPRODUCT(--(calc!$AV$3:$AV$132=TRUE),--(ROW(calc!$AV$3:$AV$132)&gt;ROW(AV18)),--(((calc!$BA$3:$BA$132&gt;BA18)*(calc!$BB$3:$BB$132&lt;BB18)+(calc!$BA$3:$BA$132&lt;BA18)*(calc!$BB$3:$BB$132&gt;BB18))&gt;0)),0)</f>
        <v/>
      </c>
      <c r="BD18" s="5">
        <f>IF(mos_metrics!L17="","",mos_metrics!L17)</f>
        <v/>
      </c>
      <c r="BE18" s="2">
        <f>AND($J18,ISNUMBER(BD18),correlation!$I$31=1)</f>
        <v/>
      </c>
      <c r="BF18" s="5">
        <f>IF(BE18,$F18,"")</f>
        <v/>
      </c>
      <c r="BG18" s="5">
        <f>IF(BE18,BD18*correlation!$J$31,"")</f>
        <v/>
      </c>
      <c r="BH18" s="5">
        <f>IF(AND(BE18,ISNUMBER(correlation!$F$31)),BG18*correlation!$F$31+correlation!$G$31,"")</f>
        <v/>
      </c>
      <c r="BI18" s="5">
        <f>IF(AND(BE18,ISNUMBER(BH18)),(BF18-BH18)^2,"")</f>
        <v/>
      </c>
      <c r="BJ18" s="5">
        <f>IF(BE18,1+SUMPRODUCT(--(calc!$BE$3:$BE$132=TRUE),--(calc!$BF$3:$BF$132&gt;BF18))+(SUMPRODUCT(--(calc!$BE$3:$BE$132=TRUE),--(calc!$BF$3:$BF$132=BF18))-1)/2,"")</f>
        <v/>
      </c>
      <c r="BK18" s="5">
        <f>IF(BE18,1+SUMPRODUCT(--(calc!$BE$3:$BE$132=TRUE),--(calc!$BG$3:$BG$132&gt;BG18))+(SUMPRODUCT(--(calc!$BE$3:$BE$132=TRUE),--(calc!$BG$3:$BG$132=BG18))-1)/2,"")</f>
        <v/>
      </c>
      <c r="BL18" s="5">
        <f>IF(BE18,SUMPRODUCT(--(calc!$BE$3:$BE$132=TRUE),--(ROW(calc!$BE$3:$BE$132)&gt;ROW(BE18)),--(((calc!$BJ$3:$BJ$132&gt;BJ18)*(calc!$BK$3:$BK$132&gt;BK18)+(calc!$BJ$3:$BJ$132&lt;BJ18)*(calc!$BK$3:$BK$132&lt;BK18))&gt;0))-SUMPRODUCT(--(calc!$BE$3:$BE$132=TRUE),--(ROW(calc!$BE$3:$BE$132)&gt;ROW(BE18)),--(((calc!$BJ$3:$BJ$132&gt;BJ18)*(calc!$BK$3:$BK$132&lt;BK18)+(calc!$BJ$3:$BJ$132&lt;BJ18)*(calc!$BK$3:$BK$132&gt;BK18))&gt;0)),0)</f>
        <v/>
      </c>
      <c r="BM18" s="5">
        <f>IF(mos_metrics!M17="","",mos_metrics!M17)</f>
        <v/>
      </c>
      <c r="BN18" s="2">
        <f>AND($J18,ISNUMBER(BM18),correlation!$I$32=1)</f>
        <v/>
      </c>
      <c r="BO18" s="5">
        <f>IF(BN18,$F18,"")</f>
        <v/>
      </c>
      <c r="BP18" s="5">
        <f>IF(BN18,BM18*correlation!$J$32,"")</f>
        <v/>
      </c>
      <c r="BQ18" s="5">
        <f>IF(AND(BN18,ISNUMBER(correlation!$F$32)),BP18*correlation!$F$32+correlation!$G$32,"")</f>
        <v/>
      </c>
      <c r="BR18" s="5">
        <f>IF(AND(BN18,ISNUMBER(BQ18)),(BO18-BQ18)^2,"")</f>
        <v/>
      </c>
      <c r="BS18" s="5">
        <f>IF(BN18,1+SUMPRODUCT(--(calc!$BN$3:$BN$132=TRUE),--(calc!$BO$3:$BO$132&gt;BO18))+(SUMPRODUCT(--(calc!$BN$3:$BN$132=TRUE),--(calc!$BO$3:$BO$132=BO18))-1)/2,"")</f>
        <v/>
      </c>
      <c r="BT18" s="5">
        <f>IF(BN18,1+SUMPRODUCT(--(calc!$BN$3:$BN$132=TRUE),--(calc!$BP$3:$BP$132&gt;BP18))+(SUMPRODUCT(--(calc!$BN$3:$BN$132=TRUE),--(calc!$BP$3:$BP$132=BP18))-1)/2,"")</f>
        <v/>
      </c>
      <c r="BU18" s="5">
        <f>IF(BN18,SUMPRODUCT(--(calc!$BN$3:$BN$132=TRUE),--(ROW(calc!$BN$3:$BN$132)&gt;ROW(BN18)),--(((calc!$BS$3:$BS$132&gt;BS18)*(calc!$BT$3:$BT$132&gt;BT18)+(calc!$BS$3:$BS$132&lt;BS18)*(calc!$BT$3:$BT$132&lt;BT18))&gt;0))-SUMPRODUCT(--(calc!$BN$3:$BN$132=TRUE),--(ROW(calc!$BN$3:$BN$132)&gt;ROW(BN18)),--(((calc!$BS$3:$BS$132&gt;BS18)*(calc!$BT$3:$BT$132&lt;BT18)+(calc!$BS$3:$BS$132&lt;BS18)*(calc!$BT$3:$BT$132&gt;BT18))&gt;0)),0)</f>
        <v/>
      </c>
    </row>
    <row r="19">
      <c r="A19" s="2">
        <f>mos_metrics!A18</f>
        <v/>
      </c>
      <c r="B19" s="2">
        <f>mos_metrics!B18</f>
        <v/>
      </c>
      <c r="C19" s="2">
        <f>mos_metrics!C18</f>
        <v/>
      </c>
      <c r="D19" s="2">
        <f>mos_metrics!D18</f>
        <v/>
      </c>
      <c r="E19" s="2">
        <f>mos_metrics!E18</f>
        <v/>
      </c>
      <c r="F19" s="2">
        <f>mos_metrics!F18</f>
        <v/>
      </c>
      <c r="G19" s="2">
        <f>IF($B19="","",IFERROR(VLOOKUP($B19,correlation!$A$2:$B$12,2,FALSE),1))</f>
        <v/>
      </c>
      <c r="H19" s="2">
        <f>IF($E19="","",IFERROR(VLOOKUP($E19,correlation!$D$2:$E$8,2,FALSE),1))</f>
        <v/>
      </c>
      <c r="I19" s="2">
        <f>ISNUMBER($F19)</f>
        <v/>
      </c>
      <c r="J19" s="2">
        <f>AND($G19=1,$H19=1,$I19)</f>
        <v/>
      </c>
      <c r="K19" s="5">
        <f>IF(mos_metrics!G18="","",mos_metrics!G18)</f>
        <v/>
      </c>
      <c r="L19" s="2">
        <f>AND($J19,ISNUMBER(K19),correlation!$I$26=1)</f>
        <v/>
      </c>
      <c r="M19" s="5">
        <f>IF(L19,$F19,"")</f>
        <v/>
      </c>
      <c r="N19" s="5">
        <f>IF(L19,K19*correlation!$J$26,"")</f>
        <v/>
      </c>
      <c r="O19" s="5">
        <f>IF(AND(L19,ISNUMBER(correlation!$F$26)),N19*correlation!$F$26+correlation!$G$26,"")</f>
        <v/>
      </c>
      <c r="P19" s="5">
        <f>IF(AND(L19,ISNUMBER(O19)),(M19-O19)^2,"")</f>
        <v/>
      </c>
      <c r="Q19" s="5">
        <f>IF(L19,1+SUMPRODUCT(--(calc!$L$3:$L$132=TRUE),--(calc!$M$3:$M$132&gt;M19))+(SUMPRODUCT(--(calc!$L$3:$L$132=TRUE),--(calc!$M$3:$M$132=M19))-1)/2,"")</f>
        <v/>
      </c>
      <c r="R19" s="5">
        <f>IF(L19,1+SUMPRODUCT(--(calc!$L$3:$L$132=TRUE),--(calc!$N$3:$N$132&gt;N19))+(SUMPRODUCT(--(calc!$L$3:$L$132=TRUE),--(calc!$N$3:$N$132=N19))-1)/2,"")</f>
        <v/>
      </c>
      <c r="S19" s="5">
        <f>IF(L19,SUMPRODUCT(--(calc!$L$3:$L$132=TRUE),--(ROW(calc!$L$3:$L$132)&gt;ROW(L19)),--(((calc!$Q$3:$Q$132&gt;Q19)*(calc!$R$3:$R$132&gt;R19)+(calc!$Q$3:$Q$132&lt;Q19)*(calc!$R$3:$R$132&lt;R19))&gt;0))-SUMPRODUCT(--(calc!$L$3:$L$132=TRUE),--(ROW(calc!$L$3:$L$132)&gt;ROW(L19)),--(((calc!$Q$3:$Q$132&gt;Q19)*(calc!$R$3:$R$132&lt;R19)+(calc!$Q$3:$Q$132&lt;Q19)*(calc!$R$3:$R$132&gt;R19))&gt;0)),0)</f>
        <v/>
      </c>
      <c r="T19" s="5">
        <f>IF(mos_metrics!H18="","",mos_metrics!H18)</f>
        <v/>
      </c>
      <c r="U19" s="2">
        <f>AND($J19,ISNUMBER(T19),correlation!$I$27=1)</f>
        <v/>
      </c>
      <c r="V19" s="5">
        <f>IF(U19,$F19,"")</f>
        <v/>
      </c>
      <c r="W19" s="5">
        <f>IF(U19,T19*correlation!$J$27,"")</f>
        <v/>
      </c>
      <c r="X19" s="5">
        <f>IF(AND(U19,ISNUMBER(correlation!$F$27)),W19*correlation!$F$27+correlation!$G$27,"")</f>
        <v/>
      </c>
      <c r="Y19" s="5">
        <f>IF(AND(U19,ISNUMBER(X19)),(V19-X19)^2,"")</f>
        <v/>
      </c>
      <c r="Z19" s="5">
        <f>IF(U19,1+SUMPRODUCT(--(calc!$U$3:$U$132=TRUE),--(calc!$V$3:$V$132&gt;V19))+(SUMPRODUCT(--(calc!$U$3:$U$132=TRUE),--(calc!$V$3:$V$132=V19))-1)/2,"")</f>
        <v/>
      </c>
      <c r="AA19" s="5">
        <f>IF(U19,1+SUMPRODUCT(--(calc!$U$3:$U$132=TRUE),--(calc!$W$3:$W$132&gt;W19))+(SUMPRODUCT(--(calc!$U$3:$U$132=TRUE),--(calc!$W$3:$W$132=W19))-1)/2,"")</f>
        <v/>
      </c>
      <c r="AB19" s="5">
        <f>IF(U19,SUMPRODUCT(--(calc!$U$3:$U$132=TRUE),--(ROW(calc!$U$3:$U$132)&gt;ROW(U19)),--(((calc!$Z$3:$Z$132&gt;Z19)*(calc!$AA$3:$AA$132&gt;AA19)+(calc!$Z$3:$Z$132&lt;Z19)*(calc!$AA$3:$AA$132&lt;AA19))&gt;0))-SUMPRODUCT(--(calc!$U$3:$U$132=TRUE),--(ROW(calc!$U$3:$U$132)&gt;ROW(U19)),--(((calc!$Z$3:$Z$132&gt;Z19)*(calc!$AA$3:$AA$132&lt;AA19)+(calc!$Z$3:$Z$132&lt;Z19)*(calc!$AA$3:$AA$132&gt;AA19))&gt;0)),0)</f>
        <v/>
      </c>
      <c r="AC19" s="5">
        <f>IF(mos_metrics!I18="","",mos_metrics!I18)</f>
        <v/>
      </c>
      <c r="AD19" s="2">
        <f>AND($J19,ISNUMBER(AC19),correlation!$I$28=1)</f>
        <v/>
      </c>
      <c r="AE19" s="5">
        <f>IF(AD19,$F19,"")</f>
        <v/>
      </c>
      <c r="AF19" s="5">
        <f>IF(AD19,AC19*correlation!$J$28,"")</f>
        <v/>
      </c>
      <c r="AG19" s="5">
        <f>IF(AND(AD19,ISNUMBER(correlation!$F$28)),AF19*correlation!$F$28+correlation!$G$28,"")</f>
        <v/>
      </c>
      <c r="AH19" s="5">
        <f>IF(AND(AD19,ISNUMBER(AG19)),(AE19-AG19)^2,"")</f>
        <v/>
      </c>
      <c r="AI19" s="5">
        <f>IF(AD19,1+SUMPRODUCT(--(calc!$AD$3:$AD$132=TRUE),--(calc!$AE$3:$AE$132&gt;AE19))+(SUMPRODUCT(--(calc!$AD$3:$AD$132=TRUE),--(calc!$AE$3:$AE$132=AE19))-1)/2,"")</f>
        <v/>
      </c>
      <c r="AJ19" s="5">
        <f>IF(AD19,1+SUMPRODUCT(--(calc!$AD$3:$AD$132=TRUE),--(calc!$AF$3:$AF$132&gt;AF19))+(SUMPRODUCT(--(calc!$AD$3:$AD$132=TRUE),--(calc!$AF$3:$AF$132=AF19))-1)/2,"")</f>
        <v/>
      </c>
      <c r="AK19" s="5">
        <f>IF(AD19,SUMPRODUCT(--(calc!$AD$3:$AD$132=TRUE),--(ROW(calc!$AD$3:$AD$132)&gt;ROW(AD19)),--(((calc!$AI$3:$AI$132&gt;AI19)*(calc!$AJ$3:$AJ$132&gt;AJ19)+(calc!$AI$3:$AI$132&lt;AI19)*(calc!$AJ$3:$AJ$132&lt;AJ19))&gt;0))-SUMPRODUCT(--(calc!$AD$3:$AD$132=TRUE),--(ROW(calc!$AD$3:$AD$132)&gt;ROW(AD19)),--(((calc!$AI$3:$AI$132&gt;AI19)*(calc!$AJ$3:$AJ$132&lt;AJ19)+(calc!$AI$3:$AI$132&lt;AI19)*(calc!$AJ$3:$AJ$132&gt;AJ19))&gt;0)),0)</f>
        <v/>
      </c>
      <c r="AL19" s="5">
        <f>IF(mos_metrics!J18="","",mos_metrics!J18)</f>
        <v/>
      </c>
      <c r="AM19" s="2">
        <f>AND($J19,ISNUMBER(AL19),correlation!$I$29=1)</f>
        <v/>
      </c>
      <c r="AN19" s="5">
        <f>IF(AM19,$F19,"")</f>
        <v/>
      </c>
      <c r="AO19" s="5">
        <f>IF(AM19,AL19*correlation!$J$29,"")</f>
        <v/>
      </c>
      <c r="AP19" s="5">
        <f>IF(AND(AM19,ISNUMBER(correlation!$F$29)),AO19*correlation!$F$29+correlation!$G$29,"")</f>
        <v/>
      </c>
      <c r="AQ19" s="5">
        <f>IF(AND(AM19,ISNUMBER(AP19)),(AN19-AP19)^2,"")</f>
        <v/>
      </c>
      <c r="AR19" s="5">
        <f>IF(AM19,1+SUMPRODUCT(--(calc!$AM$3:$AM$132=TRUE),--(calc!$AN$3:$AN$132&gt;AN19))+(SUMPRODUCT(--(calc!$AM$3:$AM$132=TRUE),--(calc!$AN$3:$AN$132=AN19))-1)/2,"")</f>
        <v/>
      </c>
      <c r="AS19" s="5">
        <f>IF(AM19,1+SUMPRODUCT(--(calc!$AM$3:$AM$132=TRUE),--(calc!$AO$3:$AO$132&gt;AO19))+(SUMPRODUCT(--(calc!$AM$3:$AM$132=TRUE),--(calc!$AO$3:$AO$132=AO19))-1)/2,"")</f>
        <v/>
      </c>
      <c r="AT19" s="5">
        <f>IF(AM19,SUMPRODUCT(--(calc!$AM$3:$AM$132=TRUE),--(ROW(calc!$AM$3:$AM$132)&gt;ROW(AM19)),--(((calc!$AR$3:$AR$132&gt;AR19)*(calc!$AS$3:$AS$132&gt;AS19)+(calc!$AR$3:$AR$132&lt;AR19)*(calc!$AS$3:$AS$132&lt;AS19))&gt;0))-SUMPRODUCT(--(calc!$AM$3:$AM$132=TRUE),--(ROW(calc!$AM$3:$AM$132)&gt;ROW(AM19)),--(((calc!$AR$3:$AR$132&gt;AR19)*(calc!$AS$3:$AS$132&lt;AS19)+(calc!$AR$3:$AR$132&lt;AR19)*(calc!$AS$3:$AS$132&gt;AS19))&gt;0)),0)</f>
        <v/>
      </c>
      <c r="AU19" s="5">
        <f>IF(mos_metrics!K18="","",mos_metrics!K18)</f>
        <v/>
      </c>
      <c r="AV19" s="2">
        <f>AND($J19,ISNUMBER(AU19),correlation!$I$30=1)</f>
        <v/>
      </c>
      <c r="AW19" s="5">
        <f>IF(AV19,$F19,"")</f>
        <v/>
      </c>
      <c r="AX19" s="5">
        <f>IF(AV19,AU19*correlation!$J$30,"")</f>
        <v/>
      </c>
      <c r="AY19" s="5">
        <f>IF(AND(AV19,ISNUMBER(correlation!$F$30)),AX19*correlation!$F$30+correlation!$G$30,"")</f>
        <v/>
      </c>
      <c r="AZ19" s="5">
        <f>IF(AND(AV19,ISNUMBER(AY19)),(AW19-AY19)^2,"")</f>
        <v/>
      </c>
      <c r="BA19" s="5">
        <f>IF(AV19,1+SUMPRODUCT(--(calc!$AV$3:$AV$132=TRUE),--(calc!$AW$3:$AW$132&gt;AW19))+(SUMPRODUCT(--(calc!$AV$3:$AV$132=TRUE),--(calc!$AW$3:$AW$132=AW19))-1)/2,"")</f>
        <v/>
      </c>
      <c r="BB19" s="5">
        <f>IF(AV19,1+SUMPRODUCT(--(calc!$AV$3:$AV$132=TRUE),--(calc!$AX$3:$AX$132&gt;AX19))+(SUMPRODUCT(--(calc!$AV$3:$AV$132=TRUE),--(calc!$AX$3:$AX$132=AX19))-1)/2,"")</f>
        <v/>
      </c>
      <c r="BC19" s="5">
        <f>IF(AV19,SUMPRODUCT(--(calc!$AV$3:$AV$132=TRUE),--(ROW(calc!$AV$3:$AV$132)&gt;ROW(AV19)),--(((calc!$BA$3:$BA$132&gt;BA19)*(calc!$BB$3:$BB$132&gt;BB19)+(calc!$BA$3:$BA$132&lt;BA19)*(calc!$BB$3:$BB$132&lt;BB19))&gt;0))-SUMPRODUCT(--(calc!$AV$3:$AV$132=TRUE),--(ROW(calc!$AV$3:$AV$132)&gt;ROW(AV19)),--(((calc!$BA$3:$BA$132&gt;BA19)*(calc!$BB$3:$BB$132&lt;BB19)+(calc!$BA$3:$BA$132&lt;BA19)*(calc!$BB$3:$BB$132&gt;BB19))&gt;0)),0)</f>
        <v/>
      </c>
      <c r="BD19" s="5">
        <f>IF(mos_metrics!L18="","",mos_metrics!L18)</f>
        <v/>
      </c>
      <c r="BE19" s="2">
        <f>AND($J19,ISNUMBER(BD19),correlation!$I$31=1)</f>
        <v/>
      </c>
      <c r="BF19" s="5">
        <f>IF(BE19,$F19,"")</f>
        <v/>
      </c>
      <c r="BG19" s="5">
        <f>IF(BE19,BD19*correlation!$J$31,"")</f>
        <v/>
      </c>
      <c r="BH19" s="5">
        <f>IF(AND(BE19,ISNUMBER(correlation!$F$31)),BG19*correlation!$F$31+correlation!$G$31,"")</f>
        <v/>
      </c>
      <c r="BI19" s="5">
        <f>IF(AND(BE19,ISNUMBER(BH19)),(BF19-BH19)^2,"")</f>
        <v/>
      </c>
      <c r="BJ19" s="5">
        <f>IF(BE19,1+SUMPRODUCT(--(calc!$BE$3:$BE$132=TRUE),--(calc!$BF$3:$BF$132&gt;BF19))+(SUMPRODUCT(--(calc!$BE$3:$BE$132=TRUE),--(calc!$BF$3:$BF$132=BF19))-1)/2,"")</f>
        <v/>
      </c>
      <c r="BK19" s="5">
        <f>IF(BE19,1+SUMPRODUCT(--(calc!$BE$3:$BE$132=TRUE),--(calc!$BG$3:$BG$132&gt;BG19))+(SUMPRODUCT(--(calc!$BE$3:$BE$132=TRUE),--(calc!$BG$3:$BG$132=BG19))-1)/2,"")</f>
        <v/>
      </c>
      <c r="BL19" s="5">
        <f>IF(BE19,SUMPRODUCT(--(calc!$BE$3:$BE$132=TRUE),--(ROW(calc!$BE$3:$BE$132)&gt;ROW(BE19)),--(((calc!$BJ$3:$BJ$132&gt;BJ19)*(calc!$BK$3:$BK$132&gt;BK19)+(calc!$BJ$3:$BJ$132&lt;BJ19)*(calc!$BK$3:$BK$132&lt;BK19))&gt;0))-SUMPRODUCT(--(calc!$BE$3:$BE$132=TRUE),--(ROW(calc!$BE$3:$BE$132)&gt;ROW(BE19)),--(((calc!$BJ$3:$BJ$132&gt;BJ19)*(calc!$BK$3:$BK$132&lt;BK19)+(calc!$BJ$3:$BJ$132&lt;BJ19)*(calc!$BK$3:$BK$132&gt;BK19))&gt;0)),0)</f>
        <v/>
      </c>
      <c r="BM19" s="5">
        <f>IF(mos_metrics!M18="","",mos_metrics!M18)</f>
        <v/>
      </c>
      <c r="BN19" s="2">
        <f>AND($J19,ISNUMBER(BM19),correlation!$I$32=1)</f>
        <v/>
      </c>
      <c r="BO19" s="5">
        <f>IF(BN19,$F19,"")</f>
        <v/>
      </c>
      <c r="BP19" s="5">
        <f>IF(BN19,BM19*correlation!$J$32,"")</f>
        <v/>
      </c>
      <c r="BQ19" s="5">
        <f>IF(AND(BN19,ISNUMBER(correlation!$F$32)),BP19*correlation!$F$32+correlation!$G$32,"")</f>
        <v/>
      </c>
      <c r="BR19" s="5">
        <f>IF(AND(BN19,ISNUMBER(BQ19)),(BO19-BQ19)^2,"")</f>
        <v/>
      </c>
      <c r="BS19" s="5">
        <f>IF(BN19,1+SUMPRODUCT(--(calc!$BN$3:$BN$132=TRUE),--(calc!$BO$3:$BO$132&gt;BO19))+(SUMPRODUCT(--(calc!$BN$3:$BN$132=TRUE),--(calc!$BO$3:$BO$132=BO19))-1)/2,"")</f>
        <v/>
      </c>
      <c r="BT19" s="5">
        <f>IF(BN19,1+SUMPRODUCT(--(calc!$BN$3:$BN$132=TRUE),--(calc!$BP$3:$BP$132&gt;BP19))+(SUMPRODUCT(--(calc!$BN$3:$BN$132=TRUE),--(calc!$BP$3:$BP$132=BP19))-1)/2,"")</f>
        <v/>
      </c>
      <c r="BU19" s="5">
        <f>IF(BN19,SUMPRODUCT(--(calc!$BN$3:$BN$132=TRUE),--(ROW(calc!$BN$3:$BN$132)&gt;ROW(BN19)),--(((calc!$BS$3:$BS$132&gt;BS19)*(calc!$BT$3:$BT$132&gt;BT19)+(calc!$BS$3:$BS$132&lt;BS19)*(calc!$BT$3:$BT$132&lt;BT19))&gt;0))-SUMPRODUCT(--(calc!$BN$3:$BN$132=TRUE),--(ROW(calc!$BN$3:$BN$132)&gt;ROW(BN19)),--(((calc!$BS$3:$BS$132&gt;BS19)*(calc!$BT$3:$BT$132&lt;BT19)+(calc!$BS$3:$BS$132&lt;BS19)*(calc!$BT$3:$BT$132&gt;BT19))&gt;0)),0)</f>
        <v/>
      </c>
    </row>
    <row r="20">
      <c r="A20" s="2">
        <f>mos_metrics!A19</f>
        <v/>
      </c>
      <c r="B20" s="2">
        <f>mos_metrics!B19</f>
        <v/>
      </c>
      <c r="C20" s="2">
        <f>mos_metrics!C19</f>
        <v/>
      </c>
      <c r="D20" s="2">
        <f>mos_metrics!D19</f>
        <v/>
      </c>
      <c r="E20" s="2">
        <f>mos_metrics!E19</f>
        <v/>
      </c>
      <c r="F20" s="2">
        <f>mos_metrics!F19</f>
        <v/>
      </c>
      <c r="G20" s="2">
        <f>IF($B20="","",IFERROR(VLOOKUP($B20,correlation!$A$2:$B$12,2,FALSE),1))</f>
        <v/>
      </c>
      <c r="H20" s="2">
        <f>IF($E20="","",IFERROR(VLOOKUP($E20,correlation!$D$2:$E$8,2,FALSE),1))</f>
        <v/>
      </c>
      <c r="I20" s="2">
        <f>ISNUMBER($F20)</f>
        <v/>
      </c>
      <c r="J20" s="2">
        <f>AND($G20=1,$H20=1,$I20)</f>
        <v/>
      </c>
      <c r="K20" s="5">
        <f>IF(mos_metrics!G19="","",mos_metrics!G19)</f>
        <v/>
      </c>
      <c r="L20" s="2">
        <f>AND($J20,ISNUMBER(K20),correlation!$I$26=1)</f>
        <v/>
      </c>
      <c r="M20" s="5">
        <f>IF(L20,$F20,"")</f>
        <v/>
      </c>
      <c r="N20" s="5">
        <f>IF(L20,K20*correlation!$J$26,"")</f>
        <v/>
      </c>
      <c r="O20" s="5">
        <f>IF(AND(L20,ISNUMBER(correlation!$F$26)),N20*correlation!$F$26+correlation!$G$26,"")</f>
        <v/>
      </c>
      <c r="P20" s="5">
        <f>IF(AND(L20,ISNUMBER(O20)),(M20-O20)^2,"")</f>
        <v/>
      </c>
      <c r="Q20" s="5">
        <f>IF(L20,1+SUMPRODUCT(--(calc!$L$3:$L$132=TRUE),--(calc!$M$3:$M$132&gt;M20))+(SUMPRODUCT(--(calc!$L$3:$L$132=TRUE),--(calc!$M$3:$M$132=M20))-1)/2,"")</f>
        <v/>
      </c>
      <c r="R20" s="5">
        <f>IF(L20,1+SUMPRODUCT(--(calc!$L$3:$L$132=TRUE),--(calc!$N$3:$N$132&gt;N20))+(SUMPRODUCT(--(calc!$L$3:$L$132=TRUE),--(calc!$N$3:$N$132=N20))-1)/2,"")</f>
        <v/>
      </c>
      <c r="S20" s="5">
        <f>IF(L20,SUMPRODUCT(--(calc!$L$3:$L$132=TRUE),--(ROW(calc!$L$3:$L$132)&gt;ROW(L20)),--(((calc!$Q$3:$Q$132&gt;Q20)*(calc!$R$3:$R$132&gt;R20)+(calc!$Q$3:$Q$132&lt;Q20)*(calc!$R$3:$R$132&lt;R20))&gt;0))-SUMPRODUCT(--(calc!$L$3:$L$132=TRUE),--(ROW(calc!$L$3:$L$132)&gt;ROW(L20)),--(((calc!$Q$3:$Q$132&gt;Q20)*(calc!$R$3:$R$132&lt;R20)+(calc!$Q$3:$Q$132&lt;Q20)*(calc!$R$3:$R$132&gt;R20))&gt;0)),0)</f>
        <v/>
      </c>
      <c r="T20" s="5">
        <f>IF(mos_metrics!H19="","",mos_metrics!H19)</f>
        <v/>
      </c>
      <c r="U20" s="2">
        <f>AND($J20,ISNUMBER(T20),correlation!$I$27=1)</f>
        <v/>
      </c>
      <c r="V20" s="5">
        <f>IF(U20,$F20,"")</f>
        <v/>
      </c>
      <c r="W20" s="5">
        <f>IF(U20,T20*correlation!$J$27,"")</f>
        <v/>
      </c>
      <c r="X20" s="5">
        <f>IF(AND(U20,ISNUMBER(correlation!$F$27)),W20*correlation!$F$27+correlation!$G$27,"")</f>
        <v/>
      </c>
      <c r="Y20" s="5">
        <f>IF(AND(U20,ISNUMBER(X20)),(V20-X20)^2,"")</f>
        <v/>
      </c>
      <c r="Z20" s="5">
        <f>IF(U20,1+SUMPRODUCT(--(calc!$U$3:$U$132=TRUE),--(calc!$V$3:$V$132&gt;V20))+(SUMPRODUCT(--(calc!$U$3:$U$132=TRUE),--(calc!$V$3:$V$132=V20))-1)/2,"")</f>
        <v/>
      </c>
      <c r="AA20" s="5">
        <f>IF(U20,1+SUMPRODUCT(--(calc!$U$3:$U$132=TRUE),--(calc!$W$3:$W$132&gt;W20))+(SUMPRODUCT(--(calc!$U$3:$U$132=TRUE),--(calc!$W$3:$W$132=W20))-1)/2,"")</f>
        <v/>
      </c>
      <c r="AB20" s="5">
        <f>IF(U20,SUMPRODUCT(--(calc!$U$3:$U$132=TRUE),--(ROW(calc!$U$3:$U$132)&gt;ROW(U20)),--(((calc!$Z$3:$Z$132&gt;Z20)*(calc!$AA$3:$AA$132&gt;AA20)+(calc!$Z$3:$Z$132&lt;Z20)*(calc!$AA$3:$AA$132&lt;AA20))&gt;0))-SUMPRODUCT(--(calc!$U$3:$U$132=TRUE),--(ROW(calc!$U$3:$U$132)&gt;ROW(U20)),--(((calc!$Z$3:$Z$132&gt;Z20)*(calc!$AA$3:$AA$132&lt;AA20)+(calc!$Z$3:$Z$132&lt;Z20)*(calc!$AA$3:$AA$132&gt;AA20))&gt;0)),0)</f>
        <v/>
      </c>
      <c r="AC20" s="5">
        <f>IF(mos_metrics!I19="","",mos_metrics!I19)</f>
        <v/>
      </c>
      <c r="AD20" s="2">
        <f>AND($J20,ISNUMBER(AC20),correlation!$I$28=1)</f>
        <v/>
      </c>
      <c r="AE20" s="5">
        <f>IF(AD20,$F20,"")</f>
        <v/>
      </c>
      <c r="AF20" s="5">
        <f>IF(AD20,AC20*correlation!$J$28,"")</f>
        <v/>
      </c>
      <c r="AG20" s="5">
        <f>IF(AND(AD20,ISNUMBER(correlation!$F$28)),AF20*correlation!$F$28+correlation!$G$28,"")</f>
        <v/>
      </c>
      <c r="AH20" s="5">
        <f>IF(AND(AD20,ISNUMBER(AG20)),(AE20-AG20)^2,"")</f>
        <v/>
      </c>
      <c r="AI20" s="5">
        <f>IF(AD20,1+SUMPRODUCT(--(calc!$AD$3:$AD$132=TRUE),--(calc!$AE$3:$AE$132&gt;AE20))+(SUMPRODUCT(--(calc!$AD$3:$AD$132=TRUE),--(calc!$AE$3:$AE$132=AE20))-1)/2,"")</f>
        <v/>
      </c>
      <c r="AJ20" s="5">
        <f>IF(AD20,1+SUMPRODUCT(--(calc!$AD$3:$AD$132=TRUE),--(calc!$AF$3:$AF$132&gt;AF20))+(SUMPRODUCT(--(calc!$AD$3:$AD$132=TRUE),--(calc!$AF$3:$AF$132=AF20))-1)/2,"")</f>
        <v/>
      </c>
      <c r="AK20" s="5">
        <f>IF(AD20,SUMPRODUCT(--(calc!$AD$3:$AD$132=TRUE),--(ROW(calc!$AD$3:$AD$132)&gt;ROW(AD20)),--(((calc!$AI$3:$AI$132&gt;AI20)*(calc!$AJ$3:$AJ$132&gt;AJ20)+(calc!$AI$3:$AI$132&lt;AI20)*(calc!$AJ$3:$AJ$132&lt;AJ20))&gt;0))-SUMPRODUCT(--(calc!$AD$3:$AD$132=TRUE),--(ROW(calc!$AD$3:$AD$132)&gt;ROW(AD20)),--(((calc!$AI$3:$AI$132&gt;AI20)*(calc!$AJ$3:$AJ$132&lt;AJ20)+(calc!$AI$3:$AI$132&lt;AI20)*(calc!$AJ$3:$AJ$132&gt;AJ20))&gt;0)),0)</f>
        <v/>
      </c>
      <c r="AL20" s="5">
        <f>IF(mos_metrics!J19="","",mos_metrics!J19)</f>
        <v/>
      </c>
      <c r="AM20" s="2">
        <f>AND($J20,ISNUMBER(AL20),correlation!$I$29=1)</f>
        <v/>
      </c>
      <c r="AN20" s="5">
        <f>IF(AM20,$F20,"")</f>
        <v/>
      </c>
      <c r="AO20" s="5">
        <f>IF(AM20,AL20*correlation!$J$29,"")</f>
        <v/>
      </c>
      <c r="AP20" s="5">
        <f>IF(AND(AM20,ISNUMBER(correlation!$F$29)),AO20*correlation!$F$29+correlation!$G$29,"")</f>
        <v/>
      </c>
      <c r="AQ20" s="5">
        <f>IF(AND(AM20,ISNUMBER(AP20)),(AN20-AP20)^2,"")</f>
        <v/>
      </c>
      <c r="AR20" s="5">
        <f>IF(AM20,1+SUMPRODUCT(--(calc!$AM$3:$AM$132=TRUE),--(calc!$AN$3:$AN$132&gt;AN20))+(SUMPRODUCT(--(calc!$AM$3:$AM$132=TRUE),--(calc!$AN$3:$AN$132=AN20))-1)/2,"")</f>
        <v/>
      </c>
      <c r="AS20" s="5">
        <f>IF(AM20,1+SUMPRODUCT(--(calc!$AM$3:$AM$132=TRUE),--(calc!$AO$3:$AO$132&gt;AO20))+(SUMPRODUCT(--(calc!$AM$3:$AM$132=TRUE),--(calc!$AO$3:$AO$132=AO20))-1)/2,"")</f>
        <v/>
      </c>
      <c r="AT20" s="5">
        <f>IF(AM20,SUMPRODUCT(--(calc!$AM$3:$AM$132=TRUE),--(ROW(calc!$AM$3:$AM$132)&gt;ROW(AM20)),--(((calc!$AR$3:$AR$132&gt;AR20)*(calc!$AS$3:$AS$132&gt;AS20)+(calc!$AR$3:$AR$132&lt;AR20)*(calc!$AS$3:$AS$132&lt;AS20))&gt;0))-SUMPRODUCT(--(calc!$AM$3:$AM$132=TRUE),--(ROW(calc!$AM$3:$AM$132)&gt;ROW(AM20)),--(((calc!$AR$3:$AR$132&gt;AR20)*(calc!$AS$3:$AS$132&lt;AS20)+(calc!$AR$3:$AR$132&lt;AR20)*(calc!$AS$3:$AS$132&gt;AS20))&gt;0)),0)</f>
        <v/>
      </c>
      <c r="AU20" s="5">
        <f>IF(mos_metrics!K19="","",mos_metrics!K19)</f>
        <v/>
      </c>
      <c r="AV20" s="2">
        <f>AND($J20,ISNUMBER(AU20),correlation!$I$30=1)</f>
        <v/>
      </c>
      <c r="AW20" s="5">
        <f>IF(AV20,$F20,"")</f>
        <v/>
      </c>
      <c r="AX20" s="5">
        <f>IF(AV20,AU20*correlation!$J$30,"")</f>
        <v/>
      </c>
      <c r="AY20" s="5">
        <f>IF(AND(AV20,ISNUMBER(correlation!$F$30)),AX20*correlation!$F$30+correlation!$G$30,"")</f>
        <v/>
      </c>
      <c r="AZ20" s="5">
        <f>IF(AND(AV20,ISNUMBER(AY20)),(AW20-AY20)^2,"")</f>
        <v/>
      </c>
      <c r="BA20" s="5">
        <f>IF(AV20,1+SUMPRODUCT(--(calc!$AV$3:$AV$132=TRUE),--(calc!$AW$3:$AW$132&gt;AW20))+(SUMPRODUCT(--(calc!$AV$3:$AV$132=TRUE),--(calc!$AW$3:$AW$132=AW20))-1)/2,"")</f>
        <v/>
      </c>
      <c r="BB20" s="5">
        <f>IF(AV20,1+SUMPRODUCT(--(calc!$AV$3:$AV$132=TRUE),--(calc!$AX$3:$AX$132&gt;AX20))+(SUMPRODUCT(--(calc!$AV$3:$AV$132=TRUE),--(calc!$AX$3:$AX$132=AX20))-1)/2,"")</f>
        <v/>
      </c>
      <c r="BC20" s="5">
        <f>IF(AV20,SUMPRODUCT(--(calc!$AV$3:$AV$132=TRUE),--(ROW(calc!$AV$3:$AV$132)&gt;ROW(AV20)),--(((calc!$BA$3:$BA$132&gt;BA20)*(calc!$BB$3:$BB$132&gt;BB20)+(calc!$BA$3:$BA$132&lt;BA20)*(calc!$BB$3:$BB$132&lt;BB20))&gt;0))-SUMPRODUCT(--(calc!$AV$3:$AV$132=TRUE),--(ROW(calc!$AV$3:$AV$132)&gt;ROW(AV20)),--(((calc!$BA$3:$BA$132&gt;BA20)*(calc!$BB$3:$BB$132&lt;BB20)+(calc!$BA$3:$BA$132&lt;BA20)*(calc!$BB$3:$BB$132&gt;BB20))&gt;0)),0)</f>
        <v/>
      </c>
      <c r="BD20" s="5">
        <f>IF(mos_metrics!L19="","",mos_metrics!L19)</f>
        <v/>
      </c>
      <c r="BE20" s="2">
        <f>AND($J20,ISNUMBER(BD20),correlation!$I$31=1)</f>
        <v/>
      </c>
      <c r="BF20" s="5">
        <f>IF(BE20,$F20,"")</f>
        <v/>
      </c>
      <c r="BG20" s="5">
        <f>IF(BE20,BD20*correlation!$J$31,"")</f>
        <v/>
      </c>
      <c r="BH20" s="5">
        <f>IF(AND(BE20,ISNUMBER(correlation!$F$31)),BG20*correlation!$F$31+correlation!$G$31,"")</f>
        <v/>
      </c>
      <c r="BI20" s="5">
        <f>IF(AND(BE20,ISNUMBER(BH20)),(BF20-BH20)^2,"")</f>
        <v/>
      </c>
      <c r="BJ20" s="5">
        <f>IF(BE20,1+SUMPRODUCT(--(calc!$BE$3:$BE$132=TRUE),--(calc!$BF$3:$BF$132&gt;BF20))+(SUMPRODUCT(--(calc!$BE$3:$BE$132=TRUE),--(calc!$BF$3:$BF$132=BF20))-1)/2,"")</f>
        <v/>
      </c>
      <c r="BK20" s="5">
        <f>IF(BE20,1+SUMPRODUCT(--(calc!$BE$3:$BE$132=TRUE),--(calc!$BG$3:$BG$132&gt;BG20))+(SUMPRODUCT(--(calc!$BE$3:$BE$132=TRUE),--(calc!$BG$3:$BG$132=BG20))-1)/2,"")</f>
        <v/>
      </c>
      <c r="BL20" s="5">
        <f>IF(BE20,SUMPRODUCT(--(calc!$BE$3:$BE$132=TRUE),--(ROW(calc!$BE$3:$BE$132)&gt;ROW(BE20)),--(((calc!$BJ$3:$BJ$132&gt;BJ20)*(calc!$BK$3:$BK$132&gt;BK20)+(calc!$BJ$3:$BJ$132&lt;BJ20)*(calc!$BK$3:$BK$132&lt;BK20))&gt;0))-SUMPRODUCT(--(calc!$BE$3:$BE$132=TRUE),--(ROW(calc!$BE$3:$BE$132)&gt;ROW(BE20)),--(((calc!$BJ$3:$BJ$132&gt;BJ20)*(calc!$BK$3:$BK$132&lt;BK20)+(calc!$BJ$3:$BJ$132&lt;BJ20)*(calc!$BK$3:$BK$132&gt;BK20))&gt;0)),0)</f>
        <v/>
      </c>
      <c r="BM20" s="5">
        <f>IF(mos_metrics!M19="","",mos_metrics!M19)</f>
        <v/>
      </c>
      <c r="BN20" s="2">
        <f>AND($J20,ISNUMBER(BM20),correlation!$I$32=1)</f>
        <v/>
      </c>
      <c r="BO20" s="5">
        <f>IF(BN20,$F20,"")</f>
        <v/>
      </c>
      <c r="BP20" s="5">
        <f>IF(BN20,BM20*correlation!$J$32,"")</f>
        <v/>
      </c>
      <c r="BQ20" s="5">
        <f>IF(AND(BN20,ISNUMBER(correlation!$F$32)),BP20*correlation!$F$32+correlation!$G$32,"")</f>
        <v/>
      </c>
      <c r="BR20" s="5">
        <f>IF(AND(BN20,ISNUMBER(BQ20)),(BO20-BQ20)^2,"")</f>
        <v/>
      </c>
      <c r="BS20" s="5">
        <f>IF(BN20,1+SUMPRODUCT(--(calc!$BN$3:$BN$132=TRUE),--(calc!$BO$3:$BO$132&gt;BO20))+(SUMPRODUCT(--(calc!$BN$3:$BN$132=TRUE),--(calc!$BO$3:$BO$132=BO20))-1)/2,"")</f>
        <v/>
      </c>
      <c r="BT20" s="5">
        <f>IF(BN20,1+SUMPRODUCT(--(calc!$BN$3:$BN$132=TRUE),--(calc!$BP$3:$BP$132&gt;BP20))+(SUMPRODUCT(--(calc!$BN$3:$BN$132=TRUE),--(calc!$BP$3:$BP$132=BP20))-1)/2,"")</f>
        <v/>
      </c>
      <c r="BU20" s="5">
        <f>IF(BN20,SUMPRODUCT(--(calc!$BN$3:$BN$132=TRUE),--(ROW(calc!$BN$3:$BN$132)&gt;ROW(BN20)),--(((calc!$BS$3:$BS$132&gt;BS20)*(calc!$BT$3:$BT$132&gt;BT20)+(calc!$BS$3:$BS$132&lt;BS20)*(calc!$BT$3:$BT$132&lt;BT20))&gt;0))-SUMPRODUCT(--(calc!$BN$3:$BN$132=TRUE),--(ROW(calc!$BN$3:$BN$132)&gt;ROW(BN20)),--(((calc!$BS$3:$BS$132&gt;BS20)*(calc!$BT$3:$BT$132&lt;BT20)+(calc!$BS$3:$BS$132&lt;BS20)*(calc!$BT$3:$BT$132&gt;BT20))&gt;0)),0)</f>
        <v/>
      </c>
    </row>
    <row r="21">
      <c r="A21" s="2">
        <f>mos_metrics!A20</f>
        <v/>
      </c>
      <c r="B21" s="2">
        <f>mos_metrics!B20</f>
        <v/>
      </c>
      <c r="C21" s="2">
        <f>mos_metrics!C20</f>
        <v/>
      </c>
      <c r="D21" s="2">
        <f>mos_metrics!D20</f>
        <v/>
      </c>
      <c r="E21" s="2">
        <f>mos_metrics!E20</f>
        <v/>
      </c>
      <c r="F21" s="2">
        <f>mos_metrics!F20</f>
        <v/>
      </c>
      <c r="G21" s="2">
        <f>IF($B21="","",IFERROR(VLOOKUP($B21,correlation!$A$2:$B$12,2,FALSE),1))</f>
        <v/>
      </c>
      <c r="H21" s="2">
        <f>IF($E21="","",IFERROR(VLOOKUP($E21,correlation!$D$2:$E$8,2,FALSE),1))</f>
        <v/>
      </c>
      <c r="I21" s="2">
        <f>ISNUMBER($F21)</f>
        <v/>
      </c>
      <c r="J21" s="2">
        <f>AND($G21=1,$H21=1,$I21)</f>
        <v/>
      </c>
      <c r="K21" s="5">
        <f>IF(mos_metrics!G20="","",mos_metrics!G20)</f>
        <v/>
      </c>
      <c r="L21" s="2">
        <f>AND($J21,ISNUMBER(K21),correlation!$I$26=1)</f>
        <v/>
      </c>
      <c r="M21" s="5">
        <f>IF(L21,$F21,"")</f>
        <v/>
      </c>
      <c r="N21" s="5">
        <f>IF(L21,K21*correlation!$J$26,"")</f>
        <v/>
      </c>
      <c r="O21" s="5">
        <f>IF(AND(L21,ISNUMBER(correlation!$F$26)),N21*correlation!$F$26+correlation!$G$26,"")</f>
        <v/>
      </c>
      <c r="P21" s="5">
        <f>IF(AND(L21,ISNUMBER(O21)),(M21-O21)^2,"")</f>
        <v/>
      </c>
      <c r="Q21" s="5">
        <f>IF(L21,1+SUMPRODUCT(--(calc!$L$3:$L$132=TRUE),--(calc!$M$3:$M$132&gt;M21))+(SUMPRODUCT(--(calc!$L$3:$L$132=TRUE),--(calc!$M$3:$M$132=M21))-1)/2,"")</f>
        <v/>
      </c>
      <c r="R21" s="5">
        <f>IF(L21,1+SUMPRODUCT(--(calc!$L$3:$L$132=TRUE),--(calc!$N$3:$N$132&gt;N21))+(SUMPRODUCT(--(calc!$L$3:$L$132=TRUE),--(calc!$N$3:$N$132=N21))-1)/2,"")</f>
        <v/>
      </c>
      <c r="S21" s="5">
        <f>IF(L21,SUMPRODUCT(--(calc!$L$3:$L$132=TRUE),--(ROW(calc!$L$3:$L$132)&gt;ROW(L21)),--(((calc!$Q$3:$Q$132&gt;Q21)*(calc!$R$3:$R$132&gt;R21)+(calc!$Q$3:$Q$132&lt;Q21)*(calc!$R$3:$R$132&lt;R21))&gt;0))-SUMPRODUCT(--(calc!$L$3:$L$132=TRUE),--(ROW(calc!$L$3:$L$132)&gt;ROW(L21)),--(((calc!$Q$3:$Q$132&gt;Q21)*(calc!$R$3:$R$132&lt;R21)+(calc!$Q$3:$Q$132&lt;Q21)*(calc!$R$3:$R$132&gt;R21))&gt;0)),0)</f>
        <v/>
      </c>
      <c r="T21" s="5">
        <f>IF(mos_metrics!H20="","",mos_metrics!H20)</f>
        <v/>
      </c>
      <c r="U21" s="2">
        <f>AND($J21,ISNUMBER(T21),correlation!$I$27=1)</f>
        <v/>
      </c>
      <c r="V21" s="5">
        <f>IF(U21,$F21,"")</f>
        <v/>
      </c>
      <c r="W21" s="5">
        <f>IF(U21,T21*correlation!$J$27,"")</f>
        <v/>
      </c>
      <c r="X21" s="5">
        <f>IF(AND(U21,ISNUMBER(correlation!$F$27)),W21*correlation!$F$27+correlation!$G$27,"")</f>
        <v/>
      </c>
      <c r="Y21" s="5">
        <f>IF(AND(U21,ISNUMBER(X21)),(V21-X21)^2,"")</f>
        <v/>
      </c>
      <c r="Z21" s="5">
        <f>IF(U21,1+SUMPRODUCT(--(calc!$U$3:$U$132=TRUE),--(calc!$V$3:$V$132&gt;V21))+(SUMPRODUCT(--(calc!$U$3:$U$132=TRUE),--(calc!$V$3:$V$132=V21))-1)/2,"")</f>
        <v/>
      </c>
      <c r="AA21" s="5">
        <f>IF(U21,1+SUMPRODUCT(--(calc!$U$3:$U$132=TRUE),--(calc!$W$3:$W$132&gt;W21))+(SUMPRODUCT(--(calc!$U$3:$U$132=TRUE),--(calc!$W$3:$W$132=W21))-1)/2,"")</f>
        <v/>
      </c>
      <c r="AB21" s="5">
        <f>IF(U21,SUMPRODUCT(--(calc!$U$3:$U$132=TRUE),--(ROW(calc!$U$3:$U$132)&gt;ROW(U21)),--(((calc!$Z$3:$Z$132&gt;Z21)*(calc!$AA$3:$AA$132&gt;AA21)+(calc!$Z$3:$Z$132&lt;Z21)*(calc!$AA$3:$AA$132&lt;AA21))&gt;0))-SUMPRODUCT(--(calc!$U$3:$U$132=TRUE),--(ROW(calc!$U$3:$U$132)&gt;ROW(U21)),--(((calc!$Z$3:$Z$132&gt;Z21)*(calc!$AA$3:$AA$132&lt;AA21)+(calc!$Z$3:$Z$132&lt;Z21)*(calc!$AA$3:$AA$132&gt;AA21))&gt;0)),0)</f>
        <v/>
      </c>
      <c r="AC21" s="5">
        <f>IF(mos_metrics!I20="","",mos_metrics!I20)</f>
        <v/>
      </c>
      <c r="AD21" s="2">
        <f>AND($J21,ISNUMBER(AC21),correlation!$I$28=1)</f>
        <v/>
      </c>
      <c r="AE21" s="5">
        <f>IF(AD21,$F21,"")</f>
        <v/>
      </c>
      <c r="AF21" s="5">
        <f>IF(AD21,AC21*correlation!$J$28,"")</f>
        <v/>
      </c>
      <c r="AG21" s="5">
        <f>IF(AND(AD21,ISNUMBER(correlation!$F$28)),AF21*correlation!$F$28+correlation!$G$28,"")</f>
        <v/>
      </c>
      <c r="AH21" s="5">
        <f>IF(AND(AD21,ISNUMBER(AG21)),(AE21-AG21)^2,"")</f>
        <v/>
      </c>
      <c r="AI21" s="5">
        <f>IF(AD21,1+SUMPRODUCT(--(calc!$AD$3:$AD$132=TRUE),--(calc!$AE$3:$AE$132&gt;AE21))+(SUMPRODUCT(--(calc!$AD$3:$AD$132=TRUE),--(calc!$AE$3:$AE$132=AE21))-1)/2,"")</f>
        <v/>
      </c>
      <c r="AJ21" s="5">
        <f>IF(AD21,1+SUMPRODUCT(--(calc!$AD$3:$AD$132=TRUE),--(calc!$AF$3:$AF$132&gt;AF21))+(SUMPRODUCT(--(calc!$AD$3:$AD$132=TRUE),--(calc!$AF$3:$AF$132=AF21))-1)/2,"")</f>
        <v/>
      </c>
      <c r="AK21" s="5">
        <f>IF(AD21,SUMPRODUCT(--(calc!$AD$3:$AD$132=TRUE),--(ROW(calc!$AD$3:$AD$132)&gt;ROW(AD21)),--(((calc!$AI$3:$AI$132&gt;AI21)*(calc!$AJ$3:$AJ$132&gt;AJ21)+(calc!$AI$3:$AI$132&lt;AI21)*(calc!$AJ$3:$AJ$132&lt;AJ21))&gt;0))-SUMPRODUCT(--(calc!$AD$3:$AD$132=TRUE),--(ROW(calc!$AD$3:$AD$132)&gt;ROW(AD21)),--(((calc!$AI$3:$AI$132&gt;AI21)*(calc!$AJ$3:$AJ$132&lt;AJ21)+(calc!$AI$3:$AI$132&lt;AI21)*(calc!$AJ$3:$AJ$132&gt;AJ21))&gt;0)),0)</f>
        <v/>
      </c>
      <c r="AL21" s="5">
        <f>IF(mos_metrics!J20="","",mos_metrics!J20)</f>
        <v/>
      </c>
      <c r="AM21" s="2">
        <f>AND($J21,ISNUMBER(AL21),correlation!$I$29=1)</f>
        <v/>
      </c>
      <c r="AN21" s="5">
        <f>IF(AM21,$F21,"")</f>
        <v/>
      </c>
      <c r="AO21" s="5">
        <f>IF(AM21,AL21*correlation!$J$29,"")</f>
        <v/>
      </c>
      <c r="AP21" s="5">
        <f>IF(AND(AM21,ISNUMBER(correlation!$F$29)),AO21*correlation!$F$29+correlation!$G$29,"")</f>
        <v/>
      </c>
      <c r="AQ21" s="5">
        <f>IF(AND(AM21,ISNUMBER(AP21)),(AN21-AP21)^2,"")</f>
        <v/>
      </c>
      <c r="AR21" s="5">
        <f>IF(AM21,1+SUMPRODUCT(--(calc!$AM$3:$AM$132=TRUE),--(calc!$AN$3:$AN$132&gt;AN21))+(SUMPRODUCT(--(calc!$AM$3:$AM$132=TRUE),--(calc!$AN$3:$AN$132=AN21))-1)/2,"")</f>
        <v/>
      </c>
      <c r="AS21" s="5">
        <f>IF(AM21,1+SUMPRODUCT(--(calc!$AM$3:$AM$132=TRUE),--(calc!$AO$3:$AO$132&gt;AO21))+(SUMPRODUCT(--(calc!$AM$3:$AM$132=TRUE),--(calc!$AO$3:$AO$132=AO21))-1)/2,"")</f>
        <v/>
      </c>
      <c r="AT21" s="5">
        <f>IF(AM21,SUMPRODUCT(--(calc!$AM$3:$AM$132=TRUE),--(ROW(calc!$AM$3:$AM$132)&gt;ROW(AM21)),--(((calc!$AR$3:$AR$132&gt;AR21)*(calc!$AS$3:$AS$132&gt;AS21)+(calc!$AR$3:$AR$132&lt;AR21)*(calc!$AS$3:$AS$132&lt;AS21))&gt;0))-SUMPRODUCT(--(calc!$AM$3:$AM$132=TRUE),--(ROW(calc!$AM$3:$AM$132)&gt;ROW(AM21)),--(((calc!$AR$3:$AR$132&gt;AR21)*(calc!$AS$3:$AS$132&lt;AS21)+(calc!$AR$3:$AR$132&lt;AR21)*(calc!$AS$3:$AS$132&gt;AS21))&gt;0)),0)</f>
        <v/>
      </c>
      <c r="AU21" s="5">
        <f>IF(mos_metrics!K20="","",mos_metrics!K20)</f>
        <v/>
      </c>
      <c r="AV21" s="2">
        <f>AND($J21,ISNUMBER(AU21),correlation!$I$30=1)</f>
        <v/>
      </c>
      <c r="AW21" s="5">
        <f>IF(AV21,$F21,"")</f>
        <v/>
      </c>
      <c r="AX21" s="5">
        <f>IF(AV21,AU21*correlation!$J$30,"")</f>
        <v/>
      </c>
      <c r="AY21" s="5">
        <f>IF(AND(AV21,ISNUMBER(correlation!$F$30)),AX21*correlation!$F$30+correlation!$G$30,"")</f>
        <v/>
      </c>
      <c r="AZ21" s="5">
        <f>IF(AND(AV21,ISNUMBER(AY21)),(AW21-AY21)^2,"")</f>
        <v/>
      </c>
      <c r="BA21" s="5">
        <f>IF(AV21,1+SUMPRODUCT(--(calc!$AV$3:$AV$132=TRUE),--(calc!$AW$3:$AW$132&gt;AW21))+(SUMPRODUCT(--(calc!$AV$3:$AV$132=TRUE),--(calc!$AW$3:$AW$132=AW21))-1)/2,"")</f>
        <v/>
      </c>
      <c r="BB21" s="5">
        <f>IF(AV21,1+SUMPRODUCT(--(calc!$AV$3:$AV$132=TRUE),--(calc!$AX$3:$AX$132&gt;AX21))+(SUMPRODUCT(--(calc!$AV$3:$AV$132=TRUE),--(calc!$AX$3:$AX$132=AX21))-1)/2,"")</f>
        <v/>
      </c>
      <c r="BC21" s="5">
        <f>IF(AV21,SUMPRODUCT(--(calc!$AV$3:$AV$132=TRUE),--(ROW(calc!$AV$3:$AV$132)&gt;ROW(AV21)),--(((calc!$BA$3:$BA$132&gt;BA21)*(calc!$BB$3:$BB$132&gt;BB21)+(calc!$BA$3:$BA$132&lt;BA21)*(calc!$BB$3:$BB$132&lt;BB21))&gt;0))-SUMPRODUCT(--(calc!$AV$3:$AV$132=TRUE),--(ROW(calc!$AV$3:$AV$132)&gt;ROW(AV21)),--(((calc!$BA$3:$BA$132&gt;BA21)*(calc!$BB$3:$BB$132&lt;BB21)+(calc!$BA$3:$BA$132&lt;BA21)*(calc!$BB$3:$BB$132&gt;BB21))&gt;0)),0)</f>
        <v/>
      </c>
      <c r="BD21" s="5">
        <f>IF(mos_metrics!L20="","",mos_metrics!L20)</f>
        <v/>
      </c>
      <c r="BE21" s="2">
        <f>AND($J21,ISNUMBER(BD21),correlation!$I$31=1)</f>
        <v/>
      </c>
      <c r="BF21" s="5">
        <f>IF(BE21,$F21,"")</f>
        <v/>
      </c>
      <c r="BG21" s="5">
        <f>IF(BE21,BD21*correlation!$J$31,"")</f>
        <v/>
      </c>
      <c r="BH21" s="5">
        <f>IF(AND(BE21,ISNUMBER(correlation!$F$31)),BG21*correlation!$F$31+correlation!$G$31,"")</f>
        <v/>
      </c>
      <c r="BI21" s="5">
        <f>IF(AND(BE21,ISNUMBER(BH21)),(BF21-BH21)^2,"")</f>
        <v/>
      </c>
      <c r="BJ21" s="5">
        <f>IF(BE21,1+SUMPRODUCT(--(calc!$BE$3:$BE$132=TRUE),--(calc!$BF$3:$BF$132&gt;BF21))+(SUMPRODUCT(--(calc!$BE$3:$BE$132=TRUE),--(calc!$BF$3:$BF$132=BF21))-1)/2,"")</f>
        <v/>
      </c>
      <c r="BK21" s="5">
        <f>IF(BE21,1+SUMPRODUCT(--(calc!$BE$3:$BE$132=TRUE),--(calc!$BG$3:$BG$132&gt;BG21))+(SUMPRODUCT(--(calc!$BE$3:$BE$132=TRUE),--(calc!$BG$3:$BG$132=BG21))-1)/2,"")</f>
        <v/>
      </c>
      <c r="BL21" s="5">
        <f>IF(BE21,SUMPRODUCT(--(calc!$BE$3:$BE$132=TRUE),--(ROW(calc!$BE$3:$BE$132)&gt;ROW(BE21)),--(((calc!$BJ$3:$BJ$132&gt;BJ21)*(calc!$BK$3:$BK$132&gt;BK21)+(calc!$BJ$3:$BJ$132&lt;BJ21)*(calc!$BK$3:$BK$132&lt;BK21))&gt;0))-SUMPRODUCT(--(calc!$BE$3:$BE$132=TRUE),--(ROW(calc!$BE$3:$BE$132)&gt;ROW(BE21)),--(((calc!$BJ$3:$BJ$132&gt;BJ21)*(calc!$BK$3:$BK$132&lt;BK21)+(calc!$BJ$3:$BJ$132&lt;BJ21)*(calc!$BK$3:$BK$132&gt;BK21))&gt;0)),0)</f>
        <v/>
      </c>
      <c r="BM21" s="5">
        <f>IF(mos_metrics!M20="","",mos_metrics!M20)</f>
        <v/>
      </c>
      <c r="BN21" s="2">
        <f>AND($J21,ISNUMBER(BM21),correlation!$I$32=1)</f>
        <v/>
      </c>
      <c r="BO21" s="5">
        <f>IF(BN21,$F21,"")</f>
        <v/>
      </c>
      <c r="BP21" s="5">
        <f>IF(BN21,BM21*correlation!$J$32,"")</f>
        <v/>
      </c>
      <c r="BQ21" s="5">
        <f>IF(AND(BN21,ISNUMBER(correlation!$F$32)),BP21*correlation!$F$32+correlation!$G$32,"")</f>
        <v/>
      </c>
      <c r="BR21" s="5">
        <f>IF(AND(BN21,ISNUMBER(BQ21)),(BO21-BQ21)^2,"")</f>
        <v/>
      </c>
      <c r="BS21" s="5">
        <f>IF(BN21,1+SUMPRODUCT(--(calc!$BN$3:$BN$132=TRUE),--(calc!$BO$3:$BO$132&gt;BO21))+(SUMPRODUCT(--(calc!$BN$3:$BN$132=TRUE),--(calc!$BO$3:$BO$132=BO21))-1)/2,"")</f>
        <v/>
      </c>
      <c r="BT21" s="5">
        <f>IF(BN21,1+SUMPRODUCT(--(calc!$BN$3:$BN$132=TRUE),--(calc!$BP$3:$BP$132&gt;BP21))+(SUMPRODUCT(--(calc!$BN$3:$BN$132=TRUE),--(calc!$BP$3:$BP$132=BP21))-1)/2,"")</f>
        <v/>
      </c>
      <c r="BU21" s="5">
        <f>IF(BN21,SUMPRODUCT(--(calc!$BN$3:$BN$132=TRUE),--(ROW(calc!$BN$3:$BN$132)&gt;ROW(BN21)),--(((calc!$BS$3:$BS$132&gt;BS21)*(calc!$BT$3:$BT$132&gt;BT21)+(calc!$BS$3:$BS$132&lt;BS21)*(calc!$BT$3:$BT$132&lt;BT21))&gt;0))-SUMPRODUCT(--(calc!$BN$3:$BN$132=TRUE),--(ROW(calc!$BN$3:$BN$132)&gt;ROW(BN21)),--(((calc!$BS$3:$BS$132&gt;BS21)*(calc!$BT$3:$BT$132&lt;BT21)+(calc!$BS$3:$BS$132&lt;BS21)*(calc!$BT$3:$BT$132&gt;BT21))&gt;0)),0)</f>
        <v/>
      </c>
    </row>
    <row r="22">
      <c r="A22" s="2">
        <f>mos_metrics!A21</f>
        <v/>
      </c>
      <c r="B22" s="2">
        <f>mos_metrics!B21</f>
        <v/>
      </c>
      <c r="C22" s="2">
        <f>mos_metrics!C21</f>
        <v/>
      </c>
      <c r="D22" s="2">
        <f>mos_metrics!D21</f>
        <v/>
      </c>
      <c r="E22" s="2">
        <f>mos_metrics!E21</f>
        <v/>
      </c>
      <c r="F22" s="2">
        <f>mos_metrics!F21</f>
        <v/>
      </c>
      <c r="G22" s="2">
        <f>IF($B22="","",IFERROR(VLOOKUP($B22,correlation!$A$2:$B$12,2,FALSE),1))</f>
        <v/>
      </c>
      <c r="H22" s="2">
        <f>IF($E22="","",IFERROR(VLOOKUP($E22,correlation!$D$2:$E$8,2,FALSE),1))</f>
        <v/>
      </c>
      <c r="I22" s="2">
        <f>ISNUMBER($F22)</f>
        <v/>
      </c>
      <c r="J22" s="2">
        <f>AND($G22=1,$H22=1,$I22)</f>
        <v/>
      </c>
      <c r="K22" s="5">
        <f>IF(mos_metrics!G21="","",mos_metrics!G21)</f>
        <v/>
      </c>
      <c r="L22" s="2">
        <f>AND($J22,ISNUMBER(K22),correlation!$I$26=1)</f>
        <v/>
      </c>
      <c r="M22" s="5">
        <f>IF(L22,$F22,"")</f>
        <v/>
      </c>
      <c r="N22" s="5">
        <f>IF(L22,K22*correlation!$J$26,"")</f>
        <v/>
      </c>
      <c r="O22" s="5">
        <f>IF(AND(L22,ISNUMBER(correlation!$F$26)),N22*correlation!$F$26+correlation!$G$26,"")</f>
        <v/>
      </c>
      <c r="P22" s="5">
        <f>IF(AND(L22,ISNUMBER(O22)),(M22-O22)^2,"")</f>
        <v/>
      </c>
      <c r="Q22" s="5">
        <f>IF(L22,1+SUMPRODUCT(--(calc!$L$3:$L$132=TRUE),--(calc!$M$3:$M$132&gt;M22))+(SUMPRODUCT(--(calc!$L$3:$L$132=TRUE),--(calc!$M$3:$M$132=M22))-1)/2,"")</f>
        <v/>
      </c>
      <c r="R22" s="5">
        <f>IF(L22,1+SUMPRODUCT(--(calc!$L$3:$L$132=TRUE),--(calc!$N$3:$N$132&gt;N22))+(SUMPRODUCT(--(calc!$L$3:$L$132=TRUE),--(calc!$N$3:$N$132=N22))-1)/2,"")</f>
        <v/>
      </c>
      <c r="S22" s="5">
        <f>IF(L22,SUMPRODUCT(--(calc!$L$3:$L$132=TRUE),--(ROW(calc!$L$3:$L$132)&gt;ROW(L22)),--(((calc!$Q$3:$Q$132&gt;Q22)*(calc!$R$3:$R$132&gt;R22)+(calc!$Q$3:$Q$132&lt;Q22)*(calc!$R$3:$R$132&lt;R22))&gt;0))-SUMPRODUCT(--(calc!$L$3:$L$132=TRUE),--(ROW(calc!$L$3:$L$132)&gt;ROW(L22)),--(((calc!$Q$3:$Q$132&gt;Q22)*(calc!$R$3:$R$132&lt;R22)+(calc!$Q$3:$Q$132&lt;Q22)*(calc!$R$3:$R$132&gt;R22))&gt;0)),0)</f>
        <v/>
      </c>
      <c r="T22" s="5">
        <f>IF(mos_metrics!H21="","",mos_metrics!H21)</f>
        <v/>
      </c>
      <c r="U22" s="2">
        <f>AND($J22,ISNUMBER(T22),correlation!$I$27=1)</f>
        <v/>
      </c>
      <c r="V22" s="5">
        <f>IF(U22,$F22,"")</f>
        <v/>
      </c>
      <c r="W22" s="5">
        <f>IF(U22,T22*correlation!$J$27,"")</f>
        <v/>
      </c>
      <c r="X22" s="5">
        <f>IF(AND(U22,ISNUMBER(correlation!$F$27)),W22*correlation!$F$27+correlation!$G$27,"")</f>
        <v/>
      </c>
      <c r="Y22" s="5">
        <f>IF(AND(U22,ISNUMBER(X22)),(V22-X22)^2,"")</f>
        <v/>
      </c>
      <c r="Z22" s="5">
        <f>IF(U22,1+SUMPRODUCT(--(calc!$U$3:$U$132=TRUE),--(calc!$V$3:$V$132&gt;V22))+(SUMPRODUCT(--(calc!$U$3:$U$132=TRUE),--(calc!$V$3:$V$132=V22))-1)/2,"")</f>
        <v/>
      </c>
      <c r="AA22" s="5">
        <f>IF(U22,1+SUMPRODUCT(--(calc!$U$3:$U$132=TRUE),--(calc!$W$3:$W$132&gt;W22))+(SUMPRODUCT(--(calc!$U$3:$U$132=TRUE),--(calc!$W$3:$W$132=W22))-1)/2,"")</f>
        <v/>
      </c>
      <c r="AB22" s="5">
        <f>IF(U22,SUMPRODUCT(--(calc!$U$3:$U$132=TRUE),--(ROW(calc!$U$3:$U$132)&gt;ROW(U22)),--(((calc!$Z$3:$Z$132&gt;Z22)*(calc!$AA$3:$AA$132&gt;AA22)+(calc!$Z$3:$Z$132&lt;Z22)*(calc!$AA$3:$AA$132&lt;AA22))&gt;0))-SUMPRODUCT(--(calc!$U$3:$U$132=TRUE),--(ROW(calc!$U$3:$U$132)&gt;ROW(U22)),--(((calc!$Z$3:$Z$132&gt;Z22)*(calc!$AA$3:$AA$132&lt;AA22)+(calc!$Z$3:$Z$132&lt;Z22)*(calc!$AA$3:$AA$132&gt;AA22))&gt;0)),0)</f>
        <v/>
      </c>
      <c r="AC22" s="5">
        <f>IF(mos_metrics!I21="","",mos_metrics!I21)</f>
        <v/>
      </c>
      <c r="AD22" s="2">
        <f>AND($J22,ISNUMBER(AC22),correlation!$I$28=1)</f>
        <v/>
      </c>
      <c r="AE22" s="5">
        <f>IF(AD22,$F22,"")</f>
        <v/>
      </c>
      <c r="AF22" s="5">
        <f>IF(AD22,AC22*correlation!$J$28,"")</f>
        <v/>
      </c>
      <c r="AG22" s="5">
        <f>IF(AND(AD22,ISNUMBER(correlation!$F$28)),AF22*correlation!$F$28+correlation!$G$28,"")</f>
        <v/>
      </c>
      <c r="AH22" s="5">
        <f>IF(AND(AD22,ISNUMBER(AG22)),(AE22-AG22)^2,"")</f>
        <v/>
      </c>
      <c r="AI22" s="5">
        <f>IF(AD22,1+SUMPRODUCT(--(calc!$AD$3:$AD$132=TRUE),--(calc!$AE$3:$AE$132&gt;AE22))+(SUMPRODUCT(--(calc!$AD$3:$AD$132=TRUE),--(calc!$AE$3:$AE$132=AE22))-1)/2,"")</f>
        <v/>
      </c>
      <c r="AJ22" s="5">
        <f>IF(AD22,1+SUMPRODUCT(--(calc!$AD$3:$AD$132=TRUE),--(calc!$AF$3:$AF$132&gt;AF22))+(SUMPRODUCT(--(calc!$AD$3:$AD$132=TRUE),--(calc!$AF$3:$AF$132=AF22))-1)/2,"")</f>
        <v/>
      </c>
      <c r="AK22" s="5">
        <f>IF(AD22,SUMPRODUCT(--(calc!$AD$3:$AD$132=TRUE),--(ROW(calc!$AD$3:$AD$132)&gt;ROW(AD22)),--(((calc!$AI$3:$AI$132&gt;AI22)*(calc!$AJ$3:$AJ$132&gt;AJ22)+(calc!$AI$3:$AI$132&lt;AI22)*(calc!$AJ$3:$AJ$132&lt;AJ22))&gt;0))-SUMPRODUCT(--(calc!$AD$3:$AD$132=TRUE),--(ROW(calc!$AD$3:$AD$132)&gt;ROW(AD22)),--(((calc!$AI$3:$AI$132&gt;AI22)*(calc!$AJ$3:$AJ$132&lt;AJ22)+(calc!$AI$3:$AI$132&lt;AI22)*(calc!$AJ$3:$AJ$132&gt;AJ22))&gt;0)),0)</f>
        <v/>
      </c>
      <c r="AL22" s="5">
        <f>IF(mos_metrics!J21="","",mos_metrics!J21)</f>
        <v/>
      </c>
      <c r="AM22" s="2">
        <f>AND($J22,ISNUMBER(AL22),correlation!$I$29=1)</f>
        <v/>
      </c>
      <c r="AN22" s="5">
        <f>IF(AM22,$F22,"")</f>
        <v/>
      </c>
      <c r="AO22" s="5">
        <f>IF(AM22,AL22*correlation!$J$29,"")</f>
        <v/>
      </c>
      <c r="AP22" s="5">
        <f>IF(AND(AM22,ISNUMBER(correlation!$F$29)),AO22*correlation!$F$29+correlation!$G$29,"")</f>
        <v/>
      </c>
      <c r="AQ22" s="5">
        <f>IF(AND(AM22,ISNUMBER(AP22)),(AN22-AP22)^2,"")</f>
        <v/>
      </c>
      <c r="AR22" s="5">
        <f>IF(AM22,1+SUMPRODUCT(--(calc!$AM$3:$AM$132=TRUE),--(calc!$AN$3:$AN$132&gt;AN22))+(SUMPRODUCT(--(calc!$AM$3:$AM$132=TRUE),--(calc!$AN$3:$AN$132=AN22))-1)/2,"")</f>
        <v/>
      </c>
      <c r="AS22" s="5">
        <f>IF(AM22,1+SUMPRODUCT(--(calc!$AM$3:$AM$132=TRUE),--(calc!$AO$3:$AO$132&gt;AO22))+(SUMPRODUCT(--(calc!$AM$3:$AM$132=TRUE),--(calc!$AO$3:$AO$132=AO22))-1)/2,"")</f>
        <v/>
      </c>
      <c r="AT22" s="5">
        <f>IF(AM22,SUMPRODUCT(--(calc!$AM$3:$AM$132=TRUE),--(ROW(calc!$AM$3:$AM$132)&gt;ROW(AM22)),--(((calc!$AR$3:$AR$132&gt;AR22)*(calc!$AS$3:$AS$132&gt;AS22)+(calc!$AR$3:$AR$132&lt;AR22)*(calc!$AS$3:$AS$132&lt;AS22))&gt;0))-SUMPRODUCT(--(calc!$AM$3:$AM$132=TRUE),--(ROW(calc!$AM$3:$AM$132)&gt;ROW(AM22)),--(((calc!$AR$3:$AR$132&gt;AR22)*(calc!$AS$3:$AS$132&lt;AS22)+(calc!$AR$3:$AR$132&lt;AR22)*(calc!$AS$3:$AS$132&gt;AS22))&gt;0)),0)</f>
        <v/>
      </c>
      <c r="AU22" s="5">
        <f>IF(mos_metrics!K21="","",mos_metrics!K21)</f>
        <v/>
      </c>
      <c r="AV22" s="2">
        <f>AND($J22,ISNUMBER(AU22),correlation!$I$30=1)</f>
        <v/>
      </c>
      <c r="AW22" s="5">
        <f>IF(AV22,$F22,"")</f>
        <v/>
      </c>
      <c r="AX22" s="5">
        <f>IF(AV22,AU22*correlation!$J$30,"")</f>
        <v/>
      </c>
      <c r="AY22" s="5">
        <f>IF(AND(AV22,ISNUMBER(correlation!$F$30)),AX22*correlation!$F$30+correlation!$G$30,"")</f>
        <v/>
      </c>
      <c r="AZ22" s="5">
        <f>IF(AND(AV22,ISNUMBER(AY22)),(AW22-AY22)^2,"")</f>
        <v/>
      </c>
      <c r="BA22" s="5">
        <f>IF(AV22,1+SUMPRODUCT(--(calc!$AV$3:$AV$132=TRUE),--(calc!$AW$3:$AW$132&gt;AW22))+(SUMPRODUCT(--(calc!$AV$3:$AV$132=TRUE),--(calc!$AW$3:$AW$132=AW22))-1)/2,"")</f>
        <v/>
      </c>
      <c r="BB22" s="5">
        <f>IF(AV22,1+SUMPRODUCT(--(calc!$AV$3:$AV$132=TRUE),--(calc!$AX$3:$AX$132&gt;AX22))+(SUMPRODUCT(--(calc!$AV$3:$AV$132=TRUE),--(calc!$AX$3:$AX$132=AX22))-1)/2,"")</f>
        <v/>
      </c>
      <c r="BC22" s="5">
        <f>IF(AV22,SUMPRODUCT(--(calc!$AV$3:$AV$132=TRUE),--(ROW(calc!$AV$3:$AV$132)&gt;ROW(AV22)),--(((calc!$BA$3:$BA$132&gt;BA22)*(calc!$BB$3:$BB$132&gt;BB22)+(calc!$BA$3:$BA$132&lt;BA22)*(calc!$BB$3:$BB$132&lt;BB22))&gt;0))-SUMPRODUCT(--(calc!$AV$3:$AV$132=TRUE),--(ROW(calc!$AV$3:$AV$132)&gt;ROW(AV22)),--(((calc!$BA$3:$BA$132&gt;BA22)*(calc!$BB$3:$BB$132&lt;BB22)+(calc!$BA$3:$BA$132&lt;BA22)*(calc!$BB$3:$BB$132&gt;BB22))&gt;0)),0)</f>
        <v/>
      </c>
      <c r="BD22" s="5">
        <f>IF(mos_metrics!L21="","",mos_metrics!L21)</f>
        <v/>
      </c>
      <c r="BE22" s="2">
        <f>AND($J22,ISNUMBER(BD22),correlation!$I$31=1)</f>
        <v/>
      </c>
      <c r="BF22" s="5">
        <f>IF(BE22,$F22,"")</f>
        <v/>
      </c>
      <c r="BG22" s="5">
        <f>IF(BE22,BD22*correlation!$J$31,"")</f>
        <v/>
      </c>
      <c r="BH22" s="5">
        <f>IF(AND(BE22,ISNUMBER(correlation!$F$31)),BG22*correlation!$F$31+correlation!$G$31,"")</f>
        <v/>
      </c>
      <c r="BI22" s="5">
        <f>IF(AND(BE22,ISNUMBER(BH22)),(BF22-BH22)^2,"")</f>
        <v/>
      </c>
      <c r="BJ22" s="5">
        <f>IF(BE22,1+SUMPRODUCT(--(calc!$BE$3:$BE$132=TRUE),--(calc!$BF$3:$BF$132&gt;BF22))+(SUMPRODUCT(--(calc!$BE$3:$BE$132=TRUE),--(calc!$BF$3:$BF$132=BF22))-1)/2,"")</f>
        <v/>
      </c>
      <c r="BK22" s="5">
        <f>IF(BE22,1+SUMPRODUCT(--(calc!$BE$3:$BE$132=TRUE),--(calc!$BG$3:$BG$132&gt;BG22))+(SUMPRODUCT(--(calc!$BE$3:$BE$132=TRUE),--(calc!$BG$3:$BG$132=BG22))-1)/2,"")</f>
        <v/>
      </c>
      <c r="BL22" s="5">
        <f>IF(BE22,SUMPRODUCT(--(calc!$BE$3:$BE$132=TRUE),--(ROW(calc!$BE$3:$BE$132)&gt;ROW(BE22)),--(((calc!$BJ$3:$BJ$132&gt;BJ22)*(calc!$BK$3:$BK$132&gt;BK22)+(calc!$BJ$3:$BJ$132&lt;BJ22)*(calc!$BK$3:$BK$132&lt;BK22))&gt;0))-SUMPRODUCT(--(calc!$BE$3:$BE$132=TRUE),--(ROW(calc!$BE$3:$BE$132)&gt;ROW(BE22)),--(((calc!$BJ$3:$BJ$132&gt;BJ22)*(calc!$BK$3:$BK$132&lt;BK22)+(calc!$BJ$3:$BJ$132&lt;BJ22)*(calc!$BK$3:$BK$132&gt;BK22))&gt;0)),0)</f>
        <v/>
      </c>
      <c r="BM22" s="5">
        <f>IF(mos_metrics!M21="","",mos_metrics!M21)</f>
        <v/>
      </c>
      <c r="BN22" s="2">
        <f>AND($J22,ISNUMBER(BM22),correlation!$I$32=1)</f>
        <v/>
      </c>
      <c r="BO22" s="5">
        <f>IF(BN22,$F22,"")</f>
        <v/>
      </c>
      <c r="BP22" s="5">
        <f>IF(BN22,BM22*correlation!$J$32,"")</f>
        <v/>
      </c>
      <c r="BQ22" s="5">
        <f>IF(AND(BN22,ISNUMBER(correlation!$F$32)),BP22*correlation!$F$32+correlation!$G$32,"")</f>
        <v/>
      </c>
      <c r="BR22" s="5">
        <f>IF(AND(BN22,ISNUMBER(BQ22)),(BO22-BQ22)^2,"")</f>
        <v/>
      </c>
      <c r="BS22" s="5">
        <f>IF(BN22,1+SUMPRODUCT(--(calc!$BN$3:$BN$132=TRUE),--(calc!$BO$3:$BO$132&gt;BO22))+(SUMPRODUCT(--(calc!$BN$3:$BN$132=TRUE),--(calc!$BO$3:$BO$132=BO22))-1)/2,"")</f>
        <v/>
      </c>
      <c r="BT22" s="5">
        <f>IF(BN22,1+SUMPRODUCT(--(calc!$BN$3:$BN$132=TRUE),--(calc!$BP$3:$BP$132&gt;BP22))+(SUMPRODUCT(--(calc!$BN$3:$BN$132=TRUE),--(calc!$BP$3:$BP$132=BP22))-1)/2,"")</f>
        <v/>
      </c>
      <c r="BU22" s="5">
        <f>IF(BN22,SUMPRODUCT(--(calc!$BN$3:$BN$132=TRUE),--(ROW(calc!$BN$3:$BN$132)&gt;ROW(BN22)),--(((calc!$BS$3:$BS$132&gt;BS22)*(calc!$BT$3:$BT$132&gt;BT22)+(calc!$BS$3:$BS$132&lt;BS22)*(calc!$BT$3:$BT$132&lt;BT22))&gt;0))-SUMPRODUCT(--(calc!$BN$3:$BN$132=TRUE),--(ROW(calc!$BN$3:$BN$132)&gt;ROW(BN22)),--(((calc!$BS$3:$BS$132&gt;BS22)*(calc!$BT$3:$BT$132&lt;BT22)+(calc!$BS$3:$BS$132&lt;BS22)*(calc!$BT$3:$BT$132&gt;BT22))&gt;0)),0)</f>
        <v/>
      </c>
    </row>
    <row r="23">
      <c r="A23" s="2">
        <f>mos_metrics!A22</f>
        <v/>
      </c>
      <c r="B23" s="2">
        <f>mos_metrics!B22</f>
        <v/>
      </c>
      <c r="C23" s="2">
        <f>mos_metrics!C22</f>
        <v/>
      </c>
      <c r="D23" s="2">
        <f>mos_metrics!D22</f>
        <v/>
      </c>
      <c r="E23" s="2">
        <f>mos_metrics!E22</f>
        <v/>
      </c>
      <c r="F23" s="2">
        <f>mos_metrics!F22</f>
        <v/>
      </c>
      <c r="G23" s="2">
        <f>IF($B23="","",IFERROR(VLOOKUP($B23,correlation!$A$2:$B$12,2,FALSE),1))</f>
        <v/>
      </c>
      <c r="H23" s="2">
        <f>IF($E23="","",IFERROR(VLOOKUP($E23,correlation!$D$2:$E$8,2,FALSE),1))</f>
        <v/>
      </c>
      <c r="I23" s="2">
        <f>ISNUMBER($F23)</f>
        <v/>
      </c>
      <c r="J23" s="2">
        <f>AND($G23=1,$H23=1,$I23)</f>
        <v/>
      </c>
      <c r="K23" s="5">
        <f>IF(mos_metrics!G22="","",mos_metrics!G22)</f>
        <v/>
      </c>
      <c r="L23" s="2">
        <f>AND($J23,ISNUMBER(K23),correlation!$I$26=1)</f>
        <v/>
      </c>
      <c r="M23" s="5">
        <f>IF(L23,$F23,"")</f>
        <v/>
      </c>
      <c r="N23" s="5">
        <f>IF(L23,K23*correlation!$J$26,"")</f>
        <v/>
      </c>
      <c r="O23" s="5">
        <f>IF(AND(L23,ISNUMBER(correlation!$F$26)),N23*correlation!$F$26+correlation!$G$26,"")</f>
        <v/>
      </c>
      <c r="P23" s="5">
        <f>IF(AND(L23,ISNUMBER(O23)),(M23-O23)^2,"")</f>
        <v/>
      </c>
      <c r="Q23" s="5">
        <f>IF(L23,1+SUMPRODUCT(--(calc!$L$3:$L$132=TRUE),--(calc!$M$3:$M$132&gt;M23))+(SUMPRODUCT(--(calc!$L$3:$L$132=TRUE),--(calc!$M$3:$M$132=M23))-1)/2,"")</f>
        <v/>
      </c>
      <c r="R23" s="5">
        <f>IF(L23,1+SUMPRODUCT(--(calc!$L$3:$L$132=TRUE),--(calc!$N$3:$N$132&gt;N23))+(SUMPRODUCT(--(calc!$L$3:$L$132=TRUE),--(calc!$N$3:$N$132=N23))-1)/2,"")</f>
        <v/>
      </c>
      <c r="S23" s="5">
        <f>IF(L23,SUMPRODUCT(--(calc!$L$3:$L$132=TRUE),--(ROW(calc!$L$3:$L$132)&gt;ROW(L23)),--(((calc!$Q$3:$Q$132&gt;Q23)*(calc!$R$3:$R$132&gt;R23)+(calc!$Q$3:$Q$132&lt;Q23)*(calc!$R$3:$R$132&lt;R23))&gt;0))-SUMPRODUCT(--(calc!$L$3:$L$132=TRUE),--(ROW(calc!$L$3:$L$132)&gt;ROW(L23)),--(((calc!$Q$3:$Q$132&gt;Q23)*(calc!$R$3:$R$132&lt;R23)+(calc!$Q$3:$Q$132&lt;Q23)*(calc!$R$3:$R$132&gt;R23))&gt;0)),0)</f>
        <v/>
      </c>
      <c r="T23" s="5">
        <f>IF(mos_metrics!H22="","",mos_metrics!H22)</f>
        <v/>
      </c>
      <c r="U23" s="2">
        <f>AND($J23,ISNUMBER(T23),correlation!$I$27=1)</f>
        <v/>
      </c>
      <c r="V23" s="5">
        <f>IF(U23,$F23,"")</f>
        <v/>
      </c>
      <c r="W23" s="5">
        <f>IF(U23,T23*correlation!$J$27,"")</f>
        <v/>
      </c>
      <c r="X23" s="5">
        <f>IF(AND(U23,ISNUMBER(correlation!$F$27)),W23*correlation!$F$27+correlation!$G$27,"")</f>
        <v/>
      </c>
      <c r="Y23" s="5">
        <f>IF(AND(U23,ISNUMBER(X23)),(V23-X23)^2,"")</f>
        <v/>
      </c>
      <c r="Z23" s="5">
        <f>IF(U23,1+SUMPRODUCT(--(calc!$U$3:$U$132=TRUE),--(calc!$V$3:$V$132&gt;V23))+(SUMPRODUCT(--(calc!$U$3:$U$132=TRUE),--(calc!$V$3:$V$132=V23))-1)/2,"")</f>
        <v/>
      </c>
      <c r="AA23" s="5">
        <f>IF(U23,1+SUMPRODUCT(--(calc!$U$3:$U$132=TRUE),--(calc!$W$3:$W$132&gt;W23))+(SUMPRODUCT(--(calc!$U$3:$U$132=TRUE),--(calc!$W$3:$W$132=W23))-1)/2,"")</f>
        <v/>
      </c>
      <c r="AB23" s="5">
        <f>IF(U23,SUMPRODUCT(--(calc!$U$3:$U$132=TRUE),--(ROW(calc!$U$3:$U$132)&gt;ROW(U23)),--(((calc!$Z$3:$Z$132&gt;Z23)*(calc!$AA$3:$AA$132&gt;AA23)+(calc!$Z$3:$Z$132&lt;Z23)*(calc!$AA$3:$AA$132&lt;AA23))&gt;0))-SUMPRODUCT(--(calc!$U$3:$U$132=TRUE),--(ROW(calc!$U$3:$U$132)&gt;ROW(U23)),--(((calc!$Z$3:$Z$132&gt;Z23)*(calc!$AA$3:$AA$132&lt;AA23)+(calc!$Z$3:$Z$132&lt;Z23)*(calc!$AA$3:$AA$132&gt;AA23))&gt;0)),0)</f>
        <v/>
      </c>
      <c r="AC23" s="5">
        <f>IF(mos_metrics!I22="","",mos_metrics!I22)</f>
        <v/>
      </c>
      <c r="AD23" s="2">
        <f>AND($J23,ISNUMBER(AC23),correlation!$I$28=1)</f>
        <v/>
      </c>
      <c r="AE23" s="5">
        <f>IF(AD23,$F23,"")</f>
        <v/>
      </c>
      <c r="AF23" s="5">
        <f>IF(AD23,AC23*correlation!$J$28,"")</f>
        <v/>
      </c>
      <c r="AG23" s="5">
        <f>IF(AND(AD23,ISNUMBER(correlation!$F$28)),AF23*correlation!$F$28+correlation!$G$28,"")</f>
        <v/>
      </c>
      <c r="AH23" s="5">
        <f>IF(AND(AD23,ISNUMBER(AG23)),(AE23-AG23)^2,"")</f>
        <v/>
      </c>
      <c r="AI23" s="5">
        <f>IF(AD23,1+SUMPRODUCT(--(calc!$AD$3:$AD$132=TRUE),--(calc!$AE$3:$AE$132&gt;AE23))+(SUMPRODUCT(--(calc!$AD$3:$AD$132=TRUE),--(calc!$AE$3:$AE$132=AE23))-1)/2,"")</f>
        <v/>
      </c>
      <c r="AJ23" s="5">
        <f>IF(AD23,1+SUMPRODUCT(--(calc!$AD$3:$AD$132=TRUE),--(calc!$AF$3:$AF$132&gt;AF23))+(SUMPRODUCT(--(calc!$AD$3:$AD$132=TRUE),--(calc!$AF$3:$AF$132=AF23))-1)/2,"")</f>
        <v/>
      </c>
      <c r="AK23" s="5">
        <f>IF(AD23,SUMPRODUCT(--(calc!$AD$3:$AD$132=TRUE),--(ROW(calc!$AD$3:$AD$132)&gt;ROW(AD23)),--(((calc!$AI$3:$AI$132&gt;AI23)*(calc!$AJ$3:$AJ$132&gt;AJ23)+(calc!$AI$3:$AI$132&lt;AI23)*(calc!$AJ$3:$AJ$132&lt;AJ23))&gt;0))-SUMPRODUCT(--(calc!$AD$3:$AD$132=TRUE),--(ROW(calc!$AD$3:$AD$132)&gt;ROW(AD23)),--(((calc!$AI$3:$AI$132&gt;AI23)*(calc!$AJ$3:$AJ$132&lt;AJ23)+(calc!$AI$3:$AI$132&lt;AI23)*(calc!$AJ$3:$AJ$132&gt;AJ23))&gt;0)),0)</f>
        <v/>
      </c>
      <c r="AL23" s="5">
        <f>IF(mos_metrics!J22="","",mos_metrics!J22)</f>
        <v/>
      </c>
      <c r="AM23" s="2">
        <f>AND($J23,ISNUMBER(AL23),correlation!$I$29=1)</f>
        <v/>
      </c>
      <c r="AN23" s="5">
        <f>IF(AM23,$F23,"")</f>
        <v/>
      </c>
      <c r="AO23" s="5">
        <f>IF(AM23,AL23*correlation!$J$29,"")</f>
        <v/>
      </c>
      <c r="AP23" s="5">
        <f>IF(AND(AM23,ISNUMBER(correlation!$F$29)),AO23*correlation!$F$29+correlation!$G$29,"")</f>
        <v/>
      </c>
      <c r="AQ23" s="5">
        <f>IF(AND(AM23,ISNUMBER(AP23)),(AN23-AP23)^2,"")</f>
        <v/>
      </c>
      <c r="AR23" s="5">
        <f>IF(AM23,1+SUMPRODUCT(--(calc!$AM$3:$AM$132=TRUE),--(calc!$AN$3:$AN$132&gt;AN23))+(SUMPRODUCT(--(calc!$AM$3:$AM$132=TRUE),--(calc!$AN$3:$AN$132=AN23))-1)/2,"")</f>
        <v/>
      </c>
      <c r="AS23" s="5">
        <f>IF(AM23,1+SUMPRODUCT(--(calc!$AM$3:$AM$132=TRUE),--(calc!$AO$3:$AO$132&gt;AO23))+(SUMPRODUCT(--(calc!$AM$3:$AM$132=TRUE),--(calc!$AO$3:$AO$132=AO23))-1)/2,"")</f>
        <v/>
      </c>
      <c r="AT23" s="5">
        <f>IF(AM23,SUMPRODUCT(--(calc!$AM$3:$AM$132=TRUE),--(ROW(calc!$AM$3:$AM$132)&gt;ROW(AM23)),--(((calc!$AR$3:$AR$132&gt;AR23)*(calc!$AS$3:$AS$132&gt;AS23)+(calc!$AR$3:$AR$132&lt;AR23)*(calc!$AS$3:$AS$132&lt;AS23))&gt;0))-SUMPRODUCT(--(calc!$AM$3:$AM$132=TRUE),--(ROW(calc!$AM$3:$AM$132)&gt;ROW(AM23)),--(((calc!$AR$3:$AR$132&gt;AR23)*(calc!$AS$3:$AS$132&lt;AS23)+(calc!$AR$3:$AR$132&lt;AR23)*(calc!$AS$3:$AS$132&gt;AS23))&gt;0)),0)</f>
        <v/>
      </c>
      <c r="AU23" s="5">
        <f>IF(mos_metrics!K22="","",mos_metrics!K22)</f>
        <v/>
      </c>
      <c r="AV23" s="2">
        <f>AND($J23,ISNUMBER(AU23),correlation!$I$30=1)</f>
        <v/>
      </c>
      <c r="AW23" s="5">
        <f>IF(AV23,$F23,"")</f>
        <v/>
      </c>
      <c r="AX23" s="5">
        <f>IF(AV23,AU23*correlation!$J$30,"")</f>
        <v/>
      </c>
      <c r="AY23" s="5">
        <f>IF(AND(AV23,ISNUMBER(correlation!$F$30)),AX23*correlation!$F$30+correlation!$G$30,"")</f>
        <v/>
      </c>
      <c r="AZ23" s="5">
        <f>IF(AND(AV23,ISNUMBER(AY23)),(AW23-AY23)^2,"")</f>
        <v/>
      </c>
      <c r="BA23" s="5">
        <f>IF(AV23,1+SUMPRODUCT(--(calc!$AV$3:$AV$132=TRUE),--(calc!$AW$3:$AW$132&gt;AW23))+(SUMPRODUCT(--(calc!$AV$3:$AV$132=TRUE),--(calc!$AW$3:$AW$132=AW23))-1)/2,"")</f>
        <v/>
      </c>
      <c r="BB23" s="5">
        <f>IF(AV23,1+SUMPRODUCT(--(calc!$AV$3:$AV$132=TRUE),--(calc!$AX$3:$AX$132&gt;AX23))+(SUMPRODUCT(--(calc!$AV$3:$AV$132=TRUE),--(calc!$AX$3:$AX$132=AX23))-1)/2,"")</f>
        <v/>
      </c>
      <c r="BC23" s="5">
        <f>IF(AV23,SUMPRODUCT(--(calc!$AV$3:$AV$132=TRUE),--(ROW(calc!$AV$3:$AV$132)&gt;ROW(AV23)),--(((calc!$BA$3:$BA$132&gt;BA23)*(calc!$BB$3:$BB$132&gt;BB23)+(calc!$BA$3:$BA$132&lt;BA23)*(calc!$BB$3:$BB$132&lt;BB23))&gt;0))-SUMPRODUCT(--(calc!$AV$3:$AV$132=TRUE),--(ROW(calc!$AV$3:$AV$132)&gt;ROW(AV23)),--(((calc!$BA$3:$BA$132&gt;BA23)*(calc!$BB$3:$BB$132&lt;BB23)+(calc!$BA$3:$BA$132&lt;BA23)*(calc!$BB$3:$BB$132&gt;BB23))&gt;0)),0)</f>
        <v/>
      </c>
      <c r="BD23" s="5">
        <f>IF(mos_metrics!L22="","",mos_metrics!L22)</f>
        <v/>
      </c>
      <c r="BE23" s="2">
        <f>AND($J23,ISNUMBER(BD23),correlation!$I$31=1)</f>
        <v/>
      </c>
      <c r="BF23" s="5">
        <f>IF(BE23,$F23,"")</f>
        <v/>
      </c>
      <c r="BG23" s="5">
        <f>IF(BE23,BD23*correlation!$J$31,"")</f>
        <v/>
      </c>
      <c r="BH23" s="5">
        <f>IF(AND(BE23,ISNUMBER(correlation!$F$31)),BG23*correlation!$F$31+correlation!$G$31,"")</f>
        <v/>
      </c>
      <c r="BI23" s="5">
        <f>IF(AND(BE23,ISNUMBER(BH23)),(BF23-BH23)^2,"")</f>
        <v/>
      </c>
      <c r="BJ23" s="5">
        <f>IF(BE23,1+SUMPRODUCT(--(calc!$BE$3:$BE$132=TRUE),--(calc!$BF$3:$BF$132&gt;BF23))+(SUMPRODUCT(--(calc!$BE$3:$BE$132=TRUE),--(calc!$BF$3:$BF$132=BF23))-1)/2,"")</f>
        <v/>
      </c>
      <c r="BK23" s="5">
        <f>IF(BE23,1+SUMPRODUCT(--(calc!$BE$3:$BE$132=TRUE),--(calc!$BG$3:$BG$132&gt;BG23))+(SUMPRODUCT(--(calc!$BE$3:$BE$132=TRUE),--(calc!$BG$3:$BG$132=BG23))-1)/2,"")</f>
        <v/>
      </c>
      <c r="BL23" s="5">
        <f>IF(BE23,SUMPRODUCT(--(calc!$BE$3:$BE$132=TRUE),--(ROW(calc!$BE$3:$BE$132)&gt;ROW(BE23)),--(((calc!$BJ$3:$BJ$132&gt;BJ23)*(calc!$BK$3:$BK$132&gt;BK23)+(calc!$BJ$3:$BJ$132&lt;BJ23)*(calc!$BK$3:$BK$132&lt;BK23))&gt;0))-SUMPRODUCT(--(calc!$BE$3:$BE$132=TRUE),--(ROW(calc!$BE$3:$BE$132)&gt;ROW(BE23)),--(((calc!$BJ$3:$BJ$132&gt;BJ23)*(calc!$BK$3:$BK$132&lt;BK23)+(calc!$BJ$3:$BJ$132&lt;BJ23)*(calc!$BK$3:$BK$132&gt;BK23))&gt;0)),0)</f>
        <v/>
      </c>
      <c r="BM23" s="5">
        <f>IF(mos_metrics!M22="","",mos_metrics!M22)</f>
        <v/>
      </c>
      <c r="BN23" s="2">
        <f>AND($J23,ISNUMBER(BM23),correlation!$I$32=1)</f>
        <v/>
      </c>
      <c r="BO23" s="5">
        <f>IF(BN23,$F23,"")</f>
        <v/>
      </c>
      <c r="BP23" s="5">
        <f>IF(BN23,BM23*correlation!$J$32,"")</f>
        <v/>
      </c>
      <c r="BQ23" s="5">
        <f>IF(AND(BN23,ISNUMBER(correlation!$F$32)),BP23*correlation!$F$32+correlation!$G$32,"")</f>
        <v/>
      </c>
      <c r="BR23" s="5">
        <f>IF(AND(BN23,ISNUMBER(BQ23)),(BO23-BQ23)^2,"")</f>
        <v/>
      </c>
      <c r="BS23" s="5">
        <f>IF(BN23,1+SUMPRODUCT(--(calc!$BN$3:$BN$132=TRUE),--(calc!$BO$3:$BO$132&gt;BO23))+(SUMPRODUCT(--(calc!$BN$3:$BN$132=TRUE),--(calc!$BO$3:$BO$132=BO23))-1)/2,"")</f>
        <v/>
      </c>
      <c r="BT23" s="5">
        <f>IF(BN23,1+SUMPRODUCT(--(calc!$BN$3:$BN$132=TRUE),--(calc!$BP$3:$BP$132&gt;BP23))+(SUMPRODUCT(--(calc!$BN$3:$BN$132=TRUE),--(calc!$BP$3:$BP$132=BP23))-1)/2,"")</f>
        <v/>
      </c>
      <c r="BU23" s="5">
        <f>IF(BN23,SUMPRODUCT(--(calc!$BN$3:$BN$132=TRUE),--(ROW(calc!$BN$3:$BN$132)&gt;ROW(BN23)),--(((calc!$BS$3:$BS$132&gt;BS23)*(calc!$BT$3:$BT$132&gt;BT23)+(calc!$BS$3:$BS$132&lt;BS23)*(calc!$BT$3:$BT$132&lt;BT23))&gt;0))-SUMPRODUCT(--(calc!$BN$3:$BN$132=TRUE),--(ROW(calc!$BN$3:$BN$132)&gt;ROW(BN23)),--(((calc!$BS$3:$BS$132&gt;BS23)*(calc!$BT$3:$BT$132&lt;BT23)+(calc!$BS$3:$BS$132&lt;BS23)*(calc!$BT$3:$BT$132&gt;BT23))&gt;0)),0)</f>
        <v/>
      </c>
    </row>
    <row r="24">
      <c r="A24" s="2">
        <f>mos_metrics!A23</f>
        <v/>
      </c>
      <c r="B24" s="2">
        <f>mos_metrics!B23</f>
        <v/>
      </c>
      <c r="C24" s="2">
        <f>mos_metrics!C23</f>
        <v/>
      </c>
      <c r="D24" s="2">
        <f>mos_metrics!D23</f>
        <v/>
      </c>
      <c r="E24" s="2">
        <f>mos_metrics!E23</f>
        <v/>
      </c>
      <c r="F24" s="2">
        <f>mos_metrics!F23</f>
        <v/>
      </c>
      <c r="G24" s="2">
        <f>IF($B24="","",IFERROR(VLOOKUP($B24,correlation!$A$2:$B$12,2,FALSE),1))</f>
        <v/>
      </c>
      <c r="H24" s="2">
        <f>IF($E24="","",IFERROR(VLOOKUP($E24,correlation!$D$2:$E$8,2,FALSE),1))</f>
        <v/>
      </c>
      <c r="I24" s="2">
        <f>ISNUMBER($F24)</f>
        <v/>
      </c>
      <c r="J24" s="2">
        <f>AND($G24=1,$H24=1,$I24)</f>
        <v/>
      </c>
      <c r="K24" s="5">
        <f>IF(mos_metrics!G23="","",mos_metrics!G23)</f>
        <v/>
      </c>
      <c r="L24" s="2">
        <f>AND($J24,ISNUMBER(K24),correlation!$I$26=1)</f>
        <v/>
      </c>
      <c r="M24" s="5">
        <f>IF(L24,$F24,"")</f>
        <v/>
      </c>
      <c r="N24" s="5">
        <f>IF(L24,K24*correlation!$J$26,"")</f>
        <v/>
      </c>
      <c r="O24" s="5">
        <f>IF(AND(L24,ISNUMBER(correlation!$F$26)),N24*correlation!$F$26+correlation!$G$26,"")</f>
        <v/>
      </c>
      <c r="P24" s="5">
        <f>IF(AND(L24,ISNUMBER(O24)),(M24-O24)^2,"")</f>
        <v/>
      </c>
      <c r="Q24" s="5">
        <f>IF(L24,1+SUMPRODUCT(--(calc!$L$3:$L$132=TRUE),--(calc!$M$3:$M$132&gt;M24))+(SUMPRODUCT(--(calc!$L$3:$L$132=TRUE),--(calc!$M$3:$M$132=M24))-1)/2,"")</f>
        <v/>
      </c>
      <c r="R24" s="5">
        <f>IF(L24,1+SUMPRODUCT(--(calc!$L$3:$L$132=TRUE),--(calc!$N$3:$N$132&gt;N24))+(SUMPRODUCT(--(calc!$L$3:$L$132=TRUE),--(calc!$N$3:$N$132=N24))-1)/2,"")</f>
        <v/>
      </c>
      <c r="S24" s="5">
        <f>IF(L24,SUMPRODUCT(--(calc!$L$3:$L$132=TRUE),--(ROW(calc!$L$3:$L$132)&gt;ROW(L24)),--(((calc!$Q$3:$Q$132&gt;Q24)*(calc!$R$3:$R$132&gt;R24)+(calc!$Q$3:$Q$132&lt;Q24)*(calc!$R$3:$R$132&lt;R24))&gt;0))-SUMPRODUCT(--(calc!$L$3:$L$132=TRUE),--(ROW(calc!$L$3:$L$132)&gt;ROW(L24)),--(((calc!$Q$3:$Q$132&gt;Q24)*(calc!$R$3:$R$132&lt;R24)+(calc!$Q$3:$Q$132&lt;Q24)*(calc!$R$3:$R$132&gt;R24))&gt;0)),0)</f>
        <v/>
      </c>
      <c r="T24" s="5">
        <f>IF(mos_metrics!H23="","",mos_metrics!H23)</f>
        <v/>
      </c>
      <c r="U24" s="2">
        <f>AND($J24,ISNUMBER(T24),correlation!$I$27=1)</f>
        <v/>
      </c>
      <c r="V24" s="5">
        <f>IF(U24,$F24,"")</f>
        <v/>
      </c>
      <c r="W24" s="5">
        <f>IF(U24,T24*correlation!$J$27,"")</f>
        <v/>
      </c>
      <c r="X24" s="5">
        <f>IF(AND(U24,ISNUMBER(correlation!$F$27)),W24*correlation!$F$27+correlation!$G$27,"")</f>
        <v/>
      </c>
      <c r="Y24" s="5">
        <f>IF(AND(U24,ISNUMBER(X24)),(V24-X24)^2,"")</f>
        <v/>
      </c>
      <c r="Z24" s="5">
        <f>IF(U24,1+SUMPRODUCT(--(calc!$U$3:$U$132=TRUE),--(calc!$V$3:$V$132&gt;V24))+(SUMPRODUCT(--(calc!$U$3:$U$132=TRUE),--(calc!$V$3:$V$132=V24))-1)/2,"")</f>
        <v/>
      </c>
      <c r="AA24" s="5">
        <f>IF(U24,1+SUMPRODUCT(--(calc!$U$3:$U$132=TRUE),--(calc!$W$3:$W$132&gt;W24))+(SUMPRODUCT(--(calc!$U$3:$U$132=TRUE),--(calc!$W$3:$W$132=W24))-1)/2,"")</f>
        <v/>
      </c>
      <c r="AB24" s="5">
        <f>IF(U24,SUMPRODUCT(--(calc!$U$3:$U$132=TRUE),--(ROW(calc!$U$3:$U$132)&gt;ROW(U24)),--(((calc!$Z$3:$Z$132&gt;Z24)*(calc!$AA$3:$AA$132&gt;AA24)+(calc!$Z$3:$Z$132&lt;Z24)*(calc!$AA$3:$AA$132&lt;AA24))&gt;0))-SUMPRODUCT(--(calc!$U$3:$U$132=TRUE),--(ROW(calc!$U$3:$U$132)&gt;ROW(U24)),--(((calc!$Z$3:$Z$132&gt;Z24)*(calc!$AA$3:$AA$132&lt;AA24)+(calc!$Z$3:$Z$132&lt;Z24)*(calc!$AA$3:$AA$132&gt;AA24))&gt;0)),0)</f>
        <v/>
      </c>
      <c r="AC24" s="5">
        <f>IF(mos_metrics!I23="","",mos_metrics!I23)</f>
        <v/>
      </c>
      <c r="AD24" s="2">
        <f>AND($J24,ISNUMBER(AC24),correlation!$I$28=1)</f>
        <v/>
      </c>
      <c r="AE24" s="5">
        <f>IF(AD24,$F24,"")</f>
        <v/>
      </c>
      <c r="AF24" s="5">
        <f>IF(AD24,AC24*correlation!$J$28,"")</f>
        <v/>
      </c>
      <c r="AG24" s="5">
        <f>IF(AND(AD24,ISNUMBER(correlation!$F$28)),AF24*correlation!$F$28+correlation!$G$28,"")</f>
        <v/>
      </c>
      <c r="AH24" s="5">
        <f>IF(AND(AD24,ISNUMBER(AG24)),(AE24-AG24)^2,"")</f>
        <v/>
      </c>
      <c r="AI24" s="5">
        <f>IF(AD24,1+SUMPRODUCT(--(calc!$AD$3:$AD$132=TRUE),--(calc!$AE$3:$AE$132&gt;AE24))+(SUMPRODUCT(--(calc!$AD$3:$AD$132=TRUE),--(calc!$AE$3:$AE$132=AE24))-1)/2,"")</f>
        <v/>
      </c>
      <c r="AJ24" s="5">
        <f>IF(AD24,1+SUMPRODUCT(--(calc!$AD$3:$AD$132=TRUE),--(calc!$AF$3:$AF$132&gt;AF24))+(SUMPRODUCT(--(calc!$AD$3:$AD$132=TRUE),--(calc!$AF$3:$AF$132=AF24))-1)/2,"")</f>
        <v/>
      </c>
      <c r="AK24" s="5">
        <f>IF(AD24,SUMPRODUCT(--(calc!$AD$3:$AD$132=TRUE),--(ROW(calc!$AD$3:$AD$132)&gt;ROW(AD24)),--(((calc!$AI$3:$AI$132&gt;AI24)*(calc!$AJ$3:$AJ$132&gt;AJ24)+(calc!$AI$3:$AI$132&lt;AI24)*(calc!$AJ$3:$AJ$132&lt;AJ24))&gt;0))-SUMPRODUCT(--(calc!$AD$3:$AD$132=TRUE),--(ROW(calc!$AD$3:$AD$132)&gt;ROW(AD24)),--(((calc!$AI$3:$AI$132&gt;AI24)*(calc!$AJ$3:$AJ$132&lt;AJ24)+(calc!$AI$3:$AI$132&lt;AI24)*(calc!$AJ$3:$AJ$132&gt;AJ24))&gt;0)),0)</f>
        <v/>
      </c>
      <c r="AL24" s="5">
        <f>IF(mos_metrics!J23="","",mos_metrics!J23)</f>
        <v/>
      </c>
      <c r="AM24" s="2">
        <f>AND($J24,ISNUMBER(AL24),correlation!$I$29=1)</f>
        <v/>
      </c>
      <c r="AN24" s="5">
        <f>IF(AM24,$F24,"")</f>
        <v/>
      </c>
      <c r="AO24" s="5">
        <f>IF(AM24,AL24*correlation!$J$29,"")</f>
        <v/>
      </c>
      <c r="AP24" s="5">
        <f>IF(AND(AM24,ISNUMBER(correlation!$F$29)),AO24*correlation!$F$29+correlation!$G$29,"")</f>
        <v/>
      </c>
      <c r="AQ24" s="5">
        <f>IF(AND(AM24,ISNUMBER(AP24)),(AN24-AP24)^2,"")</f>
        <v/>
      </c>
      <c r="AR24" s="5">
        <f>IF(AM24,1+SUMPRODUCT(--(calc!$AM$3:$AM$132=TRUE),--(calc!$AN$3:$AN$132&gt;AN24))+(SUMPRODUCT(--(calc!$AM$3:$AM$132=TRUE),--(calc!$AN$3:$AN$132=AN24))-1)/2,"")</f>
        <v/>
      </c>
      <c r="AS24" s="5">
        <f>IF(AM24,1+SUMPRODUCT(--(calc!$AM$3:$AM$132=TRUE),--(calc!$AO$3:$AO$132&gt;AO24))+(SUMPRODUCT(--(calc!$AM$3:$AM$132=TRUE),--(calc!$AO$3:$AO$132=AO24))-1)/2,"")</f>
        <v/>
      </c>
      <c r="AT24" s="5">
        <f>IF(AM24,SUMPRODUCT(--(calc!$AM$3:$AM$132=TRUE),--(ROW(calc!$AM$3:$AM$132)&gt;ROW(AM24)),--(((calc!$AR$3:$AR$132&gt;AR24)*(calc!$AS$3:$AS$132&gt;AS24)+(calc!$AR$3:$AR$132&lt;AR24)*(calc!$AS$3:$AS$132&lt;AS24))&gt;0))-SUMPRODUCT(--(calc!$AM$3:$AM$132=TRUE),--(ROW(calc!$AM$3:$AM$132)&gt;ROW(AM24)),--(((calc!$AR$3:$AR$132&gt;AR24)*(calc!$AS$3:$AS$132&lt;AS24)+(calc!$AR$3:$AR$132&lt;AR24)*(calc!$AS$3:$AS$132&gt;AS24))&gt;0)),0)</f>
        <v/>
      </c>
      <c r="AU24" s="5">
        <f>IF(mos_metrics!K23="","",mos_metrics!K23)</f>
        <v/>
      </c>
      <c r="AV24" s="2">
        <f>AND($J24,ISNUMBER(AU24),correlation!$I$30=1)</f>
        <v/>
      </c>
      <c r="AW24" s="5">
        <f>IF(AV24,$F24,"")</f>
        <v/>
      </c>
      <c r="AX24" s="5">
        <f>IF(AV24,AU24*correlation!$J$30,"")</f>
        <v/>
      </c>
      <c r="AY24" s="5">
        <f>IF(AND(AV24,ISNUMBER(correlation!$F$30)),AX24*correlation!$F$30+correlation!$G$30,"")</f>
        <v/>
      </c>
      <c r="AZ24" s="5">
        <f>IF(AND(AV24,ISNUMBER(AY24)),(AW24-AY24)^2,"")</f>
        <v/>
      </c>
      <c r="BA24" s="5">
        <f>IF(AV24,1+SUMPRODUCT(--(calc!$AV$3:$AV$132=TRUE),--(calc!$AW$3:$AW$132&gt;AW24))+(SUMPRODUCT(--(calc!$AV$3:$AV$132=TRUE),--(calc!$AW$3:$AW$132=AW24))-1)/2,"")</f>
        <v/>
      </c>
      <c r="BB24" s="5">
        <f>IF(AV24,1+SUMPRODUCT(--(calc!$AV$3:$AV$132=TRUE),--(calc!$AX$3:$AX$132&gt;AX24))+(SUMPRODUCT(--(calc!$AV$3:$AV$132=TRUE),--(calc!$AX$3:$AX$132=AX24))-1)/2,"")</f>
        <v/>
      </c>
      <c r="BC24" s="5">
        <f>IF(AV24,SUMPRODUCT(--(calc!$AV$3:$AV$132=TRUE),--(ROW(calc!$AV$3:$AV$132)&gt;ROW(AV24)),--(((calc!$BA$3:$BA$132&gt;BA24)*(calc!$BB$3:$BB$132&gt;BB24)+(calc!$BA$3:$BA$132&lt;BA24)*(calc!$BB$3:$BB$132&lt;BB24))&gt;0))-SUMPRODUCT(--(calc!$AV$3:$AV$132=TRUE),--(ROW(calc!$AV$3:$AV$132)&gt;ROW(AV24)),--(((calc!$BA$3:$BA$132&gt;BA24)*(calc!$BB$3:$BB$132&lt;BB24)+(calc!$BA$3:$BA$132&lt;BA24)*(calc!$BB$3:$BB$132&gt;BB24))&gt;0)),0)</f>
        <v/>
      </c>
      <c r="BD24" s="5">
        <f>IF(mos_metrics!L23="","",mos_metrics!L23)</f>
        <v/>
      </c>
      <c r="BE24" s="2">
        <f>AND($J24,ISNUMBER(BD24),correlation!$I$31=1)</f>
        <v/>
      </c>
      <c r="BF24" s="5">
        <f>IF(BE24,$F24,"")</f>
        <v/>
      </c>
      <c r="BG24" s="5">
        <f>IF(BE24,BD24*correlation!$J$31,"")</f>
        <v/>
      </c>
      <c r="BH24" s="5">
        <f>IF(AND(BE24,ISNUMBER(correlation!$F$31)),BG24*correlation!$F$31+correlation!$G$31,"")</f>
        <v/>
      </c>
      <c r="BI24" s="5">
        <f>IF(AND(BE24,ISNUMBER(BH24)),(BF24-BH24)^2,"")</f>
        <v/>
      </c>
      <c r="BJ24" s="5">
        <f>IF(BE24,1+SUMPRODUCT(--(calc!$BE$3:$BE$132=TRUE),--(calc!$BF$3:$BF$132&gt;BF24))+(SUMPRODUCT(--(calc!$BE$3:$BE$132=TRUE),--(calc!$BF$3:$BF$132=BF24))-1)/2,"")</f>
        <v/>
      </c>
      <c r="BK24" s="5">
        <f>IF(BE24,1+SUMPRODUCT(--(calc!$BE$3:$BE$132=TRUE),--(calc!$BG$3:$BG$132&gt;BG24))+(SUMPRODUCT(--(calc!$BE$3:$BE$132=TRUE),--(calc!$BG$3:$BG$132=BG24))-1)/2,"")</f>
        <v/>
      </c>
      <c r="BL24" s="5">
        <f>IF(BE24,SUMPRODUCT(--(calc!$BE$3:$BE$132=TRUE),--(ROW(calc!$BE$3:$BE$132)&gt;ROW(BE24)),--(((calc!$BJ$3:$BJ$132&gt;BJ24)*(calc!$BK$3:$BK$132&gt;BK24)+(calc!$BJ$3:$BJ$132&lt;BJ24)*(calc!$BK$3:$BK$132&lt;BK24))&gt;0))-SUMPRODUCT(--(calc!$BE$3:$BE$132=TRUE),--(ROW(calc!$BE$3:$BE$132)&gt;ROW(BE24)),--(((calc!$BJ$3:$BJ$132&gt;BJ24)*(calc!$BK$3:$BK$132&lt;BK24)+(calc!$BJ$3:$BJ$132&lt;BJ24)*(calc!$BK$3:$BK$132&gt;BK24))&gt;0)),0)</f>
        <v/>
      </c>
      <c r="BM24" s="5">
        <f>IF(mos_metrics!M23="","",mos_metrics!M23)</f>
        <v/>
      </c>
      <c r="BN24" s="2">
        <f>AND($J24,ISNUMBER(BM24),correlation!$I$32=1)</f>
        <v/>
      </c>
      <c r="BO24" s="5">
        <f>IF(BN24,$F24,"")</f>
        <v/>
      </c>
      <c r="BP24" s="5">
        <f>IF(BN24,BM24*correlation!$J$32,"")</f>
        <v/>
      </c>
      <c r="BQ24" s="5">
        <f>IF(AND(BN24,ISNUMBER(correlation!$F$32)),BP24*correlation!$F$32+correlation!$G$32,"")</f>
        <v/>
      </c>
      <c r="BR24" s="5">
        <f>IF(AND(BN24,ISNUMBER(BQ24)),(BO24-BQ24)^2,"")</f>
        <v/>
      </c>
      <c r="BS24" s="5">
        <f>IF(BN24,1+SUMPRODUCT(--(calc!$BN$3:$BN$132=TRUE),--(calc!$BO$3:$BO$132&gt;BO24))+(SUMPRODUCT(--(calc!$BN$3:$BN$132=TRUE),--(calc!$BO$3:$BO$132=BO24))-1)/2,"")</f>
        <v/>
      </c>
      <c r="BT24" s="5">
        <f>IF(BN24,1+SUMPRODUCT(--(calc!$BN$3:$BN$132=TRUE),--(calc!$BP$3:$BP$132&gt;BP24))+(SUMPRODUCT(--(calc!$BN$3:$BN$132=TRUE),--(calc!$BP$3:$BP$132=BP24))-1)/2,"")</f>
        <v/>
      </c>
      <c r="BU24" s="5">
        <f>IF(BN24,SUMPRODUCT(--(calc!$BN$3:$BN$132=TRUE),--(ROW(calc!$BN$3:$BN$132)&gt;ROW(BN24)),--(((calc!$BS$3:$BS$132&gt;BS24)*(calc!$BT$3:$BT$132&gt;BT24)+(calc!$BS$3:$BS$132&lt;BS24)*(calc!$BT$3:$BT$132&lt;BT24))&gt;0))-SUMPRODUCT(--(calc!$BN$3:$BN$132=TRUE),--(ROW(calc!$BN$3:$BN$132)&gt;ROW(BN24)),--(((calc!$BS$3:$BS$132&gt;BS24)*(calc!$BT$3:$BT$132&lt;BT24)+(calc!$BS$3:$BS$132&lt;BS24)*(calc!$BT$3:$BT$132&gt;BT24))&gt;0)),0)</f>
        <v/>
      </c>
    </row>
    <row r="25">
      <c r="A25" s="2">
        <f>mos_metrics!A24</f>
        <v/>
      </c>
      <c r="B25" s="2">
        <f>mos_metrics!B24</f>
        <v/>
      </c>
      <c r="C25" s="2">
        <f>mos_metrics!C24</f>
        <v/>
      </c>
      <c r="D25" s="2">
        <f>mos_metrics!D24</f>
        <v/>
      </c>
      <c r="E25" s="2">
        <f>mos_metrics!E24</f>
        <v/>
      </c>
      <c r="F25" s="2">
        <f>mos_metrics!F24</f>
        <v/>
      </c>
      <c r="G25" s="2">
        <f>IF($B25="","",IFERROR(VLOOKUP($B25,correlation!$A$2:$B$12,2,FALSE),1))</f>
        <v/>
      </c>
      <c r="H25" s="2">
        <f>IF($E25="","",IFERROR(VLOOKUP($E25,correlation!$D$2:$E$8,2,FALSE),1))</f>
        <v/>
      </c>
      <c r="I25" s="2">
        <f>ISNUMBER($F25)</f>
        <v/>
      </c>
      <c r="J25" s="2">
        <f>AND($G25=1,$H25=1,$I25)</f>
        <v/>
      </c>
      <c r="K25" s="5">
        <f>IF(mos_metrics!G24="","",mos_metrics!G24)</f>
        <v/>
      </c>
      <c r="L25" s="2">
        <f>AND($J25,ISNUMBER(K25),correlation!$I$26=1)</f>
        <v/>
      </c>
      <c r="M25" s="5">
        <f>IF(L25,$F25,"")</f>
        <v/>
      </c>
      <c r="N25" s="5">
        <f>IF(L25,K25*correlation!$J$26,"")</f>
        <v/>
      </c>
      <c r="O25" s="5">
        <f>IF(AND(L25,ISNUMBER(correlation!$F$26)),N25*correlation!$F$26+correlation!$G$26,"")</f>
        <v/>
      </c>
      <c r="P25" s="5">
        <f>IF(AND(L25,ISNUMBER(O25)),(M25-O25)^2,"")</f>
        <v/>
      </c>
      <c r="Q25" s="5">
        <f>IF(L25,1+SUMPRODUCT(--(calc!$L$3:$L$132=TRUE),--(calc!$M$3:$M$132&gt;M25))+(SUMPRODUCT(--(calc!$L$3:$L$132=TRUE),--(calc!$M$3:$M$132=M25))-1)/2,"")</f>
        <v/>
      </c>
      <c r="R25" s="5">
        <f>IF(L25,1+SUMPRODUCT(--(calc!$L$3:$L$132=TRUE),--(calc!$N$3:$N$132&gt;N25))+(SUMPRODUCT(--(calc!$L$3:$L$132=TRUE),--(calc!$N$3:$N$132=N25))-1)/2,"")</f>
        <v/>
      </c>
      <c r="S25" s="5">
        <f>IF(L25,SUMPRODUCT(--(calc!$L$3:$L$132=TRUE),--(ROW(calc!$L$3:$L$132)&gt;ROW(L25)),--(((calc!$Q$3:$Q$132&gt;Q25)*(calc!$R$3:$R$132&gt;R25)+(calc!$Q$3:$Q$132&lt;Q25)*(calc!$R$3:$R$132&lt;R25))&gt;0))-SUMPRODUCT(--(calc!$L$3:$L$132=TRUE),--(ROW(calc!$L$3:$L$132)&gt;ROW(L25)),--(((calc!$Q$3:$Q$132&gt;Q25)*(calc!$R$3:$R$132&lt;R25)+(calc!$Q$3:$Q$132&lt;Q25)*(calc!$R$3:$R$132&gt;R25))&gt;0)),0)</f>
        <v/>
      </c>
      <c r="T25" s="5">
        <f>IF(mos_metrics!H24="","",mos_metrics!H24)</f>
        <v/>
      </c>
      <c r="U25" s="2">
        <f>AND($J25,ISNUMBER(T25),correlation!$I$27=1)</f>
        <v/>
      </c>
      <c r="V25" s="5">
        <f>IF(U25,$F25,"")</f>
        <v/>
      </c>
      <c r="W25" s="5">
        <f>IF(U25,T25*correlation!$J$27,"")</f>
        <v/>
      </c>
      <c r="X25" s="5">
        <f>IF(AND(U25,ISNUMBER(correlation!$F$27)),W25*correlation!$F$27+correlation!$G$27,"")</f>
        <v/>
      </c>
      <c r="Y25" s="5">
        <f>IF(AND(U25,ISNUMBER(X25)),(V25-X25)^2,"")</f>
        <v/>
      </c>
      <c r="Z25" s="5">
        <f>IF(U25,1+SUMPRODUCT(--(calc!$U$3:$U$132=TRUE),--(calc!$V$3:$V$132&gt;V25))+(SUMPRODUCT(--(calc!$U$3:$U$132=TRUE),--(calc!$V$3:$V$132=V25))-1)/2,"")</f>
        <v/>
      </c>
      <c r="AA25" s="5">
        <f>IF(U25,1+SUMPRODUCT(--(calc!$U$3:$U$132=TRUE),--(calc!$W$3:$W$132&gt;W25))+(SUMPRODUCT(--(calc!$U$3:$U$132=TRUE),--(calc!$W$3:$W$132=W25))-1)/2,"")</f>
        <v/>
      </c>
      <c r="AB25" s="5">
        <f>IF(U25,SUMPRODUCT(--(calc!$U$3:$U$132=TRUE),--(ROW(calc!$U$3:$U$132)&gt;ROW(U25)),--(((calc!$Z$3:$Z$132&gt;Z25)*(calc!$AA$3:$AA$132&gt;AA25)+(calc!$Z$3:$Z$132&lt;Z25)*(calc!$AA$3:$AA$132&lt;AA25))&gt;0))-SUMPRODUCT(--(calc!$U$3:$U$132=TRUE),--(ROW(calc!$U$3:$U$132)&gt;ROW(U25)),--(((calc!$Z$3:$Z$132&gt;Z25)*(calc!$AA$3:$AA$132&lt;AA25)+(calc!$Z$3:$Z$132&lt;Z25)*(calc!$AA$3:$AA$132&gt;AA25))&gt;0)),0)</f>
        <v/>
      </c>
      <c r="AC25" s="5">
        <f>IF(mos_metrics!I24="","",mos_metrics!I24)</f>
        <v/>
      </c>
      <c r="AD25" s="2">
        <f>AND($J25,ISNUMBER(AC25),correlation!$I$28=1)</f>
        <v/>
      </c>
      <c r="AE25" s="5">
        <f>IF(AD25,$F25,"")</f>
        <v/>
      </c>
      <c r="AF25" s="5">
        <f>IF(AD25,AC25*correlation!$J$28,"")</f>
        <v/>
      </c>
      <c r="AG25" s="5">
        <f>IF(AND(AD25,ISNUMBER(correlation!$F$28)),AF25*correlation!$F$28+correlation!$G$28,"")</f>
        <v/>
      </c>
      <c r="AH25" s="5">
        <f>IF(AND(AD25,ISNUMBER(AG25)),(AE25-AG25)^2,"")</f>
        <v/>
      </c>
      <c r="AI25" s="5">
        <f>IF(AD25,1+SUMPRODUCT(--(calc!$AD$3:$AD$132=TRUE),--(calc!$AE$3:$AE$132&gt;AE25))+(SUMPRODUCT(--(calc!$AD$3:$AD$132=TRUE),--(calc!$AE$3:$AE$132=AE25))-1)/2,"")</f>
        <v/>
      </c>
      <c r="AJ25" s="5">
        <f>IF(AD25,1+SUMPRODUCT(--(calc!$AD$3:$AD$132=TRUE),--(calc!$AF$3:$AF$132&gt;AF25))+(SUMPRODUCT(--(calc!$AD$3:$AD$132=TRUE),--(calc!$AF$3:$AF$132=AF25))-1)/2,"")</f>
        <v/>
      </c>
      <c r="AK25" s="5">
        <f>IF(AD25,SUMPRODUCT(--(calc!$AD$3:$AD$132=TRUE),--(ROW(calc!$AD$3:$AD$132)&gt;ROW(AD25)),--(((calc!$AI$3:$AI$132&gt;AI25)*(calc!$AJ$3:$AJ$132&gt;AJ25)+(calc!$AI$3:$AI$132&lt;AI25)*(calc!$AJ$3:$AJ$132&lt;AJ25))&gt;0))-SUMPRODUCT(--(calc!$AD$3:$AD$132=TRUE),--(ROW(calc!$AD$3:$AD$132)&gt;ROW(AD25)),--(((calc!$AI$3:$AI$132&gt;AI25)*(calc!$AJ$3:$AJ$132&lt;AJ25)+(calc!$AI$3:$AI$132&lt;AI25)*(calc!$AJ$3:$AJ$132&gt;AJ25))&gt;0)),0)</f>
        <v/>
      </c>
      <c r="AL25" s="5">
        <f>IF(mos_metrics!J24="","",mos_metrics!J24)</f>
        <v/>
      </c>
      <c r="AM25" s="2">
        <f>AND($J25,ISNUMBER(AL25),correlation!$I$29=1)</f>
        <v/>
      </c>
      <c r="AN25" s="5">
        <f>IF(AM25,$F25,"")</f>
        <v/>
      </c>
      <c r="AO25" s="5">
        <f>IF(AM25,AL25*correlation!$J$29,"")</f>
        <v/>
      </c>
      <c r="AP25" s="5">
        <f>IF(AND(AM25,ISNUMBER(correlation!$F$29)),AO25*correlation!$F$29+correlation!$G$29,"")</f>
        <v/>
      </c>
      <c r="AQ25" s="5">
        <f>IF(AND(AM25,ISNUMBER(AP25)),(AN25-AP25)^2,"")</f>
        <v/>
      </c>
      <c r="AR25" s="5">
        <f>IF(AM25,1+SUMPRODUCT(--(calc!$AM$3:$AM$132=TRUE),--(calc!$AN$3:$AN$132&gt;AN25))+(SUMPRODUCT(--(calc!$AM$3:$AM$132=TRUE),--(calc!$AN$3:$AN$132=AN25))-1)/2,"")</f>
        <v/>
      </c>
      <c r="AS25" s="5">
        <f>IF(AM25,1+SUMPRODUCT(--(calc!$AM$3:$AM$132=TRUE),--(calc!$AO$3:$AO$132&gt;AO25))+(SUMPRODUCT(--(calc!$AM$3:$AM$132=TRUE),--(calc!$AO$3:$AO$132=AO25))-1)/2,"")</f>
        <v/>
      </c>
      <c r="AT25" s="5">
        <f>IF(AM25,SUMPRODUCT(--(calc!$AM$3:$AM$132=TRUE),--(ROW(calc!$AM$3:$AM$132)&gt;ROW(AM25)),--(((calc!$AR$3:$AR$132&gt;AR25)*(calc!$AS$3:$AS$132&gt;AS25)+(calc!$AR$3:$AR$132&lt;AR25)*(calc!$AS$3:$AS$132&lt;AS25))&gt;0))-SUMPRODUCT(--(calc!$AM$3:$AM$132=TRUE),--(ROW(calc!$AM$3:$AM$132)&gt;ROW(AM25)),--(((calc!$AR$3:$AR$132&gt;AR25)*(calc!$AS$3:$AS$132&lt;AS25)+(calc!$AR$3:$AR$132&lt;AR25)*(calc!$AS$3:$AS$132&gt;AS25))&gt;0)),0)</f>
        <v/>
      </c>
      <c r="AU25" s="5">
        <f>IF(mos_metrics!K24="","",mos_metrics!K24)</f>
        <v/>
      </c>
      <c r="AV25" s="2">
        <f>AND($J25,ISNUMBER(AU25),correlation!$I$30=1)</f>
        <v/>
      </c>
      <c r="AW25" s="5">
        <f>IF(AV25,$F25,"")</f>
        <v/>
      </c>
      <c r="AX25" s="5">
        <f>IF(AV25,AU25*correlation!$J$30,"")</f>
        <v/>
      </c>
      <c r="AY25" s="5">
        <f>IF(AND(AV25,ISNUMBER(correlation!$F$30)),AX25*correlation!$F$30+correlation!$G$30,"")</f>
        <v/>
      </c>
      <c r="AZ25" s="5">
        <f>IF(AND(AV25,ISNUMBER(AY25)),(AW25-AY25)^2,"")</f>
        <v/>
      </c>
      <c r="BA25" s="5">
        <f>IF(AV25,1+SUMPRODUCT(--(calc!$AV$3:$AV$132=TRUE),--(calc!$AW$3:$AW$132&gt;AW25))+(SUMPRODUCT(--(calc!$AV$3:$AV$132=TRUE),--(calc!$AW$3:$AW$132=AW25))-1)/2,"")</f>
        <v/>
      </c>
      <c r="BB25" s="5">
        <f>IF(AV25,1+SUMPRODUCT(--(calc!$AV$3:$AV$132=TRUE),--(calc!$AX$3:$AX$132&gt;AX25))+(SUMPRODUCT(--(calc!$AV$3:$AV$132=TRUE),--(calc!$AX$3:$AX$132=AX25))-1)/2,"")</f>
        <v/>
      </c>
      <c r="BC25" s="5">
        <f>IF(AV25,SUMPRODUCT(--(calc!$AV$3:$AV$132=TRUE),--(ROW(calc!$AV$3:$AV$132)&gt;ROW(AV25)),--(((calc!$BA$3:$BA$132&gt;BA25)*(calc!$BB$3:$BB$132&gt;BB25)+(calc!$BA$3:$BA$132&lt;BA25)*(calc!$BB$3:$BB$132&lt;BB25))&gt;0))-SUMPRODUCT(--(calc!$AV$3:$AV$132=TRUE),--(ROW(calc!$AV$3:$AV$132)&gt;ROW(AV25)),--(((calc!$BA$3:$BA$132&gt;BA25)*(calc!$BB$3:$BB$132&lt;BB25)+(calc!$BA$3:$BA$132&lt;BA25)*(calc!$BB$3:$BB$132&gt;BB25))&gt;0)),0)</f>
        <v/>
      </c>
      <c r="BD25" s="5">
        <f>IF(mos_metrics!L24="","",mos_metrics!L24)</f>
        <v/>
      </c>
      <c r="BE25" s="2">
        <f>AND($J25,ISNUMBER(BD25),correlation!$I$31=1)</f>
        <v/>
      </c>
      <c r="BF25" s="5">
        <f>IF(BE25,$F25,"")</f>
        <v/>
      </c>
      <c r="BG25" s="5">
        <f>IF(BE25,BD25*correlation!$J$31,"")</f>
        <v/>
      </c>
      <c r="BH25" s="5">
        <f>IF(AND(BE25,ISNUMBER(correlation!$F$31)),BG25*correlation!$F$31+correlation!$G$31,"")</f>
        <v/>
      </c>
      <c r="BI25" s="5">
        <f>IF(AND(BE25,ISNUMBER(BH25)),(BF25-BH25)^2,"")</f>
        <v/>
      </c>
      <c r="BJ25" s="5">
        <f>IF(BE25,1+SUMPRODUCT(--(calc!$BE$3:$BE$132=TRUE),--(calc!$BF$3:$BF$132&gt;BF25))+(SUMPRODUCT(--(calc!$BE$3:$BE$132=TRUE),--(calc!$BF$3:$BF$132=BF25))-1)/2,"")</f>
        <v/>
      </c>
      <c r="BK25" s="5">
        <f>IF(BE25,1+SUMPRODUCT(--(calc!$BE$3:$BE$132=TRUE),--(calc!$BG$3:$BG$132&gt;BG25))+(SUMPRODUCT(--(calc!$BE$3:$BE$132=TRUE),--(calc!$BG$3:$BG$132=BG25))-1)/2,"")</f>
        <v/>
      </c>
      <c r="BL25" s="5">
        <f>IF(BE25,SUMPRODUCT(--(calc!$BE$3:$BE$132=TRUE),--(ROW(calc!$BE$3:$BE$132)&gt;ROW(BE25)),--(((calc!$BJ$3:$BJ$132&gt;BJ25)*(calc!$BK$3:$BK$132&gt;BK25)+(calc!$BJ$3:$BJ$132&lt;BJ25)*(calc!$BK$3:$BK$132&lt;BK25))&gt;0))-SUMPRODUCT(--(calc!$BE$3:$BE$132=TRUE),--(ROW(calc!$BE$3:$BE$132)&gt;ROW(BE25)),--(((calc!$BJ$3:$BJ$132&gt;BJ25)*(calc!$BK$3:$BK$132&lt;BK25)+(calc!$BJ$3:$BJ$132&lt;BJ25)*(calc!$BK$3:$BK$132&gt;BK25))&gt;0)),0)</f>
        <v/>
      </c>
      <c r="BM25" s="5">
        <f>IF(mos_metrics!M24="","",mos_metrics!M24)</f>
        <v/>
      </c>
      <c r="BN25" s="2">
        <f>AND($J25,ISNUMBER(BM25),correlation!$I$32=1)</f>
        <v/>
      </c>
      <c r="BO25" s="5">
        <f>IF(BN25,$F25,"")</f>
        <v/>
      </c>
      <c r="BP25" s="5">
        <f>IF(BN25,BM25*correlation!$J$32,"")</f>
        <v/>
      </c>
      <c r="BQ25" s="5">
        <f>IF(AND(BN25,ISNUMBER(correlation!$F$32)),BP25*correlation!$F$32+correlation!$G$32,"")</f>
        <v/>
      </c>
      <c r="BR25" s="5">
        <f>IF(AND(BN25,ISNUMBER(BQ25)),(BO25-BQ25)^2,"")</f>
        <v/>
      </c>
      <c r="BS25" s="5">
        <f>IF(BN25,1+SUMPRODUCT(--(calc!$BN$3:$BN$132=TRUE),--(calc!$BO$3:$BO$132&gt;BO25))+(SUMPRODUCT(--(calc!$BN$3:$BN$132=TRUE),--(calc!$BO$3:$BO$132=BO25))-1)/2,"")</f>
        <v/>
      </c>
      <c r="BT25" s="5">
        <f>IF(BN25,1+SUMPRODUCT(--(calc!$BN$3:$BN$132=TRUE),--(calc!$BP$3:$BP$132&gt;BP25))+(SUMPRODUCT(--(calc!$BN$3:$BN$132=TRUE),--(calc!$BP$3:$BP$132=BP25))-1)/2,"")</f>
        <v/>
      </c>
      <c r="BU25" s="5">
        <f>IF(BN25,SUMPRODUCT(--(calc!$BN$3:$BN$132=TRUE),--(ROW(calc!$BN$3:$BN$132)&gt;ROW(BN25)),--(((calc!$BS$3:$BS$132&gt;BS25)*(calc!$BT$3:$BT$132&gt;BT25)+(calc!$BS$3:$BS$132&lt;BS25)*(calc!$BT$3:$BT$132&lt;BT25))&gt;0))-SUMPRODUCT(--(calc!$BN$3:$BN$132=TRUE),--(ROW(calc!$BN$3:$BN$132)&gt;ROW(BN25)),--(((calc!$BS$3:$BS$132&gt;BS25)*(calc!$BT$3:$BT$132&lt;BT25)+(calc!$BS$3:$BS$132&lt;BS25)*(calc!$BT$3:$BT$132&gt;BT25))&gt;0)),0)</f>
        <v/>
      </c>
    </row>
    <row r="26">
      <c r="A26" s="2">
        <f>mos_metrics!A25</f>
        <v/>
      </c>
      <c r="B26" s="2">
        <f>mos_metrics!B25</f>
        <v/>
      </c>
      <c r="C26" s="2">
        <f>mos_metrics!C25</f>
        <v/>
      </c>
      <c r="D26" s="2">
        <f>mos_metrics!D25</f>
        <v/>
      </c>
      <c r="E26" s="2">
        <f>mos_metrics!E25</f>
        <v/>
      </c>
      <c r="F26" s="2">
        <f>mos_metrics!F25</f>
        <v/>
      </c>
      <c r="G26" s="2">
        <f>IF($B26="","",IFERROR(VLOOKUP($B26,correlation!$A$2:$B$12,2,FALSE),1))</f>
        <v/>
      </c>
      <c r="H26" s="2">
        <f>IF($E26="","",IFERROR(VLOOKUP($E26,correlation!$D$2:$E$8,2,FALSE),1))</f>
        <v/>
      </c>
      <c r="I26" s="2">
        <f>ISNUMBER($F26)</f>
        <v/>
      </c>
      <c r="J26" s="2">
        <f>AND($G26=1,$H26=1,$I26)</f>
        <v/>
      </c>
      <c r="K26" s="5">
        <f>IF(mos_metrics!G25="","",mos_metrics!G25)</f>
        <v/>
      </c>
      <c r="L26" s="2">
        <f>AND($J26,ISNUMBER(K26),correlation!$I$26=1)</f>
        <v/>
      </c>
      <c r="M26" s="5">
        <f>IF(L26,$F26,"")</f>
        <v/>
      </c>
      <c r="N26" s="5">
        <f>IF(L26,K26*correlation!$J$26,"")</f>
        <v/>
      </c>
      <c r="O26" s="5">
        <f>IF(AND(L26,ISNUMBER(correlation!$F$26)),N26*correlation!$F$26+correlation!$G$26,"")</f>
        <v/>
      </c>
      <c r="P26" s="5">
        <f>IF(AND(L26,ISNUMBER(O26)),(M26-O26)^2,"")</f>
        <v/>
      </c>
      <c r="Q26" s="5">
        <f>IF(L26,1+SUMPRODUCT(--(calc!$L$3:$L$132=TRUE),--(calc!$M$3:$M$132&gt;M26))+(SUMPRODUCT(--(calc!$L$3:$L$132=TRUE),--(calc!$M$3:$M$132=M26))-1)/2,"")</f>
        <v/>
      </c>
      <c r="R26" s="5">
        <f>IF(L26,1+SUMPRODUCT(--(calc!$L$3:$L$132=TRUE),--(calc!$N$3:$N$132&gt;N26))+(SUMPRODUCT(--(calc!$L$3:$L$132=TRUE),--(calc!$N$3:$N$132=N26))-1)/2,"")</f>
        <v/>
      </c>
      <c r="S26" s="5">
        <f>IF(L26,SUMPRODUCT(--(calc!$L$3:$L$132=TRUE),--(ROW(calc!$L$3:$L$132)&gt;ROW(L26)),--(((calc!$Q$3:$Q$132&gt;Q26)*(calc!$R$3:$R$132&gt;R26)+(calc!$Q$3:$Q$132&lt;Q26)*(calc!$R$3:$R$132&lt;R26))&gt;0))-SUMPRODUCT(--(calc!$L$3:$L$132=TRUE),--(ROW(calc!$L$3:$L$132)&gt;ROW(L26)),--(((calc!$Q$3:$Q$132&gt;Q26)*(calc!$R$3:$R$132&lt;R26)+(calc!$Q$3:$Q$132&lt;Q26)*(calc!$R$3:$R$132&gt;R26))&gt;0)),0)</f>
        <v/>
      </c>
      <c r="T26" s="5">
        <f>IF(mos_metrics!H25="","",mos_metrics!H25)</f>
        <v/>
      </c>
      <c r="U26" s="2">
        <f>AND($J26,ISNUMBER(T26),correlation!$I$27=1)</f>
        <v/>
      </c>
      <c r="V26" s="5">
        <f>IF(U26,$F26,"")</f>
        <v/>
      </c>
      <c r="W26" s="5">
        <f>IF(U26,T26*correlation!$J$27,"")</f>
        <v/>
      </c>
      <c r="X26" s="5">
        <f>IF(AND(U26,ISNUMBER(correlation!$F$27)),W26*correlation!$F$27+correlation!$G$27,"")</f>
        <v/>
      </c>
      <c r="Y26" s="5">
        <f>IF(AND(U26,ISNUMBER(X26)),(V26-X26)^2,"")</f>
        <v/>
      </c>
      <c r="Z26" s="5">
        <f>IF(U26,1+SUMPRODUCT(--(calc!$U$3:$U$132=TRUE),--(calc!$V$3:$V$132&gt;V26))+(SUMPRODUCT(--(calc!$U$3:$U$132=TRUE),--(calc!$V$3:$V$132=V26))-1)/2,"")</f>
        <v/>
      </c>
      <c r="AA26" s="5">
        <f>IF(U26,1+SUMPRODUCT(--(calc!$U$3:$U$132=TRUE),--(calc!$W$3:$W$132&gt;W26))+(SUMPRODUCT(--(calc!$U$3:$U$132=TRUE),--(calc!$W$3:$W$132=W26))-1)/2,"")</f>
        <v/>
      </c>
      <c r="AB26" s="5">
        <f>IF(U26,SUMPRODUCT(--(calc!$U$3:$U$132=TRUE),--(ROW(calc!$U$3:$U$132)&gt;ROW(U26)),--(((calc!$Z$3:$Z$132&gt;Z26)*(calc!$AA$3:$AA$132&gt;AA26)+(calc!$Z$3:$Z$132&lt;Z26)*(calc!$AA$3:$AA$132&lt;AA26))&gt;0))-SUMPRODUCT(--(calc!$U$3:$U$132=TRUE),--(ROW(calc!$U$3:$U$132)&gt;ROW(U26)),--(((calc!$Z$3:$Z$132&gt;Z26)*(calc!$AA$3:$AA$132&lt;AA26)+(calc!$Z$3:$Z$132&lt;Z26)*(calc!$AA$3:$AA$132&gt;AA26))&gt;0)),0)</f>
        <v/>
      </c>
      <c r="AC26" s="5">
        <f>IF(mos_metrics!I25="","",mos_metrics!I25)</f>
        <v/>
      </c>
      <c r="AD26" s="2">
        <f>AND($J26,ISNUMBER(AC26),correlation!$I$28=1)</f>
        <v/>
      </c>
      <c r="AE26" s="5">
        <f>IF(AD26,$F26,"")</f>
        <v/>
      </c>
      <c r="AF26" s="5">
        <f>IF(AD26,AC26*correlation!$J$28,"")</f>
        <v/>
      </c>
      <c r="AG26" s="5">
        <f>IF(AND(AD26,ISNUMBER(correlation!$F$28)),AF26*correlation!$F$28+correlation!$G$28,"")</f>
        <v/>
      </c>
      <c r="AH26" s="5">
        <f>IF(AND(AD26,ISNUMBER(AG26)),(AE26-AG26)^2,"")</f>
        <v/>
      </c>
      <c r="AI26" s="5">
        <f>IF(AD26,1+SUMPRODUCT(--(calc!$AD$3:$AD$132=TRUE),--(calc!$AE$3:$AE$132&gt;AE26))+(SUMPRODUCT(--(calc!$AD$3:$AD$132=TRUE),--(calc!$AE$3:$AE$132=AE26))-1)/2,"")</f>
        <v/>
      </c>
      <c r="AJ26" s="5">
        <f>IF(AD26,1+SUMPRODUCT(--(calc!$AD$3:$AD$132=TRUE),--(calc!$AF$3:$AF$132&gt;AF26))+(SUMPRODUCT(--(calc!$AD$3:$AD$132=TRUE),--(calc!$AF$3:$AF$132=AF26))-1)/2,"")</f>
        <v/>
      </c>
      <c r="AK26" s="5">
        <f>IF(AD26,SUMPRODUCT(--(calc!$AD$3:$AD$132=TRUE),--(ROW(calc!$AD$3:$AD$132)&gt;ROW(AD26)),--(((calc!$AI$3:$AI$132&gt;AI26)*(calc!$AJ$3:$AJ$132&gt;AJ26)+(calc!$AI$3:$AI$132&lt;AI26)*(calc!$AJ$3:$AJ$132&lt;AJ26))&gt;0))-SUMPRODUCT(--(calc!$AD$3:$AD$132=TRUE),--(ROW(calc!$AD$3:$AD$132)&gt;ROW(AD26)),--(((calc!$AI$3:$AI$132&gt;AI26)*(calc!$AJ$3:$AJ$132&lt;AJ26)+(calc!$AI$3:$AI$132&lt;AI26)*(calc!$AJ$3:$AJ$132&gt;AJ26))&gt;0)),0)</f>
        <v/>
      </c>
      <c r="AL26" s="5">
        <f>IF(mos_metrics!J25="","",mos_metrics!J25)</f>
        <v/>
      </c>
      <c r="AM26" s="2">
        <f>AND($J26,ISNUMBER(AL26),correlation!$I$29=1)</f>
        <v/>
      </c>
      <c r="AN26" s="5">
        <f>IF(AM26,$F26,"")</f>
        <v/>
      </c>
      <c r="AO26" s="5">
        <f>IF(AM26,AL26*correlation!$J$29,"")</f>
        <v/>
      </c>
      <c r="AP26" s="5">
        <f>IF(AND(AM26,ISNUMBER(correlation!$F$29)),AO26*correlation!$F$29+correlation!$G$29,"")</f>
        <v/>
      </c>
      <c r="AQ26" s="5">
        <f>IF(AND(AM26,ISNUMBER(AP26)),(AN26-AP26)^2,"")</f>
        <v/>
      </c>
      <c r="AR26" s="5">
        <f>IF(AM26,1+SUMPRODUCT(--(calc!$AM$3:$AM$132=TRUE),--(calc!$AN$3:$AN$132&gt;AN26))+(SUMPRODUCT(--(calc!$AM$3:$AM$132=TRUE),--(calc!$AN$3:$AN$132=AN26))-1)/2,"")</f>
        <v/>
      </c>
      <c r="AS26" s="5">
        <f>IF(AM26,1+SUMPRODUCT(--(calc!$AM$3:$AM$132=TRUE),--(calc!$AO$3:$AO$132&gt;AO26))+(SUMPRODUCT(--(calc!$AM$3:$AM$132=TRUE),--(calc!$AO$3:$AO$132=AO26))-1)/2,"")</f>
        <v/>
      </c>
      <c r="AT26" s="5">
        <f>IF(AM26,SUMPRODUCT(--(calc!$AM$3:$AM$132=TRUE),--(ROW(calc!$AM$3:$AM$132)&gt;ROW(AM26)),--(((calc!$AR$3:$AR$132&gt;AR26)*(calc!$AS$3:$AS$132&gt;AS26)+(calc!$AR$3:$AR$132&lt;AR26)*(calc!$AS$3:$AS$132&lt;AS26))&gt;0))-SUMPRODUCT(--(calc!$AM$3:$AM$132=TRUE),--(ROW(calc!$AM$3:$AM$132)&gt;ROW(AM26)),--(((calc!$AR$3:$AR$132&gt;AR26)*(calc!$AS$3:$AS$132&lt;AS26)+(calc!$AR$3:$AR$132&lt;AR26)*(calc!$AS$3:$AS$132&gt;AS26))&gt;0)),0)</f>
        <v/>
      </c>
      <c r="AU26" s="5">
        <f>IF(mos_metrics!K25="","",mos_metrics!K25)</f>
        <v/>
      </c>
      <c r="AV26" s="2">
        <f>AND($J26,ISNUMBER(AU26),correlation!$I$30=1)</f>
        <v/>
      </c>
      <c r="AW26" s="5">
        <f>IF(AV26,$F26,"")</f>
        <v/>
      </c>
      <c r="AX26" s="5">
        <f>IF(AV26,AU26*correlation!$J$30,"")</f>
        <v/>
      </c>
      <c r="AY26" s="5">
        <f>IF(AND(AV26,ISNUMBER(correlation!$F$30)),AX26*correlation!$F$30+correlation!$G$30,"")</f>
        <v/>
      </c>
      <c r="AZ26" s="5">
        <f>IF(AND(AV26,ISNUMBER(AY26)),(AW26-AY26)^2,"")</f>
        <v/>
      </c>
      <c r="BA26" s="5">
        <f>IF(AV26,1+SUMPRODUCT(--(calc!$AV$3:$AV$132=TRUE),--(calc!$AW$3:$AW$132&gt;AW26))+(SUMPRODUCT(--(calc!$AV$3:$AV$132=TRUE),--(calc!$AW$3:$AW$132=AW26))-1)/2,"")</f>
        <v/>
      </c>
      <c r="BB26" s="5">
        <f>IF(AV26,1+SUMPRODUCT(--(calc!$AV$3:$AV$132=TRUE),--(calc!$AX$3:$AX$132&gt;AX26))+(SUMPRODUCT(--(calc!$AV$3:$AV$132=TRUE),--(calc!$AX$3:$AX$132=AX26))-1)/2,"")</f>
        <v/>
      </c>
      <c r="BC26" s="5">
        <f>IF(AV26,SUMPRODUCT(--(calc!$AV$3:$AV$132=TRUE),--(ROW(calc!$AV$3:$AV$132)&gt;ROW(AV26)),--(((calc!$BA$3:$BA$132&gt;BA26)*(calc!$BB$3:$BB$132&gt;BB26)+(calc!$BA$3:$BA$132&lt;BA26)*(calc!$BB$3:$BB$132&lt;BB26))&gt;0))-SUMPRODUCT(--(calc!$AV$3:$AV$132=TRUE),--(ROW(calc!$AV$3:$AV$132)&gt;ROW(AV26)),--(((calc!$BA$3:$BA$132&gt;BA26)*(calc!$BB$3:$BB$132&lt;BB26)+(calc!$BA$3:$BA$132&lt;BA26)*(calc!$BB$3:$BB$132&gt;BB26))&gt;0)),0)</f>
        <v/>
      </c>
      <c r="BD26" s="5">
        <f>IF(mos_metrics!L25="","",mos_metrics!L25)</f>
        <v/>
      </c>
      <c r="BE26" s="2">
        <f>AND($J26,ISNUMBER(BD26),correlation!$I$31=1)</f>
        <v/>
      </c>
      <c r="BF26" s="5">
        <f>IF(BE26,$F26,"")</f>
        <v/>
      </c>
      <c r="BG26" s="5">
        <f>IF(BE26,BD26*correlation!$J$31,"")</f>
        <v/>
      </c>
      <c r="BH26" s="5">
        <f>IF(AND(BE26,ISNUMBER(correlation!$F$31)),BG26*correlation!$F$31+correlation!$G$31,"")</f>
        <v/>
      </c>
      <c r="BI26" s="5">
        <f>IF(AND(BE26,ISNUMBER(BH26)),(BF26-BH26)^2,"")</f>
        <v/>
      </c>
      <c r="BJ26" s="5">
        <f>IF(BE26,1+SUMPRODUCT(--(calc!$BE$3:$BE$132=TRUE),--(calc!$BF$3:$BF$132&gt;BF26))+(SUMPRODUCT(--(calc!$BE$3:$BE$132=TRUE),--(calc!$BF$3:$BF$132=BF26))-1)/2,"")</f>
        <v/>
      </c>
      <c r="BK26" s="5">
        <f>IF(BE26,1+SUMPRODUCT(--(calc!$BE$3:$BE$132=TRUE),--(calc!$BG$3:$BG$132&gt;BG26))+(SUMPRODUCT(--(calc!$BE$3:$BE$132=TRUE),--(calc!$BG$3:$BG$132=BG26))-1)/2,"")</f>
        <v/>
      </c>
      <c r="BL26" s="5">
        <f>IF(BE26,SUMPRODUCT(--(calc!$BE$3:$BE$132=TRUE),--(ROW(calc!$BE$3:$BE$132)&gt;ROW(BE26)),--(((calc!$BJ$3:$BJ$132&gt;BJ26)*(calc!$BK$3:$BK$132&gt;BK26)+(calc!$BJ$3:$BJ$132&lt;BJ26)*(calc!$BK$3:$BK$132&lt;BK26))&gt;0))-SUMPRODUCT(--(calc!$BE$3:$BE$132=TRUE),--(ROW(calc!$BE$3:$BE$132)&gt;ROW(BE26)),--(((calc!$BJ$3:$BJ$132&gt;BJ26)*(calc!$BK$3:$BK$132&lt;BK26)+(calc!$BJ$3:$BJ$132&lt;BJ26)*(calc!$BK$3:$BK$132&gt;BK26))&gt;0)),0)</f>
        <v/>
      </c>
      <c r="BM26" s="5">
        <f>IF(mos_metrics!M25="","",mos_metrics!M25)</f>
        <v/>
      </c>
      <c r="BN26" s="2">
        <f>AND($J26,ISNUMBER(BM26),correlation!$I$32=1)</f>
        <v/>
      </c>
      <c r="BO26" s="5">
        <f>IF(BN26,$F26,"")</f>
        <v/>
      </c>
      <c r="BP26" s="5">
        <f>IF(BN26,BM26*correlation!$J$32,"")</f>
        <v/>
      </c>
      <c r="BQ26" s="5">
        <f>IF(AND(BN26,ISNUMBER(correlation!$F$32)),BP26*correlation!$F$32+correlation!$G$32,"")</f>
        <v/>
      </c>
      <c r="BR26" s="5">
        <f>IF(AND(BN26,ISNUMBER(BQ26)),(BO26-BQ26)^2,"")</f>
        <v/>
      </c>
      <c r="BS26" s="5">
        <f>IF(BN26,1+SUMPRODUCT(--(calc!$BN$3:$BN$132=TRUE),--(calc!$BO$3:$BO$132&gt;BO26))+(SUMPRODUCT(--(calc!$BN$3:$BN$132=TRUE),--(calc!$BO$3:$BO$132=BO26))-1)/2,"")</f>
        <v/>
      </c>
      <c r="BT26" s="5">
        <f>IF(BN26,1+SUMPRODUCT(--(calc!$BN$3:$BN$132=TRUE),--(calc!$BP$3:$BP$132&gt;BP26))+(SUMPRODUCT(--(calc!$BN$3:$BN$132=TRUE),--(calc!$BP$3:$BP$132=BP26))-1)/2,"")</f>
        <v/>
      </c>
      <c r="BU26" s="5">
        <f>IF(BN26,SUMPRODUCT(--(calc!$BN$3:$BN$132=TRUE),--(ROW(calc!$BN$3:$BN$132)&gt;ROW(BN26)),--(((calc!$BS$3:$BS$132&gt;BS26)*(calc!$BT$3:$BT$132&gt;BT26)+(calc!$BS$3:$BS$132&lt;BS26)*(calc!$BT$3:$BT$132&lt;BT26))&gt;0))-SUMPRODUCT(--(calc!$BN$3:$BN$132=TRUE),--(ROW(calc!$BN$3:$BN$132)&gt;ROW(BN26)),--(((calc!$BS$3:$BS$132&gt;BS26)*(calc!$BT$3:$BT$132&lt;BT26)+(calc!$BS$3:$BS$132&lt;BS26)*(calc!$BT$3:$BT$132&gt;BT26))&gt;0)),0)</f>
        <v/>
      </c>
    </row>
    <row r="27">
      <c r="A27" s="2">
        <f>mos_metrics!A26</f>
        <v/>
      </c>
      <c r="B27" s="2">
        <f>mos_metrics!B26</f>
        <v/>
      </c>
      <c r="C27" s="2">
        <f>mos_metrics!C26</f>
        <v/>
      </c>
      <c r="D27" s="2">
        <f>mos_metrics!D26</f>
        <v/>
      </c>
      <c r="E27" s="2">
        <f>mos_metrics!E26</f>
        <v/>
      </c>
      <c r="F27" s="2">
        <f>mos_metrics!F26</f>
        <v/>
      </c>
      <c r="G27" s="2">
        <f>IF($B27="","",IFERROR(VLOOKUP($B27,correlation!$A$2:$B$12,2,FALSE),1))</f>
        <v/>
      </c>
      <c r="H27" s="2">
        <f>IF($E27="","",IFERROR(VLOOKUP($E27,correlation!$D$2:$E$8,2,FALSE),1))</f>
        <v/>
      </c>
      <c r="I27" s="2">
        <f>ISNUMBER($F27)</f>
        <v/>
      </c>
      <c r="J27" s="2">
        <f>AND($G27=1,$H27=1,$I27)</f>
        <v/>
      </c>
      <c r="K27" s="5">
        <f>IF(mos_metrics!G26="","",mos_metrics!G26)</f>
        <v/>
      </c>
      <c r="L27" s="2">
        <f>AND($J27,ISNUMBER(K27),correlation!$I$26=1)</f>
        <v/>
      </c>
      <c r="M27" s="5">
        <f>IF(L27,$F27,"")</f>
        <v/>
      </c>
      <c r="N27" s="5">
        <f>IF(L27,K27*correlation!$J$26,"")</f>
        <v/>
      </c>
      <c r="O27" s="5">
        <f>IF(AND(L27,ISNUMBER(correlation!$F$26)),N27*correlation!$F$26+correlation!$G$26,"")</f>
        <v/>
      </c>
      <c r="P27" s="5">
        <f>IF(AND(L27,ISNUMBER(O27)),(M27-O27)^2,"")</f>
        <v/>
      </c>
      <c r="Q27" s="5">
        <f>IF(L27,1+SUMPRODUCT(--(calc!$L$3:$L$132=TRUE),--(calc!$M$3:$M$132&gt;M27))+(SUMPRODUCT(--(calc!$L$3:$L$132=TRUE),--(calc!$M$3:$M$132=M27))-1)/2,"")</f>
        <v/>
      </c>
      <c r="R27" s="5">
        <f>IF(L27,1+SUMPRODUCT(--(calc!$L$3:$L$132=TRUE),--(calc!$N$3:$N$132&gt;N27))+(SUMPRODUCT(--(calc!$L$3:$L$132=TRUE),--(calc!$N$3:$N$132=N27))-1)/2,"")</f>
        <v/>
      </c>
      <c r="S27" s="5">
        <f>IF(L27,SUMPRODUCT(--(calc!$L$3:$L$132=TRUE),--(ROW(calc!$L$3:$L$132)&gt;ROW(L27)),--(((calc!$Q$3:$Q$132&gt;Q27)*(calc!$R$3:$R$132&gt;R27)+(calc!$Q$3:$Q$132&lt;Q27)*(calc!$R$3:$R$132&lt;R27))&gt;0))-SUMPRODUCT(--(calc!$L$3:$L$132=TRUE),--(ROW(calc!$L$3:$L$132)&gt;ROW(L27)),--(((calc!$Q$3:$Q$132&gt;Q27)*(calc!$R$3:$R$132&lt;R27)+(calc!$Q$3:$Q$132&lt;Q27)*(calc!$R$3:$R$132&gt;R27))&gt;0)),0)</f>
        <v/>
      </c>
      <c r="T27" s="5">
        <f>IF(mos_metrics!H26="","",mos_metrics!H26)</f>
        <v/>
      </c>
      <c r="U27" s="2">
        <f>AND($J27,ISNUMBER(T27),correlation!$I$27=1)</f>
        <v/>
      </c>
      <c r="V27" s="5">
        <f>IF(U27,$F27,"")</f>
        <v/>
      </c>
      <c r="W27" s="5">
        <f>IF(U27,T27*correlation!$J$27,"")</f>
        <v/>
      </c>
      <c r="X27" s="5">
        <f>IF(AND(U27,ISNUMBER(correlation!$F$27)),W27*correlation!$F$27+correlation!$G$27,"")</f>
        <v/>
      </c>
      <c r="Y27" s="5">
        <f>IF(AND(U27,ISNUMBER(X27)),(V27-X27)^2,"")</f>
        <v/>
      </c>
      <c r="Z27" s="5">
        <f>IF(U27,1+SUMPRODUCT(--(calc!$U$3:$U$132=TRUE),--(calc!$V$3:$V$132&gt;V27))+(SUMPRODUCT(--(calc!$U$3:$U$132=TRUE),--(calc!$V$3:$V$132=V27))-1)/2,"")</f>
        <v/>
      </c>
      <c r="AA27" s="5">
        <f>IF(U27,1+SUMPRODUCT(--(calc!$U$3:$U$132=TRUE),--(calc!$W$3:$W$132&gt;W27))+(SUMPRODUCT(--(calc!$U$3:$U$132=TRUE),--(calc!$W$3:$W$132=W27))-1)/2,"")</f>
        <v/>
      </c>
      <c r="AB27" s="5">
        <f>IF(U27,SUMPRODUCT(--(calc!$U$3:$U$132=TRUE),--(ROW(calc!$U$3:$U$132)&gt;ROW(U27)),--(((calc!$Z$3:$Z$132&gt;Z27)*(calc!$AA$3:$AA$132&gt;AA27)+(calc!$Z$3:$Z$132&lt;Z27)*(calc!$AA$3:$AA$132&lt;AA27))&gt;0))-SUMPRODUCT(--(calc!$U$3:$U$132=TRUE),--(ROW(calc!$U$3:$U$132)&gt;ROW(U27)),--(((calc!$Z$3:$Z$132&gt;Z27)*(calc!$AA$3:$AA$132&lt;AA27)+(calc!$Z$3:$Z$132&lt;Z27)*(calc!$AA$3:$AA$132&gt;AA27))&gt;0)),0)</f>
        <v/>
      </c>
      <c r="AC27" s="5">
        <f>IF(mos_metrics!I26="","",mos_metrics!I26)</f>
        <v/>
      </c>
      <c r="AD27" s="2">
        <f>AND($J27,ISNUMBER(AC27),correlation!$I$28=1)</f>
        <v/>
      </c>
      <c r="AE27" s="5">
        <f>IF(AD27,$F27,"")</f>
        <v/>
      </c>
      <c r="AF27" s="5">
        <f>IF(AD27,AC27*correlation!$J$28,"")</f>
        <v/>
      </c>
      <c r="AG27" s="5">
        <f>IF(AND(AD27,ISNUMBER(correlation!$F$28)),AF27*correlation!$F$28+correlation!$G$28,"")</f>
        <v/>
      </c>
      <c r="AH27" s="5">
        <f>IF(AND(AD27,ISNUMBER(AG27)),(AE27-AG27)^2,"")</f>
        <v/>
      </c>
      <c r="AI27" s="5">
        <f>IF(AD27,1+SUMPRODUCT(--(calc!$AD$3:$AD$132=TRUE),--(calc!$AE$3:$AE$132&gt;AE27))+(SUMPRODUCT(--(calc!$AD$3:$AD$132=TRUE),--(calc!$AE$3:$AE$132=AE27))-1)/2,"")</f>
        <v/>
      </c>
      <c r="AJ27" s="5">
        <f>IF(AD27,1+SUMPRODUCT(--(calc!$AD$3:$AD$132=TRUE),--(calc!$AF$3:$AF$132&gt;AF27))+(SUMPRODUCT(--(calc!$AD$3:$AD$132=TRUE),--(calc!$AF$3:$AF$132=AF27))-1)/2,"")</f>
        <v/>
      </c>
      <c r="AK27" s="5">
        <f>IF(AD27,SUMPRODUCT(--(calc!$AD$3:$AD$132=TRUE),--(ROW(calc!$AD$3:$AD$132)&gt;ROW(AD27)),--(((calc!$AI$3:$AI$132&gt;AI27)*(calc!$AJ$3:$AJ$132&gt;AJ27)+(calc!$AI$3:$AI$132&lt;AI27)*(calc!$AJ$3:$AJ$132&lt;AJ27))&gt;0))-SUMPRODUCT(--(calc!$AD$3:$AD$132=TRUE),--(ROW(calc!$AD$3:$AD$132)&gt;ROW(AD27)),--(((calc!$AI$3:$AI$132&gt;AI27)*(calc!$AJ$3:$AJ$132&lt;AJ27)+(calc!$AI$3:$AI$132&lt;AI27)*(calc!$AJ$3:$AJ$132&gt;AJ27))&gt;0)),0)</f>
        <v/>
      </c>
      <c r="AL27" s="5">
        <f>IF(mos_metrics!J26="","",mos_metrics!J26)</f>
        <v/>
      </c>
      <c r="AM27" s="2">
        <f>AND($J27,ISNUMBER(AL27),correlation!$I$29=1)</f>
        <v/>
      </c>
      <c r="AN27" s="5">
        <f>IF(AM27,$F27,"")</f>
        <v/>
      </c>
      <c r="AO27" s="5">
        <f>IF(AM27,AL27*correlation!$J$29,"")</f>
        <v/>
      </c>
      <c r="AP27" s="5">
        <f>IF(AND(AM27,ISNUMBER(correlation!$F$29)),AO27*correlation!$F$29+correlation!$G$29,"")</f>
        <v/>
      </c>
      <c r="AQ27" s="5">
        <f>IF(AND(AM27,ISNUMBER(AP27)),(AN27-AP27)^2,"")</f>
        <v/>
      </c>
      <c r="AR27" s="5">
        <f>IF(AM27,1+SUMPRODUCT(--(calc!$AM$3:$AM$132=TRUE),--(calc!$AN$3:$AN$132&gt;AN27))+(SUMPRODUCT(--(calc!$AM$3:$AM$132=TRUE),--(calc!$AN$3:$AN$132=AN27))-1)/2,"")</f>
        <v/>
      </c>
      <c r="AS27" s="5">
        <f>IF(AM27,1+SUMPRODUCT(--(calc!$AM$3:$AM$132=TRUE),--(calc!$AO$3:$AO$132&gt;AO27))+(SUMPRODUCT(--(calc!$AM$3:$AM$132=TRUE),--(calc!$AO$3:$AO$132=AO27))-1)/2,"")</f>
        <v/>
      </c>
      <c r="AT27" s="5">
        <f>IF(AM27,SUMPRODUCT(--(calc!$AM$3:$AM$132=TRUE),--(ROW(calc!$AM$3:$AM$132)&gt;ROW(AM27)),--(((calc!$AR$3:$AR$132&gt;AR27)*(calc!$AS$3:$AS$132&gt;AS27)+(calc!$AR$3:$AR$132&lt;AR27)*(calc!$AS$3:$AS$132&lt;AS27))&gt;0))-SUMPRODUCT(--(calc!$AM$3:$AM$132=TRUE),--(ROW(calc!$AM$3:$AM$132)&gt;ROW(AM27)),--(((calc!$AR$3:$AR$132&gt;AR27)*(calc!$AS$3:$AS$132&lt;AS27)+(calc!$AR$3:$AR$132&lt;AR27)*(calc!$AS$3:$AS$132&gt;AS27))&gt;0)),0)</f>
        <v/>
      </c>
      <c r="AU27" s="5">
        <f>IF(mos_metrics!K26="","",mos_metrics!K26)</f>
        <v/>
      </c>
      <c r="AV27" s="2">
        <f>AND($J27,ISNUMBER(AU27),correlation!$I$30=1)</f>
        <v/>
      </c>
      <c r="AW27" s="5">
        <f>IF(AV27,$F27,"")</f>
        <v/>
      </c>
      <c r="AX27" s="5">
        <f>IF(AV27,AU27*correlation!$J$30,"")</f>
        <v/>
      </c>
      <c r="AY27" s="5">
        <f>IF(AND(AV27,ISNUMBER(correlation!$F$30)),AX27*correlation!$F$30+correlation!$G$30,"")</f>
        <v/>
      </c>
      <c r="AZ27" s="5">
        <f>IF(AND(AV27,ISNUMBER(AY27)),(AW27-AY27)^2,"")</f>
        <v/>
      </c>
      <c r="BA27" s="5">
        <f>IF(AV27,1+SUMPRODUCT(--(calc!$AV$3:$AV$132=TRUE),--(calc!$AW$3:$AW$132&gt;AW27))+(SUMPRODUCT(--(calc!$AV$3:$AV$132=TRUE),--(calc!$AW$3:$AW$132=AW27))-1)/2,"")</f>
        <v/>
      </c>
      <c r="BB27" s="5">
        <f>IF(AV27,1+SUMPRODUCT(--(calc!$AV$3:$AV$132=TRUE),--(calc!$AX$3:$AX$132&gt;AX27))+(SUMPRODUCT(--(calc!$AV$3:$AV$132=TRUE),--(calc!$AX$3:$AX$132=AX27))-1)/2,"")</f>
        <v/>
      </c>
      <c r="BC27" s="5">
        <f>IF(AV27,SUMPRODUCT(--(calc!$AV$3:$AV$132=TRUE),--(ROW(calc!$AV$3:$AV$132)&gt;ROW(AV27)),--(((calc!$BA$3:$BA$132&gt;BA27)*(calc!$BB$3:$BB$132&gt;BB27)+(calc!$BA$3:$BA$132&lt;BA27)*(calc!$BB$3:$BB$132&lt;BB27))&gt;0))-SUMPRODUCT(--(calc!$AV$3:$AV$132=TRUE),--(ROW(calc!$AV$3:$AV$132)&gt;ROW(AV27)),--(((calc!$BA$3:$BA$132&gt;BA27)*(calc!$BB$3:$BB$132&lt;BB27)+(calc!$BA$3:$BA$132&lt;BA27)*(calc!$BB$3:$BB$132&gt;BB27))&gt;0)),0)</f>
        <v/>
      </c>
      <c r="BD27" s="5">
        <f>IF(mos_metrics!L26="","",mos_metrics!L26)</f>
        <v/>
      </c>
      <c r="BE27" s="2">
        <f>AND($J27,ISNUMBER(BD27),correlation!$I$31=1)</f>
        <v/>
      </c>
      <c r="BF27" s="5">
        <f>IF(BE27,$F27,"")</f>
        <v/>
      </c>
      <c r="BG27" s="5">
        <f>IF(BE27,BD27*correlation!$J$31,"")</f>
        <v/>
      </c>
      <c r="BH27" s="5">
        <f>IF(AND(BE27,ISNUMBER(correlation!$F$31)),BG27*correlation!$F$31+correlation!$G$31,"")</f>
        <v/>
      </c>
      <c r="BI27" s="5">
        <f>IF(AND(BE27,ISNUMBER(BH27)),(BF27-BH27)^2,"")</f>
        <v/>
      </c>
      <c r="BJ27" s="5">
        <f>IF(BE27,1+SUMPRODUCT(--(calc!$BE$3:$BE$132=TRUE),--(calc!$BF$3:$BF$132&gt;BF27))+(SUMPRODUCT(--(calc!$BE$3:$BE$132=TRUE),--(calc!$BF$3:$BF$132=BF27))-1)/2,"")</f>
        <v/>
      </c>
      <c r="BK27" s="5">
        <f>IF(BE27,1+SUMPRODUCT(--(calc!$BE$3:$BE$132=TRUE),--(calc!$BG$3:$BG$132&gt;BG27))+(SUMPRODUCT(--(calc!$BE$3:$BE$132=TRUE),--(calc!$BG$3:$BG$132=BG27))-1)/2,"")</f>
        <v/>
      </c>
      <c r="BL27" s="5">
        <f>IF(BE27,SUMPRODUCT(--(calc!$BE$3:$BE$132=TRUE),--(ROW(calc!$BE$3:$BE$132)&gt;ROW(BE27)),--(((calc!$BJ$3:$BJ$132&gt;BJ27)*(calc!$BK$3:$BK$132&gt;BK27)+(calc!$BJ$3:$BJ$132&lt;BJ27)*(calc!$BK$3:$BK$132&lt;BK27))&gt;0))-SUMPRODUCT(--(calc!$BE$3:$BE$132=TRUE),--(ROW(calc!$BE$3:$BE$132)&gt;ROW(BE27)),--(((calc!$BJ$3:$BJ$132&gt;BJ27)*(calc!$BK$3:$BK$132&lt;BK27)+(calc!$BJ$3:$BJ$132&lt;BJ27)*(calc!$BK$3:$BK$132&gt;BK27))&gt;0)),0)</f>
        <v/>
      </c>
      <c r="BM27" s="5">
        <f>IF(mos_metrics!M26="","",mos_metrics!M26)</f>
        <v/>
      </c>
      <c r="BN27" s="2">
        <f>AND($J27,ISNUMBER(BM27),correlation!$I$32=1)</f>
        <v/>
      </c>
      <c r="BO27" s="5">
        <f>IF(BN27,$F27,"")</f>
        <v/>
      </c>
      <c r="BP27" s="5">
        <f>IF(BN27,BM27*correlation!$J$32,"")</f>
        <v/>
      </c>
      <c r="BQ27" s="5">
        <f>IF(AND(BN27,ISNUMBER(correlation!$F$32)),BP27*correlation!$F$32+correlation!$G$32,"")</f>
        <v/>
      </c>
      <c r="BR27" s="5">
        <f>IF(AND(BN27,ISNUMBER(BQ27)),(BO27-BQ27)^2,"")</f>
        <v/>
      </c>
      <c r="BS27" s="5">
        <f>IF(BN27,1+SUMPRODUCT(--(calc!$BN$3:$BN$132=TRUE),--(calc!$BO$3:$BO$132&gt;BO27))+(SUMPRODUCT(--(calc!$BN$3:$BN$132=TRUE),--(calc!$BO$3:$BO$132=BO27))-1)/2,"")</f>
        <v/>
      </c>
      <c r="BT27" s="5">
        <f>IF(BN27,1+SUMPRODUCT(--(calc!$BN$3:$BN$132=TRUE),--(calc!$BP$3:$BP$132&gt;BP27))+(SUMPRODUCT(--(calc!$BN$3:$BN$132=TRUE),--(calc!$BP$3:$BP$132=BP27))-1)/2,"")</f>
        <v/>
      </c>
      <c r="BU27" s="5">
        <f>IF(BN27,SUMPRODUCT(--(calc!$BN$3:$BN$132=TRUE),--(ROW(calc!$BN$3:$BN$132)&gt;ROW(BN27)),--(((calc!$BS$3:$BS$132&gt;BS27)*(calc!$BT$3:$BT$132&gt;BT27)+(calc!$BS$3:$BS$132&lt;BS27)*(calc!$BT$3:$BT$132&lt;BT27))&gt;0))-SUMPRODUCT(--(calc!$BN$3:$BN$132=TRUE),--(ROW(calc!$BN$3:$BN$132)&gt;ROW(BN27)),--(((calc!$BS$3:$BS$132&gt;BS27)*(calc!$BT$3:$BT$132&lt;BT27)+(calc!$BS$3:$BS$132&lt;BS27)*(calc!$BT$3:$BT$132&gt;BT27))&gt;0)),0)</f>
        <v/>
      </c>
    </row>
    <row r="28">
      <c r="A28" s="2">
        <f>mos_metrics!A27</f>
        <v/>
      </c>
      <c r="B28" s="2">
        <f>mos_metrics!B27</f>
        <v/>
      </c>
      <c r="C28" s="2">
        <f>mos_metrics!C27</f>
        <v/>
      </c>
      <c r="D28" s="2">
        <f>mos_metrics!D27</f>
        <v/>
      </c>
      <c r="E28" s="2">
        <f>mos_metrics!E27</f>
        <v/>
      </c>
      <c r="F28" s="2">
        <f>mos_metrics!F27</f>
        <v/>
      </c>
      <c r="G28" s="2">
        <f>IF($B28="","",IFERROR(VLOOKUP($B28,correlation!$A$2:$B$12,2,FALSE),1))</f>
        <v/>
      </c>
      <c r="H28" s="2">
        <f>IF($E28="","",IFERROR(VLOOKUP($E28,correlation!$D$2:$E$8,2,FALSE),1))</f>
        <v/>
      </c>
      <c r="I28" s="2">
        <f>ISNUMBER($F28)</f>
        <v/>
      </c>
      <c r="J28" s="2">
        <f>AND($G28=1,$H28=1,$I28)</f>
        <v/>
      </c>
      <c r="K28" s="5">
        <f>IF(mos_metrics!G27="","",mos_metrics!G27)</f>
        <v/>
      </c>
      <c r="L28" s="2">
        <f>AND($J28,ISNUMBER(K28),correlation!$I$26=1)</f>
        <v/>
      </c>
      <c r="M28" s="5">
        <f>IF(L28,$F28,"")</f>
        <v/>
      </c>
      <c r="N28" s="5">
        <f>IF(L28,K28*correlation!$J$26,"")</f>
        <v/>
      </c>
      <c r="O28" s="5">
        <f>IF(AND(L28,ISNUMBER(correlation!$F$26)),N28*correlation!$F$26+correlation!$G$26,"")</f>
        <v/>
      </c>
      <c r="P28" s="5">
        <f>IF(AND(L28,ISNUMBER(O28)),(M28-O28)^2,"")</f>
        <v/>
      </c>
      <c r="Q28" s="5">
        <f>IF(L28,1+SUMPRODUCT(--(calc!$L$3:$L$132=TRUE),--(calc!$M$3:$M$132&gt;M28))+(SUMPRODUCT(--(calc!$L$3:$L$132=TRUE),--(calc!$M$3:$M$132=M28))-1)/2,"")</f>
        <v/>
      </c>
      <c r="R28" s="5">
        <f>IF(L28,1+SUMPRODUCT(--(calc!$L$3:$L$132=TRUE),--(calc!$N$3:$N$132&gt;N28))+(SUMPRODUCT(--(calc!$L$3:$L$132=TRUE),--(calc!$N$3:$N$132=N28))-1)/2,"")</f>
        <v/>
      </c>
      <c r="S28" s="5">
        <f>IF(L28,SUMPRODUCT(--(calc!$L$3:$L$132=TRUE),--(ROW(calc!$L$3:$L$132)&gt;ROW(L28)),--(((calc!$Q$3:$Q$132&gt;Q28)*(calc!$R$3:$R$132&gt;R28)+(calc!$Q$3:$Q$132&lt;Q28)*(calc!$R$3:$R$132&lt;R28))&gt;0))-SUMPRODUCT(--(calc!$L$3:$L$132=TRUE),--(ROW(calc!$L$3:$L$132)&gt;ROW(L28)),--(((calc!$Q$3:$Q$132&gt;Q28)*(calc!$R$3:$R$132&lt;R28)+(calc!$Q$3:$Q$132&lt;Q28)*(calc!$R$3:$R$132&gt;R28))&gt;0)),0)</f>
        <v/>
      </c>
      <c r="T28" s="5">
        <f>IF(mos_metrics!H27="","",mos_metrics!H27)</f>
        <v/>
      </c>
      <c r="U28" s="2">
        <f>AND($J28,ISNUMBER(T28),correlation!$I$27=1)</f>
        <v/>
      </c>
      <c r="V28" s="5">
        <f>IF(U28,$F28,"")</f>
        <v/>
      </c>
      <c r="W28" s="5">
        <f>IF(U28,T28*correlation!$J$27,"")</f>
        <v/>
      </c>
      <c r="X28" s="5">
        <f>IF(AND(U28,ISNUMBER(correlation!$F$27)),W28*correlation!$F$27+correlation!$G$27,"")</f>
        <v/>
      </c>
      <c r="Y28" s="5">
        <f>IF(AND(U28,ISNUMBER(X28)),(V28-X28)^2,"")</f>
        <v/>
      </c>
      <c r="Z28" s="5">
        <f>IF(U28,1+SUMPRODUCT(--(calc!$U$3:$U$132=TRUE),--(calc!$V$3:$V$132&gt;V28))+(SUMPRODUCT(--(calc!$U$3:$U$132=TRUE),--(calc!$V$3:$V$132=V28))-1)/2,"")</f>
        <v/>
      </c>
      <c r="AA28" s="5">
        <f>IF(U28,1+SUMPRODUCT(--(calc!$U$3:$U$132=TRUE),--(calc!$W$3:$W$132&gt;W28))+(SUMPRODUCT(--(calc!$U$3:$U$132=TRUE),--(calc!$W$3:$W$132=W28))-1)/2,"")</f>
        <v/>
      </c>
      <c r="AB28" s="5">
        <f>IF(U28,SUMPRODUCT(--(calc!$U$3:$U$132=TRUE),--(ROW(calc!$U$3:$U$132)&gt;ROW(U28)),--(((calc!$Z$3:$Z$132&gt;Z28)*(calc!$AA$3:$AA$132&gt;AA28)+(calc!$Z$3:$Z$132&lt;Z28)*(calc!$AA$3:$AA$132&lt;AA28))&gt;0))-SUMPRODUCT(--(calc!$U$3:$U$132=TRUE),--(ROW(calc!$U$3:$U$132)&gt;ROW(U28)),--(((calc!$Z$3:$Z$132&gt;Z28)*(calc!$AA$3:$AA$132&lt;AA28)+(calc!$Z$3:$Z$132&lt;Z28)*(calc!$AA$3:$AA$132&gt;AA28))&gt;0)),0)</f>
        <v/>
      </c>
      <c r="AC28" s="5">
        <f>IF(mos_metrics!I27="","",mos_metrics!I27)</f>
        <v/>
      </c>
      <c r="AD28" s="2">
        <f>AND($J28,ISNUMBER(AC28),correlation!$I$28=1)</f>
        <v/>
      </c>
      <c r="AE28" s="5">
        <f>IF(AD28,$F28,"")</f>
        <v/>
      </c>
      <c r="AF28" s="5">
        <f>IF(AD28,AC28*correlation!$J$28,"")</f>
        <v/>
      </c>
      <c r="AG28" s="5">
        <f>IF(AND(AD28,ISNUMBER(correlation!$F$28)),AF28*correlation!$F$28+correlation!$G$28,"")</f>
        <v/>
      </c>
      <c r="AH28" s="5">
        <f>IF(AND(AD28,ISNUMBER(AG28)),(AE28-AG28)^2,"")</f>
        <v/>
      </c>
      <c r="AI28" s="5">
        <f>IF(AD28,1+SUMPRODUCT(--(calc!$AD$3:$AD$132=TRUE),--(calc!$AE$3:$AE$132&gt;AE28))+(SUMPRODUCT(--(calc!$AD$3:$AD$132=TRUE),--(calc!$AE$3:$AE$132=AE28))-1)/2,"")</f>
        <v/>
      </c>
      <c r="AJ28" s="5">
        <f>IF(AD28,1+SUMPRODUCT(--(calc!$AD$3:$AD$132=TRUE),--(calc!$AF$3:$AF$132&gt;AF28))+(SUMPRODUCT(--(calc!$AD$3:$AD$132=TRUE),--(calc!$AF$3:$AF$132=AF28))-1)/2,"")</f>
        <v/>
      </c>
      <c r="AK28" s="5">
        <f>IF(AD28,SUMPRODUCT(--(calc!$AD$3:$AD$132=TRUE),--(ROW(calc!$AD$3:$AD$132)&gt;ROW(AD28)),--(((calc!$AI$3:$AI$132&gt;AI28)*(calc!$AJ$3:$AJ$132&gt;AJ28)+(calc!$AI$3:$AI$132&lt;AI28)*(calc!$AJ$3:$AJ$132&lt;AJ28))&gt;0))-SUMPRODUCT(--(calc!$AD$3:$AD$132=TRUE),--(ROW(calc!$AD$3:$AD$132)&gt;ROW(AD28)),--(((calc!$AI$3:$AI$132&gt;AI28)*(calc!$AJ$3:$AJ$132&lt;AJ28)+(calc!$AI$3:$AI$132&lt;AI28)*(calc!$AJ$3:$AJ$132&gt;AJ28))&gt;0)),0)</f>
        <v/>
      </c>
      <c r="AL28" s="5">
        <f>IF(mos_metrics!J27="","",mos_metrics!J27)</f>
        <v/>
      </c>
      <c r="AM28" s="2">
        <f>AND($J28,ISNUMBER(AL28),correlation!$I$29=1)</f>
        <v/>
      </c>
      <c r="AN28" s="5">
        <f>IF(AM28,$F28,"")</f>
        <v/>
      </c>
      <c r="AO28" s="5">
        <f>IF(AM28,AL28*correlation!$J$29,"")</f>
        <v/>
      </c>
      <c r="AP28" s="5">
        <f>IF(AND(AM28,ISNUMBER(correlation!$F$29)),AO28*correlation!$F$29+correlation!$G$29,"")</f>
        <v/>
      </c>
      <c r="AQ28" s="5">
        <f>IF(AND(AM28,ISNUMBER(AP28)),(AN28-AP28)^2,"")</f>
        <v/>
      </c>
      <c r="AR28" s="5">
        <f>IF(AM28,1+SUMPRODUCT(--(calc!$AM$3:$AM$132=TRUE),--(calc!$AN$3:$AN$132&gt;AN28))+(SUMPRODUCT(--(calc!$AM$3:$AM$132=TRUE),--(calc!$AN$3:$AN$132=AN28))-1)/2,"")</f>
        <v/>
      </c>
      <c r="AS28" s="5">
        <f>IF(AM28,1+SUMPRODUCT(--(calc!$AM$3:$AM$132=TRUE),--(calc!$AO$3:$AO$132&gt;AO28))+(SUMPRODUCT(--(calc!$AM$3:$AM$132=TRUE),--(calc!$AO$3:$AO$132=AO28))-1)/2,"")</f>
        <v/>
      </c>
      <c r="AT28" s="5">
        <f>IF(AM28,SUMPRODUCT(--(calc!$AM$3:$AM$132=TRUE),--(ROW(calc!$AM$3:$AM$132)&gt;ROW(AM28)),--(((calc!$AR$3:$AR$132&gt;AR28)*(calc!$AS$3:$AS$132&gt;AS28)+(calc!$AR$3:$AR$132&lt;AR28)*(calc!$AS$3:$AS$132&lt;AS28))&gt;0))-SUMPRODUCT(--(calc!$AM$3:$AM$132=TRUE),--(ROW(calc!$AM$3:$AM$132)&gt;ROW(AM28)),--(((calc!$AR$3:$AR$132&gt;AR28)*(calc!$AS$3:$AS$132&lt;AS28)+(calc!$AR$3:$AR$132&lt;AR28)*(calc!$AS$3:$AS$132&gt;AS28))&gt;0)),0)</f>
        <v/>
      </c>
      <c r="AU28" s="5">
        <f>IF(mos_metrics!K27="","",mos_metrics!K27)</f>
        <v/>
      </c>
      <c r="AV28" s="2">
        <f>AND($J28,ISNUMBER(AU28),correlation!$I$30=1)</f>
        <v/>
      </c>
      <c r="AW28" s="5">
        <f>IF(AV28,$F28,"")</f>
        <v/>
      </c>
      <c r="AX28" s="5">
        <f>IF(AV28,AU28*correlation!$J$30,"")</f>
        <v/>
      </c>
      <c r="AY28" s="5">
        <f>IF(AND(AV28,ISNUMBER(correlation!$F$30)),AX28*correlation!$F$30+correlation!$G$30,"")</f>
        <v/>
      </c>
      <c r="AZ28" s="5">
        <f>IF(AND(AV28,ISNUMBER(AY28)),(AW28-AY28)^2,"")</f>
        <v/>
      </c>
      <c r="BA28" s="5">
        <f>IF(AV28,1+SUMPRODUCT(--(calc!$AV$3:$AV$132=TRUE),--(calc!$AW$3:$AW$132&gt;AW28))+(SUMPRODUCT(--(calc!$AV$3:$AV$132=TRUE),--(calc!$AW$3:$AW$132=AW28))-1)/2,"")</f>
        <v/>
      </c>
      <c r="BB28" s="5">
        <f>IF(AV28,1+SUMPRODUCT(--(calc!$AV$3:$AV$132=TRUE),--(calc!$AX$3:$AX$132&gt;AX28))+(SUMPRODUCT(--(calc!$AV$3:$AV$132=TRUE),--(calc!$AX$3:$AX$132=AX28))-1)/2,"")</f>
        <v/>
      </c>
      <c r="BC28" s="5">
        <f>IF(AV28,SUMPRODUCT(--(calc!$AV$3:$AV$132=TRUE),--(ROW(calc!$AV$3:$AV$132)&gt;ROW(AV28)),--(((calc!$BA$3:$BA$132&gt;BA28)*(calc!$BB$3:$BB$132&gt;BB28)+(calc!$BA$3:$BA$132&lt;BA28)*(calc!$BB$3:$BB$132&lt;BB28))&gt;0))-SUMPRODUCT(--(calc!$AV$3:$AV$132=TRUE),--(ROW(calc!$AV$3:$AV$132)&gt;ROW(AV28)),--(((calc!$BA$3:$BA$132&gt;BA28)*(calc!$BB$3:$BB$132&lt;BB28)+(calc!$BA$3:$BA$132&lt;BA28)*(calc!$BB$3:$BB$132&gt;BB28))&gt;0)),0)</f>
        <v/>
      </c>
      <c r="BD28" s="5">
        <f>IF(mos_metrics!L27="","",mos_metrics!L27)</f>
        <v/>
      </c>
      <c r="BE28" s="2">
        <f>AND($J28,ISNUMBER(BD28),correlation!$I$31=1)</f>
        <v/>
      </c>
      <c r="BF28" s="5">
        <f>IF(BE28,$F28,"")</f>
        <v/>
      </c>
      <c r="BG28" s="5">
        <f>IF(BE28,BD28*correlation!$J$31,"")</f>
        <v/>
      </c>
      <c r="BH28" s="5">
        <f>IF(AND(BE28,ISNUMBER(correlation!$F$31)),BG28*correlation!$F$31+correlation!$G$31,"")</f>
        <v/>
      </c>
      <c r="BI28" s="5">
        <f>IF(AND(BE28,ISNUMBER(BH28)),(BF28-BH28)^2,"")</f>
        <v/>
      </c>
      <c r="BJ28" s="5">
        <f>IF(BE28,1+SUMPRODUCT(--(calc!$BE$3:$BE$132=TRUE),--(calc!$BF$3:$BF$132&gt;BF28))+(SUMPRODUCT(--(calc!$BE$3:$BE$132=TRUE),--(calc!$BF$3:$BF$132=BF28))-1)/2,"")</f>
        <v/>
      </c>
      <c r="BK28" s="5">
        <f>IF(BE28,1+SUMPRODUCT(--(calc!$BE$3:$BE$132=TRUE),--(calc!$BG$3:$BG$132&gt;BG28))+(SUMPRODUCT(--(calc!$BE$3:$BE$132=TRUE),--(calc!$BG$3:$BG$132=BG28))-1)/2,"")</f>
        <v/>
      </c>
      <c r="BL28" s="5">
        <f>IF(BE28,SUMPRODUCT(--(calc!$BE$3:$BE$132=TRUE),--(ROW(calc!$BE$3:$BE$132)&gt;ROW(BE28)),--(((calc!$BJ$3:$BJ$132&gt;BJ28)*(calc!$BK$3:$BK$132&gt;BK28)+(calc!$BJ$3:$BJ$132&lt;BJ28)*(calc!$BK$3:$BK$132&lt;BK28))&gt;0))-SUMPRODUCT(--(calc!$BE$3:$BE$132=TRUE),--(ROW(calc!$BE$3:$BE$132)&gt;ROW(BE28)),--(((calc!$BJ$3:$BJ$132&gt;BJ28)*(calc!$BK$3:$BK$132&lt;BK28)+(calc!$BJ$3:$BJ$132&lt;BJ28)*(calc!$BK$3:$BK$132&gt;BK28))&gt;0)),0)</f>
        <v/>
      </c>
      <c r="BM28" s="5">
        <f>IF(mos_metrics!M27="","",mos_metrics!M27)</f>
        <v/>
      </c>
      <c r="BN28" s="2">
        <f>AND($J28,ISNUMBER(BM28),correlation!$I$32=1)</f>
        <v/>
      </c>
      <c r="BO28" s="5">
        <f>IF(BN28,$F28,"")</f>
        <v/>
      </c>
      <c r="BP28" s="5">
        <f>IF(BN28,BM28*correlation!$J$32,"")</f>
        <v/>
      </c>
      <c r="BQ28" s="5">
        <f>IF(AND(BN28,ISNUMBER(correlation!$F$32)),BP28*correlation!$F$32+correlation!$G$32,"")</f>
        <v/>
      </c>
      <c r="BR28" s="5">
        <f>IF(AND(BN28,ISNUMBER(BQ28)),(BO28-BQ28)^2,"")</f>
        <v/>
      </c>
      <c r="BS28" s="5">
        <f>IF(BN28,1+SUMPRODUCT(--(calc!$BN$3:$BN$132=TRUE),--(calc!$BO$3:$BO$132&gt;BO28))+(SUMPRODUCT(--(calc!$BN$3:$BN$132=TRUE),--(calc!$BO$3:$BO$132=BO28))-1)/2,"")</f>
        <v/>
      </c>
      <c r="BT28" s="5">
        <f>IF(BN28,1+SUMPRODUCT(--(calc!$BN$3:$BN$132=TRUE),--(calc!$BP$3:$BP$132&gt;BP28))+(SUMPRODUCT(--(calc!$BN$3:$BN$132=TRUE),--(calc!$BP$3:$BP$132=BP28))-1)/2,"")</f>
        <v/>
      </c>
      <c r="BU28" s="5">
        <f>IF(BN28,SUMPRODUCT(--(calc!$BN$3:$BN$132=TRUE),--(ROW(calc!$BN$3:$BN$132)&gt;ROW(BN28)),--(((calc!$BS$3:$BS$132&gt;BS28)*(calc!$BT$3:$BT$132&gt;BT28)+(calc!$BS$3:$BS$132&lt;BS28)*(calc!$BT$3:$BT$132&lt;BT28))&gt;0))-SUMPRODUCT(--(calc!$BN$3:$BN$132=TRUE),--(ROW(calc!$BN$3:$BN$132)&gt;ROW(BN28)),--(((calc!$BS$3:$BS$132&gt;BS28)*(calc!$BT$3:$BT$132&lt;BT28)+(calc!$BS$3:$BS$132&lt;BS28)*(calc!$BT$3:$BT$132&gt;BT28))&gt;0)),0)</f>
        <v/>
      </c>
    </row>
    <row r="29">
      <c r="A29" s="2">
        <f>mos_metrics!A28</f>
        <v/>
      </c>
      <c r="B29" s="2">
        <f>mos_metrics!B28</f>
        <v/>
      </c>
      <c r="C29" s="2">
        <f>mos_metrics!C28</f>
        <v/>
      </c>
      <c r="D29" s="2">
        <f>mos_metrics!D28</f>
        <v/>
      </c>
      <c r="E29" s="2">
        <f>mos_metrics!E28</f>
        <v/>
      </c>
      <c r="F29" s="2">
        <f>mos_metrics!F28</f>
        <v/>
      </c>
      <c r="G29" s="2">
        <f>IF($B29="","",IFERROR(VLOOKUP($B29,correlation!$A$2:$B$12,2,FALSE),1))</f>
        <v/>
      </c>
      <c r="H29" s="2">
        <f>IF($E29="","",IFERROR(VLOOKUP($E29,correlation!$D$2:$E$8,2,FALSE),1))</f>
        <v/>
      </c>
      <c r="I29" s="2">
        <f>ISNUMBER($F29)</f>
        <v/>
      </c>
      <c r="J29" s="2">
        <f>AND($G29=1,$H29=1,$I29)</f>
        <v/>
      </c>
      <c r="K29" s="5">
        <f>IF(mos_metrics!G28="","",mos_metrics!G28)</f>
        <v/>
      </c>
      <c r="L29" s="2">
        <f>AND($J29,ISNUMBER(K29),correlation!$I$26=1)</f>
        <v/>
      </c>
      <c r="M29" s="5">
        <f>IF(L29,$F29,"")</f>
        <v/>
      </c>
      <c r="N29" s="5">
        <f>IF(L29,K29*correlation!$J$26,"")</f>
        <v/>
      </c>
      <c r="O29" s="5">
        <f>IF(AND(L29,ISNUMBER(correlation!$F$26)),N29*correlation!$F$26+correlation!$G$26,"")</f>
        <v/>
      </c>
      <c r="P29" s="5">
        <f>IF(AND(L29,ISNUMBER(O29)),(M29-O29)^2,"")</f>
        <v/>
      </c>
      <c r="Q29" s="5">
        <f>IF(L29,1+SUMPRODUCT(--(calc!$L$3:$L$132=TRUE),--(calc!$M$3:$M$132&gt;M29))+(SUMPRODUCT(--(calc!$L$3:$L$132=TRUE),--(calc!$M$3:$M$132=M29))-1)/2,"")</f>
        <v/>
      </c>
      <c r="R29" s="5">
        <f>IF(L29,1+SUMPRODUCT(--(calc!$L$3:$L$132=TRUE),--(calc!$N$3:$N$132&gt;N29))+(SUMPRODUCT(--(calc!$L$3:$L$132=TRUE),--(calc!$N$3:$N$132=N29))-1)/2,"")</f>
        <v/>
      </c>
      <c r="S29" s="5">
        <f>IF(L29,SUMPRODUCT(--(calc!$L$3:$L$132=TRUE),--(ROW(calc!$L$3:$L$132)&gt;ROW(L29)),--(((calc!$Q$3:$Q$132&gt;Q29)*(calc!$R$3:$R$132&gt;R29)+(calc!$Q$3:$Q$132&lt;Q29)*(calc!$R$3:$R$132&lt;R29))&gt;0))-SUMPRODUCT(--(calc!$L$3:$L$132=TRUE),--(ROW(calc!$L$3:$L$132)&gt;ROW(L29)),--(((calc!$Q$3:$Q$132&gt;Q29)*(calc!$R$3:$R$132&lt;R29)+(calc!$Q$3:$Q$132&lt;Q29)*(calc!$R$3:$R$132&gt;R29))&gt;0)),0)</f>
        <v/>
      </c>
      <c r="T29" s="5">
        <f>IF(mos_metrics!H28="","",mos_metrics!H28)</f>
        <v/>
      </c>
      <c r="U29" s="2">
        <f>AND($J29,ISNUMBER(T29),correlation!$I$27=1)</f>
        <v/>
      </c>
      <c r="V29" s="5">
        <f>IF(U29,$F29,"")</f>
        <v/>
      </c>
      <c r="W29" s="5">
        <f>IF(U29,T29*correlation!$J$27,"")</f>
        <v/>
      </c>
      <c r="X29" s="5">
        <f>IF(AND(U29,ISNUMBER(correlation!$F$27)),W29*correlation!$F$27+correlation!$G$27,"")</f>
        <v/>
      </c>
      <c r="Y29" s="5">
        <f>IF(AND(U29,ISNUMBER(X29)),(V29-X29)^2,"")</f>
        <v/>
      </c>
      <c r="Z29" s="5">
        <f>IF(U29,1+SUMPRODUCT(--(calc!$U$3:$U$132=TRUE),--(calc!$V$3:$V$132&gt;V29))+(SUMPRODUCT(--(calc!$U$3:$U$132=TRUE),--(calc!$V$3:$V$132=V29))-1)/2,"")</f>
        <v/>
      </c>
      <c r="AA29" s="5">
        <f>IF(U29,1+SUMPRODUCT(--(calc!$U$3:$U$132=TRUE),--(calc!$W$3:$W$132&gt;W29))+(SUMPRODUCT(--(calc!$U$3:$U$132=TRUE),--(calc!$W$3:$W$132=W29))-1)/2,"")</f>
        <v/>
      </c>
      <c r="AB29" s="5">
        <f>IF(U29,SUMPRODUCT(--(calc!$U$3:$U$132=TRUE),--(ROW(calc!$U$3:$U$132)&gt;ROW(U29)),--(((calc!$Z$3:$Z$132&gt;Z29)*(calc!$AA$3:$AA$132&gt;AA29)+(calc!$Z$3:$Z$132&lt;Z29)*(calc!$AA$3:$AA$132&lt;AA29))&gt;0))-SUMPRODUCT(--(calc!$U$3:$U$132=TRUE),--(ROW(calc!$U$3:$U$132)&gt;ROW(U29)),--(((calc!$Z$3:$Z$132&gt;Z29)*(calc!$AA$3:$AA$132&lt;AA29)+(calc!$Z$3:$Z$132&lt;Z29)*(calc!$AA$3:$AA$132&gt;AA29))&gt;0)),0)</f>
        <v/>
      </c>
      <c r="AC29" s="5">
        <f>IF(mos_metrics!I28="","",mos_metrics!I28)</f>
        <v/>
      </c>
      <c r="AD29" s="2">
        <f>AND($J29,ISNUMBER(AC29),correlation!$I$28=1)</f>
        <v/>
      </c>
      <c r="AE29" s="5">
        <f>IF(AD29,$F29,"")</f>
        <v/>
      </c>
      <c r="AF29" s="5">
        <f>IF(AD29,AC29*correlation!$J$28,"")</f>
        <v/>
      </c>
      <c r="AG29" s="5">
        <f>IF(AND(AD29,ISNUMBER(correlation!$F$28)),AF29*correlation!$F$28+correlation!$G$28,"")</f>
        <v/>
      </c>
      <c r="AH29" s="5">
        <f>IF(AND(AD29,ISNUMBER(AG29)),(AE29-AG29)^2,"")</f>
        <v/>
      </c>
      <c r="AI29" s="5">
        <f>IF(AD29,1+SUMPRODUCT(--(calc!$AD$3:$AD$132=TRUE),--(calc!$AE$3:$AE$132&gt;AE29))+(SUMPRODUCT(--(calc!$AD$3:$AD$132=TRUE),--(calc!$AE$3:$AE$132=AE29))-1)/2,"")</f>
        <v/>
      </c>
      <c r="AJ29" s="5">
        <f>IF(AD29,1+SUMPRODUCT(--(calc!$AD$3:$AD$132=TRUE),--(calc!$AF$3:$AF$132&gt;AF29))+(SUMPRODUCT(--(calc!$AD$3:$AD$132=TRUE),--(calc!$AF$3:$AF$132=AF29))-1)/2,"")</f>
        <v/>
      </c>
      <c r="AK29" s="5">
        <f>IF(AD29,SUMPRODUCT(--(calc!$AD$3:$AD$132=TRUE),--(ROW(calc!$AD$3:$AD$132)&gt;ROW(AD29)),--(((calc!$AI$3:$AI$132&gt;AI29)*(calc!$AJ$3:$AJ$132&gt;AJ29)+(calc!$AI$3:$AI$132&lt;AI29)*(calc!$AJ$3:$AJ$132&lt;AJ29))&gt;0))-SUMPRODUCT(--(calc!$AD$3:$AD$132=TRUE),--(ROW(calc!$AD$3:$AD$132)&gt;ROW(AD29)),--(((calc!$AI$3:$AI$132&gt;AI29)*(calc!$AJ$3:$AJ$132&lt;AJ29)+(calc!$AI$3:$AI$132&lt;AI29)*(calc!$AJ$3:$AJ$132&gt;AJ29))&gt;0)),0)</f>
        <v/>
      </c>
      <c r="AL29" s="5">
        <f>IF(mos_metrics!J28="","",mos_metrics!J28)</f>
        <v/>
      </c>
      <c r="AM29" s="2">
        <f>AND($J29,ISNUMBER(AL29),correlation!$I$29=1)</f>
        <v/>
      </c>
      <c r="AN29" s="5">
        <f>IF(AM29,$F29,"")</f>
        <v/>
      </c>
      <c r="AO29" s="5">
        <f>IF(AM29,AL29*correlation!$J$29,"")</f>
        <v/>
      </c>
      <c r="AP29" s="5">
        <f>IF(AND(AM29,ISNUMBER(correlation!$F$29)),AO29*correlation!$F$29+correlation!$G$29,"")</f>
        <v/>
      </c>
      <c r="AQ29" s="5">
        <f>IF(AND(AM29,ISNUMBER(AP29)),(AN29-AP29)^2,"")</f>
        <v/>
      </c>
      <c r="AR29" s="5">
        <f>IF(AM29,1+SUMPRODUCT(--(calc!$AM$3:$AM$132=TRUE),--(calc!$AN$3:$AN$132&gt;AN29))+(SUMPRODUCT(--(calc!$AM$3:$AM$132=TRUE),--(calc!$AN$3:$AN$132=AN29))-1)/2,"")</f>
        <v/>
      </c>
      <c r="AS29" s="5">
        <f>IF(AM29,1+SUMPRODUCT(--(calc!$AM$3:$AM$132=TRUE),--(calc!$AO$3:$AO$132&gt;AO29))+(SUMPRODUCT(--(calc!$AM$3:$AM$132=TRUE),--(calc!$AO$3:$AO$132=AO29))-1)/2,"")</f>
        <v/>
      </c>
      <c r="AT29" s="5">
        <f>IF(AM29,SUMPRODUCT(--(calc!$AM$3:$AM$132=TRUE),--(ROW(calc!$AM$3:$AM$132)&gt;ROW(AM29)),--(((calc!$AR$3:$AR$132&gt;AR29)*(calc!$AS$3:$AS$132&gt;AS29)+(calc!$AR$3:$AR$132&lt;AR29)*(calc!$AS$3:$AS$132&lt;AS29))&gt;0))-SUMPRODUCT(--(calc!$AM$3:$AM$132=TRUE),--(ROW(calc!$AM$3:$AM$132)&gt;ROW(AM29)),--(((calc!$AR$3:$AR$132&gt;AR29)*(calc!$AS$3:$AS$132&lt;AS29)+(calc!$AR$3:$AR$132&lt;AR29)*(calc!$AS$3:$AS$132&gt;AS29))&gt;0)),0)</f>
        <v/>
      </c>
      <c r="AU29" s="5">
        <f>IF(mos_metrics!K28="","",mos_metrics!K28)</f>
        <v/>
      </c>
      <c r="AV29" s="2">
        <f>AND($J29,ISNUMBER(AU29),correlation!$I$30=1)</f>
        <v/>
      </c>
      <c r="AW29" s="5">
        <f>IF(AV29,$F29,"")</f>
        <v/>
      </c>
      <c r="AX29" s="5">
        <f>IF(AV29,AU29*correlation!$J$30,"")</f>
        <v/>
      </c>
      <c r="AY29" s="5">
        <f>IF(AND(AV29,ISNUMBER(correlation!$F$30)),AX29*correlation!$F$30+correlation!$G$30,"")</f>
        <v/>
      </c>
      <c r="AZ29" s="5">
        <f>IF(AND(AV29,ISNUMBER(AY29)),(AW29-AY29)^2,"")</f>
        <v/>
      </c>
      <c r="BA29" s="5">
        <f>IF(AV29,1+SUMPRODUCT(--(calc!$AV$3:$AV$132=TRUE),--(calc!$AW$3:$AW$132&gt;AW29))+(SUMPRODUCT(--(calc!$AV$3:$AV$132=TRUE),--(calc!$AW$3:$AW$132=AW29))-1)/2,"")</f>
        <v/>
      </c>
      <c r="BB29" s="5">
        <f>IF(AV29,1+SUMPRODUCT(--(calc!$AV$3:$AV$132=TRUE),--(calc!$AX$3:$AX$132&gt;AX29))+(SUMPRODUCT(--(calc!$AV$3:$AV$132=TRUE),--(calc!$AX$3:$AX$132=AX29))-1)/2,"")</f>
        <v/>
      </c>
      <c r="BC29" s="5">
        <f>IF(AV29,SUMPRODUCT(--(calc!$AV$3:$AV$132=TRUE),--(ROW(calc!$AV$3:$AV$132)&gt;ROW(AV29)),--(((calc!$BA$3:$BA$132&gt;BA29)*(calc!$BB$3:$BB$132&gt;BB29)+(calc!$BA$3:$BA$132&lt;BA29)*(calc!$BB$3:$BB$132&lt;BB29))&gt;0))-SUMPRODUCT(--(calc!$AV$3:$AV$132=TRUE),--(ROW(calc!$AV$3:$AV$132)&gt;ROW(AV29)),--(((calc!$BA$3:$BA$132&gt;BA29)*(calc!$BB$3:$BB$132&lt;BB29)+(calc!$BA$3:$BA$132&lt;BA29)*(calc!$BB$3:$BB$132&gt;BB29))&gt;0)),0)</f>
        <v/>
      </c>
      <c r="BD29" s="5">
        <f>IF(mos_metrics!L28="","",mos_metrics!L28)</f>
        <v/>
      </c>
      <c r="BE29" s="2">
        <f>AND($J29,ISNUMBER(BD29),correlation!$I$31=1)</f>
        <v/>
      </c>
      <c r="BF29" s="5">
        <f>IF(BE29,$F29,"")</f>
        <v/>
      </c>
      <c r="BG29" s="5">
        <f>IF(BE29,BD29*correlation!$J$31,"")</f>
        <v/>
      </c>
      <c r="BH29" s="5">
        <f>IF(AND(BE29,ISNUMBER(correlation!$F$31)),BG29*correlation!$F$31+correlation!$G$31,"")</f>
        <v/>
      </c>
      <c r="BI29" s="5">
        <f>IF(AND(BE29,ISNUMBER(BH29)),(BF29-BH29)^2,"")</f>
        <v/>
      </c>
      <c r="BJ29" s="5">
        <f>IF(BE29,1+SUMPRODUCT(--(calc!$BE$3:$BE$132=TRUE),--(calc!$BF$3:$BF$132&gt;BF29))+(SUMPRODUCT(--(calc!$BE$3:$BE$132=TRUE),--(calc!$BF$3:$BF$132=BF29))-1)/2,"")</f>
        <v/>
      </c>
      <c r="BK29" s="5">
        <f>IF(BE29,1+SUMPRODUCT(--(calc!$BE$3:$BE$132=TRUE),--(calc!$BG$3:$BG$132&gt;BG29))+(SUMPRODUCT(--(calc!$BE$3:$BE$132=TRUE),--(calc!$BG$3:$BG$132=BG29))-1)/2,"")</f>
        <v/>
      </c>
      <c r="BL29" s="5">
        <f>IF(BE29,SUMPRODUCT(--(calc!$BE$3:$BE$132=TRUE),--(ROW(calc!$BE$3:$BE$132)&gt;ROW(BE29)),--(((calc!$BJ$3:$BJ$132&gt;BJ29)*(calc!$BK$3:$BK$132&gt;BK29)+(calc!$BJ$3:$BJ$132&lt;BJ29)*(calc!$BK$3:$BK$132&lt;BK29))&gt;0))-SUMPRODUCT(--(calc!$BE$3:$BE$132=TRUE),--(ROW(calc!$BE$3:$BE$132)&gt;ROW(BE29)),--(((calc!$BJ$3:$BJ$132&gt;BJ29)*(calc!$BK$3:$BK$132&lt;BK29)+(calc!$BJ$3:$BJ$132&lt;BJ29)*(calc!$BK$3:$BK$132&gt;BK29))&gt;0)),0)</f>
        <v/>
      </c>
      <c r="BM29" s="5">
        <f>IF(mos_metrics!M28="","",mos_metrics!M28)</f>
        <v/>
      </c>
      <c r="BN29" s="2">
        <f>AND($J29,ISNUMBER(BM29),correlation!$I$32=1)</f>
        <v/>
      </c>
      <c r="BO29" s="5">
        <f>IF(BN29,$F29,"")</f>
        <v/>
      </c>
      <c r="BP29" s="5">
        <f>IF(BN29,BM29*correlation!$J$32,"")</f>
        <v/>
      </c>
      <c r="BQ29" s="5">
        <f>IF(AND(BN29,ISNUMBER(correlation!$F$32)),BP29*correlation!$F$32+correlation!$G$32,"")</f>
        <v/>
      </c>
      <c r="BR29" s="5">
        <f>IF(AND(BN29,ISNUMBER(BQ29)),(BO29-BQ29)^2,"")</f>
        <v/>
      </c>
      <c r="BS29" s="5">
        <f>IF(BN29,1+SUMPRODUCT(--(calc!$BN$3:$BN$132=TRUE),--(calc!$BO$3:$BO$132&gt;BO29))+(SUMPRODUCT(--(calc!$BN$3:$BN$132=TRUE),--(calc!$BO$3:$BO$132=BO29))-1)/2,"")</f>
        <v/>
      </c>
      <c r="BT29" s="5">
        <f>IF(BN29,1+SUMPRODUCT(--(calc!$BN$3:$BN$132=TRUE),--(calc!$BP$3:$BP$132&gt;BP29))+(SUMPRODUCT(--(calc!$BN$3:$BN$132=TRUE),--(calc!$BP$3:$BP$132=BP29))-1)/2,"")</f>
        <v/>
      </c>
      <c r="BU29" s="5">
        <f>IF(BN29,SUMPRODUCT(--(calc!$BN$3:$BN$132=TRUE),--(ROW(calc!$BN$3:$BN$132)&gt;ROW(BN29)),--(((calc!$BS$3:$BS$132&gt;BS29)*(calc!$BT$3:$BT$132&gt;BT29)+(calc!$BS$3:$BS$132&lt;BS29)*(calc!$BT$3:$BT$132&lt;BT29))&gt;0))-SUMPRODUCT(--(calc!$BN$3:$BN$132=TRUE),--(ROW(calc!$BN$3:$BN$132)&gt;ROW(BN29)),--(((calc!$BS$3:$BS$132&gt;BS29)*(calc!$BT$3:$BT$132&lt;BT29)+(calc!$BS$3:$BS$132&lt;BS29)*(calc!$BT$3:$BT$132&gt;BT29))&gt;0)),0)</f>
        <v/>
      </c>
    </row>
    <row r="30">
      <c r="A30" s="2">
        <f>mos_metrics!A29</f>
        <v/>
      </c>
      <c r="B30" s="2">
        <f>mos_metrics!B29</f>
        <v/>
      </c>
      <c r="C30" s="2">
        <f>mos_metrics!C29</f>
        <v/>
      </c>
      <c r="D30" s="2">
        <f>mos_metrics!D29</f>
        <v/>
      </c>
      <c r="E30" s="2">
        <f>mos_metrics!E29</f>
        <v/>
      </c>
      <c r="F30" s="2">
        <f>mos_metrics!F29</f>
        <v/>
      </c>
      <c r="G30" s="2">
        <f>IF($B30="","",IFERROR(VLOOKUP($B30,correlation!$A$2:$B$12,2,FALSE),1))</f>
        <v/>
      </c>
      <c r="H30" s="2">
        <f>IF($E30="","",IFERROR(VLOOKUP($E30,correlation!$D$2:$E$8,2,FALSE),1))</f>
        <v/>
      </c>
      <c r="I30" s="2">
        <f>ISNUMBER($F30)</f>
        <v/>
      </c>
      <c r="J30" s="2">
        <f>AND($G30=1,$H30=1,$I30)</f>
        <v/>
      </c>
      <c r="K30" s="5">
        <f>IF(mos_metrics!G29="","",mos_metrics!G29)</f>
        <v/>
      </c>
      <c r="L30" s="2">
        <f>AND($J30,ISNUMBER(K30),correlation!$I$26=1)</f>
        <v/>
      </c>
      <c r="M30" s="5">
        <f>IF(L30,$F30,"")</f>
        <v/>
      </c>
      <c r="N30" s="5">
        <f>IF(L30,K30*correlation!$J$26,"")</f>
        <v/>
      </c>
      <c r="O30" s="5">
        <f>IF(AND(L30,ISNUMBER(correlation!$F$26)),N30*correlation!$F$26+correlation!$G$26,"")</f>
        <v/>
      </c>
      <c r="P30" s="5">
        <f>IF(AND(L30,ISNUMBER(O30)),(M30-O30)^2,"")</f>
        <v/>
      </c>
      <c r="Q30" s="5">
        <f>IF(L30,1+SUMPRODUCT(--(calc!$L$3:$L$132=TRUE),--(calc!$M$3:$M$132&gt;M30))+(SUMPRODUCT(--(calc!$L$3:$L$132=TRUE),--(calc!$M$3:$M$132=M30))-1)/2,"")</f>
        <v/>
      </c>
      <c r="R30" s="5">
        <f>IF(L30,1+SUMPRODUCT(--(calc!$L$3:$L$132=TRUE),--(calc!$N$3:$N$132&gt;N30))+(SUMPRODUCT(--(calc!$L$3:$L$132=TRUE),--(calc!$N$3:$N$132=N30))-1)/2,"")</f>
        <v/>
      </c>
      <c r="S30" s="5">
        <f>IF(L30,SUMPRODUCT(--(calc!$L$3:$L$132=TRUE),--(ROW(calc!$L$3:$L$132)&gt;ROW(L30)),--(((calc!$Q$3:$Q$132&gt;Q30)*(calc!$R$3:$R$132&gt;R30)+(calc!$Q$3:$Q$132&lt;Q30)*(calc!$R$3:$R$132&lt;R30))&gt;0))-SUMPRODUCT(--(calc!$L$3:$L$132=TRUE),--(ROW(calc!$L$3:$L$132)&gt;ROW(L30)),--(((calc!$Q$3:$Q$132&gt;Q30)*(calc!$R$3:$R$132&lt;R30)+(calc!$Q$3:$Q$132&lt;Q30)*(calc!$R$3:$R$132&gt;R30))&gt;0)),0)</f>
        <v/>
      </c>
      <c r="T30" s="5">
        <f>IF(mos_metrics!H29="","",mos_metrics!H29)</f>
        <v/>
      </c>
      <c r="U30" s="2">
        <f>AND($J30,ISNUMBER(T30),correlation!$I$27=1)</f>
        <v/>
      </c>
      <c r="V30" s="5">
        <f>IF(U30,$F30,"")</f>
        <v/>
      </c>
      <c r="W30" s="5">
        <f>IF(U30,T30*correlation!$J$27,"")</f>
        <v/>
      </c>
      <c r="X30" s="5">
        <f>IF(AND(U30,ISNUMBER(correlation!$F$27)),W30*correlation!$F$27+correlation!$G$27,"")</f>
        <v/>
      </c>
      <c r="Y30" s="5">
        <f>IF(AND(U30,ISNUMBER(X30)),(V30-X30)^2,"")</f>
        <v/>
      </c>
      <c r="Z30" s="5">
        <f>IF(U30,1+SUMPRODUCT(--(calc!$U$3:$U$132=TRUE),--(calc!$V$3:$V$132&gt;V30))+(SUMPRODUCT(--(calc!$U$3:$U$132=TRUE),--(calc!$V$3:$V$132=V30))-1)/2,"")</f>
        <v/>
      </c>
      <c r="AA30" s="5">
        <f>IF(U30,1+SUMPRODUCT(--(calc!$U$3:$U$132=TRUE),--(calc!$W$3:$W$132&gt;W30))+(SUMPRODUCT(--(calc!$U$3:$U$132=TRUE),--(calc!$W$3:$W$132=W30))-1)/2,"")</f>
        <v/>
      </c>
      <c r="AB30" s="5">
        <f>IF(U30,SUMPRODUCT(--(calc!$U$3:$U$132=TRUE),--(ROW(calc!$U$3:$U$132)&gt;ROW(U30)),--(((calc!$Z$3:$Z$132&gt;Z30)*(calc!$AA$3:$AA$132&gt;AA30)+(calc!$Z$3:$Z$132&lt;Z30)*(calc!$AA$3:$AA$132&lt;AA30))&gt;0))-SUMPRODUCT(--(calc!$U$3:$U$132=TRUE),--(ROW(calc!$U$3:$U$132)&gt;ROW(U30)),--(((calc!$Z$3:$Z$132&gt;Z30)*(calc!$AA$3:$AA$132&lt;AA30)+(calc!$Z$3:$Z$132&lt;Z30)*(calc!$AA$3:$AA$132&gt;AA30))&gt;0)),0)</f>
        <v/>
      </c>
      <c r="AC30" s="5">
        <f>IF(mos_metrics!I29="","",mos_metrics!I29)</f>
        <v/>
      </c>
      <c r="AD30" s="2">
        <f>AND($J30,ISNUMBER(AC30),correlation!$I$28=1)</f>
        <v/>
      </c>
      <c r="AE30" s="5">
        <f>IF(AD30,$F30,"")</f>
        <v/>
      </c>
      <c r="AF30" s="5">
        <f>IF(AD30,AC30*correlation!$J$28,"")</f>
        <v/>
      </c>
      <c r="AG30" s="5">
        <f>IF(AND(AD30,ISNUMBER(correlation!$F$28)),AF30*correlation!$F$28+correlation!$G$28,"")</f>
        <v/>
      </c>
      <c r="AH30" s="5">
        <f>IF(AND(AD30,ISNUMBER(AG30)),(AE30-AG30)^2,"")</f>
        <v/>
      </c>
      <c r="AI30" s="5">
        <f>IF(AD30,1+SUMPRODUCT(--(calc!$AD$3:$AD$132=TRUE),--(calc!$AE$3:$AE$132&gt;AE30))+(SUMPRODUCT(--(calc!$AD$3:$AD$132=TRUE),--(calc!$AE$3:$AE$132=AE30))-1)/2,"")</f>
        <v/>
      </c>
      <c r="AJ30" s="5">
        <f>IF(AD30,1+SUMPRODUCT(--(calc!$AD$3:$AD$132=TRUE),--(calc!$AF$3:$AF$132&gt;AF30))+(SUMPRODUCT(--(calc!$AD$3:$AD$132=TRUE),--(calc!$AF$3:$AF$132=AF30))-1)/2,"")</f>
        <v/>
      </c>
      <c r="AK30" s="5">
        <f>IF(AD30,SUMPRODUCT(--(calc!$AD$3:$AD$132=TRUE),--(ROW(calc!$AD$3:$AD$132)&gt;ROW(AD30)),--(((calc!$AI$3:$AI$132&gt;AI30)*(calc!$AJ$3:$AJ$132&gt;AJ30)+(calc!$AI$3:$AI$132&lt;AI30)*(calc!$AJ$3:$AJ$132&lt;AJ30))&gt;0))-SUMPRODUCT(--(calc!$AD$3:$AD$132=TRUE),--(ROW(calc!$AD$3:$AD$132)&gt;ROW(AD30)),--(((calc!$AI$3:$AI$132&gt;AI30)*(calc!$AJ$3:$AJ$132&lt;AJ30)+(calc!$AI$3:$AI$132&lt;AI30)*(calc!$AJ$3:$AJ$132&gt;AJ30))&gt;0)),0)</f>
        <v/>
      </c>
      <c r="AL30" s="5">
        <f>IF(mos_metrics!J29="","",mos_metrics!J29)</f>
        <v/>
      </c>
      <c r="AM30" s="2">
        <f>AND($J30,ISNUMBER(AL30),correlation!$I$29=1)</f>
        <v/>
      </c>
      <c r="AN30" s="5">
        <f>IF(AM30,$F30,"")</f>
        <v/>
      </c>
      <c r="AO30" s="5">
        <f>IF(AM30,AL30*correlation!$J$29,"")</f>
        <v/>
      </c>
      <c r="AP30" s="5">
        <f>IF(AND(AM30,ISNUMBER(correlation!$F$29)),AO30*correlation!$F$29+correlation!$G$29,"")</f>
        <v/>
      </c>
      <c r="AQ30" s="5">
        <f>IF(AND(AM30,ISNUMBER(AP30)),(AN30-AP30)^2,"")</f>
        <v/>
      </c>
      <c r="AR30" s="5">
        <f>IF(AM30,1+SUMPRODUCT(--(calc!$AM$3:$AM$132=TRUE),--(calc!$AN$3:$AN$132&gt;AN30))+(SUMPRODUCT(--(calc!$AM$3:$AM$132=TRUE),--(calc!$AN$3:$AN$132=AN30))-1)/2,"")</f>
        <v/>
      </c>
      <c r="AS30" s="5">
        <f>IF(AM30,1+SUMPRODUCT(--(calc!$AM$3:$AM$132=TRUE),--(calc!$AO$3:$AO$132&gt;AO30))+(SUMPRODUCT(--(calc!$AM$3:$AM$132=TRUE),--(calc!$AO$3:$AO$132=AO30))-1)/2,"")</f>
        <v/>
      </c>
      <c r="AT30" s="5">
        <f>IF(AM30,SUMPRODUCT(--(calc!$AM$3:$AM$132=TRUE),--(ROW(calc!$AM$3:$AM$132)&gt;ROW(AM30)),--(((calc!$AR$3:$AR$132&gt;AR30)*(calc!$AS$3:$AS$132&gt;AS30)+(calc!$AR$3:$AR$132&lt;AR30)*(calc!$AS$3:$AS$132&lt;AS30))&gt;0))-SUMPRODUCT(--(calc!$AM$3:$AM$132=TRUE),--(ROW(calc!$AM$3:$AM$132)&gt;ROW(AM30)),--(((calc!$AR$3:$AR$132&gt;AR30)*(calc!$AS$3:$AS$132&lt;AS30)+(calc!$AR$3:$AR$132&lt;AR30)*(calc!$AS$3:$AS$132&gt;AS30))&gt;0)),0)</f>
        <v/>
      </c>
      <c r="AU30" s="5">
        <f>IF(mos_metrics!K29="","",mos_metrics!K29)</f>
        <v/>
      </c>
      <c r="AV30" s="2">
        <f>AND($J30,ISNUMBER(AU30),correlation!$I$30=1)</f>
        <v/>
      </c>
      <c r="AW30" s="5">
        <f>IF(AV30,$F30,"")</f>
        <v/>
      </c>
      <c r="AX30" s="5">
        <f>IF(AV30,AU30*correlation!$J$30,"")</f>
        <v/>
      </c>
      <c r="AY30" s="5">
        <f>IF(AND(AV30,ISNUMBER(correlation!$F$30)),AX30*correlation!$F$30+correlation!$G$30,"")</f>
        <v/>
      </c>
      <c r="AZ30" s="5">
        <f>IF(AND(AV30,ISNUMBER(AY30)),(AW30-AY30)^2,"")</f>
        <v/>
      </c>
      <c r="BA30" s="5">
        <f>IF(AV30,1+SUMPRODUCT(--(calc!$AV$3:$AV$132=TRUE),--(calc!$AW$3:$AW$132&gt;AW30))+(SUMPRODUCT(--(calc!$AV$3:$AV$132=TRUE),--(calc!$AW$3:$AW$132=AW30))-1)/2,"")</f>
        <v/>
      </c>
      <c r="BB30" s="5">
        <f>IF(AV30,1+SUMPRODUCT(--(calc!$AV$3:$AV$132=TRUE),--(calc!$AX$3:$AX$132&gt;AX30))+(SUMPRODUCT(--(calc!$AV$3:$AV$132=TRUE),--(calc!$AX$3:$AX$132=AX30))-1)/2,"")</f>
        <v/>
      </c>
      <c r="BC30" s="5">
        <f>IF(AV30,SUMPRODUCT(--(calc!$AV$3:$AV$132=TRUE),--(ROW(calc!$AV$3:$AV$132)&gt;ROW(AV30)),--(((calc!$BA$3:$BA$132&gt;BA30)*(calc!$BB$3:$BB$132&gt;BB30)+(calc!$BA$3:$BA$132&lt;BA30)*(calc!$BB$3:$BB$132&lt;BB30))&gt;0))-SUMPRODUCT(--(calc!$AV$3:$AV$132=TRUE),--(ROW(calc!$AV$3:$AV$132)&gt;ROW(AV30)),--(((calc!$BA$3:$BA$132&gt;BA30)*(calc!$BB$3:$BB$132&lt;BB30)+(calc!$BA$3:$BA$132&lt;BA30)*(calc!$BB$3:$BB$132&gt;BB30))&gt;0)),0)</f>
        <v/>
      </c>
      <c r="BD30" s="5">
        <f>IF(mos_metrics!L29="","",mos_metrics!L29)</f>
        <v/>
      </c>
      <c r="BE30" s="2">
        <f>AND($J30,ISNUMBER(BD30),correlation!$I$31=1)</f>
        <v/>
      </c>
      <c r="BF30" s="5">
        <f>IF(BE30,$F30,"")</f>
        <v/>
      </c>
      <c r="BG30" s="5">
        <f>IF(BE30,BD30*correlation!$J$31,"")</f>
        <v/>
      </c>
      <c r="BH30" s="5">
        <f>IF(AND(BE30,ISNUMBER(correlation!$F$31)),BG30*correlation!$F$31+correlation!$G$31,"")</f>
        <v/>
      </c>
      <c r="BI30" s="5">
        <f>IF(AND(BE30,ISNUMBER(BH30)),(BF30-BH30)^2,"")</f>
        <v/>
      </c>
      <c r="BJ30" s="5">
        <f>IF(BE30,1+SUMPRODUCT(--(calc!$BE$3:$BE$132=TRUE),--(calc!$BF$3:$BF$132&gt;BF30))+(SUMPRODUCT(--(calc!$BE$3:$BE$132=TRUE),--(calc!$BF$3:$BF$132=BF30))-1)/2,"")</f>
        <v/>
      </c>
      <c r="BK30" s="5">
        <f>IF(BE30,1+SUMPRODUCT(--(calc!$BE$3:$BE$132=TRUE),--(calc!$BG$3:$BG$132&gt;BG30))+(SUMPRODUCT(--(calc!$BE$3:$BE$132=TRUE),--(calc!$BG$3:$BG$132=BG30))-1)/2,"")</f>
        <v/>
      </c>
      <c r="BL30" s="5">
        <f>IF(BE30,SUMPRODUCT(--(calc!$BE$3:$BE$132=TRUE),--(ROW(calc!$BE$3:$BE$132)&gt;ROW(BE30)),--(((calc!$BJ$3:$BJ$132&gt;BJ30)*(calc!$BK$3:$BK$132&gt;BK30)+(calc!$BJ$3:$BJ$132&lt;BJ30)*(calc!$BK$3:$BK$132&lt;BK30))&gt;0))-SUMPRODUCT(--(calc!$BE$3:$BE$132=TRUE),--(ROW(calc!$BE$3:$BE$132)&gt;ROW(BE30)),--(((calc!$BJ$3:$BJ$132&gt;BJ30)*(calc!$BK$3:$BK$132&lt;BK30)+(calc!$BJ$3:$BJ$132&lt;BJ30)*(calc!$BK$3:$BK$132&gt;BK30))&gt;0)),0)</f>
        <v/>
      </c>
      <c r="BM30" s="5">
        <f>IF(mos_metrics!M29="","",mos_metrics!M29)</f>
        <v/>
      </c>
      <c r="BN30" s="2">
        <f>AND($J30,ISNUMBER(BM30),correlation!$I$32=1)</f>
        <v/>
      </c>
      <c r="BO30" s="5">
        <f>IF(BN30,$F30,"")</f>
        <v/>
      </c>
      <c r="BP30" s="5">
        <f>IF(BN30,BM30*correlation!$J$32,"")</f>
        <v/>
      </c>
      <c r="BQ30" s="5">
        <f>IF(AND(BN30,ISNUMBER(correlation!$F$32)),BP30*correlation!$F$32+correlation!$G$32,"")</f>
        <v/>
      </c>
      <c r="BR30" s="5">
        <f>IF(AND(BN30,ISNUMBER(BQ30)),(BO30-BQ30)^2,"")</f>
        <v/>
      </c>
      <c r="BS30" s="5">
        <f>IF(BN30,1+SUMPRODUCT(--(calc!$BN$3:$BN$132=TRUE),--(calc!$BO$3:$BO$132&gt;BO30))+(SUMPRODUCT(--(calc!$BN$3:$BN$132=TRUE),--(calc!$BO$3:$BO$132=BO30))-1)/2,"")</f>
        <v/>
      </c>
      <c r="BT30" s="5">
        <f>IF(BN30,1+SUMPRODUCT(--(calc!$BN$3:$BN$132=TRUE),--(calc!$BP$3:$BP$132&gt;BP30))+(SUMPRODUCT(--(calc!$BN$3:$BN$132=TRUE),--(calc!$BP$3:$BP$132=BP30))-1)/2,"")</f>
        <v/>
      </c>
      <c r="BU30" s="5">
        <f>IF(BN30,SUMPRODUCT(--(calc!$BN$3:$BN$132=TRUE),--(ROW(calc!$BN$3:$BN$132)&gt;ROW(BN30)),--(((calc!$BS$3:$BS$132&gt;BS30)*(calc!$BT$3:$BT$132&gt;BT30)+(calc!$BS$3:$BS$132&lt;BS30)*(calc!$BT$3:$BT$132&lt;BT30))&gt;0))-SUMPRODUCT(--(calc!$BN$3:$BN$132=TRUE),--(ROW(calc!$BN$3:$BN$132)&gt;ROW(BN30)),--(((calc!$BS$3:$BS$132&gt;BS30)*(calc!$BT$3:$BT$132&lt;BT30)+(calc!$BS$3:$BS$132&lt;BS30)*(calc!$BT$3:$BT$132&gt;BT30))&gt;0)),0)</f>
        <v/>
      </c>
    </row>
    <row r="31">
      <c r="A31" s="2">
        <f>mos_metrics!A30</f>
        <v/>
      </c>
      <c r="B31" s="2">
        <f>mos_metrics!B30</f>
        <v/>
      </c>
      <c r="C31" s="2">
        <f>mos_metrics!C30</f>
        <v/>
      </c>
      <c r="D31" s="2">
        <f>mos_metrics!D30</f>
        <v/>
      </c>
      <c r="E31" s="2">
        <f>mos_metrics!E30</f>
        <v/>
      </c>
      <c r="F31" s="2">
        <f>mos_metrics!F30</f>
        <v/>
      </c>
      <c r="G31" s="2">
        <f>IF($B31="","",IFERROR(VLOOKUP($B31,correlation!$A$2:$B$12,2,FALSE),1))</f>
        <v/>
      </c>
      <c r="H31" s="2">
        <f>IF($E31="","",IFERROR(VLOOKUP($E31,correlation!$D$2:$E$8,2,FALSE),1))</f>
        <v/>
      </c>
      <c r="I31" s="2">
        <f>ISNUMBER($F31)</f>
        <v/>
      </c>
      <c r="J31" s="2">
        <f>AND($G31=1,$H31=1,$I31)</f>
        <v/>
      </c>
      <c r="K31" s="5">
        <f>IF(mos_metrics!G30="","",mos_metrics!G30)</f>
        <v/>
      </c>
      <c r="L31" s="2">
        <f>AND($J31,ISNUMBER(K31),correlation!$I$26=1)</f>
        <v/>
      </c>
      <c r="M31" s="5">
        <f>IF(L31,$F31,"")</f>
        <v/>
      </c>
      <c r="N31" s="5">
        <f>IF(L31,K31*correlation!$J$26,"")</f>
        <v/>
      </c>
      <c r="O31" s="5">
        <f>IF(AND(L31,ISNUMBER(correlation!$F$26)),N31*correlation!$F$26+correlation!$G$26,"")</f>
        <v/>
      </c>
      <c r="P31" s="5">
        <f>IF(AND(L31,ISNUMBER(O31)),(M31-O31)^2,"")</f>
        <v/>
      </c>
      <c r="Q31" s="5">
        <f>IF(L31,1+SUMPRODUCT(--(calc!$L$3:$L$132=TRUE),--(calc!$M$3:$M$132&gt;M31))+(SUMPRODUCT(--(calc!$L$3:$L$132=TRUE),--(calc!$M$3:$M$132=M31))-1)/2,"")</f>
        <v/>
      </c>
      <c r="R31" s="5">
        <f>IF(L31,1+SUMPRODUCT(--(calc!$L$3:$L$132=TRUE),--(calc!$N$3:$N$132&gt;N31))+(SUMPRODUCT(--(calc!$L$3:$L$132=TRUE),--(calc!$N$3:$N$132=N31))-1)/2,"")</f>
        <v/>
      </c>
      <c r="S31" s="5">
        <f>IF(L31,SUMPRODUCT(--(calc!$L$3:$L$132=TRUE),--(ROW(calc!$L$3:$L$132)&gt;ROW(L31)),--(((calc!$Q$3:$Q$132&gt;Q31)*(calc!$R$3:$R$132&gt;R31)+(calc!$Q$3:$Q$132&lt;Q31)*(calc!$R$3:$R$132&lt;R31))&gt;0))-SUMPRODUCT(--(calc!$L$3:$L$132=TRUE),--(ROW(calc!$L$3:$L$132)&gt;ROW(L31)),--(((calc!$Q$3:$Q$132&gt;Q31)*(calc!$R$3:$R$132&lt;R31)+(calc!$Q$3:$Q$132&lt;Q31)*(calc!$R$3:$R$132&gt;R31))&gt;0)),0)</f>
        <v/>
      </c>
      <c r="T31" s="5">
        <f>IF(mos_metrics!H30="","",mos_metrics!H30)</f>
        <v/>
      </c>
      <c r="U31" s="2">
        <f>AND($J31,ISNUMBER(T31),correlation!$I$27=1)</f>
        <v/>
      </c>
      <c r="V31" s="5">
        <f>IF(U31,$F31,"")</f>
        <v/>
      </c>
      <c r="W31" s="5">
        <f>IF(U31,T31*correlation!$J$27,"")</f>
        <v/>
      </c>
      <c r="X31" s="5">
        <f>IF(AND(U31,ISNUMBER(correlation!$F$27)),W31*correlation!$F$27+correlation!$G$27,"")</f>
        <v/>
      </c>
      <c r="Y31" s="5">
        <f>IF(AND(U31,ISNUMBER(X31)),(V31-X31)^2,"")</f>
        <v/>
      </c>
      <c r="Z31" s="5">
        <f>IF(U31,1+SUMPRODUCT(--(calc!$U$3:$U$132=TRUE),--(calc!$V$3:$V$132&gt;V31))+(SUMPRODUCT(--(calc!$U$3:$U$132=TRUE),--(calc!$V$3:$V$132=V31))-1)/2,"")</f>
        <v/>
      </c>
      <c r="AA31" s="5">
        <f>IF(U31,1+SUMPRODUCT(--(calc!$U$3:$U$132=TRUE),--(calc!$W$3:$W$132&gt;W31))+(SUMPRODUCT(--(calc!$U$3:$U$132=TRUE),--(calc!$W$3:$W$132=W31))-1)/2,"")</f>
        <v/>
      </c>
      <c r="AB31" s="5">
        <f>IF(U31,SUMPRODUCT(--(calc!$U$3:$U$132=TRUE),--(ROW(calc!$U$3:$U$132)&gt;ROW(U31)),--(((calc!$Z$3:$Z$132&gt;Z31)*(calc!$AA$3:$AA$132&gt;AA31)+(calc!$Z$3:$Z$132&lt;Z31)*(calc!$AA$3:$AA$132&lt;AA31))&gt;0))-SUMPRODUCT(--(calc!$U$3:$U$132=TRUE),--(ROW(calc!$U$3:$U$132)&gt;ROW(U31)),--(((calc!$Z$3:$Z$132&gt;Z31)*(calc!$AA$3:$AA$132&lt;AA31)+(calc!$Z$3:$Z$132&lt;Z31)*(calc!$AA$3:$AA$132&gt;AA31))&gt;0)),0)</f>
        <v/>
      </c>
      <c r="AC31" s="5">
        <f>IF(mos_metrics!I30="","",mos_metrics!I30)</f>
        <v/>
      </c>
      <c r="AD31" s="2">
        <f>AND($J31,ISNUMBER(AC31),correlation!$I$28=1)</f>
        <v/>
      </c>
      <c r="AE31" s="5">
        <f>IF(AD31,$F31,"")</f>
        <v/>
      </c>
      <c r="AF31" s="5">
        <f>IF(AD31,AC31*correlation!$J$28,"")</f>
        <v/>
      </c>
      <c r="AG31" s="5">
        <f>IF(AND(AD31,ISNUMBER(correlation!$F$28)),AF31*correlation!$F$28+correlation!$G$28,"")</f>
        <v/>
      </c>
      <c r="AH31" s="5">
        <f>IF(AND(AD31,ISNUMBER(AG31)),(AE31-AG31)^2,"")</f>
        <v/>
      </c>
      <c r="AI31" s="5">
        <f>IF(AD31,1+SUMPRODUCT(--(calc!$AD$3:$AD$132=TRUE),--(calc!$AE$3:$AE$132&gt;AE31))+(SUMPRODUCT(--(calc!$AD$3:$AD$132=TRUE),--(calc!$AE$3:$AE$132=AE31))-1)/2,"")</f>
        <v/>
      </c>
      <c r="AJ31" s="5">
        <f>IF(AD31,1+SUMPRODUCT(--(calc!$AD$3:$AD$132=TRUE),--(calc!$AF$3:$AF$132&gt;AF31))+(SUMPRODUCT(--(calc!$AD$3:$AD$132=TRUE),--(calc!$AF$3:$AF$132=AF31))-1)/2,"")</f>
        <v/>
      </c>
      <c r="AK31" s="5">
        <f>IF(AD31,SUMPRODUCT(--(calc!$AD$3:$AD$132=TRUE),--(ROW(calc!$AD$3:$AD$132)&gt;ROW(AD31)),--(((calc!$AI$3:$AI$132&gt;AI31)*(calc!$AJ$3:$AJ$132&gt;AJ31)+(calc!$AI$3:$AI$132&lt;AI31)*(calc!$AJ$3:$AJ$132&lt;AJ31))&gt;0))-SUMPRODUCT(--(calc!$AD$3:$AD$132=TRUE),--(ROW(calc!$AD$3:$AD$132)&gt;ROW(AD31)),--(((calc!$AI$3:$AI$132&gt;AI31)*(calc!$AJ$3:$AJ$132&lt;AJ31)+(calc!$AI$3:$AI$132&lt;AI31)*(calc!$AJ$3:$AJ$132&gt;AJ31))&gt;0)),0)</f>
        <v/>
      </c>
      <c r="AL31" s="5">
        <f>IF(mos_metrics!J30="","",mos_metrics!J30)</f>
        <v/>
      </c>
      <c r="AM31" s="2">
        <f>AND($J31,ISNUMBER(AL31),correlation!$I$29=1)</f>
        <v/>
      </c>
      <c r="AN31" s="5">
        <f>IF(AM31,$F31,"")</f>
        <v/>
      </c>
      <c r="AO31" s="5">
        <f>IF(AM31,AL31*correlation!$J$29,"")</f>
        <v/>
      </c>
      <c r="AP31" s="5">
        <f>IF(AND(AM31,ISNUMBER(correlation!$F$29)),AO31*correlation!$F$29+correlation!$G$29,"")</f>
        <v/>
      </c>
      <c r="AQ31" s="5">
        <f>IF(AND(AM31,ISNUMBER(AP31)),(AN31-AP31)^2,"")</f>
        <v/>
      </c>
      <c r="AR31" s="5">
        <f>IF(AM31,1+SUMPRODUCT(--(calc!$AM$3:$AM$132=TRUE),--(calc!$AN$3:$AN$132&gt;AN31))+(SUMPRODUCT(--(calc!$AM$3:$AM$132=TRUE),--(calc!$AN$3:$AN$132=AN31))-1)/2,"")</f>
        <v/>
      </c>
      <c r="AS31" s="5">
        <f>IF(AM31,1+SUMPRODUCT(--(calc!$AM$3:$AM$132=TRUE),--(calc!$AO$3:$AO$132&gt;AO31))+(SUMPRODUCT(--(calc!$AM$3:$AM$132=TRUE),--(calc!$AO$3:$AO$132=AO31))-1)/2,"")</f>
        <v/>
      </c>
      <c r="AT31" s="5">
        <f>IF(AM31,SUMPRODUCT(--(calc!$AM$3:$AM$132=TRUE),--(ROW(calc!$AM$3:$AM$132)&gt;ROW(AM31)),--(((calc!$AR$3:$AR$132&gt;AR31)*(calc!$AS$3:$AS$132&gt;AS31)+(calc!$AR$3:$AR$132&lt;AR31)*(calc!$AS$3:$AS$132&lt;AS31))&gt;0))-SUMPRODUCT(--(calc!$AM$3:$AM$132=TRUE),--(ROW(calc!$AM$3:$AM$132)&gt;ROW(AM31)),--(((calc!$AR$3:$AR$132&gt;AR31)*(calc!$AS$3:$AS$132&lt;AS31)+(calc!$AR$3:$AR$132&lt;AR31)*(calc!$AS$3:$AS$132&gt;AS31))&gt;0)),0)</f>
        <v/>
      </c>
      <c r="AU31" s="5">
        <f>IF(mos_metrics!K30="","",mos_metrics!K30)</f>
        <v/>
      </c>
      <c r="AV31" s="2">
        <f>AND($J31,ISNUMBER(AU31),correlation!$I$30=1)</f>
        <v/>
      </c>
      <c r="AW31" s="5">
        <f>IF(AV31,$F31,"")</f>
        <v/>
      </c>
      <c r="AX31" s="5">
        <f>IF(AV31,AU31*correlation!$J$30,"")</f>
        <v/>
      </c>
      <c r="AY31" s="5">
        <f>IF(AND(AV31,ISNUMBER(correlation!$F$30)),AX31*correlation!$F$30+correlation!$G$30,"")</f>
        <v/>
      </c>
      <c r="AZ31" s="5">
        <f>IF(AND(AV31,ISNUMBER(AY31)),(AW31-AY31)^2,"")</f>
        <v/>
      </c>
      <c r="BA31" s="5">
        <f>IF(AV31,1+SUMPRODUCT(--(calc!$AV$3:$AV$132=TRUE),--(calc!$AW$3:$AW$132&gt;AW31))+(SUMPRODUCT(--(calc!$AV$3:$AV$132=TRUE),--(calc!$AW$3:$AW$132=AW31))-1)/2,"")</f>
        <v/>
      </c>
      <c r="BB31" s="5">
        <f>IF(AV31,1+SUMPRODUCT(--(calc!$AV$3:$AV$132=TRUE),--(calc!$AX$3:$AX$132&gt;AX31))+(SUMPRODUCT(--(calc!$AV$3:$AV$132=TRUE),--(calc!$AX$3:$AX$132=AX31))-1)/2,"")</f>
        <v/>
      </c>
      <c r="BC31" s="5">
        <f>IF(AV31,SUMPRODUCT(--(calc!$AV$3:$AV$132=TRUE),--(ROW(calc!$AV$3:$AV$132)&gt;ROW(AV31)),--(((calc!$BA$3:$BA$132&gt;BA31)*(calc!$BB$3:$BB$132&gt;BB31)+(calc!$BA$3:$BA$132&lt;BA31)*(calc!$BB$3:$BB$132&lt;BB31))&gt;0))-SUMPRODUCT(--(calc!$AV$3:$AV$132=TRUE),--(ROW(calc!$AV$3:$AV$132)&gt;ROW(AV31)),--(((calc!$BA$3:$BA$132&gt;BA31)*(calc!$BB$3:$BB$132&lt;BB31)+(calc!$BA$3:$BA$132&lt;BA31)*(calc!$BB$3:$BB$132&gt;BB31))&gt;0)),0)</f>
        <v/>
      </c>
      <c r="BD31" s="5">
        <f>IF(mos_metrics!L30="","",mos_metrics!L30)</f>
        <v/>
      </c>
      <c r="BE31" s="2">
        <f>AND($J31,ISNUMBER(BD31),correlation!$I$31=1)</f>
        <v/>
      </c>
      <c r="BF31" s="5">
        <f>IF(BE31,$F31,"")</f>
        <v/>
      </c>
      <c r="BG31" s="5">
        <f>IF(BE31,BD31*correlation!$J$31,"")</f>
        <v/>
      </c>
      <c r="BH31" s="5">
        <f>IF(AND(BE31,ISNUMBER(correlation!$F$31)),BG31*correlation!$F$31+correlation!$G$31,"")</f>
        <v/>
      </c>
      <c r="BI31" s="5">
        <f>IF(AND(BE31,ISNUMBER(BH31)),(BF31-BH31)^2,"")</f>
        <v/>
      </c>
      <c r="BJ31" s="5">
        <f>IF(BE31,1+SUMPRODUCT(--(calc!$BE$3:$BE$132=TRUE),--(calc!$BF$3:$BF$132&gt;BF31))+(SUMPRODUCT(--(calc!$BE$3:$BE$132=TRUE),--(calc!$BF$3:$BF$132=BF31))-1)/2,"")</f>
        <v/>
      </c>
      <c r="BK31" s="5">
        <f>IF(BE31,1+SUMPRODUCT(--(calc!$BE$3:$BE$132=TRUE),--(calc!$BG$3:$BG$132&gt;BG31))+(SUMPRODUCT(--(calc!$BE$3:$BE$132=TRUE),--(calc!$BG$3:$BG$132=BG31))-1)/2,"")</f>
        <v/>
      </c>
      <c r="BL31" s="5">
        <f>IF(BE31,SUMPRODUCT(--(calc!$BE$3:$BE$132=TRUE),--(ROW(calc!$BE$3:$BE$132)&gt;ROW(BE31)),--(((calc!$BJ$3:$BJ$132&gt;BJ31)*(calc!$BK$3:$BK$132&gt;BK31)+(calc!$BJ$3:$BJ$132&lt;BJ31)*(calc!$BK$3:$BK$132&lt;BK31))&gt;0))-SUMPRODUCT(--(calc!$BE$3:$BE$132=TRUE),--(ROW(calc!$BE$3:$BE$132)&gt;ROW(BE31)),--(((calc!$BJ$3:$BJ$132&gt;BJ31)*(calc!$BK$3:$BK$132&lt;BK31)+(calc!$BJ$3:$BJ$132&lt;BJ31)*(calc!$BK$3:$BK$132&gt;BK31))&gt;0)),0)</f>
        <v/>
      </c>
      <c r="BM31" s="5">
        <f>IF(mos_metrics!M30="","",mos_metrics!M30)</f>
        <v/>
      </c>
      <c r="BN31" s="2">
        <f>AND($J31,ISNUMBER(BM31),correlation!$I$32=1)</f>
        <v/>
      </c>
      <c r="BO31" s="5">
        <f>IF(BN31,$F31,"")</f>
        <v/>
      </c>
      <c r="BP31" s="5">
        <f>IF(BN31,BM31*correlation!$J$32,"")</f>
        <v/>
      </c>
      <c r="BQ31" s="5">
        <f>IF(AND(BN31,ISNUMBER(correlation!$F$32)),BP31*correlation!$F$32+correlation!$G$32,"")</f>
        <v/>
      </c>
      <c r="BR31" s="5">
        <f>IF(AND(BN31,ISNUMBER(BQ31)),(BO31-BQ31)^2,"")</f>
        <v/>
      </c>
      <c r="BS31" s="5">
        <f>IF(BN31,1+SUMPRODUCT(--(calc!$BN$3:$BN$132=TRUE),--(calc!$BO$3:$BO$132&gt;BO31))+(SUMPRODUCT(--(calc!$BN$3:$BN$132=TRUE),--(calc!$BO$3:$BO$132=BO31))-1)/2,"")</f>
        <v/>
      </c>
      <c r="BT31" s="5">
        <f>IF(BN31,1+SUMPRODUCT(--(calc!$BN$3:$BN$132=TRUE),--(calc!$BP$3:$BP$132&gt;BP31))+(SUMPRODUCT(--(calc!$BN$3:$BN$132=TRUE),--(calc!$BP$3:$BP$132=BP31))-1)/2,"")</f>
        <v/>
      </c>
      <c r="BU31" s="5">
        <f>IF(BN31,SUMPRODUCT(--(calc!$BN$3:$BN$132=TRUE),--(ROW(calc!$BN$3:$BN$132)&gt;ROW(BN31)),--(((calc!$BS$3:$BS$132&gt;BS31)*(calc!$BT$3:$BT$132&gt;BT31)+(calc!$BS$3:$BS$132&lt;BS31)*(calc!$BT$3:$BT$132&lt;BT31))&gt;0))-SUMPRODUCT(--(calc!$BN$3:$BN$132=TRUE),--(ROW(calc!$BN$3:$BN$132)&gt;ROW(BN31)),--(((calc!$BS$3:$BS$132&gt;BS31)*(calc!$BT$3:$BT$132&lt;BT31)+(calc!$BS$3:$BS$132&lt;BS31)*(calc!$BT$3:$BT$132&gt;BT31))&gt;0)),0)</f>
        <v/>
      </c>
    </row>
    <row r="32">
      <c r="A32" s="2">
        <f>mos_metrics!A31</f>
        <v/>
      </c>
      <c r="B32" s="2">
        <f>mos_metrics!B31</f>
        <v/>
      </c>
      <c r="C32" s="2">
        <f>mos_metrics!C31</f>
        <v/>
      </c>
      <c r="D32" s="2">
        <f>mos_metrics!D31</f>
        <v/>
      </c>
      <c r="E32" s="2">
        <f>mos_metrics!E31</f>
        <v/>
      </c>
      <c r="F32" s="2">
        <f>mos_metrics!F31</f>
        <v/>
      </c>
      <c r="G32" s="2">
        <f>IF($B32="","",IFERROR(VLOOKUP($B32,correlation!$A$2:$B$12,2,FALSE),1))</f>
        <v/>
      </c>
      <c r="H32" s="2">
        <f>IF($E32="","",IFERROR(VLOOKUP($E32,correlation!$D$2:$E$8,2,FALSE),1))</f>
        <v/>
      </c>
      <c r="I32" s="2">
        <f>ISNUMBER($F32)</f>
        <v/>
      </c>
      <c r="J32" s="2">
        <f>AND($G32=1,$H32=1,$I32)</f>
        <v/>
      </c>
      <c r="K32" s="5">
        <f>IF(mos_metrics!G31="","",mos_metrics!G31)</f>
        <v/>
      </c>
      <c r="L32" s="2">
        <f>AND($J32,ISNUMBER(K32),correlation!$I$26=1)</f>
        <v/>
      </c>
      <c r="M32" s="5">
        <f>IF(L32,$F32,"")</f>
        <v/>
      </c>
      <c r="N32" s="5">
        <f>IF(L32,K32*correlation!$J$26,"")</f>
        <v/>
      </c>
      <c r="O32" s="5">
        <f>IF(AND(L32,ISNUMBER(correlation!$F$26)),N32*correlation!$F$26+correlation!$G$26,"")</f>
        <v/>
      </c>
      <c r="P32" s="5">
        <f>IF(AND(L32,ISNUMBER(O32)),(M32-O32)^2,"")</f>
        <v/>
      </c>
      <c r="Q32" s="5">
        <f>IF(L32,1+SUMPRODUCT(--(calc!$L$3:$L$132=TRUE),--(calc!$M$3:$M$132&gt;M32))+(SUMPRODUCT(--(calc!$L$3:$L$132=TRUE),--(calc!$M$3:$M$132=M32))-1)/2,"")</f>
        <v/>
      </c>
      <c r="R32" s="5">
        <f>IF(L32,1+SUMPRODUCT(--(calc!$L$3:$L$132=TRUE),--(calc!$N$3:$N$132&gt;N32))+(SUMPRODUCT(--(calc!$L$3:$L$132=TRUE),--(calc!$N$3:$N$132=N32))-1)/2,"")</f>
        <v/>
      </c>
      <c r="S32" s="5">
        <f>IF(L32,SUMPRODUCT(--(calc!$L$3:$L$132=TRUE),--(ROW(calc!$L$3:$L$132)&gt;ROW(L32)),--(((calc!$Q$3:$Q$132&gt;Q32)*(calc!$R$3:$R$132&gt;R32)+(calc!$Q$3:$Q$132&lt;Q32)*(calc!$R$3:$R$132&lt;R32))&gt;0))-SUMPRODUCT(--(calc!$L$3:$L$132=TRUE),--(ROW(calc!$L$3:$L$132)&gt;ROW(L32)),--(((calc!$Q$3:$Q$132&gt;Q32)*(calc!$R$3:$R$132&lt;R32)+(calc!$Q$3:$Q$132&lt;Q32)*(calc!$R$3:$R$132&gt;R32))&gt;0)),0)</f>
        <v/>
      </c>
      <c r="T32" s="5">
        <f>IF(mos_metrics!H31="","",mos_metrics!H31)</f>
        <v/>
      </c>
      <c r="U32" s="2">
        <f>AND($J32,ISNUMBER(T32),correlation!$I$27=1)</f>
        <v/>
      </c>
      <c r="V32" s="5">
        <f>IF(U32,$F32,"")</f>
        <v/>
      </c>
      <c r="W32" s="5">
        <f>IF(U32,T32*correlation!$J$27,"")</f>
        <v/>
      </c>
      <c r="X32" s="5">
        <f>IF(AND(U32,ISNUMBER(correlation!$F$27)),W32*correlation!$F$27+correlation!$G$27,"")</f>
        <v/>
      </c>
      <c r="Y32" s="5">
        <f>IF(AND(U32,ISNUMBER(X32)),(V32-X32)^2,"")</f>
        <v/>
      </c>
      <c r="Z32" s="5">
        <f>IF(U32,1+SUMPRODUCT(--(calc!$U$3:$U$132=TRUE),--(calc!$V$3:$V$132&gt;V32))+(SUMPRODUCT(--(calc!$U$3:$U$132=TRUE),--(calc!$V$3:$V$132=V32))-1)/2,"")</f>
        <v/>
      </c>
      <c r="AA32" s="5">
        <f>IF(U32,1+SUMPRODUCT(--(calc!$U$3:$U$132=TRUE),--(calc!$W$3:$W$132&gt;W32))+(SUMPRODUCT(--(calc!$U$3:$U$132=TRUE),--(calc!$W$3:$W$132=W32))-1)/2,"")</f>
        <v/>
      </c>
      <c r="AB32" s="5">
        <f>IF(U32,SUMPRODUCT(--(calc!$U$3:$U$132=TRUE),--(ROW(calc!$U$3:$U$132)&gt;ROW(U32)),--(((calc!$Z$3:$Z$132&gt;Z32)*(calc!$AA$3:$AA$132&gt;AA32)+(calc!$Z$3:$Z$132&lt;Z32)*(calc!$AA$3:$AA$132&lt;AA32))&gt;0))-SUMPRODUCT(--(calc!$U$3:$U$132=TRUE),--(ROW(calc!$U$3:$U$132)&gt;ROW(U32)),--(((calc!$Z$3:$Z$132&gt;Z32)*(calc!$AA$3:$AA$132&lt;AA32)+(calc!$Z$3:$Z$132&lt;Z32)*(calc!$AA$3:$AA$132&gt;AA32))&gt;0)),0)</f>
        <v/>
      </c>
      <c r="AC32" s="5">
        <f>IF(mos_metrics!I31="","",mos_metrics!I31)</f>
        <v/>
      </c>
      <c r="AD32" s="2">
        <f>AND($J32,ISNUMBER(AC32),correlation!$I$28=1)</f>
        <v/>
      </c>
      <c r="AE32" s="5">
        <f>IF(AD32,$F32,"")</f>
        <v/>
      </c>
      <c r="AF32" s="5">
        <f>IF(AD32,AC32*correlation!$J$28,"")</f>
        <v/>
      </c>
      <c r="AG32" s="5">
        <f>IF(AND(AD32,ISNUMBER(correlation!$F$28)),AF32*correlation!$F$28+correlation!$G$28,"")</f>
        <v/>
      </c>
      <c r="AH32" s="5">
        <f>IF(AND(AD32,ISNUMBER(AG32)),(AE32-AG32)^2,"")</f>
        <v/>
      </c>
      <c r="AI32" s="5">
        <f>IF(AD32,1+SUMPRODUCT(--(calc!$AD$3:$AD$132=TRUE),--(calc!$AE$3:$AE$132&gt;AE32))+(SUMPRODUCT(--(calc!$AD$3:$AD$132=TRUE),--(calc!$AE$3:$AE$132=AE32))-1)/2,"")</f>
        <v/>
      </c>
      <c r="AJ32" s="5">
        <f>IF(AD32,1+SUMPRODUCT(--(calc!$AD$3:$AD$132=TRUE),--(calc!$AF$3:$AF$132&gt;AF32))+(SUMPRODUCT(--(calc!$AD$3:$AD$132=TRUE),--(calc!$AF$3:$AF$132=AF32))-1)/2,"")</f>
        <v/>
      </c>
      <c r="AK32" s="5">
        <f>IF(AD32,SUMPRODUCT(--(calc!$AD$3:$AD$132=TRUE),--(ROW(calc!$AD$3:$AD$132)&gt;ROW(AD32)),--(((calc!$AI$3:$AI$132&gt;AI32)*(calc!$AJ$3:$AJ$132&gt;AJ32)+(calc!$AI$3:$AI$132&lt;AI32)*(calc!$AJ$3:$AJ$132&lt;AJ32))&gt;0))-SUMPRODUCT(--(calc!$AD$3:$AD$132=TRUE),--(ROW(calc!$AD$3:$AD$132)&gt;ROW(AD32)),--(((calc!$AI$3:$AI$132&gt;AI32)*(calc!$AJ$3:$AJ$132&lt;AJ32)+(calc!$AI$3:$AI$132&lt;AI32)*(calc!$AJ$3:$AJ$132&gt;AJ32))&gt;0)),0)</f>
        <v/>
      </c>
      <c r="AL32" s="5">
        <f>IF(mos_metrics!J31="","",mos_metrics!J31)</f>
        <v/>
      </c>
      <c r="AM32" s="2">
        <f>AND($J32,ISNUMBER(AL32),correlation!$I$29=1)</f>
        <v/>
      </c>
      <c r="AN32" s="5">
        <f>IF(AM32,$F32,"")</f>
        <v/>
      </c>
      <c r="AO32" s="5">
        <f>IF(AM32,AL32*correlation!$J$29,"")</f>
        <v/>
      </c>
      <c r="AP32" s="5">
        <f>IF(AND(AM32,ISNUMBER(correlation!$F$29)),AO32*correlation!$F$29+correlation!$G$29,"")</f>
        <v/>
      </c>
      <c r="AQ32" s="5">
        <f>IF(AND(AM32,ISNUMBER(AP32)),(AN32-AP32)^2,"")</f>
        <v/>
      </c>
      <c r="AR32" s="5">
        <f>IF(AM32,1+SUMPRODUCT(--(calc!$AM$3:$AM$132=TRUE),--(calc!$AN$3:$AN$132&gt;AN32))+(SUMPRODUCT(--(calc!$AM$3:$AM$132=TRUE),--(calc!$AN$3:$AN$132=AN32))-1)/2,"")</f>
        <v/>
      </c>
      <c r="AS32" s="5">
        <f>IF(AM32,1+SUMPRODUCT(--(calc!$AM$3:$AM$132=TRUE),--(calc!$AO$3:$AO$132&gt;AO32))+(SUMPRODUCT(--(calc!$AM$3:$AM$132=TRUE),--(calc!$AO$3:$AO$132=AO32))-1)/2,"")</f>
        <v/>
      </c>
      <c r="AT32" s="5">
        <f>IF(AM32,SUMPRODUCT(--(calc!$AM$3:$AM$132=TRUE),--(ROW(calc!$AM$3:$AM$132)&gt;ROW(AM32)),--(((calc!$AR$3:$AR$132&gt;AR32)*(calc!$AS$3:$AS$132&gt;AS32)+(calc!$AR$3:$AR$132&lt;AR32)*(calc!$AS$3:$AS$132&lt;AS32))&gt;0))-SUMPRODUCT(--(calc!$AM$3:$AM$132=TRUE),--(ROW(calc!$AM$3:$AM$132)&gt;ROW(AM32)),--(((calc!$AR$3:$AR$132&gt;AR32)*(calc!$AS$3:$AS$132&lt;AS32)+(calc!$AR$3:$AR$132&lt;AR32)*(calc!$AS$3:$AS$132&gt;AS32))&gt;0)),0)</f>
        <v/>
      </c>
      <c r="AU32" s="5">
        <f>IF(mos_metrics!K31="","",mos_metrics!K31)</f>
        <v/>
      </c>
      <c r="AV32" s="2">
        <f>AND($J32,ISNUMBER(AU32),correlation!$I$30=1)</f>
        <v/>
      </c>
      <c r="AW32" s="5">
        <f>IF(AV32,$F32,"")</f>
        <v/>
      </c>
      <c r="AX32" s="5">
        <f>IF(AV32,AU32*correlation!$J$30,"")</f>
        <v/>
      </c>
      <c r="AY32" s="5">
        <f>IF(AND(AV32,ISNUMBER(correlation!$F$30)),AX32*correlation!$F$30+correlation!$G$30,"")</f>
        <v/>
      </c>
      <c r="AZ32" s="5">
        <f>IF(AND(AV32,ISNUMBER(AY32)),(AW32-AY32)^2,"")</f>
        <v/>
      </c>
      <c r="BA32" s="5">
        <f>IF(AV32,1+SUMPRODUCT(--(calc!$AV$3:$AV$132=TRUE),--(calc!$AW$3:$AW$132&gt;AW32))+(SUMPRODUCT(--(calc!$AV$3:$AV$132=TRUE),--(calc!$AW$3:$AW$132=AW32))-1)/2,"")</f>
        <v/>
      </c>
      <c r="BB32" s="5">
        <f>IF(AV32,1+SUMPRODUCT(--(calc!$AV$3:$AV$132=TRUE),--(calc!$AX$3:$AX$132&gt;AX32))+(SUMPRODUCT(--(calc!$AV$3:$AV$132=TRUE),--(calc!$AX$3:$AX$132=AX32))-1)/2,"")</f>
        <v/>
      </c>
      <c r="BC32" s="5">
        <f>IF(AV32,SUMPRODUCT(--(calc!$AV$3:$AV$132=TRUE),--(ROW(calc!$AV$3:$AV$132)&gt;ROW(AV32)),--(((calc!$BA$3:$BA$132&gt;BA32)*(calc!$BB$3:$BB$132&gt;BB32)+(calc!$BA$3:$BA$132&lt;BA32)*(calc!$BB$3:$BB$132&lt;BB32))&gt;0))-SUMPRODUCT(--(calc!$AV$3:$AV$132=TRUE),--(ROW(calc!$AV$3:$AV$132)&gt;ROW(AV32)),--(((calc!$BA$3:$BA$132&gt;BA32)*(calc!$BB$3:$BB$132&lt;BB32)+(calc!$BA$3:$BA$132&lt;BA32)*(calc!$BB$3:$BB$132&gt;BB32))&gt;0)),0)</f>
        <v/>
      </c>
      <c r="BD32" s="5">
        <f>IF(mos_metrics!L31="","",mos_metrics!L31)</f>
        <v/>
      </c>
      <c r="BE32" s="2">
        <f>AND($J32,ISNUMBER(BD32),correlation!$I$31=1)</f>
        <v/>
      </c>
      <c r="BF32" s="5">
        <f>IF(BE32,$F32,"")</f>
        <v/>
      </c>
      <c r="BG32" s="5">
        <f>IF(BE32,BD32*correlation!$J$31,"")</f>
        <v/>
      </c>
      <c r="BH32" s="5">
        <f>IF(AND(BE32,ISNUMBER(correlation!$F$31)),BG32*correlation!$F$31+correlation!$G$31,"")</f>
        <v/>
      </c>
      <c r="BI32" s="5">
        <f>IF(AND(BE32,ISNUMBER(BH32)),(BF32-BH32)^2,"")</f>
        <v/>
      </c>
      <c r="BJ32" s="5">
        <f>IF(BE32,1+SUMPRODUCT(--(calc!$BE$3:$BE$132=TRUE),--(calc!$BF$3:$BF$132&gt;BF32))+(SUMPRODUCT(--(calc!$BE$3:$BE$132=TRUE),--(calc!$BF$3:$BF$132=BF32))-1)/2,"")</f>
        <v/>
      </c>
      <c r="BK32" s="5">
        <f>IF(BE32,1+SUMPRODUCT(--(calc!$BE$3:$BE$132=TRUE),--(calc!$BG$3:$BG$132&gt;BG32))+(SUMPRODUCT(--(calc!$BE$3:$BE$132=TRUE),--(calc!$BG$3:$BG$132=BG32))-1)/2,"")</f>
        <v/>
      </c>
      <c r="BL32" s="5">
        <f>IF(BE32,SUMPRODUCT(--(calc!$BE$3:$BE$132=TRUE),--(ROW(calc!$BE$3:$BE$132)&gt;ROW(BE32)),--(((calc!$BJ$3:$BJ$132&gt;BJ32)*(calc!$BK$3:$BK$132&gt;BK32)+(calc!$BJ$3:$BJ$132&lt;BJ32)*(calc!$BK$3:$BK$132&lt;BK32))&gt;0))-SUMPRODUCT(--(calc!$BE$3:$BE$132=TRUE),--(ROW(calc!$BE$3:$BE$132)&gt;ROW(BE32)),--(((calc!$BJ$3:$BJ$132&gt;BJ32)*(calc!$BK$3:$BK$132&lt;BK32)+(calc!$BJ$3:$BJ$132&lt;BJ32)*(calc!$BK$3:$BK$132&gt;BK32))&gt;0)),0)</f>
        <v/>
      </c>
      <c r="BM32" s="5">
        <f>IF(mos_metrics!M31="","",mos_metrics!M31)</f>
        <v/>
      </c>
      <c r="BN32" s="2">
        <f>AND($J32,ISNUMBER(BM32),correlation!$I$32=1)</f>
        <v/>
      </c>
      <c r="BO32" s="5">
        <f>IF(BN32,$F32,"")</f>
        <v/>
      </c>
      <c r="BP32" s="5">
        <f>IF(BN32,BM32*correlation!$J$32,"")</f>
        <v/>
      </c>
      <c r="BQ32" s="5">
        <f>IF(AND(BN32,ISNUMBER(correlation!$F$32)),BP32*correlation!$F$32+correlation!$G$32,"")</f>
        <v/>
      </c>
      <c r="BR32" s="5">
        <f>IF(AND(BN32,ISNUMBER(BQ32)),(BO32-BQ32)^2,"")</f>
        <v/>
      </c>
      <c r="BS32" s="5">
        <f>IF(BN32,1+SUMPRODUCT(--(calc!$BN$3:$BN$132=TRUE),--(calc!$BO$3:$BO$132&gt;BO32))+(SUMPRODUCT(--(calc!$BN$3:$BN$132=TRUE),--(calc!$BO$3:$BO$132=BO32))-1)/2,"")</f>
        <v/>
      </c>
      <c r="BT32" s="5">
        <f>IF(BN32,1+SUMPRODUCT(--(calc!$BN$3:$BN$132=TRUE),--(calc!$BP$3:$BP$132&gt;BP32))+(SUMPRODUCT(--(calc!$BN$3:$BN$132=TRUE),--(calc!$BP$3:$BP$132=BP32))-1)/2,"")</f>
        <v/>
      </c>
      <c r="BU32" s="5">
        <f>IF(BN32,SUMPRODUCT(--(calc!$BN$3:$BN$132=TRUE),--(ROW(calc!$BN$3:$BN$132)&gt;ROW(BN32)),--(((calc!$BS$3:$BS$132&gt;BS32)*(calc!$BT$3:$BT$132&gt;BT32)+(calc!$BS$3:$BS$132&lt;BS32)*(calc!$BT$3:$BT$132&lt;BT32))&gt;0))-SUMPRODUCT(--(calc!$BN$3:$BN$132=TRUE),--(ROW(calc!$BN$3:$BN$132)&gt;ROW(BN32)),--(((calc!$BS$3:$BS$132&gt;BS32)*(calc!$BT$3:$BT$132&lt;BT32)+(calc!$BS$3:$BS$132&lt;BS32)*(calc!$BT$3:$BT$132&gt;BT32))&gt;0)),0)</f>
        <v/>
      </c>
    </row>
    <row r="33">
      <c r="A33" s="2">
        <f>mos_metrics!A32</f>
        <v/>
      </c>
      <c r="B33" s="2">
        <f>mos_metrics!B32</f>
        <v/>
      </c>
      <c r="C33" s="2">
        <f>mos_metrics!C32</f>
        <v/>
      </c>
      <c r="D33" s="2">
        <f>mos_metrics!D32</f>
        <v/>
      </c>
      <c r="E33" s="2">
        <f>mos_metrics!E32</f>
        <v/>
      </c>
      <c r="F33" s="2">
        <f>mos_metrics!F32</f>
        <v/>
      </c>
      <c r="G33" s="2">
        <f>IF($B33="","",IFERROR(VLOOKUP($B33,correlation!$A$2:$B$12,2,FALSE),1))</f>
        <v/>
      </c>
      <c r="H33" s="2">
        <f>IF($E33="","",IFERROR(VLOOKUP($E33,correlation!$D$2:$E$8,2,FALSE),1))</f>
        <v/>
      </c>
      <c r="I33" s="2">
        <f>ISNUMBER($F33)</f>
        <v/>
      </c>
      <c r="J33" s="2">
        <f>AND($G33=1,$H33=1,$I33)</f>
        <v/>
      </c>
      <c r="K33" s="5">
        <f>IF(mos_metrics!G32="","",mos_metrics!G32)</f>
        <v/>
      </c>
      <c r="L33" s="2">
        <f>AND($J33,ISNUMBER(K33),correlation!$I$26=1)</f>
        <v/>
      </c>
      <c r="M33" s="5">
        <f>IF(L33,$F33,"")</f>
        <v/>
      </c>
      <c r="N33" s="5">
        <f>IF(L33,K33*correlation!$J$26,"")</f>
        <v/>
      </c>
      <c r="O33" s="5">
        <f>IF(AND(L33,ISNUMBER(correlation!$F$26)),N33*correlation!$F$26+correlation!$G$26,"")</f>
        <v/>
      </c>
      <c r="P33" s="5">
        <f>IF(AND(L33,ISNUMBER(O33)),(M33-O33)^2,"")</f>
        <v/>
      </c>
      <c r="Q33" s="5">
        <f>IF(L33,1+SUMPRODUCT(--(calc!$L$3:$L$132=TRUE),--(calc!$M$3:$M$132&gt;M33))+(SUMPRODUCT(--(calc!$L$3:$L$132=TRUE),--(calc!$M$3:$M$132=M33))-1)/2,"")</f>
        <v/>
      </c>
      <c r="R33" s="5">
        <f>IF(L33,1+SUMPRODUCT(--(calc!$L$3:$L$132=TRUE),--(calc!$N$3:$N$132&gt;N33))+(SUMPRODUCT(--(calc!$L$3:$L$132=TRUE),--(calc!$N$3:$N$132=N33))-1)/2,"")</f>
        <v/>
      </c>
      <c r="S33" s="5">
        <f>IF(L33,SUMPRODUCT(--(calc!$L$3:$L$132=TRUE),--(ROW(calc!$L$3:$L$132)&gt;ROW(L33)),--(((calc!$Q$3:$Q$132&gt;Q33)*(calc!$R$3:$R$132&gt;R33)+(calc!$Q$3:$Q$132&lt;Q33)*(calc!$R$3:$R$132&lt;R33))&gt;0))-SUMPRODUCT(--(calc!$L$3:$L$132=TRUE),--(ROW(calc!$L$3:$L$132)&gt;ROW(L33)),--(((calc!$Q$3:$Q$132&gt;Q33)*(calc!$R$3:$R$132&lt;R33)+(calc!$Q$3:$Q$132&lt;Q33)*(calc!$R$3:$R$132&gt;R33))&gt;0)),0)</f>
        <v/>
      </c>
      <c r="T33" s="5">
        <f>IF(mos_metrics!H32="","",mos_metrics!H32)</f>
        <v/>
      </c>
      <c r="U33" s="2">
        <f>AND($J33,ISNUMBER(T33),correlation!$I$27=1)</f>
        <v/>
      </c>
      <c r="V33" s="5">
        <f>IF(U33,$F33,"")</f>
        <v/>
      </c>
      <c r="W33" s="5">
        <f>IF(U33,T33*correlation!$J$27,"")</f>
        <v/>
      </c>
      <c r="X33" s="5">
        <f>IF(AND(U33,ISNUMBER(correlation!$F$27)),W33*correlation!$F$27+correlation!$G$27,"")</f>
        <v/>
      </c>
      <c r="Y33" s="5">
        <f>IF(AND(U33,ISNUMBER(X33)),(V33-X33)^2,"")</f>
        <v/>
      </c>
      <c r="Z33" s="5">
        <f>IF(U33,1+SUMPRODUCT(--(calc!$U$3:$U$132=TRUE),--(calc!$V$3:$V$132&gt;V33))+(SUMPRODUCT(--(calc!$U$3:$U$132=TRUE),--(calc!$V$3:$V$132=V33))-1)/2,"")</f>
        <v/>
      </c>
      <c r="AA33" s="5">
        <f>IF(U33,1+SUMPRODUCT(--(calc!$U$3:$U$132=TRUE),--(calc!$W$3:$W$132&gt;W33))+(SUMPRODUCT(--(calc!$U$3:$U$132=TRUE),--(calc!$W$3:$W$132=W33))-1)/2,"")</f>
        <v/>
      </c>
      <c r="AB33" s="5">
        <f>IF(U33,SUMPRODUCT(--(calc!$U$3:$U$132=TRUE),--(ROW(calc!$U$3:$U$132)&gt;ROW(U33)),--(((calc!$Z$3:$Z$132&gt;Z33)*(calc!$AA$3:$AA$132&gt;AA33)+(calc!$Z$3:$Z$132&lt;Z33)*(calc!$AA$3:$AA$132&lt;AA33))&gt;0))-SUMPRODUCT(--(calc!$U$3:$U$132=TRUE),--(ROW(calc!$U$3:$U$132)&gt;ROW(U33)),--(((calc!$Z$3:$Z$132&gt;Z33)*(calc!$AA$3:$AA$132&lt;AA33)+(calc!$Z$3:$Z$132&lt;Z33)*(calc!$AA$3:$AA$132&gt;AA33))&gt;0)),0)</f>
        <v/>
      </c>
      <c r="AC33" s="5">
        <f>IF(mos_metrics!I32="","",mos_metrics!I32)</f>
        <v/>
      </c>
      <c r="AD33" s="2">
        <f>AND($J33,ISNUMBER(AC33),correlation!$I$28=1)</f>
        <v/>
      </c>
      <c r="AE33" s="5">
        <f>IF(AD33,$F33,"")</f>
        <v/>
      </c>
      <c r="AF33" s="5">
        <f>IF(AD33,AC33*correlation!$J$28,"")</f>
        <v/>
      </c>
      <c r="AG33" s="5">
        <f>IF(AND(AD33,ISNUMBER(correlation!$F$28)),AF33*correlation!$F$28+correlation!$G$28,"")</f>
        <v/>
      </c>
      <c r="AH33" s="5">
        <f>IF(AND(AD33,ISNUMBER(AG33)),(AE33-AG33)^2,"")</f>
        <v/>
      </c>
      <c r="AI33" s="5">
        <f>IF(AD33,1+SUMPRODUCT(--(calc!$AD$3:$AD$132=TRUE),--(calc!$AE$3:$AE$132&gt;AE33))+(SUMPRODUCT(--(calc!$AD$3:$AD$132=TRUE),--(calc!$AE$3:$AE$132=AE33))-1)/2,"")</f>
        <v/>
      </c>
      <c r="AJ33" s="5">
        <f>IF(AD33,1+SUMPRODUCT(--(calc!$AD$3:$AD$132=TRUE),--(calc!$AF$3:$AF$132&gt;AF33))+(SUMPRODUCT(--(calc!$AD$3:$AD$132=TRUE),--(calc!$AF$3:$AF$132=AF33))-1)/2,"")</f>
        <v/>
      </c>
      <c r="AK33" s="5">
        <f>IF(AD33,SUMPRODUCT(--(calc!$AD$3:$AD$132=TRUE),--(ROW(calc!$AD$3:$AD$132)&gt;ROW(AD33)),--(((calc!$AI$3:$AI$132&gt;AI33)*(calc!$AJ$3:$AJ$132&gt;AJ33)+(calc!$AI$3:$AI$132&lt;AI33)*(calc!$AJ$3:$AJ$132&lt;AJ33))&gt;0))-SUMPRODUCT(--(calc!$AD$3:$AD$132=TRUE),--(ROW(calc!$AD$3:$AD$132)&gt;ROW(AD33)),--(((calc!$AI$3:$AI$132&gt;AI33)*(calc!$AJ$3:$AJ$132&lt;AJ33)+(calc!$AI$3:$AI$132&lt;AI33)*(calc!$AJ$3:$AJ$132&gt;AJ33))&gt;0)),0)</f>
        <v/>
      </c>
      <c r="AL33" s="5">
        <f>IF(mos_metrics!J32="","",mos_metrics!J32)</f>
        <v/>
      </c>
      <c r="AM33" s="2">
        <f>AND($J33,ISNUMBER(AL33),correlation!$I$29=1)</f>
        <v/>
      </c>
      <c r="AN33" s="5">
        <f>IF(AM33,$F33,"")</f>
        <v/>
      </c>
      <c r="AO33" s="5">
        <f>IF(AM33,AL33*correlation!$J$29,"")</f>
        <v/>
      </c>
      <c r="AP33" s="5">
        <f>IF(AND(AM33,ISNUMBER(correlation!$F$29)),AO33*correlation!$F$29+correlation!$G$29,"")</f>
        <v/>
      </c>
      <c r="AQ33" s="5">
        <f>IF(AND(AM33,ISNUMBER(AP33)),(AN33-AP33)^2,"")</f>
        <v/>
      </c>
      <c r="AR33" s="5">
        <f>IF(AM33,1+SUMPRODUCT(--(calc!$AM$3:$AM$132=TRUE),--(calc!$AN$3:$AN$132&gt;AN33))+(SUMPRODUCT(--(calc!$AM$3:$AM$132=TRUE),--(calc!$AN$3:$AN$132=AN33))-1)/2,"")</f>
        <v/>
      </c>
      <c r="AS33" s="5">
        <f>IF(AM33,1+SUMPRODUCT(--(calc!$AM$3:$AM$132=TRUE),--(calc!$AO$3:$AO$132&gt;AO33))+(SUMPRODUCT(--(calc!$AM$3:$AM$132=TRUE),--(calc!$AO$3:$AO$132=AO33))-1)/2,"")</f>
        <v/>
      </c>
      <c r="AT33" s="5">
        <f>IF(AM33,SUMPRODUCT(--(calc!$AM$3:$AM$132=TRUE),--(ROW(calc!$AM$3:$AM$132)&gt;ROW(AM33)),--(((calc!$AR$3:$AR$132&gt;AR33)*(calc!$AS$3:$AS$132&gt;AS33)+(calc!$AR$3:$AR$132&lt;AR33)*(calc!$AS$3:$AS$132&lt;AS33))&gt;0))-SUMPRODUCT(--(calc!$AM$3:$AM$132=TRUE),--(ROW(calc!$AM$3:$AM$132)&gt;ROW(AM33)),--(((calc!$AR$3:$AR$132&gt;AR33)*(calc!$AS$3:$AS$132&lt;AS33)+(calc!$AR$3:$AR$132&lt;AR33)*(calc!$AS$3:$AS$132&gt;AS33))&gt;0)),0)</f>
        <v/>
      </c>
      <c r="AU33" s="5">
        <f>IF(mos_metrics!K32="","",mos_metrics!K32)</f>
        <v/>
      </c>
      <c r="AV33" s="2">
        <f>AND($J33,ISNUMBER(AU33),correlation!$I$30=1)</f>
        <v/>
      </c>
      <c r="AW33" s="5">
        <f>IF(AV33,$F33,"")</f>
        <v/>
      </c>
      <c r="AX33" s="5">
        <f>IF(AV33,AU33*correlation!$J$30,"")</f>
        <v/>
      </c>
      <c r="AY33" s="5">
        <f>IF(AND(AV33,ISNUMBER(correlation!$F$30)),AX33*correlation!$F$30+correlation!$G$30,"")</f>
        <v/>
      </c>
      <c r="AZ33" s="5">
        <f>IF(AND(AV33,ISNUMBER(AY33)),(AW33-AY33)^2,"")</f>
        <v/>
      </c>
      <c r="BA33" s="5">
        <f>IF(AV33,1+SUMPRODUCT(--(calc!$AV$3:$AV$132=TRUE),--(calc!$AW$3:$AW$132&gt;AW33))+(SUMPRODUCT(--(calc!$AV$3:$AV$132=TRUE),--(calc!$AW$3:$AW$132=AW33))-1)/2,"")</f>
        <v/>
      </c>
      <c r="BB33" s="5">
        <f>IF(AV33,1+SUMPRODUCT(--(calc!$AV$3:$AV$132=TRUE),--(calc!$AX$3:$AX$132&gt;AX33))+(SUMPRODUCT(--(calc!$AV$3:$AV$132=TRUE),--(calc!$AX$3:$AX$132=AX33))-1)/2,"")</f>
        <v/>
      </c>
      <c r="BC33" s="5">
        <f>IF(AV33,SUMPRODUCT(--(calc!$AV$3:$AV$132=TRUE),--(ROW(calc!$AV$3:$AV$132)&gt;ROW(AV33)),--(((calc!$BA$3:$BA$132&gt;BA33)*(calc!$BB$3:$BB$132&gt;BB33)+(calc!$BA$3:$BA$132&lt;BA33)*(calc!$BB$3:$BB$132&lt;BB33))&gt;0))-SUMPRODUCT(--(calc!$AV$3:$AV$132=TRUE),--(ROW(calc!$AV$3:$AV$132)&gt;ROW(AV33)),--(((calc!$BA$3:$BA$132&gt;BA33)*(calc!$BB$3:$BB$132&lt;BB33)+(calc!$BA$3:$BA$132&lt;BA33)*(calc!$BB$3:$BB$132&gt;BB33))&gt;0)),0)</f>
        <v/>
      </c>
      <c r="BD33" s="5">
        <f>IF(mos_metrics!L32="","",mos_metrics!L32)</f>
        <v/>
      </c>
      <c r="BE33" s="2">
        <f>AND($J33,ISNUMBER(BD33),correlation!$I$31=1)</f>
        <v/>
      </c>
      <c r="BF33" s="5">
        <f>IF(BE33,$F33,"")</f>
        <v/>
      </c>
      <c r="BG33" s="5">
        <f>IF(BE33,BD33*correlation!$J$31,"")</f>
        <v/>
      </c>
      <c r="BH33" s="5">
        <f>IF(AND(BE33,ISNUMBER(correlation!$F$31)),BG33*correlation!$F$31+correlation!$G$31,"")</f>
        <v/>
      </c>
      <c r="BI33" s="5">
        <f>IF(AND(BE33,ISNUMBER(BH33)),(BF33-BH33)^2,"")</f>
        <v/>
      </c>
      <c r="BJ33" s="5">
        <f>IF(BE33,1+SUMPRODUCT(--(calc!$BE$3:$BE$132=TRUE),--(calc!$BF$3:$BF$132&gt;BF33))+(SUMPRODUCT(--(calc!$BE$3:$BE$132=TRUE),--(calc!$BF$3:$BF$132=BF33))-1)/2,"")</f>
        <v/>
      </c>
      <c r="BK33" s="5">
        <f>IF(BE33,1+SUMPRODUCT(--(calc!$BE$3:$BE$132=TRUE),--(calc!$BG$3:$BG$132&gt;BG33))+(SUMPRODUCT(--(calc!$BE$3:$BE$132=TRUE),--(calc!$BG$3:$BG$132=BG33))-1)/2,"")</f>
        <v/>
      </c>
      <c r="BL33" s="5">
        <f>IF(BE33,SUMPRODUCT(--(calc!$BE$3:$BE$132=TRUE),--(ROW(calc!$BE$3:$BE$132)&gt;ROW(BE33)),--(((calc!$BJ$3:$BJ$132&gt;BJ33)*(calc!$BK$3:$BK$132&gt;BK33)+(calc!$BJ$3:$BJ$132&lt;BJ33)*(calc!$BK$3:$BK$132&lt;BK33))&gt;0))-SUMPRODUCT(--(calc!$BE$3:$BE$132=TRUE),--(ROW(calc!$BE$3:$BE$132)&gt;ROW(BE33)),--(((calc!$BJ$3:$BJ$132&gt;BJ33)*(calc!$BK$3:$BK$132&lt;BK33)+(calc!$BJ$3:$BJ$132&lt;BJ33)*(calc!$BK$3:$BK$132&gt;BK33))&gt;0)),0)</f>
        <v/>
      </c>
      <c r="BM33" s="5">
        <f>IF(mos_metrics!M32="","",mos_metrics!M32)</f>
        <v/>
      </c>
      <c r="BN33" s="2">
        <f>AND($J33,ISNUMBER(BM33),correlation!$I$32=1)</f>
        <v/>
      </c>
      <c r="BO33" s="5">
        <f>IF(BN33,$F33,"")</f>
        <v/>
      </c>
      <c r="BP33" s="5">
        <f>IF(BN33,BM33*correlation!$J$32,"")</f>
        <v/>
      </c>
      <c r="BQ33" s="5">
        <f>IF(AND(BN33,ISNUMBER(correlation!$F$32)),BP33*correlation!$F$32+correlation!$G$32,"")</f>
        <v/>
      </c>
      <c r="BR33" s="5">
        <f>IF(AND(BN33,ISNUMBER(BQ33)),(BO33-BQ33)^2,"")</f>
        <v/>
      </c>
      <c r="BS33" s="5">
        <f>IF(BN33,1+SUMPRODUCT(--(calc!$BN$3:$BN$132=TRUE),--(calc!$BO$3:$BO$132&gt;BO33))+(SUMPRODUCT(--(calc!$BN$3:$BN$132=TRUE),--(calc!$BO$3:$BO$132=BO33))-1)/2,"")</f>
        <v/>
      </c>
      <c r="BT33" s="5">
        <f>IF(BN33,1+SUMPRODUCT(--(calc!$BN$3:$BN$132=TRUE),--(calc!$BP$3:$BP$132&gt;BP33))+(SUMPRODUCT(--(calc!$BN$3:$BN$132=TRUE),--(calc!$BP$3:$BP$132=BP33))-1)/2,"")</f>
        <v/>
      </c>
      <c r="BU33" s="5">
        <f>IF(BN33,SUMPRODUCT(--(calc!$BN$3:$BN$132=TRUE),--(ROW(calc!$BN$3:$BN$132)&gt;ROW(BN33)),--(((calc!$BS$3:$BS$132&gt;BS33)*(calc!$BT$3:$BT$132&gt;BT33)+(calc!$BS$3:$BS$132&lt;BS33)*(calc!$BT$3:$BT$132&lt;BT33))&gt;0))-SUMPRODUCT(--(calc!$BN$3:$BN$132=TRUE),--(ROW(calc!$BN$3:$BN$132)&gt;ROW(BN33)),--(((calc!$BS$3:$BS$132&gt;BS33)*(calc!$BT$3:$BT$132&lt;BT33)+(calc!$BS$3:$BS$132&lt;BS33)*(calc!$BT$3:$BT$132&gt;BT33))&gt;0)),0)</f>
        <v/>
      </c>
    </row>
    <row r="34">
      <c r="A34" s="2">
        <f>mos_metrics!A33</f>
        <v/>
      </c>
      <c r="B34" s="2">
        <f>mos_metrics!B33</f>
        <v/>
      </c>
      <c r="C34" s="2">
        <f>mos_metrics!C33</f>
        <v/>
      </c>
      <c r="D34" s="2">
        <f>mos_metrics!D33</f>
        <v/>
      </c>
      <c r="E34" s="2">
        <f>mos_metrics!E33</f>
        <v/>
      </c>
      <c r="F34" s="2">
        <f>mos_metrics!F33</f>
        <v/>
      </c>
      <c r="G34" s="2">
        <f>IF($B34="","",IFERROR(VLOOKUP($B34,correlation!$A$2:$B$12,2,FALSE),1))</f>
        <v/>
      </c>
      <c r="H34" s="2">
        <f>IF($E34="","",IFERROR(VLOOKUP($E34,correlation!$D$2:$E$8,2,FALSE),1))</f>
        <v/>
      </c>
      <c r="I34" s="2">
        <f>ISNUMBER($F34)</f>
        <v/>
      </c>
      <c r="J34" s="2">
        <f>AND($G34=1,$H34=1,$I34)</f>
        <v/>
      </c>
      <c r="K34" s="5">
        <f>IF(mos_metrics!G33="","",mos_metrics!G33)</f>
        <v/>
      </c>
      <c r="L34" s="2">
        <f>AND($J34,ISNUMBER(K34),correlation!$I$26=1)</f>
        <v/>
      </c>
      <c r="M34" s="5">
        <f>IF(L34,$F34,"")</f>
        <v/>
      </c>
      <c r="N34" s="5">
        <f>IF(L34,K34*correlation!$J$26,"")</f>
        <v/>
      </c>
      <c r="O34" s="5">
        <f>IF(AND(L34,ISNUMBER(correlation!$F$26)),N34*correlation!$F$26+correlation!$G$26,"")</f>
        <v/>
      </c>
      <c r="P34" s="5">
        <f>IF(AND(L34,ISNUMBER(O34)),(M34-O34)^2,"")</f>
        <v/>
      </c>
      <c r="Q34" s="5">
        <f>IF(L34,1+SUMPRODUCT(--(calc!$L$3:$L$132=TRUE),--(calc!$M$3:$M$132&gt;M34))+(SUMPRODUCT(--(calc!$L$3:$L$132=TRUE),--(calc!$M$3:$M$132=M34))-1)/2,"")</f>
        <v/>
      </c>
      <c r="R34" s="5">
        <f>IF(L34,1+SUMPRODUCT(--(calc!$L$3:$L$132=TRUE),--(calc!$N$3:$N$132&gt;N34))+(SUMPRODUCT(--(calc!$L$3:$L$132=TRUE),--(calc!$N$3:$N$132=N34))-1)/2,"")</f>
        <v/>
      </c>
      <c r="S34" s="5">
        <f>IF(L34,SUMPRODUCT(--(calc!$L$3:$L$132=TRUE),--(ROW(calc!$L$3:$L$132)&gt;ROW(L34)),--(((calc!$Q$3:$Q$132&gt;Q34)*(calc!$R$3:$R$132&gt;R34)+(calc!$Q$3:$Q$132&lt;Q34)*(calc!$R$3:$R$132&lt;R34))&gt;0))-SUMPRODUCT(--(calc!$L$3:$L$132=TRUE),--(ROW(calc!$L$3:$L$132)&gt;ROW(L34)),--(((calc!$Q$3:$Q$132&gt;Q34)*(calc!$R$3:$R$132&lt;R34)+(calc!$Q$3:$Q$132&lt;Q34)*(calc!$R$3:$R$132&gt;R34))&gt;0)),0)</f>
        <v/>
      </c>
      <c r="T34" s="5">
        <f>IF(mos_metrics!H33="","",mos_metrics!H33)</f>
        <v/>
      </c>
      <c r="U34" s="2">
        <f>AND($J34,ISNUMBER(T34),correlation!$I$27=1)</f>
        <v/>
      </c>
      <c r="V34" s="5">
        <f>IF(U34,$F34,"")</f>
        <v/>
      </c>
      <c r="W34" s="5">
        <f>IF(U34,T34*correlation!$J$27,"")</f>
        <v/>
      </c>
      <c r="X34" s="5">
        <f>IF(AND(U34,ISNUMBER(correlation!$F$27)),W34*correlation!$F$27+correlation!$G$27,"")</f>
        <v/>
      </c>
      <c r="Y34" s="5">
        <f>IF(AND(U34,ISNUMBER(X34)),(V34-X34)^2,"")</f>
        <v/>
      </c>
      <c r="Z34" s="5">
        <f>IF(U34,1+SUMPRODUCT(--(calc!$U$3:$U$132=TRUE),--(calc!$V$3:$V$132&gt;V34))+(SUMPRODUCT(--(calc!$U$3:$U$132=TRUE),--(calc!$V$3:$V$132=V34))-1)/2,"")</f>
        <v/>
      </c>
      <c r="AA34" s="5">
        <f>IF(U34,1+SUMPRODUCT(--(calc!$U$3:$U$132=TRUE),--(calc!$W$3:$W$132&gt;W34))+(SUMPRODUCT(--(calc!$U$3:$U$132=TRUE),--(calc!$W$3:$W$132=W34))-1)/2,"")</f>
        <v/>
      </c>
      <c r="AB34" s="5">
        <f>IF(U34,SUMPRODUCT(--(calc!$U$3:$U$132=TRUE),--(ROW(calc!$U$3:$U$132)&gt;ROW(U34)),--(((calc!$Z$3:$Z$132&gt;Z34)*(calc!$AA$3:$AA$132&gt;AA34)+(calc!$Z$3:$Z$132&lt;Z34)*(calc!$AA$3:$AA$132&lt;AA34))&gt;0))-SUMPRODUCT(--(calc!$U$3:$U$132=TRUE),--(ROW(calc!$U$3:$U$132)&gt;ROW(U34)),--(((calc!$Z$3:$Z$132&gt;Z34)*(calc!$AA$3:$AA$132&lt;AA34)+(calc!$Z$3:$Z$132&lt;Z34)*(calc!$AA$3:$AA$132&gt;AA34))&gt;0)),0)</f>
        <v/>
      </c>
      <c r="AC34" s="5">
        <f>IF(mos_metrics!I33="","",mos_metrics!I33)</f>
        <v/>
      </c>
      <c r="AD34" s="2">
        <f>AND($J34,ISNUMBER(AC34),correlation!$I$28=1)</f>
        <v/>
      </c>
      <c r="AE34" s="5">
        <f>IF(AD34,$F34,"")</f>
        <v/>
      </c>
      <c r="AF34" s="5">
        <f>IF(AD34,AC34*correlation!$J$28,"")</f>
        <v/>
      </c>
      <c r="AG34" s="5">
        <f>IF(AND(AD34,ISNUMBER(correlation!$F$28)),AF34*correlation!$F$28+correlation!$G$28,"")</f>
        <v/>
      </c>
      <c r="AH34" s="5">
        <f>IF(AND(AD34,ISNUMBER(AG34)),(AE34-AG34)^2,"")</f>
        <v/>
      </c>
      <c r="AI34" s="5">
        <f>IF(AD34,1+SUMPRODUCT(--(calc!$AD$3:$AD$132=TRUE),--(calc!$AE$3:$AE$132&gt;AE34))+(SUMPRODUCT(--(calc!$AD$3:$AD$132=TRUE),--(calc!$AE$3:$AE$132=AE34))-1)/2,"")</f>
        <v/>
      </c>
      <c r="AJ34" s="5">
        <f>IF(AD34,1+SUMPRODUCT(--(calc!$AD$3:$AD$132=TRUE),--(calc!$AF$3:$AF$132&gt;AF34))+(SUMPRODUCT(--(calc!$AD$3:$AD$132=TRUE),--(calc!$AF$3:$AF$132=AF34))-1)/2,"")</f>
        <v/>
      </c>
      <c r="AK34" s="5">
        <f>IF(AD34,SUMPRODUCT(--(calc!$AD$3:$AD$132=TRUE),--(ROW(calc!$AD$3:$AD$132)&gt;ROW(AD34)),--(((calc!$AI$3:$AI$132&gt;AI34)*(calc!$AJ$3:$AJ$132&gt;AJ34)+(calc!$AI$3:$AI$132&lt;AI34)*(calc!$AJ$3:$AJ$132&lt;AJ34))&gt;0))-SUMPRODUCT(--(calc!$AD$3:$AD$132=TRUE),--(ROW(calc!$AD$3:$AD$132)&gt;ROW(AD34)),--(((calc!$AI$3:$AI$132&gt;AI34)*(calc!$AJ$3:$AJ$132&lt;AJ34)+(calc!$AI$3:$AI$132&lt;AI34)*(calc!$AJ$3:$AJ$132&gt;AJ34))&gt;0)),0)</f>
        <v/>
      </c>
      <c r="AL34" s="5">
        <f>IF(mos_metrics!J33="","",mos_metrics!J33)</f>
        <v/>
      </c>
      <c r="AM34" s="2">
        <f>AND($J34,ISNUMBER(AL34),correlation!$I$29=1)</f>
        <v/>
      </c>
      <c r="AN34" s="5">
        <f>IF(AM34,$F34,"")</f>
        <v/>
      </c>
      <c r="AO34" s="5">
        <f>IF(AM34,AL34*correlation!$J$29,"")</f>
        <v/>
      </c>
      <c r="AP34" s="5">
        <f>IF(AND(AM34,ISNUMBER(correlation!$F$29)),AO34*correlation!$F$29+correlation!$G$29,"")</f>
        <v/>
      </c>
      <c r="AQ34" s="5">
        <f>IF(AND(AM34,ISNUMBER(AP34)),(AN34-AP34)^2,"")</f>
        <v/>
      </c>
      <c r="AR34" s="5">
        <f>IF(AM34,1+SUMPRODUCT(--(calc!$AM$3:$AM$132=TRUE),--(calc!$AN$3:$AN$132&gt;AN34))+(SUMPRODUCT(--(calc!$AM$3:$AM$132=TRUE),--(calc!$AN$3:$AN$132=AN34))-1)/2,"")</f>
        <v/>
      </c>
      <c r="AS34" s="5">
        <f>IF(AM34,1+SUMPRODUCT(--(calc!$AM$3:$AM$132=TRUE),--(calc!$AO$3:$AO$132&gt;AO34))+(SUMPRODUCT(--(calc!$AM$3:$AM$132=TRUE),--(calc!$AO$3:$AO$132=AO34))-1)/2,"")</f>
        <v/>
      </c>
      <c r="AT34" s="5">
        <f>IF(AM34,SUMPRODUCT(--(calc!$AM$3:$AM$132=TRUE),--(ROW(calc!$AM$3:$AM$132)&gt;ROW(AM34)),--(((calc!$AR$3:$AR$132&gt;AR34)*(calc!$AS$3:$AS$132&gt;AS34)+(calc!$AR$3:$AR$132&lt;AR34)*(calc!$AS$3:$AS$132&lt;AS34))&gt;0))-SUMPRODUCT(--(calc!$AM$3:$AM$132=TRUE),--(ROW(calc!$AM$3:$AM$132)&gt;ROW(AM34)),--(((calc!$AR$3:$AR$132&gt;AR34)*(calc!$AS$3:$AS$132&lt;AS34)+(calc!$AR$3:$AR$132&lt;AR34)*(calc!$AS$3:$AS$132&gt;AS34))&gt;0)),0)</f>
        <v/>
      </c>
      <c r="AU34" s="5">
        <f>IF(mos_metrics!K33="","",mos_metrics!K33)</f>
        <v/>
      </c>
      <c r="AV34" s="2">
        <f>AND($J34,ISNUMBER(AU34),correlation!$I$30=1)</f>
        <v/>
      </c>
      <c r="AW34" s="5">
        <f>IF(AV34,$F34,"")</f>
        <v/>
      </c>
      <c r="AX34" s="5">
        <f>IF(AV34,AU34*correlation!$J$30,"")</f>
        <v/>
      </c>
      <c r="AY34" s="5">
        <f>IF(AND(AV34,ISNUMBER(correlation!$F$30)),AX34*correlation!$F$30+correlation!$G$30,"")</f>
        <v/>
      </c>
      <c r="AZ34" s="5">
        <f>IF(AND(AV34,ISNUMBER(AY34)),(AW34-AY34)^2,"")</f>
        <v/>
      </c>
      <c r="BA34" s="5">
        <f>IF(AV34,1+SUMPRODUCT(--(calc!$AV$3:$AV$132=TRUE),--(calc!$AW$3:$AW$132&gt;AW34))+(SUMPRODUCT(--(calc!$AV$3:$AV$132=TRUE),--(calc!$AW$3:$AW$132=AW34))-1)/2,"")</f>
        <v/>
      </c>
      <c r="BB34" s="5">
        <f>IF(AV34,1+SUMPRODUCT(--(calc!$AV$3:$AV$132=TRUE),--(calc!$AX$3:$AX$132&gt;AX34))+(SUMPRODUCT(--(calc!$AV$3:$AV$132=TRUE),--(calc!$AX$3:$AX$132=AX34))-1)/2,"")</f>
        <v/>
      </c>
      <c r="BC34" s="5">
        <f>IF(AV34,SUMPRODUCT(--(calc!$AV$3:$AV$132=TRUE),--(ROW(calc!$AV$3:$AV$132)&gt;ROW(AV34)),--(((calc!$BA$3:$BA$132&gt;BA34)*(calc!$BB$3:$BB$132&gt;BB34)+(calc!$BA$3:$BA$132&lt;BA34)*(calc!$BB$3:$BB$132&lt;BB34))&gt;0))-SUMPRODUCT(--(calc!$AV$3:$AV$132=TRUE),--(ROW(calc!$AV$3:$AV$132)&gt;ROW(AV34)),--(((calc!$BA$3:$BA$132&gt;BA34)*(calc!$BB$3:$BB$132&lt;BB34)+(calc!$BA$3:$BA$132&lt;BA34)*(calc!$BB$3:$BB$132&gt;BB34))&gt;0)),0)</f>
        <v/>
      </c>
      <c r="BD34" s="5">
        <f>IF(mos_metrics!L33="","",mos_metrics!L33)</f>
        <v/>
      </c>
      <c r="BE34" s="2">
        <f>AND($J34,ISNUMBER(BD34),correlation!$I$31=1)</f>
        <v/>
      </c>
      <c r="BF34" s="5">
        <f>IF(BE34,$F34,"")</f>
        <v/>
      </c>
      <c r="BG34" s="5">
        <f>IF(BE34,BD34*correlation!$J$31,"")</f>
        <v/>
      </c>
      <c r="BH34" s="5">
        <f>IF(AND(BE34,ISNUMBER(correlation!$F$31)),BG34*correlation!$F$31+correlation!$G$31,"")</f>
        <v/>
      </c>
      <c r="BI34" s="5">
        <f>IF(AND(BE34,ISNUMBER(BH34)),(BF34-BH34)^2,"")</f>
        <v/>
      </c>
      <c r="BJ34" s="5">
        <f>IF(BE34,1+SUMPRODUCT(--(calc!$BE$3:$BE$132=TRUE),--(calc!$BF$3:$BF$132&gt;BF34))+(SUMPRODUCT(--(calc!$BE$3:$BE$132=TRUE),--(calc!$BF$3:$BF$132=BF34))-1)/2,"")</f>
        <v/>
      </c>
      <c r="BK34" s="5">
        <f>IF(BE34,1+SUMPRODUCT(--(calc!$BE$3:$BE$132=TRUE),--(calc!$BG$3:$BG$132&gt;BG34))+(SUMPRODUCT(--(calc!$BE$3:$BE$132=TRUE),--(calc!$BG$3:$BG$132=BG34))-1)/2,"")</f>
        <v/>
      </c>
      <c r="BL34" s="5">
        <f>IF(BE34,SUMPRODUCT(--(calc!$BE$3:$BE$132=TRUE),--(ROW(calc!$BE$3:$BE$132)&gt;ROW(BE34)),--(((calc!$BJ$3:$BJ$132&gt;BJ34)*(calc!$BK$3:$BK$132&gt;BK34)+(calc!$BJ$3:$BJ$132&lt;BJ34)*(calc!$BK$3:$BK$132&lt;BK34))&gt;0))-SUMPRODUCT(--(calc!$BE$3:$BE$132=TRUE),--(ROW(calc!$BE$3:$BE$132)&gt;ROW(BE34)),--(((calc!$BJ$3:$BJ$132&gt;BJ34)*(calc!$BK$3:$BK$132&lt;BK34)+(calc!$BJ$3:$BJ$132&lt;BJ34)*(calc!$BK$3:$BK$132&gt;BK34))&gt;0)),0)</f>
        <v/>
      </c>
      <c r="BM34" s="5">
        <f>IF(mos_metrics!M33="","",mos_metrics!M33)</f>
        <v/>
      </c>
      <c r="BN34" s="2">
        <f>AND($J34,ISNUMBER(BM34),correlation!$I$32=1)</f>
        <v/>
      </c>
      <c r="BO34" s="5">
        <f>IF(BN34,$F34,"")</f>
        <v/>
      </c>
      <c r="BP34" s="5">
        <f>IF(BN34,BM34*correlation!$J$32,"")</f>
        <v/>
      </c>
      <c r="BQ34" s="5">
        <f>IF(AND(BN34,ISNUMBER(correlation!$F$32)),BP34*correlation!$F$32+correlation!$G$32,"")</f>
        <v/>
      </c>
      <c r="BR34" s="5">
        <f>IF(AND(BN34,ISNUMBER(BQ34)),(BO34-BQ34)^2,"")</f>
        <v/>
      </c>
      <c r="BS34" s="5">
        <f>IF(BN34,1+SUMPRODUCT(--(calc!$BN$3:$BN$132=TRUE),--(calc!$BO$3:$BO$132&gt;BO34))+(SUMPRODUCT(--(calc!$BN$3:$BN$132=TRUE),--(calc!$BO$3:$BO$132=BO34))-1)/2,"")</f>
        <v/>
      </c>
      <c r="BT34" s="5">
        <f>IF(BN34,1+SUMPRODUCT(--(calc!$BN$3:$BN$132=TRUE),--(calc!$BP$3:$BP$132&gt;BP34))+(SUMPRODUCT(--(calc!$BN$3:$BN$132=TRUE),--(calc!$BP$3:$BP$132=BP34))-1)/2,"")</f>
        <v/>
      </c>
      <c r="BU34" s="5">
        <f>IF(BN34,SUMPRODUCT(--(calc!$BN$3:$BN$132=TRUE),--(ROW(calc!$BN$3:$BN$132)&gt;ROW(BN34)),--(((calc!$BS$3:$BS$132&gt;BS34)*(calc!$BT$3:$BT$132&gt;BT34)+(calc!$BS$3:$BS$132&lt;BS34)*(calc!$BT$3:$BT$132&lt;BT34))&gt;0))-SUMPRODUCT(--(calc!$BN$3:$BN$132=TRUE),--(ROW(calc!$BN$3:$BN$132)&gt;ROW(BN34)),--(((calc!$BS$3:$BS$132&gt;BS34)*(calc!$BT$3:$BT$132&lt;BT34)+(calc!$BS$3:$BS$132&lt;BS34)*(calc!$BT$3:$BT$132&gt;BT34))&gt;0)),0)</f>
        <v/>
      </c>
    </row>
    <row r="35">
      <c r="A35" s="2">
        <f>mos_metrics!A34</f>
        <v/>
      </c>
      <c r="B35" s="2">
        <f>mos_metrics!B34</f>
        <v/>
      </c>
      <c r="C35" s="2">
        <f>mos_metrics!C34</f>
        <v/>
      </c>
      <c r="D35" s="2">
        <f>mos_metrics!D34</f>
        <v/>
      </c>
      <c r="E35" s="2">
        <f>mos_metrics!E34</f>
        <v/>
      </c>
      <c r="F35" s="2">
        <f>mos_metrics!F34</f>
        <v/>
      </c>
      <c r="G35" s="2">
        <f>IF($B35="","",IFERROR(VLOOKUP($B35,correlation!$A$2:$B$12,2,FALSE),1))</f>
        <v/>
      </c>
      <c r="H35" s="2">
        <f>IF($E35="","",IFERROR(VLOOKUP($E35,correlation!$D$2:$E$8,2,FALSE),1))</f>
        <v/>
      </c>
      <c r="I35" s="2">
        <f>ISNUMBER($F35)</f>
        <v/>
      </c>
      <c r="J35" s="2">
        <f>AND($G35=1,$H35=1,$I35)</f>
        <v/>
      </c>
      <c r="K35" s="5">
        <f>IF(mos_metrics!G34="","",mos_metrics!G34)</f>
        <v/>
      </c>
      <c r="L35" s="2">
        <f>AND($J35,ISNUMBER(K35),correlation!$I$26=1)</f>
        <v/>
      </c>
      <c r="M35" s="5">
        <f>IF(L35,$F35,"")</f>
        <v/>
      </c>
      <c r="N35" s="5">
        <f>IF(L35,K35*correlation!$J$26,"")</f>
        <v/>
      </c>
      <c r="O35" s="5">
        <f>IF(AND(L35,ISNUMBER(correlation!$F$26)),N35*correlation!$F$26+correlation!$G$26,"")</f>
        <v/>
      </c>
      <c r="P35" s="5">
        <f>IF(AND(L35,ISNUMBER(O35)),(M35-O35)^2,"")</f>
        <v/>
      </c>
      <c r="Q35" s="5">
        <f>IF(L35,1+SUMPRODUCT(--(calc!$L$3:$L$132=TRUE),--(calc!$M$3:$M$132&gt;M35))+(SUMPRODUCT(--(calc!$L$3:$L$132=TRUE),--(calc!$M$3:$M$132=M35))-1)/2,"")</f>
        <v/>
      </c>
      <c r="R35" s="5">
        <f>IF(L35,1+SUMPRODUCT(--(calc!$L$3:$L$132=TRUE),--(calc!$N$3:$N$132&gt;N35))+(SUMPRODUCT(--(calc!$L$3:$L$132=TRUE),--(calc!$N$3:$N$132=N35))-1)/2,"")</f>
        <v/>
      </c>
      <c r="S35" s="5">
        <f>IF(L35,SUMPRODUCT(--(calc!$L$3:$L$132=TRUE),--(ROW(calc!$L$3:$L$132)&gt;ROW(L35)),--(((calc!$Q$3:$Q$132&gt;Q35)*(calc!$R$3:$R$132&gt;R35)+(calc!$Q$3:$Q$132&lt;Q35)*(calc!$R$3:$R$132&lt;R35))&gt;0))-SUMPRODUCT(--(calc!$L$3:$L$132=TRUE),--(ROW(calc!$L$3:$L$132)&gt;ROW(L35)),--(((calc!$Q$3:$Q$132&gt;Q35)*(calc!$R$3:$R$132&lt;R35)+(calc!$Q$3:$Q$132&lt;Q35)*(calc!$R$3:$R$132&gt;R35))&gt;0)),0)</f>
        <v/>
      </c>
      <c r="T35" s="5">
        <f>IF(mos_metrics!H34="","",mos_metrics!H34)</f>
        <v/>
      </c>
      <c r="U35" s="2">
        <f>AND($J35,ISNUMBER(T35),correlation!$I$27=1)</f>
        <v/>
      </c>
      <c r="V35" s="5">
        <f>IF(U35,$F35,"")</f>
        <v/>
      </c>
      <c r="W35" s="5">
        <f>IF(U35,T35*correlation!$J$27,"")</f>
        <v/>
      </c>
      <c r="X35" s="5">
        <f>IF(AND(U35,ISNUMBER(correlation!$F$27)),W35*correlation!$F$27+correlation!$G$27,"")</f>
        <v/>
      </c>
      <c r="Y35" s="5">
        <f>IF(AND(U35,ISNUMBER(X35)),(V35-X35)^2,"")</f>
        <v/>
      </c>
      <c r="Z35" s="5">
        <f>IF(U35,1+SUMPRODUCT(--(calc!$U$3:$U$132=TRUE),--(calc!$V$3:$V$132&gt;V35))+(SUMPRODUCT(--(calc!$U$3:$U$132=TRUE),--(calc!$V$3:$V$132=V35))-1)/2,"")</f>
        <v/>
      </c>
      <c r="AA35" s="5">
        <f>IF(U35,1+SUMPRODUCT(--(calc!$U$3:$U$132=TRUE),--(calc!$W$3:$W$132&gt;W35))+(SUMPRODUCT(--(calc!$U$3:$U$132=TRUE),--(calc!$W$3:$W$132=W35))-1)/2,"")</f>
        <v/>
      </c>
      <c r="AB35" s="5">
        <f>IF(U35,SUMPRODUCT(--(calc!$U$3:$U$132=TRUE),--(ROW(calc!$U$3:$U$132)&gt;ROW(U35)),--(((calc!$Z$3:$Z$132&gt;Z35)*(calc!$AA$3:$AA$132&gt;AA35)+(calc!$Z$3:$Z$132&lt;Z35)*(calc!$AA$3:$AA$132&lt;AA35))&gt;0))-SUMPRODUCT(--(calc!$U$3:$U$132=TRUE),--(ROW(calc!$U$3:$U$132)&gt;ROW(U35)),--(((calc!$Z$3:$Z$132&gt;Z35)*(calc!$AA$3:$AA$132&lt;AA35)+(calc!$Z$3:$Z$132&lt;Z35)*(calc!$AA$3:$AA$132&gt;AA35))&gt;0)),0)</f>
        <v/>
      </c>
      <c r="AC35" s="5">
        <f>IF(mos_metrics!I34="","",mos_metrics!I34)</f>
        <v/>
      </c>
      <c r="AD35" s="2">
        <f>AND($J35,ISNUMBER(AC35),correlation!$I$28=1)</f>
        <v/>
      </c>
      <c r="AE35" s="5">
        <f>IF(AD35,$F35,"")</f>
        <v/>
      </c>
      <c r="AF35" s="5">
        <f>IF(AD35,AC35*correlation!$J$28,"")</f>
        <v/>
      </c>
      <c r="AG35" s="5">
        <f>IF(AND(AD35,ISNUMBER(correlation!$F$28)),AF35*correlation!$F$28+correlation!$G$28,"")</f>
        <v/>
      </c>
      <c r="AH35" s="5">
        <f>IF(AND(AD35,ISNUMBER(AG35)),(AE35-AG35)^2,"")</f>
        <v/>
      </c>
      <c r="AI35" s="5">
        <f>IF(AD35,1+SUMPRODUCT(--(calc!$AD$3:$AD$132=TRUE),--(calc!$AE$3:$AE$132&gt;AE35))+(SUMPRODUCT(--(calc!$AD$3:$AD$132=TRUE),--(calc!$AE$3:$AE$132=AE35))-1)/2,"")</f>
        <v/>
      </c>
      <c r="AJ35" s="5">
        <f>IF(AD35,1+SUMPRODUCT(--(calc!$AD$3:$AD$132=TRUE),--(calc!$AF$3:$AF$132&gt;AF35))+(SUMPRODUCT(--(calc!$AD$3:$AD$132=TRUE),--(calc!$AF$3:$AF$132=AF35))-1)/2,"")</f>
        <v/>
      </c>
      <c r="AK35" s="5">
        <f>IF(AD35,SUMPRODUCT(--(calc!$AD$3:$AD$132=TRUE),--(ROW(calc!$AD$3:$AD$132)&gt;ROW(AD35)),--(((calc!$AI$3:$AI$132&gt;AI35)*(calc!$AJ$3:$AJ$132&gt;AJ35)+(calc!$AI$3:$AI$132&lt;AI35)*(calc!$AJ$3:$AJ$132&lt;AJ35))&gt;0))-SUMPRODUCT(--(calc!$AD$3:$AD$132=TRUE),--(ROW(calc!$AD$3:$AD$132)&gt;ROW(AD35)),--(((calc!$AI$3:$AI$132&gt;AI35)*(calc!$AJ$3:$AJ$132&lt;AJ35)+(calc!$AI$3:$AI$132&lt;AI35)*(calc!$AJ$3:$AJ$132&gt;AJ35))&gt;0)),0)</f>
        <v/>
      </c>
      <c r="AL35" s="5">
        <f>IF(mos_metrics!J34="","",mos_metrics!J34)</f>
        <v/>
      </c>
      <c r="AM35" s="2">
        <f>AND($J35,ISNUMBER(AL35),correlation!$I$29=1)</f>
        <v/>
      </c>
      <c r="AN35" s="5">
        <f>IF(AM35,$F35,"")</f>
        <v/>
      </c>
      <c r="AO35" s="5">
        <f>IF(AM35,AL35*correlation!$J$29,"")</f>
        <v/>
      </c>
      <c r="AP35" s="5">
        <f>IF(AND(AM35,ISNUMBER(correlation!$F$29)),AO35*correlation!$F$29+correlation!$G$29,"")</f>
        <v/>
      </c>
      <c r="AQ35" s="5">
        <f>IF(AND(AM35,ISNUMBER(AP35)),(AN35-AP35)^2,"")</f>
        <v/>
      </c>
      <c r="AR35" s="5">
        <f>IF(AM35,1+SUMPRODUCT(--(calc!$AM$3:$AM$132=TRUE),--(calc!$AN$3:$AN$132&gt;AN35))+(SUMPRODUCT(--(calc!$AM$3:$AM$132=TRUE),--(calc!$AN$3:$AN$132=AN35))-1)/2,"")</f>
        <v/>
      </c>
      <c r="AS35" s="5">
        <f>IF(AM35,1+SUMPRODUCT(--(calc!$AM$3:$AM$132=TRUE),--(calc!$AO$3:$AO$132&gt;AO35))+(SUMPRODUCT(--(calc!$AM$3:$AM$132=TRUE),--(calc!$AO$3:$AO$132=AO35))-1)/2,"")</f>
        <v/>
      </c>
      <c r="AT35" s="5">
        <f>IF(AM35,SUMPRODUCT(--(calc!$AM$3:$AM$132=TRUE),--(ROW(calc!$AM$3:$AM$132)&gt;ROW(AM35)),--(((calc!$AR$3:$AR$132&gt;AR35)*(calc!$AS$3:$AS$132&gt;AS35)+(calc!$AR$3:$AR$132&lt;AR35)*(calc!$AS$3:$AS$132&lt;AS35))&gt;0))-SUMPRODUCT(--(calc!$AM$3:$AM$132=TRUE),--(ROW(calc!$AM$3:$AM$132)&gt;ROW(AM35)),--(((calc!$AR$3:$AR$132&gt;AR35)*(calc!$AS$3:$AS$132&lt;AS35)+(calc!$AR$3:$AR$132&lt;AR35)*(calc!$AS$3:$AS$132&gt;AS35))&gt;0)),0)</f>
        <v/>
      </c>
      <c r="AU35" s="5">
        <f>IF(mos_metrics!K34="","",mos_metrics!K34)</f>
        <v/>
      </c>
      <c r="AV35" s="2">
        <f>AND($J35,ISNUMBER(AU35),correlation!$I$30=1)</f>
        <v/>
      </c>
      <c r="AW35" s="5">
        <f>IF(AV35,$F35,"")</f>
        <v/>
      </c>
      <c r="AX35" s="5">
        <f>IF(AV35,AU35*correlation!$J$30,"")</f>
        <v/>
      </c>
      <c r="AY35" s="5">
        <f>IF(AND(AV35,ISNUMBER(correlation!$F$30)),AX35*correlation!$F$30+correlation!$G$30,"")</f>
        <v/>
      </c>
      <c r="AZ35" s="5">
        <f>IF(AND(AV35,ISNUMBER(AY35)),(AW35-AY35)^2,"")</f>
        <v/>
      </c>
      <c r="BA35" s="5">
        <f>IF(AV35,1+SUMPRODUCT(--(calc!$AV$3:$AV$132=TRUE),--(calc!$AW$3:$AW$132&gt;AW35))+(SUMPRODUCT(--(calc!$AV$3:$AV$132=TRUE),--(calc!$AW$3:$AW$132=AW35))-1)/2,"")</f>
        <v/>
      </c>
      <c r="BB35" s="5">
        <f>IF(AV35,1+SUMPRODUCT(--(calc!$AV$3:$AV$132=TRUE),--(calc!$AX$3:$AX$132&gt;AX35))+(SUMPRODUCT(--(calc!$AV$3:$AV$132=TRUE),--(calc!$AX$3:$AX$132=AX35))-1)/2,"")</f>
        <v/>
      </c>
      <c r="BC35" s="5">
        <f>IF(AV35,SUMPRODUCT(--(calc!$AV$3:$AV$132=TRUE),--(ROW(calc!$AV$3:$AV$132)&gt;ROW(AV35)),--(((calc!$BA$3:$BA$132&gt;BA35)*(calc!$BB$3:$BB$132&gt;BB35)+(calc!$BA$3:$BA$132&lt;BA35)*(calc!$BB$3:$BB$132&lt;BB35))&gt;0))-SUMPRODUCT(--(calc!$AV$3:$AV$132=TRUE),--(ROW(calc!$AV$3:$AV$132)&gt;ROW(AV35)),--(((calc!$BA$3:$BA$132&gt;BA35)*(calc!$BB$3:$BB$132&lt;BB35)+(calc!$BA$3:$BA$132&lt;BA35)*(calc!$BB$3:$BB$132&gt;BB35))&gt;0)),0)</f>
        <v/>
      </c>
      <c r="BD35" s="5">
        <f>IF(mos_metrics!L34="","",mos_metrics!L34)</f>
        <v/>
      </c>
      <c r="BE35" s="2">
        <f>AND($J35,ISNUMBER(BD35),correlation!$I$31=1)</f>
        <v/>
      </c>
      <c r="BF35" s="5">
        <f>IF(BE35,$F35,"")</f>
        <v/>
      </c>
      <c r="BG35" s="5">
        <f>IF(BE35,BD35*correlation!$J$31,"")</f>
        <v/>
      </c>
      <c r="BH35" s="5">
        <f>IF(AND(BE35,ISNUMBER(correlation!$F$31)),BG35*correlation!$F$31+correlation!$G$31,"")</f>
        <v/>
      </c>
      <c r="BI35" s="5">
        <f>IF(AND(BE35,ISNUMBER(BH35)),(BF35-BH35)^2,"")</f>
        <v/>
      </c>
      <c r="BJ35" s="5">
        <f>IF(BE35,1+SUMPRODUCT(--(calc!$BE$3:$BE$132=TRUE),--(calc!$BF$3:$BF$132&gt;BF35))+(SUMPRODUCT(--(calc!$BE$3:$BE$132=TRUE),--(calc!$BF$3:$BF$132=BF35))-1)/2,"")</f>
        <v/>
      </c>
      <c r="BK35" s="5">
        <f>IF(BE35,1+SUMPRODUCT(--(calc!$BE$3:$BE$132=TRUE),--(calc!$BG$3:$BG$132&gt;BG35))+(SUMPRODUCT(--(calc!$BE$3:$BE$132=TRUE),--(calc!$BG$3:$BG$132=BG35))-1)/2,"")</f>
        <v/>
      </c>
      <c r="BL35" s="5">
        <f>IF(BE35,SUMPRODUCT(--(calc!$BE$3:$BE$132=TRUE),--(ROW(calc!$BE$3:$BE$132)&gt;ROW(BE35)),--(((calc!$BJ$3:$BJ$132&gt;BJ35)*(calc!$BK$3:$BK$132&gt;BK35)+(calc!$BJ$3:$BJ$132&lt;BJ35)*(calc!$BK$3:$BK$132&lt;BK35))&gt;0))-SUMPRODUCT(--(calc!$BE$3:$BE$132=TRUE),--(ROW(calc!$BE$3:$BE$132)&gt;ROW(BE35)),--(((calc!$BJ$3:$BJ$132&gt;BJ35)*(calc!$BK$3:$BK$132&lt;BK35)+(calc!$BJ$3:$BJ$132&lt;BJ35)*(calc!$BK$3:$BK$132&gt;BK35))&gt;0)),0)</f>
        <v/>
      </c>
      <c r="BM35" s="5">
        <f>IF(mos_metrics!M34="","",mos_metrics!M34)</f>
        <v/>
      </c>
      <c r="BN35" s="2">
        <f>AND($J35,ISNUMBER(BM35),correlation!$I$32=1)</f>
        <v/>
      </c>
      <c r="BO35" s="5">
        <f>IF(BN35,$F35,"")</f>
        <v/>
      </c>
      <c r="BP35" s="5">
        <f>IF(BN35,BM35*correlation!$J$32,"")</f>
        <v/>
      </c>
      <c r="BQ35" s="5">
        <f>IF(AND(BN35,ISNUMBER(correlation!$F$32)),BP35*correlation!$F$32+correlation!$G$32,"")</f>
        <v/>
      </c>
      <c r="BR35" s="5">
        <f>IF(AND(BN35,ISNUMBER(BQ35)),(BO35-BQ35)^2,"")</f>
        <v/>
      </c>
      <c r="BS35" s="5">
        <f>IF(BN35,1+SUMPRODUCT(--(calc!$BN$3:$BN$132=TRUE),--(calc!$BO$3:$BO$132&gt;BO35))+(SUMPRODUCT(--(calc!$BN$3:$BN$132=TRUE),--(calc!$BO$3:$BO$132=BO35))-1)/2,"")</f>
        <v/>
      </c>
      <c r="BT35" s="5">
        <f>IF(BN35,1+SUMPRODUCT(--(calc!$BN$3:$BN$132=TRUE),--(calc!$BP$3:$BP$132&gt;BP35))+(SUMPRODUCT(--(calc!$BN$3:$BN$132=TRUE),--(calc!$BP$3:$BP$132=BP35))-1)/2,"")</f>
        <v/>
      </c>
      <c r="BU35" s="5">
        <f>IF(BN35,SUMPRODUCT(--(calc!$BN$3:$BN$132=TRUE),--(ROW(calc!$BN$3:$BN$132)&gt;ROW(BN35)),--(((calc!$BS$3:$BS$132&gt;BS35)*(calc!$BT$3:$BT$132&gt;BT35)+(calc!$BS$3:$BS$132&lt;BS35)*(calc!$BT$3:$BT$132&lt;BT35))&gt;0))-SUMPRODUCT(--(calc!$BN$3:$BN$132=TRUE),--(ROW(calc!$BN$3:$BN$132)&gt;ROW(BN35)),--(((calc!$BS$3:$BS$132&gt;BS35)*(calc!$BT$3:$BT$132&lt;BT35)+(calc!$BS$3:$BS$132&lt;BS35)*(calc!$BT$3:$BT$132&gt;BT35))&gt;0)),0)</f>
        <v/>
      </c>
    </row>
    <row r="36">
      <c r="A36" s="2">
        <f>mos_metrics!A35</f>
        <v/>
      </c>
      <c r="B36" s="2">
        <f>mos_metrics!B35</f>
        <v/>
      </c>
      <c r="C36" s="2">
        <f>mos_metrics!C35</f>
        <v/>
      </c>
      <c r="D36" s="2">
        <f>mos_metrics!D35</f>
        <v/>
      </c>
      <c r="E36" s="2">
        <f>mos_metrics!E35</f>
        <v/>
      </c>
      <c r="F36" s="2">
        <f>mos_metrics!F35</f>
        <v/>
      </c>
      <c r="G36" s="2">
        <f>IF($B36="","",IFERROR(VLOOKUP($B36,correlation!$A$2:$B$12,2,FALSE),1))</f>
        <v/>
      </c>
      <c r="H36" s="2">
        <f>IF($E36="","",IFERROR(VLOOKUP($E36,correlation!$D$2:$E$8,2,FALSE),1))</f>
        <v/>
      </c>
      <c r="I36" s="2">
        <f>ISNUMBER($F36)</f>
        <v/>
      </c>
      <c r="J36" s="2">
        <f>AND($G36=1,$H36=1,$I36)</f>
        <v/>
      </c>
      <c r="K36" s="5">
        <f>IF(mos_metrics!G35="","",mos_metrics!G35)</f>
        <v/>
      </c>
      <c r="L36" s="2">
        <f>AND($J36,ISNUMBER(K36),correlation!$I$26=1)</f>
        <v/>
      </c>
      <c r="M36" s="5">
        <f>IF(L36,$F36,"")</f>
        <v/>
      </c>
      <c r="N36" s="5">
        <f>IF(L36,K36*correlation!$J$26,"")</f>
        <v/>
      </c>
      <c r="O36" s="5">
        <f>IF(AND(L36,ISNUMBER(correlation!$F$26)),N36*correlation!$F$26+correlation!$G$26,"")</f>
        <v/>
      </c>
      <c r="P36" s="5">
        <f>IF(AND(L36,ISNUMBER(O36)),(M36-O36)^2,"")</f>
        <v/>
      </c>
      <c r="Q36" s="5">
        <f>IF(L36,1+SUMPRODUCT(--(calc!$L$3:$L$132=TRUE),--(calc!$M$3:$M$132&gt;M36))+(SUMPRODUCT(--(calc!$L$3:$L$132=TRUE),--(calc!$M$3:$M$132=M36))-1)/2,"")</f>
        <v/>
      </c>
      <c r="R36" s="5">
        <f>IF(L36,1+SUMPRODUCT(--(calc!$L$3:$L$132=TRUE),--(calc!$N$3:$N$132&gt;N36))+(SUMPRODUCT(--(calc!$L$3:$L$132=TRUE),--(calc!$N$3:$N$132=N36))-1)/2,"")</f>
        <v/>
      </c>
      <c r="S36" s="5">
        <f>IF(L36,SUMPRODUCT(--(calc!$L$3:$L$132=TRUE),--(ROW(calc!$L$3:$L$132)&gt;ROW(L36)),--(((calc!$Q$3:$Q$132&gt;Q36)*(calc!$R$3:$R$132&gt;R36)+(calc!$Q$3:$Q$132&lt;Q36)*(calc!$R$3:$R$132&lt;R36))&gt;0))-SUMPRODUCT(--(calc!$L$3:$L$132=TRUE),--(ROW(calc!$L$3:$L$132)&gt;ROW(L36)),--(((calc!$Q$3:$Q$132&gt;Q36)*(calc!$R$3:$R$132&lt;R36)+(calc!$Q$3:$Q$132&lt;Q36)*(calc!$R$3:$R$132&gt;R36))&gt;0)),0)</f>
        <v/>
      </c>
      <c r="T36" s="5">
        <f>IF(mos_metrics!H35="","",mos_metrics!H35)</f>
        <v/>
      </c>
      <c r="U36" s="2">
        <f>AND($J36,ISNUMBER(T36),correlation!$I$27=1)</f>
        <v/>
      </c>
      <c r="V36" s="5">
        <f>IF(U36,$F36,"")</f>
        <v/>
      </c>
      <c r="W36" s="5">
        <f>IF(U36,T36*correlation!$J$27,"")</f>
        <v/>
      </c>
      <c r="X36" s="5">
        <f>IF(AND(U36,ISNUMBER(correlation!$F$27)),W36*correlation!$F$27+correlation!$G$27,"")</f>
        <v/>
      </c>
      <c r="Y36" s="5">
        <f>IF(AND(U36,ISNUMBER(X36)),(V36-X36)^2,"")</f>
        <v/>
      </c>
      <c r="Z36" s="5">
        <f>IF(U36,1+SUMPRODUCT(--(calc!$U$3:$U$132=TRUE),--(calc!$V$3:$V$132&gt;V36))+(SUMPRODUCT(--(calc!$U$3:$U$132=TRUE),--(calc!$V$3:$V$132=V36))-1)/2,"")</f>
        <v/>
      </c>
      <c r="AA36" s="5">
        <f>IF(U36,1+SUMPRODUCT(--(calc!$U$3:$U$132=TRUE),--(calc!$W$3:$W$132&gt;W36))+(SUMPRODUCT(--(calc!$U$3:$U$132=TRUE),--(calc!$W$3:$W$132=W36))-1)/2,"")</f>
        <v/>
      </c>
      <c r="AB36" s="5">
        <f>IF(U36,SUMPRODUCT(--(calc!$U$3:$U$132=TRUE),--(ROW(calc!$U$3:$U$132)&gt;ROW(U36)),--(((calc!$Z$3:$Z$132&gt;Z36)*(calc!$AA$3:$AA$132&gt;AA36)+(calc!$Z$3:$Z$132&lt;Z36)*(calc!$AA$3:$AA$132&lt;AA36))&gt;0))-SUMPRODUCT(--(calc!$U$3:$U$132=TRUE),--(ROW(calc!$U$3:$U$132)&gt;ROW(U36)),--(((calc!$Z$3:$Z$132&gt;Z36)*(calc!$AA$3:$AA$132&lt;AA36)+(calc!$Z$3:$Z$132&lt;Z36)*(calc!$AA$3:$AA$132&gt;AA36))&gt;0)),0)</f>
        <v/>
      </c>
      <c r="AC36" s="5">
        <f>IF(mos_metrics!I35="","",mos_metrics!I35)</f>
        <v/>
      </c>
      <c r="AD36" s="2">
        <f>AND($J36,ISNUMBER(AC36),correlation!$I$28=1)</f>
        <v/>
      </c>
      <c r="AE36" s="5">
        <f>IF(AD36,$F36,"")</f>
        <v/>
      </c>
      <c r="AF36" s="5">
        <f>IF(AD36,AC36*correlation!$J$28,"")</f>
        <v/>
      </c>
      <c r="AG36" s="5">
        <f>IF(AND(AD36,ISNUMBER(correlation!$F$28)),AF36*correlation!$F$28+correlation!$G$28,"")</f>
        <v/>
      </c>
      <c r="AH36" s="5">
        <f>IF(AND(AD36,ISNUMBER(AG36)),(AE36-AG36)^2,"")</f>
        <v/>
      </c>
      <c r="AI36" s="5">
        <f>IF(AD36,1+SUMPRODUCT(--(calc!$AD$3:$AD$132=TRUE),--(calc!$AE$3:$AE$132&gt;AE36))+(SUMPRODUCT(--(calc!$AD$3:$AD$132=TRUE),--(calc!$AE$3:$AE$132=AE36))-1)/2,"")</f>
        <v/>
      </c>
      <c r="AJ36" s="5">
        <f>IF(AD36,1+SUMPRODUCT(--(calc!$AD$3:$AD$132=TRUE),--(calc!$AF$3:$AF$132&gt;AF36))+(SUMPRODUCT(--(calc!$AD$3:$AD$132=TRUE),--(calc!$AF$3:$AF$132=AF36))-1)/2,"")</f>
        <v/>
      </c>
      <c r="AK36" s="5">
        <f>IF(AD36,SUMPRODUCT(--(calc!$AD$3:$AD$132=TRUE),--(ROW(calc!$AD$3:$AD$132)&gt;ROW(AD36)),--(((calc!$AI$3:$AI$132&gt;AI36)*(calc!$AJ$3:$AJ$132&gt;AJ36)+(calc!$AI$3:$AI$132&lt;AI36)*(calc!$AJ$3:$AJ$132&lt;AJ36))&gt;0))-SUMPRODUCT(--(calc!$AD$3:$AD$132=TRUE),--(ROW(calc!$AD$3:$AD$132)&gt;ROW(AD36)),--(((calc!$AI$3:$AI$132&gt;AI36)*(calc!$AJ$3:$AJ$132&lt;AJ36)+(calc!$AI$3:$AI$132&lt;AI36)*(calc!$AJ$3:$AJ$132&gt;AJ36))&gt;0)),0)</f>
        <v/>
      </c>
      <c r="AL36" s="5">
        <f>IF(mos_metrics!J35="","",mos_metrics!J35)</f>
        <v/>
      </c>
      <c r="AM36" s="2">
        <f>AND($J36,ISNUMBER(AL36),correlation!$I$29=1)</f>
        <v/>
      </c>
      <c r="AN36" s="5">
        <f>IF(AM36,$F36,"")</f>
        <v/>
      </c>
      <c r="AO36" s="5">
        <f>IF(AM36,AL36*correlation!$J$29,"")</f>
        <v/>
      </c>
      <c r="AP36" s="5">
        <f>IF(AND(AM36,ISNUMBER(correlation!$F$29)),AO36*correlation!$F$29+correlation!$G$29,"")</f>
        <v/>
      </c>
      <c r="AQ36" s="5">
        <f>IF(AND(AM36,ISNUMBER(AP36)),(AN36-AP36)^2,"")</f>
        <v/>
      </c>
      <c r="AR36" s="5">
        <f>IF(AM36,1+SUMPRODUCT(--(calc!$AM$3:$AM$132=TRUE),--(calc!$AN$3:$AN$132&gt;AN36))+(SUMPRODUCT(--(calc!$AM$3:$AM$132=TRUE),--(calc!$AN$3:$AN$132=AN36))-1)/2,"")</f>
        <v/>
      </c>
      <c r="AS36" s="5">
        <f>IF(AM36,1+SUMPRODUCT(--(calc!$AM$3:$AM$132=TRUE),--(calc!$AO$3:$AO$132&gt;AO36))+(SUMPRODUCT(--(calc!$AM$3:$AM$132=TRUE),--(calc!$AO$3:$AO$132=AO36))-1)/2,"")</f>
        <v/>
      </c>
      <c r="AT36" s="5">
        <f>IF(AM36,SUMPRODUCT(--(calc!$AM$3:$AM$132=TRUE),--(ROW(calc!$AM$3:$AM$132)&gt;ROW(AM36)),--(((calc!$AR$3:$AR$132&gt;AR36)*(calc!$AS$3:$AS$132&gt;AS36)+(calc!$AR$3:$AR$132&lt;AR36)*(calc!$AS$3:$AS$132&lt;AS36))&gt;0))-SUMPRODUCT(--(calc!$AM$3:$AM$132=TRUE),--(ROW(calc!$AM$3:$AM$132)&gt;ROW(AM36)),--(((calc!$AR$3:$AR$132&gt;AR36)*(calc!$AS$3:$AS$132&lt;AS36)+(calc!$AR$3:$AR$132&lt;AR36)*(calc!$AS$3:$AS$132&gt;AS36))&gt;0)),0)</f>
        <v/>
      </c>
      <c r="AU36" s="5">
        <f>IF(mos_metrics!K35="","",mos_metrics!K35)</f>
        <v/>
      </c>
      <c r="AV36" s="2">
        <f>AND($J36,ISNUMBER(AU36),correlation!$I$30=1)</f>
        <v/>
      </c>
      <c r="AW36" s="5">
        <f>IF(AV36,$F36,"")</f>
        <v/>
      </c>
      <c r="AX36" s="5">
        <f>IF(AV36,AU36*correlation!$J$30,"")</f>
        <v/>
      </c>
      <c r="AY36" s="5">
        <f>IF(AND(AV36,ISNUMBER(correlation!$F$30)),AX36*correlation!$F$30+correlation!$G$30,"")</f>
        <v/>
      </c>
      <c r="AZ36" s="5">
        <f>IF(AND(AV36,ISNUMBER(AY36)),(AW36-AY36)^2,"")</f>
        <v/>
      </c>
      <c r="BA36" s="5">
        <f>IF(AV36,1+SUMPRODUCT(--(calc!$AV$3:$AV$132=TRUE),--(calc!$AW$3:$AW$132&gt;AW36))+(SUMPRODUCT(--(calc!$AV$3:$AV$132=TRUE),--(calc!$AW$3:$AW$132=AW36))-1)/2,"")</f>
        <v/>
      </c>
      <c r="BB36" s="5">
        <f>IF(AV36,1+SUMPRODUCT(--(calc!$AV$3:$AV$132=TRUE),--(calc!$AX$3:$AX$132&gt;AX36))+(SUMPRODUCT(--(calc!$AV$3:$AV$132=TRUE),--(calc!$AX$3:$AX$132=AX36))-1)/2,"")</f>
        <v/>
      </c>
      <c r="BC36" s="5">
        <f>IF(AV36,SUMPRODUCT(--(calc!$AV$3:$AV$132=TRUE),--(ROW(calc!$AV$3:$AV$132)&gt;ROW(AV36)),--(((calc!$BA$3:$BA$132&gt;BA36)*(calc!$BB$3:$BB$132&gt;BB36)+(calc!$BA$3:$BA$132&lt;BA36)*(calc!$BB$3:$BB$132&lt;BB36))&gt;0))-SUMPRODUCT(--(calc!$AV$3:$AV$132=TRUE),--(ROW(calc!$AV$3:$AV$132)&gt;ROW(AV36)),--(((calc!$BA$3:$BA$132&gt;BA36)*(calc!$BB$3:$BB$132&lt;BB36)+(calc!$BA$3:$BA$132&lt;BA36)*(calc!$BB$3:$BB$132&gt;BB36))&gt;0)),0)</f>
        <v/>
      </c>
      <c r="BD36" s="5">
        <f>IF(mos_metrics!L35="","",mos_metrics!L35)</f>
        <v/>
      </c>
      <c r="BE36" s="2">
        <f>AND($J36,ISNUMBER(BD36),correlation!$I$31=1)</f>
        <v/>
      </c>
      <c r="BF36" s="5">
        <f>IF(BE36,$F36,"")</f>
        <v/>
      </c>
      <c r="BG36" s="5">
        <f>IF(BE36,BD36*correlation!$J$31,"")</f>
        <v/>
      </c>
      <c r="BH36" s="5">
        <f>IF(AND(BE36,ISNUMBER(correlation!$F$31)),BG36*correlation!$F$31+correlation!$G$31,"")</f>
        <v/>
      </c>
      <c r="BI36" s="5">
        <f>IF(AND(BE36,ISNUMBER(BH36)),(BF36-BH36)^2,"")</f>
        <v/>
      </c>
      <c r="BJ36" s="5">
        <f>IF(BE36,1+SUMPRODUCT(--(calc!$BE$3:$BE$132=TRUE),--(calc!$BF$3:$BF$132&gt;BF36))+(SUMPRODUCT(--(calc!$BE$3:$BE$132=TRUE),--(calc!$BF$3:$BF$132=BF36))-1)/2,"")</f>
        <v/>
      </c>
      <c r="BK36" s="5">
        <f>IF(BE36,1+SUMPRODUCT(--(calc!$BE$3:$BE$132=TRUE),--(calc!$BG$3:$BG$132&gt;BG36))+(SUMPRODUCT(--(calc!$BE$3:$BE$132=TRUE),--(calc!$BG$3:$BG$132=BG36))-1)/2,"")</f>
        <v/>
      </c>
      <c r="BL36" s="5">
        <f>IF(BE36,SUMPRODUCT(--(calc!$BE$3:$BE$132=TRUE),--(ROW(calc!$BE$3:$BE$132)&gt;ROW(BE36)),--(((calc!$BJ$3:$BJ$132&gt;BJ36)*(calc!$BK$3:$BK$132&gt;BK36)+(calc!$BJ$3:$BJ$132&lt;BJ36)*(calc!$BK$3:$BK$132&lt;BK36))&gt;0))-SUMPRODUCT(--(calc!$BE$3:$BE$132=TRUE),--(ROW(calc!$BE$3:$BE$132)&gt;ROW(BE36)),--(((calc!$BJ$3:$BJ$132&gt;BJ36)*(calc!$BK$3:$BK$132&lt;BK36)+(calc!$BJ$3:$BJ$132&lt;BJ36)*(calc!$BK$3:$BK$132&gt;BK36))&gt;0)),0)</f>
        <v/>
      </c>
      <c r="BM36" s="5">
        <f>IF(mos_metrics!M35="","",mos_metrics!M35)</f>
        <v/>
      </c>
      <c r="BN36" s="2">
        <f>AND($J36,ISNUMBER(BM36),correlation!$I$32=1)</f>
        <v/>
      </c>
      <c r="BO36" s="5">
        <f>IF(BN36,$F36,"")</f>
        <v/>
      </c>
      <c r="BP36" s="5">
        <f>IF(BN36,BM36*correlation!$J$32,"")</f>
        <v/>
      </c>
      <c r="BQ36" s="5">
        <f>IF(AND(BN36,ISNUMBER(correlation!$F$32)),BP36*correlation!$F$32+correlation!$G$32,"")</f>
        <v/>
      </c>
      <c r="BR36" s="5">
        <f>IF(AND(BN36,ISNUMBER(BQ36)),(BO36-BQ36)^2,"")</f>
        <v/>
      </c>
      <c r="BS36" s="5">
        <f>IF(BN36,1+SUMPRODUCT(--(calc!$BN$3:$BN$132=TRUE),--(calc!$BO$3:$BO$132&gt;BO36))+(SUMPRODUCT(--(calc!$BN$3:$BN$132=TRUE),--(calc!$BO$3:$BO$132=BO36))-1)/2,"")</f>
        <v/>
      </c>
      <c r="BT36" s="5">
        <f>IF(BN36,1+SUMPRODUCT(--(calc!$BN$3:$BN$132=TRUE),--(calc!$BP$3:$BP$132&gt;BP36))+(SUMPRODUCT(--(calc!$BN$3:$BN$132=TRUE),--(calc!$BP$3:$BP$132=BP36))-1)/2,"")</f>
        <v/>
      </c>
      <c r="BU36" s="5">
        <f>IF(BN36,SUMPRODUCT(--(calc!$BN$3:$BN$132=TRUE),--(ROW(calc!$BN$3:$BN$132)&gt;ROW(BN36)),--(((calc!$BS$3:$BS$132&gt;BS36)*(calc!$BT$3:$BT$132&gt;BT36)+(calc!$BS$3:$BS$132&lt;BS36)*(calc!$BT$3:$BT$132&lt;BT36))&gt;0))-SUMPRODUCT(--(calc!$BN$3:$BN$132=TRUE),--(ROW(calc!$BN$3:$BN$132)&gt;ROW(BN36)),--(((calc!$BS$3:$BS$132&gt;BS36)*(calc!$BT$3:$BT$132&lt;BT36)+(calc!$BS$3:$BS$132&lt;BS36)*(calc!$BT$3:$BT$132&gt;BT36))&gt;0)),0)</f>
        <v/>
      </c>
    </row>
    <row r="37">
      <c r="A37" s="2">
        <f>mos_metrics!A36</f>
        <v/>
      </c>
      <c r="B37" s="2">
        <f>mos_metrics!B36</f>
        <v/>
      </c>
      <c r="C37" s="2">
        <f>mos_metrics!C36</f>
        <v/>
      </c>
      <c r="D37" s="2">
        <f>mos_metrics!D36</f>
        <v/>
      </c>
      <c r="E37" s="2">
        <f>mos_metrics!E36</f>
        <v/>
      </c>
      <c r="F37" s="2">
        <f>mos_metrics!F36</f>
        <v/>
      </c>
      <c r="G37" s="2">
        <f>IF($B37="","",IFERROR(VLOOKUP($B37,correlation!$A$2:$B$12,2,FALSE),1))</f>
        <v/>
      </c>
      <c r="H37" s="2">
        <f>IF($E37="","",IFERROR(VLOOKUP($E37,correlation!$D$2:$E$8,2,FALSE),1))</f>
        <v/>
      </c>
      <c r="I37" s="2">
        <f>ISNUMBER($F37)</f>
        <v/>
      </c>
      <c r="J37" s="2">
        <f>AND($G37=1,$H37=1,$I37)</f>
        <v/>
      </c>
      <c r="K37" s="5">
        <f>IF(mos_metrics!G36="","",mos_metrics!G36)</f>
        <v/>
      </c>
      <c r="L37" s="2">
        <f>AND($J37,ISNUMBER(K37),correlation!$I$26=1)</f>
        <v/>
      </c>
      <c r="M37" s="5">
        <f>IF(L37,$F37,"")</f>
        <v/>
      </c>
      <c r="N37" s="5">
        <f>IF(L37,K37*correlation!$J$26,"")</f>
        <v/>
      </c>
      <c r="O37" s="5">
        <f>IF(AND(L37,ISNUMBER(correlation!$F$26)),N37*correlation!$F$26+correlation!$G$26,"")</f>
        <v/>
      </c>
      <c r="P37" s="5">
        <f>IF(AND(L37,ISNUMBER(O37)),(M37-O37)^2,"")</f>
        <v/>
      </c>
      <c r="Q37" s="5">
        <f>IF(L37,1+SUMPRODUCT(--(calc!$L$3:$L$132=TRUE),--(calc!$M$3:$M$132&gt;M37))+(SUMPRODUCT(--(calc!$L$3:$L$132=TRUE),--(calc!$M$3:$M$132=M37))-1)/2,"")</f>
        <v/>
      </c>
      <c r="R37" s="5">
        <f>IF(L37,1+SUMPRODUCT(--(calc!$L$3:$L$132=TRUE),--(calc!$N$3:$N$132&gt;N37))+(SUMPRODUCT(--(calc!$L$3:$L$132=TRUE),--(calc!$N$3:$N$132=N37))-1)/2,"")</f>
        <v/>
      </c>
      <c r="S37" s="5">
        <f>IF(L37,SUMPRODUCT(--(calc!$L$3:$L$132=TRUE),--(ROW(calc!$L$3:$L$132)&gt;ROW(L37)),--(((calc!$Q$3:$Q$132&gt;Q37)*(calc!$R$3:$R$132&gt;R37)+(calc!$Q$3:$Q$132&lt;Q37)*(calc!$R$3:$R$132&lt;R37))&gt;0))-SUMPRODUCT(--(calc!$L$3:$L$132=TRUE),--(ROW(calc!$L$3:$L$132)&gt;ROW(L37)),--(((calc!$Q$3:$Q$132&gt;Q37)*(calc!$R$3:$R$132&lt;R37)+(calc!$Q$3:$Q$132&lt;Q37)*(calc!$R$3:$R$132&gt;R37))&gt;0)),0)</f>
        <v/>
      </c>
      <c r="T37" s="5">
        <f>IF(mos_metrics!H36="","",mos_metrics!H36)</f>
        <v/>
      </c>
      <c r="U37" s="2">
        <f>AND($J37,ISNUMBER(T37),correlation!$I$27=1)</f>
        <v/>
      </c>
      <c r="V37" s="5">
        <f>IF(U37,$F37,"")</f>
        <v/>
      </c>
      <c r="W37" s="5">
        <f>IF(U37,T37*correlation!$J$27,"")</f>
        <v/>
      </c>
      <c r="X37" s="5">
        <f>IF(AND(U37,ISNUMBER(correlation!$F$27)),W37*correlation!$F$27+correlation!$G$27,"")</f>
        <v/>
      </c>
      <c r="Y37" s="5">
        <f>IF(AND(U37,ISNUMBER(X37)),(V37-X37)^2,"")</f>
        <v/>
      </c>
      <c r="Z37" s="5">
        <f>IF(U37,1+SUMPRODUCT(--(calc!$U$3:$U$132=TRUE),--(calc!$V$3:$V$132&gt;V37))+(SUMPRODUCT(--(calc!$U$3:$U$132=TRUE),--(calc!$V$3:$V$132=V37))-1)/2,"")</f>
        <v/>
      </c>
      <c r="AA37" s="5">
        <f>IF(U37,1+SUMPRODUCT(--(calc!$U$3:$U$132=TRUE),--(calc!$W$3:$W$132&gt;W37))+(SUMPRODUCT(--(calc!$U$3:$U$132=TRUE),--(calc!$W$3:$W$132=W37))-1)/2,"")</f>
        <v/>
      </c>
      <c r="AB37" s="5">
        <f>IF(U37,SUMPRODUCT(--(calc!$U$3:$U$132=TRUE),--(ROW(calc!$U$3:$U$132)&gt;ROW(U37)),--(((calc!$Z$3:$Z$132&gt;Z37)*(calc!$AA$3:$AA$132&gt;AA37)+(calc!$Z$3:$Z$132&lt;Z37)*(calc!$AA$3:$AA$132&lt;AA37))&gt;0))-SUMPRODUCT(--(calc!$U$3:$U$132=TRUE),--(ROW(calc!$U$3:$U$132)&gt;ROW(U37)),--(((calc!$Z$3:$Z$132&gt;Z37)*(calc!$AA$3:$AA$132&lt;AA37)+(calc!$Z$3:$Z$132&lt;Z37)*(calc!$AA$3:$AA$132&gt;AA37))&gt;0)),0)</f>
        <v/>
      </c>
      <c r="AC37" s="5">
        <f>IF(mos_metrics!I36="","",mos_metrics!I36)</f>
        <v/>
      </c>
      <c r="AD37" s="2">
        <f>AND($J37,ISNUMBER(AC37),correlation!$I$28=1)</f>
        <v/>
      </c>
      <c r="AE37" s="5">
        <f>IF(AD37,$F37,"")</f>
        <v/>
      </c>
      <c r="AF37" s="5">
        <f>IF(AD37,AC37*correlation!$J$28,"")</f>
        <v/>
      </c>
      <c r="AG37" s="5">
        <f>IF(AND(AD37,ISNUMBER(correlation!$F$28)),AF37*correlation!$F$28+correlation!$G$28,"")</f>
        <v/>
      </c>
      <c r="AH37" s="5">
        <f>IF(AND(AD37,ISNUMBER(AG37)),(AE37-AG37)^2,"")</f>
        <v/>
      </c>
      <c r="AI37" s="5">
        <f>IF(AD37,1+SUMPRODUCT(--(calc!$AD$3:$AD$132=TRUE),--(calc!$AE$3:$AE$132&gt;AE37))+(SUMPRODUCT(--(calc!$AD$3:$AD$132=TRUE),--(calc!$AE$3:$AE$132=AE37))-1)/2,"")</f>
        <v/>
      </c>
      <c r="AJ37" s="5">
        <f>IF(AD37,1+SUMPRODUCT(--(calc!$AD$3:$AD$132=TRUE),--(calc!$AF$3:$AF$132&gt;AF37))+(SUMPRODUCT(--(calc!$AD$3:$AD$132=TRUE),--(calc!$AF$3:$AF$132=AF37))-1)/2,"")</f>
        <v/>
      </c>
      <c r="AK37" s="5">
        <f>IF(AD37,SUMPRODUCT(--(calc!$AD$3:$AD$132=TRUE),--(ROW(calc!$AD$3:$AD$132)&gt;ROW(AD37)),--(((calc!$AI$3:$AI$132&gt;AI37)*(calc!$AJ$3:$AJ$132&gt;AJ37)+(calc!$AI$3:$AI$132&lt;AI37)*(calc!$AJ$3:$AJ$132&lt;AJ37))&gt;0))-SUMPRODUCT(--(calc!$AD$3:$AD$132=TRUE),--(ROW(calc!$AD$3:$AD$132)&gt;ROW(AD37)),--(((calc!$AI$3:$AI$132&gt;AI37)*(calc!$AJ$3:$AJ$132&lt;AJ37)+(calc!$AI$3:$AI$132&lt;AI37)*(calc!$AJ$3:$AJ$132&gt;AJ37))&gt;0)),0)</f>
        <v/>
      </c>
      <c r="AL37" s="5">
        <f>IF(mos_metrics!J36="","",mos_metrics!J36)</f>
        <v/>
      </c>
      <c r="AM37" s="2">
        <f>AND($J37,ISNUMBER(AL37),correlation!$I$29=1)</f>
        <v/>
      </c>
      <c r="AN37" s="5">
        <f>IF(AM37,$F37,"")</f>
        <v/>
      </c>
      <c r="AO37" s="5">
        <f>IF(AM37,AL37*correlation!$J$29,"")</f>
        <v/>
      </c>
      <c r="AP37" s="5">
        <f>IF(AND(AM37,ISNUMBER(correlation!$F$29)),AO37*correlation!$F$29+correlation!$G$29,"")</f>
        <v/>
      </c>
      <c r="AQ37" s="5">
        <f>IF(AND(AM37,ISNUMBER(AP37)),(AN37-AP37)^2,"")</f>
        <v/>
      </c>
      <c r="AR37" s="5">
        <f>IF(AM37,1+SUMPRODUCT(--(calc!$AM$3:$AM$132=TRUE),--(calc!$AN$3:$AN$132&gt;AN37))+(SUMPRODUCT(--(calc!$AM$3:$AM$132=TRUE),--(calc!$AN$3:$AN$132=AN37))-1)/2,"")</f>
        <v/>
      </c>
      <c r="AS37" s="5">
        <f>IF(AM37,1+SUMPRODUCT(--(calc!$AM$3:$AM$132=TRUE),--(calc!$AO$3:$AO$132&gt;AO37))+(SUMPRODUCT(--(calc!$AM$3:$AM$132=TRUE),--(calc!$AO$3:$AO$132=AO37))-1)/2,"")</f>
        <v/>
      </c>
      <c r="AT37" s="5">
        <f>IF(AM37,SUMPRODUCT(--(calc!$AM$3:$AM$132=TRUE),--(ROW(calc!$AM$3:$AM$132)&gt;ROW(AM37)),--(((calc!$AR$3:$AR$132&gt;AR37)*(calc!$AS$3:$AS$132&gt;AS37)+(calc!$AR$3:$AR$132&lt;AR37)*(calc!$AS$3:$AS$132&lt;AS37))&gt;0))-SUMPRODUCT(--(calc!$AM$3:$AM$132=TRUE),--(ROW(calc!$AM$3:$AM$132)&gt;ROW(AM37)),--(((calc!$AR$3:$AR$132&gt;AR37)*(calc!$AS$3:$AS$132&lt;AS37)+(calc!$AR$3:$AR$132&lt;AR37)*(calc!$AS$3:$AS$132&gt;AS37))&gt;0)),0)</f>
        <v/>
      </c>
      <c r="AU37" s="5">
        <f>IF(mos_metrics!K36="","",mos_metrics!K36)</f>
        <v/>
      </c>
      <c r="AV37" s="2">
        <f>AND($J37,ISNUMBER(AU37),correlation!$I$30=1)</f>
        <v/>
      </c>
      <c r="AW37" s="5">
        <f>IF(AV37,$F37,"")</f>
        <v/>
      </c>
      <c r="AX37" s="5">
        <f>IF(AV37,AU37*correlation!$J$30,"")</f>
        <v/>
      </c>
      <c r="AY37" s="5">
        <f>IF(AND(AV37,ISNUMBER(correlation!$F$30)),AX37*correlation!$F$30+correlation!$G$30,"")</f>
        <v/>
      </c>
      <c r="AZ37" s="5">
        <f>IF(AND(AV37,ISNUMBER(AY37)),(AW37-AY37)^2,"")</f>
        <v/>
      </c>
      <c r="BA37" s="5">
        <f>IF(AV37,1+SUMPRODUCT(--(calc!$AV$3:$AV$132=TRUE),--(calc!$AW$3:$AW$132&gt;AW37))+(SUMPRODUCT(--(calc!$AV$3:$AV$132=TRUE),--(calc!$AW$3:$AW$132=AW37))-1)/2,"")</f>
        <v/>
      </c>
      <c r="BB37" s="5">
        <f>IF(AV37,1+SUMPRODUCT(--(calc!$AV$3:$AV$132=TRUE),--(calc!$AX$3:$AX$132&gt;AX37))+(SUMPRODUCT(--(calc!$AV$3:$AV$132=TRUE),--(calc!$AX$3:$AX$132=AX37))-1)/2,"")</f>
        <v/>
      </c>
      <c r="BC37" s="5">
        <f>IF(AV37,SUMPRODUCT(--(calc!$AV$3:$AV$132=TRUE),--(ROW(calc!$AV$3:$AV$132)&gt;ROW(AV37)),--(((calc!$BA$3:$BA$132&gt;BA37)*(calc!$BB$3:$BB$132&gt;BB37)+(calc!$BA$3:$BA$132&lt;BA37)*(calc!$BB$3:$BB$132&lt;BB37))&gt;0))-SUMPRODUCT(--(calc!$AV$3:$AV$132=TRUE),--(ROW(calc!$AV$3:$AV$132)&gt;ROW(AV37)),--(((calc!$BA$3:$BA$132&gt;BA37)*(calc!$BB$3:$BB$132&lt;BB37)+(calc!$BA$3:$BA$132&lt;BA37)*(calc!$BB$3:$BB$132&gt;BB37))&gt;0)),0)</f>
        <v/>
      </c>
      <c r="BD37" s="5">
        <f>IF(mos_metrics!L36="","",mos_metrics!L36)</f>
        <v/>
      </c>
      <c r="BE37" s="2">
        <f>AND($J37,ISNUMBER(BD37),correlation!$I$31=1)</f>
        <v/>
      </c>
      <c r="BF37" s="5">
        <f>IF(BE37,$F37,"")</f>
        <v/>
      </c>
      <c r="BG37" s="5">
        <f>IF(BE37,BD37*correlation!$J$31,"")</f>
        <v/>
      </c>
      <c r="BH37" s="5">
        <f>IF(AND(BE37,ISNUMBER(correlation!$F$31)),BG37*correlation!$F$31+correlation!$G$31,"")</f>
        <v/>
      </c>
      <c r="BI37" s="5">
        <f>IF(AND(BE37,ISNUMBER(BH37)),(BF37-BH37)^2,"")</f>
        <v/>
      </c>
      <c r="BJ37" s="5">
        <f>IF(BE37,1+SUMPRODUCT(--(calc!$BE$3:$BE$132=TRUE),--(calc!$BF$3:$BF$132&gt;BF37))+(SUMPRODUCT(--(calc!$BE$3:$BE$132=TRUE),--(calc!$BF$3:$BF$132=BF37))-1)/2,"")</f>
        <v/>
      </c>
      <c r="BK37" s="5">
        <f>IF(BE37,1+SUMPRODUCT(--(calc!$BE$3:$BE$132=TRUE),--(calc!$BG$3:$BG$132&gt;BG37))+(SUMPRODUCT(--(calc!$BE$3:$BE$132=TRUE),--(calc!$BG$3:$BG$132=BG37))-1)/2,"")</f>
        <v/>
      </c>
      <c r="BL37" s="5">
        <f>IF(BE37,SUMPRODUCT(--(calc!$BE$3:$BE$132=TRUE),--(ROW(calc!$BE$3:$BE$132)&gt;ROW(BE37)),--(((calc!$BJ$3:$BJ$132&gt;BJ37)*(calc!$BK$3:$BK$132&gt;BK37)+(calc!$BJ$3:$BJ$132&lt;BJ37)*(calc!$BK$3:$BK$132&lt;BK37))&gt;0))-SUMPRODUCT(--(calc!$BE$3:$BE$132=TRUE),--(ROW(calc!$BE$3:$BE$132)&gt;ROW(BE37)),--(((calc!$BJ$3:$BJ$132&gt;BJ37)*(calc!$BK$3:$BK$132&lt;BK37)+(calc!$BJ$3:$BJ$132&lt;BJ37)*(calc!$BK$3:$BK$132&gt;BK37))&gt;0)),0)</f>
        <v/>
      </c>
      <c r="BM37" s="5">
        <f>IF(mos_metrics!M36="","",mos_metrics!M36)</f>
        <v/>
      </c>
      <c r="BN37" s="2">
        <f>AND($J37,ISNUMBER(BM37),correlation!$I$32=1)</f>
        <v/>
      </c>
      <c r="BO37" s="5">
        <f>IF(BN37,$F37,"")</f>
        <v/>
      </c>
      <c r="BP37" s="5">
        <f>IF(BN37,BM37*correlation!$J$32,"")</f>
        <v/>
      </c>
      <c r="BQ37" s="5">
        <f>IF(AND(BN37,ISNUMBER(correlation!$F$32)),BP37*correlation!$F$32+correlation!$G$32,"")</f>
        <v/>
      </c>
      <c r="BR37" s="5">
        <f>IF(AND(BN37,ISNUMBER(BQ37)),(BO37-BQ37)^2,"")</f>
        <v/>
      </c>
      <c r="BS37" s="5">
        <f>IF(BN37,1+SUMPRODUCT(--(calc!$BN$3:$BN$132=TRUE),--(calc!$BO$3:$BO$132&gt;BO37))+(SUMPRODUCT(--(calc!$BN$3:$BN$132=TRUE),--(calc!$BO$3:$BO$132=BO37))-1)/2,"")</f>
        <v/>
      </c>
      <c r="BT37" s="5">
        <f>IF(BN37,1+SUMPRODUCT(--(calc!$BN$3:$BN$132=TRUE),--(calc!$BP$3:$BP$132&gt;BP37))+(SUMPRODUCT(--(calc!$BN$3:$BN$132=TRUE),--(calc!$BP$3:$BP$132=BP37))-1)/2,"")</f>
        <v/>
      </c>
      <c r="BU37" s="5">
        <f>IF(BN37,SUMPRODUCT(--(calc!$BN$3:$BN$132=TRUE),--(ROW(calc!$BN$3:$BN$132)&gt;ROW(BN37)),--(((calc!$BS$3:$BS$132&gt;BS37)*(calc!$BT$3:$BT$132&gt;BT37)+(calc!$BS$3:$BS$132&lt;BS37)*(calc!$BT$3:$BT$132&lt;BT37))&gt;0))-SUMPRODUCT(--(calc!$BN$3:$BN$132=TRUE),--(ROW(calc!$BN$3:$BN$132)&gt;ROW(BN37)),--(((calc!$BS$3:$BS$132&gt;BS37)*(calc!$BT$3:$BT$132&lt;BT37)+(calc!$BS$3:$BS$132&lt;BS37)*(calc!$BT$3:$BT$132&gt;BT37))&gt;0)),0)</f>
        <v/>
      </c>
    </row>
    <row r="38">
      <c r="A38" s="2">
        <f>mos_metrics!A37</f>
        <v/>
      </c>
      <c r="B38" s="2">
        <f>mos_metrics!B37</f>
        <v/>
      </c>
      <c r="C38" s="2">
        <f>mos_metrics!C37</f>
        <v/>
      </c>
      <c r="D38" s="2">
        <f>mos_metrics!D37</f>
        <v/>
      </c>
      <c r="E38" s="2">
        <f>mos_metrics!E37</f>
        <v/>
      </c>
      <c r="F38" s="2">
        <f>mos_metrics!F37</f>
        <v/>
      </c>
      <c r="G38" s="2">
        <f>IF($B38="","",IFERROR(VLOOKUP($B38,correlation!$A$2:$B$12,2,FALSE),1))</f>
        <v/>
      </c>
      <c r="H38" s="2">
        <f>IF($E38="","",IFERROR(VLOOKUP($E38,correlation!$D$2:$E$8,2,FALSE),1))</f>
        <v/>
      </c>
      <c r="I38" s="2">
        <f>ISNUMBER($F38)</f>
        <v/>
      </c>
      <c r="J38" s="2">
        <f>AND($G38=1,$H38=1,$I38)</f>
        <v/>
      </c>
      <c r="K38" s="5">
        <f>IF(mos_metrics!G37="","",mos_metrics!G37)</f>
        <v/>
      </c>
      <c r="L38" s="2">
        <f>AND($J38,ISNUMBER(K38),correlation!$I$26=1)</f>
        <v/>
      </c>
      <c r="M38" s="5">
        <f>IF(L38,$F38,"")</f>
        <v/>
      </c>
      <c r="N38" s="5">
        <f>IF(L38,K38*correlation!$J$26,"")</f>
        <v/>
      </c>
      <c r="O38" s="5">
        <f>IF(AND(L38,ISNUMBER(correlation!$F$26)),N38*correlation!$F$26+correlation!$G$26,"")</f>
        <v/>
      </c>
      <c r="P38" s="5">
        <f>IF(AND(L38,ISNUMBER(O38)),(M38-O38)^2,"")</f>
        <v/>
      </c>
      <c r="Q38" s="5">
        <f>IF(L38,1+SUMPRODUCT(--(calc!$L$3:$L$132=TRUE),--(calc!$M$3:$M$132&gt;M38))+(SUMPRODUCT(--(calc!$L$3:$L$132=TRUE),--(calc!$M$3:$M$132=M38))-1)/2,"")</f>
        <v/>
      </c>
      <c r="R38" s="5">
        <f>IF(L38,1+SUMPRODUCT(--(calc!$L$3:$L$132=TRUE),--(calc!$N$3:$N$132&gt;N38))+(SUMPRODUCT(--(calc!$L$3:$L$132=TRUE),--(calc!$N$3:$N$132=N38))-1)/2,"")</f>
        <v/>
      </c>
      <c r="S38" s="5">
        <f>IF(L38,SUMPRODUCT(--(calc!$L$3:$L$132=TRUE),--(ROW(calc!$L$3:$L$132)&gt;ROW(L38)),--(((calc!$Q$3:$Q$132&gt;Q38)*(calc!$R$3:$R$132&gt;R38)+(calc!$Q$3:$Q$132&lt;Q38)*(calc!$R$3:$R$132&lt;R38))&gt;0))-SUMPRODUCT(--(calc!$L$3:$L$132=TRUE),--(ROW(calc!$L$3:$L$132)&gt;ROW(L38)),--(((calc!$Q$3:$Q$132&gt;Q38)*(calc!$R$3:$R$132&lt;R38)+(calc!$Q$3:$Q$132&lt;Q38)*(calc!$R$3:$R$132&gt;R38))&gt;0)),0)</f>
        <v/>
      </c>
      <c r="T38" s="5">
        <f>IF(mos_metrics!H37="","",mos_metrics!H37)</f>
        <v/>
      </c>
      <c r="U38" s="2">
        <f>AND($J38,ISNUMBER(T38),correlation!$I$27=1)</f>
        <v/>
      </c>
      <c r="V38" s="5">
        <f>IF(U38,$F38,"")</f>
        <v/>
      </c>
      <c r="W38" s="5">
        <f>IF(U38,T38*correlation!$J$27,"")</f>
        <v/>
      </c>
      <c r="X38" s="5">
        <f>IF(AND(U38,ISNUMBER(correlation!$F$27)),W38*correlation!$F$27+correlation!$G$27,"")</f>
        <v/>
      </c>
      <c r="Y38" s="5">
        <f>IF(AND(U38,ISNUMBER(X38)),(V38-X38)^2,"")</f>
        <v/>
      </c>
      <c r="Z38" s="5">
        <f>IF(U38,1+SUMPRODUCT(--(calc!$U$3:$U$132=TRUE),--(calc!$V$3:$V$132&gt;V38))+(SUMPRODUCT(--(calc!$U$3:$U$132=TRUE),--(calc!$V$3:$V$132=V38))-1)/2,"")</f>
        <v/>
      </c>
      <c r="AA38" s="5">
        <f>IF(U38,1+SUMPRODUCT(--(calc!$U$3:$U$132=TRUE),--(calc!$W$3:$W$132&gt;W38))+(SUMPRODUCT(--(calc!$U$3:$U$132=TRUE),--(calc!$W$3:$W$132=W38))-1)/2,"")</f>
        <v/>
      </c>
      <c r="AB38" s="5">
        <f>IF(U38,SUMPRODUCT(--(calc!$U$3:$U$132=TRUE),--(ROW(calc!$U$3:$U$132)&gt;ROW(U38)),--(((calc!$Z$3:$Z$132&gt;Z38)*(calc!$AA$3:$AA$132&gt;AA38)+(calc!$Z$3:$Z$132&lt;Z38)*(calc!$AA$3:$AA$132&lt;AA38))&gt;0))-SUMPRODUCT(--(calc!$U$3:$U$132=TRUE),--(ROW(calc!$U$3:$U$132)&gt;ROW(U38)),--(((calc!$Z$3:$Z$132&gt;Z38)*(calc!$AA$3:$AA$132&lt;AA38)+(calc!$Z$3:$Z$132&lt;Z38)*(calc!$AA$3:$AA$132&gt;AA38))&gt;0)),0)</f>
        <v/>
      </c>
      <c r="AC38" s="5">
        <f>IF(mos_metrics!I37="","",mos_metrics!I37)</f>
        <v/>
      </c>
      <c r="AD38" s="2">
        <f>AND($J38,ISNUMBER(AC38),correlation!$I$28=1)</f>
        <v/>
      </c>
      <c r="AE38" s="5">
        <f>IF(AD38,$F38,"")</f>
        <v/>
      </c>
      <c r="AF38" s="5">
        <f>IF(AD38,AC38*correlation!$J$28,"")</f>
        <v/>
      </c>
      <c r="AG38" s="5">
        <f>IF(AND(AD38,ISNUMBER(correlation!$F$28)),AF38*correlation!$F$28+correlation!$G$28,"")</f>
        <v/>
      </c>
      <c r="AH38" s="5">
        <f>IF(AND(AD38,ISNUMBER(AG38)),(AE38-AG38)^2,"")</f>
        <v/>
      </c>
      <c r="AI38" s="5">
        <f>IF(AD38,1+SUMPRODUCT(--(calc!$AD$3:$AD$132=TRUE),--(calc!$AE$3:$AE$132&gt;AE38))+(SUMPRODUCT(--(calc!$AD$3:$AD$132=TRUE),--(calc!$AE$3:$AE$132=AE38))-1)/2,"")</f>
        <v/>
      </c>
      <c r="AJ38" s="5">
        <f>IF(AD38,1+SUMPRODUCT(--(calc!$AD$3:$AD$132=TRUE),--(calc!$AF$3:$AF$132&gt;AF38))+(SUMPRODUCT(--(calc!$AD$3:$AD$132=TRUE),--(calc!$AF$3:$AF$132=AF38))-1)/2,"")</f>
        <v/>
      </c>
      <c r="AK38" s="5">
        <f>IF(AD38,SUMPRODUCT(--(calc!$AD$3:$AD$132=TRUE),--(ROW(calc!$AD$3:$AD$132)&gt;ROW(AD38)),--(((calc!$AI$3:$AI$132&gt;AI38)*(calc!$AJ$3:$AJ$132&gt;AJ38)+(calc!$AI$3:$AI$132&lt;AI38)*(calc!$AJ$3:$AJ$132&lt;AJ38))&gt;0))-SUMPRODUCT(--(calc!$AD$3:$AD$132=TRUE),--(ROW(calc!$AD$3:$AD$132)&gt;ROW(AD38)),--(((calc!$AI$3:$AI$132&gt;AI38)*(calc!$AJ$3:$AJ$132&lt;AJ38)+(calc!$AI$3:$AI$132&lt;AI38)*(calc!$AJ$3:$AJ$132&gt;AJ38))&gt;0)),0)</f>
        <v/>
      </c>
      <c r="AL38" s="5">
        <f>IF(mos_metrics!J37="","",mos_metrics!J37)</f>
        <v/>
      </c>
      <c r="AM38" s="2">
        <f>AND($J38,ISNUMBER(AL38),correlation!$I$29=1)</f>
        <v/>
      </c>
      <c r="AN38" s="5">
        <f>IF(AM38,$F38,"")</f>
        <v/>
      </c>
      <c r="AO38" s="5">
        <f>IF(AM38,AL38*correlation!$J$29,"")</f>
        <v/>
      </c>
      <c r="AP38" s="5">
        <f>IF(AND(AM38,ISNUMBER(correlation!$F$29)),AO38*correlation!$F$29+correlation!$G$29,"")</f>
        <v/>
      </c>
      <c r="AQ38" s="5">
        <f>IF(AND(AM38,ISNUMBER(AP38)),(AN38-AP38)^2,"")</f>
        <v/>
      </c>
      <c r="AR38" s="5">
        <f>IF(AM38,1+SUMPRODUCT(--(calc!$AM$3:$AM$132=TRUE),--(calc!$AN$3:$AN$132&gt;AN38))+(SUMPRODUCT(--(calc!$AM$3:$AM$132=TRUE),--(calc!$AN$3:$AN$132=AN38))-1)/2,"")</f>
        <v/>
      </c>
      <c r="AS38" s="5">
        <f>IF(AM38,1+SUMPRODUCT(--(calc!$AM$3:$AM$132=TRUE),--(calc!$AO$3:$AO$132&gt;AO38))+(SUMPRODUCT(--(calc!$AM$3:$AM$132=TRUE),--(calc!$AO$3:$AO$132=AO38))-1)/2,"")</f>
        <v/>
      </c>
      <c r="AT38" s="5">
        <f>IF(AM38,SUMPRODUCT(--(calc!$AM$3:$AM$132=TRUE),--(ROW(calc!$AM$3:$AM$132)&gt;ROW(AM38)),--(((calc!$AR$3:$AR$132&gt;AR38)*(calc!$AS$3:$AS$132&gt;AS38)+(calc!$AR$3:$AR$132&lt;AR38)*(calc!$AS$3:$AS$132&lt;AS38))&gt;0))-SUMPRODUCT(--(calc!$AM$3:$AM$132=TRUE),--(ROW(calc!$AM$3:$AM$132)&gt;ROW(AM38)),--(((calc!$AR$3:$AR$132&gt;AR38)*(calc!$AS$3:$AS$132&lt;AS38)+(calc!$AR$3:$AR$132&lt;AR38)*(calc!$AS$3:$AS$132&gt;AS38))&gt;0)),0)</f>
        <v/>
      </c>
      <c r="AU38" s="5">
        <f>IF(mos_metrics!K37="","",mos_metrics!K37)</f>
        <v/>
      </c>
      <c r="AV38" s="2">
        <f>AND($J38,ISNUMBER(AU38),correlation!$I$30=1)</f>
        <v/>
      </c>
      <c r="AW38" s="5">
        <f>IF(AV38,$F38,"")</f>
        <v/>
      </c>
      <c r="AX38" s="5">
        <f>IF(AV38,AU38*correlation!$J$30,"")</f>
        <v/>
      </c>
      <c r="AY38" s="5">
        <f>IF(AND(AV38,ISNUMBER(correlation!$F$30)),AX38*correlation!$F$30+correlation!$G$30,"")</f>
        <v/>
      </c>
      <c r="AZ38" s="5">
        <f>IF(AND(AV38,ISNUMBER(AY38)),(AW38-AY38)^2,"")</f>
        <v/>
      </c>
      <c r="BA38" s="5">
        <f>IF(AV38,1+SUMPRODUCT(--(calc!$AV$3:$AV$132=TRUE),--(calc!$AW$3:$AW$132&gt;AW38))+(SUMPRODUCT(--(calc!$AV$3:$AV$132=TRUE),--(calc!$AW$3:$AW$132=AW38))-1)/2,"")</f>
        <v/>
      </c>
      <c r="BB38" s="5">
        <f>IF(AV38,1+SUMPRODUCT(--(calc!$AV$3:$AV$132=TRUE),--(calc!$AX$3:$AX$132&gt;AX38))+(SUMPRODUCT(--(calc!$AV$3:$AV$132=TRUE),--(calc!$AX$3:$AX$132=AX38))-1)/2,"")</f>
        <v/>
      </c>
      <c r="BC38" s="5">
        <f>IF(AV38,SUMPRODUCT(--(calc!$AV$3:$AV$132=TRUE),--(ROW(calc!$AV$3:$AV$132)&gt;ROW(AV38)),--(((calc!$BA$3:$BA$132&gt;BA38)*(calc!$BB$3:$BB$132&gt;BB38)+(calc!$BA$3:$BA$132&lt;BA38)*(calc!$BB$3:$BB$132&lt;BB38))&gt;0))-SUMPRODUCT(--(calc!$AV$3:$AV$132=TRUE),--(ROW(calc!$AV$3:$AV$132)&gt;ROW(AV38)),--(((calc!$BA$3:$BA$132&gt;BA38)*(calc!$BB$3:$BB$132&lt;BB38)+(calc!$BA$3:$BA$132&lt;BA38)*(calc!$BB$3:$BB$132&gt;BB38))&gt;0)),0)</f>
        <v/>
      </c>
      <c r="BD38" s="5">
        <f>IF(mos_metrics!L37="","",mos_metrics!L37)</f>
        <v/>
      </c>
      <c r="BE38" s="2">
        <f>AND($J38,ISNUMBER(BD38),correlation!$I$31=1)</f>
        <v/>
      </c>
      <c r="BF38" s="5">
        <f>IF(BE38,$F38,"")</f>
        <v/>
      </c>
      <c r="BG38" s="5">
        <f>IF(BE38,BD38*correlation!$J$31,"")</f>
        <v/>
      </c>
      <c r="BH38" s="5">
        <f>IF(AND(BE38,ISNUMBER(correlation!$F$31)),BG38*correlation!$F$31+correlation!$G$31,"")</f>
        <v/>
      </c>
      <c r="BI38" s="5">
        <f>IF(AND(BE38,ISNUMBER(BH38)),(BF38-BH38)^2,"")</f>
        <v/>
      </c>
      <c r="BJ38" s="5">
        <f>IF(BE38,1+SUMPRODUCT(--(calc!$BE$3:$BE$132=TRUE),--(calc!$BF$3:$BF$132&gt;BF38))+(SUMPRODUCT(--(calc!$BE$3:$BE$132=TRUE),--(calc!$BF$3:$BF$132=BF38))-1)/2,"")</f>
        <v/>
      </c>
      <c r="BK38" s="5">
        <f>IF(BE38,1+SUMPRODUCT(--(calc!$BE$3:$BE$132=TRUE),--(calc!$BG$3:$BG$132&gt;BG38))+(SUMPRODUCT(--(calc!$BE$3:$BE$132=TRUE),--(calc!$BG$3:$BG$132=BG38))-1)/2,"")</f>
        <v/>
      </c>
      <c r="BL38" s="5">
        <f>IF(BE38,SUMPRODUCT(--(calc!$BE$3:$BE$132=TRUE),--(ROW(calc!$BE$3:$BE$132)&gt;ROW(BE38)),--(((calc!$BJ$3:$BJ$132&gt;BJ38)*(calc!$BK$3:$BK$132&gt;BK38)+(calc!$BJ$3:$BJ$132&lt;BJ38)*(calc!$BK$3:$BK$132&lt;BK38))&gt;0))-SUMPRODUCT(--(calc!$BE$3:$BE$132=TRUE),--(ROW(calc!$BE$3:$BE$132)&gt;ROW(BE38)),--(((calc!$BJ$3:$BJ$132&gt;BJ38)*(calc!$BK$3:$BK$132&lt;BK38)+(calc!$BJ$3:$BJ$132&lt;BJ38)*(calc!$BK$3:$BK$132&gt;BK38))&gt;0)),0)</f>
        <v/>
      </c>
      <c r="BM38" s="5">
        <f>IF(mos_metrics!M37="","",mos_metrics!M37)</f>
        <v/>
      </c>
      <c r="BN38" s="2">
        <f>AND($J38,ISNUMBER(BM38),correlation!$I$32=1)</f>
        <v/>
      </c>
      <c r="BO38" s="5">
        <f>IF(BN38,$F38,"")</f>
        <v/>
      </c>
      <c r="BP38" s="5">
        <f>IF(BN38,BM38*correlation!$J$32,"")</f>
        <v/>
      </c>
      <c r="BQ38" s="5">
        <f>IF(AND(BN38,ISNUMBER(correlation!$F$32)),BP38*correlation!$F$32+correlation!$G$32,"")</f>
        <v/>
      </c>
      <c r="BR38" s="5">
        <f>IF(AND(BN38,ISNUMBER(BQ38)),(BO38-BQ38)^2,"")</f>
        <v/>
      </c>
      <c r="BS38" s="5">
        <f>IF(BN38,1+SUMPRODUCT(--(calc!$BN$3:$BN$132=TRUE),--(calc!$BO$3:$BO$132&gt;BO38))+(SUMPRODUCT(--(calc!$BN$3:$BN$132=TRUE),--(calc!$BO$3:$BO$132=BO38))-1)/2,"")</f>
        <v/>
      </c>
      <c r="BT38" s="5">
        <f>IF(BN38,1+SUMPRODUCT(--(calc!$BN$3:$BN$132=TRUE),--(calc!$BP$3:$BP$132&gt;BP38))+(SUMPRODUCT(--(calc!$BN$3:$BN$132=TRUE),--(calc!$BP$3:$BP$132=BP38))-1)/2,"")</f>
        <v/>
      </c>
      <c r="BU38" s="5">
        <f>IF(BN38,SUMPRODUCT(--(calc!$BN$3:$BN$132=TRUE),--(ROW(calc!$BN$3:$BN$132)&gt;ROW(BN38)),--(((calc!$BS$3:$BS$132&gt;BS38)*(calc!$BT$3:$BT$132&gt;BT38)+(calc!$BS$3:$BS$132&lt;BS38)*(calc!$BT$3:$BT$132&lt;BT38))&gt;0))-SUMPRODUCT(--(calc!$BN$3:$BN$132=TRUE),--(ROW(calc!$BN$3:$BN$132)&gt;ROW(BN38)),--(((calc!$BS$3:$BS$132&gt;BS38)*(calc!$BT$3:$BT$132&lt;BT38)+(calc!$BS$3:$BS$132&lt;BS38)*(calc!$BT$3:$BT$132&gt;BT38))&gt;0)),0)</f>
        <v/>
      </c>
    </row>
    <row r="39">
      <c r="A39" s="2">
        <f>mos_metrics!A38</f>
        <v/>
      </c>
      <c r="B39" s="2">
        <f>mos_metrics!B38</f>
        <v/>
      </c>
      <c r="C39" s="2">
        <f>mos_metrics!C38</f>
        <v/>
      </c>
      <c r="D39" s="2">
        <f>mos_metrics!D38</f>
        <v/>
      </c>
      <c r="E39" s="2">
        <f>mos_metrics!E38</f>
        <v/>
      </c>
      <c r="F39" s="2">
        <f>mos_metrics!F38</f>
        <v/>
      </c>
      <c r="G39" s="2">
        <f>IF($B39="","",IFERROR(VLOOKUP($B39,correlation!$A$2:$B$12,2,FALSE),1))</f>
        <v/>
      </c>
      <c r="H39" s="2">
        <f>IF($E39="","",IFERROR(VLOOKUP($E39,correlation!$D$2:$E$8,2,FALSE),1))</f>
        <v/>
      </c>
      <c r="I39" s="2">
        <f>ISNUMBER($F39)</f>
        <v/>
      </c>
      <c r="J39" s="2">
        <f>AND($G39=1,$H39=1,$I39)</f>
        <v/>
      </c>
      <c r="K39" s="5">
        <f>IF(mos_metrics!G38="","",mos_metrics!G38)</f>
        <v/>
      </c>
      <c r="L39" s="2">
        <f>AND($J39,ISNUMBER(K39),correlation!$I$26=1)</f>
        <v/>
      </c>
      <c r="M39" s="5">
        <f>IF(L39,$F39,"")</f>
        <v/>
      </c>
      <c r="N39" s="5">
        <f>IF(L39,K39*correlation!$J$26,"")</f>
        <v/>
      </c>
      <c r="O39" s="5">
        <f>IF(AND(L39,ISNUMBER(correlation!$F$26)),N39*correlation!$F$26+correlation!$G$26,"")</f>
        <v/>
      </c>
      <c r="P39" s="5">
        <f>IF(AND(L39,ISNUMBER(O39)),(M39-O39)^2,"")</f>
        <v/>
      </c>
      <c r="Q39" s="5">
        <f>IF(L39,1+SUMPRODUCT(--(calc!$L$3:$L$132=TRUE),--(calc!$M$3:$M$132&gt;M39))+(SUMPRODUCT(--(calc!$L$3:$L$132=TRUE),--(calc!$M$3:$M$132=M39))-1)/2,"")</f>
        <v/>
      </c>
      <c r="R39" s="5">
        <f>IF(L39,1+SUMPRODUCT(--(calc!$L$3:$L$132=TRUE),--(calc!$N$3:$N$132&gt;N39))+(SUMPRODUCT(--(calc!$L$3:$L$132=TRUE),--(calc!$N$3:$N$132=N39))-1)/2,"")</f>
        <v/>
      </c>
      <c r="S39" s="5">
        <f>IF(L39,SUMPRODUCT(--(calc!$L$3:$L$132=TRUE),--(ROW(calc!$L$3:$L$132)&gt;ROW(L39)),--(((calc!$Q$3:$Q$132&gt;Q39)*(calc!$R$3:$R$132&gt;R39)+(calc!$Q$3:$Q$132&lt;Q39)*(calc!$R$3:$R$132&lt;R39))&gt;0))-SUMPRODUCT(--(calc!$L$3:$L$132=TRUE),--(ROW(calc!$L$3:$L$132)&gt;ROW(L39)),--(((calc!$Q$3:$Q$132&gt;Q39)*(calc!$R$3:$R$132&lt;R39)+(calc!$Q$3:$Q$132&lt;Q39)*(calc!$R$3:$R$132&gt;R39))&gt;0)),0)</f>
        <v/>
      </c>
      <c r="T39" s="5">
        <f>IF(mos_metrics!H38="","",mos_metrics!H38)</f>
        <v/>
      </c>
      <c r="U39" s="2">
        <f>AND($J39,ISNUMBER(T39),correlation!$I$27=1)</f>
        <v/>
      </c>
      <c r="V39" s="5">
        <f>IF(U39,$F39,"")</f>
        <v/>
      </c>
      <c r="W39" s="5">
        <f>IF(U39,T39*correlation!$J$27,"")</f>
        <v/>
      </c>
      <c r="X39" s="5">
        <f>IF(AND(U39,ISNUMBER(correlation!$F$27)),W39*correlation!$F$27+correlation!$G$27,"")</f>
        <v/>
      </c>
      <c r="Y39" s="5">
        <f>IF(AND(U39,ISNUMBER(X39)),(V39-X39)^2,"")</f>
        <v/>
      </c>
      <c r="Z39" s="5">
        <f>IF(U39,1+SUMPRODUCT(--(calc!$U$3:$U$132=TRUE),--(calc!$V$3:$V$132&gt;V39))+(SUMPRODUCT(--(calc!$U$3:$U$132=TRUE),--(calc!$V$3:$V$132=V39))-1)/2,"")</f>
        <v/>
      </c>
      <c r="AA39" s="5">
        <f>IF(U39,1+SUMPRODUCT(--(calc!$U$3:$U$132=TRUE),--(calc!$W$3:$W$132&gt;W39))+(SUMPRODUCT(--(calc!$U$3:$U$132=TRUE),--(calc!$W$3:$W$132=W39))-1)/2,"")</f>
        <v/>
      </c>
      <c r="AB39" s="5">
        <f>IF(U39,SUMPRODUCT(--(calc!$U$3:$U$132=TRUE),--(ROW(calc!$U$3:$U$132)&gt;ROW(U39)),--(((calc!$Z$3:$Z$132&gt;Z39)*(calc!$AA$3:$AA$132&gt;AA39)+(calc!$Z$3:$Z$132&lt;Z39)*(calc!$AA$3:$AA$132&lt;AA39))&gt;0))-SUMPRODUCT(--(calc!$U$3:$U$132=TRUE),--(ROW(calc!$U$3:$U$132)&gt;ROW(U39)),--(((calc!$Z$3:$Z$132&gt;Z39)*(calc!$AA$3:$AA$132&lt;AA39)+(calc!$Z$3:$Z$132&lt;Z39)*(calc!$AA$3:$AA$132&gt;AA39))&gt;0)),0)</f>
        <v/>
      </c>
      <c r="AC39" s="5">
        <f>IF(mos_metrics!I38="","",mos_metrics!I38)</f>
        <v/>
      </c>
      <c r="AD39" s="2">
        <f>AND($J39,ISNUMBER(AC39),correlation!$I$28=1)</f>
        <v/>
      </c>
      <c r="AE39" s="5">
        <f>IF(AD39,$F39,"")</f>
        <v/>
      </c>
      <c r="AF39" s="5">
        <f>IF(AD39,AC39*correlation!$J$28,"")</f>
        <v/>
      </c>
      <c r="AG39" s="5">
        <f>IF(AND(AD39,ISNUMBER(correlation!$F$28)),AF39*correlation!$F$28+correlation!$G$28,"")</f>
        <v/>
      </c>
      <c r="AH39" s="5">
        <f>IF(AND(AD39,ISNUMBER(AG39)),(AE39-AG39)^2,"")</f>
        <v/>
      </c>
      <c r="AI39" s="5">
        <f>IF(AD39,1+SUMPRODUCT(--(calc!$AD$3:$AD$132=TRUE),--(calc!$AE$3:$AE$132&gt;AE39))+(SUMPRODUCT(--(calc!$AD$3:$AD$132=TRUE),--(calc!$AE$3:$AE$132=AE39))-1)/2,"")</f>
        <v/>
      </c>
      <c r="AJ39" s="5">
        <f>IF(AD39,1+SUMPRODUCT(--(calc!$AD$3:$AD$132=TRUE),--(calc!$AF$3:$AF$132&gt;AF39))+(SUMPRODUCT(--(calc!$AD$3:$AD$132=TRUE),--(calc!$AF$3:$AF$132=AF39))-1)/2,"")</f>
        <v/>
      </c>
      <c r="AK39" s="5">
        <f>IF(AD39,SUMPRODUCT(--(calc!$AD$3:$AD$132=TRUE),--(ROW(calc!$AD$3:$AD$132)&gt;ROW(AD39)),--(((calc!$AI$3:$AI$132&gt;AI39)*(calc!$AJ$3:$AJ$132&gt;AJ39)+(calc!$AI$3:$AI$132&lt;AI39)*(calc!$AJ$3:$AJ$132&lt;AJ39))&gt;0))-SUMPRODUCT(--(calc!$AD$3:$AD$132=TRUE),--(ROW(calc!$AD$3:$AD$132)&gt;ROW(AD39)),--(((calc!$AI$3:$AI$132&gt;AI39)*(calc!$AJ$3:$AJ$132&lt;AJ39)+(calc!$AI$3:$AI$132&lt;AI39)*(calc!$AJ$3:$AJ$132&gt;AJ39))&gt;0)),0)</f>
        <v/>
      </c>
      <c r="AL39" s="5">
        <f>IF(mos_metrics!J38="","",mos_metrics!J38)</f>
        <v/>
      </c>
      <c r="AM39" s="2">
        <f>AND($J39,ISNUMBER(AL39),correlation!$I$29=1)</f>
        <v/>
      </c>
      <c r="AN39" s="5">
        <f>IF(AM39,$F39,"")</f>
        <v/>
      </c>
      <c r="AO39" s="5">
        <f>IF(AM39,AL39*correlation!$J$29,"")</f>
        <v/>
      </c>
      <c r="AP39" s="5">
        <f>IF(AND(AM39,ISNUMBER(correlation!$F$29)),AO39*correlation!$F$29+correlation!$G$29,"")</f>
        <v/>
      </c>
      <c r="AQ39" s="5">
        <f>IF(AND(AM39,ISNUMBER(AP39)),(AN39-AP39)^2,"")</f>
        <v/>
      </c>
      <c r="AR39" s="5">
        <f>IF(AM39,1+SUMPRODUCT(--(calc!$AM$3:$AM$132=TRUE),--(calc!$AN$3:$AN$132&gt;AN39))+(SUMPRODUCT(--(calc!$AM$3:$AM$132=TRUE),--(calc!$AN$3:$AN$132=AN39))-1)/2,"")</f>
        <v/>
      </c>
      <c r="AS39" s="5">
        <f>IF(AM39,1+SUMPRODUCT(--(calc!$AM$3:$AM$132=TRUE),--(calc!$AO$3:$AO$132&gt;AO39))+(SUMPRODUCT(--(calc!$AM$3:$AM$132=TRUE),--(calc!$AO$3:$AO$132=AO39))-1)/2,"")</f>
        <v/>
      </c>
      <c r="AT39" s="5">
        <f>IF(AM39,SUMPRODUCT(--(calc!$AM$3:$AM$132=TRUE),--(ROW(calc!$AM$3:$AM$132)&gt;ROW(AM39)),--(((calc!$AR$3:$AR$132&gt;AR39)*(calc!$AS$3:$AS$132&gt;AS39)+(calc!$AR$3:$AR$132&lt;AR39)*(calc!$AS$3:$AS$132&lt;AS39))&gt;0))-SUMPRODUCT(--(calc!$AM$3:$AM$132=TRUE),--(ROW(calc!$AM$3:$AM$132)&gt;ROW(AM39)),--(((calc!$AR$3:$AR$132&gt;AR39)*(calc!$AS$3:$AS$132&lt;AS39)+(calc!$AR$3:$AR$132&lt;AR39)*(calc!$AS$3:$AS$132&gt;AS39))&gt;0)),0)</f>
        <v/>
      </c>
      <c r="AU39" s="5">
        <f>IF(mos_metrics!K38="","",mos_metrics!K38)</f>
        <v/>
      </c>
      <c r="AV39" s="2">
        <f>AND($J39,ISNUMBER(AU39),correlation!$I$30=1)</f>
        <v/>
      </c>
      <c r="AW39" s="5">
        <f>IF(AV39,$F39,"")</f>
        <v/>
      </c>
      <c r="AX39" s="5">
        <f>IF(AV39,AU39*correlation!$J$30,"")</f>
        <v/>
      </c>
      <c r="AY39" s="5">
        <f>IF(AND(AV39,ISNUMBER(correlation!$F$30)),AX39*correlation!$F$30+correlation!$G$30,"")</f>
        <v/>
      </c>
      <c r="AZ39" s="5">
        <f>IF(AND(AV39,ISNUMBER(AY39)),(AW39-AY39)^2,"")</f>
        <v/>
      </c>
      <c r="BA39" s="5">
        <f>IF(AV39,1+SUMPRODUCT(--(calc!$AV$3:$AV$132=TRUE),--(calc!$AW$3:$AW$132&gt;AW39))+(SUMPRODUCT(--(calc!$AV$3:$AV$132=TRUE),--(calc!$AW$3:$AW$132=AW39))-1)/2,"")</f>
        <v/>
      </c>
      <c r="BB39" s="5">
        <f>IF(AV39,1+SUMPRODUCT(--(calc!$AV$3:$AV$132=TRUE),--(calc!$AX$3:$AX$132&gt;AX39))+(SUMPRODUCT(--(calc!$AV$3:$AV$132=TRUE),--(calc!$AX$3:$AX$132=AX39))-1)/2,"")</f>
        <v/>
      </c>
      <c r="BC39" s="5">
        <f>IF(AV39,SUMPRODUCT(--(calc!$AV$3:$AV$132=TRUE),--(ROW(calc!$AV$3:$AV$132)&gt;ROW(AV39)),--(((calc!$BA$3:$BA$132&gt;BA39)*(calc!$BB$3:$BB$132&gt;BB39)+(calc!$BA$3:$BA$132&lt;BA39)*(calc!$BB$3:$BB$132&lt;BB39))&gt;0))-SUMPRODUCT(--(calc!$AV$3:$AV$132=TRUE),--(ROW(calc!$AV$3:$AV$132)&gt;ROW(AV39)),--(((calc!$BA$3:$BA$132&gt;BA39)*(calc!$BB$3:$BB$132&lt;BB39)+(calc!$BA$3:$BA$132&lt;BA39)*(calc!$BB$3:$BB$132&gt;BB39))&gt;0)),0)</f>
        <v/>
      </c>
      <c r="BD39" s="5">
        <f>IF(mos_metrics!L38="","",mos_metrics!L38)</f>
        <v/>
      </c>
      <c r="BE39" s="2">
        <f>AND($J39,ISNUMBER(BD39),correlation!$I$31=1)</f>
        <v/>
      </c>
      <c r="BF39" s="5">
        <f>IF(BE39,$F39,"")</f>
        <v/>
      </c>
      <c r="BG39" s="5">
        <f>IF(BE39,BD39*correlation!$J$31,"")</f>
        <v/>
      </c>
      <c r="BH39" s="5">
        <f>IF(AND(BE39,ISNUMBER(correlation!$F$31)),BG39*correlation!$F$31+correlation!$G$31,"")</f>
        <v/>
      </c>
      <c r="BI39" s="5">
        <f>IF(AND(BE39,ISNUMBER(BH39)),(BF39-BH39)^2,"")</f>
        <v/>
      </c>
      <c r="BJ39" s="5">
        <f>IF(BE39,1+SUMPRODUCT(--(calc!$BE$3:$BE$132=TRUE),--(calc!$BF$3:$BF$132&gt;BF39))+(SUMPRODUCT(--(calc!$BE$3:$BE$132=TRUE),--(calc!$BF$3:$BF$132=BF39))-1)/2,"")</f>
        <v/>
      </c>
      <c r="BK39" s="5">
        <f>IF(BE39,1+SUMPRODUCT(--(calc!$BE$3:$BE$132=TRUE),--(calc!$BG$3:$BG$132&gt;BG39))+(SUMPRODUCT(--(calc!$BE$3:$BE$132=TRUE),--(calc!$BG$3:$BG$132=BG39))-1)/2,"")</f>
        <v/>
      </c>
      <c r="BL39" s="5">
        <f>IF(BE39,SUMPRODUCT(--(calc!$BE$3:$BE$132=TRUE),--(ROW(calc!$BE$3:$BE$132)&gt;ROW(BE39)),--(((calc!$BJ$3:$BJ$132&gt;BJ39)*(calc!$BK$3:$BK$132&gt;BK39)+(calc!$BJ$3:$BJ$132&lt;BJ39)*(calc!$BK$3:$BK$132&lt;BK39))&gt;0))-SUMPRODUCT(--(calc!$BE$3:$BE$132=TRUE),--(ROW(calc!$BE$3:$BE$132)&gt;ROW(BE39)),--(((calc!$BJ$3:$BJ$132&gt;BJ39)*(calc!$BK$3:$BK$132&lt;BK39)+(calc!$BJ$3:$BJ$132&lt;BJ39)*(calc!$BK$3:$BK$132&gt;BK39))&gt;0)),0)</f>
        <v/>
      </c>
      <c r="BM39" s="5">
        <f>IF(mos_metrics!M38="","",mos_metrics!M38)</f>
        <v/>
      </c>
      <c r="BN39" s="2">
        <f>AND($J39,ISNUMBER(BM39),correlation!$I$32=1)</f>
        <v/>
      </c>
      <c r="BO39" s="5">
        <f>IF(BN39,$F39,"")</f>
        <v/>
      </c>
      <c r="BP39" s="5">
        <f>IF(BN39,BM39*correlation!$J$32,"")</f>
        <v/>
      </c>
      <c r="BQ39" s="5">
        <f>IF(AND(BN39,ISNUMBER(correlation!$F$32)),BP39*correlation!$F$32+correlation!$G$32,"")</f>
        <v/>
      </c>
      <c r="BR39" s="5">
        <f>IF(AND(BN39,ISNUMBER(BQ39)),(BO39-BQ39)^2,"")</f>
        <v/>
      </c>
      <c r="BS39" s="5">
        <f>IF(BN39,1+SUMPRODUCT(--(calc!$BN$3:$BN$132=TRUE),--(calc!$BO$3:$BO$132&gt;BO39))+(SUMPRODUCT(--(calc!$BN$3:$BN$132=TRUE),--(calc!$BO$3:$BO$132=BO39))-1)/2,"")</f>
        <v/>
      </c>
      <c r="BT39" s="5">
        <f>IF(BN39,1+SUMPRODUCT(--(calc!$BN$3:$BN$132=TRUE),--(calc!$BP$3:$BP$132&gt;BP39))+(SUMPRODUCT(--(calc!$BN$3:$BN$132=TRUE),--(calc!$BP$3:$BP$132=BP39))-1)/2,"")</f>
        <v/>
      </c>
      <c r="BU39" s="5">
        <f>IF(BN39,SUMPRODUCT(--(calc!$BN$3:$BN$132=TRUE),--(ROW(calc!$BN$3:$BN$132)&gt;ROW(BN39)),--(((calc!$BS$3:$BS$132&gt;BS39)*(calc!$BT$3:$BT$132&gt;BT39)+(calc!$BS$3:$BS$132&lt;BS39)*(calc!$BT$3:$BT$132&lt;BT39))&gt;0))-SUMPRODUCT(--(calc!$BN$3:$BN$132=TRUE),--(ROW(calc!$BN$3:$BN$132)&gt;ROW(BN39)),--(((calc!$BS$3:$BS$132&gt;BS39)*(calc!$BT$3:$BT$132&lt;BT39)+(calc!$BS$3:$BS$132&lt;BS39)*(calc!$BT$3:$BT$132&gt;BT39))&gt;0)),0)</f>
        <v/>
      </c>
    </row>
    <row r="40">
      <c r="A40" s="2">
        <f>mos_metrics!A39</f>
        <v/>
      </c>
      <c r="B40" s="2">
        <f>mos_metrics!B39</f>
        <v/>
      </c>
      <c r="C40" s="2">
        <f>mos_metrics!C39</f>
        <v/>
      </c>
      <c r="D40" s="2">
        <f>mos_metrics!D39</f>
        <v/>
      </c>
      <c r="E40" s="2">
        <f>mos_metrics!E39</f>
        <v/>
      </c>
      <c r="F40" s="2">
        <f>mos_metrics!F39</f>
        <v/>
      </c>
      <c r="G40" s="2">
        <f>IF($B40="","",IFERROR(VLOOKUP($B40,correlation!$A$2:$B$12,2,FALSE),1))</f>
        <v/>
      </c>
      <c r="H40" s="2">
        <f>IF($E40="","",IFERROR(VLOOKUP($E40,correlation!$D$2:$E$8,2,FALSE),1))</f>
        <v/>
      </c>
      <c r="I40" s="2">
        <f>ISNUMBER($F40)</f>
        <v/>
      </c>
      <c r="J40" s="2">
        <f>AND($G40=1,$H40=1,$I40)</f>
        <v/>
      </c>
      <c r="K40" s="5">
        <f>IF(mos_metrics!G39="","",mos_metrics!G39)</f>
        <v/>
      </c>
      <c r="L40" s="2">
        <f>AND($J40,ISNUMBER(K40),correlation!$I$26=1)</f>
        <v/>
      </c>
      <c r="M40" s="5">
        <f>IF(L40,$F40,"")</f>
        <v/>
      </c>
      <c r="N40" s="5">
        <f>IF(L40,K40*correlation!$J$26,"")</f>
        <v/>
      </c>
      <c r="O40" s="5">
        <f>IF(AND(L40,ISNUMBER(correlation!$F$26)),N40*correlation!$F$26+correlation!$G$26,"")</f>
        <v/>
      </c>
      <c r="P40" s="5">
        <f>IF(AND(L40,ISNUMBER(O40)),(M40-O40)^2,"")</f>
        <v/>
      </c>
      <c r="Q40" s="5">
        <f>IF(L40,1+SUMPRODUCT(--(calc!$L$3:$L$132=TRUE),--(calc!$M$3:$M$132&gt;M40))+(SUMPRODUCT(--(calc!$L$3:$L$132=TRUE),--(calc!$M$3:$M$132=M40))-1)/2,"")</f>
        <v/>
      </c>
      <c r="R40" s="5">
        <f>IF(L40,1+SUMPRODUCT(--(calc!$L$3:$L$132=TRUE),--(calc!$N$3:$N$132&gt;N40))+(SUMPRODUCT(--(calc!$L$3:$L$132=TRUE),--(calc!$N$3:$N$132=N40))-1)/2,"")</f>
        <v/>
      </c>
      <c r="S40" s="5">
        <f>IF(L40,SUMPRODUCT(--(calc!$L$3:$L$132=TRUE),--(ROW(calc!$L$3:$L$132)&gt;ROW(L40)),--(((calc!$Q$3:$Q$132&gt;Q40)*(calc!$R$3:$R$132&gt;R40)+(calc!$Q$3:$Q$132&lt;Q40)*(calc!$R$3:$R$132&lt;R40))&gt;0))-SUMPRODUCT(--(calc!$L$3:$L$132=TRUE),--(ROW(calc!$L$3:$L$132)&gt;ROW(L40)),--(((calc!$Q$3:$Q$132&gt;Q40)*(calc!$R$3:$R$132&lt;R40)+(calc!$Q$3:$Q$132&lt;Q40)*(calc!$R$3:$R$132&gt;R40))&gt;0)),0)</f>
        <v/>
      </c>
      <c r="T40" s="5">
        <f>IF(mos_metrics!H39="","",mos_metrics!H39)</f>
        <v/>
      </c>
      <c r="U40" s="2">
        <f>AND($J40,ISNUMBER(T40),correlation!$I$27=1)</f>
        <v/>
      </c>
      <c r="V40" s="5">
        <f>IF(U40,$F40,"")</f>
        <v/>
      </c>
      <c r="W40" s="5">
        <f>IF(U40,T40*correlation!$J$27,"")</f>
        <v/>
      </c>
      <c r="X40" s="5">
        <f>IF(AND(U40,ISNUMBER(correlation!$F$27)),W40*correlation!$F$27+correlation!$G$27,"")</f>
        <v/>
      </c>
      <c r="Y40" s="5">
        <f>IF(AND(U40,ISNUMBER(X40)),(V40-X40)^2,"")</f>
        <v/>
      </c>
      <c r="Z40" s="5">
        <f>IF(U40,1+SUMPRODUCT(--(calc!$U$3:$U$132=TRUE),--(calc!$V$3:$V$132&gt;V40))+(SUMPRODUCT(--(calc!$U$3:$U$132=TRUE),--(calc!$V$3:$V$132=V40))-1)/2,"")</f>
        <v/>
      </c>
      <c r="AA40" s="5">
        <f>IF(U40,1+SUMPRODUCT(--(calc!$U$3:$U$132=TRUE),--(calc!$W$3:$W$132&gt;W40))+(SUMPRODUCT(--(calc!$U$3:$U$132=TRUE),--(calc!$W$3:$W$132=W40))-1)/2,"")</f>
        <v/>
      </c>
      <c r="AB40" s="5">
        <f>IF(U40,SUMPRODUCT(--(calc!$U$3:$U$132=TRUE),--(ROW(calc!$U$3:$U$132)&gt;ROW(U40)),--(((calc!$Z$3:$Z$132&gt;Z40)*(calc!$AA$3:$AA$132&gt;AA40)+(calc!$Z$3:$Z$132&lt;Z40)*(calc!$AA$3:$AA$132&lt;AA40))&gt;0))-SUMPRODUCT(--(calc!$U$3:$U$132=TRUE),--(ROW(calc!$U$3:$U$132)&gt;ROW(U40)),--(((calc!$Z$3:$Z$132&gt;Z40)*(calc!$AA$3:$AA$132&lt;AA40)+(calc!$Z$3:$Z$132&lt;Z40)*(calc!$AA$3:$AA$132&gt;AA40))&gt;0)),0)</f>
        <v/>
      </c>
      <c r="AC40" s="5">
        <f>IF(mos_metrics!I39="","",mos_metrics!I39)</f>
        <v/>
      </c>
      <c r="AD40" s="2">
        <f>AND($J40,ISNUMBER(AC40),correlation!$I$28=1)</f>
        <v/>
      </c>
      <c r="AE40" s="5">
        <f>IF(AD40,$F40,"")</f>
        <v/>
      </c>
      <c r="AF40" s="5">
        <f>IF(AD40,AC40*correlation!$J$28,"")</f>
        <v/>
      </c>
      <c r="AG40" s="5">
        <f>IF(AND(AD40,ISNUMBER(correlation!$F$28)),AF40*correlation!$F$28+correlation!$G$28,"")</f>
        <v/>
      </c>
      <c r="AH40" s="5">
        <f>IF(AND(AD40,ISNUMBER(AG40)),(AE40-AG40)^2,"")</f>
        <v/>
      </c>
      <c r="AI40" s="5">
        <f>IF(AD40,1+SUMPRODUCT(--(calc!$AD$3:$AD$132=TRUE),--(calc!$AE$3:$AE$132&gt;AE40))+(SUMPRODUCT(--(calc!$AD$3:$AD$132=TRUE),--(calc!$AE$3:$AE$132=AE40))-1)/2,"")</f>
        <v/>
      </c>
      <c r="AJ40" s="5">
        <f>IF(AD40,1+SUMPRODUCT(--(calc!$AD$3:$AD$132=TRUE),--(calc!$AF$3:$AF$132&gt;AF40))+(SUMPRODUCT(--(calc!$AD$3:$AD$132=TRUE),--(calc!$AF$3:$AF$132=AF40))-1)/2,"")</f>
        <v/>
      </c>
      <c r="AK40" s="5">
        <f>IF(AD40,SUMPRODUCT(--(calc!$AD$3:$AD$132=TRUE),--(ROW(calc!$AD$3:$AD$132)&gt;ROW(AD40)),--(((calc!$AI$3:$AI$132&gt;AI40)*(calc!$AJ$3:$AJ$132&gt;AJ40)+(calc!$AI$3:$AI$132&lt;AI40)*(calc!$AJ$3:$AJ$132&lt;AJ40))&gt;0))-SUMPRODUCT(--(calc!$AD$3:$AD$132=TRUE),--(ROW(calc!$AD$3:$AD$132)&gt;ROW(AD40)),--(((calc!$AI$3:$AI$132&gt;AI40)*(calc!$AJ$3:$AJ$132&lt;AJ40)+(calc!$AI$3:$AI$132&lt;AI40)*(calc!$AJ$3:$AJ$132&gt;AJ40))&gt;0)),0)</f>
        <v/>
      </c>
      <c r="AL40" s="5">
        <f>IF(mos_metrics!J39="","",mos_metrics!J39)</f>
        <v/>
      </c>
      <c r="AM40" s="2">
        <f>AND($J40,ISNUMBER(AL40),correlation!$I$29=1)</f>
        <v/>
      </c>
      <c r="AN40" s="5">
        <f>IF(AM40,$F40,"")</f>
        <v/>
      </c>
      <c r="AO40" s="5">
        <f>IF(AM40,AL40*correlation!$J$29,"")</f>
        <v/>
      </c>
      <c r="AP40" s="5">
        <f>IF(AND(AM40,ISNUMBER(correlation!$F$29)),AO40*correlation!$F$29+correlation!$G$29,"")</f>
        <v/>
      </c>
      <c r="AQ40" s="5">
        <f>IF(AND(AM40,ISNUMBER(AP40)),(AN40-AP40)^2,"")</f>
        <v/>
      </c>
      <c r="AR40" s="5">
        <f>IF(AM40,1+SUMPRODUCT(--(calc!$AM$3:$AM$132=TRUE),--(calc!$AN$3:$AN$132&gt;AN40))+(SUMPRODUCT(--(calc!$AM$3:$AM$132=TRUE),--(calc!$AN$3:$AN$132=AN40))-1)/2,"")</f>
        <v/>
      </c>
      <c r="AS40" s="5">
        <f>IF(AM40,1+SUMPRODUCT(--(calc!$AM$3:$AM$132=TRUE),--(calc!$AO$3:$AO$132&gt;AO40))+(SUMPRODUCT(--(calc!$AM$3:$AM$132=TRUE),--(calc!$AO$3:$AO$132=AO40))-1)/2,"")</f>
        <v/>
      </c>
      <c r="AT40" s="5">
        <f>IF(AM40,SUMPRODUCT(--(calc!$AM$3:$AM$132=TRUE),--(ROW(calc!$AM$3:$AM$132)&gt;ROW(AM40)),--(((calc!$AR$3:$AR$132&gt;AR40)*(calc!$AS$3:$AS$132&gt;AS40)+(calc!$AR$3:$AR$132&lt;AR40)*(calc!$AS$3:$AS$132&lt;AS40))&gt;0))-SUMPRODUCT(--(calc!$AM$3:$AM$132=TRUE),--(ROW(calc!$AM$3:$AM$132)&gt;ROW(AM40)),--(((calc!$AR$3:$AR$132&gt;AR40)*(calc!$AS$3:$AS$132&lt;AS40)+(calc!$AR$3:$AR$132&lt;AR40)*(calc!$AS$3:$AS$132&gt;AS40))&gt;0)),0)</f>
        <v/>
      </c>
      <c r="AU40" s="5">
        <f>IF(mos_metrics!K39="","",mos_metrics!K39)</f>
        <v/>
      </c>
      <c r="AV40" s="2">
        <f>AND($J40,ISNUMBER(AU40),correlation!$I$30=1)</f>
        <v/>
      </c>
      <c r="AW40" s="5">
        <f>IF(AV40,$F40,"")</f>
        <v/>
      </c>
      <c r="AX40" s="5">
        <f>IF(AV40,AU40*correlation!$J$30,"")</f>
        <v/>
      </c>
      <c r="AY40" s="5">
        <f>IF(AND(AV40,ISNUMBER(correlation!$F$30)),AX40*correlation!$F$30+correlation!$G$30,"")</f>
        <v/>
      </c>
      <c r="AZ40" s="5">
        <f>IF(AND(AV40,ISNUMBER(AY40)),(AW40-AY40)^2,"")</f>
        <v/>
      </c>
      <c r="BA40" s="5">
        <f>IF(AV40,1+SUMPRODUCT(--(calc!$AV$3:$AV$132=TRUE),--(calc!$AW$3:$AW$132&gt;AW40))+(SUMPRODUCT(--(calc!$AV$3:$AV$132=TRUE),--(calc!$AW$3:$AW$132=AW40))-1)/2,"")</f>
        <v/>
      </c>
      <c r="BB40" s="5">
        <f>IF(AV40,1+SUMPRODUCT(--(calc!$AV$3:$AV$132=TRUE),--(calc!$AX$3:$AX$132&gt;AX40))+(SUMPRODUCT(--(calc!$AV$3:$AV$132=TRUE),--(calc!$AX$3:$AX$132=AX40))-1)/2,"")</f>
        <v/>
      </c>
      <c r="BC40" s="5">
        <f>IF(AV40,SUMPRODUCT(--(calc!$AV$3:$AV$132=TRUE),--(ROW(calc!$AV$3:$AV$132)&gt;ROW(AV40)),--(((calc!$BA$3:$BA$132&gt;BA40)*(calc!$BB$3:$BB$132&gt;BB40)+(calc!$BA$3:$BA$132&lt;BA40)*(calc!$BB$3:$BB$132&lt;BB40))&gt;0))-SUMPRODUCT(--(calc!$AV$3:$AV$132=TRUE),--(ROW(calc!$AV$3:$AV$132)&gt;ROW(AV40)),--(((calc!$BA$3:$BA$132&gt;BA40)*(calc!$BB$3:$BB$132&lt;BB40)+(calc!$BA$3:$BA$132&lt;BA40)*(calc!$BB$3:$BB$132&gt;BB40))&gt;0)),0)</f>
        <v/>
      </c>
      <c r="BD40" s="5">
        <f>IF(mos_metrics!L39="","",mos_metrics!L39)</f>
        <v/>
      </c>
      <c r="BE40" s="2">
        <f>AND($J40,ISNUMBER(BD40),correlation!$I$31=1)</f>
        <v/>
      </c>
      <c r="BF40" s="5">
        <f>IF(BE40,$F40,"")</f>
        <v/>
      </c>
      <c r="BG40" s="5">
        <f>IF(BE40,BD40*correlation!$J$31,"")</f>
        <v/>
      </c>
      <c r="BH40" s="5">
        <f>IF(AND(BE40,ISNUMBER(correlation!$F$31)),BG40*correlation!$F$31+correlation!$G$31,"")</f>
        <v/>
      </c>
      <c r="BI40" s="5">
        <f>IF(AND(BE40,ISNUMBER(BH40)),(BF40-BH40)^2,"")</f>
        <v/>
      </c>
      <c r="BJ40" s="5">
        <f>IF(BE40,1+SUMPRODUCT(--(calc!$BE$3:$BE$132=TRUE),--(calc!$BF$3:$BF$132&gt;BF40))+(SUMPRODUCT(--(calc!$BE$3:$BE$132=TRUE),--(calc!$BF$3:$BF$132=BF40))-1)/2,"")</f>
        <v/>
      </c>
      <c r="BK40" s="5">
        <f>IF(BE40,1+SUMPRODUCT(--(calc!$BE$3:$BE$132=TRUE),--(calc!$BG$3:$BG$132&gt;BG40))+(SUMPRODUCT(--(calc!$BE$3:$BE$132=TRUE),--(calc!$BG$3:$BG$132=BG40))-1)/2,"")</f>
        <v/>
      </c>
      <c r="BL40" s="5">
        <f>IF(BE40,SUMPRODUCT(--(calc!$BE$3:$BE$132=TRUE),--(ROW(calc!$BE$3:$BE$132)&gt;ROW(BE40)),--(((calc!$BJ$3:$BJ$132&gt;BJ40)*(calc!$BK$3:$BK$132&gt;BK40)+(calc!$BJ$3:$BJ$132&lt;BJ40)*(calc!$BK$3:$BK$132&lt;BK40))&gt;0))-SUMPRODUCT(--(calc!$BE$3:$BE$132=TRUE),--(ROW(calc!$BE$3:$BE$132)&gt;ROW(BE40)),--(((calc!$BJ$3:$BJ$132&gt;BJ40)*(calc!$BK$3:$BK$132&lt;BK40)+(calc!$BJ$3:$BJ$132&lt;BJ40)*(calc!$BK$3:$BK$132&gt;BK40))&gt;0)),0)</f>
        <v/>
      </c>
      <c r="BM40" s="5">
        <f>IF(mos_metrics!M39="","",mos_metrics!M39)</f>
        <v/>
      </c>
      <c r="BN40" s="2">
        <f>AND($J40,ISNUMBER(BM40),correlation!$I$32=1)</f>
        <v/>
      </c>
      <c r="BO40" s="5">
        <f>IF(BN40,$F40,"")</f>
        <v/>
      </c>
      <c r="BP40" s="5">
        <f>IF(BN40,BM40*correlation!$J$32,"")</f>
        <v/>
      </c>
      <c r="BQ40" s="5">
        <f>IF(AND(BN40,ISNUMBER(correlation!$F$32)),BP40*correlation!$F$32+correlation!$G$32,"")</f>
        <v/>
      </c>
      <c r="BR40" s="5">
        <f>IF(AND(BN40,ISNUMBER(BQ40)),(BO40-BQ40)^2,"")</f>
        <v/>
      </c>
      <c r="BS40" s="5">
        <f>IF(BN40,1+SUMPRODUCT(--(calc!$BN$3:$BN$132=TRUE),--(calc!$BO$3:$BO$132&gt;BO40))+(SUMPRODUCT(--(calc!$BN$3:$BN$132=TRUE),--(calc!$BO$3:$BO$132=BO40))-1)/2,"")</f>
        <v/>
      </c>
      <c r="BT40" s="5">
        <f>IF(BN40,1+SUMPRODUCT(--(calc!$BN$3:$BN$132=TRUE),--(calc!$BP$3:$BP$132&gt;BP40))+(SUMPRODUCT(--(calc!$BN$3:$BN$132=TRUE),--(calc!$BP$3:$BP$132=BP40))-1)/2,"")</f>
        <v/>
      </c>
      <c r="BU40" s="5">
        <f>IF(BN40,SUMPRODUCT(--(calc!$BN$3:$BN$132=TRUE),--(ROW(calc!$BN$3:$BN$132)&gt;ROW(BN40)),--(((calc!$BS$3:$BS$132&gt;BS40)*(calc!$BT$3:$BT$132&gt;BT40)+(calc!$BS$3:$BS$132&lt;BS40)*(calc!$BT$3:$BT$132&lt;BT40))&gt;0))-SUMPRODUCT(--(calc!$BN$3:$BN$132=TRUE),--(ROW(calc!$BN$3:$BN$132)&gt;ROW(BN40)),--(((calc!$BS$3:$BS$132&gt;BS40)*(calc!$BT$3:$BT$132&lt;BT40)+(calc!$BS$3:$BS$132&lt;BS40)*(calc!$BT$3:$BT$132&gt;BT40))&gt;0)),0)</f>
        <v/>
      </c>
    </row>
    <row r="41">
      <c r="A41" s="2">
        <f>mos_metrics!A40</f>
        <v/>
      </c>
      <c r="B41" s="2">
        <f>mos_metrics!B40</f>
        <v/>
      </c>
      <c r="C41" s="2">
        <f>mos_metrics!C40</f>
        <v/>
      </c>
      <c r="D41" s="2">
        <f>mos_metrics!D40</f>
        <v/>
      </c>
      <c r="E41" s="2">
        <f>mos_metrics!E40</f>
        <v/>
      </c>
      <c r="F41" s="2">
        <f>mos_metrics!F40</f>
        <v/>
      </c>
      <c r="G41" s="2">
        <f>IF($B41="","",IFERROR(VLOOKUP($B41,correlation!$A$2:$B$12,2,FALSE),1))</f>
        <v/>
      </c>
      <c r="H41" s="2">
        <f>IF($E41="","",IFERROR(VLOOKUP($E41,correlation!$D$2:$E$8,2,FALSE),1))</f>
        <v/>
      </c>
      <c r="I41" s="2">
        <f>ISNUMBER($F41)</f>
        <v/>
      </c>
      <c r="J41" s="2">
        <f>AND($G41=1,$H41=1,$I41)</f>
        <v/>
      </c>
      <c r="K41" s="5">
        <f>IF(mos_metrics!G40="","",mos_metrics!G40)</f>
        <v/>
      </c>
      <c r="L41" s="2">
        <f>AND($J41,ISNUMBER(K41),correlation!$I$26=1)</f>
        <v/>
      </c>
      <c r="M41" s="5">
        <f>IF(L41,$F41,"")</f>
        <v/>
      </c>
      <c r="N41" s="5">
        <f>IF(L41,K41*correlation!$J$26,"")</f>
        <v/>
      </c>
      <c r="O41" s="5">
        <f>IF(AND(L41,ISNUMBER(correlation!$F$26)),N41*correlation!$F$26+correlation!$G$26,"")</f>
        <v/>
      </c>
      <c r="P41" s="5">
        <f>IF(AND(L41,ISNUMBER(O41)),(M41-O41)^2,"")</f>
        <v/>
      </c>
      <c r="Q41" s="5">
        <f>IF(L41,1+SUMPRODUCT(--(calc!$L$3:$L$132=TRUE),--(calc!$M$3:$M$132&gt;M41))+(SUMPRODUCT(--(calc!$L$3:$L$132=TRUE),--(calc!$M$3:$M$132=M41))-1)/2,"")</f>
        <v/>
      </c>
      <c r="R41" s="5">
        <f>IF(L41,1+SUMPRODUCT(--(calc!$L$3:$L$132=TRUE),--(calc!$N$3:$N$132&gt;N41))+(SUMPRODUCT(--(calc!$L$3:$L$132=TRUE),--(calc!$N$3:$N$132=N41))-1)/2,"")</f>
        <v/>
      </c>
      <c r="S41" s="5">
        <f>IF(L41,SUMPRODUCT(--(calc!$L$3:$L$132=TRUE),--(ROW(calc!$L$3:$L$132)&gt;ROW(L41)),--(((calc!$Q$3:$Q$132&gt;Q41)*(calc!$R$3:$R$132&gt;R41)+(calc!$Q$3:$Q$132&lt;Q41)*(calc!$R$3:$R$132&lt;R41))&gt;0))-SUMPRODUCT(--(calc!$L$3:$L$132=TRUE),--(ROW(calc!$L$3:$L$132)&gt;ROW(L41)),--(((calc!$Q$3:$Q$132&gt;Q41)*(calc!$R$3:$R$132&lt;R41)+(calc!$Q$3:$Q$132&lt;Q41)*(calc!$R$3:$R$132&gt;R41))&gt;0)),0)</f>
        <v/>
      </c>
      <c r="T41" s="5">
        <f>IF(mos_metrics!H40="","",mos_metrics!H40)</f>
        <v/>
      </c>
      <c r="U41" s="2">
        <f>AND($J41,ISNUMBER(T41),correlation!$I$27=1)</f>
        <v/>
      </c>
      <c r="V41" s="5">
        <f>IF(U41,$F41,"")</f>
        <v/>
      </c>
      <c r="W41" s="5">
        <f>IF(U41,T41*correlation!$J$27,"")</f>
        <v/>
      </c>
      <c r="X41" s="5">
        <f>IF(AND(U41,ISNUMBER(correlation!$F$27)),W41*correlation!$F$27+correlation!$G$27,"")</f>
        <v/>
      </c>
      <c r="Y41" s="5">
        <f>IF(AND(U41,ISNUMBER(X41)),(V41-X41)^2,"")</f>
        <v/>
      </c>
      <c r="Z41" s="5">
        <f>IF(U41,1+SUMPRODUCT(--(calc!$U$3:$U$132=TRUE),--(calc!$V$3:$V$132&gt;V41))+(SUMPRODUCT(--(calc!$U$3:$U$132=TRUE),--(calc!$V$3:$V$132=V41))-1)/2,"")</f>
        <v/>
      </c>
      <c r="AA41" s="5">
        <f>IF(U41,1+SUMPRODUCT(--(calc!$U$3:$U$132=TRUE),--(calc!$W$3:$W$132&gt;W41))+(SUMPRODUCT(--(calc!$U$3:$U$132=TRUE),--(calc!$W$3:$W$132=W41))-1)/2,"")</f>
        <v/>
      </c>
      <c r="AB41" s="5">
        <f>IF(U41,SUMPRODUCT(--(calc!$U$3:$U$132=TRUE),--(ROW(calc!$U$3:$U$132)&gt;ROW(U41)),--(((calc!$Z$3:$Z$132&gt;Z41)*(calc!$AA$3:$AA$132&gt;AA41)+(calc!$Z$3:$Z$132&lt;Z41)*(calc!$AA$3:$AA$132&lt;AA41))&gt;0))-SUMPRODUCT(--(calc!$U$3:$U$132=TRUE),--(ROW(calc!$U$3:$U$132)&gt;ROW(U41)),--(((calc!$Z$3:$Z$132&gt;Z41)*(calc!$AA$3:$AA$132&lt;AA41)+(calc!$Z$3:$Z$132&lt;Z41)*(calc!$AA$3:$AA$132&gt;AA41))&gt;0)),0)</f>
        <v/>
      </c>
      <c r="AC41" s="5">
        <f>IF(mos_metrics!I40="","",mos_metrics!I40)</f>
        <v/>
      </c>
      <c r="AD41" s="2">
        <f>AND($J41,ISNUMBER(AC41),correlation!$I$28=1)</f>
        <v/>
      </c>
      <c r="AE41" s="5">
        <f>IF(AD41,$F41,"")</f>
        <v/>
      </c>
      <c r="AF41" s="5">
        <f>IF(AD41,AC41*correlation!$J$28,"")</f>
        <v/>
      </c>
      <c r="AG41" s="5">
        <f>IF(AND(AD41,ISNUMBER(correlation!$F$28)),AF41*correlation!$F$28+correlation!$G$28,"")</f>
        <v/>
      </c>
      <c r="AH41" s="5">
        <f>IF(AND(AD41,ISNUMBER(AG41)),(AE41-AG41)^2,"")</f>
        <v/>
      </c>
      <c r="AI41" s="5">
        <f>IF(AD41,1+SUMPRODUCT(--(calc!$AD$3:$AD$132=TRUE),--(calc!$AE$3:$AE$132&gt;AE41))+(SUMPRODUCT(--(calc!$AD$3:$AD$132=TRUE),--(calc!$AE$3:$AE$132=AE41))-1)/2,"")</f>
        <v/>
      </c>
      <c r="AJ41" s="5">
        <f>IF(AD41,1+SUMPRODUCT(--(calc!$AD$3:$AD$132=TRUE),--(calc!$AF$3:$AF$132&gt;AF41))+(SUMPRODUCT(--(calc!$AD$3:$AD$132=TRUE),--(calc!$AF$3:$AF$132=AF41))-1)/2,"")</f>
        <v/>
      </c>
      <c r="AK41" s="5">
        <f>IF(AD41,SUMPRODUCT(--(calc!$AD$3:$AD$132=TRUE),--(ROW(calc!$AD$3:$AD$132)&gt;ROW(AD41)),--(((calc!$AI$3:$AI$132&gt;AI41)*(calc!$AJ$3:$AJ$132&gt;AJ41)+(calc!$AI$3:$AI$132&lt;AI41)*(calc!$AJ$3:$AJ$132&lt;AJ41))&gt;0))-SUMPRODUCT(--(calc!$AD$3:$AD$132=TRUE),--(ROW(calc!$AD$3:$AD$132)&gt;ROW(AD41)),--(((calc!$AI$3:$AI$132&gt;AI41)*(calc!$AJ$3:$AJ$132&lt;AJ41)+(calc!$AI$3:$AI$132&lt;AI41)*(calc!$AJ$3:$AJ$132&gt;AJ41))&gt;0)),0)</f>
        <v/>
      </c>
      <c r="AL41" s="5">
        <f>IF(mos_metrics!J40="","",mos_metrics!J40)</f>
        <v/>
      </c>
      <c r="AM41" s="2">
        <f>AND($J41,ISNUMBER(AL41),correlation!$I$29=1)</f>
        <v/>
      </c>
      <c r="AN41" s="5">
        <f>IF(AM41,$F41,"")</f>
        <v/>
      </c>
      <c r="AO41" s="5">
        <f>IF(AM41,AL41*correlation!$J$29,"")</f>
        <v/>
      </c>
      <c r="AP41" s="5">
        <f>IF(AND(AM41,ISNUMBER(correlation!$F$29)),AO41*correlation!$F$29+correlation!$G$29,"")</f>
        <v/>
      </c>
      <c r="AQ41" s="5">
        <f>IF(AND(AM41,ISNUMBER(AP41)),(AN41-AP41)^2,"")</f>
        <v/>
      </c>
      <c r="AR41" s="5">
        <f>IF(AM41,1+SUMPRODUCT(--(calc!$AM$3:$AM$132=TRUE),--(calc!$AN$3:$AN$132&gt;AN41))+(SUMPRODUCT(--(calc!$AM$3:$AM$132=TRUE),--(calc!$AN$3:$AN$132=AN41))-1)/2,"")</f>
        <v/>
      </c>
      <c r="AS41" s="5">
        <f>IF(AM41,1+SUMPRODUCT(--(calc!$AM$3:$AM$132=TRUE),--(calc!$AO$3:$AO$132&gt;AO41))+(SUMPRODUCT(--(calc!$AM$3:$AM$132=TRUE),--(calc!$AO$3:$AO$132=AO41))-1)/2,"")</f>
        <v/>
      </c>
      <c r="AT41" s="5">
        <f>IF(AM41,SUMPRODUCT(--(calc!$AM$3:$AM$132=TRUE),--(ROW(calc!$AM$3:$AM$132)&gt;ROW(AM41)),--(((calc!$AR$3:$AR$132&gt;AR41)*(calc!$AS$3:$AS$132&gt;AS41)+(calc!$AR$3:$AR$132&lt;AR41)*(calc!$AS$3:$AS$132&lt;AS41))&gt;0))-SUMPRODUCT(--(calc!$AM$3:$AM$132=TRUE),--(ROW(calc!$AM$3:$AM$132)&gt;ROW(AM41)),--(((calc!$AR$3:$AR$132&gt;AR41)*(calc!$AS$3:$AS$132&lt;AS41)+(calc!$AR$3:$AR$132&lt;AR41)*(calc!$AS$3:$AS$132&gt;AS41))&gt;0)),0)</f>
        <v/>
      </c>
      <c r="AU41" s="5">
        <f>IF(mos_metrics!K40="","",mos_metrics!K40)</f>
        <v/>
      </c>
      <c r="AV41" s="2">
        <f>AND($J41,ISNUMBER(AU41),correlation!$I$30=1)</f>
        <v/>
      </c>
      <c r="AW41" s="5">
        <f>IF(AV41,$F41,"")</f>
        <v/>
      </c>
      <c r="AX41" s="5">
        <f>IF(AV41,AU41*correlation!$J$30,"")</f>
        <v/>
      </c>
      <c r="AY41" s="5">
        <f>IF(AND(AV41,ISNUMBER(correlation!$F$30)),AX41*correlation!$F$30+correlation!$G$30,"")</f>
        <v/>
      </c>
      <c r="AZ41" s="5">
        <f>IF(AND(AV41,ISNUMBER(AY41)),(AW41-AY41)^2,"")</f>
        <v/>
      </c>
      <c r="BA41" s="5">
        <f>IF(AV41,1+SUMPRODUCT(--(calc!$AV$3:$AV$132=TRUE),--(calc!$AW$3:$AW$132&gt;AW41))+(SUMPRODUCT(--(calc!$AV$3:$AV$132=TRUE),--(calc!$AW$3:$AW$132=AW41))-1)/2,"")</f>
        <v/>
      </c>
      <c r="BB41" s="5">
        <f>IF(AV41,1+SUMPRODUCT(--(calc!$AV$3:$AV$132=TRUE),--(calc!$AX$3:$AX$132&gt;AX41))+(SUMPRODUCT(--(calc!$AV$3:$AV$132=TRUE),--(calc!$AX$3:$AX$132=AX41))-1)/2,"")</f>
        <v/>
      </c>
      <c r="BC41" s="5">
        <f>IF(AV41,SUMPRODUCT(--(calc!$AV$3:$AV$132=TRUE),--(ROW(calc!$AV$3:$AV$132)&gt;ROW(AV41)),--(((calc!$BA$3:$BA$132&gt;BA41)*(calc!$BB$3:$BB$132&gt;BB41)+(calc!$BA$3:$BA$132&lt;BA41)*(calc!$BB$3:$BB$132&lt;BB41))&gt;0))-SUMPRODUCT(--(calc!$AV$3:$AV$132=TRUE),--(ROW(calc!$AV$3:$AV$132)&gt;ROW(AV41)),--(((calc!$BA$3:$BA$132&gt;BA41)*(calc!$BB$3:$BB$132&lt;BB41)+(calc!$BA$3:$BA$132&lt;BA41)*(calc!$BB$3:$BB$132&gt;BB41))&gt;0)),0)</f>
        <v/>
      </c>
      <c r="BD41" s="5">
        <f>IF(mos_metrics!L40="","",mos_metrics!L40)</f>
        <v/>
      </c>
      <c r="BE41" s="2">
        <f>AND($J41,ISNUMBER(BD41),correlation!$I$31=1)</f>
        <v/>
      </c>
      <c r="BF41" s="5">
        <f>IF(BE41,$F41,"")</f>
        <v/>
      </c>
      <c r="BG41" s="5">
        <f>IF(BE41,BD41*correlation!$J$31,"")</f>
        <v/>
      </c>
      <c r="BH41" s="5">
        <f>IF(AND(BE41,ISNUMBER(correlation!$F$31)),BG41*correlation!$F$31+correlation!$G$31,"")</f>
        <v/>
      </c>
      <c r="BI41" s="5">
        <f>IF(AND(BE41,ISNUMBER(BH41)),(BF41-BH41)^2,"")</f>
        <v/>
      </c>
      <c r="BJ41" s="5">
        <f>IF(BE41,1+SUMPRODUCT(--(calc!$BE$3:$BE$132=TRUE),--(calc!$BF$3:$BF$132&gt;BF41))+(SUMPRODUCT(--(calc!$BE$3:$BE$132=TRUE),--(calc!$BF$3:$BF$132=BF41))-1)/2,"")</f>
        <v/>
      </c>
      <c r="BK41" s="5">
        <f>IF(BE41,1+SUMPRODUCT(--(calc!$BE$3:$BE$132=TRUE),--(calc!$BG$3:$BG$132&gt;BG41))+(SUMPRODUCT(--(calc!$BE$3:$BE$132=TRUE),--(calc!$BG$3:$BG$132=BG41))-1)/2,"")</f>
        <v/>
      </c>
      <c r="BL41" s="5">
        <f>IF(BE41,SUMPRODUCT(--(calc!$BE$3:$BE$132=TRUE),--(ROW(calc!$BE$3:$BE$132)&gt;ROW(BE41)),--(((calc!$BJ$3:$BJ$132&gt;BJ41)*(calc!$BK$3:$BK$132&gt;BK41)+(calc!$BJ$3:$BJ$132&lt;BJ41)*(calc!$BK$3:$BK$132&lt;BK41))&gt;0))-SUMPRODUCT(--(calc!$BE$3:$BE$132=TRUE),--(ROW(calc!$BE$3:$BE$132)&gt;ROW(BE41)),--(((calc!$BJ$3:$BJ$132&gt;BJ41)*(calc!$BK$3:$BK$132&lt;BK41)+(calc!$BJ$3:$BJ$132&lt;BJ41)*(calc!$BK$3:$BK$132&gt;BK41))&gt;0)),0)</f>
        <v/>
      </c>
      <c r="BM41" s="5">
        <f>IF(mos_metrics!M40="","",mos_metrics!M40)</f>
        <v/>
      </c>
      <c r="BN41" s="2">
        <f>AND($J41,ISNUMBER(BM41),correlation!$I$32=1)</f>
        <v/>
      </c>
      <c r="BO41" s="5">
        <f>IF(BN41,$F41,"")</f>
        <v/>
      </c>
      <c r="BP41" s="5">
        <f>IF(BN41,BM41*correlation!$J$32,"")</f>
        <v/>
      </c>
      <c r="BQ41" s="5">
        <f>IF(AND(BN41,ISNUMBER(correlation!$F$32)),BP41*correlation!$F$32+correlation!$G$32,"")</f>
        <v/>
      </c>
      <c r="BR41" s="5">
        <f>IF(AND(BN41,ISNUMBER(BQ41)),(BO41-BQ41)^2,"")</f>
        <v/>
      </c>
      <c r="BS41" s="5">
        <f>IF(BN41,1+SUMPRODUCT(--(calc!$BN$3:$BN$132=TRUE),--(calc!$BO$3:$BO$132&gt;BO41))+(SUMPRODUCT(--(calc!$BN$3:$BN$132=TRUE),--(calc!$BO$3:$BO$132=BO41))-1)/2,"")</f>
        <v/>
      </c>
      <c r="BT41" s="5">
        <f>IF(BN41,1+SUMPRODUCT(--(calc!$BN$3:$BN$132=TRUE),--(calc!$BP$3:$BP$132&gt;BP41))+(SUMPRODUCT(--(calc!$BN$3:$BN$132=TRUE),--(calc!$BP$3:$BP$132=BP41))-1)/2,"")</f>
        <v/>
      </c>
      <c r="BU41" s="5">
        <f>IF(BN41,SUMPRODUCT(--(calc!$BN$3:$BN$132=TRUE),--(ROW(calc!$BN$3:$BN$132)&gt;ROW(BN41)),--(((calc!$BS$3:$BS$132&gt;BS41)*(calc!$BT$3:$BT$132&gt;BT41)+(calc!$BS$3:$BS$132&lt;BS41)*(calc!$BT$3:$BT$132&lt;BT41))&gt;0))-SUMPRODUCT(--(calc!$BN$3:$BN$132=TRUE),--(ROW(calc!$BN$3:$BN$132)&gt;ROW(BN41)),--(((calc!$BS$3:$BS$132&gt;BS41)*(calc!$BT$3:$BT$132&lt;BT41)+(calc!$BS$3:$BS$132&lt;BS41)*(calc!$BT$3:$BT$132&gt;BT41))&gt;0)),0)</f>
        <v/>
      </c>
    </row>
    <row r="42">
      <c r="A42" s="2">
        <f>mos_metrics!A41</f>
        <v/>
      </c>
      <c r="B42" s="2">
        <f>mos_metrics!B41</f>
        <v/>
      </c>
      <c r="C42" s="2">
        <f>mos_metrics!C41</f>
        <v/>
      </c>
      <c r="D42" s="2">
        <f>mos_metrics!D41</f>
        <v/>
      </c>
      <c r="E42" s="2">
        <f>mos_metrics!E41</f>
        <v/>
      </c>
      <c r="F42" s="2">
        <f>mos_metrics!F41</f>
        <v/>
      </c>
      <c r="G42" s="2">
        <f>IF($B42="","",IFERROR(VLOOKUP($B42,correlation!$A$2:$B$12,2,FALSE),1))</f>
        <v/>
      </c>
      <c r="H42" s="2">
        <f>IF($E42="","",IFERROR(VLOOKUP($E42,correlation!$D$2:$E$8,2,FALSE),1))</f>
        <v/>
      </c>
      <c r="I42" s="2">
        <f>ISNUMBER($F42)</f>
        <v/>
      </c>
      <c r="J42" s="2">
        <f>AND($G42=1,$H42=1,$I42)</f>
        <v/>
      </c>
      <c r="K42" s="5">
        <f>IF(mos_metrics!G41="","",mos_metrics!G41)</f>
        <v/>
      </c>
      <c r="L42" s="2">
        <f>AND($J42,ISNUMBER(K42),correlation!$I$26=1)</f>
        <v/>
      </c>
      <c r="M42" s="5">
        <f>IF(L42,$F42,"")</f>
        <v/>
      </c>
      <c r="N42" s="5">
        <f>IF(L42,K42*correlation!$J$26,"")</f>
        <v/>
      </c>
      <c r="O42" s="5">
        <f>IF(AND(L42,ISNUMBER(correlation!$F$26)),N42*correlation!$F$26+correlation!$G$26,"")</f>
        <v/>
      </c>
      <c r="P42" s="5">
        <f>IF(AND(L42,ISNUMBER(O42)),(M42-O42)^2,"")</f>
        <v/>
      </c>
      <c r="Q42" s="5">
        <f>IF(L42,1+SUMPRODUCT(--(calc!$L$3:$L$132=TRUE),--(calc!$M$3:$M$132&gt;M42))+(SUMPRODUCT(--(calc!$L$3:$L$132=TRUE),--(calc!$M$3:$M$132=M42))-1)/2,"")</f>
        <v/>
      </c>
      <c r="R42" s="5">
        <f>IF(L42,1+SUMPRODUCT(--(calc!$L$3:$L$132=TRUE),--(calc!$N$3:$N$132&gt;N42))+(SUMPRODUCT(--(calc!$L$3:$L$132=TRUE),--(calc!$N$3:$N$132=N42))-1)/2,"")</f>
        <v/>
      </c>
      <c r="S42" s="5">
        <f>IF(L42,SUMPRODUCT(--(calc!$L$3:$L$132=TRUE),--(ROW(calc!$L$3:$L$132)&gt;ROW(L42)),--(((calc!$Q$3:$Q$132&gt;Q42)*(calc!$R$3:$R$132&gt;R42)+(calc!$Q$3:$Q$132&lt;Q42)*(calc!$R$3:$R$132&lt;R42))&gt;0))-SUMPRODUCT(--(calc!$L$3:$L$132=TRUE),--(ROW(calc!$L$3:$L$132)&gt;ROW(L42)),--(((calc!$Q$3:$Q$132&gt;Q42)*(calc!$R$3:$R$132&lt;R42)+(calc!$Q$3:$Q$132&lt;Q42)*(calc!$R$3:$R$132&gt;R42))&gt;0)),0)</f>
        <v/>
      </c>
      <c r="T42" s="5">
        <f>IF(mos_metrics!H41="","",mos_metrics!H41)</f>
        <v/>
      </c>
      <c r="U42" s="2">
        <f>AND($J42,ISNUMBER(T42),correlation!$I$27=1)</f>
        <v/>
      </c>
      <c r="V42" s="5">
        <f>IF(U42,$F42,"")</f>
        <v/>
      </c>
      <c r="W42" s="5">
        <f>IF(U42,T42*correlation!$J$27,"")</f>
        <v/>
      </c>
      <c r="X42" s="5">
        <f>IF(AND(U42,ISNUMBER(correlation!$F$27)),W42*correlation!$F$27+correlation!$G$27,"")</f>
        <v/>
      </c>
      <c r="Y42" s="5">
        <f>IF(AND(U42,ISNUMBER(X42)),(V42-X42)^2,"")</f>
        <v/>
      </c>
      <c r="Z42" s="5">
        <f>IF(U42,1+SUMPRODUCT(--(calc!$U$3:$U$132=TRUE),--(calc!$V$3:$V$132&gt;V42))+(SUMPRODUCT(--(calc!$U$3:$U$132=TRUE),--(calc!$V$3:$V$132=V42))-1)/2,"")</f>
        <v/>
      </c>
      <c r="AA42" s="5">
        <f>IF(U42,1+SUMPRODUCT(--(calc!$U$3:$U$132=TRUE),--(calc!$W$3:$W$132&gt;W42))+(SUMPRODUCT(--(calc!$U$3:$U$132=TRUE),--(calc!$W$3:$W$132=W42))-1)/2,"")</f>
        <v/>
      </c>
      <c r="AB42" s="5">
        <f>IF(U42,SUMPRODUCT(--(calc!$U$3:$U$132=TRUE),--(ROW(calc!$U$3:$U$132)&gt;ROW(U42)),--(((calc!$Z$3:$Z$132&gt;Z42)*(calc!$AA$3:$AA$132&gt;AA42)+(calc!$Z$3:$Z$132&lt;Z42)*(calc!$AA$3:$AA$132&lt;AA42))&gt;0))-SUMPRODUCT(--(calc!$U$3:$U$132=TRUE),--(ROW(calc!$U$3:$U$132)&gt;ROW(U42)),--(((calc!$Z$3:$Z$132&gt;Z42)*(calc!$AA$3:$AA$132&lt;AA42)+(calc!$Z$3:$Z$132&lt;Z42)*(calc!$AA$3:$AA$132&gt;AA42))&gt;0)),0)</f>
        <v/>
      </c>
      <c r="AC42" s="5">
        <f>IF(mos_metrics!I41="","",mos_metrics!I41)</f>
        <v/>
      </c>
      <c r="AD42" s="2">
        <f>AND($J42,ISNUMBER(AC42),correlation!$I$28=1)</f>
        <v/>
      </c>
      <c r="AE42" s="5">
        <f>IF(AD42,$F42,"")</f>
        <v/>
      </c>
      <c r="AF42" s="5">
        <f>IF(AD42,AC42*correlation!$J$28,"")</f>
        <v/>
      </c>
      <c r="AG42" s="5">
        <f>IF(AND(AD42,ISNUMBER(correlation!$F$28)),AF42*correlation!$F$28+correlation!$G$28,"")</f>
        <v/>
      </c>
      <c r="AH42" s="5">
        <f>IF(AND(AD42,ISNUMBER(AG42)),(AE42-AG42)^2,"")</f>
        <v/>
      </c>
      <c r="AI42" s="5">
        <f>IF(AD42,1+SUMPRODUCT(--(calc!$AD$3:$AD$132=TRUE),--(calc!$AE$3:$AE$132&gt;AE42))+(SUMPRODUCT(--(calc!$AD$3:$AD$132=TRUE),--(calc!$AE$3:$AE$132=AE42))-1)/2,"")</f>
        <v/>
      </c>
      <c r="AJ42" s="5">
        <f>IF(AD42,1+SUMPRODUCT(--(calc!$AD$3:$AD$132=TRUE),--(calc!$AF$3:$AF$132&gt;AF42))+(SUMPRODUCT(--(calc!$AD$3:$AD$132=TRUE),--(calc!$AF$3:$AF$132=AF42))-1)/2,"")</f>
        <v/>
      </c>
      <c r="AK42" s="5">
        <f>IF(AD42,SUMPRODUCT(--(calc!$AD$3:$AD$132=TRUE),--(ROW(calc!$AD$3:$AD$132)&gt;ROW(AD42)),--(((calc!$AI$3:$AI$132&gt;AI42)*(calc!$AJ$3:$AJ$132&gt;AJ42)+(calc!$AI$3:$AI$132&lt;AI42)*(calc!$AJ$3:$AJ$132&lt;AJ42))&gt;0))-SUMPRODUCT(--(calc!$AD$3:$AD$132=TRUE),--(ROW(calc!$AD$3:$AD$132)&gt;ROW(AD42)),--(((calc!$AI$3:$AI$132&gt;AI42)*(calc!$AJ$3:$AJ$132&lt;AJ42)+(calc!$AI$3:$AI$132&lt;AI42)*(calc!$AJ$3:$AJ$132&gt;AJ42))&gt;0)),0)</f>
        <v/>
      </c>
      <c r="AL42" s="5">
        <f>IF(mos_metrics!J41="","",mos_metrics!J41)</f>
        <v/>
      </c>
      <c r="AM42" s="2">
        <f>AND($J42,ISNUMBER(AL42),correlation!$I$29=1)</f>
        <v/>
      </c>
      <c r="AN42" s="5">
        <f>IF(AM42,$F42,"")</f>
        <v/>
      </c>
      <c r="AO42" s="5">
        <f>IF(AM42,AL42*correlation!$J$29,"")</f>
        <v/>
      </c>
      <c r="AP42" s="5">
        <f>IF(AND(AM42,ISNUMBER(correlation!$F$29)),AO42*correlation!$F$29+correlation!$G$29,"")</f>
        <v/>
      </c>
      <c r="AQ42" s="5">
        <f>IF(AND(AM42,ISNUMBER(AP42)),(AN42-AP42)^2,"")</f>
        <v/>
      </c>
      <c r="AR42" s="5">
        <f>IF(AM42,1+SUMPRODUCT(--(calc!$AM$3:$AM$132=TRUE),--(calc!$AN$3:$AN$132&gt;AN42))+(SUMPRODUCT(--(calc!$AM$3:$AM$132=TRUE),--(calc!$AN$3:$AN$132=AN42))-1)/2,"")</f>
        <v/>
      </c>
      <c r="AS42" s="5">
        <f>IF(AM42,1+SUMPRODUCT(--(calc!$AM$3:$AM$132=TRUE),--(calc!$AO$3:$AO$132&gt;AO42))+(SUMPRODUCT(--(calc!$AM$3:$AM$132=TRUE),--(calc!$AO$3:$AO$132=AO42))-1)/2,"")</f>
        <v/>
      </c>
      <c r="AT42" s="5">
        <f>IF(AM42,SUMPRODUCT(--(calc!$AM$3:$AM$132=TRUE),--(ROW(calc!$AM$3:$AM$132)&gt;ROW(AM42)),--(((calc!$AR$3:$AR$132&gt;AR42)*(calc!$AS$3:$AS$132&gt;AS42)+(calc!$AR$3:$AR$132&lt;AR42)*(calc!$AS$3:$AS$132&lt;AS42))&gt;0))-SUMPRODUCT(--(calc!$AM$3:$AM$132=TRUE),--(ROW(calc!$AM$3:$AM$132)&gt;ROW(AM42)),--(((calc!$AR$3:$AR$132&gt;AR42)*(calc!$AS$3:$AS$132&lt;AS42)+(calc!$AR$3:$AR$132&lt;AR42)*(calc!$AS$3:$AS$132&gt;AS42))&gt;0)),0)</f>
        <v/>
      </c>
      <c r="AU42" s="5">
        <f>IF(mos_metrics!K41="","",mos_metrics!K41)</f>
        <v/>
      </c>
      <c r="AV42" s="2">
        <f>AND($J42,ISNUMBER(AU42),correlation!$I$30=1)</f>
        <v/>
      </c>
      <c r="AW42" s="5">
        <f>IF(AV42,$F42,"")</f>
        <v/>
      </c>
      <c r="AX42" s="5">
        <f>IF(AV42,AU42*correlation!$J$30,"")</f>
        <v/>
      </c>
      <c r="AY42" s="5">
        <f>IF(AND(AV42,ISNUMBER(correlation!$F$30)),AX42*correlation!$F$30+correlation!$G$30,"")</f>
        <v/>
      </c>
      <c r="AZ42" s="5">
        <f>IF(AND(AV42,ISNUMBER(AY42)),(AW42-AY42)^2,"")</f>
        <v/>
      </c>
      <c r="BA42" s="5">
        <f>IF(AV42,1+SUMPRODUCT(--(calc!$AV$3:$AV$132=TRUE),--(calc!$AW$3:$AW$132&gt;AW42))+(SUMPRODUCT(--(calc!$AV$3:$AV$132=TRUE),--(calc!$AW$3:$AW$132=AW42))-1)/2,"")</f>
        <v/>
      </c>
      <c r="BB42" s="5">
        <f>IF(AV42,1+SUMPRODUCT(--(calc!$AV$3:$AV$132=TRUE),--(calc!$AX$3:$AX$132&gt;AX42))+(SUMPRODUCT(--(calc!$AV$3:$AV$132=TRUE),--(calc!$AX$3:$AX$132=AX42))-1)/2,"")</f>
        <v/>
      </c>
      <c r="BC42" s="5">
        <f>IF(AV42,SUMPRODUCT(--(calc!$AV$3:$AV$132=TRUE),--(ROW(calc!$AV$3:$AV$132)&gt;ROW(AV42)),--(((calc!$BA$3:$BA$132&gt;BA42)*(calc!$BB$3:$BB$132&gt;BB42)+(calc!$BA$3:$BA$132&lt;BA42)*(calc!$BB$3:$BB$132&lt;BB42))&gt;0))-SUMPRODUCT(--(calc!$AV$3:$AV$132=TRUE),--(ROW(calc!$AV$3:$AV$132)&gt;ROW(AV42)),--(((calc!$BA$3:$BA$132&gt;BA42)*(calc!$BB$3:$BB$132&lt;BB42)+(calc!$BA$3:$BA$132&lt;BA42)*(calc!$BB$3:$BB$132&gt;BB42))&gt;0)),0)</f>
        <v/>
      </c>
      <c r="BD42" s="5">
        <f>IF(mos_metrics!L41="","",mos_metrics!L41)</f>
        <v/>
      </c>
      <c r="BE42" s="2">
        <f>AND($J42,ISNUMBER(BD42),correlation!$I$31=1)</f>
        <v/>
      </c>
      <c r="BF42" s="5">
        <f>IF(BE42,$F42,"")</f>
        <v/>
      </c>
      <c r="BG42" s="5">
        <f>IF(BE42,BD42*correlation!$J$31,"")</f>
        <v/>
      </c>
      <c r="BH42" s="5">
        <f>IF(AND(BE42,ISNUMBER(correlation!$F$31)),BG42*correlation!$F$31+correlation!$G$31,"")</f>
        <v/>
      </c>
      <c r="BI42" s="5">
        <f>IF(AND(BE42,ISNUMBER(BH42)),(BF42-BH42)^2,"")</f>
        <v/>
      </c>
      <c r="BJ42" s="5">
        <f>IF(BE42,1+SUMPRODUCT(--(calc!$BE$3:$BE$132=TRUE),--(calc!$BF$3:$BF$132&gt;BF42))+(SUMPRODUCT(--(calc!$BE$3:$BE$132=TRUE),--(calc!$BF$3:$BF$132=BF42))-1)/2,"")</f>
        <v/>
      </c>
      <c r="BK42" s="5">
        <f>IF(BE42,1+SUMPRODUCT(--(calc!$BE$3:$BE$132=TRUE),--(calc!$BG$3:$BG$132&gt;BG42))+(SUMPRODUCT(--(calc!$BE$3:$BE$132=TRUE),--(calc!$BG$3:$BG$132=BG42))-1)/2,"")</f>
        <v/>
      </c>
      <c r="BL42" s="5">
        <f>IF(BE42,SUMPRODUCT(--(calc!$BE$3:$BE$132=TRUE),--(ROW(calc!$BE$3:$BE$132)&gt;ROW(BE42)),--(((calc!$BJ$3:$BJ$132&gt;BJ42)*(calc!$BK$3:$BK$132&gt;BK42)+(calc!$BJ$3:$BJ$132&lt;BJ42)*(calc!$BK$3:$BK$132&lt;BK42))&gt;0))-SUMPRODUCT(--(calc!$BE$3:$BE$132=TRUE),--(ROW(calc!$BE$3:$BE$132)&gt;ROW(BE42)),--(((calc!$BJ$3:$BJ$132&gt;BJ42)*(calc!$BK$3:$BK$132&lt;BK42)+(calc!$BJ$3:$BJ$132&lt;BJ42)*(calc!$BK$3:$BK$132&gt;BK42))&gt;0)),0)</f>
        <v/>
      </c>
      <c r="BM42" s="5">
        <f>IF(mos_metrics!M41="","",mos_metrics!M41)</f>
        <v/>
      </c>
      <c r="BN42" s="2">
        <f>AND($J42,ISNUMBER(BM42),correlation!$I$32=1)</f>
        <v/>
      </c>
      <c r="BO42" s="5">
        <f>IF(BN42,$F42,"")</f>
        <v/>
      </c>
      <c r="BP42" s="5">
        <f>IF(BN42,BM42*correlation!$J$32,"")</f>
        <v/>
      </c>
      <c r="BQ42" s="5">
        <f>IF(AND(BN42,ISNUMBER(correlation!$F$32)),BP42*correlation!$F$32+correlation!$G$32,"")</f>
        <v/>
      </c>
      <c r="BR42" s="5">
        <f>IF(AND(BN42,ISNUMBER(BQ42)),(BO42-BQ42)^2,"")</f>
        <v/>
      </c>
      <c r="BS42" s="5">
        <f>IF(BN42,1+SUMPRODUCT(--(calc!$BN$3:$BN$132=TRUE),--(calc!$BO$3:$BO$132&gt;BO42))+(SUMPRODUCT(--(calc!$BN$3:$BN$132=TRUE),--(calc!$BO$3:$BO$132=BO42))-1)/2,"")</f>
        <v/>
      </c>
      <c r="BT42" s="5">
        <f>IF(BN42,1+SUMPRODUCT(--(calc!$BN$3:$BN$132=TRUE),--(calc!$BP$3:$BP$132&gt;BP42))+(SUMPRODUCT(--(calc!$BN$3:$BN$132=TRUE),--(calc!$BP$3:$BP$132=BP42))-1)/2,"")</f>
        <v/>
      </c>
      <c r="BU42" s="5">
        <f>IF(BN42,SUMPRODUCT(--(calc!$BN$3:$BN$132=TRUE),--(ROW(calc!$BN$3:$BN$132)&gt;ROW(BN42)),--(((calc!$BS$3:$BS$132&gt;BS42)*(calc!$BT$3:$BT$132&gt;BT42)+(calc!$BS$3:$BS$132&lt;BS42)*(calc!$BT$3:$BT$132&lt;BT42))&gt;0))-SUMPRODUCT(--(calc!$BN$3:$BN$132=TRUE),--(ROW(calc!$BN$3:$BN$132)&gt;ROW(BN42)),--(((calc!$BS$3:$BS$132&gt;BS42)*(calc!$BT$3:$BT$132&lt;BT42)+(calc!$BS$3:$BS$132&lt;BS42)*(calc!$BT$3:$BT$132&gt;BT42))&gt;0)),0)</f>
        <v/>
      </c>
    </row>
    <row r="43">
      <c r="A43" s="2">
        <f>mos_metrics!A42</f>
        <v/>
      </c>
      <c r="B43" s="2">
        <f>mos_metrics!B42</f>
        <v/>
      </c>
      <c r="C43" s="2">
        <f>mos_metrics!C42</f>
        <v/>
      </c>
      <c r="D43" s="2">
        <f>mos_metrics!D42</f>
        <v/>
      </c>
      <c r="E43" s="2">
        <f>mos_metrics!E42</f>
        <v/>
      </c>
      <c r="F43" s="2">
        <f>mos_metrics!F42</f>
        <v/>
      </c>
      <c r="G43" s="2">
        <f>IF($B43="","",IFERROR(VLOOKUP($B43,correlation!$A$2:$B$12,2,FALSE),1))</f>
        <v/>
      </c>
      <c r="H43" s="2">
        <f>IF($E43="","",IFERROR(VLOOKUP($E43,correlation!$D$2:$E$8,2,FALSE),1))</f>
        <v/>
      </c>
      <c r="I43" s="2">
        <f>ISNUMBER($F43)</f>
        <v/>
      </c>
      <c r="J43" s="2">
        <f>AND($G43=1,$H43=1,$I43)</f>
        <v/>
      </c>
      <c r="K43" s="5">
        <f>IF(mos_metrics!G42="","",mos_metrics!G42)</f>
        <v/>
      </c>
      <c r="L43" s="2">
        <f>AND($J43,ISNUMBER(K43),correlation!$I$26=1)</f>
        <v/>
      </c>
      <c r="M43" s="5">
        <f>IF(L43,$F43,"")</f>
        <v/>
      </c>
      <c r="N43" s="5">
        <f>IF(L43,K43*correlation!$J$26,"")</f>
        <v/>
      </c>
      <c r="O43" s="5">
        <f>IF(AND(L43,ISNUMBER(correlation!$F$26)),N43*correlation!$F$26+correlation!$G$26,"")</f>
        <v/>
      </c>
      <c r="P43" s="5">
        <f>IF(AND(L43,ISNUMBER(O43)),(M43-O43)^2,"")</f>
        <v/>
      </c>
      <c r="Q43" s="5">
        <f>IF(L43,1+SUMPRODUCT(--(calc!$L$3:$L$132=TRUE),--(calc!$M$3:$M$132&gt;M43))+(SUMPRODUCT(--(calc!$L$3:$L$132=TRUE),--(calc!$M$3:$M$132=M43))-1)/2,"")</f>
        <v/>
      </c>
      <c r="R43" s="5">
        <f>IF(L43,1+SUMPRODUCT(--(calc!$L$3:$L$132=TRUE),--(calc!$N$3:$N$132&gt;N43))+(SUMPRODUCT(--(calc!$L$3:$L$132=TRUE),--(calc!$N$3:$N$132=N43))-1)/2,"")</f>
        <v/>
      </c>
      <c r="S43" s="5">
        <f>IF(L43,SUMPRODUCT(--(calc!$L$3:$L$132=TRUE),--(ROW(calc!$L$3:$L$132)&gt;ROW(L43)),--(((calc!$Q$3:$Q$132&gt;Q43)*(calc!$R$3:$R$132&gt;R43)+(calc!$Q$3:$Q$132&lt;Q43)*(calc!$R$3:$R$132&lt;R43))&gt;0))-SUMPRODUCT(--(calc!$L$3:$L$132=TRUE),--(ROW(calc!$L$3:$L$132)&gt;ROW(L43)),--(((calc!$Q$3:$Q$132&gt;Q43)*(calc!$R$3:$R$132&lt;R43)+(calc!$Q$3:$Q$132&lt;Q43)*(calc!$R$3:$R$132&gt;R43))&gt;0)),0)</f>
        <v/>
      </c>
      <c r="T43" s="5">
        <f>IF(mos_metrics!H42="","",mos_metrics!H42)</f>
        <v/>
      </c>
      <c r="U43" s="2">
        <f>AND($J43,ISNUMBER(T43),correlation!$I$27=1)</f>
        <v/>
      </c>
      <c r="V43" s="5">
        <f>IF(U43,$F43,"")</f>
        <v/>
      </c>
      <c r="W43" s="5">
        <f>IF(U43,T43*correlation!$J$27,"")</f>
        <v/>
      </c>
      <c r="X43" s="5">
        <f>IF(AND(U43,ISNUMBER(correlation!$F$27)),W43*correlation!$F$27+correlation!$G$27,"")</f>
        <v/>
      </c>
      <c r="Y43" s="5">
        <f>IF(AND(U43,ISNUMBER(X43)),(V43-X43)^2,"")</f>
        <v/>
      </c>
      <c r="Z43" s="5">
        <f>IF(U43,1+SUMPRODUCT(--(calc!$U$3:$U$132=TRUE),--(calc!$V$3:$V$132&gt;V43))+(SUMPRODUCT(--(calc!$U$3:$U$132=TRUE),--(calc!$V$3:$V$132=V43))-1)/2,"")</f>
        <v/>
      </c>
      <c r="AA43" s="5">
        <f>IF(U43,1+SUMPRODUCT(--(calc!$U$3:$U$132=TRUE),--(calc!$W$3:$W$132&gt;W43))+(SUMPRODUCT(--(calc!$U$3:$U$132=TRUE),--(calc!$W$3:$W$132=W43))-1)/2,"")</f>
        <v/>
      </c>
      <c r="AB43" s="5">
        <f>IF(U43,SUMPRODUCT(--(calc!$U$3:$U$132=TRUE),--(ROW(calc!$U$3:$U$132)&gt;ROW(U43)),--(((calc!$Z$3:$Z$132&gt;Z43)*(calc!$AA$3:$AA$132&gt;AA43)+(calc!$Z$3:$Z$132&lt;Z43)*(calc!$AA$3:$AA$132&lt;AA43))&gt;0))-SUMPRODUCT(--(calc!$U$3:$U$132=TRUE),--(ROW(calc!$U$3:$U$132)&gt;ROW(U43)),--(((calc!$Z$3:$Z$132&gt;Z43)*(calc!$AA$3:$AA$132&lt;AA43)+(calc!$Z$3:$Z$132&lt;Z43)*(calc!$AA$3:$AA$132&gt;AA43))&gt;0)),0)</f>
        <v/>
      </c>
      <c r="AC43" s="5">
        <f>IF(mos_metrics!I42="","",mos_metrics!I42)</f>
        <v/>
      </c>
      <c r="AD43" s="2">
        <f>AND($J43,ISNUMBER(AC43),correlation!$I$28=1)</f>
        <v/>
      </c>
      <c r="AE43" s="5">
        <f>IF(AD43,$F43,"")</f>
        <v/>
      </c>
      <c r="AF43" s="5">
        <f>IF(AD43,AC43*correlation!$J$28,"")</f>
        <v/>
      </c>
      <c r="AG43" s="5">
        <f>IF(AND(AD43,ISNUMBER(correlation!$F$28)),AF43*correlation!$F$28+correlation!$G$28,"")</f>
        <v/>
      </c>
      <c r="AH43" s="5">
        <f>IF(AND(AD43,ISNUMBER(AG43)),(AE43-AG43)^2,"")</f>
        <v/>
      </c>
      <c r="AI43" s="5">
        <f>IF(AD43,1+SUMPRODUCT(--(calc!$AD$3:$AD$132=TRUE),--(calc!$AE$3:$AE$132&gt;AE43))+(SUMPRODUCT(--(calc!$AD$3:$AD$132=TRUE),--(calc!$AE$3:$AE$132=AE43))-1)/2,"")</f>
        <v/>
      </c>
      <c r="AJ43" s="5">
        <f>IF(AD43,1+SUMPRODUCT(--(calc!$AD$3:$AD$132=TRUE),--(calc!$AF$3:$AF$132&gt;AF43))+(SUMPRODUCT(--(calc!$AD$3:$AD$132=TRUE),--(calc!$AF$3:$AF$132=AF43))-1)/2,"")</f>
        <v/>
      </c>
      <c r="AK43" s="5">
        <f>IF(AD43,SUMPRODUCT(--(calc!$AD$3:$AD$132=TRUE),--(ROW(calc!$AD$3:$AD$132)&gt;ROW(AD43)),--(((calc!$AI$3:$AI$132&gt;AI43)*(calc!$AJ$3:$AJ$132&gt;AJ43)+(calc!$AI$3:$AI$132&lt;AI43)*(calc!$AJ$3:$AJ$132&lt;AJ43))&gt;0))-SUMPRODUCT(--(calc!$AD$3:$AD$132=TRUE),--(ROW(calc!$AD$3:$AD$132)&gt;ROW(AD43)),--(((calc!$AI$3:$AI$132&gt;AI43)*(calc!$AJ$3:$AJ$132&lt;AJ43)+(calc!$AI$3:$AI$132&lt;AI43)*(calc!$AJ$3:$AJ$132&gt;AJ43))&gt;0)),0)</f>
        <v/>
      </c>
      <c r="AL43" s="5">
        <f>IF(mos_metrics!J42="","",mos_metrics!J42)</f>
        <v/>
      </c>
      <c r="AM43" s="2">
        <f>AND($J43,ISNUMBER(AL43),correlation!$I$29=1)</f>
        <v/>
      </c>
      <c r="AN43" s="5">
        <f>IF(AM43,$F43,"")</f>
        <v/>
      </c>
      <c r="AO43" s="5">
        <f>IF(AM43,AL43*correlation!$J$29,"")</f>
        <v/>
      </c>
      <c r="AP43" s="5">
        <f>IF(AND(AM43,ISNUMBER(correlation!$F$29)),AO43*correlation!$F$29+correlation!$G$29,"")</f>
        <v/>
      </c>
      <c r="AQ43" s="5">
        <f>IF(AND(AM43,ISNUMBER(AP43)),(AN43-AP43)^2,"")</f>
        <v/>
      </c>
      <c r="AR43" s="5">
        <f>IF(AM43,1+SUMPRODUCT(--(calc!$AM$3:$AM$132=TRUE),--(calc!$AN$3:$AN$132&gt;AN43))+(SUMPRODUCT(--(calc!$AM$3:$AM$132=TRUE),--(calc!$AN$3:$AN$132=AN43))-1)/2,"")</f>
        <v/>
      </c>
      <c r="AS43" s="5">
        <f>IF(AM43,1+SUMPRODUCT(--(calc!$AM$3:$AM$132=TRUE),--(calc!$AO$3:$AO$132&gt;AO43))+(SUMPRODUCT(--(calc!$AM$3:$AM$132=TRUE),--(calc!$AO$3:$AO$132=AO43))-1)/2,"")</f>
        <v/>
      </c>
      <c r="AT43" s="5">
        <f>IF(AM43,SUMPRODUCT(--(calc!$AM$3:$AM$132=TRUE),--(ROW(calc!$AM$3:$AM$132)&gt;ROW(AM43)),--(((calc!$AR$3:$AR$132&gt;AR43)*(calc!$AS$3:$AS$132&gt;AS43)+(calc!$AR$3:$AR$132&lt;AR43)*(calc!$AS$3:$AS$132&lt;AS43))&gt;0))-SUMPRODUCT(--(calc!$AM$3:$AM$132=TRUE),--(ROW(calc!$AM$3:$AM$132)&gt;ROW(AM43)),--(((calc!$AR$3:$AR$132&gt;AR43)*(calc!$AS$3:$AS$132&lt;AS43)+(calc!$AR$3:$AR$132&lt;AR43)*(calc!$AS$3:$AS$132&gt;AS43))&gt;0)),0)</f>
        <v/>
      </c>
      <c r="AU43" s="5">
        <f>IF(mos_metrics!K42="","",mos_metrics!K42)</f>
        <v/>
      </c>
      <c r="AV43" s="2">
        <f>AND($J43,ISNUMBER(AU43),correlation!$I$30=1)</f>
        <v/>
      </c>
      <c r="AW43" s="5">
        <f>IF(AV43,$F43,"")</f>
        <v/>
      </c>
      <c r="AX43" s="5">
        <f>IF(AV43,AU43*correlation!$J$30,"")</f>
        <v/>
      </c>
      <c r="AY43" s="5">
        <f>IF(AND(AV43,ISNUMBER(correlation!$F$30)),AX43*correlation!$F$30+correlation!$G$30,"")</f>
        <v/>
      </c>
      <c r="AZ43" s="5">
        <f>IF(AND(AV43,ISNUMBER(AY43)),(AW43-AY43)^2,"")</f>
        <v/>
      </c>
      <c r="BA43" s="5">
        <f>IF(AV43,1+SUMPRODUCT(--(calc!$AV$3:$AV$132=TRUE),--(calc!$AW$3:$AW$132&gt;AW43))+(SUMPRODUCT(--(calc!$AV$3:$AV$132=TRUE),--(calc!$AW$3:$AW$132=AW43))-1)/2,"")</f>
        <v/>
      </c>
      <c r="BB43" s="5">
        <f>IF(AV43,1+SUMPRODUCT(--(calc!$AV$3:$AV$132=TRUE),--(calc!$AX$3:$AX$132&gt;AX43))+(SUMPRODUCT(--(calc!$AV$3:$AV$132=TRUE),--(calc!$AX$3:$AX$132=AX43))-1)/2,"")</f>
        <v/>
      </c>
      <c r="BC43" s="5">
        <f>IF(AV43,SUMPRODUCT(--(calc!$AV$3:$AV$132=TRUE),--(ROW(calc!$AV$3:$AV$132)&gt;ROW(AV43)),--(((calc!$BA$3:$BA$132&gt;BA43)*(calc!$BB$3:$BB$132&gt;BB43)+(calc!$BA$3:$BA$132&lt;BA43)*(calc!$BB$3:$BB$132&lt;BB43))&gt;0))-SUMPRODUCT(--(calc!$AV$3:$AV$132=TRUE),--(ROW(calc!$AV$3:$AV$132)&gt;ROW(AV43)),--(((calc!$BA$3:$BA$132&gt;BA43)*(calc!$BB$3:$BB$132&lt;BB43)+(calc!$BA$3:$BA$132&lt;BA43)*(calc!$BB$3:$BB$132&gt;BB43))&gt;0)),0)</f>
        <v/>
      </c>
      <c r="BD43" s="5">
        <f>IF(mos_metrics!L42="","",mos_metrics!L42)</f>
        <v/>
      </c>
      <c r="BE43" s="2">
        <f>AND($J43,ISNUMBER(BD43),correlation!$I$31=1)</f>
        <v/>
      </c>
      <c r="BF43" s="5">
        <f>IF(BE43,$F43,"")</f>
        <v/>
      </c>
      <c r="BG43" s="5">
        <f>IF(BE43,BD43*correlation!$J$31,"")</f>
        <v/>
      </c>
      <c r="BH43" s="5">
        <f>IF(AND(BE43,ISNUMBER(correlation!$F$31)),BG43*correlation!$F$31+correlation!$G$31,"")</f>
        <v/>
      </c>
      <c r="BI43" s="5">
        <f>IF(AND(BE43,ISNUMBER(BH43)),(BF43-BH43)^2,"")</f>
        <v/>
      </c>
      <c r="BJ43" s="5">
        <f>IF(BE43,1+SUMPRODUCT(--(calc!$BE$3:$BE$132=TRUE),--(calc!$BF$3:$BF$132&gt;BF43))+(SUMPRODUCT(--(calc!$BE$3:$BE$132=TRUE),--(calc!$BF$3:$BF$132=BF43))-1)/2,"")</f>
        <v/>
      </c>
      <c r="BK43" s="5">
        <f>IF(BE43,1+SUMPRODUCT(--(calc!$BE$3:$BE$132=TRUE),--(calc!$BG$3:$BG$132&gt;BG43))+(SUMPRODUCT(--(calc!$BE$3:$BE$132=TRUE),--(calc!$BG$3:$BG$132=BG43))-1)/2,"")</f>
        <v/>
      </c>
      <c r="BL43" s="5">
        <f>IF(BE43,SUMPRODUCT(--(calc!$BE$3:$BE$132=TRUE),--(ROW(calc!$BE$3:$BE$132)&gt;ROW(BE43)),--(((calc!$BJ$3:$BJ$132&gt;BJ43)*(calc!$BK$3:$BK$132&gt;BK43)+(calc!$BJ$3:$BJ$132&lt;BJ43)*(calc!$BK$3:$BK$132&lt;BK43))&gt;0))-SUMPRODUCT(--(calc!$BE$3:$BE$132=TRUE),--(ROW(calc!$BE$3:$BE$132)&gt;ROW(BE43)),--(((calc!$BJ$3:$BJ$132&gt;BJ43)*(calc!$BK$3:$BK$132&lt;BK43)+(calc!$BJ$3:$BJ$132&lt;BJ43)*(calc!$BK$3:$BK$132&gt;BK43))&gt;0)),0)</f>
        <v/>
      </c>
      <c r="BM43" s="5">
        <f>IF(mos_metrics!M42="","",mos_metrics!M42)</f>
        <v/>
      </c>
      <c r="BN43" s="2">
        <f>AND($J43,ISNUMBER(BM43),correlation!$I$32=1)</f>
        <v/>
      </c>
      <c r="BO43" s="5">
        <f>IF(BN43,$F43,"")</f>
        <v/>
      </c>
      <c r="BP43" s="5">
        <f>IF(BN43,BM43*correlation!$J$32,"")</f>
        <v/>
      </c>
      <c r="BQ43" s="5">
        <f>IF(AND(BN43,ISNUMBER(correlation!$F$32)),BP43*correlation!$F$32+correlation!$G$32,"")</f>
        <v/>
      </c>
      <c r="BR43" s="5">
        <f>IF(AND(BN43,ISNUMBER(BQ43)),(BO43-BQ43)^2,"")</f>
        <v/>
      </c>
      <c r="BS43" s="5">
        <f>IF(BN43,1+SUMPRODUCT(--(calc!$BN$3:$BN$132=TRUE),--(calc!$BO$3:$BO$132&gt;BO43))+(SUMPRODUCT(--(calc!$BN$3:$BN$132=TRUE),--(calc!$BO$3:$BO$132=BO43))-1)/2,"")</f>
        <v/>
      </c>
      <c r="BT43" s="5">
        <f>IF(BN43,1+SUMPRODUCT(--(calc!$BN$3:$BN$132=TRUE),--(calc!$BP$3:$BP$132&gt;BP43))+(SUMPRODUCT(--(calc!$BN$3:$BN$132=TRUE),--(calc!$BP$3:$BP$132=BP43))-1)/2,"")</f>
        <v/>
      </c>
      <c r="BU43" s="5">
        <f>IF(BN43,SUMPRODUCT(--(calc!$BN$3:$BN$132=TRUE),--(ROW(calc!$BN$3:$BN$132)&gt;ROW(BN43)),--(((calc!$BS$3:$BS$132&gt;BS43)*(calc!$BT$3:$BT$132&gt;BT43)+(calc!$BS$3:$BS$132&lt;BS43)*(calc!$BT$3:$BT$132&lt;BT43))&gt;0))-SUMPRODUCT(--(calc!$BN$3:$BN$132=TRUE),--(ROW(calc!$BN$3:$BN$132)&gt;ROW(BN43)),--(((calc!$BS$3:$BS$132&gt;BS43)*(calc!$BT$3:$BT$132&lt;BT43)+(calc!$BS$3:$BS$132&lt;BS43)*(calc!$BT$3:$BT$132&gt;BT43))&gt;0)),0)</f>
        <v/>
      </c>
    </row>
    <row r="44">
      <c r="A44" s="2">
        <f>mos_metrics!A43</f>
        <v/>
      </c>
      <c r="B44" s="2">
        <f>mos_metrics!B43</f>
        <v/>
      </c>
      <c r="C44" s="2">
        <f>mos_metrics!C43</f>
        <v/>
      </c>
      <c r="D44" s="2">
        <f>mos_metrics!D43</f>
        <v/>
      </c>
      <c r="E44" s="2">
        <f>mos_metrics!E43</f>
        <v/>
      </c>
      <c r="F44" s="2">
        <f>mos_metrics!F43</f>
        <v/>
      </c>
      <c r="G44" s="2">
        <f>IF($B44="","",IFERROR(VLOOKUP($B44,correlation!$A$2:$B$12,2,FALSE),1))</f>
        <v/>
      </c>
      <c r="H44" s="2">
        <f>IF($E44="","",IFERROR(VLOOKUP($E44,correlation!$D$2:$E$8,2,FALSE),1))</f>
        <v/>
      </c>
      <c r="I44" s="2">
        <f>ISNUMBER($F44)</f>
        <v/>
      </c>
      <c r="J44" s="2">
        <f>AND($G44=1,$H44=1,$I44)</f>
        <v/>
      </c>
      <c r="K44" s="5">
        <f>IF(mos_metrics!G43="","",mos_metrics!G43)</f>
        <v/>
      </c>
      <c r="L44" s="2">
        <f>AND($J44,ISNUMBER(K44),correlation!$I$26=1)</f>
        <v/>
      </c>
      <c r="M44" s="5">
        <f>IF(L44,$F44,"")</f>
        <v/>
      </c>
      <c r="N44" s="5">
        <f>IF(L44,K44*correlation!$J$26,"")</f>
        <v/>
      </c>
      <c r="O44" s="5">
        <f>IF(AND(L44,ISNUMBER(correlation!$F$26)),N44*correlation!$F$26+correlation!$G$26,"")</f>
        <v/>
      </c>
      <c r="P44" s="5">
        <f>IF(AND(L44,ISNUMBER(O44)),(M44-O44)^2,"")</f>
        <v/>
      </c>
      <c r="Q44" s="5">
        <f>IF(L44,1+SUMPRODUCT(--(calc!$L$3:$L$132=TRUE),--(calc!$M$3:$M$132&gt;M44))+(SUMPRODUCT(--(calc!$L$3:$L$132=TRUE),--(calc!$M$3:$M$132=M44))-1)/2,"")</f>
        <v/>
      </c>
      <c r="R44" s="5">
        <f>IF(L44,1+SUMPRODUCT(--(calc!$L$3:$L$132=TRUE),--(calc!$N$3:$N$132&gt;N44))+(SUMPRODUCT(--(calc!$L$3:$L$132=TRUE),--(calc!$N$3:$N$132=N44))-1)/2,"")</f>
        <v/>
      </c>
      <c r="S44" s="5">
        <f>IF(L44,SUMPRODUCT(--(calc!$L$3:$L$132=TRUE),--(ROW(calc!$L$3:$L$132)&gt;ROW(L44)),--(((calc!$Q$3:$Q$132&gt;Q44)*(calc!$R$3:$R$132&gt;R44)+(calc!$Q$3:$Q$132&lt;Q44)*(calc!$R$3:$R$132&lt;R44))&gt;0))-SUMPRODUCT(--(calc!$L$3:$L$132=TRUE),--(ROW(calc!$L$3:$L$132)&gt;ROW(L44)),--(((calc!$Q$3:$Q$132&gt;Q44)*(calc!$R$3:$R$132&lt;R44)+(calc!$Q$3:$Q$132&lt;Q44)*(calc!$R$3:$R$132&gt;R44))&gt;0)),0)</f>
        <v/>
      </c>
      <c r="T44" s="5">
        <f>IF(mos_metrics!H43="","",mos_metrics!H43)</f>
        <v/>
      </c>
      <c r="U44" s="2">
        <f>AND($J44,ISNUMBER(T44),correlation!$I$27=1)</f>
        <v/>
      </c>
      <c r="V44" s="5">
        <f>IF(U44,$F44,"")</f>
        <v/>
      </c>
      <c r="W44" s="5">
        <f>IF(U44,T44*correlation!$J$27,"")</f>
        <v/>
      </c>
      <c r="X44" s="5">
        <f>IF(AND(U44,ISNUMBER(correlation!$F$27)),W44*correlation!$F$27+correlation!$G$27,"")</f>
        <v/>
      </c>
      <c r="Y44" s="5">
        <f>IF(AND(U44,ISNUMBER(X44)),(V44-X44)^2,"")</f>
        <v/>
      </c>
      <c r="Z44" s="5">
        <f>IF(U44,1+SUMPRODUCT(--(calc!$U$3:$U$132=TRUE),--(calc!$V$3:$V$132&gt;V44))+(SUMPRODUCT(--(calc!$U$3:$U$132=TRUE),--(calc!$V$3:$V$132=V44))-1)/2,"")</f>
        <v/>
      </c>
      <c r="AA44" s="5">
        <f>IF(U44,1+SUMPRODUCT(--(calc!$U$3:$U$132=TRUE),--(calc!$W$3:$W$132&gt;W44))+(SUMPRODUCT(--(calc!$U$3:$U$132=TRUE),--(calc!$W$3:$W$132=W44))-1)/2,"")</f>
        <v/>
      </c>
      <c r="AB44" s="5">
        <f>IF(U44,SUMPRODUCT(--(calc!$U$3:$U$132=TRUE),--(ROW(calc!$U$3:$U$132)&gt;ROW(U44)),--(((calc!$Z$3:$Z$132&gt;Z44)*(calc!$AA$3:$AA$132&gt;AA44)+(calc!$Z$3:$Z$132&lt;Z44)*(calc!$AA$3:$AA$132&lt;AA44))&gt;0))-SUMPRODUCT(--(calc!$U$3:$U$132=TRUE),--(ROW(calc!$U$3:$U$132)&gt;ROW(U44)),--(((calc!$Z$3:$Z$132&gt;Z44)*(calc!$AA$3:$AA$132&lt;AA44)+(calc!$Z$3:$Z$132&lt;Z44)*(calc!$AA$3:$AA$132&gt;AA44))&gt;0)),0)</f>
        <v/>
      </c>
      <c r="AC44" s="5">
        <f>IF(mos_metrics!I43="","",mos_metrics!I43)</f>
        <v/>
      </c>
      <c r="AD44" s="2">
        <f>AND($J44,ISNUMBER(AC44),correlation!$I$28=1)</f>
        <v/>
      </c>
      <c r="AE44" s="5">
        <f>IF(AD44,$F44,"")</f>
        <v/>
      </c>
      <c r="AF44" s="5">
        <f>IF(AD44,AC44*correlation!$J$28,"")</f>
        <v/>
      </c>
      <c r="AG44" s="5">
        <f>IF(AND(AD44,ISNUMBER(correlation!$F$28)),AF44*correlation!$F$28+correlation!$G$28,"")</f>
        <v/>
      </c>
      <c r="AH44" s="5">
        <f>IF(AND(AD44,ISNUMBER(AG44)),(AE44-AG44)^2,"")</f>
        <v/>
      </c>
      <c r="AI44" s="5">
        <f>IF(AD44,1+SUMPRODUCT(--(calc!$AD$3:$AD$132=TRUE),--(calc!$AE$3:$AE$132&gt;AE44))+(SUMPRODUCT(--(calc!$AD$3:$AD$132=TRUE),--(calc!$AE$3:$AE$132=AE44))-1)/2,"")</f>
        <v/>
      </c>
      <c r="AJ44" s="5">
        <f>IF(AD44,1+SUMPRODUCT(--(calc!$AD$3:$AD$132=TRUE),--(calc!$AF$3:$AF$132&gt;AF44))+(SUMPRODUCT(--(calc!$AD$3:$AD$132=TRUE),--(calc!$AF$3:$AF$132=AF44))-1)/2,"")</f>
        <v/>
      </c>
      <c r="AK44" s="5">
        <f>IF(AD44,SUMPRODUCT(--(calc!$AD$3:$AD$132=TRUE),--(ROW(calc!$AD$3:$AD$132)&gt;ROW(AD44)),--(((calc!$AI$3:$AI$132&gt;AI44)*(calc!$AJ$3:$AJ$132&gt;AJ44)+(calc!$AI$3:$AI$132&lt;AI44)*(calc!$AJ$3:$AJ$132&lt;AJ44))&gt;0))-SUMPRODUCT(--(calc!$AD$3:$AD$132=TRUE),--(ROW(calc!$AD$3:$AD$132)&gt;ROW(AD44)),--(((calc!$AI$3:$AI$132&gt;AI44)*(calc!$AJ$3:$AJ$132&lt;AJ44)+(calc!$AI$3:$AI$132&lt;AI44)*(calc!$AJ$3:$AJ$132&gt;AJ44))&gt;0)),0)</f>
        <v/>
      </c>
      <c r="AL44" s="5">
        <f>IF(mos_metrics!J43="","",mos_metrics!J43)</f>
        <v/>
      </c>
      <c r="AM44" s="2">
        <f>AND($J44,ISNUMBER(AL44),correlation!$I$29=1)</f>
        <v/>
      </c>
      <c r="AN44" s="5">
        <f>IF(AM44,$F44,"")</f>
        <v/>
      </c>
      <c r="AO44" s="5">
        <f>IF(AM44,AL44*correlation!$J$29,"")</f>
        <v/>
      </c>
      <c r="AP44" s="5">
        <f>IF(AND(AM44,ISNUMBER(correlation!$F$29)),AO44*correlation!$F$29+correlation!$G$29,"")</f>
        <v/>
      </c>
      <c r="AQ44" s="5">
        <f>IF(AND(AM44,ISNUMBER(AP44)),(AN44-AP44)^2,"")</f>
        <v/>
      </c>
      <c r="AR44" s="5">
        <f>IF(AM44,1+SUMPRODUCT(--(calc!$AM$3:$AM$132=TRUE),--(calc!$AN$3:$AN$132&gt;AN44))+(SUMPRODUCT(--(calc!$AM$3:$AM$132=TRUE),--(calc!$AN$3:$AN$132=AN44))-1)/2,"")</f>
        <v/>
      </c>
      <c r="AS44" s="5">
        <f>IF(AM44,1+SUMPRODUCT(--(calc!$AM$3:$AM$132=TRUE),--(calc!$AO$3:$AO$132&gt;AO44))+(SUMPRODUCT(--(calc!$AM$3:$AM$132=TRUE),--(calc!$AO$3:$AO$132=AO44))-1)/2,"")</f>
        <v/>
      </c>
      <c r="AT44" s="5">
        <f>IF(AM44,SUMPRODUCT(--(calc!$AM$3:$AM$132=TRUE),--(ROW(calc!$AM$3:$AM$132)&gt;ROW(AM44)),--(((calc!$AR$3:$AR$132&gt;AR44)*(calc!$AS$3:$AS$132&gt;AS44)+(calc!$AR$3:$AR$132&lt;AR44)*(calc!$AS$3:$AS$132&lt;AS44))&gt;0))-SUMPRODUCT(--(calc!$AM$3:$AM$132=TRUE),--(ROW(calc!$AM$3:$AM$132)&gt;ROW(AM44)),--(((calc!$AR$3:$AR$132&gt;AR44)*(calc!$AS$3:$AS$132&lt;AS44)+(calc!$AR$3:$AR$132&lt;AR44)*(calc!$AS$3:$AS$132&gt;AS44))&gt;0)),0)</f>
        <v/>
      </c>
      <c r="AU44" s="5">
        <f>IF(mos_metrics!K43="","",mos_metrics!K43)</f>
        <v/>
      </c>
      <c r="AV44" s="2">
        <f>AND($J44,ISNUMBER(AU44),correlation!$I$30=1)</f>
        <v/>
      </c>
      <c r="AW44" s="5">
        <f>IF(AV44,$F44,"")</f>
        <v/>
      </c>
      <c r="AX44" s="5">
        <f>IF(AV44,AU44*correlation!$J$30,"")</f>
        <v/>
      </c>
      <c r="AY44" s="5">
        <f>IF(AND(AV44,ISNUMBER(correlation!$F$30)),AX44*correlation!$F$30+correlation!$G$30,"")</f>
        <v/>
      </c>
      <c r="AZ44" s="5">
        <f>IF(AND(AV44,ISNUMBER(AY44)),(AW44-AY44)^2,"")</f>
        <v/>
      </c>
      <c r="BA44" s="5">
        <f>IF(AV44,1+SUMPRODUCT(--(calc!$AV$3:$AV$132=TRUE),--(calc!$AW$3:$AW$132&gt;AW44))+(SUMPRODUCT(--(calc!$AV$3:$AV$132=TRUE),--(calc!$AW$3:$AW$132=AW44))-1)/2,"")</f>
        <v/>
      </c>
      <c r="BB44" s="5">
        <f>IF(AV44,1+SUMPRODUCT(--(calc!$AV$3:$AV$132=TRUE),--(calc!$AX$3:$AX$132&gt;AX44))+(SUMPRODUCT(--(calc!$AV$3:$AV$132=TRUE),--(calc!$AX$3:$AX$132=AX44))-1)/2,"")</f>
        <v/>
      </c>
      <c r="BC44" s="5">
        <f>IF(AV44,SUMPRODUCT(--(calc!$AV$3:$AV$132=TRUE),--(ROW(calc!$AV$3:$AV$132)&gt;ROW(AV44)),--(((calc!$BA$3:$BA$132&gt;BA44)*(calc!$BB$3:$BB$132&gt;BB44)+(calc!$BA$3:$BA$132&lt;BA44)*(calc!$BB$3:$BB$132&lt;BB44))&gt;0))-SUMPRODUCT(--(calc!$AV$3:$AV$132=TRUE),--(ROW(calc!$AV$3:$AV$132)&gt;ROW(AV44)),--(((calc!$BA$3:$BA$132&gt;BA44)*(calc!$BB$3:$BB$132&lt;BB44)+(calc!$BA$3:$BA$132&lt;BA44)*(calc!$BB$3:$BB$132&gt;BB44))&gt;0)),0)</f>
        <v/>
      </c>
      <c r="BD44" s="5">
        <f>IF(mos_metrics!L43="","",mos_metrics!L43)</f>
        <v/>
      </c>
      <c r="BE44" s="2">
        <f>AND($J44,ISNUMBER(BD44),correlation!$I$31=1)</f>
        <v/>
      </c>
      <c r="BF44" s="5">
        <f>IF(BE44,$F44,"")</f>
        <v/>
      </c>
      <c r="BG44" s="5">
        <f>IF(BE44,BD44*correlation!$J$31,"")</f>
        <v/>
      </c>
      <c r="BH44" s="5">
        <f>IF(AND(BE44,ISNUMBER(correlation!$F$31)),BG44*correlation!$F$31+correlation!$G$31,"")</f>
        <v/>
      </c>
      <c r="BI44" s="5">
        <f>IF(AND(BE44,ISNUMBER(BH44)),(BF44-BH44)^2,"")</f>
        <v/>
      </c>
      <c r="BJ44" s="5">
        <f>IF(BE44,1+SUMPRODUCT(--(calc!$BE$3:$BE$132=TRUE),--(calc!$BF$3:$BF$132&gt;BF44))+(SUMPRODUCT(--(calc!$BE$3:$BE$132=TRUE),--(calc!$BF$3:$BF$132=BF44))-1)/2,"")</f>
        <v/>
      </c>
      <c r="BK44" s="5">
        <f>IF(BE44,1+SUMPRODUCT(--(calc!$BE$3:$BE$132=TRUE),--(calc!$BG$3:$BG$132&gt;BG44))+(SUMPRODUCT(--(calc!$BE$3:$BE$132=TRUE),--(calc!$BG$3:$BG$132=BG44))-1)/2,"")</f>
        <v/>
      </c>
      <c r="BL44" s="5">
        <f>IF(BE44,SUMPRODUCT(--(calc!$BE$3:$BE$132=TRUE),--(ROW(calc!$BE$3:$BE$132)&gt;ROW(BE44)),--(((calc!$BJ$3:$BJ$132&gt;BJ44)*(calc!$BK$3:$BK$132&gt;BK44)+(calc!$BJ$3:$BJ$132&lt;BJ44)*(calc!$BK$3:$BK$132&lt;BK44))&gt;0))-SUMPRODUCT(--(calc!$BE$3:$BE$132=TRUE),--(ROW(calc!$BE$3:$BE$132)&gt;ROW(BE44)),--(((calc!$BJ$3:$BJ$132&gt;BJ44)*(calc!$BK$3:$BK$132&lt;BK44)+(calc!$BJ$3:$BJ$132&lt;BJ44)*(calc!$BK$3:$BK$132&gt;BK44))&gt;0)),0)</f>
        <v/>
      </c>
      <c r="BM44" s="5">
        <f>IF(mos_metrics!M43="","",mos_metrics!M43)</f>
        <v/>
      </c>
      <c r="BN44" s="2">
        <f>AND($J44,ISNUMBER(BM44),correlation!$I$32=1)</f>
        <v/>
      </c>
      <c r="BO44" s="5">
        <f>IF(BN44,$F44,"")</f>
        <v/>
      </c>
      <c r="BP44" s="5">
        <f>IF(BN44,BM44*correlation!$J$32,"")</f>
        <v/>
      </c>
      <c r="BQ44" s="5">
        <f>IF(AND(BN44,ISNUMBER(correlation!$F$32)),BP44*correlation!$F$32+correlation!$G$32,"")</f>
        <v/>
      </c>
      <c r="BR44" s="5">
        <f>IF(AND(BN44,ISNUMBER(BQ44)),(BO44-BQ44)^2,"")</f>
        <v/>
      </c>
      <c r="BS44" s="5">
        <f>IF(BN44,1+SUMPRODUCT(--(calc!$BN$3:$BN$132=TRUE),--(calc!$BO$3:$BO$132&gt;BO44))+(SUMPRODUCT(--(calc!$BN$3:$BN$132=TRUE),--(calc!$BO$3:$BO$132=BO44))-1)/2,"")</f>
        <v/>
      </c>
      <c r="BT44" s="5">
        <f>IF(BN44,1+SUMPRODUCT(--(calc!$BN$3:$BN$132=TRUE),--(calc!$BP$3:$BP$132&gt;BP44))+(SUMPRODUCT(--(calc!$BN$3:$BN$132=TRUE),--(calc!$BP$3:$BP$132=BP44))-1)/2,"")</f>
        <v/>
      </c>
      <c r="BU44" s="5">
        <f>IF(BN44,SUMPRODUCT(--(calc!$BN$3:$BN$132=TRUE),--(ROW(calc!$BN$3:$BN$132)&gt;ROW(BN44)),--(((calc!$BS$3:$BS$132&gt;BS44)*(calc!$BT$3:$BT$132&gt;BT44)+(calc!$BS$3:$BS$132&lt;BS44)*(calc!$BT$3:$BT$132&lt;BT44))&gt;0))-SUMPRODUCT(--(calc!$BN$3:$BN$132=TRUE),--(ROW(calc!$BN$3:$BN$132)&gt;ROW(BN44)),--(((calc!$BS$3:$BS$132&gt;BS44)*(calc!$BT$3:$BT$132&lt;BT44)+(calc!$BS$3:$BS$132&lt;BS44)*(calc!$BT$3:$BT$132&gt;BT44))&gt;0)),0)</f>
        <v/>
      </c>
    </row>
    <row r="45">
      <c r="A45" s="2">
        <f>mos_metrics!A44</f>
        <v/>
      </c>
      <c r="B45" s="2">
        <f>mos_metrics!B44</f>
        <v/>
      </c>
      <c r="C45" s="2">
        <f>mos_metrics!C44</f>
        <v/>
      </c>
      <c r="D45" s="2">
        <f>mos_metrics!D44</f>
        <v/>
      </c>
      <c r="E45" s="2">
        <f>mos_metrics!E44</f>
        <v/>
      </c>
      <c r="F45" s="2">
        <f>mos_metrics!F44</f>
        <v/>
      </c>
      <c r="G45" s="2">
        <f>IF($B45="","",IFERROR(VLOOKUP($B45,correlation!$A$2:$B$12,2,FALSE),1))</f>
        <v/>
      </c>
      <c r="H45" s="2">
        <f>IF($E45="","",IFERROR(VLOOKUP($E45,correlation!$D$2:$E$8,2,FALSE),1))</f>
        <v/>
      </c>
      <c r="I45" s="2">
        <f>ISNUMBER($F45)</f>
        <v/>
      </c>
      <c r="J45" s="2">
        <f>AND($G45=1,$H45=1,$I45)</f>
        <v/>
      </c>
      <c r="K45" s="5">
        <f>IF(mos_metrics!G44="","",mos_metrics!G44)</f>
        <v/>
      </c>
      <c r="L45" s="2">
        <f>AND($J45,ISNUMBER(K45),correlation!$I$26=1)</f>
        <v/>
      </c>
      <c r="M45" s="5">
        <f>IF(L45,$F45,"")</f>
        <v/>
      </c>
      <c r="N45" s="5">
        <f>IF(L45,K45*correlation!$J$26,"")</f>
        <v/>
      </c>
      <c r="O45" s="5">
        <f>IF(AND(L45,ISNUMBER(correlation!$F$26)),N45*correlation!$F$26+correlation!$G$26,"")</f>
        <v/>
      </c>
      <c r="P45" s="5">
        <f>IF(AND(L45,ISNUMBER(O45)),(M45-O45)^2,"")</f>
        <v/>
      </c>
      <c r="Q45" s="5">
        <f>IF(L45,1+SUMPRODUCT(--(calc!$L$3:$L$132=TRUE),--(calc!$M$3:$M$132&gt;M45))+(SUMPRODUCT(--(calc!$L$3:$L$132=TRUE),--(calc!$M$3:$M$132=M45))-1)/2,"")</f>
        <v/>
      </c>
      <c r="R45" s="5">
        <f>IF(L45,1+SUMPRODUCT(--(calc!$L$3:$L$132=TRUE),--(calc!$N$3:$N$132&gt;N45))+(SUMPRODUCT(--(calc!$L$3:$L$132=TRUE),--(calc!$N$3:$N$132=N45))-1)/2,"")</f>
        <v/>
      </c>
      <c r="S45" s="5">
        <f>IF(L45,SUMPRODUCT(--(calc!$L$3:$L$132=TRUE),--(ROW(calc!$L$3:$L$132)&gt;ROW(L45)),--(((calc!$Q$3:$Q$132&gt;Q45)*(calc!$R$3:$R$132&gt;R45)+(calc!$Q$3:$Q$132&lt;Q45)*(calc!$R$3:$R$132&lt;R45))&gt;0))-SUMPRODUCT(--(calc!$L$3:$L$132=TRUE),--(ROW(calc!$L$3:$L$132)&gt;ROW(L45)),--(((calc!$Q$3:$Q$132&gt;Q45)*(calc!$R$3:$R$132&lt;R45)+(calc!$Q$3:$Q$132&lt;Q45)*(calc!$R$3:$R$132&gt;R45))&gt;0)),0)</f>
        <v/>
      </c>
      <c r="T45" s="5">
        <f>IF(mos_metrics!H44="","",mos_metrics!H44)</f>
        <v/>
      </c>
      <c r="U45" s="2">
        <f>AND($J45,ISNUMBER(T45),correlation!$I$27=1)</f>
        <v/>
      </c>
      <c r="V45" s="5">
        <f>IF(U45,$F45,"")</f>
        <v/>
      </c>
      <c r="W45" s="5">
        <f>IF(U45,T45*correlation!$J$27,"")</f>
        <v/>
      </c>
      <c r="X45" s="5">
        <f>IF(AND(U45,ISNUMBER(correlation!$F$27)),W45*correlation!$F$27+correlation!$G$27,"")</f>
        <v/>
      </c>
      <c r="Y45" s="5">
        <f>IF(AND(U45,ISNUMBER(X45)),(V45-X45)^2,"")</f>
        <v/>
      </c>
      <c r="Z45" s="5">
        <f>IF(U45,1+SUMPRODUCT(--(calc!$U$3:$U$132=TRUE),--(calc!$V$3:$V$132&gt;V45))+(SUMPRODUCT(--(calc!$U$3:$U$132=TRUE),--(calc!$V$3:$V$132=V45))-1)/2,"")</f>
        <v/>
      </c>
      <c r="AA45" s="5">
        <f>IF(U45,1+SUMPRODUCT(--(calc!$U$3:$U$132=TRUE),--(calc!$W$3:$W$132&gt;W45))+(SUMPRODUCT(--(calc!$U$3:$U$132=TRUE),--(calc!$W$3:$W$132=W45))-1)/2,"")</f>
        <v/>
      </c>
      <c r="AB45" s="5">
        <f>IF(U45,SUMPRODUCT(--(calc!$U$3:$U$132=TRUE),--(ROW(calc!$U$3:$U$132)&gt;ROW(U45)),--(((calc!$Z$3:$Z$132&gt;Z45)*(calc!$AA$3:$AA$132&gt;AA45)+(calc!$Z$3:$Z$132&lt;Z45)*(calc!$AA$3:$AA$132&lt;AA45))&gt;0))-SUMPRODUCT(--(calc!$U$3:$U$132=TRUE),--(ROW(calc!$U$3:$U$132)&gt;ROW(U45)),--(((calc!$Z$3:$Z$132&gt;Z45)*(calc!$AA$3:$AA$132&lt;AA45)+(calc!$Z$3:$Z$132&lt;Z45)*(calc!$AA$3:$AA$132&gt;AA45))&gt;0)),0)</f>
        <v/>
      </c>
      <c r="AC45" s="5">
        <f>IF(mos_metrics!I44="","",mos_metrics!I44)</f>
        <v/>
      </c>
      <c r="AD45" s="2">
        <f>AND($J45,ISNUMBER(AC45),correlation!$I$28=1)</f>
        <v/>
      </c>
      <c r="AE45" s="5">
        <f>IF(AD45,$F45,"")</f>
        <v/>
      </c>
      <c r="AF45" s="5">
        <f>IF(AD45,AC45*correlation!$J$28,"")</f>
        <v/>
      </c>
      <c r="AG45" s="5">
        <f>IF(AND(AD45,ISNUMBER(correlation!$F$28)),AF45*correlation!$F$28+correlation!$G$28,"")</f>
        <v/>
      </c>
      <c r="AH45" s="5">
        <f>IF(AND(AD45,ISNUMBER(AG45)),(AE45-AG45)^2,"")</f>
        <v/>
      </c>
      <c r="AI45" s="5">
        <f>IF(AD45,1+SUMPRODUCT(--(calc!$AD$3:$AD$132=TRUE),--(calc!$AE$3:$AE$132&gt;AE45))+(SUMPRODUCT(--(calc!$AD$3:$AD$132=TRUE),--(calc!$AE$3:$AE$132=AE45))-1)/2,"")</f>
        <v/>
      </c>
      <c r="AJ45" s="5">
        <f>IF(AD45,1+SUMPRODUCT(--(calc!$AD$3:$AD$132=TRUE),--(calc!$AF$3:$AF$132&gt;AF45))+(SUMPRODUCT(--(calc!$AD$3:$AD$132=TRUE),--(calc!$AF$3:$AF$132=AF45))-1)/2,"")</f>
        <v/>
      </c>
      <c r="AK45" s="5">
        <f>IF(AD45,SUMPRODUCT(--(calc!$AD$3:$AD$132=TRUE),--(ROW(calc!$AD$3:$AD$132)&gt;ROW(AD45)),--(((calc!$AI$3:$AI$132&gt;AI45)*(calc!$AJ$3:$AJ$132&gt;AJ45)+(calc!$AI$3:$AI$132&lt;AI45)*(calc!$AJ$3:$AJ$132&lt;AJ45))&gt;0))-SUMPRODUCT(--(calc!$AD$3:$AD$132=TRUE),--(ROW(calc!$AD$3:$AD$132)&gt;ROW(AD45)),--(((calc!$AI$3:$AI$132&gt;AI45)*(calc!$AJ$3:$AJ$132&lt;AJ45)+(calc!$AI$3:$AI$132&lt;AI45)*(calc!$AJ$3:$AJ$132&gt;AJ45))&gt;0)),0)</f>
        <v/>
      </c>
      <c r="AL45" s="5">
        <f>IF(mos_metrics!J44="","",mos_metrics!J44)</f>
        <v/>
      </c>
      <c r="AM45" s="2">
        <f>AND($J45,ISNUMBER(AL45),correlation!$I$29=1)</f>
        <v/>
      </c>
      <c r="AN45" s="5">
        <f>IF(AM45,$F45,"")</f>
        <v/>
      </c>
      <c r="AO45" s="5">
        <f>IF(AM45,AL45*correlation!$J$29,"")</f>
        <v/>
      </c>
      <c r="AP45" s="5">
        <f>IF(AND(AM45,ISNUMBER(correlation!$F$29)),AO45*correlation!$F$29+correlation!$G$29,"")</f>
        <v/>
      </c>
      <c r="AQ45" s="5">
        <f>IF(AND(AM45,ISNUMBER(AP45)),(AN45-AP45)^2,"")</f>
        <v/>
      </c>
      <c r="AR45" s="5">
        <f>IF(AM45,1+SUMPRODUCT(--(calc!$AM$3:$AM$132=TRUE),--(calc!$AN$3:$AN$132&gt;AN45))+(SUMPRODUCT(--(calc!$AM$3:$AM$132=TRUE),--(calc!$AN$3:$AN$132=AN45))-1)/2,"")</f>
        <v/>
      </c>
      <c r="AS45" s="5">
        <f>IF(AM45,1+SUMPRODUCT(--(calc!$AM$3:$AM$132=TRUE),--(calc!$AO$3:$AO$132&gt;AO45))+(SUMPRODUCT(--(calc!$AM$3:$AM$132=TRUE),--(calc!$AO$3:$AO$132=AO45))-1)/2,"")</f>
        <v/>
      </c>
      <c r="AT45" s="5">
        <f>IF(AM45,SUMPRODUCT(--(calc!$AM$3:$AM$132=TRUE),--(ROW(calc!$AM$3:$AM$132)&gt;ROW(AM45)),--(((calc!$AR$3:$AR$132&gt;AR45)*(calc!$AS$3:$AS$132&gt;AS45)+(calc!$AR$3:$AR$132&lt;AR45)*(calc!$AS$3:$AS$132&lt;AS45))&gt;0))-SUMPRODUCT(--(calc!$AM$3:$AM$132=TRUE),--(ROW(calc!$AM$3:$AM$132)&gt;ROW(AM45)),--(((calc!$AR$3:$AR$132&gt;AR45)*(calc!$AS$3:$AS$132&lt;AS45)+(calc!$AR$3:$AR$132&lt;AR45)*(calc!$AS$3:$AS$132&gt;AS45))&gt;0)),0)</f>
        <v/>
      </c>
      <c r="AU45" s="5">
        <f>IF(mos_metrics!K44="","",mos_metrics!K44)</f>
        <v/>
      </c>
      <c r="AV45" s="2">
        <f>AND($J45,ISNUMBER(AU45),correlation!$I$30=1)</f>
        <v/>
      </c>
      <c r="AW45" s="5">
        <f>IF(AV45,$F45,"")</f>
        <v/>
      </c>
      <c r="AX45" s="5">
        <f>IF(AV45,AU45*correlation!$J$30,"")</f>
        <v/>
      </c>
      <c r="AY45" s="5">
        <f>IF(AND(AV45,ISNUMBER(correlation!$F$30)),AX45*correlation!$F$30+correlation!$G$30,"")</f>
        <v/>
      </c>
      <c r="AZ45" s="5">
        <f>IF(AND(AV45,ISNUMBER(AY45)),(AW45-AY45)^2,"")</f>
        <v/>
      </c>
      <c r="BA45" s="5">
        <f>IF(AV45,1+SUMPRODUCT(--(calc!$AV$3:$AV$132=TRUE),--(calc!$AW$3:$AW$132&gt;AW45))+(SUMPRODUCT(--(calc!$AV$3:$AV$132=TRUE),--(calc!$AW$3:$AW$132=AW45))-1)/2,"")</f>
        <v/>
      </c>
      <c r="BB45" s="5">
        <f>IF(AV45,1+SUMPRODUCT(--(calc!$AV$3:$AV$132=TRUE),--(calc!$AX$3:$AX$132&gt;AX45))+(SUMPRODUCT(--(calc!$AV$3:$AV$132=TRUE),--(calc!$AX$3:$AX$132=AX45))-1)/2,"")</f>
        <v/>
      </c>
      <c r="BC45" s="5">
        <f>IF(AV45,SUMPRODUCT(--(calc!$AV$3:$AV$132=TRUE),--(ROW(calc!$AV$3:$AV$132)&gt;ROW(AV45)),--(((calc!$BA$3:$BA$132&gt;BA45)*(calc!$BB$3:$BB$132&gt;BB45)+(calc!$BA$3:$BA$132&lt;BA45)*(calc!$BB$3:$BB$132&lt;BB45))&gt;0))-SUMPRODUCT(--(calc!$AV$3:$AV$132=TRUE),--(ROW(calc!$AV$3:$AV$132)&gt;ROW(AV45)),--(((calc!$BA$3:$BA$132&gt;BA45)*(calc!$BB$3:$BB$132&lt;BB45)+(calc!$BA$3:$BA$132&lt;BA45)*(calc!$BB$3:$BB$132&gt;BB45))&gt;0)),0)</f>
        <v/>
      </c>
      <c r="BD45" s="5">
        <f>IF(mos_metrics!L44="","",mos_metrics!L44)</f>
        <v/>
      </c>
      <c r="BE45" s="2">
        <f>AND($J45,ISNUMBER(BD45),correlation!$I$31=1)</f>
        <v/>
      </c>
      <c r="BF45" s="5">
        <f>IF(BE45,$F45,"")</f>
        <v/>
      </c>
      <c r="BG45" s="5">
        <f>IF(BE45,BD45*correlation!$J$31,"")</f>
        <v/>
      </c>
      <c r="BH45" s="5">
        <f>IF(AND(BE45,ISNUMBER(correlation!$F$31)),BG45*correlation!$F$31+correlation!$G$31,"")</f>
        <v/>
      </c>
      <c r="BI45" s="5">
        <f>IF(AND(BE45,ISNUMBER(BH45)),(BF45-BH45)^2,"")</f>
        <v/>
      </c>
      <c r="BJ45" s="5">
        <f>IF(BE45,1+SUMPRODUCT(--(calc!$BE$3:$BE$132=TRUE),--(calc!$BF$3:$BF$132&gt;BF45))+(SUMPRODUCT(--(calc!$BE$3:$BE$132=TRUE),--(calc!$BF$3:$BF$132=BF45))-1)/2,"")</f>
        <v/>
      </c>
      <c r="BK45" s="5">
        <f>IF(BE45,1+SUMPRODUCT(--(calc!$BE$3:$BE$132=TRUE),--(calc!$BG$3:$BG$132&gt;BG45))+(SUMPRODUCT(--(calc!$BE$3:$BE$132=TRUE),--(calc!$BG$3:$BG$132=BG45))-1)/2,"")</f>
        <v/>
      </c>
      <c r="BL45" s="5">
        <f>IF(BE45,SUMPRODUCT(--(calc!$BE$3:$BE$132=TRUE),--(ROW(calc!$BE$3:$BE$132)&gt;ROW(BE45)),--(((calc!$BJ$3:$BJ$132&gt;BJ45)*(calc!$BK$3:$BK$132&gt;BK45)+(calc!$BJ$3:$BJ$132&lt;BJ45)*(calc!$BK$3:$BK$132&lt;BK45))&gt;0))-SUMPRODUCT(--(calc!$BE$3:$BE$132=TRUE),--(ROW(calc!$BE$3:$BE$132)&gt;ROW(BE45)),--(((calc!$BJ$3:$BJ$132&gt;BJ45)*(calc!$BK$3:$BK$132&lt;BK45)+(calc!$BJ$3:$BJ$132&lt;BJ45)*(calc!$BK$3:$BK$132&gt;BK45))&gt;0)),0)</f>
        <v/>
      </c>
      <c r="BM45" s="5">
        <f>IF(mos_metrics!M44="","",mos_metrics!M44)</f>
        <v/>
      </c>
      <c r="BN45" s="2">
        <f>AND($J45,ISNUMBER(BM45),correlation!$I$32=1)</f>
        <v/>
      </c>
      <c r="BO45" s="5">
        <f>IF(BN45,$F45,"")</f>
        <v/>
      </c>
      <c r="BP45" s="5">
        <f>IF(BN45,BM45*correlation!$J$32,"")</f>
        <v/>
      </c>
      <c r="BQ45" s="5">
        <f>IF(AND(BN45,ISNUMBER(correlation!$F$32)),BP45*correlation!$F$32+correlation!$G$32,"")</f>
        <v/>
      </c>
      <c r="BR45" s="5">
        <f>IF(AND(BN45,ISNUMBER(BQ45)),(BO45-BQ45)^2,"")</f>
        <v/>
      </c>
      <c r="BS45" s="5">
        <f>IF(BN45,1+SUMPRODUCT(--(calc!$BN$3:$BN$132=TRUE),--(calc!$BO$3:$BO$132&gt;BO45))+(SUMPRODUCT(--(calc!$BN$3:$BN$132=TRUE),--(calc!$BO$3:$BO$132=BO45))-1)/2,"")</f>
        <v/>
      </c>
      <c r="BT45" s="5">
        <f>IF(BN45,1+SUMPRODUCT(--(calc!$BN$3:$BN$132=TRUE),--(calc!$BP$3:$BP$132&gt;BP45))+(SUMPRODUCT(--(calc!$BN$3:$BN$132=TRUE),--(calc!$BP$3:$BP$132=BP45))-1)/2,"")</f>
        <v/>
      </c>
      <c r="BU45" s="5">
        <f>IF(BN45,SUMPRODUCT(--(calc!$BN$3:$BN$132=TRUE),--(ROW(calc!$BN$3:$BN$132)&gt;ROW(BN45)),--(((calc!$BS$3:$BS$132&gt;BS45)*(calc!$BT$3:$BT$132&gt;BT45)+(calc!$BS$3:$BS$132&lt;BS45)*(calc!$BT$3:$BT$132&lt;BT45))&gt;0))-SUMPRODUCT(--(calc!$BN$3:$BN$132=TRUE),--(ROW(calc!$BN$3:$BN$132)&gt;ROW(BN45)),--(((calc!$BS$3:$BS$132&gt;BS45)*(calc!$BT$3:$BT$132&lt;BT45)+(calc!$BS$3:$BS$132&lt;BS45)*(calc!$BT$3:$BT$132&gt;BT45))&gt;0)),0)</f>
        <v/>
      </c>
    </row>
    <row r="46">
      <c r="A46" s="2">
        <f>mos_metrics!A45</f>
        <v/>
      </c>
      <c r="B46" s="2">
        <f>mos_metrics!B45</f>
        <v/>
      </c>
      <c r="C46" s="2">
        <f>mos_metrics!C45</f>
        <v/>
      </c>
      <c r="D46" s="2">
        <f>mos_metrics!D45</f>
        <v/>
      </c>
      <c r="E46" s="2">
        <f>mos_metrics!E45</f>
        <v/>
      </c>
      <c r="F46" s="2">
        <f>mos_metrics!F45</f>
        <v/>
      </c>
      <c r="G46" s="2">
        <f>IF($B46="","",IFERROR(VLOOKUP($B46,correlation!$A$2:$B$12,2,FALSE),1))</f>
        <v/>
      </c>
      <c r="H46" s="2">
        <f>IF($E46="","",IFERROR(VLOOKUP($E46,correlation!$D$2:$E$8,2,FALSE),1))</f>
        <v/>
      </c>
      <c r="I46" s="2">
        <f>ISNUMBER($F46)</f>
        <v/>
      </c>
      <c r="J46" s="2">
        <f>AND($G46=1,$H46=1,$I46)</f>
        <v/>
      </c>
      <c r="K46" s="5">
        <f>IF(mos_metrics!G45="","",mos_metrics!G45)</f>
        <v/>
      </c>
      <c r="L46" s="2">
        <f>AND($J46,ISNUMBER(K46),correlation!$I$26=1)</f>
        <v/>
      </c>
      <c r="M46" s="5">
        <f>IF(L46,$F46,"")</f>
        <v/>
      </c>
      <c r="N46" s="5">
        <f>IF(L46,K46*correlation!$J$26,"")</f>
        <v/>
      </c>
      <c r="O46" s="5">
        <f>IF(AND(L46,ISNUMBER(correlation!$F$26)),N46*correlation!$F$26+correlation!$G$26,"")</f>
        <v/>
      </c>
      <c r="P46" s="5">
        <f>IF(AND(L46,ISNUMBER(O46)),(M46-O46)^2,"")</f>
        <v/>
      </c>
      <c r="Q46" s="5">
        <f>IF(L46,1+SUMPRODUCT(--(calc!$L$3:$L$132=TRUE),--(calc!$M$3:$M$132&gt;M46))+(SUMPRODUCT(--(calc!$L$3:$L$132=TRUE),--(calc!$M$3:$M$132=M46))-1)/2,"")</f>
        <v/>
      </c>
      <c r="R46" s="5">
        <f>IF(L46,1+SUMPRODUCT(--(calc!$L$3:$L$132=TRUE),--(calc!$N$3:$N$132&gt;N46))+(SUMPRODUCT(--(calc!$L$3:$L$132=TRUE),--(calc!$N$3:$N$132=N46))-1)/2,"")</f>
        <v/>
      </c>
      <c r="S46" s="5">
        <f>IF(L46,SUMPRODUCT(--(calc!$L$3:$L$132=TRUE),--(ROW(calc!$L$3:$L$132)&gt;ROW(L46)),--(((calc!$Q$3:$Q$132&gt;Q46)*(calc!$R$3:$R$132&gt;R46)+(calc!$Q$3:$Q$132&lt;Q46)*(calc!$R$3:$R$132&lt;R46))&gt;0))-SUMPRODUCT(--(calc!$L$3:$L$132=TRUE),--(ROW(calc!$L$3:$L$132)&gt;ROW(L46)),--(((calc!$Q$3:$Q$132&gt;Q46)*(calc!$R$3:$R$132&lt;R46)+(calc!$Q$3:$Q$132&lt;Q46)*(calc!$R$3:$R$132&gt;R46))&gt;0)),0)</f>
        <v/>
      </c>
      <c r="T46" s="5">
        <f>IF(mos_metrics!H45="","",mos_metrics!H45)</f>
        <v/>
      </c>
      <c r="U46" s="2">
        <f>AND($J46,ISNUMBER(T46),correlation!$I$27=1)</f>
        <v/>
      </c>
      <c r="V46" s="5">
        <f>IF(U46,$F46,"")</f>
        <v/>
      </c>
      <c r="W46" s="5">
        <f>IF(U46,T46*correlation!$J$27,"")</f>
        <v/>
      </c>
      <c r="X46" s="5">
        <f>IF(AND(U46,ISNUMBER(correlation!$F$27)),W46*correlation!$F$27+correlation!$G$27,"")</f>
        <v/>
      </c>
      <c r="Y46" s="5">
        <f>IF(AND(U46,ISNUMBER(X46)),(V46-X46)^2,"")</f>
        <v/>
      </c>
      <c r="Z46" s="5">
        <f>IF(U46,1+SUMPRODUCT(--(calc!$U$3:$U$132=TRUE),--(calc!$V$3:$V$132&gt;V46))+(SUMPRODUCT(--(calc!$U$3:$U$132=TRUE),--(calc!$V$3:$V$132=V46))-1)/2,"")</f>
        <v/>
      </c>
      <c r="AA46" s="5">
        <f>IF(U46,1+SUMPRODUCT(--(calc!$U$3:$U$132=TRUE),--(calc!$W$3:$W$132&gt;W46))+(SUMPRODUCT(--(calc!$U$3:$U$132=TRUE),--(calc!$W$3:$W$132=W46))-1)/2,"")</f>
        <v/>
      </c>
      <c r="AB46" s="5">
        <f>IF(U46,SUMPRODUCT(--(calc!$U$3:$U$132=TRUE),--(ROW(calc!$U$3:$U$132)&gt;ROW(U46)),--(((calc!$Z$3:$Z$132&gt;Z46)*(calc!$AA$3:$AA$132&gt;AA46)+(calc!$Z$3:$Z$132&lt;Z46)*(calc!$AA$3:$AA$132&lt;AA46))&gt;0))-SUMPRODUCT(--(calc!$U$3:$U$132=TRUE),--(ROW(calc!$U$3:$U$132)&gt;ROW(U46)),--(((calc!$Z$3:$Z$132&gt;Z46)*(calc!$AA$3:$AA$132&lt;AA46)+(calc!$Z$3:$Z$132&lt;Z46)*(calc!$AA$3:$AA$132&gt;AA46))&gt;0)),0)</f>
        <v/>
      </c>
      <c r="AC46" s="5">
        <f>IF(mos_metrics!I45="","",mos_metrics!I45)</f>
        <v/>
      </c>
      <c r="AD46" s="2">
        <f>AND($J46,ISNUMBER(AC46),correlation!$I$28=1)</f>
        <v/>
      </c>
      <c r="AE46" s="5">
        <f>IF(AD46,$F46,"")</f>
        <v/>
      </c>
      <c r="AF46" s="5">
        <f>IF(AD46,AC46*correlation!$J$28,"")</f>
        <v/>
      </c>
      <c r="AG46" s="5">
        <f>IF(AND(AD46,ISNUMBER(correlation!$F$28)),AF46*correlation!$F$28+correlation!$G$28,"")</f>
        <v/>
      </c>
      <c r="AH46" s="5">
        <f>IF(AND(AD46,ISNUMBER(AG46)),(AE46-AG46)^2,"")</f>
        <v/>
      </c>
      <c r="AI46" s="5">
        <f>IF(AD46,1+SUMPRODUCT(--(calc!$AD$3:$AD$132=TRUE),--(calc!$AE$3:$AE$132&gt;AE46))+(SUMPRODUCT(--(calc!$AD$3:$AD$132=TRUE),--(calc!$AE$3:$AE$132=AE46))-1)/2,"")</f>
        <v/>
      </c>
      <c r="AJ46" s="5">
        <f>IF(AD46,1+SUMPRODUCT(--(calc!$AD$3:$AD$132=TRUE),--(calc!$AF$3:$AF$132&gt;AF46))+(SUMPRODUCT(--(calc!$AD$3:$AD$132=TRUE),--(calc!$AF$3:$AF$132=AF46))-1)/2,"")</f>
        <v/>
      </c>
      <c r="AK46" s="5">
        <f>IF(AD46,SUMPRODUCT(--(calc!$AD$3:$AD$132=TRUE),--(ROW(calc!$AD$3:$AD$132)&gt;ROW(AD46)),--(((calc!$AI$3:$AI$132&gt;AI46)*(calc!$AJ$3:$AJ$132&gt;AJ46)+(calc!$AI$3:$AI$132&lt;AI46)*(calc!$AJ$3:$AJ$132&lt;AJ46))&gt;0))-SUMPRODUCT(--(calc!$AD$3:$AD$132=TRUE),--(ROW(calc!$AD$3:$AD$132)&gt;ROW(AD46)),--(((calc!$AI$3:$AI$132&gt;AI46)*(calc!$AJ$3:$AJ$132&lt;AJ46)+(calc!$AI$3:$AI$132&lt;AI46)*(calc!$AJ$3:$AJ$132&gt;AJ46))&gt;0)),0)</f>
        <v/>
      </c>
      <c r="AL46" s="5">
        <f>IF(mos_metrics!J45="","",mos_metrics!J45)</f>
        <v/>
      </c>
      <c r="AM46" s="2">
        <f>AND($J46,ISNUMBER(AL46),correlation!$I$29=1)</f>
        <v/>
      </c>
      <c r="AN46" s="5">
        <f>IF(AM46,$F46,"")</f>
        <v/>
      </c>
      <c r="AO46" s="5">
        <f>IF(AM46,AL46*correlation!$J$29,"")</f>
        <v/>
      </c>
      <c r="AP46" s="5">
        <f>IF(AND(AM46,ISNUMBER(correlation!$F$29)),AO46*correlation!$F$29+correlation!$G$29,"")</f>
        <v/>
      </c>
      <c r="AQ46" s="5">
        <f>IF(AND(AM46,ISNUMBER(AP46)),(AN46-AP46)^2,"")</f>
        <v/>
      </c>
      <c r="AR46" s="5">
        <f>IF(AM46,1+SUMPRODUCT(--(calc!$AM$3:$AM$132=TRUE),--(calc!$AN$3:$AN$132&gt;AN46))+(SUMPRODUCT(--(calc!$AM$3:$AM$132=TRUE),--(calc!$AN$3:$AN$132=AN46))-1)/2,"")</f>
        <v/>
      </c>
      <c r="AS46" s="5">
        <f>IF(AM46,1+SUMPRODUCT(--(calc!$AM$3:$AM$132=TRUE),--(calc!$AO$3:$AO$132&gt;AO46))+(SUMPRODUCT(--(calc!$AM$3:$AM$132=TRUE),--(calc!$AO$3:$AO$132=AO46))-1)/2,"")</f>
        <v/>
      </c>
      <c r="AT46" s="5">
        <f>IF(AM46,SUMPRODUCT(--(calc!$AM$3:$AM$132=TRUE),--(ROW(calc!$AM$3:$AM$132)&gt;ROW(AM46)),--(((calc!$AR$3:$AR$132&gt;AR46)*(calc!$AS$3:$AS$132&gt;AS46)+(calc!$AR$3:$AR$132&lt;AR46)*(calc!$AS$3:$AS$132&lt;AS46))&gt;0))-SUMPRODUCT(--(calc!$AM$3:$AM$132=TRUE),--(ROW(calc!$AM$3:$AM$132)&gt;ROW(AM46)),--(((calc!$AR$3:$AR$132&gt;AR46)*(calc!$AS$3:$AS$132&lt;AS46)+(calc!$AR$3:$AR$132&lt;AR46)*(calc!$AS$3:$AS$132&gt;AS46))&gt;0)),0)</f>
        <v/>
      </c>
      <c r="AU46" s="5">
        <f>IF(mos_metrics!K45="","",mos_metrics!K45)</f>
        <v/>
      </c>
      <c r="AV46" s="2">
        <f>AND($J46,ISNUMBER(AU46),correlation!$I$30=1)</f>
        <v/>
      </c>
      <c r="AW46" s="5">
        <f>IF(AV46,$F46,"")</f>
        <v/>
      </c>
      <c r="AX46" s="5">
        <f>IF(AV46,AU46*correlation!$J$30,"")</f>
        <v/>
      </c>
      <c r="AY46" s="5">
        <f>IF(AND(AV46,ISNUMBER(correlation!$F$30)),AX46*correlation!$F$30+correlation!$G$30,"")</f>
        <v/>
      </c>
      <c r="AZ46" s="5">
        <f>IF(AND(AV46,ISNUMBER(AY46)),(AW46-AY46)^2,"")</f>
        <v/>
      </c>
      <c r="BA46" s="5">
        <f>IF(AV46,1+SUMPRODUCT(--(calc!$AV$3:$AV$132=TRUE),--(calc!$AW$3:$AW$132&gt;AW46))+(SUMPRODUCT(--(calc!$AV$3:$AV$132=TRUE),--(calc!$AW$3:$AW$132=AW46))-1)/2,"")</f>
        <v/>
      </c>
      <c r="BB46" s="5">
        <f>IF(AV46,1+SUMPRODUCT(--(calc!$AV$3:$AV$132=TRUE),--(calc!$AX$3:$AX$132&gt;AX46))+(SUMPRODUCT(--(calc!$AV$3:$AV$132=TRUE),--(calc!$AX$3:$AX$132=AX46))-1)/2,"")</f>
        <v/>
      </c>
      <c r="BC46" s="5">
        <f>IF(AV46,SUMPRODUCT(--(calc!$AV$3:$AV$132=TRUE),--(ROW(calc!$AV$3:$AV$132)&gt;ROW(AV46)),--(((calc!$BA$3:$BA$132&gt;BA46)*(calc!$BB$3:$BB$132&gt;BB46)+(calc!$BA$3:$BA$132&lt;BA46)*(calc!$BB$3:$BB$132&lt;BB46))&gt;0))-SUMPRODUCT(--(calc!$AV$3:$AV$132=TRUE),--(ROW(calc!$AV$3:$AV$132)&gt;ROW(AV46)),--(((calc!$BA$3:$BA$132&gt;BA46)*(calc!$BB$3:$BB$132&lt;BB46)+(calc!$BA$3:$BA$132&lt;BA46)*(calc!$BB$3:$BB$132&gt;BB46))&gt;0)),0)</f>
        <v/>
      </c>
      <c r="BD46" s="5">
        <f>IF(mos_metrics!L45="","",mos_metrics!L45)</f>
        <v/>
      </c>
      <c r="BE46" s="2">
        <f>AND($J46,ISNUMBER(BD46),correlation!$I$31=1)</f>
        <v/>
      </c>
      <c r="BF46" s="5">
        <f>IF(BE46,$F46,"")</f>
        <v/>
      </c>
      <c r="BG46" s="5">
        <f>IF(BE46,BD46*correlation!$J$31,"")</f>
        <v/>
      </c>
      <c r="BH46" s="5">
        <f>IF(AND(BE46,ISNUMBER(correlation!$F$31)),BG46*correlation!$F$31+correlation!$G$31,"")</f>
        <v/>
      </c>
      <c r="BI46" s="5">
        <f>IF(AND(BE46,ISNUMBER(BH46)),(BF46-BH46)^2,"")</f>
        <v/>
      </c>
      <c r="BJ46" s="5">
        <f>IF(BE46,1+SUMPRODUCT(--(calc!$BE$3:$BE$132=TRUE),--(calc!$BF$3:$BF$132&gt;BF46))+(SUMPRODUCT(--(calc!$BE$3:$BE$132=TRUE),--(calc!$BF$3:$BF$132=BF46))-1)/2,"")</f>
        <v/>
      </c>
      <c r="BK46" s="5">
        <f>IF(BE46,1+SUMPRODUCT(--(calc!$BE$3:$BE$132=TRUE),--(calc!$BG$3:$BG$132&gt;BG46))+(SUMPRODUCT(--(calc!$BE$3:$BE$132=TRUE),--(calc!$BG$3:$BG$132=BG46))-1)/2,"")</f>
        <v/>
      </c>
      <c r="BL46" s="5">
        <f>IF(BE46,SUMPRODUCT(--(calc!$BE$3:$BE$132=TRUE),--(ROW(calc!$BE$3:$BE$132)&gt;ROW(BE46)),--(((calc!$BJ$3:$BJ$132&gt;BJ46)*(calc!$BK$3:$BK$132&gt;BK46)+(calc!$BJ$3:$BJ$132&lt;BJ46)*(calc!$BK$3:$BK$132&lt;BK46))&gt;0))-SUMPRODUCT(--(calc!$BE$3:$BE$132=TRUE),--(ROW(calc!$BE$3:$BE$132)&gt;ROW(BE46)),--(((calc!$BJ$3:$BJ$132&gt;BJ46)*(calc!$BK$3:$BK$132&lt;BK46)+(calc!$BJ$3:$BJ$132&lt;BJ46)*(calc!$BK$3:$BK$132&gt;BK46))&gt;0)),0)</f>
        <v/>
      </c>
      <c r="BM46" s="5">
        <f>IF(mos_metrics!M45="","",mos_metrics!M45)</f>
        <v/>
      </c>
      <c r="BN46" s="2">
        <f>AND($J46,ISNUMBER(BM46),correlation!$I$32=1)</f>
        <v/>
      </c>
      <c r="BO46" s="5">
        <f>IF(BN46,$F46,"")</f>
        <v/>
      </c>
      <c r="BP46" s="5">
        <f>IF(BN46,BM46*correlation!$J$32,"")</f>
        <v/>
      </c>
      <c r="BQ46" s="5">
        <f>IF(AND(BN46,ISNUMBER(correlation!$F$32)),BP46*correlation!$F$32+correlation!$G$32,"")</f>
        <v/>
      </c>
      <c r="BR46" s="5">
        <f>IF(AND(BN46,ISNUMBER(BQ46)),(BO46-BQ46)^2,"")</f>
        <v/>
      </c>
      <c r="BS46" s="5">
        <f>IF(BN46,1+SUMPRODUCT(--(calc!$BN$3:$BN$132=TRUE),--(calc!$BO$3:$BO$132&gt;BO46))+(SUMPRODUCT(--(calc!$BN$3:$BN$132=TRUE),--(calc!$BO$3:$BO$132=BO46))-1)/2,"")</f>
        <v/>
      </c>
      <c r="BT46" s="5">
        <f>IF(BN46,1+SUMPRODUCT(--(calc!$BN$3:$BN$132=TRUE),--(calc!$BP$3:$BP$132&gt;BP46))+(SUMPRODUCT(--(calc!$BN$3:$BN$132=TRUE),--(calc!$BP$3:$BP$132=BP46))-1)/2,"")</f>
        <v/>
      </c>
      <c r="BU46" s="5">
        <f>IF(BN46,SUMPRODUCT(--(calc!$BN$3:$BN$132=TRUE),--(ROW(calc!$BN$3:$BN$132)&gt;ROW(BN46)),--(((calc!$BS$3:$BS$132&gt;BS46)*(calc!$BT$3:$BT$132&gt;BT46)+(calc!$BS$3:$BS$132&lt;BS46)*(calc!$BT$3:$BT$132&lt;BT46))&gt;0))-SUMPRODUCT(--(calc!$BN$3:$BN$132=TRUE),--(ROW(calc!$BN$3:$BN$132)&gt;ROW(BN46)),--(((calc!$BS$3:$BS$132&gt;BS46)*(calc!$BT$3:$BT$132&lt;BT46)+(calc!$BS$3:$BS$132&lt;BS46)*(calc!$BT$3:$BT$132&gt;BT46))&gt;0)),0)</f>
        <v/>
      </c>
    </row>
    <row r="47">
      <c r="A47" s="2">
        <f>mos_metrics!A46</f>
        <v/>
      </c>
      <c r="B47" s="2">
        <f>mos_metrics!B46</f>
        <v/>
      </c>
      <c r="C47" s="2">
        <f>mos_metrics!C46</f>
        <v/>
      </c>
      <c r="D47" s="2">
        <f>mos_metrics!D46</f>
        <v/>
      </c>
      <c r="E47" s="2">
        <f>mos_metrics!E46</f>
        <v/>
      </c>
      <c r="F47" s="2">
        <f>mos_metrics!F46</f>
        <v/>
      </c>
      <c r="G47" s="2">
        <f>IF($B47="","",IFERROR(VLOOKUP($B47,correlation!$A$2:$B$12,2,FALSE),1))</f>
        <v/>
      </c>
      <c r="H47" s="2">
        <f>IF($E47="","",IFERROR(VLOOKUP($E47,correlation!$D$2:$E$8,2,FALSE),1))</f>
        <v/>
      </c>
      <c r="I47" s="2">
        <f>ISNUMBER($F47)</f>
        <v/>
      </c>
      <c r="J47" s="2">
        <f>AND($G47=1,$H47=1,$I47)</f>
        <v/>
      </c>
      <c r="K47" s="5">
        <f>IF(mos_metrics!G46="","",mos_metrics!G46)</f>
        <v/>
      </c>
      <c r="L47" s="2">
        <f>AND($J47,ISNUMBER(K47),correlation!$I$26=1)</f>
        <v/>
      </c>
      <c r="M47" s="5">
        <f>IF(L47,$F47,"")</f>
        <v/>
      </c>
      <c r="N47" s="5">
        <f>IF(L47,K47*correlation!$J$26,"")</f>
        <v/>
      </c>
      <c r="O47" s="5">
        <f>IF(AND(L47,ISNUMBER(correlation!$F$26)),N47*correlation!$F$26+correlation!$G$26,"")</f>
        <v/>
      </c>
      <c r="P47" s="5">
        <f>IF(AND(L47,ISNUMBER(O47)),(M47-O47)^2,"")</f>
        <v/>
      </c>
      <c r="Q47" s="5">
        <f>IF(L47,1+SUMPRODUCT(--(calc!$L$3:$L$132=TRUE),--(calc!$M$3:$M$132&gt;M47))+(SUMPRODUCT(--(calc!$L$3:$L$132=TRUE),--(calc!$M$3:$M$132=M47))-1)/2,"")</f>
        <v/>
      </c>
      <c r="R47" s="5">
        <f>IF(L47,1+SUMPRODUCT(--(calc!$L$3:$L$132=TRUE),--(calc!$N$3:$N$132&gt;N47))+(SUMPRODUCT(--(calc!$L$3:$L$132=TRUE),--(calc!$N$3:$N$132=N47))-1)/2,"")</f>
        <v/>
      </c>
      <c r="S47" s="5">
        <f>IF(L47,SUMPRODUCT(--(calc!$L$3:$L$132=TRUE),--(ROW(calc!$L$3:$L$132)&gt;ROW(L47)),--(((calc!$Q$3:$Q$132&gt;Q47)*(calc!$R$3:$R$132&gt;R47)+(calc!$Q$3:$Q$132&lt;Q47)*(calc!$R$3:$R$132&lt;R47))&gt;0))-SUMPRODUCT(--(calc!$L$3:$L$132=TRUE),--(ROW(calc!$L$3:$L$132)&gt;ROW(L47)),--(((calc!$Q$3:$Q$132&gt;Q47)*(calc!$R$3:$R$132&lt;R47)+(calc!$Q$3:$Q$132&lt;Q47)*(calc!$R$3:$R$132&gt;R47))&gt;0)),0)</f>
        <v/>
      </c>
      <c r="T47" s="5">
        <f>IF(mos_metrics!H46="","",mos_metrics!H46)</f>
        <v/>
      </c>
      <c r="U47" s="2">
        <f>AND($J47,ISNUMBER(T47),correlation!$I$27=1)</f>
        <v/>
      </c>
      <c r="V47" s="5">
        <f>IF(U47,$F47,"")</f>
        <v/>
      </c>
      <c r="W47" s="5">
        <f>IF(U47,T47*correlation!$J$27,"")</f>
        <v/>
      </c>
      <c r="X47" s="5">
        <f>IF(AND(U47,ISNUMBER(correlation!$F$27)),W47*correlation!$F$27+correlation!$G$27,"")</f>
        <v/>
      </c>
      <c r="Y47" s="5">
        <f>IF(AND(U47,ISNUMBER(X47)),(V47-X47)^2,"")</f>
        <v/>
      </c>
      <c r="Z47" s="5">
        <f>IF(U47,1+SUMPRODUCT(--(calc!$U$3:$U$132=TRUE),--(calc!$V$3:$V$132&gt;V47))+(SUMPRODUCT(--(calc!$U$3:$U$132=TRUE),--(calc!$V$3:$V$132=V47))-1)/2,"")</f>
        <v/>
      </c>
      <c r="AA47" s="5">
        <f>IF(U47,1+SUMPRODUCT(--(calc!$U$3:$U$132=TRUE),--(calc!$W$3:$W$132&gt;W47))+(SUMPRODUCT(--(calc!$U$3:$U$132=TRUE),--(calc!$W$3:$W$132=W47))-1)/2,"")</f>
        <v/>
      </c>
      <c r="AB47" s="5">
        <f>IF(U47,SUMPRODUCT(--(calc!$U$3:$U$132=TRUE),--(ROW(calc!$U$3:$U$132)&gt;ROW(U47)),--(((calc!$Z$3:$Z$132&gt;Z47)*(calc!$AA$3:$AA$132&gt;AA47)+(calc!$Z$3:$Z$132&lt;Z47)*(calc!$AA$3:$AA$132&lt;AA47))&gt;0))-SUMPRODUCT(--(calc!$U$3:$U$132=TRUE),--(ROW(calc!$U$3:$U$132)&gt;ROW(U47)),--(((calc!$Z$3:$Z$132&gt;Z47)*(calc!$AA$3:$AA$132&lt;AA47)+(calc!$Z$3:$Z$132&lt;Z47)*(calc!$AA$3:$AA$132&gt;AA47))&gt;0)),0)</f>
        <v/>
      </c>
      <c r="AC47" s="5">
        <f>IF(mos_metrics!I46="","",mos_metrics!I46)</f>
        <v/>
      </c>
      <c r="AD47" s="2">
        <f>AND($J47,ISNUMBER(AC47),correlation!$I$28=1)</f>
        <v/>
      </c>
      <c r="AE47" s="5">
        <f>IF(AD47,$F47,"")</f>
        <v/>
      </c>
      <c r="AF47" s="5">
        <f>IF(AD47,AC47*correlation!$J$28,"")</f>
        <v/>
      </c>
      <c r="AG47" s="5">
        <f>IF(AND(AD47,ISNUMBER(correlation!$F$28)),AF47*correlation!$F$28+correlation!$G$28,"")</f>
        <v/>
      </c>
      <c r="AH47" s="5">
        <f>IF(AND(AD47,ISNUMBER(AG47)),(AE47-AG47)^2,"")</f>
        <v/>
      </c>
      <c r="AI47" s="5">
        <f>IF(AD47,1+SUMPRODUCT(--(calc!$AD$3:$AD$132=TRUE),--(calc!$AE$3:$AE$132&gt;AE47))+(SUMPRODUCT(--(calc!$AD$3:$AD$132=TRUE),--(calc!$AE$3:$AE$132=AE47))-1)/2,"")</f>
        <v/>
      </c>
      <c r="AJ47" s="5">
        <f>IF(AD47,1+SUMPRODUCT(--(calc!$AD$3:$AD$132=TRUE),--(calc!$AF$3:$AF$132&gt;AF47))+(SUMPRODUCT(--(calc!$AD$3:$AD$132=TRUE),--(calc!$AF$3:$AF$132=AF47))-1)/2,"")</f>
        <v/>
      </c>
      <c r="AK47" s="5">
        <f>IF(AD47,SUMPRODUCT(--(calc!$AD$3:$AD$132=TRUE),--(ROW(calc!$AD$3:$AD$132)&gt;ROW(AD47)),--(((calc!$AI$3:$AI$132&gt;AI47)*(calc!$AJ$3:$AJ$132&gt;AJ47)+(calc!$AI$3:$AI$132&lt;AI47)*(calc!$AJ$3:$AJ$132&lt;AJ47))&gt;0))-SUMPRODUCT(--(calc!$AD$3:$AD$132=TRUE),--(ROW(calc!$AD$3:$AD$132)&gt;ROW(AD47)),--(((calc!$AI$3:$AI$132&gt;AI47)*(calc!$AJ$3:$AJ$132&lt;AJ47)+(calc!$AI$3:$AI$132&lt;AI47)*(calc!$AJ$3:$AJ$132&gt;AJ47))&gt;0)),0)</f>
        <v/>
      </c>
      <c r="AL47" s="5">
        <f>IF(mos_metrics!J46="","",mos_metrics!J46)</f>
        <v/>
      </c>
      <c r="AM47" s="2">
        <f>AND($J47,ISNUMBER(AL47),correlation!$I$29=1)</f>
        <v/>
      </c>
      <c r="AN47" s="5">
        <f>IF(AM47,$F47,"")</f>
        <v/>
      </c>
      <c r="AO47" s="5">
        <f>IF(AM47,AL47*correlation!$J$29,"")</f>
        <v/>
      </c>
      <c r="AP47" s="5">
        <f>IF(AND(AM47,ISNUMBER(correlation!$F$29)),AO47*correlation!$F$29+correlation!$G$29,"")</f>
        <v/>
      </c>
      <c r="AQ47" s="5">
        <f>IF(AND(AM47,ISNUMBER(AP47)),(AN47-AP47)^2,"")</f>
        <v/>
      </c>
      <c r="AR47" s="5">
        <f>IF(AM47,1+SUMPRODUCT(--(calc!$AM$3:$AM$132=TRUE),--(calc!$AN$3:$AN$132&gt;AN47))+(SUMPRODUCT(--(calc!$AM$3:$AM$132=TRUE),--(calc!$AN$3:$AN$132=AN47))-1)/2,"")</f>
        <v/>
      </c>
      <c r="AS47" s="5">
        <f>IF(AM47,1+SUMPRODUCT(--(calc!$AM$3:$AM$132=TRUE),--(calc!$AO$3:$AO$132&gt;AO47))+(SUMPRODUCT(--(calc!$AM$3:$AM$132=TRUE),--(calc!$AO$3:$AO$132=AO47))-1)/2,"")</f>
        <v/>
      </c>
      <c r="AT47" s="5">
        <f>IF(AM47,SUMPRODUCT(--(calc!$AM$3:$AM$132=TRUE),--(ROW(calc!$AM$3:$AM$132)&gt;ROW(AM47)),--(((calc!$AR$3:$AR$132&gt;AR47)*(calc!$AS$3:$AS$132&gt;AS47)+(calc!$AR$3:$AR$132&lt;AR47)*(calc!$AS$3:$AS$132&lt;AS47))&gt;0))-SUMPRODUCT(--(calc!$AM$3:$AM$132=TRUE),--(ROW(calc!$AM$3:$AM$132)&gt;ROW(AM47)),--(((calc!$AR$3:$AR$132&gt;AR47)*(calc!$AS$3:$AS$132&lt;AS47)+(calc!$AR$3:$AR$132&lt;AR47)*(calc!$AS$3:$AS$132&gt;AS47))&gt;0)),0)</f>
        <v/>
      </c>
      <c r="AU47" s="5">
        <f>IF(mos_metrics!K46="","",mos_metrics!K46)</f>
        <v/>
      </c>
      <c r="AV47" s="2">
        <f>AND($J47,ISNUMBER(AU47),correlation!$I$30=1)</f>
        <v/>
      </c>
      <c r="AW47" s="5">
        <f>IF(AV47,$F47,"")</f>
        <v/>
      </c>
      <c r="AX47" s="5">
        <f>IF(AV47,AU47*correlation!$J$30,"")</f>
        <v/>
      </c>
      <c r="AY47" s="5">
        <f>IF(AND(AV47,ISNUMBER(correlation!$F$30)),AX47*correlation!$F$30+correlation!$G$30,"")</f>
        <v/>
      </c>
      <c r="AZ47" s="5">
        <f>IF(AND(AV47,ISNUMBER(AY47)),(AW47-AY47)^2,"")</f>
        <v/>
      </c>
      <c r="BA47" s="5">
        <f>IF(AV47,1+SUMPRODUCT(--(calc!$AV$3:$AV$132=TRUE),--(calc!$AW$3:$AW$132&gt;AW47))+(SUMPRODUCT(--(calc!$AV$3:$AV$132=TRUE),--(calc!$AW$3:$AW$132=AW47))-1)/2,"")</f>
        <v/>
      </c>
      <c r="BB47" s="5">
        <f>IF(AV47,1+SUMPRODUCT(--(calc!$AV$3:$AV$132=TRUE),--(calc!$AX$3:$AX$132&gt;AX47))+(SUMPRODUCT(--(calc!$AV$3:$AV$132=TRUE),--(calc!$AX$3:$AX$132=AX47))-1)/2,"")</f>
        <v/>
      </c>
      <c r="BC47" s="5">
        <f>IF(AV47,SUMPRODUCT(--(calc!$AV$3:$AV$132=TRUE),--(ROW(calc!$AV$3:$AV$132)&gt;ROW(AV47)),--(((calc!$BA$3:$BA$132&gt;BA47)*(calc!$BB$3:$BB$132&gt;BB47)+(calc!$BA$3:$BA$132&lt;BA47)*(calc!$BB$3:$BB$132&lt;BB47))&gt;0))-SUMPRODUCT(--(calc!$AV$3:$AV$132=TRUE),--(ROW(calc!$AV$3:$AV$132)&gt;ROW(AV47)),--(((calc!$BA$3:$BA$132&gt;BA47)*(calc!$BB$3:$BB$132&lt;BB47)+(calc!$BA$3:$BA$132&lt;BA47)*(calc!$BB$3:$BB$132&gt;BB47))&gt;0)),0)</f>
        <v/>
      </c>
      <c r="BD47" s="5">
        <f>IF(mos_metrics!L46="","",mos_metrics!L46)</f>
        <v/>
      </c>
      <c r="BE47" s="2">
        <f>AND($J47,ISNUMBER(BD47),correlation!$I$31=1)</f>
        <v/>
      </c>
      <c r="BF47" s="5">
        <f>IF(BE47,$F47,"")</f>
        <v/>
      </c>
      <c r="BG47" s="5">
        <f>IF(BE47,BD47*correlation!$J$31,"")</f>
        <v/>
      </c>
      <c r="BH47" s="5">
        <f>IF(AND(BE47,ISNUMBER(correlation!$F$31)),BG47*correlation!$F$31+correlation!$G$31,"")</f>
        <v/>
      </c>
      <c r="BI47" s="5">
        <f>IF(AND(BE47,ISNUMBER(BH47)),(BF47-BH47)^2,"")</f>
        <v/>
      </c>
      <c r="BJ47" s="5">
        <f>IF(BE47,1+SUMPRODUCT(--(calc!$BE$3:$BE$132=TRUE),--(calc!$BF$3:$BF$132&gt;BF47))+(SUMPRODUCT(--(calc!$BE$3:$BE$132=TRUE),--(calc!$BF$3:$BF$132=BF47))-1)/2,"")</f>
        <v/>
      </c>
      <c r="BK47" s="5">
        <f>IF(BE47,1+SUMPRODUCT(--(calc!$BE$3:$BE$132=TRUE),--(calc!$BG$3:$BG$132&gt;BG47))+(SUMPRODUCT(--(calc!$BE$3:$BE$132=TRUE),--(calc!$BG$3:$BG$132=BG47))-1)/2,"")</f>
        <v/>
      </c>
      <c r="BL47" s="5">
        <f>IF(BE47,SUMPRODUCT(--(calc!$BE$3:$BE$132=TRUE),--(ROW(calc!$BE$3:$BE$132)&gt;ROW(BE47)),--(((calc!$BJ$3:$BJ$132&gt;BJ47)*(calc!$BK$3:$BK$132&gt;BK47)+(calc!$BJ$3:$BJ$132&lt;BJ47)*(calc!$BK$3:$BK$132&lt;BK47))&gt;0))-SUMPRODUCT(--(calc!$BE$3:$BE$132=TRUE),--(ROW(calc!$BE$3:$BE$132)&gt;ROW(BE47)),--(((calc!$BJ$3:$BJ$132&gt;BJ47)*(calc!$BK$3:$BK$132&lt;BK47)+(calc!$BJ$3:$BJ$132&lt;BJ47)*(calc!$BK$3:$BK$132&gt;BK47))&gt;0)),0)</f>
        <v/>
      </c>
      <c r="BM47" s="5">
        <f>IF(mos_metrics!M46="","",mos_metrics!M46)</f>
        <v/>
      </c>
      <c r="BN47" s="2">
        <f>AND($J47,ISNUMBER(BM47),correlation!$I$32=1)</f>
        <v/>
      </c>
      <c r="BO47" s="5">
        <f>IF(BN47,$F47,"")</f>
        <v/>
      </c>
      <c r="BP47" s="5">
        <f>IF(BN47,BM47*correlation!$J$32,"")</f>
        <v/>
      </c>
      <c r="BQ47" s="5">
        <f>IF(AND(BN47,ISNUMBER(correlation!$F$32)),BP47*correlation!$F$32+correlation!$G$32,"")</f>
        <v/>
      </c>
      <c r="BR47" s="5">
        <f>IF(AND(BN47,ISNUMBER(BQ47)),(BO47-BQ47)^2,"")</f>
        <v/>
      </c>
      <c r="BS47" s="5">
        <f>IF(BN47,1+SUMPRODUCT(--(calc!$BN$3:$BN$132=TRUE),--(calc!$BO$3:$BO$132&gt;BO47))+(SUMPRODUCT(--(calc!$BN$3:$BN$132=TRUE),--(calc!$BO$3:$BO$132=BO47))-1)/2,"")</f>
        <v/>
      </c>
      <c r="BT47" s="5">
        <f>IF(BN47,1+SUMPRODUCT(--(calc!$BN$3:$BN$132=TRUE),--(calc!$BP$3:$BP$132&gt;BP47))+(SUMPRODUCT(--(calc!$BN$3:$BN$132=TRUE),--(calc!$BP$3:$BP$132=BP47))-1)/2,"")</f>
        <v/>
      </c>
      <c r="BU47" s="5">
        <f>IF(BN47,SUMPRODUCT(--(calc!$BN$3:$BN$132=TRUE),--(ROW(calc!$BN$3:$BN$132)&gt;ROW(BN47)),--(((calc!$BS$3:$BS$132&gt;BS47)*(calc!$BT$3:$BT$132&gt;BT47)+(calc!$BS$3:$BS$132&lt;BS47)*(calc!$BT$3:$BT$132&lt;BT47))&gt;0))-SUMPRODUCT(--(calc!$BN$3:$BN$132=TRUE),--(ROW(calc!$BN$3:$BN$132)&gt;ROW(BN47)),--(((calc!$BS$3:$BS$132&gt;BS47)*(calc!$BT$3:$BT$132&lt;BT47)+(calc!$BS$3:$BS$132&lt;BS47)*(calc!$BT$3:$BT$132&gt;BT47))&gt;0)),0)</f>
        <v/>
      </c>
    </row>
    <row r="48">
      <c r="A48" s="2">
        <f>mos_metrics!A47</f>
        <v/>
      </c>
      <c r="B48" s="2">
        <f>mos_metrics!B47</f>
        <v/>
      </c>
      <c r="C48" s="2">
        <f>mos_metrics!C47</f>
        <v/>
      </c>
      <c r="D48" s="2">
        <f>mos_metrics!D47</f>
        <v/>
      </c>
      <c r="E48" s="2">
        <f>mos_metrics!E47</f>
        <v/>
      </c>
      <c r="F48" s="2">
        <f>mos_metrics!F47</f>
        <v/>
      </c>
      <c r="G48" s="2">
        <f>IF($B48="","",IFERROR(VLOOKUP($B48,correlation!$A$2:$B$12,2,FALSE),1))</f>
        <v/>
      </c>
      <c r="H48" s="2">
        <f>IF($E48="","",IFERROR(VLOOKUP($E48,correlation!$D$2:$E$8,2,FALSE),1))</f>
        <v/>
      </c>
      <c r="I48" s="2">
        <f>ISNUMBER($F48)</f>
        <v/>
      </c>
      <c r="J48" s="2">
        <f>AND($G48=1,$H48=1,$I48)</f>
        <v/>
      </c>
      <c r="K48" s="5">
        <f>IF(mos_metrics!G47="","",mos_metrics!G47)</f>
        <v/>
      </c>
      <c r="L48" s="2">
        <f>AND($J48,ISNUMBER(K48),correlation!$I$26=1)</f>
        <v/>
      </c>
      <c r="M48" s="5">
        <f>IF(L48,$F48,"")</f>
        <v/>
      </c>
      <c r="N48" s="5">
        <f>IF(L48,K48*correlation!$J$26,"")</f>
        <v/>
      </c>
      <c r="O48" s="5">
        <f>IF(AND(L48,ISNUMBER(correlation!$F$26)),N48*correlation!$F$26+correlation!$G$26,"")</f>
        <v/>
      </c>
      <c r="P48" s="5">
        <f>IF(AND(L48,ISNUMBER(O48)),(M48-O48)^2,"")</f>
        <v/>
      </c>
      <c r="Q48" s="5">
        <f>IF(L48,1+SUMPRODUCT(--(calc!$L$3:$L$132=TRUE),--(calc!$M$3:$M$132&gt;M48))+(SUMPRODUCT(--(calc!$L$3:$L$132=TRUE),--(calc!$M$3:$M$132=M48))-1)/2,"")</f>
        <v/>
      </c>
      <c r="R48" s="5">
        <f>IF(L48,1+SUMPRODUCT(--(calc!$L$3:$L$132=TRUE),--(calc!$N$3:$N$132&gt;N48))+(SUMPRODUCT(--(calc!$L$3:$L$132=TRUE),--(calc!$N$3:$N$132=N48))-1)/2,"")</f>
        <v/>
      </c>
      <c r="S48" s="5">
        <f>IF(L48,SUMPRODUCT(--(calc!$L$3:$L$132=TRUE),--(ROW(calc!$L$3:$L$132)&gt;ROW(L48)),--(((calc!$Q$3:$Q$132&gt;Q48)*(calc!$R$3:$R$132&gt;R48)+(calc!$Q$3:$Q$132&lt;Q48)*(calc!$R$3:$R$132&lt;R48))&gt;0))-SUMPRODUCT(--(calc!$L$3:$L$132=TRUE),--(ROW(calc!$L$3:$L$132)&gt;ROW(L48)),--(((calc!$Q$3:$Q$132&gt;Q48)*(calc!$R$3:$R$132&lt;R48)+(calc!$Q$3:$Q$132&lt;Q48)*(calc!$R$3:$R$132&gt;R48))&gt;0)),0)</f>
        <v/>
      </c>
      <c r="T48" s="5">
        <f>IF(mos_metrics!H47="","",mos_metrics!H47)</f>
        <v/>
      </c>
      <c r="U48" s="2">
        <f>AND($J48,ISNUMBER(T48),correlation!$I$27=1)</f>
        <v/>
      </c>
      <c r="V48" s="5">
        <f>IF(U48,$F48,"")</f>
        <v/>
      </c>
      <c r="W48" s="5">
        <f>IF(U48,T48*correlation!$J$27,"")</f>
        <v/>
      </c>
      <c r="X48" s="5">
        <f>IF(AND(U48,ISNUMBER(correlation!$F$27)),W48*correlation!$F$27+correlation!$G$27,"")</f>
        <v/>
      </c>
      <c r="Y48" s="5">
        <f>IF(AND(U48,ISNUMBER(X48)),(V48-X48)^2,"")</f>
        <v/>
      </c>
      <c r="Z48" s="5">
        <f>IF(U48,1+SUMPRODUCT(--(calc!$U$3:$U$132=TRUE),--(calc!$V$3:$V$132&gt;V48))+(SUMPRODUCT(--(calc!$U$3:$U$132=TRUE),--(calc!$V$3:$V$132=V48))-1)/2,"")</f>
        <v/>
      </c>
      <c r="AA48" s="5">
        <f>IF(U48,1+SUMPRODUCT(--(calc!$U$3:$U$132=TRUE),--(calc!$W$3:$W$132&gt;W48))+(SUMPRODUCT(--(calc!$U$3:$U$132=TRUE),--(calc!$W$3:$W$132=W48))-1)/2,"")</f>
        <v/>
      </c>
      <c r="AB48" s="5">
        <f>IF(U48,SUMPRODUCT(--(calc!$U$3:$U$132=TRUE),--(ROW(calc!$U$3:$U$132)&gt;ROW(U48)),--(((calc!$Z$3:$Z$132&gt;Z48)*(calc!$AA$3:$AA$132&gt;AA48)+(calc!$Z$3:$Z$132&lt;Z48)*(calc!$AA$3:$AA$132&lt;AA48))&gt;0))-SUMPRODUCT(--(calc!$U$3:$U$132=TRUE),--(ROW(calc!$U$3:$U$132)&gt;ROW(U48)),--(((calc!$Z$3:$Z$132&gt;Z48)*(calc!$AA$3:$AA$132&lt;AA48)+(calc!$Z$3:$Z$132&lt;Z48)*(calc!$AA$3:$AA$132&gt;AA48))&gt;0)),0)</f>
        <v/>
      </c>
      <c r="AC48" s="5">
        <f>IF(mos_metrics!I47="","",mos_metrics!I47)</f>
        <v/>
      </c>
      <c r="AD48" s="2">
        <f>AND($J48,ISNUMBER(AC48),correlation!$I$28=1)</f>
        <v/>
      </c>
      <c r="AE48" s="5">
        <f>IF(AD48,$F48,"")</f>
        <v/>
      </c>
      <c r="AF48" s="5">
        <f>IF(AD48,AC48*correlation!$J$28,"")</f>
        <v/>
      </c>
      <c r="AG48" s="5">
        <f>IF(AND(AD48,ISNUMBER(correlation!$F$28)),AF48*correlation!$F$28+correlation!$G$28,"")</f>
        <v/>
      </c>
      <c r="AH48" s="5">
        <f>IF(AND(AD48,ISNUMBER(AG48)),(AE48-AG48)^2,"")</f>
        <v/>
      </c>
      <c r="AI48" s="5">
        <f>IF(AD48,1+SUMPRODUCT(--(calc!$AD$3:$AD$132=TRUE),--(calc!$AE$3:$AE$132&gt;AE48))+(SUMPRODUCT(--(calc!$AD$3:$AD$132=TRUE),--(calc!$AE$3:$AE$132=AE48))-1)/2,"")</f>
        <v/>
      </c>
      <c r="AJ48" s="5">
        <f>IF(AD48,1+SUMPRODUCT(--(calc!$AD$3:$AD$132=TRUE),--(calc!$AF$3:$AF$132&gt;AF48))+(SUMPRODUCT(--(calc!$AD$3:$AD$132=TRUE),--(calc!$AF$3:$AF$132=AF48))-1)/2,"")</f>
        <v/>
      </c>
      <c r="AK48" s="5">
        <f>IF(AD48,SUMPRODUCT(--(calc!$AD$3:$AD$132=TRUE),--(ROW(calc!$AD$3:$AD$132)&gt;ROW(AD48)),--(((calc!$AI$3:$AI$132&gt;AI48)*(calc!$AJ$3:$AJ$132&gt;AJ48)+(calc!$AI$3:$AI$132&lt;AI48)*(calc!$AJ$3:$AJ$132&lt;AJ48))&gt;0))-SUMPRODUCT(--(calc!$AD$3:$AD$132=TRUE),--(ROW(calc!$AD$3:$AD$132)&gt;ROW(AD48)),--(((calc!$AI$3:$AI$132&gt;AI48)*(calc!$AJ$3:$AJ$132&lt;AJ48)+(calc!$AI$3:$AI$132&lt;AI48)*(calc!$AJ$3:$AJ$132&gt;AJ48))&gt;0)),0)</f>
        <v/>
      </c>
      <c r="AL48" s="5">
        <f>IF(mos_metrics!J47="","",mos_metrics!J47)</f>
        <v/>
      </c>
      <c r="AM48" s="2">
        <f>AND($J48,ISNUMBER(AL48),correlation!$I$29=1)</f>
        <v/>
      </c>
      <c r="AN48" s="5">
        <f>IF(AM48,$F48,"")</f>
        <v/>
      </c>
      <c r="AO48" s="5">
        <f>IF(AM48,AL48*correlation!$J$29,"")</f>
        <v/>
      </c>
      <c r="AP48" s="5">
        <f>IF(AND(AM48,ISNUMBER(correlation!$F$29)),AO48*correlation!$F$29+correlation!$G$29,"")</f>
        <v/>
      </c>
      <c r="AQ48" s="5">
        <f>IF(AND(AM48,ISNUMBER(AP48)),(AN48-AP48)^2,"")</f>
        <v/>
      </c>
      <c r="AR48" s="5">
        <f>IF(AM48,1+SUMPRODUCT(--(calc!$AM$3:$AM$132=TRUE),--(calc!$AN$3:$AN$132&gt;AN48))+(SUMPRODUCT(--(calc!$AM$3:$AM$132=TRUE),--(calc!$AN$3:$AN$132=AN48))-1)/2,"")</f>
        <v/>
      </c>
      <c r="AS48" s="5">
        <f>IF(AM48,1+SUMPRODUCT(--(calc!$AM$3:$AM$132=TRUE),--(calc!$AO$3:$AO$132&gt;AO48))+(SUMPRODUCT(--(calc!$AM$3:$AM$132=TRUE),--(calc!$AO$3:$AO$132=AO48))-1)/2,"")</f>
        <v/>
      </c>
      <c r="AT48" s="5">
        <f>IF(AM48,SUMPRODUCT(--(calc!$AM$3:$AM$132=TRUE),--(ROW(calc!$AM$3:$AM$132)&gt;ROW(AM48)),--(((calc!$AR$3:$AR$132&gt;AR48)*(calc!$AS$3:$AS$132&gt;AS48)+(calc!$AR$3:$AR$132&lt;AR48)*(calc!$AS$3:$AS$132&lt;AS48))&gt;0))-SUMPRODUCT(--(calc!$AM$3:$AM$132=TRUE),--(ROW(calc!$AM$3:$AM$132)&gt;ROW(AM48)),--(((calc!$AR$3:$AR$132&gt;AR48)*(calc!$AS$3:$AS$132&lt;AS48)+(calc!$AR$3:$AR$132&lt;AR48)*(calc!$AS$3:$AS$132&gt;AS48))&gt;0)),0)</f>
        <v/>
      </c>
      <c r="AU48" s="5">
        <f>IF(mos_metrics!K47="","",mos_metrics!K47)</f>
        <v/>
      </c>
      <c r="AV48" s="2">
        <f>AND($J48,ISNUMBER(AU48),correlation!$I$30=1)</f>
        <v/>
      </c>
      <c r="AW48" s="5">
        <f>IF(AV48,$F48,"")</f>
        <v/>
      </c>
      <c r="AX48" s="5">
        <f>IF(AV48,AU48*correlation!$J$30,"")</f>
        <v/>
      </c>
      <c r="AY48" s="5">
        <f>IF(AND(AV48,ISNUMBER(correlation!$F$30)),AX48*correlation!$F$30+correlation!$G$30,"")</f>
        <v/>
      </c>
      <c r="AZ48" s="5">
        <f>IF(AND(AV48,ISNUMBER(AY48)),(AW48-AY48)^2,"")</f>
        <v/>
      </c>
      <c r="BA48" s="5">
        <f>IF(AV48,1+SUMPRODUCT(--(calc!$AV$3:$AV$132=TRUE),--(calc!$AW$3:$AW$132&gt;AW48))+(SUMPRODUCT(--(calc!$AV$3:$AV$132=TRUE),--(calc!$AW$3:$AW$132=AW48))-1)/2,"")</f>
        <v/>
      </c>
      <c r="BB48" s="5">
        <f>IF(AV48,1+SUMPRODUCT(--(calc!$AV$3:$AV$132=TRUE),--(calc!$AX$3:$AX$132&gt;AX48))+(SUMPRODUCT(--(calc!$AV$3:$AV$132=TRUE),--(calc!$AX$3:$AX$132=AX48))-1)/2,"")</f>
        <v/>
      </c>
      <c r="BC48" s="5">
        <f>IF(AV48,SUMPRODUCT(--(calc!$AV$3:$AV$132=TRUE),--(ROW(calc!$AV$3:$AV$132)&gt;ROW(AV48)),--(((calc!$BA$3:$BA$132&gt;BA48)*(calc!$BB$3:$BB$132&gt;BB48)+(calc!$BA$3:$BA$132&lt;BA48)*(calc!$BB$3:$BB$132&lt;BB48))&gt;0))-SUMPRODUCT(--(calc!$AV$3:$AV$132=TRUE),--(ROW(calc!$AV$3:$AV$132)&gt;ROW(AV48)),--(((calc!$BA$3:$BA$132&gt;BA48)*(calc!$BB$3:$BB$132&lt;BB48)+(calc!$BA$3:$BA$132&lt;BA48)*(calc!$BB$3:$BB$132&gt;BB48))&gt;0)),0)</f>
        <v/>
      </c>
      <c r="BD48" s="5">
        <f>IF(mos_metrics!L47="","",mos_metrics!L47)</f>
        <v/>
      </c>
      <c r="BE48" s="2">
        <f>AND($J48,ISNUMBER(BD48),correlation!$I$31=1)</f>
        <v/>
      </c>
      <c r="BF48" s="5">
        <f>IF(BE48,$F48,"")</f>
        <v/>
      </c>
      <c r="BG48" s="5">
        <f>IF(BE48,BD48*correlation!$J$31,"")</f>
        <v/>
      </c>
      <c r="BH48" s="5">
        <f>IF(AND(BE48,ISNUMBER(correlation!$F$31)),BG48*correlation!$F$31+correlation!$G$31,"")</f>
        <v/>
      </c>
      <c r="BI48" s="5">
        <f>IF(AND(BE48,ISNUMBER(BH48)),(BF48-BH48)^2,"")</f>
        <v/>
      </c>
      <c r="BJ48" s="5">
        <f>IF(BE48,1+SUMPRODUCT(--(calc!$BE$3:$BE$132=TRUE),--(calc!$BF$3:$BF$132&gt;BF48))+(SUMPRODUCT(--(calc!$BE$3:$BE$132=TRUE),--(calc!$BF$3:$BF$132=BF48))-1)/2,"")</f>
        <v/>
      </c>
      <c r="BK48" s="5">
        <f>IF(BE48,1+SUMPRODUCT(--(calc!$BE$3:$BE$132=TRUE),--(calc!$BG$3:$BG$132&gt;BG48))+(SUMPRODUCT(--(calc!$BE$3:$BE$132=TRUE),--(calc!$BG$3:$BG$132=BG48))-1)/2,"")</f>
        <v/>
      </c>
      <c r="BL48" s="5">
        <f>IF(BE48,SUMPRODUCT(--(calc!$BE$3:$BE$132=TRUE),--(ROW(calc!$BE$3:$BE$132)&gt;ROW(BE48)),--(((calc!$BJ$3:$BJ$132&gt;BJ48)*(calc!$BK$3:$BK$132&gt;BK48)+(calc!$BJ$3:$BJ$132&lt;BJ48)*(calc!$BK$3:$BK$132&lt;BK48))&gt;0))-SUMPRODUCT(--(calc!$BE$3:$BE$132=TRUE),--(ROW(calc!$BE$3:$BE$132)&gt;ROW(BE48)),--(((calc!$BJ$3:$BJ$132&gt;BJ48)*(calc!$BK$3:$BK$132&lt;BK48)+(calc!$BJ$3:$BJ$132&lt;BJ48)*(calc!$BK$3:$BK$132&gt;BK48))&gt;0)),0)</f>
        <v/>
      </c>
      <c r="BM48" s="5">
        <f>IF(mos_metrics!M47="","",mos_metrics!M47)</f>
        <v/>
      </c>
      <c r="BN48" s="2">
        <f>AND($J48,ISNUMBER(BM48),correlation!$I$32=1)</f>
        <v/>
      </c>
      <c r="BO48" s="5">
        <f>IF(BN48,$F48,"")</f>
        <v/>
      </c>
      <c r="BP48" s="5">
        <f>IF(BN48,BM48*correlation!$J$32,"")</f>
        <v/>
      </c>
      <c r="BQ48" s="5">
        <f>IF(AND(BN48,ISNUMBER(correlation!$F$32)),BP48*correlation!$F$32+correlation!$G$32,"")</f>
        <v/>
      </c>
      <c r="BR48" s="5">
        <f>IF(AND(BN48,ISNUMBER(BQ48)),(BO48-BQ48)^2,"")</f>
        <v/>
      </c>
      <c r="BS48" s="5">
        <f>IF(BN48,1+SUMPRODUCT(--(calc!$BN$3:$BN$132=TRUE),--(calc!$BO$3:$BO$132&gt;BO48))+(SUMPRODUCT(--(calc!$BN$3:$BN$132=TRUE),--(calc!$BO$3:$BO$132=BO48))-1)/2,"")</f>
        <v/>
      </c>
      <c r="BT48" s="5">
        <f>IF(BN48,1+SUMPRODUCT(--(calc!$BN$3:$BN$132=TRUE),--(calc!$BP$3:$BP$132&gt;BP48))+(SUMPRODUCT(--(calc!$BN$3:$BN$132=TRUE),--(calc!$BP$3:$BP$132=BP48))-1)/2,"")</f>
        <v/>
      </c>
      <c r="BU48" s="5">
        <f>IF(BN48,SUMPRODUCT(--(calc!$BN$3:$BN$132=TRUE),--(ROW(calc!$BN$3:$BN$132)&gt;ROW(BN48)),--(((calc!$BS$3:$BS$132&gt;BS48)*(calc!$BT$3:$BT$132&gt;BT48)+(calc!$BS$3:$BS$132&lt;BS48)*(calc!$BT$3:$BT$132&lt;BT48))&gt;0))-SUMPRODUCT(--(calc!$BN$3:$BN$132=TRUE),--(ROW(calc!$BN$3:$BN$132)&gt;ROW(BN48)),--(((calc!$BS$3:$BS$132&gt;BS48)*(calc!$BT$3:$BT$132&lt;BT48)+(calc!$BS$3:$BS$132&lt;BS48)*(calc!$BT$3:$BT$132&gt;BT48))&gt;0)),0)</f>
        <v/>
      </c>
    </row>
    <row r="49">
      <c r="A49" s="2">
        <f>mos_metrics!A48</f>
        <v/>
      </c>
      <c r="B49" s="2">
        <f>mos_metrics!B48</f>
        <v/>
      </c>
      <c r="C49" s="2">
        <f>mos_metrics!C48</f>
        <v/>
      </c>
      <c r="D49" s="2">
        <f>mos_metrics!D48</f>
        <v/>
      </c>
      <c r="E49" s="2">
        <f>mos_metrics!E48</f>
        <v/>
      </c>
      <c r="F49" s="2">
        <f>mos_metrics!F48</f>
        <v/>
      </c>
      <c r="G49" s="2">
        <f>IF($B49="","",IFERROR(VLOOKUP($B49,correlation!$A$2:$B$12,2,FALSE),1))</f>
        <v/>
      </c>
      <c r="H49" s="2">
        <f>IF($E49="","",IFERROR(VLOOKUP($E49,correlation!$D$2:$E$8,2,FALSE),1))</f>
        <v/>
      </c>
      <c r="I49" s="2">
        <f>ISNUMBER($F49)</f>
        <v/>
      </c>
      <c r="J49" s="2">
        <f>AND($G49=1,$H49=1,$I49)</f>
        <v/>
      </c>
      <c r="K49" s="5">
        <f>IF(mos_metrics!G48="","",mos_metrics!G48)</f>
        <v/>
      </c>
      <c r="L49" s="2">
        <f>AND($J49,ISNUMBER(K49),correlation!$I$26=1)</f>
        <v/>
      </c>
      <c r="M49" s="5">
        <f>IF(L49,$F49,"")</f>
        <v/>
      </c>
      <c r="N49" s="5">
        <f>IF(L49,K49*correlation!$J$26,"")</f>
        <v/>
      </c>
      <c r="O49" s="5">
        <f>IF(AND(L49,ISNUMBER(correlation!$F$26)),N49*correlation!$F$26+correlation!$G$26,"")</f>
        <v/>
      </c>
      <c r="P49" s="5">
        <f>IF(AND(L49,ISNUMBER(O49)),(M49-O49)^2,"")</f>
        <v/>
      </c>
      <c r="Q49" s="5">
        <f>IF(L49,1+SUMPRODUCT(--(calc!$L$3:$L$132=TRUE),--(calc!$M$3:$M$132&gt;M49))+(SUMPRODUCT(--(calc!$L$3:$L$132=TRUE),--(calc!$M$3:$M$132=M49))-1)/2,"")</f>
        <v/>
      </c>
      <c r="R49" s="5">
        <f>IF(L49,1+SUMPRODUCT(--(calc!$L$3:$L$132=TRUE),--(calc!$N$3:$N$132&gt;N49))+(SUMPRODUCT(--(calc!$L$3:$L$132=TRUE),--(calc!$N$3:$N$132=N49))-1)/2,"")</f>
        <v/>
      </c>
      <c r="S49" s="5">
        <f>IF(L49,SUMPRODUCT(--(calc!$L$3:$L$132=TRUE),--(ROW(calc!$L$3:$L$132)&gt;ROW(L49)),--(((calc!$Q$3:$Q$132&gt;Q49)*(calc!$R$3:$R$132&gt;R49)+(calc!$Q$3:$Q$132&lt;Q49)*(calc!$R$3:$R$132&lt;R49))&gt;0))-SUMPRODUCT(--(calc!$L$3:$L$132=TRUE),--(ROW(calc!$L$3:$L$132)&gt;ROW(L49)),--(((calc!$Q$3:$Q$132&gt;Q49)*(calc!$R$3:$R$132&lt;R49)+(calc!$Q$3:$Q$132&lt;Q49)*(calc!$R$3:$R$132&gt;R49))&gt;0)),0)</f>
        <v/>
      </c>
      <c r="T49" s="5">
        <f>IF(mos_metrics!H48="","",mos_metrics!H48)</f>
        <v/>
      </c>
      <c r="U49" s="2">
        <f>AND($J49,ISNUMBER(T49),correlation!$I$27=1)</f>
        <v/>
      </c>
      <c r="V49" s="5">
        <f>IF(U49,$F49,"")</f>
        <v/>
      </c>
      <c r="W49" s="5">
        <f>IF(U49,T49*correlation!$J$27,"")</f>
        <v/>
      </c>
      <c r="X49" s="5">
        <f>IF(AND(U49,ISNUMBER(correlation!$F$27)),W49*correlation!$F$27+correlation!$G$27,"")</f>
        <v/>
      </c>
      <c r="Y49" s="5">
        <f>IF(AND(U49,ISNUMBER(X49)),(V49-X49)^2,"")</f>
        <v/>
      </c>
      <c r="Z49" s="5">
        <f>IF(U49,1+SUMPRODUCT(--(calc!$U$3:$U$132=TRUE),--(calc!$V$3:$V$132&gt;V49))+(SUMPRODUCT(--(calc!$U$3:$U$132=TRUE),--(calc!$V$3:$V$132=V49))-1)/2,"")</f>
        <v/>
      </c>
      <c r="AA49" s="5">
        <f>IF(U49,1+SUMPRODUCT(--(calc!$U$3:$U$132=TRUE),--(calc!$W$3:$W$132&gt;W49))+(SUMPRODUCT(--(calc!$U$3:$U$132=TRUE),--(calc!$W$3:$W$132=W49))-1)/2,"")</f>
        <v/>
      </c>
      <c r="AB49" s="5">
        <f>IF(U49,SUMPRODUCT(--(calc!$U$3:$U$132=TRUE),--(ROW(calc!$U$3:$U$132)&gt;ROW(U49)),--(((calc!$Z$3:$Z$132&gt;Z49)*(calc!$AA$3:$AA$132&gt;AA49)+(calc!$Z$3:$Z$132&lt;Z49)*(calc!$AA$3:$AA$132&lt;AA49))&gt;0))-SUMPRODUCT(--(calc!$U$3:$U$132=TRUE),--(ROW(calc!$U$3:$U$132)&gt;ROW(U49)),--(((calc!$Z$3:$Z$132&gt;Z49)*(calc!$AA$3:$AA$132&lt;AA49)+(calc!$Z$3:$Z$132&lt;Z49)*(calc!$AA$3:$AA$132&gt;AA49))&gt;0)),0)</f>
        <v/>
      </c>
      <c r="AC49" s="5">
        <f>IF(mos_metrics!I48="","",mos_metrics!I48)</f>
        <v/>
      </c>
      <c r="AD49" s="2">
        <f>AND($J49,ISNUMBER(AC49),correlation!$I$28=1)</f>
        <v/>
      </c>
      <c r="AE49" s="5">
        <f>IF(AD49,$F49,"")</f>
        <v/>
      </c>
      <c r="AF49" s="5">
        <f>IF(AD49,AC49*correlation!$J$28,"")</f>
        <v/>
      </c>
      <c r="AG49" s="5">
        <f>IF(AND(AD49,ISNUMBER(correlation!$F$28)),AF49*correlation!$F$28+correlation!$G$28,"")</f>
        <v/>
      </c>
      <c r="AH49" s="5">
        <f>IF(AND(AD49,ISNUMBER(AG49)),(AE49-AG49)^2,"")</f>
        <v/>
      </c>
      <c r="AI49" s="5">
        <f>IF(AD49,1+SUMPRODUCT(--(calc!$AD$3:$AD$132=TRUE),--(calc!$AE$3:$AE$132&gt;AE49))+(SUMPRODUCT(--(calc!$AD$3:$AD$132=TRUE),--(calc!$AE$3:$AE$132=AE49))-1)/2,"")</f>
        <v/>
      </c>
      <c r="AJ49" s="5">
        <f>IF(AD49,1+SUMPRODUCT(--(calc!$AD$3:$AD$132=TRUE),--(calc!$AF$3:$AF$132&gt;AF49))+(SUMPRODUCT(--(calc!$AD$3:$AD$132=TRUE),--(calc!$AF$3:$AF$132=AF49))-1)/2,"")</f>
        <v/>
      </c>
      <c r="AK49" s="5">
        <f>IF(AD49,SUMPRODUCT(--(calc!$AD$3:$AD$132=TRUE),--(ROW(calc!$AD$3:$AD$132)&gt;ROW(AD49)),--(((calc!$AI$3:$AI$132&gt;AI49)*(calc!$AJ$3:$AJ$132&gt;AJ49)+(calc!$AI$3:$AI$132&lt;AI49)*(calc!$AJ$3:$AJ$132&lt;AJ49))&gt;0))-SUMPRODUCT(--(calc!$AD$3:$AD$132=TRUE),--(ROW(calc!$AD$3:$AD$132)&gt;ROW(AD49)),--(((calc!$AI$3:$AI$132&gt;AI49)*(calc!$AJ$3:$AJ$132&lt;AJ49)+(calc!$AI$3:$AI$132&lt;AI49)*(calc!$AJ$3:$AJ$132&gt;AJ49))&gt;0)),0)</f>
        <v/>
      </c>
      <c r="AL49" s="5">
        <f>IF(mos_metrics!J48="","",mos_metrics!J48)</f>
        <v/>
      </c>
      <c r="AM49" s="2">
        <f>AND($J49,ISNUMBER(AL49),correlation!$I$29=1)</f>
        <v/>
      </c>
      <c r="AN49" s="5">
        <f>IF(AM49,$F49,"")</f>
        <v/>
      </c>
      <c r="AO49" s="5">
        <f>IF(AM49,AL49*correlation!$J$29,"")</f>
        <v/>
      </c>
      <c r="AP49" s="5">
        <f>IF(AND(AM49,ISNUMBER(correlation!$F$29)),AO49*correlation!$F$29+correlation!$G$29,"")</f>
        <v/>
      </c>
      <c r="AQ49" s="5">
        <f>IF(AND(AM49,ISNUMBER(AP49)),(AN49-AP49)^2,"")</f>
        <v/>
      </c>
      <c r="AR49" s="5">
        <f>IF(AM49,1+SUMPRODUCT(--(calc!$AM$3:$AM$132=TRUE),--(calc!$AN$3:$AN$132&gt;AN49))+(SUMPRODUCT(--(calc!$AM$3:$AM$132=TRUE),--(calc!$AN$3:$AN$132=AN49))-1)/2,"")</f>
        <v/>
      </c>
      <c r="AS49" s="5">
        <f>IF(AM49,1+SUMPRODUCT(--(calc!$AM$3:$AM$132=TRUE),--(calc!$AO$3:$AO$132&gt;AO49))+(SUMPRODUCT(--(calc!$AM$3:$AM$132=TRUE),--(calc!$AO$3:$AO$132=AO49))-1)/2,"")</f>
        <v/>
      </c>
      <c r="AT49" s="5">
        <f>IF(AM49,SUMPRODUCT(--(calc!$AM$3:$AM$132=TRUE),--(ROW(calc!$AM$3:$AM$132)&gt;ROW(AM49)),--(((calc!$AR$3:$AR$132&gt;AR49)*(calc!$AS$3:$AS$132&gt;AS49)+(calc!$AR$3:$AR$132&lt;AR49)*(calc!$AS$3:$AS$132&lt;AS49))&gt;0))-SUMPRODUCT(--(calc!$AM$3:$AM$132=TRUE),--(ROW(calc!$AM$3:$AM$132)&gt;ROW(AM49)),--(((calc!$AR$3:$AR$132&gt;AR49)*(calc!$AS$3:$AS$132&lt;AS49)+(calc!$AR$3:$AR$132&lt;AR49)*(calc!$AS$3:$AS$132&gt;AS49))&gt;0)),0)</f>
        <v/>
      </c>
      <c r="AU49" s="5">
        <f>IF(mos_metrics!K48="","",mos_metrics!K48)</f>
        <v/>
      </c>
      <c r="AV49" s="2">
        <f>AND($J49,ISNUMBER(AU49),correlation!$I$30=1)</f>
        <v/>
      </c>
      <c r="AW49" s="5">
        <f>IF(AV49,$F49,"")</f>
        <v/>
      </c>
      <c r="AX49" s="5">
        <f>IF(AV49,AU49*correlation!$J$30,"")</f>
        <v/>
      </c>
      <c r="AY49" s="5">
        <f>IF(AND(AV49,ISNUMBER(correlation!$F$30)),AX49*correlation!$F$30+correlation!$G$30,"")</f>
        <v/>
      </c>
      <c r="AZ49" s="5">
        <f>IF(AND(AV49,ISNUMBER(AY49)),(AW49-AY49)^2,"")</f>
        <v/>
      </c>
      <c r="BA49" s="5">
        <f>IF(AV49,1+SUMPRODUCT(--(calc!$AV$3:$AV$132=TRUE),--(calc!$AW$3:$AW$132&gt;AW49))+(SUMPRODUCT(--(calc!$AV$3:$AV$132=TRUE),--(calc!$AW$3:$AW$132=AW49))-1)/2,"")</f>
        <v/>
      </c>
      <c r="BB49" s="5">
        <f>IF(AV49,1+SUMPRODUCT(--(calc!$AV$3:$AV$132=TRUE),--(calc!$AX$3:$AX$132&gt;AX49))+(SUMPRODUCT(--(calc!$AV$3:$AV$132=TRUE),--(calc!$AX$3:$AX$132=AX49))-1)/2,"")</f>
        <v/>
      </c>
      <c r="BC49" s="5">
        <f>IF(AV49,SUMPRODUCT(--(calc!$AV$3:$AV$132=TRUE),--(ROW(calc!$AV$3:$AV$132)&gt;ROW(AV49)),--(((calc!$BA$3:$BA$132&gt;BA49)*(calc!$BB$3:$BB$132&gt;BB49)+(calc!$BA$3:$BA$132&lt;BA49)*(calc!$BB$3:$BB$132&lt;BB49))&gt;0))-SUMPRODUCT(--(calc!$AV$3:$AV$132=TRUE),--(ROW(calc!$AV$3:$AV$132)&gt;ROW(AV49)),--(((calc!$BA$3:$BA$132&gt;BA49)*(calc!$BB$3:$BB$132&lt;BB49)+(calc!$BA$3:$BA$132&lt;BA49)*(calc!$BB$3:$BB$132&gt;BB49))&gt;0)),0)</f>
        <v/>
      </c>
      <c r="BD49" s="5">
        <f>IF(mos_metrics!L48="","",mos_metrics!L48)</f>
        <v/>
      </c>
      <c r="BE49" s="2">
        <f>AND($J49,ISNUMBER(BD49),correlation!$I$31=1)</f>
        <v/>
      </c>
      <c r="BF49" s="5">
        <f>IF(BE49,$F49,"")</f>
        <v/>
      </c>
      <c r="BG49" s="5">
        <f>IF(BE49,BD49*correlation!$J$31,"")</f>
        <v/>
      </c>
      <c r="BH49" s="5">
        <f>IF(AND(BE49,ISNUMBER(correlation!$F$31)),BG49*correlation!$F$31+correlation!$G$31,"")</f>
        <v/>
      </c>
      <c r="BI49" s="5">
        <f>IF(AND(BE49,ISNUMBER(BH49)),(BF49-BH49)^2,"")</f>
        <v/>
      </c>
      <c r="BJ49" s="5">
        <f>IF(BE49,1+SUMPRODUCT(--(calc!$BE$3:$BE$132=TRUE),--(calc!$BF$3:$BF$132&gt;BF49))+(SUMPRODUCT(--(calc!$BE$3:$BE$132=TRUE),--(calc!$BF$3:$BF$132=BF49))-1)/2,"")</f>
        <v/>
      </c>
      <c r="BK49" s="5">
        <f>IF(BE49,1+SUMPRODUCT(--(calc!$BE$3:$BE$132=TRUE),--(calc!$BG$3:$BG$132&gt;BG49))+(SUMPRODUCT(--(calc!$BE$3:$BE$132=TRUE),--(calc!$BG$3:$BG$132=BG49))-1)/2,"")</f>
        <v/>
      </c>
      <c r="BL49" s="5">
        <f>IF(BE49,SUMPRODUCT(--(calc!$BE$3:$BE$132=TRUE),--(ROW(calc!$BE$3:$BE$132)&gt;ROW(BE49)),--(((calc!$BJ$3:$BJ$132&gt;BJ49)*(calc!$BK$3:$BK$132&gt;BK49)+(calc!$BJ$3:$BJ$132&lt;BJ49)*(calc!$BK$3:$BK$132&lt;BK49))&gt;0))-SUMPRODUCT(--(calc!$BE$3:$BE$132=TRUE),--(ROW(calc!$BE$3:$BE$132)&gt;ROW(BE49)),--(((calc!$BJ$3:$BJ$132&gt;BJ49)*(calc!$BK$3:$BK$132&lt;BK49)+(calc!$BJ$3:$BJ$132&lt;BJ49)*(calc!$BK$3:$BK$132&gt;BK49))&gt;0)),0)</f>
        <v/>
      </c>
      <c r="BM49" s="5">
        <f>IF(mos_metrics!M48="","",mos_metrics!M48)</f>
        <v/>
      </c>
      <c r="BN49" s="2">
        <f>AND($J49,ISNUMBER(BM49),correlation!$I$32=1)</f>
        <v/>
      </c>
      <c r="BO49" s="5">
        <f>IF(BN49,$F49,"")</f>
        <v/>
      </c>
      <c r="BP49" s="5">
        <f>IF(BN49,BM49*correlation!$J$32,"")</f>
        <v/>
      </c>
      <c r="BQ49" s="5">
        <f>IF(AND(BN49,ISNUMBER(correlation!$F$32)),BP49*correlation!$F$32+correlation!$G$32,"")</f>
        <v/>
      </c>
      <c r="BR49" s="5">
        <f>IF(AND(BN49,ISNUMBER(BQ49)),(BO49-BQ49)^2,"")</f>
        <v/>
      </c>
      <c r="BS49" s="5">
        <f>IF(BN49,1+SUMPRODUCT(--(calc!$BN$3:$BN$132=TRUE),--(calc!$BO$3:$BO$132&gt;BO49))+(SUMPRODUCT(--(calc!$BN$3:$BN$132=TRUE),--(calc!$BO$3:$BO$132=BO49))-1)/2,"")</f>
        <v/>
      </c>
      <c r="BT49" s="5">
        <f>IF(BN49,1+SUMPRODUCT(--(calc!$BN$3:$BN$132=TRUE),--(calc!$BP$3:$BP$132&gt;BP49))+(SUMPRODUCT(--(calc!$BN$3:$BN$132=TRUE),--(calc!$BP$3:$BP$132=BP49))-1)/2,"")</f>
        <v/>
      </c>
      <c r="BU49" s="5">
        <f>IF(BN49,SUMPRODUCT(--(calc!$BN$3:$BN$132=TRUE),--(ROW(calc!$BN$3:$BN$132)&gt;ROW(BN49)),--(((calc!$BS$3:$BS$132&gt;BS49)*(calc!$BT$3:$BT$132&gt;BT49)+(calc!$BS$3:$BS$132&lt;BS49)*(calc!$BT$3:$BT$132&lt;BT49))&gt;0))-SUMPRODUCT(--(calc!$BN$3:$BN$132=TRUE),--(ROW(calc!$BN$3:$BN$132)&gt;ROW(BN49)),--(((calc!$BS$3:$BS$132&gt;BS49)*(calc!$BT$3:$BT$132&lt;BT49)+(calc!$BS$3:$BS$132&lt;BS49)*(calc!$BT$3:$BT$132&gt;BT49))&gt;0)),0)</f>
        <v/>
      </c>
    </row>
    <row r="50">
      <c r="A50" s="2">
        <f>mos_metrics!A49</f>
        <v/>
      </c>
      <c r="B50" s="2">
        <f>mos_metrics!B49</f>
        <v/>
      </c>
      <c r="C50" s="2">
        <f>mos_metrics!C49</f>
        <v/>
      </c>
      <c r="D50" s="2">
        <f>mos_metrics!D49</f>
        <v/>
      </c>
      <c r="E50" s="2">
        <f>mos_metrics!E49</f>
        <v/>
      </c>
      <c r="F50" s="2">
        <f>mos_metrics!F49</f>
        <v/>
      </c>
      <c r="G50" s="2">
        <f>IF($B50="","",IFERROR(VLOOKUP($B50,correlation!$A$2:$B$12,2,FALSE),1))</f>
        <v/>
      </c>
      <c r="H50" s="2">
        <f>IF($E50="","",IFERROR(VLOOKUP($E50,correlation!$D$2:$E$8,2,FALSE),1))</f>
        <v/>
      </c>
      <c r="I50" s="2">
        <f>ISNUMBER($F50)</f>
        <v/>
      </c>
      <c r="J50" s="2">
        <f>AND($G50=1,$H50=1,$I50)</f>
        <v/>
      </c>
      <c r="K50" s="5">
        <f>IF(mos_metrics!G49="","",mos_metrics!G49)</f>
        <v/>
      </c>
      <c r="L50" s="2">
        <f>AND($J50,ISNUMBER(K50),correlation!$I$26=1)</f>
        <v/>
      </c>
      <c r="M50" s="5">
        <f>IF(L50,$F50,"")</f>
        <v/>
      </c>
      <c r="N50" s="5">
        <f>IF(L50,K50*correlation!$J$26,"")</f>
        <v/>
      </c>
      <c r="O50" s="5">
        <f>IF(AND(L50,ISNUMBER(correlation!$F$26)),N50*correlation!$F$26+correlation!$G$26,"")</f>
        <v/>
      </c>
      <c r="P50" s="5">
        <f>IF(AND(L50,ISNUMBER(O50)),(M50-O50)^2,"")</f>
        <v/>
      </c>
      <c r="Q50" s="5">
        <f>IF(L50,1+SUMPRODUCT(--(calc!$L$3:$L$132=TRUE),--(calc!$M$3:$M$132&gt;M50))+(SUMPRODUCT(--(calc!$L$3:$L$132=TRUE),--(calc!$M$3:$M$132=M50))-1)/2,"")</f>
        <v/>
      </c>
      <c r="R50" s="5">
        <f>IF(L50,1+SUMPRODUCT(--(calc!$L$3:$L$132=TRUE),--(calc!$N$3:$N$132&gt;N50))+(SUMPRODUCT(--(calc!$L$3:$L$132=TRUE),--(calc!$N$3:$N$132=N50))-1)/2,"")</f>
        <v/>
      </c>
      <c r="S50" s="5">
        <f>IF(L50,SUMPRODUCT(--(calc!$L$3:$L$132=TRUE),--(ROW(calc!$L$3:$L$132)&gt;ROW(L50)),--(((calc!$Q$3:$Q$132&gt;Q50)*(calc!$R$3:$R$132&gt;R50)+(calc!$Q$3:$Q$132&lt;Q50)*(calc!$R$3:$R$132&lt;R50))&gt;0))-SUMPRODUCT(--(calc!$L$3:$L$132=TRUE),--(ROW(calc!$L$3:$L$132)&gt;ROW(L50)),--(((calc!$Q$3:$Q$132&gt;Q50)*(calc!$R$3:$R$132&lt;R50)+(calc!$Q$3:$Q$132&lt;Q50)*(calc!$R$3:$R$132&gt;R50))&gt;0)),0)</f>
        <v/>
      </c>
      <c r="T50" s="5">
        <f>IF(mos_metrics!H49="","",mos_metrics!H49)</f>
        <v/>
      </c>
      <c r="U50" s="2">
        <f>AND($J50,ISNUMBER(T50),correlation!$I$27=1)</f>
        <v/>
      </c>
      <c r="V50" s="5">
        <f>IF(U50,$F50,"")</f>
        <v/>
      </c>
      <c r="W50" s="5">
        <f>IF(U50,T50*correlation!$J$27,"")</f>
        <v/>
      </c>
      <c r="X50" s="5">
        <f>IF(AND(U50,ISNUMBER(correlation!$F$27)),W50*correlation!$F$27+correlation!$G$27,"")</f>
        <v/>
      </c>
      <c r="Y50" s="5">
        <f>IF(AND(U50,ISNUMBER(X50)),(V50-X50)^2,"")</f>
        <v/>
      </c>
      <c r="Z50" s="5">
        <f>IF(U50,1+SUMPRODUCT(--(calc!$U$3:$U$132=TRUE),--(calc!$V$3:$V$132&gt;V50))+(SUMPRODUCT(--(calc!$U$3:$U$132=TRUE),--(calc!$V$3:$V$132=V50))-1)/2,"")</f>
        <v/>
      </c>
      <c r="AA50" s="5">
        <f>IF(U50,1+SUMPRODUCT(--(calc!$U$3:$U$132=TRUE),--(calc!$W$3:$W$132&gt;W50))+(SUMPRODUCT(--(calc!$U$3:$U$132=TRUE),--(calc!$W$3:$W$132=W50))-1)/2,"")</f>
        <v/>
      </c>
      <c r="AB50" s="5">
        <f>IF(U50,SUMPRODUCT(--(calc!$U$3:$U$132=TRUE),--(ROW(calc!$U$3:$U$132)&gt;ROW(U50)),--(((calc!$Z$3:$Z$132&gt;Z50)*(calc!$AA$3:$AA$132&gt;AA50)+(calc!$Z$3:$Z$132&lt;Z50)*(calc!$AA$3:$AA$132&lt;AA50))&gt;0))-SUMPRODUCT(--(calc!$U$3:$U$132=TRUE),--(ROW(calc!$U$3:$U$132)&gt;ROW(U50)),--(((calc!$Z$3:$Z$132&gt;Z50)*(calc!$AA$3:$AA$132&lt;AA50)+(calc!$Z$3:$Z$132&lt;Z50)*(calc!$AA$3:$AA$132&gt;AA50))&gt;0)),0)</f>
        <v/>
      </c>
      <c r="AC50" s="5">
        <f>IF(mos_metrics!I49="","",mos_metrics!I49)</f>
        <v/>
      </c>
      <c r="AD50" s="2">
        <f>AND($J50,ISNUMBER(AC50),correlation!$I$28=1)</f>
        <v/>
      </c>
      <c r="AE50" s="5">
        <f>IF(AD50,$F50,"")</f>
        <v/>
      </c>
      <c r="AF50" s="5">
        <f>IF(AD50,AC50*correlation!$J$28,"")</f>
        <v/>
      </c>
      <c r="AG50" s="5">
        <f>IF(AND(AD50,ISNUMBER(correlation!$F$28)),AF50*correlation!$F$28+correlation!$G$28,"")</f>
        <v/>
      </c>
      <c r="AH50" s="5">
        <f>IF(AND(AD50,ISNUMBER(AG50)),(AE50-AG50)^2,"")</f>
        <v/>
      </c>
      <c r="AI50" s="5">
        <f>IF(AD50,1+SUMPRODUCT(--(calc!$AD$3:$AD$132=TRUE),--(calc!$AE$3:$AE$132&gt;AE50))+(SUMPRODUCT(--(calc!$AD$3:$AD$132=TRUE),--(calc!$AE$3:$AE$132=AE50))-1)/2,"")</f>
        <v/>
      </c>
      <c r="AJ50" s="5">
        <f>IF(AD50,1+SUMPRODUCT(--(calc!$AD$3:$AD$132=TRUE),--(calc!$AF$3:$AF$132&gt;AF50))+(SUMPRODUCT(--(calc!$AD$3:$AD$132=TRUE),--(calc!$AF$3:$AF$132=AF50))-1)/2,"")</f>
        <v/>
      </c>
      <c r="AK50" s="5">
        <f>IF(AD50,SUMPRODUCT(--(calc!$AD$3:$AD$132=TRUE),--(ROW(calc!$AD$3:$AD$132)&gt;ROW(AD50)),--(((calc!$AI$3:$AI$132&gt;AI50)*(calc!$AJ$3:$AJ$132&gt;AJ50)+(calc!$AI$3:$AI$132&lt;AI50)*(calc!$AJ$3:$AJ$132&lt;AJ50))&gt;0))-SUMPRODUCT(--(calc!$AD$3:$AD$132=TRUE),--(ROW(calc!$AD$3:$AD$132)&gt;ROW(AD50)),--(((calc!$AI$3:$AI$132&gt;AI50)*(calc!$AJ$3:$AJ$132&lt;AJ50)+(calc!$AI$3:$AI$132&lt;AI50)*(calc!$AJ$3:$AJ$132&gt;AJ50))&gt;0)),0)</f>
        <v/>
      </c>
      <c r="AL50" s="5">
        <f>IF(mos_metrics!J49="","",mos_metrics!J49)</f>
        <v/>
      </c>
      <c r="AM50" s="2">
        <f>AND($J50,ISNUMBER(AL50),correlation!$I$29=1)</f>
        <v/>
      </c>
      <c r="AN50" s="5">
        <f>IF(AM50,$F50,"")</f>
        <v/>
      </c>
      <c r="AO50" s="5">
        <f>IF(AM50,AL50*correlation!$J$29,"")</f>
        <v/>
      </c>
      <c r="AP50" s="5">
        <f>IF(AND(AM50,ISNUMBER(correlation!$F$29)),AO50*correlation!$F$29+correlation!$G$29,"")</f>
        <v/>
      </c>
      <c r="AQ50" s="5">
        <f>IF(AND(AM50,ISNUMBER(AP50)),(AN50-AP50)^2,"")</f>
        <v/>
      </c>
      <c r="AR50" s="5">
        <f>IF(AM50,1+SUMPRODUCT(--(calc!$AM$3:$AM$132=TRUE),--(calc!$AN$3:$AN$132&gt;AN50))+(SUMPRODUCT(--(calc!$AM$3:$AM$132=TRUE),--(calc!$AN$3:$AN$132=AN50))-1)/2,"")</f>
        <v/>
      </c>
      <c r="AS50" s="5">
        <f>IF(AM50,1+SUMPRODUCT(--(calc!$AM$3:$AM$132=TRUE),--(calc!$AO$3:$AO$132&gt;AO50))+(SUMPRODUCT(--(calc!$AM$3:$AM$132=TRUE),--(calc!$AO$3:$AO$132=AO50))-1)/2,"")</f>
        <v/>
      </c>
      <c r="AT50" s="5">
        <f>IF(AM50,SUMPRODUCT(--(calc!$AM$3:$AM$132=TRUE),--(ROW(calc!$AM$3:$AM$132)&gt;ROW(AM50)),--(((calc!$AR$3:$AR$132&gt;AR50)*(calc!$AS$3:$AS$132&gt;AS50)+(calc!$AR$3:$AR$132&lt;AR50)*(calc!$AS$3:$AS$132&lt;AS50))&gt;0))-SUMPRODUCT(--(calc!$AM$3:$AM$132=TRUE),--(ROW(calc!$AM$3:$AM$132)&gt;ROW(AM50)),--(((calc!$AR$3:$AR$132&gt;AR50)*(calc!$AS$3:$AS$132&lt;AS50)+(calc!$AR$3:$AR$132&lt;AR50)*(calc!$AS$3:$AS$132&gt;AS50))&gt;0)),0)</f>
        <v/>
      </c>
      <c r="AU50" s="5">
        <f>IF(mos_metrics!K49="","",mos_metrics!K49)</f>
        <v/>
      </c>
      <c r="AV50" s="2">
        <f>AND($J50,ISNUMBER(AU50),correlation!$I$30=1)</f>
        <v/>
      </c>
      <c r="AW50" s="5">
        <f>IF(AV50,$F50,"")</f>
        <v/>
      </c>
      <c r="AX50" s="5">
        <f>IF(AV50,AU50*correlation!$J$30,"")</f>
        <v/>
      </c>
      <c r="AY50" s="5">
        <f>IF(AND(AV50,ISNUMBER(correlation!$F$30)),AX50*correlation!$F$30+correlation!$G$30,"")</f>
        <v/>
      </c>
      <c r="AZ50" s="5">
        <f>IF(AND(AV50,ISNUMBER(AY50)),(AW50-AY50)^2,"")</f>
        <v/>
      </c>
      <c r="BA50" s="5">
        <f>IF(AV50,1+SUMPRODUCT(--(calc!$AV$3:$AV$132=TRUE),--(calc!$AW$3:$AW$132&gt;AW50))+(SUMPRODUCT(--(calc!$AV$3:$AV$132=TRUE),--(calc!$AW$3:$AW$132=AW50))-1)/2,"")</f>
        <v/>
      </c>
      <c r="BB50" s="5">
        <f>IF(AV50,1+SUMPRODUCT(--(calc!$AV$3:$AV$132=TRUE),--(calc!$AX$3:$AX$132&gt;AX50))+(SUMPRODUCT(--(calc!$AV$3:$AV$132=TRUE),--(calc!$AX$3:$AX$132=AX50))-1)/2,"")</f>
        <v/>
      </c>
      <c r="BC50" s="5">
        <f>IF(AV50,SUMPRODUCT(--(calc!$AV$3:$AV$132=TRUE),--(ROW(calc!$AV$3:$AV$132)&gt;ROW(AV50)),--(((calc!$BA$3:$BA$132&gt;BA50)*(calc!$BB$3:$BB$132&gt;BB50)+(calc!$BA$3:$BA$132&lt;BA50)*(calc!$BB$3:$BB$132&lt;BB50))&gt;0))-SUMPRODUCT(--(calc!$AV$3:$AV$132=TRUE),--(ROW(calc!$AV$3:$AV$132)&gt;ROW(AV50)),--(((calc!$BA$3:$BA$132&gt;BA50)*(calc!$BB$3:$BB$132&lt;BB50)+(calc!$BA$3:$BA$132&lt;BA50)*(calc!$BB$3:$BB$132&gt;BB50))&gt;0)),0)</f>
        <v/>
      </c>
      <c r="BD50" s="5">
        <f>IF(mos_metrics!L49="","",mos_metrics!L49)</f>
        <v/>
      </c>
      <c r="BE50" s="2">
        <f>AND($J50,ISNUMBER(BD50),correlation!$I$31=1)</f>
        <v/>
      </c>
      <c r="BF50" s="5">
        <f>IF(BE50,$F50,"")</f>
        <v/>
      </c>
      <c r="BG50" s="5">
        <f>IF(BE50,BD50*correlation!$J$31,"")</f>
        <v/>
      </c>
      <c r="BH50" s="5">
        <f>IF(AND(BE50,ISNUMBER(correlation!$F$31)),BG50*correlation!$F$31+correlation!$G$31,"")</f>
        <v/>
      </c>
      <c r="BI50" s="5">
        <f>IF(AND(BE50,ISNUMBER(BH50)),(BF50-BH50)^2,"")</f>
        <v/>
      </c>
      <c r="BJ50" s="5">
        <f>IF(BE50,1+SUMPRODUCT(--(calc!$BE$3:$BE$132=TRUE),--(calc!$BF$3:$BF$132&gt;BF50))+(SUMPRODUCT(--(calc!$BE$3:$BE$132=TRUE),--(calc!$BF$3:$BF$132=BF50))-1)/2,"")</f>
        <v/>
      </c>
      <c r="BK50" s="5">
        <f>IF(BE50,1+SUMPRODUCT(--(calc!$BE$3:$BE$132=TRUE),--(calc!$BG$3:$BG$132&gt;BG50))+(SUMPRODUCT(--(calc!$BE$3:$BE$132=TRUE),--(calc!$BG$3:$BG$132=BG50))-1)/2,"")</f>
        <v/>
      </c>
      <c r="BL50" s="5">
        <f>IF(BE50,SUMPRODUCT(--(calc!$BE$3:$BE$132=TRUE),--(ROW(calc!$BE$3:$BE$132)&gt;ROW(BE50)),--(((calc!$BJ$3:$BJ$132&gt;BJ50)*(calc!$BK$3:$BK$132&gt;BK50)+(calc!$BJ$3:$BJ$132&lt;BJ50)*(calc!$BK$3:$BK$132&lt;BK50))&gt;0))-SUMPRODUCT(--(calc!$BE$3:$BE$132=TRUE),--(ROW(calc!$BE$3:$BE$132)&gt;ROW(BE50)),--(((calc!$BJ$3:$BJ$132&gt;BJ50)*(calc!$BK$3:$BK$132&lt;BK50)+(calc!$BJ$3:$BJ$132&lt;BJ50)*(calc!$BK$3:$BK$132&gt;BK50))&gt;0)),0)</f>
        <v/>
      </c>
      <c r="BM50" s="5">
        <f>IF(mos_metrics!M49="","",mos_metrics!M49)</f>
        <v/>
      </c>
      <c r="BN50" s="2">
        <f>AND($J50,ISNUMBER(BM50),correlation!$I$32=1)</f>
        <v/>
      </c>
      <c r="BO50" s="5">
        <f>IF(BN50,$F50,"")</f>
        <v/>
      </c>
      <c r="BP50" s="5">
        <f>IF(BN50,BM50*correlation!$J$32,"")</f>
        <v/>
      </c>
      <c r="BQ50" s="5">
        <f>IF(AND(BN50,ISNUMBER(correlation!$F$32)),BP50*correlation!$F$32+correlation!$G$32,"")</f>
        <v/>
      </c>
      <c r="BR50" s="5">
        <f>IF(AND(BN50,ISNUMBER(BQ50)),(BO50-BQ50)^2,"")</f>
        <v/>
      </c>
      <c r="BS50" s="5">
        <f>IF(BN50,1+SUMPRODUCT(--(calc!$BN$3:$BN$132=TRUE),--(calc!$BO$3:$BO$132&gt;BO50))+(SUMPRODUCT(--(calc!$BN$3:$BN$132=TRUE),--(calc!$BO$3:$BO$132=BO50))-1)/2,"")</f>
        <v/>
      </c>
      <c r="BT50" s="5">
        <f>IF(BN50,1+SUMPRODUCT(--(calc!$BN$3:$BN$132=TRUE),--(calc!$BP$3:$BP$132&gt;BP50))+(SUMPRODUCT(--(calc!$BN$3:$BN$132=TRUE),--(calc!$BP$3:$BP$132=BP50))-1)/2,"")</f>
        <v/>
      </c>
      <c r="BU50" s="5">
        <f>IF(BN50,SUMPRODUCT(--(calc!$BN$3:$BN$132=TRUE),--(ROW(calc!$BN$3:$BN$132)&gt;ROW(BN50)),--(((calc!$BS$3:$BS$132&gt;BS50)*(calc!$BT$3:$BT$132&gt;BT50)+(calc!$BS$3:$BS$132&lt;BS50)*(calc!$BT$3:$BT$132&lt;BT50))&gt;0))-SUMPRODUCT(--(calc!$BN$3:$BN$132=TRUE),--(ROW(calc!$BN$3:$BN$132)&gt;ROW(BN50)),--(((calc!$BS$3:$BS$132&gt;BS50)*(calc!$BT$3:$BT$132&lt;BT50)+(calc!$BS$3:$BS$132&lt;BS50)*(calc!$BT$3:$BT$132&gt;BT50))&gt;0)),0)</f>
        <v/>
      </c>
    </row>
    <row r="51">
      <c r="A51" s="2">
        <f>mos_metrics!A50</f>
        <v/>
      </c>
      <c r="B51" s="2">
        <f>mos_metrics!B50</f>
        <v/>
      </c>
      <c r="C51" s="2">
        <f>mos_metrics!C50</f>
        <v/>
      </c>
      <c r="D51" s="2">
        <f>mos_metrics!D50</f>
        <v/>
      </c>
      <c r="E51" s="2">
        <f>mos_metrics!E50</f>
        <v/>
      </c>
      <c r="F51" s="2">
        <f>mos_metrics!F50</f>
        <v/>
      </c>
      <c r="G51" s="2">
        <f>IF($B51="","",IFERROR(VLOOKUP($B51,correlation!$A$2:$B$12,2,FALSE),1))</f>
        <v/>
      </c>
      <c r="H51" s="2">
        <f>IF($E51="","",IFERROR(VLOOKUP($E51,correlation!$D$2:$E$8,2,FALSE),1))</f>
        <v/>
      </c>
      <c r="I51" s="2">
        <f>ISNUMBER($F51)</f>
        <v/>
      </c>
      <c r="J51" s="2">
        <f>AND($G51=1,$H51=1,$I51)</f>
        <v/>
      </c>
      <c r="K51" s="5">
        <f>IF(mos_metrics!G50="","",mos_metrics!G50)</f>
        <v/>
      </c>
      <c r="L51" s="2">
        <f>AND($J51,ISNUMBER(K51),correlation!$I$26=1)</f>
        <v/>
      </c>
      <c r="M51" s="5">
        <f>IF(L51,$F51,"")</f>
        <v/>
      </c>
      <c r="N51" s="5">
        <f>IF(L51,K51*correlation!$J$26,"")</f>
        <v/>
      </c>
      <c r="O51" s="5">
        <f>IF(AND(L51,ISNUMBER(correlation!$F$26)),N51*correlation!$F$26+correlation!$G$26,"")</f>
        <v/>
      </c>
      <c r="P51" s="5">
        <f>IF(AND(L51,ISNUMBER(O51)),(M51-O51)^2,"")</f>
        <v/>
      </c>
      <c r="Q51" s="5">
        <f>IF(L51,1+SUMPRODUCT(--(calc!$L$3:$L$132=TRUE),--(calc!$M$3:$M$132&gt;M51))+(SUMPRODUCT(--(calc!$L$3:$L$132=TRUE),--(calc!$M$3:$M$132=M51))-1)/2,"")</f>
        <v/>
      </c>
      <c r="R51" s="5">
        <f>IF(L51,1+SUMPRODUCT(--(calc!$L$3:$L$132=TRUE),--(calc!$N$3:$N$132&gt;N51))+(SUMPRODUCT(--(calc!$L$3:$L$132=TRUE),--(calc!$N$3:$N$132=N51))-1)/2,"")</f>
        <v/>
      </c>
      <c r="S51" s="5">
        <f>IF(L51,SUMPRODUCT(--(calc!$L$3:$L$132=TRUE),--(ROW(calc!$L$3:$L$132)&gt;ROW(L51)),--(((calc!$Q$3:$Q$132&gt;Q51)*(calc!$R$3:$R$132&gt;R51)+(calc!$Q$3:$Q$132&lt;Q51)*(calc!$R$3:$R$132&lt;R51))&gt;0))-SUMPRODUCT(--(calc!$L$3:$L$132=TRUE),--(ROW(calc!$L$3:$L$132)&gt;ROW(L51)),--(((calc!$Q$3:$Q$132&gt;Q51)*(calc!$R$3:$R$132&lt;R51)+(calc!$Q$3:$Q$132&lt;Q51)*(calc!$R$3:$R$132&gt;R51))&gt;0)),0)</f>
        <v/>
      </c>
      <c r="T51" s="5">
        <f>IF(mos_metrics!H50="","",mos_metrics!H50)</f>
        <v/>
      </c>
      <c r="U51" s="2">
        <f>AND($J51,ISNUMBER(T51),correlation!$I$27=1)</f>
        <v/>
      </c>
      <c r="V51" s="5">
        <f>IF(U51,$F51,"")</f>
        <v/>
      </c>
      <c r="W51" s="5">
        <f>IF(U51,T51*correlation!$J$27,"")</f>
        <v/>
      </c>
      <c r="X51" s="5">
        <f>IF(AND(U51,ISNUMBER(correlation!$F$27)),W51*correlation!$F$27+correlation!$G$27,"")</f>
        <v/>
      </c>
      <c r="Y51" s="5">
        <f>IF(AND(U51,ISNUMBER(X51)),(V51-X51)^2,"")</f>
        <v/>
      </c>
      <c r="Z51" s="5">
        <f>IF(U51,1+SUMPRODUCT(--(calc!$U$3:$U$132=TRUE),--(calc!$V$3:$V$132&gt;V51))+(SUMPRODUCT(--(calc!$U$3:$U$132=TRUE),--(calc!$V$3:$V$132=V51))-1)/2,"")</f>
        <v/>
      </c>
      <c r="AA51" s="5">
        <f>IF(U51,1+SUMPRODUCT(--(calc!$U$3:$U$132=TRUE),--(calc!$W$3:$W$132&gt;W51))+(SUMPRODUCT(--(calc!$U$3:$U$132=TRUE),--(calc!$W$3:$W$132=W51))-1)/2,"")</f>
        <v/>
      </c>
      <c r="AB51" s="5">
        <f>IF(U51,SUMPRODUCT(--(calc!$U$3:$U$132=TRUE),--(ROW(calc!$U$3:$U$132)&gt;ROW(U51)),--(((calc!$Z$3:$Z$132&gt;Z51)*(calc!$AA$3:$AA$132&gt;AA51)+(calc!$Z$3:$Z$132&lt;Z51)*(calc!$AA$3:$AA$132&lt;AA51))&gt;0))-SUMPRODUCT(--(calc!$U$3:$U$132=TRUE),--(ROW(calc!$U$3:$U$132)&gt;ROW(U51)),--(((calc!$Z$3:$Z$132&gt;Z51)*(calc!$AA$3:$AA$132&lt;AA51)+(calc!$Z$3:$Z$132&lt;Z51)*(calc!$AA$3:$AA$132&gt;AA51))&gt;0)),0)</f>
        <v/>
      </c>
      <c r="AC51" s="5">
        <f>IF(mos_metrics!I50="","",mos_metrics!I50)</f>
        <v/>
      </c>
      <c r="AD51" s="2">
        <f>AND($J51,ISNUMBER(AC51),correlation!$I$28=1)</f>
        <v/>
      </c>
      <c r="AE51" s="5">
        <f>IF(AD51,$F51,"")</f>
        <v/>
      </c>
      <c r="AF51" s="5">
        <f>IF(AD51,AC51*correlation!$J$28,"")</f>
        <v/>
      </c>
      <c r="AG51" s="5">
        <f>IF(AND(AD51,ISNUMBER(correlation!$F$28)),AF51*correlation!$F$28+correlation!$G$28,"")</f>
        <v/>
      </c>
      <c r="AH51" s="5">
        <f>IF(AND(AD51,ISNUMBER(AG51)),(AE51-AG51)^2,"")</f>
        <v/>
      </c>
      <c r="AI51" s="5">
        <f>IF(AD51,1+SUMPRODUCT(--(calc!$AD$3:$AD$132=TRUE),--(calc!$AE$3:$AE$132&gt;AE51))+(SUMPRODUCT(--(calc!$AD$3:$AD$132=TRUE),--(calc!$AE$3:$AE$132=AE51))-1)/2,"")</f>
        <v/>
      </c>
      <c r="AJ51" s="5">
        <f>IF(AD51,1+SUMPRODUCT(--(calc!$AD$3:$AD$132=TRUE),--(calc!$AF$3:$AF$132&gt;AF51))+(SUMPRODUCT(--(calc!$AD$3:$AD$132=TRUE),--(calc!$AF$3:$AF$132=AF51))-1)/2,"")</f>
        <v/>
      </c>
      <c r="AK51" s="5">
        <f>IF(AD51,SUMPRODUCT(--(calc!$AD$3:$AD$132=TRUE),--(ROW(calc!$AD$3:$AD$132)&gt;ROW(AD51)),--(((calc!$AI$3:$AI$132&gt;AI51)*(calc!$AJ$3:$AJ$132&gt;AJ51)+(calc!$AI$3:$AI$132&lt;AI51)*(calc!$AJ$3:$AJ$132&lt;AJ51))&gt;0))-SUMPRODUCT(--(calc!$AD$3:$AD$132=TRUE),--(ROW(calc!$AD$3:$AD$132)&gt;ROW(AD51)),--(((calc!$AI$3:$AI$132&gt;AI51)*(calc!$AJ$3:$AJ$132&lt;AJ51)+(calc!$AI$3:$AI$132&lt;AI51)*(calc!$AJ$3:$AJ$132&gt;AJ51))&gt;0)),0)</f>
        <v/>
      </c>
      <c r="AL51" s="5">
        <f>IF(mos_metrics!J50="","",mos_metrics!J50)</f>
        <v/>
      </c>
      <c r="AM51" s="2">
        <f>AND($J51,ISNUMBER(AL51),correlation!$I$29=1)</f>
        <v/>
      </c>
      <c r="AN51" s="5">
        <f>IF(AM51,$F51,"")</f>
        <v/>
      </c>
      <c r="AO51" s="5">
        <f>IF(AM51,AL51*correlation!$J$29,"")</f>
        <v/>
      </c>
      <c r="AP51" s="5">
        <f>IF(AND(AM51,ISNUMBER(correlation!$F$29)),AO51*correlation!$F$29+correlation!$G$29,"")</f>
        <v/>
      </c>
      <c r="AQ51" s="5">
        <f>IF(AND(AM51,ISNUMBER(AP51)),(AN51-AP51)^2,"")</f>
        <v/>
      </c>
      <c r="AR51" s="5">
        <f>IF(AM51,1+SUMPRODUCT(--(calc!$AM$3:$AM$132=TRUE),--(calc!$AN$3:$AN$132&gt;AN51))+(SUMPRODUCT(--(calc!$AM$3:$AM$132=TRUE),--(calc!$AN$3:$AN$132=AN51))-1)/2,"")</f>
        <v/>
      </c>
      <c r="AS51" s="5">
        <f>IF(AM51,1+SUMPRODUCT(--(calc!$AM$3:$AM$132=TRUE),--(calc!$AO$3:$AO$132&gt;AO51))+(SUMPRODUCT(--(calc!$AM$3:$AM$132=TRUE),--(calc!$AO$3:$AO$132=AO51))-1)/2,"")</f>
        <v/>
      </c>
      <c r="AT51" s="5">
        <f>IF(AM51,SUMPRODUCT(--(calc!$AM$3:$AM$132=TRUE),--(ROW(calc!$AM$3:$AM$132)&gt;ROW(AM51)),--(((calc!$AR$3:$AR$132&gt;AR51)*(calc!$AS$3:$AS$132&gt;AS51)+(calc!$AR$3:$AR$132&lt;AR51)*(calc!$AS$3:$AS$132&lt;AS51))&gt;0))-SUMPRODUCT(--(calc!$AM$3:$AM$132=TRUE),--(ROW(calc!$AM$3:$AM$132)&gt;ROW(AM51)),--(((calc!$AR$3:$AR$132&gt;AR51)*(calc!$AS$3:$AS$132&lt;AS51)+(calc!$AR$3:$AR$132&lt;AR51)*(calc!$AS$3:$AS$132&gt;AS51))&gt;0)),0)</f>
        <v/>
      </c>
      <c r="AU51" s="5">
        <f>IF(mos_metrics!K50="","",mos_metrics!K50)</f>
        <v/>
      </c>
      <c r="AV51" s="2">
        <f>AND($J51,ISNUMBER(AU51),correlation!$I$30=1)</f>
        <v/>
      </c>
      <c r="AW51" s="5">
        <f>IF(AV51,$F51,"")</f>
        <v/>
      </c>
      <c r="AX51" s="5">
        <f>IF(AV51,AU51*correlation!$J$30,"")</f>
        <v/>
      </c>
      <c r="AY51" s="5">
        <f>IF(AND(AV51,ISNUMBER(correlation!$F$30)),AX51*correlation!$F$30+correlation!$G$30,"")</f>
        <v/>
      </c>
      <c r="AZ51" s="5">
        <f>IF(AND(AV51,ISNUMBER(AY51)),(AW51-AY51)^2,"")</f>
        <v/>
      </c>
      <c r="BA51" s="5">
        <f>IF(AV51,1+SUMPRODUCT(--(calc!$AV$3:$AV$132=TRUE),--(calc!$AW$3:$AW$132&gt;AW51))+(SUMPRODUCT(--(calc!$AV$3:$AV$132=TRUE),--(calc!$AW$3:$AW$132=AW51))-1)/2,"")</f>
        <v/>
      </c>
      <c r="BB51" s="5">
        <f>IF(AV51,1+SUMPRODUCT(--(calc!$AV$3:$AV$132=TRUE),--(calc!$AX$3:$AX$132&gt;AX51))+(SUMPRODUCT(--(calc!$AV$3:$AV$132=TRUE),--(calc!$AX$3:$AX$132=AX51))-1)/2,"")</f>
        <v/>
      </c>
      <c r="BC51" s="5">
        <f>IF(AV51,SUMPRODUCT(--(calc!$AV$3:$AV$132=TRUE),--(ROW(calc!$AV$3:$AV$132)&gt;ROW(AV51)),--(((calc!$BA$3:$BA$132&gt;BA51)*(calc!$BB$3:$BB$132&gt;BB51)+(calc!$BA$3:$BA$132&lt;BA51)*(calc!$BB$3:$BB$132&lt;BB51))&gt;0))-SUMPRODUCT(--(calc!$AV$3:$AV$132=TRUE),--(ROW(calc!$AV$3:$AV$132)&gt;ROW(AV51)),--(((calc!$BA$3:$BA$132&gt;BA51)*(calc!$BB$3:$BB$132&lt;BB51)+(calc!$BA$3:$BA$132&lt;BA51)*(calc!$BB$3:$BB$132&gt;BB51))&gt;0)),0)</f>
        <v/>
      </c>
      <c r="BD51" s="5">
        <f>IF(mos_metrics!L50="","",mos_metrics!L50)</f>
        <v/>
      </c>
      <c r="BE51" s="2">
        <f>AND($J51,ISNUMBER(BD51),correlation!$I$31=1)</f>
        <v/>
      </c>
      <c r="BF51" s="5">
        <f>IF(BE51,$F51,"")</f>
        <v/>
      </c>
      <c r="BG51" s="5">
        <f>IF(BE51,BD51*correlation!$J$31,"")</f>
        <v/>
      </c>
      <c r="BH51" s="5">
        <f>IF(AND(BE51,ISNUMBER(correlation!$F$31)),BG51*correlation!$F$31+correlation!$G$31,"")</f>
        <v/>
      </c>
      <c r="BI51" s="5">
        <f>IF(AND(BE51,ISNUMBER(BH51)),(BF51-BH51)^2,"")</f>
        <v/>
      </c>
      <c r="BJ51" s="5">
        <f>IF(BE51,1+SUMPRODUCT(--(calc!$BE$3:$BE$132=TRUE),--(calc!$BF$3:$BF$132&gt;BF51))+(SUMPRODUCT(--(calc!$BE$3:$BE$132=TRUE),--(calc!$BF$3:$BF$132=BF51))-1)/2,"")</f>
        <v/>
      </c>
      <c r="BK51" s="5">
        <f>IF(BE51,1+SUMPRODUCT(--(calc!$BE$3:$BE$132=TRUE),--(calc!$BG$3:$BG$132&gt;BG51))+(SUMPRODUCT(--(calc!$BE$3:$BE$132=TRUE),--(calc!$BG$3:$BG$132=BG51))-1)/2,"")</f>
        <v/>
      </c>
      <c r="BL51" s="5">
        <f>IF(BE51,SUMPRODUCT(--(calc!$BE$3:$BE$132=TRUE),--(ROW(calc!$BE$3:$BE$132)&gt;ROW(BE51)),--(((calc!$BJ$3:$BJ$132&gt;BJ51)*(calc!$BK$3:$BK$132&gt;BK51)+(calc!$BJ$3:$BJ$132&lt;BJ51)*(calc!$BK$3:$BK$132&lt;BK51))&gt;0))-SUMPRODUCT(--(calc!$BE$3:$BE$132=TRUE),--(ROW(calc!$BE$3:$BE$132)&gt;ROW(BE51)),--(((calc!$BJ$3:$BJ$132&gt;BJ51)*(calc!$BK$3:$BK$132&lt;BK51)+(calc!$BJ$3:$BJ$132&lt;BJ51)*(calc!$BK$3:$BK$132&gt;BK51))&gt;0)),0)</f>
        <v/>
      </c>
      <c r="BM51" s="5">
        <f>IF(mos_metrics!M50="","",mos_metrics!M50)</f>
        <v/>
      </c>
      <c r="BN51" s="2">
        <f>AND($J51,ISNUMBER(BM51),correlation!$I$32=1)</f>
        <v/>
      </c>
      <c r="BO51" s="5">
        <f>IF(BN51,$F51,"")</f>
        <v/>
      </c>
      <c r="BP51" s="5">
        <f>IF(BN51,BM51*correlation!$J$32,"")</f>
        <v/>
      </c>
      <c r="BQ51" s="5">
        <f>IF(AND(BN51,ISNUMBER(correlation!$F$32)),BP51*correlation!$F$32+correlation!$G$32,"")</f>
        <v/>
      </c>
      <c r="BR51" s="5">
        <f>IF(AND(BN51,ISNUMBER(BQ51)),(BO51-BQ51)^2,"")</f>
        <v/>
      </c>
      <c r="BS51" s="5">
        <f>IF(BN51,1+SUMPRODUCT(--(calc!$BN$3:$BN$132=TRUE),--(calc!$BO$3:$BO$132&gt;BO51))+(SUMPRODUCT(--(calc!$BN$3:$BN$132=TRUE),--(calc!$BO$3:$BO$132=BO51))-1)/2,"")</f>
        <v/>
      </c>
      <c r="BT51" s="5">
        <f>IF(BN51,1+SUMPRODUCT(--(calc!$BN$3:$BN$132=TRUE),--(calc!$BP$3:$BP$132&gt;BP51))+(SUMPRODUCT(--(calc!$BN$3:$BN$132=TRUE),--(calc!$BP$3:$BP$132=BP51))-1)/2,"")</f>
        <v/>
      </c>
      <c r="BU51" s="5">
        <f>IF(BN51,SUMPRODUCT(--(calc!$BN$3:$BN$132=TRUE),--(ROW(calc!$BN$3:$BN$132)&gt;ROW(BN51)),--(((calc!$BS$3:$BS$132&gt;BS51)*(calc!$BT$3:$BT$132&gt;BT51)+(calc!$BS$3:$BS$132&lt;BS51)*(calc!$BT$3:$BT$132&lt;BT51))&gt;0))-SUMPRODUCT(--(calc!$BN$3:$BN$132=TRUE),--(ROW(calc!$BN$3:$BN$132)&gt;ROW(BN51)),--(((calc!$BS$3:$BS$132&gt;BS51)*(calc!$BT$3:$BT$132&lt;BT51)+(calc!$BS$3:$BS$132&lt;BS51)*(calc!$BT$3:$BT$132&gt;BT51))&gt;0)),0)</f>
        <v/>
      </c>
    </row>
    <row r="52">
      <c r="A52" s="2">
        <f>mos_metrics!A51</f>
        <v/>
      </c>
      <c r="B52" s="2">
        <f>mos_metrics!B51</f>
        <v/>
      </c>
      <c r="C52" s="2">
        <f>mos_metrics!C51</f>
        <v/>
      </c>
      <c r="D52" s="2">
        <f>mos_metrics!D51</f>
        <v/>
      </c>
      <c r="E52" s="2">
        <f>mos_metrics!E51</f>
        <v/>
      </c>
      <c r="F52" s="2">
        <f>mos_metrics!F51</f>
        <v/>
      </c>
      <c r="G52" s="2">
        <f>IF($B52="","",IFERROR(VLOOKUP($B52,correlation!$A$2:$B$12,2,FALSE),1))</f>
        <v/>
      </c>
      <c r="H52" s="2">
        <f>IF($E52="","",IFERROR(VLOOKUP($E52,correlation!$D$2:$E$8,2,FALSE),1))</f>
        <v/>
      </c>
      <c r="I52" s="2">
        <f>ISNUMBER($F52)</f>
        <v/>
      </c>
      <c r="J52" s="2">
        <f>AND($G52=1,$H52=1,$I52)</f>
        <v/>
      </c>
      <c r="K52" s="5">
        <f>IF(mos_metrics!G51="","",mos_metrics!G51)</f>
        <v/>
      </c>
      <c r="L52" s="2">
        <f>AND($J52,ISNUMBER(K52),correlation!$I$26=1)</f>
        <v/>
      </c>
      <c r="M52" s="5">
        <f>IF(L52,$F52,"")</f>
        <v/>
      </c>
      <c r="N52" s="5">
        <f>IF(L52,K52*correlation!$J$26,"")</f>
        <v/>
      </c>
      <c r="O52" s="5">
        <f>IF(AND(L52,ISNUMBER(correlation!$F$26)),N52*correlation!$F$26+correlation!$G$26,"")</f>
        <v/>
      </c>
      <c r="P52" s="5">
        <f>IF(AND(L52,ISNUMBER(O52)),(M52-O52)^2,"")</f>
        <v/>
      </c>
      <c r="Q52" s="5">
        <f>IF(L52,1+SUMPRODUCT(--(calc!$L$3:$L$132=TRUE),--(calc!$M$3:$M$132&gt;M52))+(SUMPRODUCT(--(calc!$L$3:$L$132=TRUE),--(calc!$M$3:$M$132=M52))-1)/2,"")</f>
        <v/>
      </c>
      <c r="R52" s="5">
        <f>IF(L52,1+SUMPRODUCT(--(calc!$L$3:$L$132=TRUE),--(calc!$N$3:$N$132&gt;N52))+(SUMPRODUCT(--(calc!$L$3:$L$132=TRUE),--(calc!$N$3:$N$132=N52))-1)/2,"")</f>
        <v/>
      </c>
      <c r="S52" s="5">
        <f>IF(L52,SUMPRODUCT(--(calc!$L$3:$L$132=TRUE),--(ROW(calc!$L$3:$L$132)&gt;ROW(L52)),--(((calc!$Q$3:$Q$132&gt;Q52)*(calc!$R$3:$R$132&gt;R52)+(calc!$Q$3:$Q$132&lt;Q52)*(calc!$R$3:$R$132&lt;R52))&gt;0))-SUMPRODUCT(--(calc!$L$3:$L$132=TRUE),--(ROW(calc!$L$3:$L$132)&gt;ROW(L52)),--(((calc!$Q$3:$Q$132&gt;Q52)*(calc!$R$3:$R$132&lt;R52)+(calc!$Q$3:$Q$132&lt;Q52)*(calc!$R$3:$R$132&gt;R52))&gt;0)),0)</f>
        <v/>
      </c>
      <c r="T52" s="5">
        <f>IF(mos_metrics!H51="","",mos_metrics!H51)</f>
        <v/>
      </c>
      <c r="U52" s="2">
        <f>AND($J52,ISNUMBER(T52),correlation!$I$27=1)</f>
        <v/>
      </c>
      <c r="V52" s="5">
        <f>IF(U52,$F52,"")</f>
        <v/>
      </c>
      <c r="W52" s="5">
        <f>IF(U52,T52*correlation!$J$27,"")</f>
        <v/>
      </c>
      <c r="X52" s="5">
        <f>IF(AND(U52,ISNUMBER(correlation!$F$27)),W52*correlation!$F$27+correlation!$G$27,"")</f>
        <v/>
      </c>
      <c r="Y52" s="5">
        <f>IF(AND(U52,ISNUMBER(X52)),(V52-X52)^2,"")</f>
        <v/>
      </c>
      <c r="Z52" s="5">
        <f>IF(U52,1+SUMPRODUCT(--(calc!$U$3:$U$132=TRUE),--(calc!$V$3:$V$132&gt;V52))+(SUMPRODUCT(--(calc!$U$3:$U$132=TRUE),--(calc!$V$3:$V$132=V52))-1)/2,"")</f>
        <v/>
      </c>
      <c r="AA52" s="5">
        <f>IF(U52,1+SUMPRODUCT(--(calc!$U$3:$U$132=TRUE),--(calc!$W$3:$W$132&gt;W52))+(SUMPRODUCT(--(calc!$U$3:$U$132=TRUE),--(calc!$W$3:$W$132=W52))-1)/2,"")</f>
        <v/>
      </c>
      <c r="AB52" s="5">
        <f>IF(U52,SUMPRODUCT(--(calc!$U$3:$U$132=TRUE),--(ROW(calc!$U$3:$U$132)&gt;ROW(U52)),--(((calc!$Z$3:$Z$132&gt;Z52)*(calc!$AA$3:$AA$132&gt;AA52)+(calc!$Z$3:$Z$132&lt;Z52)*(calc!$AA$3:$AA$132&lt;AA52))&gt;0))-SUMPRODUCT(--(calc!$U$3:$U$132=TRUE),--(ROW(calc!$U$3:$U$132)&gt;ROW(U52)),--(((calc!$Z$3:$Z$132&gt;Z52)*(calc!$AA$3:$AA$132&lt;AA52)+(calc!$Z$3:$Z$132&lt;Z52)*(calc!$AA$3:$AA$132&gt;AA52))&gt;0)),0)</f>
        <v/>
      </c>
      <c r="AC52" s="5">
        <f>IF(mos_metrics!I51="","",mos_metrics!I51)</f>
        <v/>
      </c>
      <c r="AD52" s="2">
        <f>AND($J52,ISNUMBER(AC52),correlation!$I$28=1)</f>
        <v/>
      </c>
      <c r="AE52" s="5">
        <f>IF(AD52,$F52,"")</f>
        <v/>
      </c>
      <c r="AF52" s="5">
        <f>IF(AD52,AC52*correlation!$J$28,"")</f>
        <v/>
      </c>
      <c r="AG52" s="5">
        <f>IF(AND(AD52,ISNUMBER(correlation!$F$28)),AF52*correlation!$F$28+correlation!$G$28,"")</f>
        <v/>
      </c>
      <c r="AH52" s="5">
        <f>IF(AND(AD52,ISNUMBER(AG52)),(AE52-AG52)^2,"")</f>
        <v/>
      </c>
      <c r="AI52" s="5">
        <f>IF(AD52,1+SUMPRODUCT(--(calc!$AD$3:$AD$132=TRUE),--(calc!$AE$3:$AE$132&gt;AE52))+(SUMPRODUCT(--(calc!$AD$3:$AD$132=TRUE),--(calc!$AE$3:$AE$132=AE52))-1)/2,"")</f>
        <v/>
      </c>
      <c r="AJ52" s="5">
        <f>IF(AD52,1+SUMPRODUCT(--(calc!$AD$3:$AD$132=TRUE),--(calc!$AF$3:$AF$132&gt;AF52))+(SUMPRODUCT(--(calc!$AD$3:$AD$132=TRUE),--(calc!$AF$3:$AF$132=AF52))-1)/2,"")</f>
        <v/>
      </c>
      <c r="AK52" s="5">
        <f>IF(AD52,SUMPRODUCT(--(calc!$AD$3:$AD$132=TRUE),--(ROW(calc!$AD$3:$AD$132)&gt;ROW(AD52)),--(((calc!$AI$3:$AI$132&gt;AI52)*(calc!$AJ$3:$AJ$132&gt;AJ52)+(calc!$AI$3:$AI$132&lt;AI52)*(calc!$AJ$3:$AJ$132&lt;AJ52))&gt;0))-SUMPRODUCT(--(calc!$AD$3:$AD$132=TRUE),--(ROW(calc!$AD$3:$AD$132)&gt;ROW(AD52)),--(((calc!$AI$3:$AI$132&gt;AI52)*(calc!$AJ$3:$AJ$132&lt;AJ52)+(calc!$AI$3:$AI$132&lt;AI52)*(calc!$AJ$3:$AJ$132&gt;AJ52))&gt;0)),0)</f>
        <v/>
      </c>
      <c r="AL52" s="5">
        <f>IF(mos_metrics!J51="","",mos_metrics!J51)</f>
        <v/>
      </c>
      <c r="AM52" s="2">
        <f>AND($J52,ISNUMBER(AL52),correlation!$I$29=1)</f>
        <v/>
      </c>
      <c r="AN52" s="5">
        <f>IF(AM52,$F52,"")</f>
        <v/>
      </c>
      <c r="AO52" s="5">
        <f>IF(AM52,AL52*correlation!$J$29,"")</f>
        <v/>
      </c>
      <c r="AP52" s="5">
        <f>IF(AND(AM52,ISNUMBER(correlation!$F$29)),AO52*correlation!$F$29+correlation!$G$29,"")</f>
        <v/>
      </c>
      <c r="AQ52" s="5">
        <f>IF(AND(AM52,ISNUMBER(AP52)),(AN52-AP52)^2,"")</f>
        <v/>
      </c>
      <c r="AR52" s="5">
        <f>IF(AM52,1+SUMPRODUCT(--(calc!$AM$3:$AM$132=TRUE),--(calc!$AN$3:$AN$132&gt;AN52))+(SUMPRODUCT(--(calc!$AM$3:$AM$132=TRUE),--(calc!$AN$3:$AN$132=AN52))-1)/2,"")</f>
        <v/>
      </c>
      <c r="AS52" s="5">
        <f>IF(AM52,1+SUMPRODUCT(--(calc!$AM$3:$AM$132=TRUE),--(calc!$AO$3:$AO$132&gt;AO52))+(SUMPRODUCT(--(calc!$AM$3:$AM$132=TRUE),--(calc!$AO$3:$AO$132=AO52))-1)/2,"")</f>
        <v/>
      </c>
      <c r="AT52" s="5">
        <f>IF(AM52,SUMPRODUCT(--(calc!$AM$3:$AM$132=TRUE),--(ROW(calc!$AM$3:$AM$132)&gt;ROW(AM52)),--(((calc!$AR$3:$AR$132&gt;AR52)*(calc!$AS$3:$AS$132&gt;AS52)+(calc!$AR$3:$AR$132&lt;AR52)*(calc!$AS$3:$AS$132&lt;AS52))&gt;0))-SUMPRODUCT(--(calc!$AM$3:$AM$132=TRUE),--(ROW(calc!$AM$3:$AM$132)&gt;ROW(AM52)),--(((calc!$AR$3:$AR$132&gt;AR52)*(calc!$AS$3:$AS$132&lt;AS52)+(calc!$AR$3:$AR$132&lt;AR52)*(calc!$AS$3:$AS$132&gt;AS52))&gt;0)),0)</f>
        <v/>
      </c>
      <c r="AU52" s="5">
        <f>IF(mos_metrics!K51="","",mos_metrics!K51)</f>
        <v/>
      </c>
      <c r="AV52" s="2">
        <f>AND($J52,ISNUMBER(AU52),correlation!$I$30=1)</f>
        <v/>
      </c>
      <c r="AW52" s="5">
        <f>IF(AV52,$F52,"")</f>
        <v/>
      </c>
      <c r="AX52" s="5">
        <f>IF(AV52,AU52*correlation!$J$30,"")</f>
        <v/>
      </c>
      <c r="AY52" s="5">
        <f>IF(AND(AV52,ISNUMBER(correlation!$F$30)),AX52*correlation!$F$30+correlation!$G$30,"")</f>
        <v/>
      </c>
      <c r="AZ52" s="5">
        <f>IF(AND(AV52,ISNUMBER(AY52)),(AW52-AY52)^2,"")</f>
        <v/>
      </c>
      <c r="BA52" s="5">
        <f>IF(AV52,1+SUMPRODUCT(--(calc!$AV$3:$AV$132=TRUE),--(calc!$AW$3:$AW$132&gt;AW52))+(SUMPRODUCT(--(calc!$AV$3:$AV$132=TRUE),--(calc!$AW$3:$AW$132=AW52))-1)/2,"")</f>
        <v/>
      </c>
      <c r="BB52" s="5">
        <f>IF(AV52,1+SUMPRODUCT(--(calc!$AV$3:$AV$132=TRUE),--(calc!$AX$3:$AX$132&gt;AX52))+(SUMPRODUCT(--(calc!$AV$3:$AV$132=TRUE),--(calc!$AX$3:$AX$132=AX52))-1)/2,"")</f>
        <v/>
      </c>
      <c r="BC52" s="5">
        <f>IF(AV52,SUMPRODUCT(--(calc!$AV$3:$AV$132=TRUE),--(ROW(calc!$AV$3:$AV$132)&gt;ROW(AV52)),--(((calc!$BA$3:$BA$132&gt;BA52)*(calc!$BB$3:$BB$132&gt;BB52)+(calc!$BA$3:$BA$132&lt;BA52)*(calc!$BB$3:$BB$132&lt;BB52))&gt;0))-SUMPRODUCT(--(calc!$AV$3:$AV$132=TRUE),--(ROW(calc!$AV$3:$AV$132)&gt;ROW(AV52)),--(((calc!$BA$3:$BA$132&gt;BA52)*(calc!$BB$3:$BB$132&lt;BB52)+(calc!$BA$3:$BA$132&lt;BA52)*(calc!$BB$3:$BB$132&gt;BB52))&gt;0)),0)</f>
        <v/>
      </c>
      <c r="BD52" s="5">
        <f>IF(mos_metrics!L51="","",mos_metrics!L51)</f>
        <v/>
      </c>
      <c r="BE52" s="2">
        <f>AND($J52,ISNUMBER(BD52),correlation!$I$31=1)</f>
        <v/>
      </c>
      <c r="BF52" s="5">
        <f>IF(BE52,$F52,"")</f>
        <v/>
      </c>
      <c r="BG52" s="5">
        <f>IF(BE52,BD52*correlation!$J$31,"")</f>
        <v/>
      </c>
      <c r="BH52" s="5">
        <f>IF(AND(BE52,ISNUMBER(correlation!$F$31)),BG52*correlation!$F$31+correlation!$G$31,"")</f>
        <v/>
      </c>
      <c r="BI52" s="5">
        <f>IF(AND(BE52,ISNUMBER(BH52)),(BF52-BH52)^2,"")</f>
        <v/>
      </c>
      <c r="BJ52" s="5">
        <f>IF(BE52,1+SUMPRODUCT(--(calc!$BE$3:$BE$132=TRUE),--(calc!$BF$3:$BF$132&gt;BF52))+(SUMPRODUCT(--(calc!$BE$3:$BE$132=TRUE),--(calc!$BF$3:$BF$132=BF52))-1)/2,"")</f>
        <v/>
      </c>
      <c r="BK52" s="5">
        <f>IF(BE52,1+SUMPRODUCT(--(calc!$BE$3:$BE$132=TRUE),--(calc!$BG$3:$BG$132&gt;BG52))+(SUMPRODUCT(--(calc!$BE$3:$BE$132=TRUE),--(calc!$BG$3:$BG$132=BG52))-1)/2,"")</f>
        <v/>
      </c>
      <c r="BL52" s="5">
        <f>IF(BE52,SUMPRODUCT(--(calc!$BE$3:$BE$132=TRUE),--(ROW(calc!$BE$3:$BE$132)&gt;ROW(BE52)),--(((calc!$BJ$3:$BJ$132&gt;BJ52)*(calc!$BK$3:$BK$132&gt;BK52)+(calc!$BJ$3:$BJ$132&lt;BJ52)*(calc!$BK$3:$BK$132&lt;BK52))&gt;0))-SUMPRODUCT(--(calc!$BE$3:$BE$132=TRUE),--(ROW(calc!$BE$3:$BE$132)&gt;ROW(BE52)),--(((calc!$BJ$3:$BJ$132&gt;BJ52)*(calc!$BK$3:$BK$132&lt;BK52)+(calc!$BJ$3:$BJ$132&lt;BJ52)*(calc!$BK$3:$BK$132&gt;BK52))&gt;0)),0)</f>
        <v/>
      </c>
      <c r="BM52" s="5">
        <f>IF(mos_metrics!M51="","",mos_metrics!M51)</f>
        <v/>
      </c>
      <c r="BN52" s="2">
        <f>AND($J52,ISNUMBER(BM52),correlation!$I$32=1)</f>
        <v/>
      </c>
      <c r="BO52" s="5">
        <f>IF(BN52,$F52,"")</f>
        <v/>
      </c>
      <c r="BP52" s="5">
        <f>IF(BN52,BM52*correlation!$J$32,"")</f>
        <v/>
      </c>
      <c r="BQ52" s="5">
        <f>IF(AND(BN52,ISNUMBER(correlation!$F$32)),BP52*correlation!$F$32+correlation!$G$32,"")</f>
        <v/>
      </c>
      <c r="BR52" s="5">
        <f>IF(AND(BN52,ISNUMBER(BQ52)),(BO52-BQ52)^2,"")</f>
        <v/>
      </c>
      <c r="BS52" s="5">
        <f>IF(BN52,1+SUMPRODUCT(--(calc!$BN$3:$BN$132=TRUE),--(calc!$BO$3:$BO$132&gt;BO52))+(SUMPRODUCT(--(calc!$BN$3:$BN$132=TRUE),--(calc!$BO$3:$BO$132=BO52))-1)/2,"")</f>
        <v/>
      </c>
      <c r="BT52" s="5">
        <f>IF(BN52,1+SUMPRODUCT(--(calc!$BN$3:$BN$132=TRUE),--(calc!$BP$3:$BP$132&gt;BP52))+(SUMPRODUCT(--(calc!$BN$3:$BN$132=TRUE),--(calc!$BP$3:$BP$132=BP52))-1)/2,"")</f>
        <v/>
      </c>
      <c r="BU52" s="5">
        <f>IF(BN52,SUMPRODUCT(--(calc!$BN$3:$BN$132=TRUE),--(ROW(calc!$BN$3:$BN$132)&gt;ROW(BN52)),--(((calc!$BS$3:$BS$132&gt;BS52)*(calc!$BT$3:$BT$132&gt;BT52)+(calc!$BS$3:$BS$132&lt;BS52)*(calc!$BT$3:$BT$132&lt;BT52))&gt;0))-SUMPRODUCT(--(calc!$BN$3:$BN$132=TRUE),--(ROW(calc!$BN$3:$BN$132)&gt;ROW(BN52)),--(((calc!$BS$3:$BS$132&gt;BS52)*(calc!$BT$3:$BT$132&lt;BT52)+(calc!$BS$3:$BS$132&lt;BS52)*(calc!$BT$3:$BT$132&gt;BT52))&gt;0)),0)</f>
        <v/>
      </c>
    </row>
    <row r="53">
      <c r="A53" s="2">
        <f>mos_metrics!A52</f>
        <v/>
      </c>
      <c r="B53" s="2">
        <f>mos_metrics!B52</f>
        <v/>
      </c>
      <c r="C53" s="2">
        <f>mos_metrics!C52</f>
        <v/>
      </c>
      <c r="D53" s="2">
        <f>mos_metrics!D52</f>
        <v/>
      </c>
      <c r="E53" s="2">
        <f>mos_metrics!E52</f>
        <v/>
      </c>
      <c r="F53" s="2">
        <f>mos_metrics!F52</f>
        <v/>
      </c>
      <c r="G53" s="2">
        <f>IF($B53="","",IFERROR(VLOOKUP($B53,correlation!$A$2:$B$12,2,FALSE),1))</f>
        <v/>
      </c>
      <c r="H53" s="2">
        <f>IF($E53="","",IFERROR(VLOOKUP($E53,correlation!$D$2:$E$8,2,FALSE),1))</f>
        <v/>
      </c>
      <c r="I53" s="2">
        <f>ISNUMBER($F53)</f>
        <v/>
      </c>
      <c r="J53" s="2">
        <f>AND($G53=1,$H53=1,$I53)</f>
        <v/>
      </c>
      <c r="K53" s="5">
        <f>IF(mos_metrics!G52="","",mos_metrics!G52)</f>
        <v/>
      </c>
      <c r="L53" s="2">
        <f>AND($J53,ISNUMBER(K53),correlation!$I$26=1)</f>
        <v/>
      </c>
      <c r="M53" s="5">
        <f>IF(L53,$F53,"")</f>
        <v/>
      </c>
      <c r="N53" s="5">
        <f>IF(L53,K53*correlation!$J$26,"")</f>
        <v/>
      </c>
      <c r="O53" s="5">
        <f>IF(AND(L53,ISNUMBER(correlation!$F$26)),N53*correlation!$F$26+correlation!$G$26,"")</f>
        <v/>
      </c>
      <c r="P53" s="5">
        <f>IF(AND(L53,ISNUMBER(O53)),(M53-O53)^2,"")</f>
        <v/>
      </c>
      <c r="Q53" s="5">
        <f>IF(L53,1+SUMPRODUCT(--(calc!$L$3:$L$132=TRUE),--(calc!$M$3:$M$132&gt;M53))+(SUMPRODUCT(--(calc!$L$3:$L$132=TRUE),--(calc!$M$3:$M$132=M53))-1)/2,"")</f>
        <v/>
      </c>
      <c r="R53" s="5">
        <f>IF(L53,1+SUMPRODUCT(--(calc!$L$3:$L$132=TRUE),--(calc!$N$3:$N$132&gt;N53))+(SUMPRODUCT(--(calc!$L$3:$L$132=TRUE),--(calc!$N$3:$N$132=N53))-1)/2,"")</f>
        <v/>
      </c>
      <c r="S53" s="5">
        <f>IF(L53,SUMPRODUCT(--(calc!$L$3:$L$132=TRUE),--(ROW(calc!$L$3:$L$132)&gt;ROW(L53)),--(((calc!$Q$3:$Q$132&gt;Q53)*(calc!$R$3:$R$132&gt;R53)+(calc!$Q$3:$Q$132&lt;Q53)*(calc!$R$3:$R$132&lt;R53))&gt;0))-SUMPRODUCT(--(calc!$L$3:$L$132=TRUE),--(ROW(calc!$L$3:$L$132)&gt;ROW(L53)),--(((calc!$Q$3:$Q$132&gt;Q53)*(calc!$R$3:$R$132&lt;R53)+(calc!$Q$3:$Q$132&lt;Q53)*(calc!$R$3:$R$132&gt;R53))&gt;0)),0)</f>
        <v/>
      </c>
      <c r="T53" s="5">
        <f>IF(mos_metrics!H52="","",mos_metrics!H52)</f>
        <v/>
      </c>
      <c r="U53" s="2">
        <f>AND($J53,ISNUMBER(T53),correlation!$I$27=1)</f>
        <v/>
      </c>
      <c r="V53" s="5">
        <f>IF(U53,$F53,"")</f>
        <v/>
      </c>
      <c r="W53" s="5">
        <f>IF(U53,T53*correlation!$J$27,"")</f>
        <v/>
      </c>
      <c r="X53" s="5">
        <f>IF(AND(U53,ISNUMBER(correlation!$F$27)),W53*correlation!$F$27+correlation!$G$27,"")</f>
        <v/>
      </c>
      <c r="Y53" s="5">
        <f>IF(AND(U53,ISNUMBER(X53)),(V53-X53)^2,"")</f>
        <v/>
      </c>
      <c r="Z53" s="5">
        <f>IF(U53,1+SUMPRODUCT(--(calc!$U$3:$U$132=TRUE),--(calc!$V$3:$V$132&gt;V53))+(SUMPRODUCT(--(calc!$U$3:$U$132=TRUE),--(calc!$V$3:$V$132=V53))-1)/2,"")</f>
        <v/>
      </c>
      <c r="AA53" s="5">
        <f>IF(U53,1+SUMPRODUCT(--(calc!$U$3:$U$132=TRUE),--(calc!$W$3:$W$132&gt;W53))+(SUMPRODUCT(--(calc!$U$3:$U$132=TRUE),--(calc!$W$3:$W$132=W53))-1)/2,"")</f>
        <v/>
      </c>
      <c r="AB53" s="5">
        <f>IF(U53,SUMPRODUCT(--(calc!$U$3:$U$132=TRUE),--(ROW(calc!$U$3:$U$132)&gt;ROW(U53)),--(((calc!$Z$3:$Z$132&gt;Z53)*(calc!$AA$3:$AA$132&gt;AA53)+(calc!$Z$3:$Z$132&lt;Z53)*(calc!$AA$3:$AA$132&lt;AA53))&gt;0))-SUMPRODUCT(--(calc!$U$3:$U$132=TRUE),--(ROW(calc!$U$3:$U$132)&gt;ROW(U53)),--(((calc!$Z$3:$Z$132&gt;Z53)*(calc!$AA$3:$AA$132&lt;AA53)+(calc!$Z$3:$Z$132&lt;Z53)*(calc!$AA$3:$AA$132&gt;AA53))&gt;0)),0)</f>
        <v/>
      </c>
      <c r="AC53" s="5">
        <f>IF(mos_metrics!I52="","",mos_metrics!I52)</f>
        <v/>
      </c>
      <c r="AD53" s="2">
        <f>AND($J53,ISNUMBER(AC53),correlation!$I$28=1)</f>
        <v/>
      </c>
      <c r="AE53" s="5">
        <f>IF(AD53,$F53,"")</f>
        <v/>
      </c>
      <c r="AF53" s="5">
        <f>IF(AD53,AC53*correlation!$J$28,"")</f>
        <v/>
      </c>
      <c r="AG53" s="5">
        <f>IF(AND(AD53,ISNUMBER(correlation!$F$28)),AF53*correlation!$F$28+correlation!$G$28,"")</f>
        <v/>
      </c>
      <c r="AH53" s="5">
        <f>IF(AND(AD53,ISNUMBER(AG53)),(AE53-AG53)^2,"")</f>
        <v/>
      </c>
      <c r="AI53" s="5">
        <f>IF(AD53,1+SUMPRODUCT(--(calc!$AD$3:$AD$132=TRUE),--(calc!$AE$3:$AE$132&gt;AE53))+(SUMPRODUCT(--(calc!$AD$3:$AD$132=TRUE),--(calc!$AE$3:$AE$132=AE53))-1)/2,"")</f>
        <v/>
      </c>
      <c r="AJ53" s="5">
        <f>IF(AD53,1+SUMPRODUCT(--(calc!$AD$3:$AD$132=TRUE),--(calc!$AF$3:$AF$132&gt;AF53))+(SUMPRODUCT(--(calc!$AD$3:$AD$132=TRUE),--(calc!$AF$3:$AF$132=AF53))-1)/2,"")</f>
        <v/>
      </c>
      <c r="AK53" s="5">
        <f>IF(AD53,SUMPRODUCT(--(calc!$AD$3:$AD$132=TRUE),--(ROW(calc!$AD$3:$AD$132)&gt;ROW(AD53)),--(((calc!$AI$3:$AI$132&gt;AI53)*(calc!$AJ$3:$AJ$132&gt;AJ53)+(calc!$AI$3:$AI$132&lt;AI53)*(calc!$AJ$3:$AJ$132&lt;AJ53))&gt;0))-SUMPRODUCT(--(calc!$AD$3:$AD$132=TRUE),--(ROW(calc!$AD$3:$AD$132)&gt;ROW(AD53)),--(((calc!$AI$3:$AI$132&gt;AI53)*(calc!$AJ$3:$AJ$132&lt;AJ53)+(calc!$AI$3:$AI$132&lt;AI53)*(calc!$AJ$3:$AJ$132&gt;AJ53))&gt;0)),0)</f>
        <v/>
      </c>
      <c r="AL53" s="5">
        <f>IF(mos_metrics!J52="","",mos_metrics!J52)</f>
        <v/>
      </c>
      <c r="AM53" s="2">
        <f>AND($J53,ISNUMBER(AL53),correlation!$I$29=1)</f>
        <v/>
      </c>
      <c r="AN53" s="5">
        <f>IF(AM53,$F53,"")</f>
        <v/>
      </c>
      <c r="AO53" s="5">
        <f>IF(AM53,AL53*correlation!$J$29,"")</f>
        <v/>
      </c>
      <c r="AP53" s="5">
        <f>IF(AND(AM53,ISNUMBER(correlation!$F$29)),AO53*correlation!$F$29+correlation!$G$29,"")</f>
        <v/>
      </c>
      <c r="AQ53" s="5">
        <f>IF(AND(AM53,ISNUMBER(AP53)),(AN53-AP53)^2,"")</f>
        <v/>
      </c>
      <c r="AR53" s="5">
        <f>IF(AM53,1+SUMPRODUCT(--(calc!$AM$3:$AM$132=TRUE),--(calc!$AN$3:$AN$132&gt;AN53))+(SUMPRODUCT(--(calc!$AM$3:$AM$132=TRUE),--(calc!$AN$3:$AN$132=AN53))-1)/2,"")</f>
        <v/>
      </c>
      <c r="AS53" s="5">
        <f>IF(AM53,1+SUMPRODUCT(--(calc!$AM$3:$AM$132=TRUE),--(calc!$AO$3:$AO$132&gt;AO53))+(SUMPRODUCT(--(calc!$AM$3:$AM$132=TRUE),--(calc!$AO$3:$AO$132=AO53))-1)/2,"")</f>
        <v/>
      </c>
      <c r="AT53" s="5">
        <f>IF(AM53,SUMPRODUCT(--(calc!$AM$3:$AM$132=TRUE),--(ROW(calc!$AM$3:$AM$132)&gt;ROW(AM53)),--(((calc!$AR$3:$AR$132&gt;AR53)*(calc!$AS$3:$AS$132&gt;AS53)+(calc!$AR$3:$AR$132&lt;AR53)*(calc!$AS$3:$AS$132&lt;AS53))&gt;0))-SUMPRODUCT(--(calc!$AM$3:$AM$132=TRUE),--(ROW(calc!$AM$3:$AM$132)&gt;ROW(AM53)),--(((calc!$AR$3:$AR$132&gt;AR53)*(calc!$AS$3:$AS$132&lt;AS53)+(calc!$AR$3:$AR$132&lt;AR53)*(calc!$AS$3:$AS$132&gt;AS53))&gt;0)),0)</f>
        <v/>
      </c>
      <c r="AU53" s="5">
        <f>IF(mos_metrics!K52="","",mos_metrics!K52)</f>
        <v/>
      </c>
      <c r="AV53" s="2">
        <f>AND($J53,ISNUMBER(AU53),correlation!$I$30=1)</f>
        <v/>
      </c>
      <c r="AW53" s="5">
        <f>IF(AV53,$F53,"")</f>
        <v/>
      </c>
      <c r="AX53" s="5">
        <f>IF(AV53,AU53*correlation!$J$30,"")</f>
        <v/>
      </c>
      <c r="AY53" s="5">
        <f>IF(AND(AV53,ISNUMBER(correlation!$F$30)),AX53*correlation!$F$30+correlation!$G$30,"")</f>
        <v/>
      </c>
      <c r="AZ53" s="5">
        <f>IF(AND(AV53,ISNUMBER(AY53)),(AW53-AY53)^2,"")</f>
        <v/>
      </c>
      <c r="BA53" s="5">
        <f>IF(AV53,1+SUMPRODUCT(--(calc!$AV$3:$AV$132=TRUE),--(calc!$AW$3:$AW$132&gt;AW53))+(SUMPRODUCT(--(calc!$AV$3:$AV$132=TRUE),--(calc!$AW$3:$AW$132=AW53))-1)/2,"")</f>
        <v/>
      </c>
      <c r="BB53" s="5">
        <f>IF(AV53,1+SUMPRODUCT(--(calc!$AV$3:$AV$132=TRUE),--(calc!$AX$3:$AX$132&gt;AX53))+(SUMPRODUCT(--(calc!$AV$3:$AV$132=TRUE),--(calc!$AX$3:$AX$132=AX53))-1)/2,"")</f>
        <v/>
      </c>
      <c r="BC53" s="5">
        <f>IF(AV53,SUMPRODUCT(--(calc!$AV$3:$AV$132=TRUE),--(ROW(calc!$AV$3:$AV$132)&gt;ROW(AV53)),--(((calc!$BA$3:$BA$132&gt;BA53)*(calc!$BB$3:$BB$132&gt;BB53)+(calc!$BA$3:$BA$132&lt;BA53)*(calc!$BB$3:$BB$132&lt;BB53))&gt;0))-SUMPRODUCT(--(calc!$AV$3:$AV$132=TRUE),--(ROW(calc!$AV$3:$AV$132)&gt;ROW(AV53)),--(((calc!$BA$3:$BA$132&gt;BA53)*(calc!$BB$3:$BB$132&lt;BB53)+(calc!$BA$3:$BA$132&lt;BA53)*(calc!$BB$3:$BB$132&gt;BB53))&gt;0)),0)</f>
        <v/>
      </c>
      <c r="BD53" s="5">
        <f>IF(mos_metrics!L52="","",mos_metrics!L52)</f>
        <v/>
      </c>
      <c r="BE53" s="2">
        <f>AND($J53,ISNUMBER(BD53),correlation!$I$31=1)</f>
        <v/>
      </c>
      <c r="BF53" s="5">
        <f>IF(BE53,$F53,"")</f>
        <v/>
      </c>
      <c r="BG53" s="5">
        <f>IF(BE53,BD53*correlation!$J$31,"")</f>
        <v/>
      </c>
      <c r="BH53" s="5">
        <f>IF(AND(BE53,ISNUMBER(correlation!$F$31)),BG53*correlation!$F$31+correlation!$G$31,"")</f>
        <v/>
      </c>
      <c r="BI53" s="5">
        <f>IF(AND(BE53,ISNUMBER(BH53)),(BF53-BH53)^2,"")</f>
        <v/>
      </c>
      <c r="BJ53" s="5">
        <f>IF(BE53,1+SUMPRODUCT(--(calc!$BE$3:$BE$132=TRUE),--(calc!$BF$3:$BF$132&gt;BF53))+(SUMPRODUCT(--(calc!$BE$3:$BE$132=TRUE),--(calc!$BF$3:$BF$132=BF53))-1)/2,"")</f>
        <v/>
      </c>
      <c r="BK53" s="5">
        <f>IF(BE53,1+SUMPRODUCT(--(calc!$BE$3:$BE$132=TRUE),--(calc!$BG$3:$BG$132&gt;BG53))+(SUMPRODUCT(--(calc!$BE$3:$BE$132=TRUE),--(calc!$BG$3:$BG$132=BG53))-1)/2,"")</f>
        <v/>
      </c>
      <c r="BL53" s="5">
        <f>IF(BE53,SUMPRODUCT(--(calc!$BE$3:$BE$132=TRUE),--(ROW(calc!$BE$3:$BE$132)&gt;ROW(BE53)),--(((calc!$BJ$3:$BJ$132&gt;BJ53)*(calc!$BK$3:$BK$132&gt;BK53)+(calc!$BJ$3:$BJ$132&lt;BJ53)*(calc!$BK$3:$BK$132&lt;BK53))&gt;0))-SUMPRODUCT(--(calc!$BE$3:$BE$132=TRUE),--(ROW(calc!$BE$3:$BE$132)&gt;ROW(BE53)),--(((calc!$BJ$3:$BJ$132&gt;BJ53)*(calc!$BK$3:$BK$132&lt;BK53)+(calc!$BJ$3:$BJ$132&lt;BJ53)*(calc!$BK$3:$BK$132&gt;BK53))&gt;0)),0)</f>
        <v/>
      </c>
      <c r="BM53" s="5">
        <f>IF(mos_metrics!M52="","",mos_metrics!M52)</f>
        <v/>
      </c>
      <c r="BN53" s="2">
        <f>AND($J53,ISNUMBER(BM53),correlation!$I$32=1)</f>
        <v/>
      </c>
      <c r="BO53" s="5">
        <f>IF(BN53,$F53,"")</f>
        <v/>
      </c>
      <c r="BP53" s="5">
        <f>IF(BN53,BM53*correlation!$J$32,"")</f>
        <v/>
      </c>
      <c r="BQ53" s="5">
        <f>IF(AND(BN53,ISNUMBER(correlation!$F$32)),BP53*correlation!$F$32+correlation!$G$32,"")</f>
        <v/>
      </c>
      <c r="BR53" s="5">
        <f>IF(AND(BN53,ISNUMBER(BQ53)),(BO53-BQ53)^2,"")</f>
        <v/>
      </c>
      <c r="BS53" s="5">
        <f>IF(BN53,1+SUMPRODUCT(--(calc!$BN$3:$BN$132=TRUE),--(calc!$BO$3:$BO$132&gt;BO53))+(SUMPRODUCT(--(calc!$BN$3:$BN$132=TRUE),--(calc!$BO$3:$BO$132=BO53))-1)/2,"")</f>
        <v/>
      </c>
      <c r="BT53" s="5">
        <f>IF(BN53,1+SUMPRODUCT(--(calc!$BN$3:$BN$132=TRUE),--(calc!$BP$3:$BP$132&gt;BP53))+(SUMPRODUCT(--(calc!$BN$3:$BN$132=TRUE),--(calc!$BP$3:$BP$132=BP53))-1)/2,"")</f>
        <v/>
      </c>
      <c r="BU53" s="5">
        <f>IF(BN53,SUMPRODUCT(--(calc!$BN$3:$BN$132=TRUE),--(ROW(calc!$BN$3:$BN$132)&gt;ROW(BN53)),--(((calc!$BS$3:$BS$132&gt;BS53)*(calc!$BT$3:$BT$132&gt;BT53)+(calc!$BS$3:$BS$132&lt;BS53)*(calc!$BT$3:$BT$132&lt;BT53))&gt;0))-SUMPRODUCT(--(calc!$BN$3:$BN$132=TRUE),--(ROW(calc!$BN$3:$BN$132)&gt;ROW(BN53)),--(((calc!$BS$3:$BS$132&gt;BS53)*(calc!$BT$3:$BT$132&lt;BT53)+(calc!$BS$3:$BS$132&lt;BS53)*(calc!$BT$3:$BT$132&gt;BT53))&gt;0)),0)</f>
        <v/>
      </c>
    </row>
    <row r="54">
      <c r="A54" s="2">
        <f>mos_metrics!A53</f>
        <v/>
      </c>
      <c r="B54" s="2">
        <f>mos_metrics!B53</f>
        <v/>
      </c>
      <c r="C54" s="2">
        <f>mos_metrics!C53</f>
        <v/>
      </c>
      <c r="D54" s="2">
        <f>mos_metrics!D53</f>
        <v/>
      </c>
      <c r="E54" s="2">
        <f>mos_metrics!E53</f>
        <v/>
      </c>
      <c r="F54" s="2">
        <f>mos_metrics!F53</f>
        <v/>
      </c>
      <c r="G54" s="2">
        <f>IF($B54="","",IFERROR(VLOOKUP($B54,correlation!$A$2:$B$12,2,FALSE),1))</f>
        <v/>
      </c>
      <c r="H54" s="2">
        <f>IF($E54="","",IFERROR(VLOOKUP($E54,correlation!$D$2:$E$8,2,FALSE),1))</f>
        <v/>
      </c>
      <c r="I54" s="2">
        <f>ISNUMBER($F54)</f>
        <v/>
      </c>
      <c r="J54" s="2">
        <f>AND($G54=1,$H54=1,$I54)</f>
        <v/>
      </c>
      <c r="K54" s="5">
        <f>IF(mos_metrics!G53="","",mos_metrics!G53)</f>
        <v/>
      </c>
      <c r="L54" s="2">
        <f>AND($J54,ISNUMBER(K54),correlation!$I$26=1)</f>
        <v/>
      </c>
      <c r="M54" s="5">
        <f>IF(L54,$F54,"")</f>
        <v/>
      </c>
      <c r="N54" s="5">
        <f>IF(L54,K54*correlation!$J$26,"")</f>
        <v/>
      </c>
      <c r="O54" s="5">
        <f>IF(AND(L54,ISNUMBER(correlation!$F$26)),N54*correlation!$F$26+correlation!$G$26,"")</f>
        <v/>
      </c>
      <c r="P54" s="5">
        <f>IF(AND(L54,ISNUMBER(O54)),(M54-O54)^2,"")</f>
        <v/>
      </c>
      <c r="Q54" s="5">
        <f>IF(L54,1+SUMPRODUCT(--(calc!$L$3:$L$132=TRUE),--(calc!$M$3:$M$132&gt;M54))+(SUMPRODUCT(--(calc!$L$3:$L$132=TRUE),--(calc!$M$3:$M$132=M54))-1)/2,"")</f>
        <v/>
      </c>
      <c r="R54" s="5">
        <f>IF(L54,1+SUMPRODUCT(--(calc!$L$3:$L$132=TRUE),--(calc!$N$3:$N$132&gt;N54))+(SUMPRODUCT(--(calc!$L$3:$L$132=TRUE),--(calc!$N$3:$N$132=N54))-1)/2,"")</f>
        <v/>
      </c>
      <c r="S54" s="5">
        <f>IF(L54,SUMPRODUCT(--(calc!$L$3:$L$132=TRUE),--(ROW(calc!$L$3:$L$132)&gt;ROW(L54)),--(((calc!$Q$3:$Q$132&gt;Q54)*(calc!$R$3:$R$132&gt;R54)+(calc!$Q$3:$Q$132&lt;Q54)*(calc!$R$3:$R$132&lt;R54))&gt;0))-SUMPRODUCT(--(calc!$L$3:$L$132=TRUE),--(ROW(calc!$L$3:$L$132)&gt;ROW(L54)),--(((calc!$Q$3:$Q$132&gt;Q54)*(calc!$R$3:$R$132&lt;R54)+(calc!$Q$3:$Q$132&lt;Q54)*(calc!$R$3:$R$132&gt;R54))&gt;0)),0)</f>
        <v/>
      </c>
      <c r="T54" s="5">
        <f>IF(mos_metrics!H53="","",mos_metrics!H53)</f>
        <v/>
      </c>
      <c r="U54" s="2">
        <f>AND($J54,ISNUMBER(T54),correlation!$I$27=1)</f>
        <v/>
      </c>
      <c r="V54" s="5">
        <f>IF(U54,$F54,"")</f>
        <v/>
      </c>
      <c r="W54" s="5">
        <f>IF(U54,T54*correlation!$J$27,"")</f>
        <v/>
      </c>
      <c r="X54" s="5">
        <f>IF(AND(U54,ISNUMBER(correlation!$F$27)),W54*correlation!$F$27+correlation!$G$27,"")</f>
        <v/>
      </c>
      <c r="Y54" s="5">
        <f>IF(AND(U54,ISNUMBER(X54)),(V54-X54)^2,"")</f>
        <v/>
      </c>
      <c r="Z54" s="5">
        <f>IF(U54,1+SUMPRODUCT(--(calc!$U$3:$U$132=TRUE),--(calc!$V$3:$V$132&gt;V54))+(SUMPRODUCT(--(calc!$U$3:$U$132=TRUE),--(calc!$V$3:$V$132=V54))-1)/2,"")</f>
        <v/>
      </c>
      <c r="AA54" s="5">
        <f>IF(U54,1+SUMPRODUCT(--(calc!$U$3:$U$132=TRUE),--(calc!$W$3:$W$132&gt;W54))+(SUMPRODUCT(--(calc!$U$3:$U$132=TRUE),--(calc!$W$3:$W$132=W54))-1)/2,"")</f>
        <v/>
      </c>
      <c r="AB54" s="5">
        <f>IF(U54,SUMPRODUCT(--(calc!$U$3:$U$132=TRUE),--(ROW(calc!$U$3:$U$132)&gt;ROW(U54)),--(((calc!$Z$3:$Z$132&gt;Z54)*(calc!$AA$3:$AA$132&gt;AA54)+(calc!$Z$3:$Z$132&lt;Z54)*(calc!$AA$3:$AA$132&lt;AA54))&gt;0))-SUMPRODUCT(--(calc!$U$3:$U$132=TRUE),--(ROW(calc!$U$3:$U$132)&gt;ROW(U54)),--(((calc!$Z$3:$Z$132&gt;Z54)*(calc!$AA$3:$AA$132&lt;AA54)+(calc!$Z$3:$Z$132&lt;Z54)*(calc!$AA$3:$AA$132&gt;AA54))&gt;0)),0)</f>
        <v/>
      </c>
      <c r="AC54" s="5">
        <f>IF(mos_metrics!I53="","",mos_metrics!I53)</f>
        <v/>
      </c>
      <c r="AD54" s="2">
        <f>AND($J54,ISNUMBER(AC54),correlation!$I$28=1)</f>
        <v/>
      </c>
      <c r="AE54" s="5">
        <f>IF(AD54,$F54,"")</f>
        <v/>
      </c>
      <c r="AF54" s="5">
        <f>IF(AD54,AC54*correlation!$J$28,"")</f>
        <v/>
      </c>
      <c r="AG54" s="5">
        <f>IF(AND(AD54,ISNUMBER(correlation!$F$28)),AF54*correlation!$F$28+correlation!$G$28,"")</f>
        <v/>
      </c>
      <c r="AH54" s="5">
        <f>IF(AND(AD54,ISNUMBER(AG54)),(AE54-AG54)^2,"")</f>
        <v/>
      </c>
      <c r="AI54" s="5">
        <f>IF(AD54,1+SUMPRODUCT(--(calc!$AD$3:$AD$132=TRUE),--(calc!$AE$3:$AE$132&gt;AE54))+(SUMPRODUCT(--(calc!$AD$3:$AD$132=TRUE),--(calc!$AE$3:$AE$132=AE54))-1)/2,"")</f>
        <v/>
      </c>
      <c r="AJ54" s="5">
        <f>IF(AD54,1+SUMPRODUCT(--(calc!$AD$3:$AD$132=TRUE),--(calc!$AF$3:$AF$132&gt;AF54))+(SUMPRODUCT(--(calc!$AD$3:$AD$132=TRUE),--(calc!$AF$3:$AF$132=AF54))-1)/2,"")</f>
        <v/>
      </c>
      <c r="AK54" s="5">
        <f>IF(AD54,SUMPRODUCT(--(calc!$AD$3:$AD$132=TRUE),--(ROW(calc!$AD$3:$AD$132)&gt;ROW(AD54)),--(((calc!$AI$3:$AI$132&gt;AI54)*(calc!$AJ$3:$AJ$132&gt;AJ54)+(calc!$AI$3:$AI$132&lt;AI54)*(calc!$AJ$3:$AJ$132&lt;AJ54))&gt;0))-SUMPRODUCT(--(calc!$AD$3:$AD$132=TRUE),--(ROW(calc!$AD$3:$AD$132)&gt;ROW(AD54)),--(((calc!$AI$3:$AI$132&gt;AI54)*(calc!$AJ$3:$AJ$132&lt;AJ54)+(calc!$AI$3:$AI$132&lt;AI54)*(calc!$AJ$3:$AJ$132&gt;AJ54))&gt;0)),0)</f>
        <v/>
      </c>
      <c r="AL54" s="5">
        <f>IF(mos_metrics!J53="","",mos_metrics!J53)</f>
        <v/>
      </c>
      <c r="AM54" s="2">
        <f>AND($J54,ISNUMBER(AL54),correlation!$I$29=1)</f>
        <v/>
      </c>
      <c r="AN54" s="5">
        <f>IF(AM54,$F54,"")</f>
        <v/>
      </c>
      <c r="AO54" s="5">
        <f>IF(AM54,AL54*correlation!$J$29,"")</f>
        <v/>
      </c>
      <c r="AP54" s="5">
        <f>IF(AND(AM54,ISNUMBER(correlation!$F$29)),AO54*correlation!$F$29+correlation!$G$29,"")</f>
        <v/>
      </c>
      <c r="AQ54" s="5">
        <f>IF(AND(AM54,ISNUMBER(AP54)),(AN54-AP54)^2,"")</f>
        <v/>
      </c>
      <c r="AR54" s="5">
        <f>IF(AM54,1+SUMPRODUCT(--(calc!$AM$3:$AM$132=TRUE),--(calc!$AN$3:$AN$132&gt;AN54))+(SUMPRODUCT(--(calc!$AM$3:$AM$132=TRUE),--(calc!$AN$3:$AN$132=AN54))-1)/2,"")</f>
        <v/>
      </c>
      <c r="AS54" s="5">
        <f>IF(AM54,1+SUMPRODUCT(--(calc!$AM$3:$AM$132=TRUE),--(calc!$AO$3:$AO$132&gt;AO54))+(SUMPRODUCT(--(calc!$AM$3:$AM$132=TRUE),--(calc!$AO$3:$AO$132=AO54))-1)/2,"")</f>
        <v/>
      </c>
      <c r="AT54" s="5">
        <f>IF(AM54,SUMPRODUCT(--(calc!$AM$3:$AM$132=TRUE),--(ROW(calc!$AM$3:$AM$132)&gt;ROW(AM54)),--(((calc!$AR$3:$AR$132&gt;AR54)*(calc!$AS$3:$AS$132&gt;AS54)+(calc!$AR$3:$AR$132&lt;AR54)*(calc!$AS$3:$AS$132&lt;AS54))&gt;0))-SUMPRODUCT(--(calc!$AM$3:$AM$132=TRUE),--(ROW(calc!$AM$3:$AM$132)&gt;ROW(AM54)),--(((calc!$AR$3:$AR$132&gt;AR54)*(calc!$AS$3:$AS$132&lt;AS54)+(calc!$AR$3:$AR$132&lt;AR54)*(calc!$AS$3:$AS$132&gt;AS54))&gt;0)),0)</f>
        <v/>
      </c>
      <c r="AU54" s="5">
        <f>IF(mos_metrics!K53="","",mos_metrics!K53)</f>
        <v/>
      </c>
      <c r="AV54" s="2">
        <f>AND($J54,ISNUMBER(AU54),correlation!$I$30=1)</f>
        <v/>
      </c>
      <c r="AW54" s="5">
        <f>IF(AV54,$F54,"")</f>
        <v/>
      </c>
      <c r="AX54" s="5">
        <f>IF(AV54,AU54*correlation!$J$30,"")</f>
        <v/>
      </c>
      <c r="AY54" s="5">
        <f>IF(AND(AV54,ISNUMBER(correlation!$F$30)),AX54*correlation!$F$30+correlation!$G$30,"")</f>
        <v/>
      </c>
      <c r="AZ54" s="5">
        <f>IF(AND(AV54,ISNUMBER(AY54)),(AW54-AY54)^2,"")</f>
        <v/>
      </c>
      <c r="BA54" s="5">
        <f>IF(AV54,1+SUMPRODUCT(--(calc!$AV$3:$AV$132=TRUE),--(calc!$AW$3:$AW$132&gt;AW54))+(SUMPRODUCT(--(calc!$AV$3:$AV$132=TRUE),--(calc!$AW$3:$AW$132=AW54))-1)/2,"")</f>
        <v/>
      </c>
      <c r="BB54" s="5">
        <f>IF(AV54,1+SUMPRODUCT(--(calc!$AV$3:$AV$132=TRUE),--(calc!$AX$3:$AX$132&gt;AX54))+(SUMPRODUCT(--(calc!$AV$3:$AV$132=TRUE),--(calc!$AX$3:$AX$132=AX54))-1)/2,"")</f>
        <v/>
      </c>
      <c r="BC54" s="5">
        <f>IF(AV54,SUMPRODUCT(--(calc!$AV$3:$AV$132=TRUE),--(ROW(calc!$AV$3:$AV$132)&gt;ROW(AV54)),--(((calc!$BA$3:$BA$132&gt;BA54)*(calc!$BB$3:$BB$132&gt;BB54)+(calc!$BA$3:$BA$132&lt;BA54)*(calc!$BB$3:$BB$132&lt;BB54))&gt;0))-SUMPRODUCT(--(calc!$AV$3:$AV$132=TRUE),--(ROW(calc!$AV$3:$AV$132)&gt;ROW(AV54)),--(((calc!$BA$3:$BA$132&gt;BA54)*(calc!$BB$3:$BB$132&lt;BB54)+(calc!$BA$3:$BA$132&lt;BA54)*(calc!$BB$3:$BB$132&gt;BB54))&gt;0)),0)</f>
        <v/>
      </c>
      <c r="BD54" s="5">
        <f>IF(mos_metrics!L53="","",mos_metrics!L53)</f>
        <v/>
      </c>
      <c r="BE54" s="2">
        <f>AND($J54,ISNUMBER(BD54),correlation!$I$31=1)</f>
        <v/>
      </c>
      <c r="BF54" s="5">
        <f>IF(BE54,$F54,"")</f>
        <v/>
      </c>
      <c r="BG54" s="5">
        <f>IF(BE54,BD54*correlation!$J$31,"")</f>
        <v/>
      </c>
      <c r="BH54" s="5">
        <f>IF(AND(BE54,ISNUMBER(correlation!$F$31)),BG54*correlation!$F$31+correlation!$G$31,"")</f>
        <v/>
      </c>
      <c r="BI54" s="5">
        <f>IF(AND(BE54,ISNUMBER(BH54)),(BF54-BH54)^2,"")</f>
        <v/>
      </c>
      <c r="BJ54" s="5">
        <f>IF(BE54,1+SUMPRODUCT(--(calc!$BE$3:$BE$132=TRUE),--(calc!$BF$3:$BF$132&gt;BF54))+(SUMPRODUCT(--(calc!$BE$3:$BE$132=TRUE),--(calc!$BF$3:$BF$132=BF54))-1)/2,"")</f>
        <v/>
      </c>
      <c r="BK54" s="5">
        <f>IF(BE54,1+SUMPRODUCT(--(calc!$BE$3:$BE$132=TRUE),--(calc!$BG$3:$BG$132&gt;BG54))+(SUMPRODUCT(--(calc!$BE$3:$BE$132=TRUE),--(calc!$BG$3:$BG$132=BG54))-1)/2,"")</f>
        <v/>
      </c>
      <c r="BL54" s="5">
        <f>IF(BE54,SUMPRODUCT(--(calc!$BE$3:$BE$132=TRUE),--(ROW(calc!$BE$3:$BE$132)&gt;ROW(BE54)),--(((calc!$BJ$3:$BJ$132&gt;BJ54)*(calc!$BK$3:$BK$132&gt;BK54)+(calc!$BJ$3:$BJ$132&lt;BJ54)*(calc!$BK$3:$BK$132&lt;BK54))&gt;0))-SUMPRODUCT(--(calc!$BE$3:$BE$132=TRUE),--(ROW(calc!$BE$3:$BE$132)&gt;ROW(BE54)),--(((calc!$BJ$3:$BJ$132&gt;BJ54)*(calc!$BK$3:$BK$132&lt;BK54)+(calc!$BJ$3:$BJ$132&lt;BJ54)*(calc!$BK$3:$BK$132&gt;BK54))&gt;0)),0)</f>
        <v/>
      </c>
      <c r="BM54" s="5">
        <f>IF(mos_metrics!M53="","",mos_metrics!M53)</f>
        <v/>
      </c>
      <c r="BN54" s="2">
        <f>AND($J54,ISNUMBER(BM54),correlation!$I$32=1)</f>
        <v/>
      </c>
      <c r="BO54" s="5">
        <f>IF(BN54,$F54,"")</f>
        <v/>
      </c>
      <c r="BP54" s="5">
        <f>IF(BN54,BM54*correlation!$J$32,"")</f>
        <v/>
      </c>
      <c r="BQ54" s="5">
        <f>IF(AND(BN54,ISNUMBER(correlation!$F$32)),BP54*correlation!$F$32+correlation!$G$32,"")</f>
        <v/>
      </c>
      <c r="BR54" s="5">
        <f>IF(AND(BN54,ISNUMBER(BQ54)),(BO54-BQ54)^2,"")</f>
        <v/>
      </c>
      <c r="BS54" s="5">
        <f>IF(BN54,1+SUMPRODUCT(--(calc!$BN$3:$BN$132=TRUE),--(calc!$BO$3:$BO$132&gt;BO54))+(SUMPRODUCT(--(calc!$BN$3:$BN$132=TRUE),--(calc!$BO$3:$BO$132=BO54))-1)/2,"")</f>
        <v/>
      </c>
      <c r="BT54" s="5">
        <f>IF(BN54,1+SUMPRODUCT(--(calc!$BN$3:$BN$132=TRUE),--(calc!$BP$3:$BP$132&gt;BP54))+(SUMPRODUCT(--(calc!$BN$3:$BN$132=TRUE),--(calc!$BP$3:$BP$132=BP54))-1)/2,"")</f>
        <v/>
      </c>
      <c r="BU54" s="5">
        <f>IF(BN54,SUMPRODUCT(--(calc!$BN$3:$BN$132=TRUE),--(ROW(calc!$BN$3:$BN$132)&gt;ROW(BN54)),--(((calc!$BS$3:$BS$132&gt;BS54)*(calc!$BT$3:$BT$132&gt;BT54)+(calc!$BS$3:$BS$132&lt;BS54)*(calc!$BT$3:$BT$132&lt;BT54))&gt;0))-SUMPRODUCT(--(calc!$BN$3:$BN$132=TRUE),--(ROW(calc!$BN$3:$BN$132)&gt;ROW(BN54)),--(((calc!$BS$3:$BS$132&gt;BS54)*(calc!$BT$3:$BT$132&lt;BT54)+(calc!$BS$3:$BS$132&lt;BS54)*(calc!$BT$3:$BT$132&gt;BT54))&gt;0)),0)</f>
        <v/>
      </c>
    </row>
    <row r="55">
      <c r="A55" s="2">
        <f>mos_metrics!A54</f>
        <v/>
      </c>
      <c r="B55" s="2">
        <f>mos_metrics!B54</f>
        <v/>
      </c>
      <c r="C55" s="2">
        <f>mos_metrics!C54</f>
        <v/>
      </c>
      <c r="D55" s="2">
        <f>mos_metrics!D54</f>
        <v/>
      </c>
      <c r="E55" s="2">
        <f>mos_metrics!E54</f>
        <v/>
      </c>
      <c r="F55" s="2">
        <f>mos_metrics!F54</f>
        <v/>
      </c>
      <c r="G55" s="2">
        <f>IF($B55="","",IFERROR(VLOOKUP($B55,correlation!$A$2:$B$12,2,FALSE),1))</f>
        <v/>
      </c>
      <c r="H55" s="2">
        <f>IF($E55="","",IFERROR(VLOOKUP($E55,correlation!$D$2:$E$8,2,FALSE),1))</f>
        <v/>
      </c>
      <c r="I55" s="2">
        <f>ISNUMBER($F55)</f>
        <v/>
      </c>
      <c r="J55" s="2">
        <f>AND($G55=1,$H55=1,$I55)</f>
        <v/>
      </c>
      <c r="K55" s="5">
        <f>IF(mos_metrics!G54="","",mos_metrics!G54)</f>
        <v/>
      </c>
      <c r="L55" s="2">
        <f>AND($J55,ISNUMBER(K55),correlation!$I$26=1)</f>
        <v/>
      </c>
      <c r="M55" s="5">
        <f>IF(L55,$F55,"")</f>
        <v/>
      </c>
      <c r="N55" s="5">
        <f>IF(L55,K55*correlation!$J$26,"")</f>
        <v/>
      </c>
      <c r="O55" s="5">
        <f>IF(AND(L55,ISNUMBER(correlation!$F$26)),N55*correlation!$F$26+correlation!$G$26,"")</f>
        <v/>
      </c>
      <c r="P55" s="5">
        <f>IF(AND(L55,ISNUMBER(O55)),(M55-O55)^2,"")</f>
        <v/>
      </c>
      <c r="Q55" s="5">
        <f>IF(L55,1+SUMPRODUCT(--(calc!$L$3:$L$132=TRUE),--(calc!$M$3:$M$132&gt;M55))+(SUMPRODUCT(--(calc!$L$3:$L$132=TRUE),--(calc!$M$3:$M$132=M55))-1)/2,"")</f>
        <v/>
      </c>
      <c r="R55" s="5">
        <f>IF(L55,1+SUMPRODUCT(--(calc!$L$3:$L$132=TRUE),--(calc!$N$3:$N$132&gt;N55))+(SUMPRODUCT(--(calc!$L$3:$L$132=TRUE),--(calc!$N$3:$N$132=N55))-1)/2,"")</f>
        <v/>
      </c>
      <c r="S55" s="5">
        <f>IF(L55,SUMPRODUCT(--(calc!$L$3:$L$132=TRUE),--(ROW(calc!$L$3:$L$132)&gt;ROW(L55)),--(((calc!$Q$3:$Q$132&gt;Q55)*(calc!$R$3:$R$132&gt;R55)+(calc!$Q$3:$Q$132&lt;Q55)*(calc!$R$3:$R$132&lt;R55))&gt;0))-SUMPRODUCT(--(calc!$L$3:$L$132=TRUE),--(ROW(calc!$L$3:$L$132)&gt;ROW(L55)),--(((calc!$Q$3:$Q$132&gt;Q55)*(calc!$R$3:$R$132&lt;R55)+(calc!$Q$3:$Q$132&lt;Q55)*(calc!$R$3:$R$132&gt;R55))&gt;0)),0)</f>
        <v/>
      </c>
      <c r="T55" s="5">
        <f>IF(mos_metrics!H54="","",mos_metrics!H54)</f>
        <v/>
      </c>
      <c r="U55" s="2">
        <f>AND($J55,ISNUMBER(T55),correlation!$I$27=1)</f>
        <v/>
      </c>
      <c r="V55" s="5">
        <f>IF(U55,$F55,"")</f>
        <v/>
      </c>
      <c r="W55" s="5">
        <f>IF(U55,T55*correlation!$J$27,"")</f>
        <v/>
      </c>
      <c r="X55" s="5">
        <f>IF(AND(U55,ISNUMBER(correlation!$F$27)),W55*correlation!$F$27+correlation!$G$27,"")</f>
        <v/>
      </c>
      <c r="Y55" s="5">
        <f>IF(AND(U55,ISNUMBER(X55)),(V55-X55)^2,"")</f>
        <v/>
      </c>
      <c r="Z55" s="5">
        <f>IF(U55,1+SUMPRODUCT(--(calc!$U$3:$U$132=TRUE),--(calc!$V$3:$V$132&gt;V55))+(SUMPRODUCT(--(calc!$U$3:$U$132=TRUE),--(calc!$V$3:$V$132=V55))-1)/2,"")</f>
        <v/>
      </c>
      <c r="AA55" s="5">
        <f>IF(U55,1+SUMPRODUCT(--(calc!$U$3:$U$132=TRUE),--(calc!$W$3:$W$132&gt;W55))+(SUMPRODUCT(--(calc!$U$3:$U$132=TRUE),--(calc!$W$3:$W$132=W55))-1)/2,"")</f>
        <v/>
      </c>
      <c r="AB55" s="5">
        <f>IF(U55,SUMPRODUCT(--(calc!$U$3:$U$132=TRUE),--(ROW(calc!$U$3:$U$132)&gt;ROW(U55)),--(((calc!$Z$3:$Z$132&gt;Z55)*(calc!$AA$3:$AA$132&gt;AA55)+(calc!$Z$3:$Z$132&lt;Z55)*(calc!$AA$3:$AA$132&lt;AA55))&gt;0))-SUMPRODUCT(--(calc!$U$3:$U$132=TRUE),--(ROW(calc!$U$3:$U$132)&gt;ROW(U55)),--(((calc!$Z$3:$Z$132&gt;Z55)*(calc!$AA$3:$AA$132&lt;AA55)+(calc!$Z$3:$Z$132&lt;Z55)*(calc!$AA$3:$AA$132&gt;AA55))&gt;0)),0)</f>
        <v/>
      </c>
      <c r="AC55" s="5">
        <f>IF(mos_metrics!I54="","",mos_metrics!I54)</f>
        <v/>
      </c>
      <c r="AD55" s="2">
        <f>AND($J55,ISNUMBER(AC55),correlation!$I$28=1)</f>
        <v/>
      </c>
      <c r="AE55" s="5">
        <f>IF(AD55,$F55,"")</f>
        <v/>
      </c>
      <c r="AF55" s="5">
        <f>IF(AD55,AC55*correlation!$J$28,"")</f>
        <v/>
      </c>
      <c r="AG55" s="5">
        <f>IF(AND(AD55,ISNUMBER(correlation!$F$28)),AF55*correlation!$F$28+correlation!$G$28,"")</f>
        <v/>
      </c>
      <c r="AH55" s="5">
        <f>IF(AND(AD55,ISNUMBER(AG55)),(AE55-AG55)^2,"")</f>
        <v/>
      </c>
      <c r="AI55" s="5">
        <f>IF(AD55,1+SUMPRODUCT(--(calc!$AD$3:$AD$132=TRUE),--(calc!$AE$3:$AE$132&gt;AE55))+(SUMPRODUCT(--(calc!$AD$3:$AD$132=TRUE),--(calc!$AE$3:$AE$132=AE55))-1)/2,"")</f>
        <v/>
      </c>
      <c r="AJ55" s="5">
        <f>IF(AD55,1+SUMPRODUCT(--(calc!$AD$3:$AD$132=TRUE),--(calc!$AF$3:$AF$132&gt;AF55))+(SUMPRODUCT(--(calc!$AD$3:$AD$132=TRUE),--(calc!$AF$3:$AF$132=AF55))-1)/2,"")</f>
        <v/>
      </c>
      <c r="AK55" s="5">
        <f>IF(AD55,SUMPRODUCT(--(calc!$AD$3:$AD$132=TRUE),--(ROW(calc!$AD$3:$AD$132)&gt;ROW(AD55)),--(((calc!$AI$3:$AI$132&gt;AI55)*(calc!$AJ$3:$AJ$132&gt;AJ55)+(calc!$AI$3:$AI$132&lt;AI55)*(calc!$AJ$3:$AJ$132&lt;AJ55))&gt;0))-SUMPRODUCT(--(calc!$AD$3:$AD$132=TRUE),--(ROW(calc!$AD$3:$AD$132)&gt;ROW(AD55)),--(((calc!$AI$3:$AI$132&gt;AI55)*(calc!$AJ$3:$AJ$132&lt;AJ55)+(calc!$AI$3:$AI$132&lt;AI55)*(calc!$AJ$3:$AJ$132&gt;AJ55))&gt;0)),0)</f>
        <v/>
      </c>
      <c r="AL55" s="5">
        <f>IF(mos_metrics!J54="","",mos_metrics!J54)</f>
        <v/>
      </c>
      <c r="AM55" s="2">
        <f>AND($J55,ISNUMBER(AL55),correlation!$I$29=1)</f>
        <v/>
      </c>
      <c r="AN55" s="5">
        <f>IF(AM55,$F55,"")</f>
        <v/>
      </c>
      <c r="AO55" s="5">
        <f>IF(AM55,AL55*correlation!$J$29,"")</f>
        <v/>
      </c>
      <c r="AP55" s="5">
        <f>IF(AND(AM55,ISNUMBER(correlation!$F$29)),AO55*correlation!$F$29+correlation!$G$29,"")</f>
        <v/>
      </c>
      <c r="AQ55" s="5">
        <f>IF(AND(AM55,ISNUMBER(AP55)),(AN55-AP55)^2,"")</f>
        <v/>
      </c>
      <c r="AR55" s="5">
        <f>IF(AM55,1+SUMPRODUCT(--(calc!$AM$3:$AM$132=TRUE),--(calc!$AN$3:$AN$132&gt;AN55))+(SUMPRODUCT(--(calc!$AM$3:$AM$132=TRUE),--(calc!$AN$3:$AN$132=AN55))-1)/2,"")</f>
        <v/>
      </c>
      <c r="AS55" s="5">
        <f>IF(AM55,1+SUMPRODUCT(--(calc!$AM$3:$AM$132=TRUE),--(calc!$AO$3:$AO$132&gt;AO55))+(SUMPRODUCT(--(calc!$AM$3:$AM$132=TRUE),--(calc!$AO$3:$AO$132=AO55))-1)/2,"")</f>
        <v/>
      </c>
      <c r="AT55" s="5">
        <f>IF(AM55,SUMPRODUCT(--(calc!$AM$3:$AM$132=TRUE),--(ROW(calc!$AM$3:$AM$132)&gt;ROW(AM55)),--(((calc!$AR$3:$AR$132&gt;AR55)*(calc!$AS$3:$AS$132&gt;AS55)+(calc!$AR$3:$AR$132&lt;AR55)*(calc!$AS$3:$AS$132&lt;AS55))&gt;0))-SUMPRODUCT(--(calc!$AM$3:$AM$132=TRUE),--(ROW(calc!$AM$3:$AM$132)&gt;ROW(AM55)),--(((calc!$AR$3:$AR$132&gt;AR55)*(calc!$AS$3:$AS$132&lt;AS55)+(calc!$AR$3:$AR$132&lt;AR55)*(calc!$AS$3:$AS$132&gt;AS55))&gt;0)),0)</f>
        <v/>
      </c>
      <c r="AU55" s="5">
        <f>IF(mos_metrics!K54="","",mos_metrics!K54)</f>
        <v/>
      </c>
      <c r="AV55" s="2">
        <f>AND($J55,ISNUMBER(AU55),correlation!$I$30=1)</f>
        <v/>
      </c>
      <c r="AW55" s="5">
        <f>IF(AV55,$F55,"")</f>
        <v/>
      </c>
      <c r="AX55" s="5">
        <f>IF(AV55,AU55*correlation!$J$30,"")</f>
        <v/>
      </c>
      <c r="AY55" s="5">
        <f>IF(AND(AV55,ISNUMBER(correlation!$F$30)),AX55*correlation!$F$30+correlation!$G$30,"")</f>
        <v/>
      </c>
      <c r="AZ55" s="5">
        <f>IF(AND(AV55,ISNUMBER(AY55)),(AW55-AY55)^2,"")</f>
        <v/>
      </c>
      <c r="BA55" s="5">
        <f>IF(AV55,1+SUMPRODUCT(--(calc!$AV$3:$AV$132=TRUE),--(calc!$AW$3:$AW$132&gt;AW55))+(SUMPRODUCT(--(calc!$AV$3:$AV$132=TRUE),--(calc!$AW$3:$AW$132=AW55))-1)/2,"")</f>
        <v/>
      </c>
      <c r="BB55" s="5">
        <f>IF(AV55,1+SUMPRODUCT(--(calc!$AV$3:$AV$132=TRUE),--(calc!$AX$3:$AX$132&gt;AX55))+(SUMPRODUCT(--(calc!$AV$3:$AV$132=TRUE),--(calc!$AX$3:$AX$132=AX55))-1)/2,"")</f>
        <v/>
      </c>
      <c r="BC55" s="5">
        <f>IF(AV55,SUMPRODUCT(--(calc!$AV$3:$AV$132=TRUE),--(ROW(calc!$AV$3:$AV$132)&gt;ROW(AV55)),--(((calc!$BA$3:$BA$132&gt;BA55)*(calc!$BB$3:$BB$132&gt;BB55)+(calc!$BA$3:$BA$132&lt;BA55)*(calc!$BB$3:$BB$132&lt;BB55))&gt;0))-SUMPRODUCT(--(calc!$AV$3:$AV$132=TRUE),--(ROW(calc!$AV$3:$AV$132)&gt;ROW(AV55)),--(((calc!$BA$3:$BA$132&gt;BA55)*(calc!$BB$3:$BB$132&lt;BB55)+(calc!$BA$3:$BA$132&lt;BA55)*(calc!$BB$3:$BB$132&gt;BB55))&gt;0)),0)</f>
        <v/>
      </c>
      <c r="BD55" s="5">
        <f>IF(mos_metrics!L54="","",mos_metrics!L54)</f>
        <v/>
      </c>
      <c r="BE55" s="2">
        <f>AND($J55,ISNUMBER(BD55),correlation!$I$31=1)</f>
        <v/>
      </c>
      <c r="BF55" s="5">
        <f>IF(BE55,$F55,"")</f>
        <v/>
      </c>
      <c r="BG55" s="5">
        <f>IF(BE55,BD55*correlation!$J$31,"")</f>
        <v/>
      </c>
      <c r="BH55" s="5">
        <f>IF(AND(BE55,ISNUMBER(correlation!$F$31)),BG55*correlation!$F$31+correlation!$G$31,"")</f>
        <v/>
      </c>
      <c r="BI55" s="5">
        <f>IF(AND(BE55,ISNUMBER(BH55)),(BF55-BH55)^2,"")</f>
        <v/>
      </c>
      <c r="BJ55" s="5">
        <f>IF(BE55,1+SUMPRODUCT(--(calc!$BE$3:$BE$132=TRUE),--(calc!$BF$3:$BF$132&gt;BF55))+(SUMPRODUCT(--(calc!$BE$3:$BE$132=TRUE),--(calc!$BF$3:$BF$132=BF55))-1)/2,"")</f>
        <v/>
      </c>
      <c r="BK55" s="5">
        <f>IF(BE55,1+SUMPRODUCT(--(calc!$BE$3:$BE$132=TRUE),--(calc!$BG$3:$BG$132&gt;BG55))+(SUMPRODUCT(--(calc!$BE$3:$BE$132=TRUE),--(calc!$BG$3:$BG$132=BG55))-1)/2,"")</f>
        <v/>
      </c>
      <c r="BL55" s="5">
        <f>IF(BE55,SUMPRODUCT(--(calc!$BE$3:$BE$132=TRUE),--(ROW(calc!$BE$3:$BE$132)&gt;ROW(BE55)),--(((calc!$BJ$3:$BJ$132&gt;BJ55)*(calc!$BK$3:$BK$132&gt;BK55)+(calc!$BJ$3:$BJ$132&lt;BJ55)*(calc!$BK$3:$BK$132&lt;BK55))&gt;0))-SUMPRODUCT(--(calc!$BE$3:$BE$132=TRUE),--(ROW(calc!$BE$3:$BE$132)&gt;ROW(BE55)),--(((calc!$BJ$3:$BJ$132&gt;BJ55)*(calc!$BK$3:$BK$132&lt;BK55)+(calc!$BJ$3:$BJ$132&lt;BJ55)*(calc!$BK$3:$BK$132&gt;BK55))&gt;0)),0)</f>
        <v/>
      </c>
      <c r="BM55" s="5">
        <f>IF(mos_metrics!M54="","",mos_metrics!M54)</f>
        <v/>
      </c>
      <c r="BN55" s="2">
        <f>AND($J55,ISNUMBER(BM55),correlation!$I$32=1)</f>
        <v/>
      </c>
      <c r="BO55" s="5">
        <f>IF(BN55,$F55,"")</f>
        <v/>
      </c>
      <c r="BP55" s="5">
        <f>IF(BN55,BM55*correlation!$J$32,"")</f>
        <v/>
      </c>
      <c r="BQ55" s="5">
        <f>IF(AND(BN55,ISNUMBER(correlation!$F$32)),BP55*correlation!$F$32+correlation!$G$32,"")</f>
        <v/>
      </c>
      <c r="BR55" s="5">
        <f>IF(AND(BN55,ISNUMBER(BQ55)),(BO55-BQ55)^2,"")</f>
        <v/>
      </c>
      <c r="BS55" s="5">
        <f>IF(BN55,1+SUMPRODUCT(--(calc!$BN$3:$BN$132=TRUE),--(calc!$BO$3:$BO$132&gt;BO55))+(SUMPRODUCT(--(calc!$BN$3:$BN$132=TRUE),--(calc!$BO$3:$BO$132=BO55))-1)/2,"")</f>
        <v/>
      </c>
      <c r="BT55" s="5">
        <f>IF(BN55,1+SUMPRODUCT(--(calc!$BN$3:$BN$132=TRUE),--(calc!$BP$3:$BP$132&gt;BP55))+(SUMPRODUCT(--(calc!$BN$3:$BN$132=TRUE),--(calc!$BP$3:$BP$132=BP55))-1)/2,"")</f>
        <v/>
      </c>
      <c r="BU55" s="5">
        <f>IF(BN55,SUMPRODUCT(--(calc!$BN$3:$BN$132=TRUE),--(ROW(calc!$BN$3:$BN$132)&gt;ROW(BN55)),--(((calc!$BS$3:$BS$132&gt;BS55)*(calc!$BT$3:$BT$132&gt;BT55)+(calc!$BS$3:$BS$132&lt;BS55)*(calc!$BT$3:$BT$132&lt;BT55))&gt;0))-SUMPRODUCT(--(calc!$BN$3:$BN$132=TRUE),--(ROW(calc!$BN$3:$BN$132)&gt;ROW(BN55)),--(((calc!$BS$3:$BS$132&gt;BS55)*(calc!$BT$3:$BT$132&lt;BT55)+(calc!$BS$3:$BS$132&lt;BS55)*(calc!$BT$3:$BT$132&gt;BT55))&gt;0)),0)</f>
        <v/>
      </c>
    </row>
    <row r="56">
      <c r="A56" s="2">
        <f>mos_metrics!A55</f>
        <v/>
      </c>
      <c r="B56" s="2">
        <f>mos_metrics!B55</f>
        <v/>
      </c>
      <c r="C56" s="2">
        <f>mos_metrics!C55</f>
        <v/>
      </c>
      <c r="D56" s="2">
        <f>mos_metrics!D55</f>
        <v/>
      </c>
      <c r="E56" s="2">
        <f>mos_metrics!E55</f>
        <v/>
      </c>
      <c r="F56" s="2">
        <f>mos_metrics!F55</f>
        <v/>
      </c>
      <c r="G56" s="2">
        <f>IF($B56="","",IFERROR(VLOOKUP($B56,correlation!$A$2:$B$12,2,FALSE),1))</f>
        <v/>
      </c>
      <c r="H56" s="2">
        <f>IF($E56="","",IFERROR(VLOOKUP($E56,correlation!$D$2:$E$8,2,FALSE),1))</f>
        <v/>
      </c>
      <c r="I56" s="2">
        <f>ISNUMBER($F56)</f>
        <v/>
      </c>
      <c r="J56" s="2">
        <f>AND($G56=1,$H56=1,$I56)</f>
        <v/>
      </c>
      <c r="K56" s="5">
        <f>IF(mos_metrics!G55="","",mos_metrics!G55)</f>
        <v/>
      </c>
      <c r="L56" s="2">
        <f>AND($J56,ISNUMBER(K56),correlation!$I$26=1)</f>
        <v/>
      </c>
      <c r="M56" s="5">
        <f>IF(L56,$F56,"")</f>
        <v/>
      </c>
      <c r="N56" s="5">
        <f>IF(L56,K56*correlation!$J$26,"")</f>
        <v/>
      </c>
      <c r="O56" s="5">
        <f>IF(AND(L56,ISNUMBER(correlation!$F$26)),N56*correlation!$F$26+correlation!$G$26,"")</f>
        <v/>
      </c>
      <c r="P56" s="5">
        <f>IF(AND(L56,ISNUMBER(O56)),(M56-O56)^2,"")</f>
        <v/>
      </c>
      <c r="Q56" s="5">
        <f>IF(L56,1+SUMPRODUCT(--(calc!$L$3:$L$132=TRUE),--(calc!$M$3:$M$132&gt;M56))+(SUMPRODUCT(--(calc!$L$3:$L$132=TRUE),--(calc!$M$3:$M$132=M56))-1)/2,"")</f>
        <v/>
      </c>
      <c r="R56" s="5">
        <f>IF(L56,1+SUMPRODUCT(--(calc!$L$3:$L$132=TRUE),--(calc!$N$3:$N$132&gt;N56))+(SUMPRODUCT(--(calc!$L$3:$L$132=TRUE),--(calc!$N$3:$N$132=N56))-1)/2,"")</f>
        <v/>
      </c>
      <c r="S56" s="5">
        <f>IF(L56,SUMPRODUCT(--(calc!$L$3:$L$132=TRUE),--(ROW(calc!$L$3:$L$132)&gt;ROW(L56)),--(((calc!$Q$3:$Q$132&gt;Q56)*(calc!$R$3:$R$132&gt;R56)+(calc!$Q$3:$Q$132&lt;Q56)*(calc!$R$3:$R$132&lt;R56))&gt;0))-SUMPRODUCT(--(calc!$L$3:$L$132=TRUE),--(ROW(calc!$L$3:$L$132)&gt;ROW(L56)),--(((calc!$Q$3:$Q$132&gt;Q56)*(calc!$R$3:$R$132&lt;R56)+(calc!$Q$3:$Q$132&lt;Q56)*(calc!$R$3:$R$132&gt;R56))&gt;0)),0)</f>
        <v/>
      </c>
      <c r="T56" s="5">
        <f>IF(mos_metrics!H55="","",mos_metrics!H55)</f>
        <v/>
      </c>
      <c r="U56" s="2">
        <f>AND($J56,ISNUMBER(T56),correlation!$I$27=1)</f>
        <v/>
      </c>
      <c r="V56" s="5">
        <f>IF(U56,$F56,"")</f>
        <v/>
      </c>
      <c r="W56" s="5">
        <f>IF(U56,T56*correlation!$J$27,"")</f>
        <v/>
      </c>
      <c r="X56" s="5">
        <f>IF(AND(U56,ISNUMBER(correlation!$F$27)),W56*correlation!$F$27+correlation!$G$27,"")</f>
        <v/>
      </c>
      <c r="Y56" s="5">
        <f>IF(AND(U56,ISNUMBER(X56)),(V56-X56)^2,"")</f>
        <v/>
      </c>
      <c r="Z56" s="5">
        <f>IF(U56,1+SUMPRODUCT(--(calc!$U$3:$U$132=TRUE),--(calc!$V$3:$V$132&gt;V56))+(SUMPRODUCT(--(calc!$U$3:$U$132=TRUE),--(calc!$V$3:$V$132=V56))-1)/2,"")</f>
        <v/>
      </c>
      <c r="AA56" s="5">
        <f>IF(U56,1+SUMPRODUCT(--(calc!$U$3:$U$132=TRUE),--(calc!$W$3:$W$132&gt;W56))+(SUMPRODUCT(--(calc!$U$3:$U$132=TRUE),--(calc!$W$3:$W$132=W56))-1)/2,"")</f>
        <v/>
      </c>
      <c r="AB56" s="5">
        <f>IF(U56,SUMPRODUCT(--(calc!$U$3:$U$132=TRUE),--(ROW(calc!$U$3:$U$132)&gt;ROW(U56)),--(((calc!$Z$3:$Z$132&gt;Z56)*(calc!$AA$3:$AA$132&gt;AA56)+(calc!$Z$3:$Z$132&lt;Z56)*(calc!$AA$3:$AA$132&lt;AA56))&gt;0))-SUMPRODUCT(--(calc!$U$3:$U$132=TRUE),--(ROW(calc!$U$3:$U$132)&gt;ROW(U56)),--(((calc!$Z$3:$Z$132&gt;Z56)*(calc!$AA$3:$AA$132&lt;AA56)+(calc!$Z$3:$Z$132&lt;Z56)*(calc!$AA$3:$AA$132&gt;AA56))&gt;0)),0)</f>
        <v/>
      </c>
      <c r="AC56" s="5">
        <f>IF(mos_metrics!I55="","",mos_metrics!I55)</f>
        <v/>
      </c>
      <c r="AD56" s="2">
        <f>AND($J56,ISNUMBER(AC56),correlation!$I$28=1)</f>
        <v/>
      </c>
      <c r="AE56" s="5">
        <f>IF(AD56,$F56,"")</f>
        <v/>
      </c>
      <c r="AF56" s="5">
        <f>IF(AD56,AC56*correlation!$J$28,"")</f>
        <v/>
      </c>
      <c r="AG56" s="5">
        <f>IF(AND(AD56,ISNUMBER(correlation!$F$28)),AF56*correlation!$F$28+correlation!$G$28,"")</f>
        <v/>
      </c>
      <c r="AH56" s="5">
        <f>IF(AND(AD56,ISNUMBER(AG56)),(AE56-AG56)^2,"")</f>
        <v/>
      </c>
      <c r="AI56" s="5">
        <f>IF(AD56,1+SUMPRODUCT(--(calc!$AD$3:$AD$132=TRUE),--(calc!$AE$3:$AE$132&gt;AE56))+(SUMPRODUCT(--(calc!$AD$3:$AD$132=TRUE),--(calc!$AE$3:$AE$132=AE56))-1)/2,"")</f>
        <v/>
      </c>
      <c r="AJ56" s="5">
        <f>IF(AD56,1+SUMPRODUCT(--(calc!$AD$3:$AD$132=TRUE),--(calc!$AF$3:$AF$132&gt;AF56))+(SUMPRODUCT(--(calc!$AD$3:$AD$132=TRUE),--(calc!$AF$3:$AF$132=AF56))-1)/2,"")</f>
        <v/>
      </c>
      <c r="AK56" s="5">
        <f>IF(AD56,SUMPRODUCT(--(calc!$AD$3:$AD$132=TRUE),--(ROW(calc!$AD$3:$AD$132)&gt;ROW(AD56)),--(((calc!$AI$3:$AI$132&gt;AI56)*(calc!$AJ$3:$AJ$132&gt;AJ56)+(calc!$AI$3:$AI$132&lt;AI56)*(calc!$AJ$3:$AJ$132&lt;AJ56))&gt;0))-SUMPRODUCT(--(calc!$AD$3:$AD$132=TRUE),--(ROW(calc!$AD$3:$AD$132)&gt;ROW(AD56)),--(((calc!$AI$3:$AI$132&gt;AI56)*(calc!$AJ$3:$AJ$132&lt;AJ56)+(calc!$AI$3:$AI$132&lt;AI56)*(calc!$AJ$3:$AJ$132&gt;AJ56))&gt;0)),0)</f>
        <v/>
      </c>
      <c r="AL56" s="5">
        <f>IF(mos_metrics!J55="","",mos_metrics!J55)</f>
        <v/>
      </c>
      <c r="AM56" s="2">
        <f>AND($J56,ISNUMBER(AL56),correlation!$I$29=1)</f>
        <v/>
      </c>
      <c r="AN56" s="5">
        <f>IF(AM56,$F56,"")</f>
        <v/>
      </c>
      <c r="AO56" s="5">
        <f>IF(AM56,AL56*correlation!$J$29,"")</f>
        <v/>
      </c>
      <c r="AP56" s="5">
        <f>IF(AND(AM56,ISNUMBER(correlation!$F$29)),AO56*correlation!$F$29+correlation!$G$29,"")</f>
        <v/>
      </c>
      <c r="AQ56" s="5">
        <f>IF(AND(AM56,ISNUMBER(AP56)),(AN56-AP56)^2,"")</f>
        <v/>
      </c>
      <c r="AR56" s="5">
        <f>IF(AM56,1+SUMPRODUCT(--(calc!$AM$3:$AM$132=TRUE),--(calc!$AN$3:$AN$132&gt;AN56))+(SUMPRODUCT(--(calc!$AM$3:$AM$132=TRUE),--(calc!$AN$3:$AN$132=AN56))-1)/2,"")</f>
        <v/>
      </c>
      <c r="AS56" s="5">
        <f>IF(AM56,1+SUMPRODUCT(--(calc!$AM$3:$AM$132=TRUE),--(calc!$AO$3:$AO$132&gt;AO56))+(SUMPRODUCT(--(calc!$AM$3:$AM$132=TRUE),--(calc!$AO$3:$AO$132=AO56))-1)/2,"")</f>
        <v/>
      </c>
      <c r="AT56" s="5">
        <f>IF(AM56,SUMPRODUCT(--(calc!$AM$3:$AM$132=TRUE),--(ROW(calc!$AM$3:$AM$132)&gt;ROW(AM56)),--(((calc!$AR$3:$AR$132&gt;AR56)*(calc!$AS$3:$AS$132&gt;AS56)+(calc!$AR$3:$AR$132&lt;AR56)*(calc!$AS$3:$AS$132&lt;AS56))&gt;0))-SUMPRODUCT(--(calc!$AM$3:$AM$132=TRUE),--(ROW(calc!$AM$3:$AM$132)&gt;ROW(AM56)),--(((calc!$AR$3:$AR$132&gt;AR56)*(calc!$AS$3:$AS$132&lt;AS56)+(calc!$AR$3:$AR$132&lt;AR56)*(calc!$AS$3:$AS$132&gt;AS56))&gt;0)),0)</f>
        <v/>
      </c>
      <c r="AU56" s="5">
        <f>IF(mos_metrics!K55="","",mos_metrics!K55)</f>
        <v/>
      </c>
      <c r="AV56" s="2">
        <f>AND($J56,ISNUMBER(AU56),correlation!$I$30=1)</f>
        <v/>
      </c>
      <c r="AW56" s="5">
        <f>IF(AV56,$F56,"")</f>
        <v/>
      </c>
      <c r="AX56" s="5">
        <f>IF(AV56,AU56*correlation!$J$30,"")</f>
        <v/>
      </c>
      <c r="AY56" s="5">
        <f>IF(AND(AV56,ISNUMBER(correlation!$F$30)),AX56*correlation!$F$30+correlation!$G$30,"")</f>
        <v/>
      </c>
      <c r="AZ56" s="5">
        <f>IF(AND(AV56,ISNUMBER(AY56)),(AW56-AY56)^2,"")</f>
        <v/>
      </c>
      <c r="BA56" s="5">
        <f>IF(AV56,1+SUMPRODUCT(--(calc!$AV$3:$AV$132=TRUE),--(calc!$AW$3:$AW$132&gt;AW56))+(SUMPRODUCT(--(calc!$AV$3:$AV$132=TRUE),--(calc!$AW$3:$AW$132=AW56))-1)/2,"")</f>
        <v/>
      </c>
      <c r="BB56" s="5">
        <f>IF(AV56,1+SUMPRODUCT(--(calc!$AV$3:$AV$132=TRUE),--(calc!$AX$3:$AX$132&gt;AX56))+(SUMPRODUCT(--(calc!$AV$3:$AV$132=TRUE),--(calc!$AX$3:$AX$132=AX56))-1)/2,"")</f>
        <v/>
      </c>
      <c r="BC56" s="5">
        <f>IF(AV56,SUMPRODUCT(--(calc!$AV$3:$AV$132=TRUE),--(ROW(calc!$AV$3:$AV$132)&gt;ROW(AV56)),--(((calc!$BA$3:$BA$132&gt;BA56)*(calc!$BB$3:$BB$132&gt;BB56)+(calc!$BA$3:$BA$132&lt;BA56)*(calc!$BB$3:$BB$132&lt;BB56))&gt;0))-SUMPRODUCT(--(calc!$AV$3:$AV$132=TRUE),--(ROW(calc!$AV$3:$AV$132)&gt;ROW(AV56)),--(((calc!$BA$3:$BA$132&gt;BA56)*(calc!$BB$3:$BB$132&lt;BB56)+(calc!$BA$3:$BA$132&lt;BA56)*(calc!$BB$3:$BB$132&gt;BB56))&gt;0)),0)</f>
        <v/>
      </c>
      <c r="BD56" s="5">
        <f>IF(mos_metrics!L55="","",mos_metrics!L55)</f>
        <v/>
      </c>
      <c r="BE56" s="2">
        <f>AND($J56,ISNUMBER(BD56),correlation!$I$31=1)</f>
        <v/>
      </c>
      <c r="BF56" s="5">
        <f>IF(BE56,$F56,"")</f>
        <v/>
      </c>
      <c r="BG56" s="5">
        <f>IF(BE56,BD56*correlation!$J$31,"")</f>
        <v/>
      </c>
      <c r="BH56" s="5">
        <f>IF(AND(BE56,ISNUMBER(correlation!$F$31)),BG56*correlation!$F$31+correlation!$G$31,"")</f>
        <v/>
      </c>
      <c r="BI56" s="5">
        <f>IF(AND(BE56,ISNUMBER(BH56)),(BF56-BH56)^2,"")</f>
        <v/>
      </c>
      <c r="BJ56" s="5">
        <f>IF(BE56,1+SUMPRODUCT(--(calc!$BE$3:$BE$132=TRUE),--(calc!$BF$3:$BF$132&gt;BF56))+(SUMPRODUCT(--(calc!$BE$3:$BE$132=TRUE),--(calc!$BF$3:$BF$132=BF56))-1)/2,"")</f>
        <v/>
      </c>
      <c r="BK56" s="5">
        <f>IF(BE56,1+SUMPRODUCT(--(calc!$BE$3:$BE$132=TRUE),--(calc!$BG$3:$BG$132&gt;BG56))+(SUMPRODUCT(--(calc!$BE$3:$BE$132=TRUE),--(calc!$BG$3:$BG$132=BG56))-1)/2,"")</f>
        <v/>
      </c>
      <c r="BL56" s="5">
        <f>IF(BE56,SUMPRODUCT(--(calc!$BE$3:$BE$132=TRUE),--(ROW(calc!$BE$3:$BE$132)&gt;ROW(BE56)),--(((calc!$BJ$3:$BJ$132&gt;BJ56)*(calc!$BK$3:$BK$132&gt;BK56)+(calc!$BJ$3:$BJ$132&lt;BJ56)*(calc!$BK$3:$BK$132&lt;BK56))&gt;0))-SUMPRODUCT(--(calc!$BE$3:$BE$132=TRUE),--(ROW(calc!$BE$3:$BE$132)&gt;ROW(BE56)),--(((calc!$BJ$3:$BJ$132&gt;BJ56)*(calc!$BK$3:$BK$132&lt;BK56)+(calc!$BJ$3:$BJ$132&lt;BJ56)*(calc!$BK$3:$BK$132&gt;BK56))&gt;0)),0)</f>
        <v/>
      </c>
      <c r="BM56" s="5">
        <f>IF(mos_metrics!M55="","",mos_metrics!M55)</f>
        <v/>
      </c>
      <c r="BN56" s="2">
        <f>AND($J56,ISNUMBER(BM56),correlation!$I$32=1)</f>
        <v/>
      </c>
      <c r="BO56" s="5">
        <f>IF(BN56,$F56,"")</f>
        <v/>
      </c>
      <c r="BP56" s="5">
        <f>IF(BN56,BM56*correlation!$J$32,"")</f>
        <v/>
      </c>
      <c r="BQ56" s="5">
        <f>IF(AND(BN56,ISNUMBER(correlation!$F$32)),BP56*correlation!$F$32+correlation!$G$32,"")</f>
        <v/>
      </c>
      <c r="BR56" s="5">
        <f>IF(AND(BN56,ISNUMBER(BQ56)),(BO56-BQ56)^2,"")</f>
        <v/>
      </c>
      <c r="BS56" s="5">
        <f>IF(BN56,1+SUMPRODUCT(--(calc!$BN$3:$BN$132=TRUE),--(calc!$BO$3:$BO$132&gt;BO56))+(SUMPRODUCT(--(calc!$BN$3:$BN$132=TRUE),--(calc!$BO$3:$BO$132=BO56))-1)/2,"")</f>
        <v/>
      </c>
      <c r="BT56" s="5">
        <f>IF(BN56,1+SUMPRODUCT(--(calc!$BN$3:$BN$132=TRUE),--(calc!$BP$3:$BP$132&gt;BP56))+(SUMPRODUCT(--(calc!$BN$3:$BN$132=TRUE),--(calc!$BP$3:$BP$132=BP56))-1)/2,"")</f>
        <v/>
      </c>
      <c r="BU56" s="5">
        <f>IF(BN56,SUMPRODUCT(--(calc!$BN$3:$BN$132=TRUE),--(ROW(calc!$BN$3:$BN$132)&gt;ROW(BN56)),--(((calc!$BS$3:$BS$132&gt;BS56)*(calc!$BT$3:$BT$132&gt;BT56)+(calc!$BS$3:$BS$132&lt;BS56)*(calc!$BT$3:$BT$132&lt;BT56))&gt;0))-SUMPRODUCT(--(calc!$BN$3:$BN$132=TRUE),--(ROW(calc!$BN$3:$BN$132)&gt;ROW(BN56)),--(((calc!$BS$3:$BS$132&gt;BS56)*(calc!$BT$3:$BT$132&lt;BT56)+(calc!$BS$3:$BS$132&lt;BS56)*(calc!$BT$3:$BT$132&gt;BT56))&gt;0)),0)</f>
        <v/>
      </c>
    </row>
    <row r="57">
      <c r="A57" s="2">
        <f>mos_metrics!A56</f>
        <v/>
      </c>
      <c r="B57" s="2">
        <f>mos_metrics!B56</f>
        <v/>
      </c>
      <c r="C57" s="2">
        <f>mos_metrics!C56</f>
        <v/>
      </c>
      <c r="D57" s="2">
        <f>mos_metrics!D56</f>
        <v/>
      </c>
      <c r="E57" s="2">
        <f>mos_metrics!E56</f>
        <v/>
      </c>
      <c r="F57" s="2">
        <f>mos_metrics!F56</f>
        <v/>
      </c>
      <c r="G57" s="2">
        <f>IF($B57="","",IFERROR(VLOOKUP($B57,correlation!$A$2:$B$12,2,FALSE),1))</f>
        <v/>
      </c>
      <c r="H57" s="2">
        <f>IF($E57="","",IFERROR(VLOOKUP($E57,correlation!$D$2:$E$8,2,FALSE),1))</f>
        <v/>
      </c>
      <c r="I57" s="2">
        <f>ISNUMBER($F57)</f>
        <v/>
      </c>
      <c r="J57" s="2">
        <f>AND($G57=1,$H57=1,$I57)</f>
        <v/>
      </c>
      <c r="K57" s="5">
        <f>IF(mos_metrics!G56="","",mos_metrics!G56)</f>
        <v/>
      </c>
      <c r="L57" s="2">
        <f>AND($J57,ISNUMBER(K57),correlation!$I$26=1)</f>
        <v/>
      </c>
      <c r="M57" s="5">
        <f>IF(L57,$F57,"")</f>
        <v/>
      </c>
      <c r="N57" s="5">
        <f>IF(L57,K57*correlation!$J$26,"")</f>
        <v/>
      </c>
      <c r="O57" s="5">
        <f>IF(AND(L57,ISNUMBER(correlation!$F$26)),N57*correlation!$F$26+correlation!$G$26,"")</f>
        <v/>
      </c>
      <c r="P57" s="5">
        <f>IF(AND(L57,ISNUMBER(O57)),(M57-O57)^2,"")</f>
        <v/>
      </c>
      <c r="Q57" s="5">
        <f>IF(L57,1+SUMPRODUCT(--(calc!$L$3:$L$132=TRUE),--(calc!$M$3:$M$132&gt;M57))+(SUMPRODUCT(--(calc!$L$3:$L$132=TRUE),--(calc!$M$3:$M$132=M57))-1)/2,"")</f>
        <v/>
      </c>
      <c r="R57" s="5">
        <f>IF(L57,1+SUMPRODUCT(--(calc!$L$3:$L$132=TRUE),--(calc!$N$3:$N$132&gt;N57))+(SUMPRODUCT(--(calc!$L$3:$L$132=TRUE),--(calc!$N$3:$N$132=N57))-1)/2,"")</f>
        <v/>
      </c>
      <c r="S57" s="5">
        <f>IF(L57,SUMPRODUCT(--(calc!$L$3:$L$132=TRUE),--(ROW(calc!$L$3:$L$132)&gt;ROW(L57)),--(((calc!$Q$3:$Q$132&gt;Q57)*(calc!$R$3:$R$132&gt;R57)+(calc!$Q$3:$Q$132&lt;Q57)*(calc!$R$3:$R$132&lt;R57))&gt;0))-SUMPRODUCT(--(calc!$L$3:$L$132=TRUE),--(ROW(calc!$L$3:$L$132)&gt;ROW(L57)),--(((calc!$Q$3:$Q$132&gt;Q57)*(calc!$R$3:$R$132&lt;R57)+(calc!$Q$3:$Q$132&lt;Q57)*(calc!$R$3:$R$132&gt;R57))&gt;0)),0)</f>
        <v/>
      </c>
      <c r="T57" s="5">
        <f>IF(mos_metrics!H56="","",mos_metrics!H56)</f>
        <v/>
      </c>
      <c r="U57" s="2">
        <f>AND($J57,ISNUMBER(T57),correlation!$I$27=1)</f>
        <v/>
      </c>
      <c r="V57" s="5">
        <f>IF(U57,$F57,"")</f>
        <v/>
      </c>
      <c r="W57" s="5">
        <f>IF(U57,T57*correlation!$J$27,"")</f>
        <v/>
      </c>
      <c r="X57" s="5">
        <f>IF(AND(U57,ISNUMBER(correlation!$F$27)),W57*correlation!$F$27+correlation!$G$27,"")</f>
        <v/>
      </c>
      <c r="Y57" s="5">
        <f>IF(AND(U57,ISNUMBER(X57)),(V57-X57)^2,"")</f>
        <v/>
      </c>
      <c r="Z57" s="5">
        <f>IF(U57,1+SUMPRODUCT(--(calc!$U$3:$U$132=TRUE),--(calc!$V$3:$V$132&gt;V57))+(SUMPRODUCT(--(calc!$U$3:$U$132=TRUE),--(calc!$V$3:$V$132=V57))-1)/2,"")</f>
        <v/>
      </c>
      <c r="AA57" s="5">
        <f>IF(U57,1+SUMPRODUCT(--(calc!$U$3:$U$132=TRUE),--(calc!$W$3:$W$132&gt;W57))+(SUMPRODUCT(--(calc!$U$3:$U$132=TRUE),--(calc!$W$3:$W$132=W57))-1)/2,"")</f>
        <v/>
      </c>
      <c r="AB57" s="5">
        <f>IF(U57,SUMPRODUCT(--(calc!$U$3:$U$132=TRUE),--(ROW(calc!$U$3:$U$132)&gt;ROW(U57)),--(((calc!$Z$3:$Z$132&gt;Z57)*(calc!$AA$3:$AA$132&gt;AA57)+(calc!$Z$3:$Z$132&lt;Z57)*(calc!$AA$3:$AA$132&lt;AA57))&gt;0))-SUMPRODUCT(--(calc!$U$3:$U$132=TRUE),--(ROW(calc!$U$3:$U$132)&gt;ROW(U57)),--(((calc!$Z$3:$Z$132&gt;Z57)*(calc!$AA$3:$AA$132&lt;AA57)+(calc!$Z$3:$Z$132&lt;Z57)*(calc!$AA$3:$AA$132&gt;AA57))&gt;0)),0)</f>
        <v/>
      </c>
      <c r="AC57" s="5">
        <f>IF(mos_metrics!I56="","",mos_metrics!I56)</f>
        <v/>
      </c>
      <c r="AD57" s="2">
        <f>AND($J57,ISNUMBER(AC57),correlation!$I$28=1)</f>
        <v/>
      </c>
      <c r="AE57" s="5">
        <f>IF(AD57,$F57,"")</f>
        <v/>
      </c>
      <c r="AF57" s="5">
        <f>IF(AD57,AC57*correlation!$J$28,"")</f>
        <v/>
      </c>
      <c r="AG57" s="5">
        <f>IF(AND(AD57,ISNUMBER(correlation!$F$28)),AF57*correlation!$F$28+correlation!$G$28,"")</f>
        <v/>
      </c>
      <c r="AH57" s="5">
        <f>IF(AND(AD57,ISNUMBER(AG57)),(AE57-AG57)^2,"")</f>
        <v/>
      </c>
      <c r="AI57" s="5">
        <f>IF(AD57,1+SUMPRODUCT(--(calc!$AD$3:$AD$132=TRUE),--(calc!$AE$3:$AE$132&gt;AE57))+(SUMPRODUCT(--(calc!$AD$3:$AD$132=TRUE),--(calc!$AE$3:$AE$132=AE57))-1)/2,"")</f>
        <v/>
      </c>
      <c r="AJ57" s="5">
        <f>IF(AD57,1+SUMPRODUCT(--(calc!$AD$3:$AD$132=TRUE),--(calc!$AF$3:$AF$132&gt;AF57))+(SUMPRODUCT(--(calc!$AD$3:$AD$132=TRUE),--(calc!$AF$3:$AF$132=AF57))-1)/2,"")</f>
        <v/>
      </c>
      <c r="AK57" s="5">
        <f>IF(AD57,SUMPRODUCT(--(calc!$AD$3:$AD$132=TRUE),--(ROW(calc!$AD$3:$AD$132)&gt;ROW(AD57)),--(((calc!$AI$3:$AI$132&gt;AI57)*(calc!$AJ$3:$AJ$132&gt;AJ57)+(calc!$AI$3:$AI$132&lt;AI57)*(calc!$AJ$3:$AJ$132&lt;AJ57))&gt;0))-SUMPRODUCT(--(calc!$AD$3:$AD$132=TRUE),--(ROW(calc!$AD$3:$AD$132)&gt;ROW(AD57)),--(((calc!$AI$3:$AI$132&gt;AI57)*(calc!$AJ$3:$AJ$132&lt;AJ57)+(calc!$AI$3:$AI$132&lt;AI57)*(calc!$AJ$3:$AJ$132&gt;AJ57))&gt;0)),0)</f>
        <v/>
      </c>
      <c r="AL57" s="5">
        <f>IF(mos_metrics!J56="","",mos_metrics!J56)</f>
        <v/>
      </c>
      <c r="AM57" s="2">
        <f>AND($J57,ISNUMBER(AL57),correlation!$I$29=1)</f>
        <v/>
      </c>
      <c r="AN57" s="5">
        <f>IF(AM57,$F57,"")</f>
        <v/>
      </c>
      <c r="AO57" s="5">
        <f>IF(AM57,AL57*correlation!$J$29,"")</f>
        <v/>
      </c>
      <c r="AP57" s="5">
        <f>IF(AND(AM57,ISNUMBER(correlation!$F$29)),AO57*correlation!$F$29+correlation!$G$29,"")</f>
        <v/>
      </c>
      <c r="AQ57" s="5">
        <f>IF(AND(AM57,ISNUMBER(AP57)),(AN57-AP57)^2,"")</f>
        <v/>
      </c>
      <c r="AR57" s="5">
        <f>IF(AM57,1+SUMPRODUCT(--(calc!$AM$3:$AM$132=TRUE),--(calc!$AN$3:$AN$132&gt;AN57))+(SUMPRODUCT(--(calc!$AM$3:$AM$132=TRUE),--(calc!$AN$3:$AN$132=AN57))-1)/2,"")</f>
        <v/>
      </c>
      <c r="AS57" s="5">
        <f>IF(AM57,1+SUMPRODUCT(--(calc!$AM$3:$AM$132=TRUE),--(calc!$AO$3:$AO$132&gt;AO57))+(SUMPRODUCT(--(calc!$AM$3:$AM$132=TRUE),--(calc!$AO$3:$AO$132=AO57))-1)/2,"")</f>
        <v/>
      </c>
      <c r="AT57" s="5">
        <f>IF(AM57,SUMPRODUCT(--(calc!$AM$3:$AM$132=TRUE),--(ROW(calc!$AM$3:$AM$132)&gt;ROW(AM57)),--(((calc!$AR$3:$AR$132&gt;AR57)*(calc!$AS$3:$AS$132&gt;AS57)+(calc!$AR$3:$AR$132&lt;AR57)*(calc!$AS$3:$AS$132&lt;AS57))&gt;0))-SUMPRODUCT(--(calc!$AM$3:$AM$132=TRUE),--(ROW(calc!$AM$3:$AM$132)&gt;ROW(AM57)),--(((calc!$AR$3:$AR$132&gt;AR57)*(calc!$AS$3:$AS$132&lt;AS57)+(calc!$AR$3:$AR$132&lt;AR57)*(calc!$AS$3:$AS$132&gt;AS57))&gt;0)),0)</f>
        <v/>
      </c>
      <c r="AU57" s="5">
        <f>IF(mos_metrics!K56="","",mos_metrics!K56)</f>
        <v/>
      </c>
      <c r="AV57" s="2">
        <f>AND($J57,ISNUMBER(AU57),correlation!$I$30=1)</f>
        <v/>
      </c>
      <c r="AW57" s="5">
        <f>IF(AV57,$F57,"")</f>
        <v/>
      </c>
      <c r="AX57" s="5">
        <f>IF(AV57,AU57*correlation!$J$30,"")</f>
        <v/>
      </c>
      <c r="AY57" s="5">
        <f>IF(AND(AV57,ISNUMBER(correlation!$F$30)),AX57*correlation!$F$30+correlation!$G$30,"")</f>
        <v/>
      </c>
      <c r="AZ57" s="5">
        <f>IF(AND(AV57,ISNUMBER(AY57)),(AW57-AY57)^2,"")</f>
        <v/>
      </c>
      <c r="BA57" s="5">
        <f>IF(AV57,1+SUMPRODUCT(--(calc!$AV$3:$AV$132=TRUE),--(calc!$AW$3:$AW$132&gt;AW57))+(SUMPRODUCT(--(calc!$AV$3:$AV$132=TRUE),--(calc!$AW$3:$AW$132=AW57))-1)/2,"")</f>
        <v/>
      </c>
      <c r="BB57" s="5">
        <f>IF(AV57,1+SUMPRODUCT(--(calc!$AV$3:$AV$132=TRUE),--(calc!$AX$3:$AX$132&gt;AX57))+(SUMPRODUCT(--(calc!$AV$3:$AV$132=TRUE),--(calc!$AX$3:$AX$132=AX57))-1)/2,"")</f>
        <v/>
      </c>
      <c r="BC57" s="5">
        <f>IF(AV57,SUMPRODUCT(--(calc!$AV$3:$AV$132=TRUE),--(ROW(calc!$AV$3:$AV$132)&gt;ROW(AV57)),--(((calc!$BA$3:$BA$132&gt;BA57)*(calc!$BB$3:$BB$132&gt;BB57)+(calc!$BA$3:$BA$132&lt;BA57)*(calc!$BB$3:$BB$132&lt;BB57))&gt;0))-SUMPRODUCT(--(calc!$AV$3:$AV$132=TRUE),--(ROW(calc!$AV$3:$AV$132)&gt;ROW(AV57)),--(((calc!$BA$3:$BA$132&gt;BA57)*(calc!$BB$3:$BB$132&lt;BB57)+(calc!$BA$3:$BA$132&lt;BA57)*(calc!$BB$3:$BB$132&gt;BB57))&gt;0)),0)</f>
        <v/>
      </c>
      <c r="BD57" s="5">
        <f>IF(mos_metrics!L56="","",mos_metrics!L56)</f>
        <v/>
      </c>
      <c r="BE57" s="2">
        <f>AND($J57,ISNUMBER(BD57),correlation!$I$31=1)</f>
        <v/>
      </c>
      <c r="BF57" s="5">
        <f>IF(BE57,$F57,"")</f>
        <v/>
      </c>
      <c r="BG57" s="5">
        <f>IF(BE57,BD57*correlation!$J$31,"")</f>
        <v/>
      </c>
      <c r="BH57" s="5">
        <f>IF(AND(BE57,ISNUMBER(correlation!$F$31)),BG57*correlation!$F$31+correlation!$G$31,"")</f>
        <v/>
      </c>
      <c r="BI57" s="5">
        <f>IF(AND(BE57,ISNUMBER(BH57)),(BF57-BH57)^2,"")</f>
        <v/>
      </c>
      <c r="BJ57" s="5">
        <f>IF(BE57,1+SUMPRODUCT(--(calc!$BE$3:$BE$132=TRUE),--(calc!$BF$3:$BF$132&gt;BF57))+(SUMPRODUCT(--(calc!$BE$3:$BE$132=TRUE),--(calc!$BF$3:$BF$132=BF57))-1)/2,"")</f>
        <v/>
      </c>
      <c r="BK57" s="5">
        <f>IF(BE57,1+SUMPRODUCT(--(calc!$BE$3:$BE$132=TRUE),--(calc!$BG$3:$BG$132&gt;BG57))+(SUMPRODUCT(--(calc!$BE$3:$BE$132=TRUE),--(calc!$BG$3:$BG$132=BG57))-1)/2,"")</f>
        <v/>
      </c>
      <c r="BL57" s="5">
        <f>IF(BE57,SUMPRODUCT(--(calc!$BE$3:$BE$132=TRUE),--(ROW(calc!$BE$3:$BE$132)&gt;ROW(BE57)),--(((calc!$BJ$3:$BJ$132&gt;BJ57)*(calc!$BK$3:$BK$132&gt;BK57)+(calc!$BJ$3:$BJ$132&lt;BJ57)*(calc!$BK$3:$BK$132&lt;BK57))&gt;0))-SUMPRODUCT(--(calc!$BE$3:$BE$132=TRUE),--(ROW(calc!$BE$3:$BE$132)&gt;ROW(BE57)),--(((calc!$BJ$3:$BJ$132&gt;BJ57)*(calc!$BK$3:$BK$132&lt;BK57)+(calc!$BJ$3:$BJ$132&lt;BJ57)*(calc!$BK$3:$BK$132&gt;BK57))&gt;0)),0)</f>
        <v/>
      </c>
      <c r="BM57" s="5">
        <f>IF(mos_metrics!M56="","",mos_metrics!M56)</f>
        <v/>
      </c>
      <c r="BN57" s="2">
        <f>AND($J57,ISNUMBER(BM57),correlation!$I$32=1)</f>
        <v/>
      </c>
      <c r="BO57" s="5">
        <f>IF(BN57,$F57,"")</f>
        <v/>
      </c>
      <c r="BP57" s="5">
        <f>IF(BN57,BM57*correlation!$J$32,"")</f>
        <v/>
      </c>
      <c r="BQ57" s="5">
        <f>IF(AND(BN57,ISNUMBER(correlation!$F$32)),BP57*correlation!$F$32+correlation!$G$32,"")</f>
        <v/>
      </c>
      <c r="BR57" s="5">
        <f>IF(AND(BN57,ISNUMBER(BQ57)),(BO57-BQ57)^2,"")</f>
        <v/>
      </c>
      <c r="BS57" s="5">
        <f>IF(BN57,1+SUMPRODUCT(--(calc!$BN$3:$BN$132=TRUE),--(calc!$BO$3:$BO$132&gt;BO57))+(SUMPRODUCT(--(calc!$BN$3:$BN$132=TRUE),--(calc!$BO$3:$BO$132=BO57))-1)/2,"")</f>
        <v/>
      </c>
      <c r="BT57" s="5">
        <f>IF(BN57,1+SUMPRODUCT(--(calc!$BN$3:$BN$132=TRUE),--(calc!$BP$3:$BP$132&gt;BP57))+(SUMPRODUCT(--(calc!$BN$3:$BN$132=TRUE),--(calc!$BP$3:$BP$132=BP57))-1)/2,"")</f>
        <v/>
      </c>
      <c r="BU57" s="5">
        <f>IF(BN57,SUMPRODUCT(--(calc!$BN$3:$BN$132=TRUE),--(ROW(calc!$BN$3:$BN$132)&gt;ROW(BN57)),--(((calc!$BS$3:$BS$132&gt;BS57)*(calc!$BT$3:$BT$132&gt;BT57)+(calc!$BS$3:$BS$132&lt;BS57)*(calc!$BT$3:$BT$132&lt;BT57))&gt;0))-SUMPRODUCT(--(calc!$BN$3:$BN$132=TRUE),--(ROW(calc!$BN$3:$BN$132)&gt;ROW(BN57)),--(((calc!$BS$3:$BS$132&gt;BS57)*(calc!$BT$3:$BT$132&lt;BT57)+(calc!$BS$3:$BS$132&lt;BS57)*(calc!$BT$3:$BT$132&gt;BT57))&gt;0)),0)</f>
        <v/>
      </c>
    </row>
    <row r="58">
      <c r="A58" s="2">
        <f>mos_metrics!A57</f>
        <v/>
      </c>
      <c r="B58" s="2">
        <f>mos_metrics!B57</f>
        <v/>
      </c>
      <c r="C58" s="2">
        <f>mos_metrics!C57</f>
        <v/>
      </c>
      <c r="D58" s="2">
        <f>mos_metrics!D57</f>
        <v/>
      </c>
      <c r="E58" s="2">
        <f>mos_metrics!E57</f>
        <v/>
      </c>
      <c r="F58" s="2">
        <f>mos_metrics!F57</f>
        <v/>
      </c>
      <c r="G58" s="2">
        <f>IF($B58="","",IFERROR(VLOOKUP($B58,correlation!$A$2:$B$12,2,FALSE),1))</f>
        <v/>
      </c>
      <c r="H58" s="2">
        <f>IF($E58="","",IFERROR(VLOOKUP($E58,correlation!$D$2:$E$8,2,FALSE),1))</f>
        <v/>
      </c>
      <c r="I58" s="2">
        <f>ISNUMBER($F58)</f>
        <v/>
      </c>
      <c r="J58" s="2">
        <f>AND($G58=1,$H58=1,$I58)</f>
        <v/>
      </c>
      <c r="K58" s="5">
        <f>IF(mos_metrics!G57="","",mos_metrics!G57)</f>
        <v/>
      </c>
      <c r="L58" s="2">
        <f>AND($J58,ISNUMBER(K58),correlation!$I$26=1)</f>
        <v/>
      </c>
      <c r="M58" s="5">
        <f>IF(L58,$F58,"")</f>
        <v/>
      </c>
      <c r="N58" s="5">
        <f>IF(L58,K58*correlation!$J$26,"")</f>
        <v/>
      </c>
      <c r="O58" s="5">
        <f>IF(AND(L58,ISNUMBER(correlation!$F$26)),N58*correlation!$F$26+correlation!$G$26,"")</f>
        <v/>
      </c>
      <c r="P58" s="5">
        <f>IF(AND(L58,ISNUMBER(O58)),(M58-O58)^2,"")</f>
        <v/>
      </c>
      <c r="Q58" s="5">
        <f>IF(L58,1+SUMPRODUCT(--(calc!$L$3:$L$132=TRUE),--(calc!$M$3:$M$132&gt;M58))+(SUMPRODUCT(--(calc!$L$3:$L$132=TRUE),--(calc!$M$3:$M$132=M58))-1)/2,"")</f>
        <v/>
      </c>
      <c r="R58" s="5">
        <f>IF(L58,1+SUMPRODUCT(--(calc!$L$3:$L$132=TRUE),--(calc!$N$3:$N$132&gt;N58))+(SUMPRODUCT(--(calc!$L$3:$L$132=TRUE),--(calc!$N$3:$N$132=N58))-1)/2,"")</f>
        <v/>
      </c>
      <c r="S58" s="5">
        <f>IF(L58,SUMPRODUCT(--(calc!$L$3:$L$132=TRUE),--(ROW(calc!$L$3:$L$132)&gt;ROW(L58)),--(((calc!$Q$3:$Q$132&gt;Q58)*(calc!$R$3:$R$132&gt;R58)+(calc!$Q$3:$Q$132&lt;Q58)*(calc!$R$3:$R$132&lt;R58))&gt;0))-SUMPRODUCT(--(calc!$L$3:$L$132=TRUE),--(ROW(calc!$L$3:$L$132)&gt;ROW(L58)),--(((calc!$Q$3:$Q$132&gt;Q58)*(calc!$R$3:$R$132&lt;R58)+(calc!$Q$3:$Q$132&lt;Q58)*(calc!$R$3:$R$132&gt;R58))&gt;0)),0)</f>
        <v/>
      </c>
      <c r="T58" s="5">
        <f>IF(mos_metrics!H57="","",mos_metrics!H57)</f>
        <v/>
      </c>
      <c r="U58" s="2">
        <f>AND($J58,ISNUMBER(T58),correlation!$I$27=1)</f>
        <v/>
      </c>
      <c r="V58" s="5">
        <f>IF(U58,$F58,"")</f>
        <v/>
      </c>
      <c r="W58" s="5">
        <f>IF(U58,T58*correlation!$J$27,"")</f>
        <v/>
      </c>
      <c r="X58" s="5">
        <f>IF(AND(U58,ISNUMBER(correlation!$F$27)),W58*correlation!$F$27+correlation!$G$27,"")</f>
        <v/>
      </c>
      <c r="Y58" s="5">
        <f>IF(AND(U58,ISNUMBER(X58)),(V58-X58)^2,"")</f>
        <v/>
      </c>
      <c r="Z58" s="5">
        <f>IF(U58,1+SUMPRODUCT(--(calc!$U$3:$U$132=TRUE),--(calc!$V$3:$V$132&gt;V58))+(SUMPRODUCT(--(calc!$U$3:$U$132=TRUE),--(calc!$V$3:$V$132=V58))-1)/2,"")</f>
        <v/>
      </c>
      <c r="AA58" s="5">
        <f>IF(U58,1+SUMPRODUCT(--(calc!$U$3:$U$132=TRUE),--(calc!$W$3:$W$132&gt;W58))+(SUMPRODUCT(--(calc!$U$3:$U$132=TRUE),--(calc!$W$3:$W$132=W58))-1)/2,"")</f>
        <v/>
      </c>
      <c r="AB58" s="5">
        <f>IF(U58,SUMPRODUCT(--(calc!$U$3:$U$132=TRUE),--(ROW(calc!$U$3:$U$132)&gt;ROW(U58)),--(((calc!$Z$3:$Z$132&gt;Z58)*(calc!$AA$3:$AA$132&gt;AA58)+(calc!$Z$3:$Z$132&lt;Z58)*(calc!$AA$3:$AA$132&lt;AA58))&gt;0))-SUMPRODUCT(--(calc!$U$3:$U$132=TRUE),--(ROW(calc!$U$3:$U$132)&gt;ROW(U58)),--(((calc!$Z$3:$Z$132&gt;Z58)*(calc!$AA$3:$AA$132&lt;AA58)+(calc!$Z$3:$Z$132&lt;Z58)*(calc!$AA$3:$AA$132&gt;AA58))&gt;0)),0)</f>
        <v/>
      </c>
      <c r="AC58" s="5">
        <f>IF(mos_metrics!I57="","",mos_metrics!I57)</f>
        <v/>
      </c>
      <c r="AD58" s="2">
        <f>AND($J58,ISNUMBER(AC58),correlation!$I$28=1)</f>
        <v/>
      </c>
      <c r="AE58" s="5">
        <f>IF(AD58,$F58,"")</f>
        <v/>
      </c>
      <c r="AF58" s="5">
        <f>IF(AD58,AC58*correlation!$J$28,"")</f>
        <v/>
      </c>
      <c r="AG58" s="5">
        <f>IF(AND(AD58,ISNUMBER(correlation!$F$28)),AF58*correlation!$F$28+correlation!$G$28,"")</f>
        <v/>
      </c>
      <c r="AH58" s="5">
        <f>IF(AND(AD58,ISNUMBER(AG58)),(AE58-AG58)^2,"")</f>
        <v/>
      </c>
      <c r="AI58" s="5">
        <f>IF(AD58,1+SUMPRODUCT(--(calc!$AD$3:$AD$132=TRUE),--(calc!$AE$3:$AE$132&gt;AE58))+(SUMPRODUCT(--(calc!$AD$3:$AD$132=TRUE),--(calc!$AE$3:$AE$132=AE58))-1)/2,"")</f>
        <v/>
      </c>
      <c r="AJ58" s="5">
        <f>IF(AD58,1+SUMPRODUCT(--(calc!$AD$3:$AD$132=TRUE),--(calc!$AF$3:$AF$132&gt;AF58))+(SUMPRODUCT(--(calc!$AD$3:$AD$132=TRUE),--(calc!$AF$3:$AF$132=AF58))-1)/2,"")</f>
        <v/>
      </c>
      <c r="AK58" s="5">
        <f>IF(AD58,SUMPRODUCT(--(calc!$AD$3:$AD$132=TRUE),--(ROW(calc!$AD$3:$AD$132)&gt;ROW(AD58)),--(((calc!$AI$3:$AI$132&gt;AI58)*(calc!$AJ$3:$AJ$132&gt;AJ58)+(calc!$AI$3:$AI$132&lt;AI58)*(calc!$AJ$3:$AJ$132&lt;AJ58))&gt;0))-SUMPRODUCT(--(calc!$AD$3:$AD$132=TRUE),--(ROW(calc!$AD$3:$AD$132)&gt;ROW(AD58)),--(((calc!$AI$3:$AI$132&gt;AI58)*(calc!$AJ$3:$AJ$132&lt;AJ58)+(calc!$AI$3:$AI$132&lt;AI58)*(calc!$AJ$3:$AJ$132&gt;AJ58))&gt;0)),0)</f>
        <v/>
      </c>
      <c r="AL58" s="5">
        <f>IF(mos_metrics!J57="","",mos_metrics!J57)</f>
        <v/>
      </c>
      <c r="AM58" s="2">
        <f>AND($J58,ISNUMBER(AL58),correlation!$I$29=1)</f>
        <v/>
      </c>
      <c r="AN58" s="5">
        <f>IF(AM58,$F58,"")</f>
        <v/>
      </c>
      <c r="AO58" s="5">
        <f>IF(AM58,AL58*correlation!$J$29,"")</f>
        <v/>
      </c>
      <c r="AP58" s="5">
        <f>IF(AND(AM58,ISNUMBER(correlation!$F$29)),AO58*correlation!$F$29+correlation!$G$29,"")</f>
        <v/>
      </c>
      <c r="AQ58" s="5">
        <f>IF(AND(AM58,ISNUMBER(AP58)),(AN58-AP58)^2,"")</f>
        <v/>
      </c>
      <c r="AR58" s="5">
        <f>IF(AM58,1+SUMPRODUCT(--(calc!$AM$3:$AM$132=TRUE),--(calc!$AN$3:$AN$132&gt;AN58))+(SUMPRODUCT(--(calc!$AM$3:$AM$132=TRUE),--(calc!$AN$3:$AN$132=AN58))-1)/2,"")</f>
        <v/>
      </c>
      <c r="AS58" s="5">
        <f>IF(AM58,1+SUMPRODUCT(--(calc!$AM$3:$AM$132=TRUE),--(calc!$AO$3:$AO$132&gt;AO58))+(SUMPRODUCT(--(calc!$AM$3:$AM$132=TRUE),--(calc!$AO$3:$AO$132=AO58))-1)/2,"")</f>
        <v/>
      </c>
      <c r="AT58" s="5">
        <f>IF(AM58,SUMPRODUCT(--(calc!$AM$3:$AM$132=TRUE),--(ROW(calc!$AM$3:$AM$132)&gt;ROW(AM58)),--(((calc!$AR$3:$AR$132&gt;AR58)*(calc!$AS$3:$AS$132&gt;AS58)+(calc!$AR$3:$AR$132&lt;AR58)*(calc!$AS$3:$AS$132&lt;AS58))&gt;0))-SUMPRODUCT(--(calc!$AM$3:$AM$132=TRUE),--(ROW(calc!$AM$3:$AM$132)&gt;ROW(AM58)),--(((calc!$AR$3:$AR$132&gt;AR58)*(calc!$AS$3:$AS$132&lt;AS58)+(calc!$AR$3:$AR$132&lt;AR58)*(calc!$AS$3:$AS$132&gt;AS58))&gt;0)),0)</f>
        <v/>
      </c>
      <c r="AU58" s="5">
        <f>IF(mos_metrics!K57="","",mos_metrics!K57)</f>
        <v/>
      </c>
      <c r="AV58" s="2">
        <f>AND($J58,ISNUMBER(AU58),correlation!$I$30=1)</f>
        <v/>
      </c>
      <c r="AW58" s="5">
        <f>IF(AV58,$F58,"")</f>
        <v/>
      </c>
      <c r="AX58" s="5">
        <f>IF(AV58,AU58*correlation!$J$30,"")</f>
        <v/>
      </c>
      <c r="AY58" s="5">
        <f>IF(AND(AV58,ISNUMBER(correlation!$F$30)),AX58*correlation!$F$30+correlation!$G$30,"")</f>
        <v/>
      </c>
      <c r="AZ58" s="5">
        <f>IF(AND(AV58,ISNUMBER(AY58)),(AW58-AY58)^2,"")</f>
        <v/>
      </c>
      <c r="BA58" s="5">
        <f>IF(AV58,1+SUMPRODUCT(--(calc!$AV$3:$AV$132=TRUE),--(calc!$AW$3:$AW$132&gt;AW58))+(SUMPRODUCT(--(calc!$AV$3:$AV$132=TRUE),--(calc!$AW$3:$AW$132=AW58))-1)/2,"")</f>
        <v/>
      </c>
      <c r="BB58" s="5">
        <f>IF(AV58,1+SUMPRODUCT(--(calc!$AV$3:$AV$132=TRUE),--(calc!$AX$3:$AX$132&gt;AX58))+(SUMPRODUCT(--(calc!$AV$3:$AV$132=TRUE),--(calc!$AX$3:$AX$132=AX58))-1)/2,"")</f>
        <v/>
      </c>
      <c r="BC58" s="5">
        <f>IF(AV58,SUMPRODUCT(--(calc!$AV$3:$AV$132=TRUE),--(ROW(calc!$AV$3:$AV$132)&gt;ROW(AV58)),--(((calc!$BA$3:$BA$132&gt;BA58)*(calc!$BB$3:$BB$132&gt;BB58)+(calc!$BA$3:$BA$132&lt;BA58)*(calc!$BB$3:$BB$132&lt;BB58))&gt;0))-SUMPRODUCT(--(calc!$AV$3:$AV$132=TRUE),--(ROW(calc!$AV$3:$AV$132)&gt;ROW(AV58)),--(((calc!$BA$3:$BA$132&gt;BA58)*(calc!$BB$3:$BB$132&lt;BB58)+(calc!$BA$3:$BA$132&lt;BA58)*(calc!$BB$3:$BB$132&gt;BB58))&gt;0)),0)</f>
        <v/>
      </c>
      <c r="BD58" s="5">
        <f>IF(mos_metrics!L57="","",mos_metrics!L57)</f>
        <v/>
      </c>
      <c r="BE58" s="2">
        <f>AND($J58,ISNUMBER(BD58),correlation!$I$31=1)</f>
        <v/>
      </c>
      <c r="BF58" s="5">
        <f>IF(BE58,$F58,"")</f>
        <v/>
      </c>
      <c r="BG58" s="5">
        <f>IF(BE58,BD58*correlation!$J$31,"")</f>
        <v/>
      </c>
      <c r="BH58" s="5">
        <f>IF(AND(BE58,ISNUMBER(correlation!$F$31)),BG58*correlation!$F$31+correlation!$G$31,"")</f>
        <v/>
      </c>
      <c r="BI58" s="5">
        <f>IF(AND(BE58,ISNUMBER(BH58)),(BF58-BH58)^2,"")</f>
        <v/>
      </c>
      <c r="BJ58" s="5">
        <f>IF(BE58,1+SUMPRODUCT(--(calc!$BE$3:$BE$132=TRUE),--(calc!$BF$3:$BF$132&gt;BF58))+(SUMPRODUCT(--(calc!$BE$3:$BE$132=TRUE),--(calc!$BF$3:$BF$132=BF58))-1)/2,"")</f>
        <v/>
      </c>
      <c r="BK58" s="5">
        <f>IF(BE58,1+SUMPRODUCT(--(calc!$BE$3:$BE$132=TRUE),--(calc!$BG$3:$BG$132&gt;BG58))+(SUMPRODUCT(--(calc!$BE$3:$BE$132=TRUE),--(calc!$BG$3:$BG$132=BG58))-1)/2,"")</f>
        <v/>
      </c>
      <c r="BL58" s="5">
        <f>IF(BE58,SUMPRODUCT(--(calc!$BE$3:$BE$132=TRUE),--(ROW(calc!$BE$3:$BE$132)&gt;ROW(BE58)),--(((calc!$BJ$3:$BJ$132&gt;BJ58)*(calc!$BK$3:$BK$132&gt;BK58)+(calc!$BJ$3:$BJ$132&lt;BJ58)*(calc!$BK$3:$BK$132&lt;BK58))&gt;0))-SUMPRODUCT(--(calc!$BE$3:$BE$132=TRUE),--(ROW(calc!$BE$3:$BE$132)&gt;ROW(BE58)),--(((calc!$BJ$3:$BJ$132&gt;BJ58)*(calc!$BK$3:$BK$132&lt;BK58)+(calc!$BJ$3:$BJ$132&lt;BJ58)*(calc!$BK$3:$BK$132&gt;BK58))&gt;0)),0)</f>
        <v/>
      </c>
      <c r="BM58" s="5">
        <f>IF(mos_metrics!M57="","",mos_metrics!M57)</f>
        <v/>
      </c>
      <c r="BN58" s="2">
        <f>AND($J58,ISNUMBER(BM58),correlation!$I$32=1)</f>
        <v/>
      </c>
      <c r="BO58" s="5">
        <f>IF(BN58,$F58,"")</f>
        <v/>
      </c>
      <c r="BP58" s="5">
        <f>IF(BN58,BM58*correlation!$J$32,"")</f>
        <v/>
      </c>
      <c r="BQ58" s="5">
        <f>IF(AND(BN58,ISNUMBER(correlation!$F$32)),BP58*correlation!$F$32+correlation!$G$32,"")</f>
        <v/>
      </c>
      <c r="BR58" s="5">
        <f>IF(AND(BN58,ISNUMBER(BQ58)),(BO58-BQ58)^2,"")</f>
        <v/>
      </c>
      <c r="BS58" s="5">
        <f>IF(BN58,1+SUMPRODUCT(--(calc!$BN$3:$BN$132=TRUE),--(calc!$BO$3:$BO$132&gt;BO58))+(SUMPRODUCT(--(calc!$BN$3:$BN$132=TRUE),--(calc!$BO$3:$BO$132=BO58))-1)/2,"")</f>
        <v/>
      </c>
      <c r="BT58" s="5">
        <f>IF(BN58,1+SUMPRODUCT(--(calc!$BN$3:$BN$132=TRUE),--(calc!$BP$3:$BP$132&gt;BP58))+(SUMPRODUCT(--(calc!$BN$3:$BN$132=TRUE),--(calc!$BP$3:$BP$132=BP58))-1)/2,"")</f>
        <v/>
      </c>
      <c r="BU58" s="5">
        <f>IF(BN58,SUMPRODUCT(--(calc!$BN$3:$BN$132=TRUE),--(ROW(calc!$BN$3:$BN$132)&gt;ROW(BN58)),--(((calc!$BS$3:$BS$132&gt;BS58)*(calc!$BT$3:$BT$132&gt;BT58)+(calc!$BS$3:$BS$132&lt;BS58)*(calc!$BT$3:$BT$132&lt;BT58))&gt;0))-SUMPRODUCT(--(calc!$BN$3:$BN$132=TRUE),--(ROW(calc!$BN$3:$BN$132)&gt;ROW(BN58)),--(((calc!$BS$3:$BS$132&gt;BS58)*(calc!$BT$3:$BT$132&lt;BT58)+(calc!$BS$3:$BS$132&lt;BS58)*(calc!$BT$3:$BT$132&gt;BT58))&gt;0)),0)</f>
        <v/>
      </c>
    </row>
    <row r="59">
      <c r="A59" s="2">
        <f>mos_metrics!A58</f>
        <v/>
      </c>
      <c r="B59" s="2">
        <f>mos_metrics!B58</f>
        <v/>
      </c>
      <c r="C59" s="2">
        <f>mos_metrics!C58</f>
        <v/>
      </c>
      <c r="D59" s="2">
        <f>mos_metrics!D58</f>
        <v/>
      </c>
      <c r="E59" s="2">
        <f>mos_metrics!E58</f>
        <v/>
      </c>
      <c r="F59" s="2">
        <f>mos_metrics!F58</f>
        <v/>
      </c>
      <c r="G59" s="2">
        <f>IF($B59="","",IFERROR(VLOOKUP($B59,correlation!$A$2:$B$12,2,FALSE),1))</f>
        <v/>
      </c>
      <c r="H59" s="2">
        <f>IF($E59="","",IFERROR(VLOOKUP($E59,correlation!$D$2:$E$8,2,FALSE),1))</f>
        <v/>
      </c>
      <c r="I59" s="2">
        <f>ISNUMBER($F59)</f>
        <v/>
      </c>
      <c r="J59" s="2">
        <f>AND($G59=1,$H59=1,$I59)</f>
        <v/>
      </c>
      <c r="K59" s="5">
        <f>IF(mos_metrics!G58="","",mos_metrics!G58)</f>
        <v/>
      </c>
      <c r="L59" s="2">
        <f>AND($J59,ISNUMBER(K59),correlation!$I$26=1)</f>
        <v/>
      </c>
      <c r="M59" s="5">
        <f>IF(L59,$F59,"")</f>
        <v/>
      </c>
      <c r="N59" s="5">
        <f>IF(L59,K59*correlation!$J$26,"")</f>
        <v/>
      </c>
      <c r="O59" s="5">
        <f>IF(AND(L59,ISNUMBER(correlation!$F$26)),N59*correlation!$F$26+correlation!$G$26,"")</f>
        <v/>
      </c>
      <c r="P59" s="5">
        <f>IF(AND(L59,ISNUMBER(O59)),(M59-O59)^2,"")</f>
        <v/>
      </c>
      <c r="Q59" s="5">
        <f>IF(L59,1+SUMPRODUCT(--(calc!$L$3:$L$132=TRUE),--(calc!$M$3:$M$132&gt;M59))+(SUMPRODUCT(--(calc!$L$3:$L$132=TRUE),--(calc!$M$3:$M$132=M59))-1)/2,"")</f>
        <v/>
      </c>
      <c r="R59" s="5">
        <f>IF(L59,1+SUMPRODUCT(--(calc!$L$3:$L$132=TRUE),--(calc!$N$3:$N$132&gt;N59))+(SUMPRODUCT(--(calc!$L$3:$L$132=TRUE),--(calc!$N$3:$N$132=N59))-1)/2,"")</f>
        <v/>
      </c>
      <c r="S59" s="5">
        <f>IF(L59,SUMPRODUCT(--(calc!$L$3:$L$132=TRUE),--(ROW(calc!$L$3:$L$132)&gt;ROW(L59)),--(((calc!$Q$3:$Q$132&gt;Q59)*(calc!$R$3:$R$132&gt;R59)+(calc!$Q$3:$Q$132&lt;Q59)*(calc!$R$3:$R$132&lt;R59))&gt;0))-SUMPRODUCT(--(calc!$L$3:$L$132=TRUE),--(ROW(calc!$L$3:$L$132)&gt;ROW(L59)),--(((calc!$Q$3:$Q$132&gt;Q59)*(calc!$R$3:$R$132&lt;R59)+(calc!$Q$3:$Q$132&lt;Q59)*(calc!$R$3:$R$132&gt;R59))&gt;0)),0)</f>
        <v/>
      </c>
      <c r="T59" s="5">
        <f>IF(mos_metrics!H58="","",mos_metrics!H58)</f>
        <v/>
      </c>
      <c r="U59" s="2">
        <f>AND($J59,ISNUMBER(T59),correlation!$I$27=1)</f>
        <v/>
      </c>
      <c r="V59" s="5">
        <f>IF(U59,$F59,"")</f>
        <v/>
      </c>
      <c r="W59" s="5">
        <f>IF(U59,T59*correlation!$J$27,"")</f>
        <v/>
      </c>
      <c r="X59" s="5">
        <f>IF(AND(U59,ISNUMBER(correlation!$F$27)),W59*correlation!$F$27+correlation!$G$27,"")</f>
        <v/>
      </c>
      <c r="Y59" s="5">
        <f>IF(AND(U59,ISNUMBER(X59)),(V59-X59)^2,"")</f>
        <v/>
      </c>
      <c r="Z59" s="5">
        <f>IF(U59,1+SUMPRODUCT(--(calc!$U$3:$U$132=TRUE),--(calc!$V$3:$V$132&gt;V59))+(SUMPRODUCT(--(calc!$U$3:$U$132=TRUE),--(calc!$V$3:$V$132=V59))-1)/2,"")</f>
        <v/>
      </c>
      <c r="AA59" s="5">
        <f>IF(U59,1+SUMPRODUCT(--(calc!$U$3:$U$132=TRUE),--(calc!$W$3:$W$132&gt;W59))+(SUMPRODUCT(--(calc!$U$3:$U$132=TRUE),--(calc!$W$3:$W$132=W59))-1)/2,"")</f>
        <v/>
      </c>
      <c r="AB59" s="5">
        <f>IF(U59,SUMPRODUCT(--(calc!$U$3:$U$132=TRUE),--(ROW(calc!$U$3:$U$132)&gt;ROW(U59)),--(((calc!$Z$3:$Z$132&gt;Z59)*(calc!$AA$3:$AA$132&gt;AA59)+(calc!$Z$3:$Z$132&lt;Z59)*(calc!$AA$3:$AA$132&lt;AA59))&gt;0))-SUMPRODUCT(--(calc!$U$3:$U$132=TRUE),--(ROW(calc!$U$3:$U$132)&gt;ROW(U59)),--(((calc!$Z$3:$Z$132&gt;Z59)*(calc!$AA$3:$AA$132&lt;AA59)+(calc!$Z$3:$Z$132&lt;Z59)*(calc!$AA$3:$AA$132&gt;AA59))&gt;0)),0)</f>
        <v/>
      </c>
      <c r="AC59" s="5">
        <f>IF(mos_metrics!I58="","",mos_metrics!I58)</f>
        <v/>
      </c>
      <c r="AD59" s="2">
        <f>AND($J59,ISNUMBER(AC59),correlation!$I$28=1)</f>
        <v/>
      </c>
      <c r="AE59" s="5">
        <f>IF(AD59,$F59,"")</f>
        <v/>
      </c>
      <c r="AF59" s="5">
        <f>IF(AD59,AC59*correlation!$J$28,"")</f>
        <v/>
      </c>
      <c r="AG59" s="5">
        <f>IF(AND(AD59,ISNUMBER(correlation!$F$28)),AF59*correlation!$F$28+correlation!$G$28,"")</f>
        <v/>
      </c>
      <c r="AH59" s="5">
        <f>IF(AND(AD59,ISNUMBER(AG59)),(AE59-AG59)^2,"")</f>
        <v/>
      </c>
      <c r="AI59" s="5">
        <f>IF(AD59,1+SUMPRODUCT(--(calc!$AD$3:$AD$132=TRUE),--(calc!$AE$3:$AE$132&gt;AE59))+(SUMPRODUCT(--(calc!$AD$3:$AD$132=TRUE),--(calc!$AE$3:$AE$132=AE59))-1)/2,"")</f>
        <v/>
      </c>
      <c r="AJ59" s="5">
        <f>IF(AD59,1+SUMPRODUCT(--(calc!$AD$3:$AD$132=TRUE),--(calc!$AF$3:$AF$132&gt;AF59))+(SUMPRODUCT(--(calc!$AD$3:$AD$132=TRUE),--(calc!$AF$3:$AF$132=AF59))-1)/2,"")</f>
        <v/>
      </c>
      <c r="AK59" s="5">
        <f>IF(AD59,SUMPRODUCT(--(calc!$AD$3:$AD$132=TRUE),--(ROW(calc!$AD$3:$AD$132)&gt;ROW(AD59)),--(((calc!$AI$3:$AI$132&gt;AI59)*(calc!$AJ$3:$AJ$132&gt;AJ59)+(calc!$AI$3:$AI$132&lt;AI59)*(calc!$AJ$3:$AJ$132&lt;AJ59))&gt;0))-SUMPRODUCT(--(calc!$AD$3:$AD$132=TRUE),--(ROW(calc!$AD$3:$AD$132)&gt;ROW(AD59)),--(((calc!$AI$3:$AI$132&gt;AI59)*(calc!$AJ$3:$AJ$132&lt;AJ59)+(calc!$AI$3:$AI$132&lt;AI59)*(calc!$AJ$3:$AJ$132&gt;AJ59))&gt;0)),0)</f>
        <v/>
      </c>
      <c r="AL59" s="5">
        <f>IF(mos_metrics!J58="","",mos_metrics!J58)</f>
        <v/>
      </c>
      <c r="AM59" s="2">
        <f>AND($J59,ISNUMBER(AL59),correlation!$I$29=1)</f>
        <v/>
      </c>
      <c r="AN59" s="5">
        <f>IF(AM59,$F59,"")</f>
        <v/>
      </c>
      <c r="AO59" s="5">
        <f>IF(AM59,AL59*correlation!$J$29,"")</f>
        <v/>
      </c>
      <c r="AP59" s="5">
        <f>IF(AND(AM59,ISNUMBER(correlation!$F$29)),AO59*correlation!$F$29+correlation!$G$29,"")</f>
        <v/>
      </c>
      <c r="AQ59" s="5">
        <f>IF(AND(AM59,ISNUMBER(AP59)),(AN59-AP59)^2,"")</f>
        <v/>
      </c>
      <c r="AR59" s="5">
        <f>IF(AM59,1+SUMPRODUCT(--(calc!$AM$3:$AM$132=TRUE),--(calc!$AN$3:$AN$132&gt;AN59))+(SUMPRODUCT(--(calc!$AM$3:$AM$132=TRUE),--(calc!$AN$3:$AN$132=AN59))-1)/2,"")</f>
        <v/>
      </c>
      <c r="AS59" s="5">
        <f>IF(AM59,1+SUMPRODUCT(--(calc!$AM$3:$AM$132=TRUE),--(calc!$AO$3:$AO$132&gt;AO59))+(SUMPRODUCT(--(calc!$AM$3:$AM$132=TRUE),--(calc!$AO$3:$AO$132=AO59))-1)/2,"")</f>
        <v/>
      </c>
      <c r="AT59" s="5">
        <f>IF(AM59,SUMPRODUCT(--(calc!$AM$3:$AM$132=TRUE),--(ROW(calc!$AM$3:$AM$132)&gt;ROW(AM59)),--(((calc!$AR$3:$AR$132&gt;AR59)*(calc!$AS$3:$AS$132&gt;AS59)+(calc!$AR$3:$AR$132&lt;AR59)*(calc!$AS$3:$AS$132&lt;AS59))&gt;0))-SUMPRODUCT(--(calc!$AM$3:$AM$132=TRUE),--(ROW(calc!$AM$3:$AM$132)&gt;ROW(AM59)),--(((calc!$AR$3:$AR$132&gt;AR59)*(calc!$AS$3:$AS$132&lt;AS59)+(calc!$AR$3:$AR$132&lt;AR59)*(calc!$AS$3:$AS$132&gt;AS59))&gt;0)),0)</f>
        <v/>
      </c>
      <c r="AU59" s="5">
        <f>IF(mos_metrics!K58="","",mos_metrics!K58)</f>
        <v/>
      </c>
      <c r="AV59" s="2">
        <f>AND($J59,ISNUMBER(AU59),correlation!$I$30=1)</f>
        <v/>
      </c>
      <c r="AW59" s="5">
        <f>IF(AV59,$F59,"")</f>
        <v/>
      </c>
      <c r="AX59" s="5">
        <f>IF(AV59,AU59*correlation!$J$30,"")</f>
        <v/>
      </c>
      <c r="AY59" s="5">
        <f>IF(AND(AV59,ISNUMBER(correlation!$F$30)),AX59*correlation!$F$30+correlation!$G$30,"")</f>
        <v/>
      </c>
      <c r="AZ59" s="5">
        <f>IF(AND(AV59,ISNUMBER(AY59)),(AW59-AY59)^2,"")</f>
        <v/>
      </c>
      <c r="BA59" s="5">
        <f>IF(AV59,1+SUMPRODUCT(--(calc!$AV$3:$AV$132=TRUE),--(calc!$AW$3:$AW$132&gt;AW59))+(SUMPRODUCT(--(calc!$AV$3:$AV$132=TRUE),--(calc!$AW$3:$AW$132=AW59))-1)/2,"")</f>
        <v/>
      </c>
      <c r="BB59" s="5">
        <f>IF(AV59,1+SUMPRODUCT(--(calc!$AV$3:$AV$132=TRUE),--(calc!$AX$3:$AX$132&gt;AX59))+(SUMPRODUCT(--(calc!$AV$3:$AV$132=TRUE),--(calc!$AX$3:$AX$132=AX59))-1)/2,"")</f>
        <v/>
      </c>
      <c r="BC59" s="5">
        <f>IF(AV59,SUMPRODUCT(--(calc!$AV$3:$AV$132=TRUE),--(ROW(calc!$AV$3:$AV$132)&gt;ROW(AV59)),--(((calc!$BA$3:$BA$132&gt;BA59)*(calc!$BB$3:$BB$132&gt;BB59)+(calc!$BA$3:$BA$132&lt;BA59)*(calc!$BB$3:$BB$132&lt;BB59))&gt;0))-SUMPRODUCT(--(calc!$AV$3:$AV$132=TRUE),--(ROW(calc!$AV$3:$AV$132)&gt;ROW(AV59)),--(((calc!$BA$3:$BA$132&gt;BA59)*(calc!$BB$3:$BB$132&lt;BB59)+(calc!$BA$3:$BA$132&lt;BA59)*(calc!$BB$3:$BB$132&gt;BB59))&gt;0)),0)</f>
        <v/>
      </c>
      <c r="BD59" s="5">
        <f>IF(mos_metrics!L58="","",mos_metrics!L58)</f>
        <v/>
      </c>
      <c r="BE59" s="2">
        <f>AND($J59,ISNUMBER(BD59),correlation!$I$31=1)</f>
        <v/>
      </c>
      <c r="BF59" s="5">
        <f>IF(BE59,$F59,"")</f>
        <v/>
      </c>
      <c r="BG59" s="5">
        <f>IF(BE59,BD59*correlation!$J$31,"")</f>
        <v/>
      </c>
      <c r="BH59" s="5">
        <f>IF(AND(BE59,ISNUMBER(correlation!$F$31)),BG59*correlation!$F$31+correlation!$G$31,"")</f>
        <v/>
      </c>
      <c r="BI59" s="5">
        <f>IF(AND(BE59,ISNUMBER(BH59)),(BF59-BH59)^2,"")</f>
        <v/>
      </c>
      <c r="BJ59" s="5">
        <f>IF(BE59,1+SUMPRODUCT(--(calc!$BE$3:$BE$132=TRUE),--(calc!$BF$3:$BF$132&gt;BF59))+(SUMPRODUCT(--(calc!$BE$3:$BE$132=TRUE),--(calc!$BF$3:$BF$132=BF59))-1)/2,"")</f>
        <v/>
      </c>
      <c r="BK59" s="5">
        <f>IF(BE59,1+SUMPRODUCT(--(calc!$BE$3:$BE$132=TRUE),--(calc!$BG$3:$BG$132&gt;BG59))+(SUMPRODUCT(--(calc!$BE$3:$BE$132=TRUE),--(calc!$BG$3:$BG$132=BG59))-1)/2,"")</f>
        <v/>
      </c>
      <c r="BL59" s="5">
        <f>IF(BE59,SUMPRODUCT(--(calc!$BE$3:$BE$132=TRUE),--(ROW(calc!$BE$3:$BE$132)&gt;ROW(BE59)),--(((calc!$BJ$3:$BJ$132&gt;BJ59)*(calc!$BK$3:$BK$132&gt;BK59)+(calc!$BJ$3:$BJ$132&lt;BJ59)*(calc!$BK$3:$BK$132&lt;BK59))&gt;0))-SUMPRODUCT(--(calc!$BE$3:$BE$132=TRUE),--(ROW(calc!$BE$3:$BE$132)&gt;ROW(BE59)),--(((calc!$BJ$3:$BJ$132&gt;BJ59)*(calc!$BK$3:$BK$132&lt;BK59)+(calc!$BJ$3:$BJ$132&lt;BJ59)*(calc!$BK$3:$BK$132&gt;BK59))&gt;0)),0)</f>
        <v/>
      </c>
      <c r="BM59" s="5">
        <f>IF(mos_metrics!M58="","",mos_metrics!M58)</f>
        <v/>
      </c>
      <c r="BN59" s="2">
        <f>AND($J59,ISNUMBER(BM59),correlation!$I$32=1)</f>
        <v/>
      </c>
      <c r="BO59" s="5">
        <f>IF(BN59,$F59,"")</f>
        <v/>
      </c>
      <c r="BP59" s="5">
        <f>IF(BN59,BM59*correlation!$J$32,"")</f>
        <v/>
      </c>
      <c r="BQ59" s="5">
        <f>IF(AND(BN59,ISNUMBER(correlation!$F$32)),BP59*correlation!$F$32+correlation!$G$32,"")</f>
        <v/>
      </c>
      <c r="BR59" s="5">
        <f>IF(AND(BN59,ISNUMBER(BQ59)),(BO59-BQ59)^2,"")</f>
        <v/>
      </c>
      <c r="BS59" s="5">
        <f>IF(BN59,1+SUMPRODUCT(--(calc!$BN$3:$BN$132=TRUE),--(calc!$BO$3:$BO$132&gt;BO59))+(SUMPRODUCT(--(calc!$BN$3:$BN$132=TRUE),--(calc!$BO$3:$BO$132=BO59))-1)/2,"")</f>
        <v/>
      </c>
      <c r="BT59" s="5">
        <f>IF(BN59,1+SUMPRODUCT(--(calc!$BN$3:$BN$132=TRUE),--(calc!$BP$3:$BP$132&gt;BP59))+(SUMPRODUCT(--(calc!$BN$3:$BN$132=TRUE),--(calc!$BP$3:$BP$132=BP59))-1)/2,"")</f>
        <v/>
      </c>
      <c r="BU59" s="5">
        <f>IF(BN59,SUMPRODUCT(--(calc!$BN$3:$BN$132=TRUE),--(ROW(calc!$BN$3:$BN$132)&gt;ROW(BN59)),--(((calc!$BS$3:$BS$132&gt;BS59)*(calc!$BT$3:$BT$132&gt;BT59)+(calc!$BS$3:$BS$132&lt;BS59)*(calc!$BT$3:$BT$132&lt;BT59))&gt;0))-SUMPRODUCT(--(calc!$BN$3:$BN$132=TRUE),--(ROW(calc!$BN$3:$BN$132)&gt;ROW(BN59)),--(((calc!$BS$3:$BS$132&gt;BS59)*(calc!$BT$3:$BT$132&lt;BT59)+(calc!$BS$3:$BS$132&lt;BS59)*(calc!$BT$3:$BT$132&gt;BT59))&gt;0)),0)</f>
        <v/>
      </c>
    </row>
    <row r="60">
      <c r="A60" s="2">
        <f>mos_metrics!A59</f>
        <v/>
      </c>
      <c r="B60" s="2">
        <f>mos_metrics!B59</f>
        <v/>
      </c>
      <c r="C60" s="2">
        <f>mos_metrics!C59</f>
        <v/>
      </c>
      <c r="D60" s="2">
        <f>mos_metrics!D59</f>
        <v/>
      </c>
      <c r="E60" s="2">
        <f>mos_metrics!E59</f>
        <v/>
      </c>
      <c r="F60" s="2">
        <f>mos_metrics!F59</f>
        <v/>
      </c>
      <c r="G60" s="2">
        <f>IF($B60="","",IFERROR(VLOOKUP($B60,correlation!$A$2:$B$12,2,FALSE),1))</f>
        <v/>
      </c>
      <c r="H60" s="2">
        <f>IF($E60="","",IFERROR(VLOOKUP($E60,correlation!$D$2:$E$8,2,FALSE),1))</f>
        <v/>
      </c>
      <c r="I60" s="2">
        <f>ISNUMBER($F60)</f>
        <v/>
      </c>
      <c r="J60" s="2">
        <f>AND($G60=1,$H60=1,$I60)</f>
        <v/>
      </c>
      <c r="K60" s="5">
        <f>IF(mos_metrics!G59="","",mos_metrics!G59)</f>
        <v/>
      </c>
      <c r="L60" s="2">
        <f>AND($J60,ISNUMBER(K60),correlation!$I$26=1)</f>
        <v/>
      </c>
      <c r="M60" s="5">
        <f>IF(L60,$F60,"")</f>
        <v/>
      </c>
      <c r="N60" s="5">
        <f>IF(L60,K60*correlation!$J$26,"")</f>
        <v/>
      </c>
      <c r="O60" s="5">
        <f>IF(AND(L60,ISNUMBER(correlation!$F$26)),N60*correlation!$F$26+correlation!$G$26,"")</f>
        <v/>
      </c>
      <c r="P60" s="5">
        <f>IF(AND(L60,ISNUMBER(O60)),(M60-O60)^2,"")</f>
        <v/>
      </c>
      <c r="Q60" s="5">
        <f>IF(L60,1+SUMPRODUCT(--(calc!$L$3:$L$132=TRUE),--(calc!$M$3:$M$132&gt;M60))+(SUMPRODUCT(--(calc!$L$3:$L$132=TRUE),--(calc!$M$3:$M$132=M60))-1)/2,"")</f>
        <v/>
      </c>
      <c r="R60" s="5">
        <f>IF(L60,1+SUMPRODUCT(--(calc!$L$3:$L$132=TRUE),--(calc!$N$3:$N$132&gt;N60))+(SUMPRODUCT(--(calc!$L$3:$L$132=TRUE),--(calc!$N$3:$N$132=N60))-1)/2,"")</f>
        <v/>
      </c>
      <c r="S60" s="5">
        <f>IF(L60,SUMPRODUCT(--(calc!$L$3:$L$132=TRUE),--(ROW(calc!$L$3:$L$132)&gt;ROW(L60)),--(((calc!$Q$3:$Q$132&gt;Q60)*(calc!$R$3:$R$132&gt;R60)+(calc!$Q$3:$Q$132&lt;Q60)*(calc!$R$3:$R$132&lt;R60))&gt;0))-SUMPRODUCT(--(calc!$L$3:$L$132=TRUE),--(ROW(calc!$L$3:$L$132)&gt;ROW(L60)),--(((calc!$Q$3:$Q$132&gt;Q60)*(calc!$R$3:$R$132&lt;R60)+(calc!$Q$3:$Q$132&lt;Q60)*(calc!$R$3:$R$132&gt;R60))&gt;0)),0)</f>
        <v/>
      </c>
      <c r="T60" s="5">
        <f>IF(mos_metrics!H59="","",mos_metrics!H59)</f>
        <v/>
      </c>
      <c r="U60" s="2">
        <f>AND($J60,ISNUMBER(T60),correlation!$I$27=1)</f>
        <v/>
      </c>
      <c r="V60" s="5">
        <f>IF(U60,$F60,"")</f>
        <v/>
      </c>
      <c r="W60" s="5">
        <f>IF(U60,T60*correlation!$J$27,"")</f>
        <v/>
      </c>
      <c r="X60" s="5">
        <f>IF(AND(U60,ISNUMBER(correlation!$F$27)),W60*correlation!$F$27+correlation!$G$27,"")</f>
        <v/>
      </c>
      <c r="Y60" s="5">
        <f>IF(AND(U60,ISNUMBER(X60)),(V60-X60)^2,"")</f>
        <v/>
      </c>
      <c r="Z60" s="5">
        <f>IF(U60,1+SUMPRODUCT(--(calc!$U$3:$U$132=TRUE),--(calc!$V$3:$V$132&gt;V60))+(SUMPRODUCT(--(calc!$U$3:$U$132=TRUE),--(calc!$V$3:$V$132=V60))-1)/2,"")</f>
        <v/>
      </c>
      <c r="AA60" s="5">
        <f>IF(U60,1+SUMPRODUCT(--(calc!$U$3:$U$132=TRUE),--(calc!$W$3:$W$132&gt;W60))+(SUMPRODUCT(--(calc!$U$3:$U$132=TRUE),--(calc!$W$3:$W$132=W60))-1)/2,"")</f>
        <v/>
      </c>
      <c r="AB60" s="5">
        <f>IF(U60,SUMPRODUCT(--(calc!$U$3:$U$132=TRUE),--(ROW(calc!$U$3:$U$132)&gt;ROW(U60)),--(((calc!$Z$3:$Z$132&gt;Z60)*(calc!$AA$3:$AA$132&gt;AA60)+(calc!$Z$3:$Z$132&lt;Z60)*(calc!$AA$3:$AA$132&lt;AA60))&gt;0))-SUMPRODUCT(--(calc!$U$3:$U$132=TRUE),--(ROW(calc!$U$3:$U$132)&gt;ROW(U60)),--(((calc!$Z$3:$Z$132&gt;Z60)*(calc!$AA$3:$AA$132&lt;AA60)+(calc!$Z$3:$Z$132&lt;Z60)*(calc!$AA$3:$AA$132&gt;AA60))&gt;0)),0)</f>
        <v/>
      </c>
      <c r="AC60" s="5">
        <f>IF(mos_metrics!I59="","",mos_metrics!I59)</f>
        <v/>
      </c>
      <c r="AD60" s="2">
        <f>AND($J60,ISNUMBER(AC60),correlation!$I$28=1)</f>
        <v/>
      </c>
      <c r="AE60" s="5">
        <f>IF(AD60,$F60,"")</f>
        <v/>
      </c>
      <c r="AF60" s="5">
        <f>IF(AD60,AC60*correlation!$J$28,"")</f>
        <v/>
      </c>
      <c r="AG60" s="5">
        <f>IF(AND(AD60,ISNUMBER(correlation!$F$28)),AF60*correlation!$F$28+correlation!$G$28,"")</f>
        <v/>
      </c>
      <c r="AH60" s="5">
        <f>IF(AND(AD60,ISNUMBER(AG60)),(AE60-AG60)^2,"")</f>
        <v/>
      </c>
      <c r="AI60" s="5">
        <f>IF(AD60,1+SUMPRODUCT(--(calc!$AD$3:$AD$132=TRUE),--(calc!$AE$3:$AE$132&gt;AE60))+(SUMPRODUCT(--(calc!$AD$3:$AD$132=TRUE),--(calc!$AE$3:$AE$132=AE60))-1)/2,"")</f>
        <v/>
      </c>
      <c r="AJ60" s="5">
        <f>IF(AD60,1+SUMPRODUCT(--(calc!$AD$3:$AD$132=TRUE),--(calc!$AF$3:$AF$132&gt;AF60))+(SUMPRODUCT(--(calc!$AD$3:$AD$132=TRUE),--(calc!$AF$3:$AF$132=AF60))-1)/2,"")</f>
        <v/>
      </c>
      <c r="AK60" s="5">
        <f>IF(AD60,SUMPRODUCT(--(calc!$AD$3:$AD$132=TRUE),--(ROW(calc!$AD$3:$AD$132)&gt;ROW(AD60)),--(((calc!$AI$3:$AI$132&gt;AI60)*(calc!$AJ$3:$AJ$132&gt;AJ60)+(calc!$AI$3:$AI$132&lt;AI60)*(calc!$AJ$3:$AJ$132&lt;AJ60))&gt;0))-SUMPRODUCT(--(calc!$AD$3:$AD$132=TRUE),--(ROW(calc!$AD$3:$AD$132)&gt;ROW(AD60)),--(((calc!$AI$3:$AI$132&gt;AI60)*(calc!$AJ$3:$AJ$132&lt;AJ60)+(calc!$AI$3:$AI$132&lt;AI60)*(calc!$AJ$3:$AJ$132&gt;AJ60))&gt;0)),0)</f>
        <v/>
      </c>
      <c r="AL60" s="5">
        <f>IF(mos_metrics!J59="","",mos_metrics!J59)</f>
        <v/>
      </c>
      <c r="AM60" s="2">
        <f>AND($J60,ISNUMBER(AL60),correlation!$I$29=1)</f>
        <v/>
      </c>
      <c r="AN60" s="5">
        <f>IF(AM60,$F60,"")</f>
        <v/>
      </c>
      <c r="AO60" s="5">
        <f>IF(AM60,AL60*correlation!$J$29,"")</f>
        <v/>
      </c>
      <c r="AP60" s="5">
        <f>IF(AND(AM60,ISNUMBER(correlation!$F$29)),AO60*correlation!$F$29+correlation!$G$29,"")</f>
        <v/>
      </c>
      <c r="AQ60" s="5">
        <f>IF(AND(AM60,ISNUMBER(AP60)),(AN60-AP60)^2,"")</f>
        <v/>
      </c>
      <c r="AR60" s="5">
        <f>IF(AM60,1+SUMPRODUCT(--(calc!$AM$3:$AM$132=TRUE),--(calc!$AN$3:$AN$132&gt;AN60))+(SUMPRODUCT(--(calc!$AM$3:$AM$132=TRUE),--(calc!$AN$3:$AN$132=AN60))-1)/2,"")</f>
        <v/>
      </c>
      <c r="AS60" s="5">
        <f>IF(AM60,1+SUMPRODUCT(--(calc!$AM$3:$AM$132=TRUE),--(calc!$AO$3:$AO$132&gt;AO60))+(SUMPRODUCT(--(calc!$AM$3:$AM$132=TRUE),--(calc!$AO$3:$AO$132=AO60))-1)/2,"")</f>
        <v/>
      </c>
      <c r="AT60" s="5">
        <f>IF(AM60,SUMPRODUCT(--(calc!$AM$3:$AM$132=TRUE),--(ROW(calc!$AM$3:$AM$132)&gt;ROW(AM60)),--(((calc!$AR$3:$AR$132&gt;AR60)*(calc!$AS$3:$AS$132&gt;AS60)+(calc!$AR$3:$AR$132&lt;AR60)*(calc!$AS$3:$AS$132&lt;AS60))&gt;0))-SUMPRODUCT(--(calc!$AM$3:$AM$132=TRUE),--(ROW(calc!$AM$3:$AM$132)&gt;ROW(AM60)),--(((calc!$AR$3:$AR$132&gt;AR60)*(calc!$AS$3:$AS$132&lt;AS60)+(calc!$AR$3:$AR$132&lt;AR60)*(calc!$AS$3:$AS$132&gt;AS60))&gt;0)),0)</f>
        <v/>
      </c>
      <c r="AU60" s="5">
        <f>IF(mos_metrics!K59="","",mos_metrics!K59)</f>
        <v/>
      </c>
      <c r="AV60" s="2">
        <f>AND($J60,ISNUMBER(AU60),correlation!$I$30=1)</f>
        <v/>
      </c>
      <c r="AW60" s="5">
        <f>IF(AV60,$F60,"")</f>
        <v/>
      </c>
      <c r="AX60" s="5">
        <f>IF(AV60,AU60*correlation!$J$30,"")</f>
        <v/>
      </c>
      <c r="AY60" s="5">
        <f>IF(AND(AV60,ISNUMBER(correlation!$F$30)),AX60*correlation!$F$30+correlation!$G$30,"")</f>
        <v/>
      </c>
      <c r="AZ60" s="5">
        <f>IF(AND(AV60,ISNUMBER(AY60)),(AW60-AY60)^2,"")</f>
        <v/>
      </c>
      <c r="BA60" s="5">
        <f>IF(AV60,1+SUMPRODUCT(--(calc!$AV$3:$AV$132=TRUE),--(calc!$AW$3:$AW$132&gt;AW60))+(SUMPRODUCT(--(calc!$AV$3:$AV$132=TRUE),--(calc!$AW$3:$AW$132=AW60))-1)/2,"")</f>
        <v/>
      </c>
      <c r="BB60" s="5">
        <f>IF(AV60,1+SUMPRODUCT(--(calc!$AV$3:$AV$132=TRUE),--(calc!$AX$3:$AX$132&gt;AX60))+(SUMPRODUCT(--(calc!$AV$3:$AV$132=TRUE),--(calc!$AX$3:$AX$132=AX60))-1)/2,"")</f>
        <v/>
      </c>
      <c r="BC60" s="5">
        <f>IF(AV60,SUMPRODUCT(--(calc!$AV$3:$AV$132=TRUE),--(ROW(calc!$AV$3:$AV$132)&gt;ROW(AV60)),--(((calc!$BA$3:$BA$132&gt;BA60)*(calc!$BB$3:$BB$132&gt;BB60)+(calc!$BA$3:$BA$132&lt;BA60)*(calc!$BB$3:$BB$132&lt;BB60))&gt;0))-SUMPRODUCT(--(calc!$AV$3:$AV$132=TRUE),--(ROW(calc!$AV$3:$AV$132)&gt;ROW(AV60)),--(((calc!$BA$3:$BA$132&gt;BA60)*(calc!$BB$3:$BB$132&lt;BB60)+(calc!$BA$3:$BA$132&lt;BA60)*(calc!$BB$3:$BB$132&gt;BB60))&gt;0)),0)</f>
        <v/>
      </c>
      <c r="BD60" s="5">
        <f>IF(mos_metrics!L59="","",mos_metrics!L59)</f>
        <v/>
      </c>
      <c r="BE60" s="2">
        <f>AND($J60,ISNUMBER(BD60),correlation!$I$31=1)</f>
        <v/>
      </c>
      <c r="BF60" s="5">
        <f>IF(BE60,$F60,"")</f>
        <v/>
      </c>
      <c r="BG60" s="5">
        <f>IF(BE60,BD60*correlation!$J$31,"")</f>
        <v/>
      </c>
      <c r="BH60" s="5">
        <f>IF(AND(BE60,ISNUMBER(correlation!$F$31)),BG60*correlation!$F$31+correlation!$G$31,"")</f>
        <v/>
      </c>
      <c r="BI60" s="5">
        <f>IF(AND(BE60,ISNUMBER(BH60)),(BF60-BH60)^2,"")</f>
        <v/>
      </c>
      <c r="BJ60" s="5">
        <f>IF(BE60,1+SUMPRODUCT(--(calc!$BE$3:$BE$132=TRUE),--(calc!$BF$3:$BF$132&gt;BF60))+(SUMPRODUCT(--(calc!$BE$3:$BE$132=TRUE),--(calc!$BF$3:$BF$132=BF60))-1)/2,"")</f>
        <v/>
      </c>
      <c r="BK60" s="5">
        <f>IF(BE60,1+SUMPRODUCT(--(calc!$BE$3:$BE$132=TRUE),--(calc!$BG$3:$BG$132&gt;BG60))+(SUMPRODUCT(--(calc!$BE$3:$BE$132=TRUE),--(calc!$BG$3:$BG$132=BG60))-1)/2,"")</f>
        <v/>
      </c>
      <c r="BL60" s="5">
        <f>IF(BE60,SUMPRODUCT(--(calc!$BE$3:$BE$132=TRUE),--(ROW(calc!$BE$3:$BE$132)&gt;ROW(BE60)),--(((calc!$BJ$3:$BJ$132&gt;BJ60)*(calc!$BK$3:$BK$132&gt;BK60)+(calc!$BJ$3:$BJ$132&lt;BJ60)*(calc!$BK$3:$BK$132&lt;BK60))&gt;0))-SUMPRODUCT(--(calc!$BE$3:$BE$132=TRUE),--(ROW(calc!$BE$3:$BE$132)&gt;ROW(BE60)),--(((calc!$BJ$3:$BJ$132&gt;BJ60)*(calc!$BK$3:$BK$132&lt;BK60)+(calc!$BJ$3:$BJ$132&lt;BJ60)*(calc!$BK$3:$BK$132&gt;BK60))&gt;0)),0)</f>
        <v/>
      </c>
      <c r="BM60" s="5">
        <f>IF(mos_metrics!M59="","",mos_metrics!M59)</f>
        <v/>
      </c>
      <c r="BN60" s="2">
        <f>AND($J60,ISNUMBER(BM60),correlation!$I$32=1)</f>
        <v/>
      </c>
      <c r="BO60" s="5">
        <f>IF(BN60,$F60,"")</f>
        <v/>
      </c>
      <c r="BP60" s="5">
        <f>IF(BN60,BM60*correlation!$J$32,"")</f>
        <v/>
      </c>
      <c r="BQ60" s="5">
        <f>IF(AND(BN60,ISNUMBER(correlation!$F$32)),BP60*correlation!$F$32+correlation!$G$32,"")</f>
        <v/>
      </c>
      <c r="BR60" s="5">
        <f>IF(AND(BN60,ISNUMBER(BQ60)),(BO60-BQ60)^2,"")</f>
        <v/>
      </c>
      <c r="BS60" s="5">
        <f>IF(BN60,1+SUMPRODUCT(--(calc!$BN$3:$BN$132=TRUE),--(calc!$BO$3:$BO$132&gt;BO60))+(SUMPRODUCT(--(calc!$BN$3:$BN$132=TRUE),--(calc!$BO$3:$BO$132=BO60))-1)/2,"")</f>
        <v/>
      </c>
      <c r="BT60" s="5">
        <f>IF(BN60,1+SUMPRODUCT(--(calc!$BN$3:$BN$132=TRUE),--(calc!$BP$3:$BP$132&gt;BP60))+(SUMPRODUCT(--(calc!$BN$3:$BN$132=TRUE),--(calc!$BP$3:$BP$132=BP60))-1)/2,"")</f>
        <v/>
      </c>
      <c r="BU60" s="5">
        <f>IF(BN60,SUMPRODUCT(--(calc!$BN$3:$BN$132=TRUE),--(ROW(calc!$BN$3:$BN$132)&gt;ROW(BN60)),--(((calc!$BS$3:$BS$132&gt;BS60)*(calc!$BT$3:$BT$132&gt;BT60)+(calc!$BS$3:$BS$132&lt;BS60)*(calc!$BT$3:$BT$132&lt;BT60))&gt;0))-SUMPRODUCT(--(calc!$BN$3:$BN$132=TRUE),--(ROW(calc!$BN$3:$BN$132)&gt;ROW(BN60)),--(((calc!$BS$3:$BS$132&gt;BS60)*(calc!$BT$3:$BT$132&lt;BT60)+(calc!$BS$3:$BS$132&lt;BS60)*(calc!$BT$3:$BT$132&gt;BT60))&gt;0)),0)</f>
        <v/>
      </c>
    </row>
    <row r="61">
      <c r="A61" s="2">
        <f>mos_metrics!A60</f>
        <v/>
      </c>
      <c r="B61" s="2">
        <f>mos_metrics!B60</f>
        <v/>
      </c>
      <c r="C61" s="2">
        <f>mos_metrics!C60</f>
        <v/>
      </c>
      <c r="D61" s="2">
        <f>mos_metrics!D60</f>
        <v/>
      </c>
      <c r="E61" s="2">
        <f>mos_metrics!E60</f>
        <v/>
      </c>
      <c r="F61" s="2">
        <f>mos_metrics!F60</f>
        <v/>
      </c>
      <c r="G61" s="2">
        <f>IF($B61="","",IFERROR(VLOOKUP($B61,correlation!$A$2:$B$12,2,FALSE),1))</f>
        <v/>
      </c>
      <c r="H61" s="2">
        <f>IF($E61="","",IFERROR(VLOOKUP($E61,correlation!$D$2:$E$8,2,FALSE),1))</f>
        <v/>
      </c>
      <c r="I61" s="2">
        <f>ISNUMBER($F61)</f>
        <v/>
      </c>
      <c r="J61" s="2">
        <f>AND($G61=1,$H61=1,$I61)</f>
        <v/>
      </c>
      <c r="K61" s="5">
        <f>IF(mos_metrics!G60="","",mos_metrics!G60)</f>
        <v/>
      </c>
      <c r="L61" s="2">
        <f>AND($J61,ISNUMBER(K61),correlation!$I$26=1)</f>
        <v/>
      </c>
      <c r="M61" s="5">
        <f>IF(L61,$F61,"")</f>
        <v/>
      </c>
      <c r="N61" s="5">
        <f>IF(L61,K61*correlation!$J$26,"")</f>
        <v/>
      </c>
      <c r="O61" s="5">
        <f>IF(AND(L61,ISNUMBER(correlation!$F$26)),N61*correlation!$F$26+correlation!$G$26,"")</f>
        <v/>
      </c>
      <c r="P61" s="5">
        <f>IF(AND(L61,ISNUMBER(O61)),(M61-O61)^2,"")</f>
        <v/>
      </c>
      <c r="Q61" s="5">
        <f>IF(L61,1+SUMPRODUCT(--(calc!$L$3:$L$132=TRUE),--(calc!$M$3:$M$132&gt;M61))+(SUMPRODUCT(--(calc!$L$3:$L$132=TRUE),--(calc!$M$3:$M$132=M61))-1)/2,"")</f>
        <v/>
      </c>
      <c r="R61" s="5">
        <f>IF(L61,1+SUMPRODUCT(--(calc!$L$3:$L$132=TRUE),--(calc!$N$3:$N$132&gt;N61))+(SUMPRODUCT(--(calc!$L$3:$L$132=TRUE),--(calc!$N$3:$N$132=N61))-1)/2,"")</f>
        <v/>
      </c>
      <c r="S61" s="5">
        <f>IF(L61,SUMPRODUCT(--(calc!$L$3:$L$132=TRUE),--(ROW(calc!$L$3:$L$132)&gt;ROW(L61)),--(((calc!$Q$3:$Q$132&gt;Q61)*(calc!$R$3:$R$132&gt;R61)+(calc!$Q$3:$Q$132&lt;Q61)*(calc!$R$3:$R$132&lt;R61))&gt;0))-SUMPRODUCT(--(calc!$L$3:$L$132=TRUE),--(ROW(calc!$L$3:$L$132)&gt;ROW(L61)),--(((calc!$Q$3:$Q$132&gt;Q61)*(calc!$R$3:$R$132&lt;R61)+(calc!$Q$3:$Q$132&lt;Q61)*(calc!$R$3:$R$132&gt;R61))&gt;0)),0)</f>
        <v/>
      </c>
      <c r="T61" s="5">
        <f>IF(mos_metrics!H60="","",mos_metrics!H60)</f>
        <v/>
      </c>
      <c r="U61" s="2">
        <f>AND($J61,ISNUMBER(T61),correlation!$I$27=1)</f>
        <v/>
      </c>
      <c r="V61" s="5">
        <f>IF(U61,$F61,"")</f>
        <v/>
      </c>
      <c r="W61" s="5">
        <f>IF(U61,T61*correlation!$J$27,"")</f>
        <v/>
      </c>
      <c r="X61" s="5">
        <f>IF(AND(U61,ISNUMBER(correlation!$F$27)),W61*correlation!$F$27+correlation!$G$27,"")</f>
        <v/>
      </c>
      <c r="Y61" s="5">
        <f>IF(AND(U61,ISNUMBER(X61)),(V61-X61)^2,"")</f>
        <v/>
      </c>
      <c r="Z61" s="5">
        <f>IF(U61,1+SUMPRODUCT(--(calc!$U$3:$U$132=TRUE),--(calc!$V$3:$V$132&gt;V61))+(SUMPRODUCT(--(calc!$U$3:$U$132=TRUE),--(calc!$V$3:$V$132=V61))-1)/2,"")</f>
        <v/>
      </c>
      <c r="AA61" s="5">
        <f>IF(U61,1+SUMPRODUCT(--(calc!$U$3:$U$132=TRUE),--(calc!$W$3:$W$132&gt;W61))+(SUMPRODUCT(--(calc!$U$3:$U$132=TRUE),--(calc!$W$3:$W$132=W61))-1)/2,"")</f>
        <v/>
      </c>
      <c r="AB61" s="5">
        <f>IF(U61,SUMPRODUCT(--(calc!$U$3:$U$132=TRUE),--(ROW(calc!$U$3:$U$132)&gt;ROW(U61)),--(((calc!$Z$3:$Z$132&gt;Z61)*(calc!$AA$3:$AA$132&gt;AA61)+(calc!$Z$3:$Z$132&lt;Z61)*(calc!$AA$3:$AA$132&lt;AA61))&gt;0))-SUMPRODUCT(--(calc!$U$3:$U$132=TRUE),--(ROW(calc!$U$3:$U$132)&gt;ROW(U61)),--(((calc!$Z$3:$Z$132&gt;Z61)*(calc!$AA$3:$AA$132&lt;AA61)+(calc!$Z$3:$Z$132&lt;Z61)*(calc!$AA$3:$AA$132&gt;AA61))&gt;0)),0)</f>
        <v/>
      </c>
      <c r="AC61" s="5">
        <f>IF(mos_metrics!I60="","",mos_metrics!I60)</f>
        <v/>
      </c>
      <c r="AD61" s="2">
        <f>AND($J61,ISNUMBER(AC61),correlation!$I$28=1)</f>
        <v/>
      </c>
      <c r="AE61" s="5">
        <f>IF(AD61,$F61,"")</f>
        <v/>
      </c>
      <c r="AF61" s="5">
        <f>IF(AD61,AC61*correlation!$J$28,"")</f>
        <v/>
      </c>
      <c r="AG61" s="5">
        <f>IF(AND(AD61,ISNUMBER(correlation!$F$28)),AF61*correlation!$F$28+correlation!$G$28,"")</f>
        <v/>
      </c>
      <c r="AH61" s="5">
        <f>IF(AND(AD61,ISNUMBER(AG61)),(AE61-AG61)^2,"")</f>
        <v/>
      </c>
      <c r="AI61" s="5">
        <f>IF(AD61,1+SUMPRODUCT(--(calc!$AD$3:$AD$132=TRUE),--(calc!$AE$3:$AE$132&gt;AE61))+(SUMPRODUCT(--(calc!$AD$3:$AD$132=TRUE),--(calc!$AE$3:$AE$132=AE61))-1)/2,"")</f>
        <v/>
      </c>
      <c r="AJ61" s="5">
        <f>IF(AD61,1+SUMPRODUCT(--(calc!$AD$3:$AD$132=TRUE),--(calc!$AF$3:$AF$132&gt;AF61))+(SUMPRODUCT(--(calc!$AD$3:$AD$132=TRUE),--(calc!$AF$3:$AF$132=AF61))-1)/2,"")</f>
        <v/>
      </c>
      <c r="AK61" s="5">
        <f>IF(AD61,SUMPRODUCT(--(calc!$AD$3:$AD$132=TRUE),--(ROW(calc!$AD$3:$AD$132)&gt;ROW(AD61)),--(((calc!$AI$3:$AI$132&gt;AI61)*(calc!$AJ$3:$AJ$132&gt;AJ61)+(calc!$AI$3:$AI$132&lt;AI61)*(calc!$AJ$3:$AJ$132&lt;AJ61))&gt;0))-SUMPRODUCT(--(calc!$AD$3:$AD$132=TRUE),--(ROW(calc!$AD$3:$AD$132)&gt;ROW(AD61)),--(((calc!$AI$3:$AI$132&gt;AI61)*(calc!$AJ$3:$AJ$132&lt;AJ61)+(calc!$AI$3:$AI$132&lt;AI61)*(calc!$AJ$3:$AJ$132&gt;AJ61))&gt;0)),0)</f>
        <v/>
      </c>
      <c r="AL61" s="5">
        <f>IF(mos_metrics!J60="","",mos_metrics!J60)</f>
        <v/>
      </c>
      <c r="AM61" s="2">
        <f>AND($J61,ISNUMBER(AL61),correlation!$I$29=1)</f>
        <v/>
      </c>
      <c r="AN61" s="5">
        <f>IF(AM61,$F61,"")</f>
        <v/>
      </c>
      <c r="AO61" s="5">
        <f>IF(AM61,AL61*correlation!$J$29,"")</f>
        <v/>
      </c>
      <c r="AP61" s="5">
        <f>IF(AND(AM61,ISNUMBER(correlation!$F$29)),AO61*correlation!$F$29+correlation!$G$29,"")</f>
        <v/>
      </c>
      <c r="AQ61" s="5">
        <f>IF(AND(AM61,ISNUMBER(AP61)),(AN61-AP61)^2,"")</f>
        <v/>
      </c>
      <c r="AR61" s="5">
        <f>IF(AM61,1+SUMPRODUCT(--(calc!$AM$3:$AM$132=TRUE),--(calc!$AN$3:$AN$132&gt;AN61))+(SUMPRODUCT(--(calc!$AM$3:$AM$132=TRUE),--(calc!$AN$3:$AN$132=AN61))-1)/2,"")</f>
        <v/>
      </c>
      <c r="AS61" s="5">
        <f>IF(AM61,1+SUMPRODUCT(--(calc!$AM$3:$AM$132=TRUE),--(calc!$AO$3:$AO$132&gt;AO61))+(SUMPRODUCT(--(calc!$AM$3:$AM$132=TRUE),--(calc!$AO$3:$AO$132=AO61))-1)/2,"")</f>
        <v/>
      </c>
      <c r="AT61" s="5">
        <f>IF(AM61,SUMPRODUCT(--(calc!$AM$3:$AM$132=TRUE),--(ROW(calc!$AM$3:$AM$132)&gt;ROW(AM61)),--(((calc!$AR$3:$AR$132&gt;AR61)*(calc!$AS$3:$AS$132&gt;AS61)+(calc!$AR$3:$AR$132&lt;AR61)*(calc!$AS$3:$AS$132&lt;AS61))&gt;0))-SUMPRODUCT(--(calc!$AM$3:$AM$132=TRUE),--(ROW(calc!$AM$3:$AM$132)&gt;ROW(AM61)),--(((calc!$AR$3:$AR$132&gt;AR61)*(calc!$AS$3:$AS$132&lt;AS61)+(calc!$AR$3:$AR$132&lt;AR61)*(calc!$AS$3:$AS$132&gt;AS61))&gt;0)),0)</f>
        <v/>
      </c>
      <c r="AU61" s="5">
        <f>IF(mos_metrics!K60="","",mos_metrics!K60)</f>
        <v/>
      </c>
      <c r="AV61" s="2">
        <f>AND($J61,ISNUMBER(AU61),correlation!$I$30=1)</f>
        <v/>
      </c>
      <c r="AW61" s="5">
        <f>IF(AV61,$F61,"")</f>
        <v/>
      </c>
      <c r="AX61" s="5">
        <f>IF(AV61,AU61*correlation!$J$30,"")</f>
        <v/>
      </c>
      <c r="AY61" s="5">
        <f>IF(AND(AV61,ISNUMBER(correlation!$F$30)),AX61*correlation!$F$30+correlation!$G$30,"")</f>
        <v/>
      </c>
      <c r="AZ61" s="5">
        <f>IF(AND(AV61,ISNUMBER(AY61)),(AW61-AY61)^2,"")</f>
        <v/>
      </c>
      <c r="BA61" s="5">
        <f>IF(AV61,1+SUMPRODUCT(--(calc!$AV$3:$AV$132=TRUE),--(calc!$AW$3:$AW$132&gt;AW61))+(SUMPRODUCT(--(calc!$AV$3:$AV$132=TRUE),--(calc!$AW$3:$AW$132=AW61))-1)/2,"")</f>
        <v/>
      </c>
      <c r="BB61" s="5">
        <f>IF(AV61,1+SUMPRODUCT(--(calc!$AV$3:$AV$132=TRUE),--(calc!$AX$3:$AX$132&gt;AX61))+(SUMPRODUCT(--(calc!$AV$3:$AV$132=TRUE),--(calc!$AX$3:$AX$132=AX61))-1)/2,"")</f>
        <v/>
      </c>
      <c r="BC61" s="5">
        <f>IF(AV61,SUMPRODUCT(--(calc!$AV$3:$AV$132=TRUE),--(ROW(calc!$AV$3:$AV$132)&gt;ROW(AV61)),--(((calc!$BA$3:$BA$132&gt;BA61)*(calc!$BB$3:$BB$132&gt;BB61)+(calc!$BA$3:$BA$132&lt;BA61)*(calc!$BB$3:$BB$132&lt;BB61))&gt;0))-SUMPRODUCT(--(calc!$AV$3:$AV$132=TRUE),--(ROW(calc!$AV$3:$AV$132)&gt;ROW(AV61)),--(((calc!$BA$3:$BA$132&gt;BA61)*(calc!$BB$3:$BB$132&lt;BB61)+(calc!$BA$3:$BA$132&lt;BA61)*(calc!$BB$3:$BB$132&gt;BB61))&gt;0)),0)</f>
        <v/>
      </c>
      <c r="BD61" s="5">
        <f>IF(mos_metrics!L60="","",mos_metrics!L60)</f>
        <v/>
      </c>
      <c r="BE61" s="2">
        <f>AND($J61,ISNUMBER(BD61),correlation!$I$31=1)</f>
        <v/>
      </c>
      <c r="BF61" s="5">
        <f>IF(BE61,$F61,"")</f>
        <v/>
      </c>
      <c r="BG61" s="5">
        <f>IF(BE61,BD61*correlation!$J$31,"")</f>
        <v/>
      </c>
      <c r="BH61" s="5">
        <f>IF(AND(BE61,ISNUMBER(correlation!$F$31)),BG61*correlation!$F$31+correlation!$G$31,"")</f>
        <v/>
      </c>
      <c r="BI61" s="5">
        <f>IF(AND(BE61,ISNUMBER(BH61)),(BF61-BH61)^2,"")</f>
        <v/>
      </c>
      <c r="BJ61" s="5">
        <f>IF(BE61,1+SUMPRODUCT(--(calc!$BE$3:$BE$132=TRUE),--(calc!$BF$3:$BF$132&gt;BF61))+(SUMPRODUCT(--(calc!$BE$3:$BE$132=TRUE),--(calc!$BF$3:$BF$132=BF61))-1)/2,"")</f>
        <v/>
      </c>
      <c r="BK61" s="5">
        <f>IF(BE61,1+SUMPRODUCT(--(calc!$BE$3:$BE$132=TRUE),--(calc!$BG$3:$BG$132&gt;BG61))+(SUMPRODUCT(--(calc!$BE$3:$BE$132=TRUE),--(calc!$BG$3:$BG$132=BG61))-1)/2,"")</f>
        <v/>
      </c>
      <c r="BL61" s="5">
        <f>IF(BE61,SUMPRODUCT(--(calc!$BE$3:$BE$132=TRUE),--(ROW(calc!$BE$3:$BE$132)&gt;ROW(BE61)),--(((calc!$BJ$3:$BJ$132&gt;BJ61)*(calc!$BK$3:$BK$132&gt;BK61)+(calc!$BJ$3:$BJ$132&lt;BJ61)*(calc!$BK$3:$BK$132&lt;BK61))&gt;0))-SUMPRODUCT(--(calc!$BE$3:$BE$132=TRUE),--(ROW(calc!$BE$3:$BE$132)&gt;ROW(BE61)),--(((calc!$BJ$3:$BJ$132&gt;BJ61)*(calc!$BK$3:$BK$132&lt;BK61)+(calc!$BJ$3:$BJ$132&lt;BJ61)*(calc!$BK$3:$BK$132&gt;BK61))&gt;0)),0)</f>
        <v/>
      </c>
      <c r="BM61" s="5">
        <f>IF(mos_metrics!M60="","",mos_metrics!M60)</f>
        <v/>
      </c>
      <c r="BN61" s="2">
        <f>AND($J61,ISNUMBER(BM61),correlation!$I$32=1)</f>
        <v/>
      </c>
      <c r="BO61" s="5">
        <f>IF(BN61,$F61,"")</f>
        <v/>
      </c>
      <c r="BP61" s="5">
        <f>IF(BN61,BM61*correlation!$J$32,"")</f>
        <v/>
      </c>
      <c r="BQ61" s="5">
        <f>IF(AND(BN61,ISNUMBER(correlation!$F$32)),BP61*correlation!$F$32+correlation!$G$32,"")</f>
        <v/>
      </c>
      <c r="BR61" s="5">
        <f>IF(AND(BN61,ISNUMBER(BQ61)),(BO61-BQ61)^2,"")</f>
        <v/>
      </c>
      <c r="BS61" s="5">
        <f>IF(BN61,1+SUMPRODUCT(--(calc!$BN$3:$BN$132=TRUE),--(calc!$BO$3:$BO$132&gt;BO61))+(SUMPRODUCT(--(calc!$BN$3:$BN$132=TRUE),--(calc!$BO$3:$BO$132=BO61))-1)/2,"")</f>
        <v/>
      </c>
      <c r="BT61" s="5">
        <f>IF(BN61,1+SUMPRODUCT(--(calc!$BN$3:$BN$132=TRUE),--(calc!$BP$3:$BP$132&gt;BP61))+(SUMPRODUCT(--(calc!$BN$3:$BN$132=TRUE),--(calc!$BP$3:$BP$132=BP61))-1)/2,"")</f>
        <v/>
      </c>
      <c r="BU61" s="5">
        <f>IF(BN61,SUMPRODUCT(--(calc!$BN$3:$BN$132=TRUE),--(ROW(calc!$BN$3:$BN$132)&gt;ROW(BN61)),--(((calc!$BS$3:$BS$132&gt;BS61)*(calc!$BT$3:$BT$132&gt;BT61)+(calc!$BS$3:$BS$132&lt;BS61)*(calc!$BT$3:$BT$132&lt;BT61))&gt;0))-SUMPRODUCT(--(calc!$BN$3:$BN$132=TRUE),--(ROW(calc!$BN$3:$BN$132)&gt;ROW(BN61)),--(((calc!$BS$3:$BS$132&gt;BS61)*(calc!$BT$3:$BT$132&lt;BT61)+(calc!$BS$3:$BS$132&lt;BS61)*(calc!$BT$3:$BT$132&gt;BT61))&gt;0)),0)</f>
        <v/>
      </c>
    </row>
    <row r="62">
      <c r="A62" s="2">
        <f>mos_metrics!A61</f>
        <v/>
      </c>
      <c r="B62" s="2">
        <f>mos_metrics!B61</f>
        <v/>
      </c>
      <c r="C62" s="2">
        <f>mos_metrics!C61</f>
        <v/>
      </c>
      <c r="D62" s="2">
        <f>mos_metrics!D61</f>
        <v/>
      </c>
      <c r="E62" s="2">
        <f>mos_metrics!E61</f>
        <v/>
      </c>
      <c r="F62" s="2">
        <f>mos_metrics!F61</f>
        <v/>
      </c>
      <c r="G62" s="2">
        <f>IF($B62="","",IFERROR(VLOOKUP($B62,correlation!$A$2:$B$12,2,FALSE),1))</f>
        <v/>
      </c>
      <c r="H62" s="2">
        <f>IF($E62="","",IFERROR(VLOOKUP($E62,correlation!$D$2:$E$8,2,FALSE),1))</f>
        <v/>
      </c>
      <c r="I62" s="2">
        <f>ISNUMBER($F62)</f>
        <v/>
      </c>
      <c r="J62" s="2">
        <f>AND($G62=1,$H62=1,$I62)</f>
        <v/>
      </c>
      <c r="K62" s="5">
        <f>IF(mos_metrics!G61="","",mos_metrics!G61)</f>
        <v/>
      </c>
      <c r="L62" s="2">
        <f>AND($J62,ISNUMBER(K62),correlation!$I$26=1)</f>
        <v/>
      </c>
      <c r="M62" s="5">
        <f>IF(L62,$F62,"")</f>
        <v/>
      </c>
      <c r="N62" s="5">
        <f>IF(L62,K62*correlation!$J$26,"")</f>
        <v/>
      </c>
      <c r="O62" s="5">
        <f>IF(AND(L62,ISNUMBER(correlation!$F$26)),N62*correlation!$F$26+correlation!$G$26,"")</f>
        <v/>
      </c>
      <c r="P62" s="5">
        <f>IF(AND(L62,ISNUMBER(O62)),(M62-O62)^2,"")</f>
        <v/>
      </c>
      <c r="Q62" s="5">
        <f>IF(L62,1+SUMPRODUCT(--(calc!$L$3:$L$132=TRUE),--(calc!$M$3:$M$132&gt;M62))+(SUMPRODUCT(--(calc!$L$3:$L$132=TRUE),--(calc!$M$3:$M$132=M62))-1)/2,"")</f>
        <v/>
      </c>
      <c r="R62" s="5">
        <f>IF(L62,1+SUMPRODUCT(--(calc!$L$3:$L$132=TRUE),--(calc!$N$3:$N$132&gt;N62))+(SUMPRODUCT(--(calc!$L$3:$L$132=TRUE),--(calc!$N$3:$N$132=N62))-1)/2,"")</f>
        <v/>
      </c>
      <c r="S62" s="5">
        <f>IF(L62,SUMPRODUCT(--(calc!$L$3:$L$132=TRUE),--(ROW(calc!$L$3:$L$132)&gt;ROW(L62)),--(((calc!$Q$3:$Q$132&gt;Q62)*(calc!$R$3:$R$132&gt;R62)+(calc!$Q$3:$Q$132&lt;Q62)*(calc!$R$3:$R$132&lt;R62))&gt;0))-SUMPRODUCT(--(calc!$L$3:$L$132=TRUE),--(ROW(calc!$L$3:$L$132)&gt;ROW(L62)),--(((calc!$Q$3:$Q$132&gt;Q62)*(calc!$R$3:$R$132&lt;R62)+(calc!$Q$3:$Q$132&lt;Q62)*(calc!$R$3:$R$132&gt;R62))&gt;0)),0)</f>
        <v/>
      </c>
      <c r="T62" s="5">
        <f>IF(mos_metrics!H61="","",mos_metrics!H61)</f>
        <v/>
      </c>
      <c r="U62" s="2">
        <f>AND($J62,ISNUMBER(T62),correlation!$I$27=1)</f>
        <v/>
      </c>
      <c r="V62" s="5">
        <f>IF(U62,$F62,"")</f>
        <v/>
      </c>
      <c r="W62" s="5">
        <f>IF(U62,T62*correlation!$J$27,"")</f>
        <v/>
      </c>
      <c r="X62" s="5">
        <f>IF(AND(U62,ISNUMBER(correlation!$F$27)),W62*correlation!$F$27+correlation!$G$27,"")</f>
        <v/>
      </c>
      <c r="Y62" s="5">
        <f>IF(AND(U62,ISNUMBER(X62)),(V62-X62)^2,"")</f>
        <v/>
      </c>
      <c r="Z62" s="5">
        <f>IF(U62,1+SUMPRODUCT(--(calc!$U$3:$U$132=TRUE),--(calc!$V$3:$V$132&gt;V62))+(SUMPRODUCT(--(calc!$U$3:$U$132=TRUE),--(calc!$V$3:$V$132=V62))-1)/2,"")</f>
        <v/>
      </c>
      <c r="AA62" s="5">
        <f>IF(U62,1+SUMPRODUCT(--(calc!$U$3:$U$132=TRUE),--(calc!$W$3:$W$132&gt;W62))+(SUMPRODUCT(--(calc!$U$3:$U$132=TRUE),--(calc!$W$3:$W$132=W62))-1)/2,"")</f>
        <v/>
      </c>
      <c r="AB62" s="5">
        <f>IF(U62,SUMPRODUCT(--(calc!$U$3:$U$132=TRUE),--(ROW(calc!$U$3:$U$132)&gt;ROW(U62)),--(((calc!$Z$3:$Z$132&gt;Z62)*(calc!$AA$3:$AA$132&gt;AA62)+(calc!$Z$3:$Z$132&lt;Z62)*(calc!$AA$3:$AA$132&lt;AA62))&gt;0))-SUMPRODUCT(--(calc!$U$3:$U$132=TRUE),--(ROW(calc!$U$3:$U$132)&gt;ROW(U62)),--(((calc!$Z$3:$Z$132&gt;Z62)*(calc!$AA$3:$AA$132&lt;AA62)+(calc!$Z$3:$Z$132&lt;Z62)*(calc!$AA$3:$AA$132&gt;AA62))&gt;0)),0)</f>
        <v/>
      </c>
      <c r="AC62" s="5">
        <f>IF(mos_metrics!I61="","",mos_metrics!I61)</f>
        <v/>
      </c>
      <c r="AD62" s="2">
        <f>AND($J62,ISNUMBER(AC62),correlation!$I$28=1)</f>
        <v/>
      </c>
      <c r="AE62" s="5">
        <f>IF(AD62,$F62,"")</f>
        <v/>
      </c>
      <c r="AF62" s="5">
        <f>IF(AD62,AC62*correlation!$J$28,"")</f>
        <v/>
      </c>
      <c r="AG62" s="5">
        <f>IF(AND(AD62,ISNUMBER(correlation!$F$28)),AF62*correlation!$F$28+correlation!$G$28,"")</f>
        <v/>
      </c>
      <c r="AH62" s="5">
        <f>IF(AND(AD62,ISNUMBER(AG62)),(AE62-AG62)^2,"")</f>
        <v/>
      </c>
      <c r="AI62" s="5">
        <f>IF(AD62,1+SUMPRODUCT(--(calc!$AD$3:$AD$132=TRUE),--(calc!$AE$3:$AE$132&gt;AE62))+(SUMPRODUCT(--(calc!$AD$3:$AD$132=TRUE),--(calc!$AE$3:$AE$132=AE62))-1)/2,"")</f>
        <v/>
      </c>
      <c r="AJ62" s="5">
        <f>IF(AD62,1+SUMPRODUCT(--(calc!$AD$3:$AD$132=TRUE),--(calc!$AF$3:$AF$132&gt;AF62))+(SUMPRODUCT(--(calc!$AD$3:$AD$132=TRUE),--(calc!$AF$3:$AF$132=AF62))-1)/2,"")</f>
        <v/>
      </c>
      <c r="AK62" s="5">
        <f>IF(AD62,SUMPRODUCT(--(calc!$AD$3:$AD$132=TRUE),--(ROW(calc!$AD$3:$AD$132)&gt;ROW(AD62)),--(((calc!$AI$3:$AI$132&gt;AI62)*(calc!$AJ$3:$AJ$132&gt;AJ62)+(calc!$AI$3:$AI$132&lt;AI62)*(calc!$AJ$3:$AJ$132&lt;AJ62))&gt;0))-SUMPRODUCT(--(calc!$AD$3:$AD$132=TRUE),--(ROW(calc!$AD$3:$AD$132)&gt;ROW(AD62)),--(((calc!$AI$3:$AI$132&gt;AI62)*(calc!$AJ$3:$AJ$132&lt;AJ62)+(calc!$AI$3:$AI$132&lt;AI62)*(calc!$AJ$3:$AJ$132&gt;AJ62))&gt;0)),0)</f>
        <v/>
      </c>
      <c r="AL62" s="5">
        <f>IF(mos_metrics!J61="","",mos_metrics!J61)</f>
        <v/>
      </c>
      <c r="AM62" s="2">
        <f>AND($J62,ISNUMBER(AL62),correlation!$I$29=1)</f>
        <v/>
      </c>
      <c r="AN62" s="5">
        <f>IF(AM62,$F62,"")</f>
        <v/>
      </c>
      <c r="AO62" s="5">
        <f>IF(AM62,AL62*correlation!$J$29,"")</f>
        <v/>
      </c>
      <c r="AP62" s="5">
        <f>IF(AND(AM62,ISNUMBER(correlation!$F$29)),AO62*correlation!$F$29+correlation!$G$29,"")</f>
        <v/>
      </c>
      <c r="AQ62" s="5">
        <f>IF(AND(AM62,ISNUMBER(AP62)),(AN62-AP62)^2,"")</f>
        <v/>
      </c>
      <c r="AR62" s="5">
        <f>IF(AM62,1+SUMPRODUCT(--(calc!$AM$3:$AM$132=TRUE),--(calc!$AN$3:$AN$132&gt;AN62))+(SUMPRODUCT(--(calc!$AM$3:$AM$132=TRUE),--(calc!$AN$3:$AN$132=AN62))-1)/2,"")</f>
        <v/>
      </c>
      <c r="AS62" s="5">
        <f>IF(AM62,1+SUMPRODUCT(--(calc!$AM$3:$AM$132=TRUE),--(calc!$AO$3:$AO$132&gt;AO62))+(SUMPRODUCT(--(calc!$AM$3:$AM$132=TRUE),--(calc!$AO$3:$AO$132=AO62))-1)/2,"")</f>
        <v/>
      </c>
      <c r="AT62" s="5">
        <f>IF(AM62,SUMPRODUCT(--(calc!$AM$3:$AM$132=TRUE),--(ROW(calc!$AM$3:$AM$132)&gt;ROW(AM62)),--(((calc!$AR$3:$AR$132&gt;AR62)*(calc!$AS$3:$AS$132&gt;AS62)+(calc!$AR$3:$AR$132&lt;AR62)*(calc!$AS$3:$AS$132&lt;AS62))&gt;0))-SUMPRODUCT(--(calc!$AM$3:$AM$132=TRUE),--(ROW(calc!$AM$3:$AM$132)&gt;ROW(AM62)),--(((calc!$AR$3:$AR$132&gt;AR62)*(calc!$AS$3:$AS$132&lt;AS62)+(calc!$AR$3:$AR$132&lt;AR62)*(calc!$AS$3:$AS$132&gt;AS62))&gt;0)),0)</f>
        <v/>
      </c>
      <c r="AU62" s="5">
        <f>IF(mos_metrics!K61="","",mos_metrics!K61)</f>
        <v/>
      </c>
      <c r="AV62" s="2">
        <f>AND($J62,ISNUMBER(AU62),correlation!$I$30=1)</f>
        <v/>
      </c>
      <c r="AW62" s="5">
        <f>IF(AV62,$F62,"")</f>
        <v/>
      </c>
      <c r="AX62" s="5">
        <f>IF(AV62,AU62*correlation!$J$30,"")</f>
        <v/>
      </c>
      <c r="AY62" s="5">
        <f>IF(AND(AV62,ISNUMBER(correlation!$F$30)),AX62*correlation!$F$30+correlation!$G$30,"")</f>
        <v/>
      </c>
      <c r="AZ62" s="5">
        <f>IF(AND(AV62,ISNUMBER(AY62)),(AW62-AY62)^2,"")</f>
        <v/>
      </c>
      <c r="BA62" s="5">
        <f>IF(AV62,1+SUMPRODUCT(--(calc!$AV$3:$AV$132=TRUE),--(calc!$AW$3:$AW$132&gt;AW62))+(SUMPRODUCT(--(calc!$AV$3:$AV$132=TRUE),--(calc!$AW$3:$AW$132=AW62))-1)/2,"")</f>
        <v/>
      </c>
      <c r="BB62" s="5">
        <f>IF(AV62,1+SUMPRODUCT(--(calc!$AV$3:$AV$132=TRUE),--(calc!$AX$3:$AX$132&gt;AX62))+(SUMPRODUCT(--(calc!$AV$3:$AV$132=TRUE),--(calc!$AX$3:$AX$132=AX62))-1)/2,"")</f>
        <v/>
      </c>
      <c r="BC62" s="5">
        <f>IF(AV62,SUMPRODUCT(--(calc!$AV$3:$AV$132=TRUE),--(ROW(calc!$AV$3:$AV$132)&gt;ROW(AV62)),--(((calc!$BA$3:$BA$132&gt;BA62)*(calc!$BB$3:$BB$132&gt;BB62)+(calc!$BA$3:$BA$132&lt;BA62)*(calc!$BB$3:$BB$132&lt;BB62))&gt;0))-SUMPRODUCT(--(calc!$AV$3:$AV$132=TRUE),--(ROW(calc!$AV$3:$AV$132)&gt;ROW(AV62)),--(((calc!$BA$3:$BA$132&gt;BA62)*(calc!$BB$3:$BB$132&lt;BB62)+(calc!$BA$3:$BA$132&lt;BA62)*(calc!$BB$3:$BB$132&gt;BB62))&gt;0)),0)</f>
        <v/>
      </c>
      <c r="BD62" s="5">
        <f>IF(mos_metrics!L61="","",mos_metrics!L61)</f>
        <v/>
      </c>
      <c r="BE62" s="2">
        <f>AND($J62,ISNUMBER(BD62),correlation!$I$31=1)</f>
        <v/>
      </c>
      <c r="BF62" s="5">
        <f>IF(BE62,$F62,"")</f>
        <v/>
      </c>
      <c r="BG62" s="5">
        <f>IF(BE62,BD62*correlation!$J$31,"")</f>
        <v/>
      </c>
      <c r="BH62" s="5">
        <f>IF(AND(BE62,ISNUMBER(correlation!$F$31)),BG62*correlation!$F$31+correlation!$G$31,"")</f>
        <v/>
      </c>
      <c r="BI62" s="5">
        <f>IF(AND(BE62,ISNUMBER(BH62)),(BF62-BH62)^2,"")</f>
        <v/>
      </c>
      <c r="BJ62" s="5">
        <f>IF(BE62,1+SUMPRODUCT(--(calc!$BE$3:$BE$132=TRUE),--(calc!$BF$3:$BF$132&gt;BF62))+(SUMPRODUCT(--(calc!$BE$3:$BE$132=TRUE),--(calc!$BF$3:$BF$132=BF62))-1)/2,"")</f>
        <v/>
      </c>
      <c r="BK62" s="5">
        <f>IF(BE62,1+SUMPRODUCT(--(calc!$BE$3:$BE$132=TRUE),--(calc!$BG$3:$BG$132&gt;BG62))+(SUMPRODUCT(--(calc!$BE$3:$BE$132=TRUE),--(calc!$BG$3:$BG$132=BG62))-1)/2,"")</f>
        <v/>
      </c>
      <c r="BL62" s="5">
        <f>IF(BE62,SUMPRODUCT(--(calc!$BE$3:$BE$132=TRUE),--(ROW(calc!$BE$3:$BE$132)&gt;ROW(BE62)),--(((calc!$BJ$3:$BJ$132&gt;BJ62)*(calc!$BK$3:$BK$132&gt;BK62)+(calc!$BJ$3:$BJ$132&lt;BJ62)*(calc!$BK$3:$BK$132&lt;BK62))&gt;0))-SUMPRODUCT(--(calc!$BE$3:$BE$132=TRUE),--(ROW(calc!$BE$3:$BE$132)&gt;ROW(BE62)),--(((calc!$BJ$3:$BJ$132&gt;BJ62)*(calc!$BK$3:$BK$132&lt;BK62)+(calc!$BJ$3:$BJ$132&lt;BJ62)*(calc!$BK$3:$BK$132&gt;BK62))&gt;0)),0)</f>
        <v/>
      </c>
      <c r="BM62" s="5">
        <f>IF(mos_metrics!M61="","",mos_metrics!M61)</f>
        <v/>
      </c>
      <c r="BN62" s="2">
        <f>AND($J62,ISNUMBER(BM62),correlation!$I$32=1)</f>
        <v/>
      </c>
      <c r="BO62" s="5">
        <f>IF(BN62,$F62,"")</f>
        <v/>
      </c>
      <c r="BP62" s="5">
        <f>IF(BN62,BM62*correlation!$J$32,"")</f>
        <v/>
      </c>
      <c r="BQ62" s="5">
        <f>IF(AND(BN62,ISNUMBER(correlation!$F$32)),BP62*correlation!$F$32+correlation!$G$32,"")</f>
        <v/>
      </c>
      <c r="BR62" s="5">
        <f>IF(AND(BN62,ISNUMBER(BQ62)),(BO62-BQ62)^2,"")</f>
        <v/>
      </c>
      <c r="BS62" s="5">
        <f>IF(BN62,1+SUMPRODUCT(--(calc!$BN$3:$BN$132=TRUE),--(calc!$BO$3:$BO$132&gt;BO62))+(SUMPRODUCT(--(calc!$BN$3:$BN$132=TRUE),--(calc!$BO$3:$BO$132=BO62))-1)/2,"")</f>
        <v/>
      </c>
      <c r="BT62" s="5">
        <f>IF(BN62,1+SUMPRODUCT(--(calc!$BN$3:$BN$132=TRUE),--(calc!$BP$3:$BP$132&gt;BP62))+(SUMPRODUCT(--(calc!$BN$3:$BN$132=TRUE),--(calc!$BP$3:$BP$132=BP62))-1)/2,"")</f>
        <v/>
      </c>
      <c r="BU62" s="5">
        <f>IF(BN62,SUMPRODUCT(--(calc!$BN$3:$BN$132=TRUE),--(ROW(calc!$BN$3:$BN$132)&gt;ROW(BN62)),--(((calc!$BS$3:$BS$132&gt;BS62)*(calc!$BT$3:$BT$132&gt;BT62)+(calc!$BS$3:$BS$132&lt;BS62)*(calc!$BT$3:$BT$132&lt;BT62))&gt;0))-SUMPRODUCT(--(calc!$BN$3:$BN$132=TRUE),--(ROW(calc!$BN$3:$BN$132)&gt;ROW(BN62)),--(((calc!$BS$3:$BS$132&gt;BS62)*(calc!$BT$3:$BT$132&lt;BT62)+(calc!$BS$3:$BS$132&lt;BS62)*(calc!$BT$3:$BT$132&gt;BT62))&gt;0)),0)</f>
        <v/>
      </c>
    </row>
    <row r="63">
      <c r="A63" s="2">
        <f>mos_metrics!A62</f>
        <v/>
      </c>
      <c r="B63" s="2">
        <f>mos_metrics!B62</f>
        <v/>
      </c>
      <c r="C63" s="2">
        <f>mos_metrics!C62</f>
        <v/>
      </c>
      <c r="D63" s="2">
        <f>mos_metrics!D62</f>
        <v/>
      </c>
      <c r="E63" s="2">
        <f>mos_metrics!E62</f>
        <v/>
      </c>
      <c r="F63" s="2">
        <f>mos_metrics!F62</f>
        <v/>
      </c>
      <c r="G63" s="2">
        <f>IF($B63="","",IFERROR(VLOOKUP($B63,correlation!$A$2:$B$12,2,FALSE),1))</f>
        <v/>
      </c>
      <c r="H63" s="2">
        <f>IF($E63="","",IFERROR(VLOOKUP($E63,correlation!$D$2:$E$8,2,FALSE),1))</f>
        <v/>
      </c>
      <c r="I63" s="2">
        <f>ISNUMBER($F63)</f>
        <v/>
      </c>
      <c r="J63" s="2">
        <f>AND($G63=1,$H63=1,$I63)</f>
        <v/>
      </c>
      <c r="K63" s="5">
        <f>IF(mos_metrics!G62="","",mos_metrics!G62)</f>
        <v/>
      </c>
      <c r="L63" s="2">
        <f>AND($J63,ISNUMBER(K63),correlation!$I$26=1)</f>
        <v/>
      </c>
      <c r="M63" s="5">
        <f>IF(L63,$F63,"")</f>
        <v/>
      </c>
      <c r="N63" s="5">
        <f>IF(L63,K63*correlation!$J$26,"")</f>
        <v/>
      </c>
      <c r="O63" s="5">
        <f>IF(AND(L63,ISNUMBER(correlation!$F$26)),N63*correlation!$F$26+correlation!$G$26,"")</f>
        <v/>
      </c>
      <c r="P63" s="5">
        <f>IF(AND(L63,ISNUMBER(O63)),(M63-O63)^2,"")</f>
        <v/>
      </c>
      <c r="Q63" s="5">
        <f>IF(L63,1+SUMPRODUCT(--(calc!$L$3:$L$132=TRUE),--(calc!$M$3:$M$132&gt;M63))+(SUMPRODUCT(--(calc!$L$3:$L$132=TRUE),--(calc!$M$3:$M$132=M63))-1)/2,"")</f>
        <v/>
      </c>
      <c r="R63" s="5">
        <f>IF(L63,1+SUMPRODUCT(--(calc!$L$3:$L$132=TRUE),--(calc!$N$3:$N$132&gt;N63))+(SUMPRODUCT(--(calc!$L$3:$L$132=TRUE),--(calc!$N$3:$N$132=N63))-1)/2,"")</f>
        <v/>
      </c>
      <c r="S63" s="5">
        <f>IF(L63,SUMPRODUCT(--(calc!$L$3:$L$132=TRUE),--(ROW(calc!$L$3:$L$132)&gt;ROW(L63)),--(((calc!$Q$3:$Q$132&gt;Q63)*(calc!$R$3:$R$132&gt;R63)+(calc!$Q$3:$Q$132&lt;Q63)*(calc!$R$3:$R$132&lt;R63))&gt;0))-SUMPRODUCT(--(calc!$L$3:$L$132=TRUE),--(ROW(calc!$L$3:$L$132)&gt;ROW(L63)),--(((calc!$Q$3:$Q$132&gt;Q63)*(calc!$R$3:$R$132&lt;R63)+(calc!$Q$3:$Q$132&lt;Q63)*(calc!$R$3:$R$132&gt;R63))&gt;0)),0)</f>
        <v/>
      </c>
      <c r="T63" s="5">
        <f>IF(mos_metrics!H62="","",mos_metrics!H62)</f>
        <v/>
      </c>
      <c r="U63" s="2">
        <f>AND($J63,ISNUMBER(T63),correlation!$I$27=1)</f>
        <v/>
      </c>
      <c r="V63" s="5">
        <f>IF(U63,$F63,"")</f>
        <v/>
      </c>
      <c r="W63" s="5">
        <f>IF(U63,T63*correlation!$J$27,"")</f>
        <v/>
      </c>
      <c r="X63" s="5">
        <f>IF(AND(U63,ISNUMBER(correlation!$F$27)),W63*correlation!$F$27+correlation!$G$27,"")</f>
        <v/>
      </c>
      <c r="Y63" s="5">
        <f>IF(AND(U63,ISNUMBER(X63)),(V63-X63)^2,"")</f>
        <v/>
      </c>
      <c r="Z63" s="5">
        <f>IF(U63,1+SUMPRODUCT(--(calc!$U$3:$U$132=TRUE),--(calc!$V$3:$V$132&gt;V63))+(SUMPRODUCT(--(calc!$U$3:$U$132=TRUE),--(calc!$V$3:$V$132=V63))-1)/2,"")</f>
        <v/>
      </c>
      <c r="AA63" s="5">
        <f>IF(U63,1+SUMPRODUCT(--(calc!$U$3:$U$132=TRUE),--(calc!$W$3:$W$132&gt;W63))+(SUMPRODUCT(--(calc!$U$3:$U$132=TRUE),--(calc!$W$3:$W$132=W63))-1)/2,"")</f>
        <v/>
      </c>
      <c r="AB63" s="5">
        <f>IF(U63,SUMPRODUCT(--(calc!$U$3:$U$132=TRUE),--(ROW(calc!$U$3:$U$132)&gt;ROW(U63)),--(((calc!$Z$3:$Z$132&gt;Z63)*(calc!$AA$3:$AA$132&gt;AA63)+(calc!$Z$3:$Z$132&lt;Z63)*(calc!$AA$3:$AA$132&lt;AA63))&gt;0))-SUMPRODUCT(--(calc!$U$3:$U$132=TRUE),--(ROW(calc!$U$3:$U$132)&gt;ROW(U63)),--(((calc!$Z$3:$Z$132&gt;Z63)*(calc!$AA$3:$AA$132&lt;AA63)+(calc!$Z$3:$Z$132&lt;Z63)*(calc!$AA$3:$AA$132&gt;AA63))&gt;0)),0)</f>
        <v/>
      </c>
      <c r="AC63" s="5">
        <f>IF(mos_metrics!I62="","",mos_metrics!I62)</f>
        <v/>
      </c>
      <c r="AD63" s="2">
        <f>AND($J63,ISNUMBER(AC63),correlation!$I$28=1)</f>
        <v/>
      </c>
      <c r="AE63" s="5">
        <f>IF(AD63,$F63,"")</f>
        <v/>
      </c>
      <c r="AF63" s="5">
        <f>IF(AD63,AC63*correlation!$J$28,"")</f>
        <v/>
      </c>
      <c r="AG63" s="5">
        <f>IF(AND(AD63,ISNUMBER(correlation!$F$28)),AF63*correlation!$F$28+correlation!$G$28,"")</f>
        <v/>
      </c>
      <c r="AH63" s="5">
        <f>IF(AND(AD63,ISNUMBER(AG63)),(AE63-AG63)^2,"")</f>
        <v/>
      </c>
      <c r="AI63" s="5">
        <f>IF(AD63,1+SUMPRODUCT(--(calc!$AD$3:$AD$132=TRUE),--(calc!$AE$3:$AE$132&gt;AE63))+(SUMPRODUCT(--(calc!$AD$3:$AD$132=TRUE),--(calc!$AE$3:$AE$132=AE63))-1)/2,"")</f>
        <v/>
      </c>
      <c r="AJ63" s="5">
        <f>IF(AD63,1+SUMPRODUCT(--(calc!$AD$3:$AD$132=TRUE),--(calc!$AF$3:$AF$132&gt;AF63))+(SUMPRODUCT(--(calc!$AD$3:$AD$132=TRUE),--(calc!$AF$3:$AF$132=AF63))-1)/2,"")</f>
        <v/>
      </c>
      <c r="AK63" s="5">
        <f>IF(AD63,SUMPRODUCT(--(calc!$AD$3:$AD$132=TRUE),--(ROW(calc!$AD$3:$AD$132)&gt;ROW(AD63)),--(((calc!$AI$3:$AI$132&gt;AI63)*(calc!$AJ$3:$AJ$132&gt;AJ63)+(calc!$AI$3:$AI$132&lt;AI63)*(calc!$AJ$3:$AJ$132&lt;AJ63))&gt;0))-SUMPRODUCT(--(calc!$AD$3:$AD$132=TRUE),--(ROW(calc!$AD$3:$AD$132)&gt;ROW(AD63)),--(((calc!$AI$3:$AI$132&gt;AI63)*(calc!$AJ$3:$AJ$132&lt;AJ63)+(calc!$AI$3:$AI$132&lt;AI63)*(calc!$AJ$3:$AJ$132&gt;AJ63))&gt;0)),0)</f>
        <v/>
      </c>
      <c r="AL63" s="5">
        <f>IF(mos_metrics!J62="","",mos_metrics!J62)</f>
        <v/>
      </c>
      <c r="AM63" s="2">
        <f>AND($J63,ISNUMBER(AL63),correlation!$I$29=1)</f>
        <v/>
      </c>
      <c r="AN63" s="5">
        <f>IF(AM63,$F63,"")</f>
        <v/>
      </c>
      <c r="AO63" s="5">
        <f>IF(AM63,AL63*correlation!$J$29,"")</f>
        <v/>
      </c>
      <c r="AP63" s="5">
        <f>IF(AND(AM63,ISNUMBER(correlation!$F$29)),AO63*correlation!$F$29+correlation!$G$29,"")</f>
        <v/>
      </c>
      <c r="AQ63" s="5">
        <f>IF(AND(AM63,ISNUMBER(AP63)),(AN63-AP63)^2,"")</f>
        <v/>
      </c>
      <c r="AR63" s="5">
        <f>IF(AM63,1+SUMPRODUCT(--(calc!$AM$3:$AM$132=TRUE),--(calc!$AN$3:$AN$132&gt;AN63))+(SUMPRODUCT(--(calc!$AM$3:$AM$132=TRUE),--(calc!$AN$3:$AN$132=AN63))-1)/2,"")</f>
        <v/>
      </c>
      <c r="AS63" s="5">
        <f>IF(AM63,1+SUMPRODUCT(--(calc!$AM$3:$AM$132=TRUE),--(calc!$AO$3:$AO$132&gt;AO63))+(SUMPRODUCT(--(calc!$AM$3:$AM$132=TRUE),--(calc!$AO$3:$AO$132=AO63))-1)/2,"")</f>
        <v/>
      </c>
      <c r="AT63" s="5">
        <f>IF(AM63,SUMPRODUCT(--(calc!$AM$3:$AM$132=TRUE),--(ROW(calc!$AM$3:$AM$132)&gt;ROW(AM63)),--(((calc!$AR$3:$AR$132&gt;AR63)*(calc!$AS$3:$AS$132&gt;AS63)+(calc!$AR$3:$AR$132&lt;AR63)*(calc!$AS$3:$AS$132&lt;AS63))&gt;0))-SUMPRODUCT(--(calc!$AM$3:$AM$132=TRUE),--(ROW(calc!$AM$3:$AM$132)&gt;ROW(AM63)),--(((calc!$AR$3:$AR$132&gt;AR63)*(calc!$AS$3:$AS$132&lt;AS63)+(calc!$AR$3:$AR$132&lt;AR63)*(calc!$AS$3:$AS$132&gt;AS63))&gt;0)),0)</f>
        <v/>
      </c>
      <c r="AU63" s="5">
        <f>IF(mos_metrics!K62="","",mos_metrics!K62)</f>
        <v/>
      </c>
      <c r="AV63" s="2">
        <f>AND($J63,ISNUMBER(AU63),correlation!$I$30=1)</f>
        <v/>
      </c>
      <c r="AW63" s="5">
        <f>IF(AV63,$F63,"")</f>
        <v/>
      </c>
      <c r="AX63" s="5">
        <f>IF(AV63,AU63*correlation!$J$30,"")</f>
        <v/>
      </c>
      <c r="AY63" s="5">
        <f>IF(AND(AV63,ISNUMBER(correlation!$F$30)),AX63*correlation!$F$30+correlation!$G$30,"")</f>
        <v/>
      </c>
      <c r="AZ63" s="5">
        <f>IF(AND(AV63,ISNUMBER(AY63)),(AW63-AY63)^2,"")</f>
        <v/>
      </c>
      <c r="BA63" s="5">
        <f>IF(AV63,1+SUMPRODUCT(--(calc!$AV$3:$AV$132=TRUE),--(calc!$AW$3:$AW$132&gt;AW63))+(SUMPRODUCT(--(calc!$AV$3:$AV$132=TRUE),--(calc!$AW$3:$AW$132=AW63))-1)/2,"")</f>
        <v/>
      </c>
      <c r="BB63" s="5">
        <f>IF(AV63,1+SUMPRODUCT(--(calc!$AV$3:$AV$132=TRUE),--(calc!$AX$3:$AX$132&gt;AX63))+(SUMPRODUCT(--(calc!$AV$3:$AV$132=TRUE),--(calc!$AX$3:$AX$132=AX63))-1)/2,"")</f>
        <v/>
      </c>
      <c r="BC63" s="5">
        <f>IF(AV63,SUMPRODUCT(--(calc!$AV$3:$AV$132=TRUE),--(ROW(calc!$AV$3:$AV$132)&gt;ROW(AV63)),--(((calc!$BA$3:$BA$132&gt;BA63)*(calc!$BB$3:$BB$132&gt;BB63)+(calc!$BA$3:$BA$132&lt;BA63)*(calc!$BB$3:$BB$132&lt;BB63))&gt;0))-SUMPRODUCT(--(calc!$AV$3:$AV$132=TRUE),--(ROW(calc!$AV$3:$AV$132)&gt;ROW(AV63)),--(((calc!$BA$3:$BA$132&gt;BA63)*(calc!$BB$3:$BB$132&lt;BB63)+(calc!$BA$3:$BA$132&lt;BA63)*(calc!$BB$3:$BB$132&gt;BB63))&gt;0)),0)</f>
        <v/>
      </c>
      <c r="BD63" s="5">
        <f>IF(mos_metrics!L62="","",mos_metrics!L62)</f>
        <v/>
      </c>
      <c r="BE63" s="2">
        <f>AND($J63,ISNUMBER(BD63),correlation!$I$31=1)</f>
        <v/>
      </c>
      <c r="BF63" s="5">
        <f>IF(BE63,$F63,"")</f>
        <v/>
      </c>
      <c r="BG63" s="5">
        <f>IF(BE63,BD63*correlation!$J$31,"")</f>
        <v/>
      </c>
      <c r="BH63" s="5">
        <f>IF(AND(BE63,ISNUMBER(correlation!$F$31)),BG63*correlation!$F$31+correlation!$G$31,"")</f>
        <v/>
      </c>
      <c r="BI63" s="5">
        <f>IF(AND(BE63,ISNUMBER(BH63)),(BF63-BH63)^2,"")</f>
        <v/>
      </c>
      <c r="BJ63" s="5">
        <f>IF(BE63,1+SUMPRODUCT(--(calc!$BE$3:$BE$132=TRUE),--(calc!$BF$3:$BF$132&gt;BF63))+(SUMPRODUCT(--(calc!$BE$3:$BE$132=TRUE),--(calc!$BF$3:$BF$132=BF63))-1)/2,"")</f>
        <v/>
      </c>
      <c r="BK63" s="5">
        <f>IF(BE63,1+SUMPRODUCT(--(calc!$BE$3:$BE$132=TRUE),--(calc!$BG$3:$BG$132&gt;BG63))+(SUMPRODUCT(--(calc!$BE$3:$BE$132=TRUE),--(calc!$BG$3:$BG$132=BG63))-1)/2,"")</f>
        <v/>
      </c>
      <c r="BL63" s="5">
        <f>IF(BE63,SUMPRODUCT(--(calc!$BE$3:$BE$132=TRUE),--(ROW(calc!$BE$3:$BE$132)&gt;ROW(BE63)),--(((calc!$BJ$3:$BJ$132&gt;BJ63)*(calc!$BK$3:$BK$132&gt;BK63)+(calc!$BJ$3:$BJ$132&lt;BJ63)*(calc!$BK$3:$BK$132&lt;BK63))&gt;0))-SUMPRODUCT(--(calc!$BE$3:$BE$132=TRUE),--(ROW(calc!$BE$3:$BE$132)&gt;ROW(BE63)),--(((calc!$BJ$3:$BJ$132&gt;BJ63)*(calc!$BK$3:$BK$132&lt;BK63)+(calc!$BJ$3:$BJ$132&lt;BJ63)*(calc!$BK$3:$BK$132&gt;BK63))&gt;0)),0)</f>
        <v/>
      </c>
      <c r="BM63" s="5">
        <f>IF(mos_metrics!M62="","",mos_metrics!M62)</f>
        <v/>
      </c>
      <c r="BN63" s="2">
        <f>AND($J63,ISNUMBER(BM63),correlation!$I$32=1)</f>
        <v/>
      </c>
      <c r="BO63" s="5">
        <f>IF(BN63,$F63,"")</f>
        <v/>
      </c>
      <c r="BP63" s="5">
        <f>IF(BN63,BM63*correlation!$J$32,"")</f>
        <v/>
      </c>
      <c r="BQ63" s="5">
        <f>IF(AND(BN63,ISNUMBER(correlation!$F$32)),BP63*correlation!$F$32+correlation!$G$32,"")</f>
        <v/>
      </c>
      <c r="BR63" s="5">
        <f>IF(AND(BN63,ISNUMBER(BQ63)),(BO63-BQ63)^2,"")</f>
        <v/>
      </c>
      <c r="BS63" s="5">
        <f>IF(BN63,1+SUMPRODUCT(--(calc!$BN$3:$BN$132=TRUE),--(calc!$BO$3:$BO$132&gt;BO63))+(SUMPRODUCT(--(calc!$BN$3:$BN$132=TRUE),--(calc!$BO$3:$BO$132=BO63))-1)/2,"")</f>
        <v/>
      </c>
      <c r="BT63" s="5">
        <f>IF(BN63,1+SUMPRODUCT(--(calc!$BN$3:$BN$132=TRUE),--(calc!$BP$3:$BP$132&gt;BP63))+(SUMPRODUCT(--(calc!$BN$3:$BN$132=TRUE),--(calc!$BP$3:$BP$132=BP63))-1)/2,"")</f>
        <v/>
      </c>
      <c r="BU63" s="5">
        <f>IF(BN63,SUMPRODUCT(--(calc!$BN$3:$BN$132=TRUE),--(ROW(calc!$BN$3:$BN$132)&gt;ROW(BN63)),--(((calc!$BS$3:$BS$132&gt;BS63)*(calc!$BT$3:$BT$132&gt;BT63)+(calc!$BS$3:$BS$132&lt;BS63)*(calc!$BT$3:$BT$132&lt;BT63))&gt;0))-SUMPRODUCT(--(calc!$BN$3:$BN$132=TRUE),--(ROW(calc!$BN$3:$BN$132)&gt;ROW(BN63)),--(((calc!$BS$3:$BS$132&gt;BS63)*(calc!$BT$3:$BT$132&lt;BT63)+(calc!$BS$3:$BS$132&lt;BS63)*(calc!$BT$3:$BT$132&gt;BT63))&gt;0)),0)</f>
        <v/>
      </c>
    </row>
    <row r="64">
      <c r="A64" s="2">
        <f>mos_metrics!A63</f>
        <v/>
      </c>
      <c r="B64" s="2">
        <f>mos_metrics!B63</f>
        <v/>
      </c>
      <c r="C64" s="2">
        <f>mos_metrics!C63</f>
        <v/>
      </c>
      <c r="D64" s="2">
        <f>mos_metrics!D63</f>
        <v/>
      </c>
      <c r="E64" s="2">
        <f>mos_metrics!E63</f>
        <v/>
      </c>
      <c r="F64" s="2">
        <f>mos_metrics!F63</f>
        <v/>
      </c>
      <c r="G64" s="2">
        <f>IF($B64="","",IFERROR(VLOOKUP($B64,correlation!$A$2:$B$12,2,FALSE),1))</f>
        <v/>
      </c>
      <c r="H64" s="2">
        <f>IF($E64="","",IFERROR(VLOOKUP($E64,correlation!$D$2:$E$8,2,FALSE),1))</f>
        <v/>
      </c>
      <c r="I64" s="2">
        <f>ISNUMBER($F64)</f>
        <v/>
      </c>
      <c r="J64" s="2">
        <f>AND($G64=1,$H64=1,$I64)</f>
        <v/>
      </c>
      <c r="K64" s="5">
        <f>IF(mos_metrics!G63="","",mos_metrics!G63)</f>
        <v/>
      </c>
      <c r="L64" s="2">
        <f>AND($J64,ISNUMBER(K64),correlation!$I$26=1)</f>
        <v/>
      </c>
      <c r="M64" s="5">
        <f>IF(L64,$F64,"")</f>
        <v/>
      </c>
      <c r="N64" s="5">
        <f>IF(L64,K64*correlation!$J$26,"")</f>
        <v/>
      </c>
      <c r="O64" s="5">
        <f>IF(AND(L64,ISNUMBER(correlation!$F$26)),N64*correlation!$F$26+correlation!$G$26,"")</f>
        <v/>
      </c>
      <c r="P64" s="5">
        <f>IF(AND(L64,ISNUMBER(O64)),(M64-O64)^2,"")</f>
        <v/>
      </c>
      <c r="Q64" s="5">
        <f>IF(L64,1+SUMPRODUCT(--(calc!$L$3:$L$132=TRUE),--(calc!$M$3:$M$132&gt;M64))+(SUMPRODUCT(--(calc!$L$3:$L$132=TRUE),--(calc!$M$3:$M$132=M64))-1)/2,"")</f>
        <v/>
      </c>
      <c r="R64" s="5">
        <f>IF(L64,1+SUMPRODUCT(--(calc!$L$3:$L$132=TRUE),--(calc!$N$3:$N$132&gt;N64))+(SUMPRODUCT(--(calc!$L$3:$L$132=TRUE),--(calc!$N$3:$N$132=N64))-1)/2,"")</f>
        <v/>
      </c>
      <c r="S64" s="5">
        <f>IF(L64,SUMPRODUCT(--(calc!$L$3:$L$132=TRUE),--(ROW(calc!$L$3:$L$132)&gt;ROW(L64)),--(((calc!$Q$3:$Q$132&gt;Q64)*(calc!$R$3:$R$132&gt;R64)+(calc!$Q$3:$Q$132&lt;Q64)*(calc!$R$3:$R$132&lt;R64))&gt;0))-SUMPRODUCT(--(calc!$L$3:$L$132=TRUE),--(ROW(calc!$L$3:$L$132)&gt;ROW(L64)),--(((calc!$Q$3:$Q$132&gt;Q64)*(calc!$R$3:$R$132&lt;R64)+(calc!$Q$3:$Q$132&lt;Q64)*(calc!$R$3:$R$132&gt;R64))&gt;0)),0)</f>
        <v/>
      </c>
      <c r="T64" s="5">
        <f>IF(mos_metrics!H63="","",mos_metrics!H63)</f>
        <v/>
      </c>
      <c r="U64" s="2">
        <f>AND($J64,ISNUMBER(T64),correlation!$I$27=1)</f>
        <v/>
      </c>
      <c r="V64" s="5">
        <f>IF(U64,$F64,"")</f>
        <v/>
      </c>
      <c r="W64" s="5">
        <f>IF(U64,T64*correlation!$J$27,"")</f>
        <v/>
      </c>
      <c r="X64" s="5">
        <f>IF(AND(U64,ISNUMBER(correlation!$F$27)),W64*correlation!$F$27+correlation!$G$27,"")</f>
        <v/>
      </c>
      <c r="Y64" s="5">
        <f>IF(AND(U64,ISNUMBER(X64)),(V64-X64)^2,"")</f>
        <v/>
      </c>
      <c r="Z64" s="5">
        <f>IF(U64,1+SUMPRODUCT(--(calc!$U$3:$U$132=TRUE),--(calc!$V$3:$V$132&gt;V64))+(SUMPRODUCT(--(calc!$U$3:$U$132=TRUE),--(calc!$V$3:$V$132=V64))-1)/2,"")</f>
        <v/>
      </c>
      <c r="AA64" s="5">
        <f>IF(U64,1+SUMPRODUCT(--(calc!$U$3:$U$132=TRUE),--(calc!$W$3:$W$132&gt;W64))+(SUMPRODUCT(--(calc!$U$3:$U$132=TRUE),--(calc!$W$3:$W$132=W64))-1)/2,"")</f>
        <v/>
      </c>
      <c r="AB64" s="5">
        <f>IF(U64,SUMPRODUCT(--(calc!$U$3:$U$132=TRUE),--(ROW(calc!$U$3:$U$132)&gt;ROW(U64)),--(((calc!$Z$3:$Z$132&gt;Z64)*(calc!$AA$3:$AA$132&gt;AA64)+(calc!$Z$3:$Z$132&lt;Z64)*(calc!$AA$3:$AA$132&lt;AA64))&gt;0))-SUMPRODUCT(--(calc!$U$3:$U$132=TRUE),--(ROW(calc!$U$3:$U$132)&gt;ROW(U64)),--(((calc!$Z$3:$Z$132&gt;Z64)*(calc!$AA$3:$AA$132&lt;AA64)+(calc!$Z$3:$Z$132&lt;Z64)*(calc!$AA$3:$AA$132&gt;AA64))&gt;0)),0)</f>
        <v/>
      </c>
      <c r="AC64" s="5">
        <f>IF(mos_metrics!I63="","",mos_metrics!I63)</f>
        <v/>
      </c>
      <c r="AD64" s="2">
        <f>AND($J64,ISNUMBER(AC64),correlation!$I$28=1)</f>
        <v/>
      </c>
      <c r="AE64" s="5">
        <f>IF(AD64,$F64,"")</f>
        <v/>
      </c>
      <c r="AF64" s="5">
        <f>IF(AD64,AC64*correlation!$J$28,"")</f>
        <v/>
      </c>
      <c r="AG64" s="5">
        <f>IF(AND(AD64,ISNUMBER(correlation!$F$28)),AF64*correlation!$F$28+correlation!$G$28,"")</f>
        <v/>
      </c>
      <c r="AH64" s="5">
        <f>IF(AND(AD64,ISNUMBER(AG64)),(AE64-AG64)^2,"")</f>
        <v/>
      </c>
      <c r="AI64" s="5">
        <f>IF(AD64,1+SUMPRODUCT(--(calc!$AD$3:$AD$132=TRUE),--(calc!$AE$3:$AE$132&gt;AE64))+(SUMPRODUCT(--(calc!$AD$3:$AD$132=TRUE),--(calc!$AE$3:$AE$132=AE64))-1)/2,"")</f>
        <v/>
      </c>
      <c r="AJ64" s="5">
        <f>IF(AD64,1+SUMPRODUCT(--(calc!$AD$3:$AD$132=TRUE),--(calc!$AF$3:$AF$132&gt;AF64))+(SUMPRODUCT(--(calc!$AD$3:$AD$132=TRUE),--(calc!$AF$3:$AF$132=AF64))-1)/2,"")</f>
        <v/>
      </c>
      <c r="AK64" s="5">
        <f>IF(AD64,SUMPRODUCT(--(calc!$AD$3:$AD$132=TRUE),--(ROW(calc!$AD$3:$AD$132)&gt;ROW(AD64)),--(((calc!$AI$3:$AI$132&gt;AI64)*(calc!$AJ$3:$AJ$132&gt;AJ64)+(calc!$AI$3:$AI$132&lt;AI64)*(calc!$AJ$3:$AJ$132&lt;AJ64))&gt;0))-SUMPRODUCT(--(calc!$AD$3:$AD$132=TRUE),--(ROW(calc!$AD$3:$AD$132)&gt;ROW(AD64)),--(((calc!$AI$3:$AI$132&gt;AI64)*(calc!$AJ$3:$AJ$132&lt;AJ64)+(calc!$AI$3:$AI$132&lt;AI64)*(calc!$AJ$3:$AJ$132&gt;AJ64))&gt;0)),0)</f>
        <v/>
      </c>
      <c r="AL64" s="5">
        <f>IF(mos_metrics!J63="","",mos_metrics!J63)</f>
        <v/>
      </c>
      <c r="AM64" s="2">
        <f>AND($J64,ISNUMBER(AL64),correlation!$I$29=1)</f>
        <v/>
      </c>
      <c r="AN64" s="5">
        <f>IF(AM64,$F64,"")</f>
        <v/>
      </c>
      <c r="AO64" s="5">
        <f>IF(AM64,AL64*correlation!$J$29,"")</f>
        <v/>
      </c>
      <c r="AP64" s="5">
        <f>IF(AND(AM64,ISNUMBER(correlation!$F$29)),AO64*correlation!$F$29+correlation!$G$29,"")</f>
        <v/>
      </c>
      <c r="AQ64" s="5">
        <f>IF(AND(AM64,ISNUMBER(AP64)),(AN64-AP64)^2,"")</f>
        <v/>
      </c>
      <c r="AR64" s="5">
        <f>IF(AM64,1+SUMPRODUCT(--(calc!$AM$3:$AM$132=TRUE),--(calc!$AN$3:$AN$132&gt;AN64))+(SUMPRODUCT(--(calc!$AM$3:$AM$132=TRUE),--(calc!$AN$3:$AN$132=AN64))-1)/2,"")</f>
        <v/>
      </c>
      <c r="AS64" s="5">
        <f>IF(AM64,1+SUMPRODUCT(--(calc!$AM$3:$AM$132=TRUE),--(calc!$AO$3:$AO$132&gt;AO64))+(SUMPRODUCT(--(calc!$AM$3:$AM$132=TRUE),--(calc!$AO$3:$AO$132=AO64))-1)/2,"")</f>
        <v/>
      </c>
      <c r="AT64" s="5">
        <f>IF(AM64,SUMPRODUCT(--(calc!$AM$3:$AM$132=TRUE),--(ROW(calc!$AM$3:$AM$132)&gt;ROW(AM64)),--(((calc!$AR$3:$AR$132&gt;AR64)*(calc!$AS$3:$AS$132&gt;AS64)+(calc!$AR$3:$AR$132&lt;AR64)*(calc!$AS$3:$AS$132&lt;AS64))&gt;0))-SUMPRODUCT(--(calc!$AM$3:$AM$132=TRUE),--(ROW(calc!$AM$3:$AM$132)&gt;ROW(AM64)),--(((calc!$AR$3:$AR$132&gt;AR64)*(calc!$AS$3:$AS$132&lt;AS64)+(calc!$AR$3:$AR$132&lt;AR64)*(calc!$AS$3:$AS$132&gt;AS64))&gt;0)),0)</f>
        <v/>
      </c>
      <c r="AU64" s="5">
        <f>IF(mos_metrics!K63="","",mos_metrics!K63)</f>
        <v/>
      </c>
      <c r="AV64" s="2">
        <f>AND($J64,ISNUMBER(AU64),correlation!$I$30=1)</f>
        <v/>
      </c>
      <c r="AW64" s="5">
        <f>IF(AV64,$F64,"")</f>
        <v/>
      </c>
      <c r="AX64" s="5">
        <f>IF(AV64,AU64*correlation!$J$30,"")</f>
        <v/>
      </c>
      <c r="AY64" s="5">
        <f>IF(AND(AV64,ISNUMBER(correlation!$F$30)),AX64*correlation!$F$30+correlation!$G$30,"")</f>
        <v/>
      </c>
      <c r="AZ64" s="5">
        <f>IF(AND(AV64,ISNUMBER(AY64)),(AW64-AY64)^2,"")</f>
        <v/>
      </c>
      <c r="BA64" s="5">
        <f>IF(AV64,1+SUMPRODUCT(--(calc!$AV$3:$AV$132=TRUE),--(calc!$AW$3:$AW$132&gt;AW64))+(SUMPRODUCT(--(calc!$AV$3:$AV$132=TRUE),--(calc!$AW$3:$AW$132=AW64))-1)/2,"")</f>
        <v/>
      </c>
      <c r="BB64" s="5">
        <f>IF(AV64,1+SUMPRODUCT(--(calc!$AV$3:$AV$132=TRUE),--(calc!$AX$3:$AX$132&gt;AX64))+(SUMPRODUCT(--(calc!$AV$3:$AV$132=TRUE),--(calc!$AX$3:$AX$132=AX64))-1)/2,"")</f>
        <v/>
      </c>
      <c r="BC64" s="5">
        <f>IF(AV64,SUMPRODUCT(--(calc!$AV$3:$AV$132=TRUE),--(ROW(calc!$AV$3:$AV$132)&gt;ROW(AV64)),--(((calc!$BA$3:$BA$132&gt;BA64)*(calc!$BB$3:$BB$132&gt;BB64)+(calc!$BA$3:$BA$132&lt;BA64)*(calc!$BB$3:$BB$132&lt;BB64))&gt;0))-SUMPRODUCT(--(calc!$AV$3:$AV$132=TRUE),--(ROW(calc!$AV$3:$AV$132)&gt;ROW(AV64)),--(((calc!$BA$3:$BA$132&gt;BA64)*(calc!$BB$3:$BB$132&lt;BB64)+(calc!$BA$3:$BA$132&lt;BA64)*(calc!$BB$3:$BB$132&gt;BB64))&gt;0)),0)</f>
        <v/>
      </c>
      <c r="BD64" s="5">
        <f>IF(mos_metrics!L63="","",mos_metrics!L63)</f>
        <v/>
      </c>
      <c r="BE64" s="2">
        <f>AND($J64,ISNUMBER(BD64),correlation!$I$31=1)</f>
        <v/>
      </c>
      <c r="BF64" s="5">
        <f>IF(BE64,$F64,"")</f>
        <v/>
      </c>
      <c r="BG64" s="5">
        <f>IF(BE64,BD64*correlation!$J$31,"")</f>
        <v/>
      </c>
      <c r="BH64" s="5">
        <f>IF(AND(BE64,ISNUMBER(correlation!$F$31)),BG64*correlation!$F$31+correlation!$G$31,"")</f>
        <v/>
      </c>
      <c r="BI64" s="5">
        <f>IF(AND(BE64,ISNUMBER(BH64)),(BF64-BH64)^2,"")</f>
        <v/>
      </c>
      <c r="BJ64" s="5">
        <f>IF(BE64,1+SUMPRODUCT(--(calc!$BE$3:$BE$132=TRUE),--(calc!$BF$3:$BF$132&gt;BF64))+(SUMPRODUCT(--(calc!$BE$3:$BE$132=TRUE),--(calc!$BF$3:$BF$132=BF64))-1)/2,"")</f>
        <v/>
      </c>
      <c r="BK64" s="5">
        <f>IF(BE64,1+SUMPRODUCT(--(calc!$BE$3:$BE$132=TRUE),--(calc!$BG$3:$BG$132&gt;BG64))+(SUMPRODUCT(--(calc!$BE$3:$BE$132=TRUE),--(calc!$BG$3:$BG$132=BG64))-1)/2,"")</f>
        <v/>
      </c>
      <c r="BL64" s="5">
        <f>IF(BE64,SUMPRODUCT(--(calc!$BE$3:$BE$132=TRUE),--(ROW(calc!$BE$3:$BE$132)&gt;ROW(BE64)),--(((calc!$BJ$3:$BJ$132&gt;BJ64)*(calc!$BK$3:$BK$132&gt;BK64)+(calc!$BJ$3:$BJ$132&lt;BJ64)*(calc!$BK$3:$BK$132&lt;BK64))&gt;0))-SUMPRODUCT(--(calc!$BE$3:$BE$132=TRUE),--(ROW(calc!$BE$3:$BE$132)&gt;ROW(BE64)),--(((calc!$BJ$3:$BJ$132&gt;BJ64)*(calc!$BK$3:$BK$132&lt;BK64)+(calc!$BJ$3:$BJ$132&lt;BJ64)*(calc!$BK$3:$BK$132&gt;BK64))&gt;0)),0)</f>
        <v/>
      </c>
      <c r="BM64" s="5">
        <f>IF(mos_metrics!M63="","",mos_metrics!M63)</f>
        <v/>
      </c>
      <c r="BN64" s="2">
        <f>AND($J64,ISNUMBER(BM64),correlation!$I$32=1)</f>
        <v/>
      </c>
      <c r="BO64" s="5">
        <f>IF(BN64,$F64,"")</f>
        <v/>
      </c>
      <c r="BP64" s="5">
        <f>IF(BN64,BM64*correlation!$J$32,"")</f>
        <v/>
      </c>
      <c r="BQ64" s="5">
        <f>IF(AND(BN64,ISNUMBER(correlation!$F$32)),BP64*correlation!$F$32+correlation!$G$32,"")</f>
        <v/>
      </c>
      <c r="BR64" s="5">
        <f>IF(AND(BN64,ISNUMBER(BQ64)),(BO64-BQ64)^2,"")</f>
        <v/>
      </c>
      <c r="BS64" s="5">
        <f>IF(BN64,1+SUMPRODUCT(--(calc!$BN$3:$BN$132=TRUE),--(calc!$BO$3:$BO$132&gt;BO64))+(SUMPRODUCT(--(calc!$BN$3:$BN$132=TRUE),--(calc!$BO$3:$BO$132=BO64))-1)/2,"")</f>
        <v/>
      </c>
      <c r="BT64" s="5">
        <f>IF(BN64,1+SUMPRODUCT(--(calc!$BN$3:$BN$132=TRUE),--(calc!$BP$3:$BP$132&gt;BP64))+(SUMPRODUCT(--(calc!$BN$3:$BN$132=TRUE),--(calc!$BP$3:$BP$132=BP64))-1)/2,"")</f>
        <v/>
      </c>
      <c r="BU64" s="5">
        <f>IF(BN64,SUMPRODUCT(--(calc!$BN$3:$BN$132=TRUE),--(ROW(calc!$BN$3:$BN$132)&gt;ROW(BN64)),--(((calc!$BS$3:$BS$132&gt;BS64)*(calc!$BT$3:$BT$132&gt;BT64)+(calc!$BS$3:$BS$132&lt;BS64)*(calc!$BT$3:$BT$132&lt;BT64))&gt;0))-SUMPRODUCT(--(calc!$BN$3:$BN$132=TRUE),--(ROW(calc!$BN$3:$BN$132)&gt;ROW(BN64)),--(((calc!$BS$3:$BS$132&gt;BS64)*(calc!$BT$3:$BT$132&lt;BT64)+(calc!$BS$3:$BS$132&lt;BS64)*(calc!$BT$3:$BT$132&gt;BT64))&gt;0)),0)</f>
        <v/>
      </c>
    </row>
    <row r="65">
      <c r="A65" s="2">
        <f>mos_metrics!A64</f>
        <v/>
      </c>
      <c r="B65" s="2">
        <f>mos_metrics!B64</f>
        <v/>
      </c>
      <c r="C65" s="2">
        <f>mos_metrics!C64</f>
        <v/>
      </c>
      <c r="D65" s="2">
        <f>mos_metrics!D64</f>
        <v/>
      </c>
      <c r="E65" s="2">
        <f>mos_metrics!E64</f>
        <v/>
      </c>
      <c r="F65" s="2">
        <f>mos_metrics!F64</f>
        <v/>
      </c>
      <c r="G65" s="2">
        <f>IF($B65="","",IFERROR(VLOOKUP($B65,correlation!$A$2:$B$12,2,FALSE),1))</f>
        <v/>
      </c>
      <c r="H65" s="2">
        <f>IF($E65="","",IFERROR(VLOOKUP($E65,correlation!$D$2:$E$8,2,FALSE),1))</f>
        <v/>
      </c>
      <c r="I65" s="2">
        <f>ISNUMBER($F65)</f>
        <v/>
      </c>
      <c r="J65" s="2">
        <f>AND($G65=1,$H65=1,$I65)</f>
        <v/>
      </c>
      <c r="K65" s="5">
        <f>IF(mos_metrics!G64="","",mos_metrics!G64)</f>
        <v/>
      </c>
      <c r="L65" s="2">
        <f>AND($J65,ISNUMBER(K65),correlation!$I$26=1)</f>
        <v/>
      </c>
      <c r="M65" s="5">
        <f>IF(L65,$F65,"")</f>
        <v/>
      </c>
      <c r="N65" s="5">
        <f>IF(L65,K65*correlation!$J$26,"")</f>
        <v/>
      </c>
      <c r="O65" s="5">
        <f>IF(AND(L65,ISNUMBER(correlation!$F$26)),N65*correlation!$F$26+correlation!$G$26,"")</f>
        <v/>
      </c>
      <c r="P65" s="5">
        <f>IF(AND(L65,ISNUMBER(O65)),(M65-O65)^2,"")</f>
        <v/>
      </c>
      <c r="Q65" s="5">
        <f>IF(L65,1+SUMPRODUCT(--(calc!$L$3:$L$132=TRUE),--(calc!$M$3:$M$132&gt;M65))+(SUMPRODUCT(--(calc!$L$3:$L$132=TRUE),--(calc!$M$3:$M$132=M65))-1)/2,"")</f>
        <v/>
      </c>
      <c r="R65" s="5">
        <f>IF(L65,1+SUMPRODUCT(--(calc!$L$3:$L$132=TRUE),--(calc!$N$3:$N$132&gt;N65))+(SUMPRODUCT(--(calc!$L$3:$L$132=TRUE),--(calc!$N$3:$N$132=N65))-1)/2,"")</f>
        <v/>
      </c>
      <c r="S65" s="5">
        <f>IF(L65,SUMPRODUCT(--(calc!$L$3:$L$132=TRUE),--(ROW(calc!$L$3:$L$132)&gt;ROW(L65)),--(((calc!$Q$3:$Q$132&gt;Q65)*(calc!$R$3:$R$132&gt;R65)+(calc!$Q$3:$Q$132&lt;Q65)*(calc!$R$3:$R$132&lt;R65))&gt;0))-SUMPRODUCT(--(calc!$L$3:$L$132=TRUE),--(ROW(calc!$L$3:$L$132)&gt;ROW(L65)),--(((calc!$Q$3:$Q$132&gt;Q65)*(calc!$R$3:$R$132&lt;R65)+(calc!$Q$3:$Q$132&lt;Q65)*(calc!$R$3:$R$132&gt;R65))&gt;0)),0)</f>
        <v/>
      </c>
      <c r="T65" s="5">
        <f>IF(mos_metrics!H64="","",mos_metrics!H64)</f>
        <v/>
      </c>
      <c r="U65" s="2">
        <f>AND($J65,ISNUMBER(T65),correlation!$I$27=1)</f>
        <v/>
      </c>
      <c r="V65" s="5">
        <f>IF(U65,$F65,"")</f>
        <v/>
      </c>
      <c r="W65" s="5">
        <f>IF(U65,T65*correlation!$J$27,"")</f>
        <v/>
      </c>
      <c r="X65" s="5">
        <f>IF(AND(U65,ISNUMBER(correlation!$F$27)),W65*correlation!$F$27+correlation!$G$27,"")</f>
        <v/>
      </c>
      <c r="Y65" s="5">
        <f>IF(AND(U65,ISNUMBER(X65)),(V65-X65)^2,"")</f>
        <v/>
      </c>
      <c r="Z65" s="5">
        <f>IF(U65,1+SUMPRODUCT(--(calc!$U$3:$U$132=TRUE),--(calc!$V$3:$V$132&gt;V65))+(SUMPRODUCT(--(calc!$U$3:$U$132=TRUE),--(calc!$V$3:$V$132=V65))-1)/2,"")</f>
        <v/>
      </c>
      <c r="AA65" s="5">
        <f>IF(U65,1+SUMPRODUCT(--(calc!$U$3:$U$132=TRUE),--(calc!$W$3:$W$132&gt;W65))+(SUMPRODUCT(--(calc!$U$3:$U$132=TRUE),--(calc!$W$3:$W$132=W65))-1)/2,"")</f>
        <v/>
      </c>
      <c r="AB65" s="5">
        <f>IF(U65,SUMPRODUCT(--(calc!$U$3:$U$132=TRUE),--(ROW(calc!$U$3:$U$132)&gt;ROW(U65)),--(((calc!$Z$3:$Z$132&gt;Z65)*(calc!$AA$3:$AA$132&gt;AA65)+(calc!$Z$3:$Z$132&lt;Z65)*(calc!$AA$3:$AA$132&lt;AA65))&gt;0))-SUMPRODUCT(--(calc!$U$3:$U$132=TRUE),--(ROW(calc!$U$3:$U$132)&gt;ROW(U65)),--(((calc!$Z$3:$Z$132&gt;Z65)*(calc!$AA$3:$AA$132&lt;AA65)+(calc!$Z$3:$Z$132&lt;Z65)*(calc!$AA$3:$AA$132&gt;AA65))&gt;0)),0)</f>
        <v/>
      </c>
      <c r="AC65" s="5">
        <f>IF(mos_metrics!I64="","",mos_metrics!I64)</f>
        <v/>
      </c>
      <c r="AD65" s="2">
        <f>AND($J65,ISNUMBER(AC65),correlation!$I$28=1)</f>
        <v/>
      </c>
      <c r="AE65" s="5">
        <f>IF(AD65,$F65,"")</f>
        <v/>
      </c>
      <c r="AF65" s="5">
        <f>IF(AD65,AC65*correlation!$J$28,"")</f>
        <v/>
      </c>
      <c r="AG65" s="5">
        <f>IF(AND(AD65,ISNUMBER(correlation!$F$28)),AF65*correlation!$F$28+correlation!$G$28,"")</f>
        <v/>
      </c>
      <c r="AH65" s="5">
        <f>IF(AND(AD65,ISNUMBER(AG65)),(AE65-AG65)^2,"")</f>
        <v/>
      </c>
      <c r="AI65" s="5">
        <f>IF(AD65,1+SUMPRODUCT(--(calc!$AD$3:$AD$132=TRUE),--(calc!$AE$3:$AE$132&gt;AE65))+(SUMPRODUCT(--(calc!$AD$3:$AD$132=TRUE),--(calc!$AE$3:$AE$132=AE65))-1)/2,"")</f>
        <v/>
      </c>
      <c r="AJ65" s="5">
        <f>IF(AD65,1+SUMPRODUCT(--(calc!$AD$3:$AD$132=TRUE),--(calc!$AF$3:$AF$132&gt;AF65))+(SUMPRODUCT(--(calc!$AD$3:$AD$132=TRUE),--(calc!$AF$3:$AF$132=AF65))-1)/2,"")</f>
        <v/>
      </c>
      <c r="AK65" s="5">
        <f>IF(AD65,SUMPRODUCT(--(calc!$AD$3:$AD$132=TRUE),--(ROW(calc!$AD$3:$AD$132)&gt;ROW(AD65)),--(((calc!$AI$3:$AI$132&gt;AI65)*(calc!$AJ$3:$AJ$132&gt;AJ65)+(calc!$AI$3:$AI$132&lt;AI65)*(calc!$AJ$3:$AJ$132&lt;AJ65))&gt;0))-SUMPRODUCT(--(calc!$AD$3:$AD$132=TRUE),--(ROW(calc!$AD$3:$AD$132)&gt;ROW(AD65)),--(((calc!$AI$3:$AI$132&gt;AI65)*(calc!$AJ$3:$AJ$132&lt;AJ65)+(calc!$AI$3:$AI$132&lt;AI65)*(calc!$AJ$3:$AJ$132&gt;AJ65))&gt;0)),0)</f>
        <v/>
      </c>
      <c r="AL65" s="5">
        <f>IF(mos_metrics!J64="","",mos_metrics!J64)</f>
        <v/>
      </c>
      <c r="AM65" s="2">
        <f>AND($J65,ISNUMBER(AL65),correlation!$I$29=1)</f>
        <v/>
      </c>
      <c r="AN65" s="5">
        <f>IF(AM65,$F65,"")</f>
        <v/>
      </c>
      <c r="AO65" s="5">
        <f>IF(AM65,AL65*correlation!$J$29,"")</f>
        <v/>
      </c>
      <c r="AP65" s="5">
        <f>IF(AND(AM65,ISNUMBER(correlation!$F$29)),AO65*correlation!$F$29+correlation!$G$29,"")</f>
        <v/>
      </c>
      <c r="AQ65" s="5">
        <f>IF(AND(AM65,ISNUMBER(AP65)),(AN65-AP65)^2,"")</f>
        <v/>
      </c>
      <c r="AR65" s="5">
        <f>IF(AM65,1+SUMPRODUCT(--(calc!$AM$3:$AM$132=TRUE),--(calc!$AN$3:$AN$132&gt;AN65))+(SUMPRODUCT(--(calc!$AM$3:$AM$132=TRUE),--(calc!$AN$3:$AN$132=AN65))-1)/2,"")</f>
        <v/>
      </c>
      <c r="AS65" s="5">
        <f>IF(AM65,1+SUMPRODUCT(--(calc!$AM$3:$AM$132=TRUE),--(calc!$AO$3:$AO$132&gt;AO65))+(SUMPRODUCT(--(calc!$AM$3:$AM$132=TRUE),--(calc!$AO$3:$AO$132=AO65))-1)/2,"")</f>
        <v/>
      </c>
      <c r="AT65" s="5">
        <f>IF(AM65,SUMPRODUCT(--(calc!$AM$3:$AM$132=TRUE),--(ROW(calc!$AM$3:$AM$132)&gt;ROW(AM65)),--(((calc!$AR$3:$AR$132&gt;AR65)*(calc!$AS$3:$AS$132&gt;AS65)+(calc!$AR$3:$AR$132&lt;AR65)*(calc!$AS$3:$AS$132&lt;AS65))&gt;0))-SUMPRODUCT(--(calc!$AM$3:$AM$132=TRUE),--(ROW(calc!$AM$3:$AM$132)&gt;ROW(AM65)),--(((calc!$AR$3:$AR$132&gt;AR65)*(calc!$AS$3:$AS$132&lt;AS65)+(calc!$AR$3:$AR$132&lt;AR65)*(calc!$AS$3:$AS$132&gt;AS65))&gt;0)),0)</f>
        <v/>
      </c>
      <c r="AU65" s="5">
        <f>IF(mos_metrics!K64="","",mos_metrics!K64)</f>
        <v/>
      </c>
      <c r="AV65" s="2">
        <f>AND($J65,ISNUMBER(AU65),correlation!$I$30=1)</f>
        <v/>
      </c>
      <c r="AW65" s="5">
        <f>IF(AV65,$F65,"")</f>
        <v/>
      </c>
      <c r="AX65" s="5">
        <f>IF(AV65,AU65*correlation!$J$30,"")</f>
        <v/>
      </c>
      <c r="AY65" s="5">
        <f>IF(AND(AV65,ISNUMBER(correlation!$F$30)),AX65*correlation!$F$30+correlation!$G$30,"")</f>
        <v/>
      </c>
      <c r="AZ65" s="5">
        <f>IF(AND(AV65,ISNUMBER(AY65)),(AW65-AY65)^2,"")</f>
        <v/>
      </c>
      <c r="BA65" s="5">
        <f>IF(AV65,1+SUMPRODUCT(--(calc!$AV$3:$AV$132=TRUE),--(calc!$AW$3:$AW$132&gt;AW65))+(SUMPRODUCT(--(calc!$AV$3:$AV$132=TRUE),--(calc!$AW$3:$AW$132=AW65))-1)/2,"")</f>
        <v/>
      </c>
      <c r="BB65" s="5">
        <f>IF(AV65,1+SUMPRODUCT(--(calc!$AV$3:$AV$132=TRUE),--(calc!$AX$3:$AX$132&gt;AX65))+(SUMPRODUCT(--(calc!$AV$3:$AV$132=TRUE),--(calc!$AX$3:$AX$132=AX65))-1)/2,"")</f>
        <v/>
      </c>
      <c r="BC65" s="5">
        <f>IF(AV65,SUMPRODUCT(--(calc!$AV$3:$AV$132=TRUE),--(ROW(calc!$AV$3:$AV$132)&gt;ROW(AV65)),--(((calc!$BA$3:$BA$132&gt;BA65)*(calc!$BB$3:$BB$132&gt;BB65)+(calc!$BA$3:$BA$132&lt;BA65)*(calc!$BB$3:$BB$132&lt;BB65))&gt;0))-SUMPRODUCT(--(calc!$AV$3:$AV$132=TRUE),--(ROW(calc!$AV$3:$AV$132)&gt;ROW(AV65)),--(((calc!$BA$3:$BA$132&gt;BA65)*(calc!$BB$3:$BB$132&lt;BB65)+(calc!$BA$3:$BA$132&lt;BA65)*(calc!$BB$3:$BB$132&gt;BB65))&gt;0)),0)</f>
        <v/>
      </c>
      <c r="BD65" s="5">
        <f>IF(mos_metrics!L64="","",mos_metrics!L64)</f>
        <v/>
      </c>
      <c r="BE65" s="2">
        <f>AND($J65,ISNUMBER(BD65),correlation!$I$31=1)</f>
        <v/>
      </c>
      <c r="BF65" s="5">
        <f>IF(BE65,$F65,"")</f>
        <v/>
      </c>
      <c r="BG65" s="5">
        <f>IF(BE65,BD65*correlation!$J$31,"")</f>
        <v/>
      </c>
      <c r="BH65" s="5">
        <f>IF(AND(BE65,ISNUMBER(correlation!$F$31)),BG65*correlation!$F$31+correlation!$G$31,"")</f>
        <v/>
      </c>
      <c r="BI65" s="5">
        <f>IF(AND(BE65,ISNUMBER(BH65)),(BF65-BH65)^2,"")</f>
        <v/>
      </c>
      <c r="BJ65" s="5">
        <f>IF(BE65,1+SUMPRODUCT(--(calc!$BE$3:$BE$132=TRUE),--(calc!$BF$3:$BF$132&gt;BF65))+(SUMPRODUCT(--(calc!$BE$3:$BE$132=TRUE),--(calc!$BF$3:$BF$132=BF65))-1)/2,"")</f>
        <v/>
      </c>
      <c r="BK65" s="5">
        <f>IF(BE65,1+SUMPRODUCT(--(calc!$BE$3:$BE$132=TRUE),--(calc!$BG$3:$BG$132&gt;BG65))+(SUMPRODUCT(--(calc!$BE$3:$BE$132=TRUE),--(calc!$BG$3:$BG$132=BG65))-1)/2,"")</f>
        <v/>
      </c>
      <c r="BL65" s="5">
        <f>IF(BE65,SUMPRODUCT(--(calc!$BE$3:$BE$132=TRUE),--(ROW(calc!$BE$3:$BE$132)&gt;ROW(BE65)),--(((calc!$BJ$3:$BJ$132&gt;BJ65)*(calc!$BK$3:$BK$132&gt;BK65)+(calc!$BJ$3:$BJ$132&lt;BJ65)*(calc!$BK$3:$BK$132&lt;BK65))&gt;0))-SUMPRODUCT(--(calc!$BE$3:$BE$132=TRUE),--(ROW(calc!$BE$3:$BE$132)&gt;ROW(BE65)),--(((calc!$BJ$3:$BJ$132&gt;BJ65)*(calc!$BK$3:$BK$132&lt;BK65)+(calc!$BJ$3:$BJ$132&lt;BJ65)*(calc!$BK$3:$BK$132&gt;BK65))&gt;0)),0)</f>
        <v/>
      </c>
      <c r="BM65" s="5">
        <f>IF(mos_metrics!M64="","",mos_metrics!M64)</f>
        <v/>
      </c>
      <c r="BN65" s="2">
        <f>AND($J65,ISNUMBER(BM65),correlation!$I$32=1)</f>
        <v/>
      </c>
      <c r="BO65" s="5">
        <f>IF(BN65,$F65,"")</f>
        <v/>
      </c>
      <c r="BP65" s="5">
        <f>IF(BN65,BM65*correlation!$J$32,"")</f>
        <v/>
      </c>
      <c r="BQ65" s="5">
        <f>IF(AND(BN65,ISNUMBER(correlation!$F$32)),BP65*correlation!$F$32+correlation!$G$32,"")</f>
        <v/>
      </c>
      <c r="BR65" s="5">
        <f>IF(AND(BN65,ISNUMBER(BQ65)),(BO65-BQ65)^2,"")</f>
        <v/>
      </c>
      <c r="BS65" s="5">
        <f>IF(BN65,1+SUMPRODUCT(--(calc!$BN$3:$BN$132=TRUE),--(calc!$BO$3:$BO$132&gt;BO65))+(SUMPRODUCT(--(calc!$BN$3:$BN$132=TRUE),--(calc!$BO$3:$BO$132=BO65))-1)/2,"")</f>
        <v/>
      </c>
      <c r="BT65" s="5">
        <f>IF(BN65,1+SUMPRODUCT(--(calc!$BN$3:$BN$132=TRUE),--(calc!$BP$3:$BP$132&gt;BP65))+(SUMPRODUCT(--(calc!$BN$3:$BN$132=TRUE),--(calc!$BP$3:$BP$132=BP65))-1)/2,"")</f>
        <v/>
      </c>
      <c r="BU65" s="5">
        <f>IF(BN65,SUMPRODUCT(--(calc!$BN$3:$BN$132=TRUE),--(ROW(calc!$BN$3:$BN$132)&gt;ROW(BN65)),--(((calc!$BS$3:$BS$132&gt;BS65)*(calc!$BT$3:$BT$132&gt;BT65)+(calc!$BS$3:$BS$132&lt;BS65)*(calc!$BT$3:$BT$132&lt;BT65))&gt;0))-SUMPRODUCT(--(calc!$BN$3:$BN$132=TRUE),--(ROW(calc!$BN$3:$BN$132)&gt;ROW(BN65)),--(((calc!$BS$3:$BS$132&gt;BS65)*(calc!$BT$3:$BT$132&lt;BT65)+(calc!$BS$3:$BS$132&lt;BS65)*(calc!$BT$3:$BT$132&gt;BT65))&gt;0)),0)</f>
        <v/>
      </c>
    </row>
    <row r="66">
      <c r="A66" s="2">
        <f>mos_metrics!A65</f>
        <v/>
      </c>
      <c r="B66" s="2">
        <f>mos_metrics!B65</f>
        <v/>
      </c>
      <c r="C66" s="2">
        <f>mos_metrics!C65</f>
        <v/>
      </c>
      <c r="D66" s="2">
        <f>mos_metrics!D65</f>
        <v/>
      </c>
      <c r="E66" s="2">
        <f>mos_metrics!E65</f>
        <v/>
      </c>
      <c r="F66" s="2">
        <f>mos_metrics!F65</f>
        <v/>
      </c>
      <c r="G66" s="2">
        <f>IF($B66="","",IFERROR(VLOOKUP($B66,correlation!$A$2:$B$12,2,FALSE),1))</f>
        <v/>
      </c>
      <c r="H66" s="2">
        <f>IF($E66="","",IFERROR(VLOOKUP($E66,correlation!$D$2:$E$8,2,FALSE),1))</f>
        <v/>
      </c>
      <c r="I66" s="2">
        <f>ISNUMBER($F66)</f>
        <v/>
      </c>
      <c r="J66" s="2">
        <f>AND($G66=1,$H66=1,$I66)</f>
        <v/>
      </c>
      <c r="K66" s="5">
        <f>IF(mos_metrics!G65="","",mos_metrics!G65)</f>
        <v/>
      </c>
      <c r="L66" s="2">
        <f>AND($J66,ISNUMBER(K66),correlation!$I$26=1)</f>
        <v/>
      </c>
      <c r="M66" s="5">
        <f>IF(L66,$F66,"")</f>
        <v/>
      </c>
      <c r="N66" s="5">
        <f>IF(L66,K66*correlation!$J$26,"")</f>
        <v/>
      </c>
      <c r="O66" s="5">
        <f>IF(AND(L66,ISNUMBER(correlation!$F$26)),N66*correlation!$F$26+correlation!$G$26,"")</f>
        <v/>
      </c>
      <c r="P66" s="5">
        <f>IF(AND(L66,ISNUMBER(O66)),(M66-O66)^2,"")</f>
        <v/>
      </c>
      <c r="Q66" s="5">
        <f>IF(L66,1+SUMPRODUCT(--(calc!$L$3:$L$132=TRUE),--(calc!$M$3:$M$132&gt;M66))+(SUMPRODUCT(--(calc!$L$3:$L$132=TRUE),--(calc!$M$3:$M$132=M66))-1)/2,"")</f>
        <v/>
      </c>
      <c r="R66" s="5">
        <f>IF(L66,1+SUMPRODUCT(--(calc!$L$3:$L$132=TRUE),--(calc!$N$3:$N$132&gt;N66))+(SUMPRODUCT(--(calc!$L$3:$L$132=TRUE),--(calc!$N$3:$N$132=N66))-1)/2,"")</f>
        <v/>
      </c>
      <c r="S66" s="5">
        <f>IF(L66,SUMPRODUCT(--(calc!$L$3:$L$132=TRUE),--(ROW(calc!$L$3:$L$132)&gt;ROW(L66)),--(((calc!$Q$3:$Q$132&gt;Q66)*(calc!$R$3:$R$132&gt;R66)+(calc!$Q$3:$Q$132&lt;Q66)*(calc!$R$3:$R$132&lt;R66))&gt;0))-SUMPRODUCT(--(calc!$L$3:$L$132=TRUE),--(ROW(calc!$L$3:$L$132)&gt;ROW(L66)),--(((calc!$Q$3:$Q$132&gt;Q66)*(calc!$R$3:$R$132&lt;R66)+(calc!$Q$3:$Q$132&lt;Q66)*(calc!$R$3:$R$132&gt;R66))&gt;0)),0)</f>
        <v/>
      </c>
      <c r="T66" s="5">
        <f>IF(mos_metrics!H65="","",mos_metrics!H65)</f>
        <v/>
      </c>
      <c r="U66" s="2">
        <f>AND($J66,ISNUMBER(T66),correlation!$I$27=1)</f>
        <v/>
      </c>
      <c r="V66" s="5">
        <f>IF(U66,$F66,"")</f>
        <v/>
      </c>
      <c r="W66" s="5">
        <f>IF(U66,T66*correlation!$J$27,"")</f>
        <v/>
      </c>
      <c r="X66" s="5">
        <f>IF(AND(U66,ISNUMBER(correlation!$F$27)),W66*correlation!$F$27+correlation!$G$27,"")</f>
        <v/>
      </c>
      <c r="Y66" s="5">
        <f>IF(AND(U66,ISNUMBER(X66)),(V66-X66)^2,"")</f>
        <v/>
      </c>
      <c r="Z66" s="5">
        <f>IF(U66,1+SUMPRODUCT(--(calc!$U$3:$U$132=TRUE),--(calc!$V$3:$V$132&gt;V66))+(SUMPRODUCT(--(calc!$U$3:$U$132=TRUE),--(calc!$V$3:$V$132=V66))-1)/2,"")</f>
        <v/>
      </c>
      <c r="AA66" s="5">
        <f>IF(U66,1+SUMPRODUCT(--(calc!$U$3:$U$132=TRUE),--(calc!$W$3:$W$132&gt;W66))+(SUMPRODUCT(--(calc!$U$3:$U$132=TRUE),--(calc!$W$3:$W$132=W66))-1)/2,"")</f>
        <v/>
      </c>
      <c r="AB66" s="5">
        <f>IF(U66,SUMPRODUCT(--(calc!$U$3:$U$132=TRUE),--(ROW(calc!$U$3:$U$132)&gt;ROW(U66)),--(((calc!$Z$3:$Z$132&gt;Z66)*(calc!$AA$3:$AA$132&gt;AA66)+(calc!$Z$3:$Z$132&lt;Z66)*(calc!$AA$3:$AA$132&lt;AA66))&gt;0))-SUMPRODUCT(--(calc!$U$3:$U$132=TRUE),--(ROW(calc!$U$3:$U$132)&gt;ROW(U66)),--(((calc!$Z$3:$Z$132&gt;Z66)*(calc!$AA$3:$AA$132&lt;AA66)+(calc!$Z$3:$Z$132&lt;Z66)*(calc!$AA$3:$AA$132&gt;AA66))&gt;0)),0)</f>
        <v/>
      </c>
      <c r="AC66" s="5">
        <f>IF(mos_metrics!I65="","",mos_metrics!I65)</f>
        <v/>
      </c>
      <c r="AD66" s="2">
        <f>AND($J66,ISNUMBER(AC66),correlation!$I$28=1)</f>
        <v/>
      </c>
      <c r="AE66" s="5">
        <f>IF(AD66,$F66,"")</f>
        <v/>
      </c>
      <c r="AF66" s="5">
        <f>IF(AD66,AC66*correlation!$J$28,"")</f>
        <v/>
      </c>
      <c r="AG66" s="5">
        <f>IF(AND(AD66,ISNUMBER(correlation!$F$28)),AF66*correlation!$F$28+correlation!$G$28,"")</f>
        <v/>
      </c>
      <c r="AH66" s="5">
        <f>IF(AND(AD66,ISNUMBER(AG66)),(AE66-AG66)^2,"")</f>
        <v/>
      </c>
      <c r="AI66" s="5">
        <f>IF(AD66,1+SUMPRODUCT(--(calc!$AD$3:$AD$132=TRUE),--(calc!$AE$3:$AE$132&gt;AE66))+(SUMPRODUCT(--(calc!$AD$3:$AD$132=TRUE),--(calc!$AE$3:$AE$132=AE66))-1)/2,"")</f>
        <v/>
      </c>
      <c r="AJ66" s="5">
        <f>IF(AD66,1+SUMPRODUCT(--(calc!$AD$3:$AD$132=TRUE),--(calc!$AF$3:$AF$132&gt;AF66))+(SUMPRODUCT(--(calc!$AD$3:$AD$132=TRUE),--(calc!$AF$3:$AF$132=AF66))-1)/2,"")</f>
        <v/>
      </c>
      <c r="AK66" s="5">
        <f>IF(AD66,SUMPRODUCT(--(calc!$AD$3:$AD$132=TRUE),--(ROW(calc!$AD$3:$AD$132)&gt;ROW(AD66)),--(((calc!$AI$3:$AI$132&gt;AI66)*(calc!$AJ$3:$AJ$132&gt;AJ66)+(calc!$AI$3:$AI$132&lt;AI66)*(calc!$AJ$3:$AJ$132&lt;AJ66))&gt;0))-SUMPRODUCT(--(calc!$AD$3:$AD$132=TRUE),--(ROW(calc!$AD$3:$AD$132)&gt;ROW(AD66)),--(((calc!$AI$3:$AI$132&gt;AI66)*(calc!$AJ$3:$AJ$132&lt;AJ66)+(calc!$AI$3:$AI$132&lt;AI66)*(calc!$AJ$3:$AJ$132&gt;AJ66))&gt;0)),0)</f>
        <v/>
      </c>
      <c r="AL66" s="5">
        <f>IF(mos_metrics!J65="","",mos_metrics!J65)</f>
        <v/>
      </c>
      <c r="AM66" s="2">
        <f>AND($J66,ISNUMBER(AL66),correlation!$I$29=1)</f>
        <v/>
      </c>
      <c r="AN66" s="5">
        <f>IF(AM66,$F66,"")</f>
        <v/>
      </c>
      <c r="AO66" s="5">
        <f>IF(AM66,AL66*correlation!$J$29,"")</f>
        <v/>
      </c>
      <c r="AP66" s="5">
        <f>IF(AND(AM66,ISNUMBER(correlation!$F$29)),AO66*correlation!$F$29+correlation!$G$29,"")</f>
        <v/>
      </c>
      <c r="AQ66" s="5">
        <f>IF(AND(AM66,ISNUMBER(AP66)),(AN66-AP66)^2,"")</f>
        <v/>
      </c>
      <c r="AR66" s="5">
        <f>IF(AM66,1+SUMPRODUCT(--(calc!$AM$3:$AM$132=TRUE),--(calc!$AN$3:$AN$132&gt;AN66))+(SUMPRODUCT(--(calc!$AM$3:$AM$132=TRUE),--(calc!$AN$3:$AN$132=AN66))-1)/2,"")</f>
        <v/>
      </c>
      <c r="AS66" s="5">
        <f>IF(AM66,1+SUMPRODUCT(--(calc!$AM$3:$AM$132=TRUE),--(calc!$AO$3:$AO$132&gt;AO66))+(SUMPRODUCT(--(calc!$AM$3:$AM$132=TRUE),--(calc!$AO$3:$AO$132=AO66))-1)/2,"")</f>
        <v/>
      </c>
      <c r="AT66" s="5">
        <f>IF(AM66,SUMPRODUCT(--(calc!$AM$3:$AM$132=TRUE),--(ROW(calc!$AM$3:$AM$132)&gt;ROW(AM66)),--(((calc!$AR$3:$AR$132&gt;AR66)*(calc!$AS$3:$AS$132&gt;AS66)+(calc!$AR$3:$AR$132&lt;AR66)*(calc!$AS$3:$AS$132&lt;AS66))&gt;0))-SUMPRODUCT(--(calc!$AM$3:$AM$132=TRUE),--(ROW(calc!$AM$3:$AM$132)&gt;ROW(AM66)),--(((calc!$AR$3:$AR$132&gt;AR66)*(calc!$AS$3:$AS$132&lt;AS66)+(calc!$AR$3:$AR$132&lt;AR66)*(calc!$AS$3:$AS$132&gt;AS66))&gt;0)),0)</f>
        <v/>
      </c>
      <c r="AU66" s="5">
        <f>IF(mos_metrics!K65="","",mos_metrics!K65)</f>
        <v/>
      </c>
      <c r="AV66" s="2">
        <f>AND($J66,ISNUMBER(AU66),correlation!$I$30=1)</f>
        <v/>
      </c>
      <c r="AW66" s="5">
        <f>IF(AV66,$F66,"")</f>
        <v/>
      </c>
      <c r="AX66" s="5">
        <f>IF(AV66,AU66*correlation!$J$30,"")</f>
        <v/>
      </c>
      <c r="AY66" s="5">
        <f>IF(AND(AV66,ISNUMBER(correlation!$F$30)),AX66*correlation!$F$30+correlation!$G$30,"")</f>
        <v/>
      </c>
      <c r="AZ66" s="5">
        <f>IF(AND(AV66,ISNUMBER(AY66)),(AW66-AY66)^2,"")</f>
        <v/>
      </c>
      <c r="BA66" s="5">
        <f>IF(AV66,1+SUMPRODUCT(--(calc!$AV$3:$AV$132=TRUE),--(calc!$AW$3:$AW$132&gt;AW66))+(SUMPRODUCT(--(calc!$AV$3:$AV$132=TRUE),--(calc!$AW$3:$AW$132=AW66))-1)/2,"")</f>
        <v/>
      </c>
      <c r="BB66" s="5">
        <f>IF(AV66,1+SUMPRODUCT(--(calc!$AV$3:$AV$132=TRUE),--(calc!$AX$3:$AX$132&gt;AX66))+(SUMPRODUCT(--(calc!$AV$3:$AV$132=TRUE),--(calc!$AX$3:$AX$132=AX66))-1)/2,"")</f>
        <v/>
      </c>
      <c r="BC66" s="5">
        <f>IF(AV66,SUMPRODUCT(--(calc!$AV$3:$AV$132=TRUE),--(ROW(calc!$AV$3:$AV$132)&gt;ROW(AV66)),--(((calc!$BA$3:$BA$132&gt;BA66)*(calc!$BB$3:$BB$132&gt;BB66)+(calc!$BA$3:$BA$132&lt;BA66)*(calc!$BB$3:$BB$132&lt;BB66))&gt;0))-SUMPRODUCT(--(calc!$AV$3:$AV$132=TRUE),--(ROW(calc!$AV$3:$AV$132)&gt;ROW(AV66)),--(((calc!$BA$3:$BA$132&gt;BA66)*(calc!$BB$3:$BB$132&lt;BB66)+(calc!$BA$3:$BA$132&lt;BA66)*(calc!$BB$3:$BB$132&gt;BB66))&gt;0)),0)</f>
        <v/>
      </c>
      <c r="BD66" s="5">
        <f>IF(mos_metrics!L65="","",mos_metrics!L65)</f>
        <v/>
      </c>
      <c r="BE66" s="2">
        <f>AND($J66,ISNUMBER(BD66),correlation!$I$31=1)</f>
        <v/>
      </c>
      <c r="BF66" s="5">
        <f>IF(BE66,$F66,"")</f>
        <v/>
      </c>
      <c r="BG66" s="5">
        <f>IF(BE66,BD66*correlation!$J$31,"")</f>
        <v/>
      </c>
      <c r="BH66" s="5">
        <f>IF(AND(BE66,ISNUMBER(correlation!$F$31)),BG66*correlation!$F$31+correlation!$G$31,"")</f>
        <v/>
      </c>
      <c r="BI66" s="5">
        <f>IF(AND(BE66,ISNUMBER(BH66)),(BF66-BH66)^2,"")</f>
        <v/>
      </c>
      <c r="BJ66" s="5">
        <f>IF(BE66,1+SUMPRODUCT(--(calc!$BE$3:$BE$132=TRUE),--(calc!$BF$3:$BF$132&gt;BF66))+(SUMPRODUCT(--(calc!$BE$3:$BE$132=TRUE),--(calc!$BF$3:$BF$132=BF66))-1)/2,"")</f>
        <v/>
      </c>
      <c r="BK66" s="5">
        <f>IF(BE66,1+SUMPRODUCT(--(calc!$BE$3:$BE$132=TRUE),--(calc!$BG$3:$BG$132&gt;BG66))+(SUMPRODUCT(--(calc!$BE$3:$BE$132=TRUE),--(calc!$BG$3:$BG$132=BG66))-1)/2,"")</f>
        <v/>
      </c>
      <c r="BL66" s="5">
        <f>IF(BE66,SUMPRODUCT(--(calc!$BE$3:$BE$132=TRUE),--(ROW(calc!$BE$3:$BE$132)&gt;ROW(BE66)),--(((calc!$BJ$3:$BJ$132&gt;BJ66)*(calc!$BK$3:$BK$132&gt;BK66)+(calc!$BJ$3:$BJ$132&lt;BJ66)*(calc!$BK$3:$BK$132&lt;BK66))&gt;0))-SUMPRODUCT(--(calc!$BE$3:$BE$132=TRUE),--(ROW(calc!$BE$3:$BE$132)&gt;ROW(BE66)),--(((calc!$BJ$3:$BJ$132&gt;BJ66)*(calc!$BK$3:$BK$132&lt;BK66)+(calc!$BJ$3:$BJ$132&lt;BJ66)*(calc!$BK$3:$BK$132&gt;BK66))&gt;0)),0)</f>
        <v/>
      </c>
      <c r="BM66" s="5">
        <f>IF(mos_metrics!M65="","",mos_metrics!M65)</f>
        <v/>
      </c>
      <c r="BN66" s="2">
        <f>AND($J66,ISNUMBER(BM66),correlation!$I$32=1)</f>
        <v/>
      </c>
      <c r="BO66" s="5">
        <f>IF(BN66,$F66,"")</f>
        <v/>
      </c>
      <c r="BP66" s="5">
        <f>IF(BN66,BM66*correlation!$J$32,"")</f>
        <v/>
      </c>
      <c r="BQ66" s="5">
        <f>IF(AND(BN66,ISNUMBER(correlation!$F$32)),BP66*correlation!$F$32+correlation!$G$32,"")</f>
        <v/>
      </c>
      <c r="BR66" s="5">
        <f>IF(AND(BN66,ISNUMBER(BQ66)),(BO66-BQ66)^2,"")</f>
        <v/>
      </c>
      <c r="BS66" s="5">
        <f>IF(BN66,1+SUMPRODUCT(--(calc!$BN$3:$BN$132=TRUE),--(calc!$BO$3:$BO$132&gt;BO66))+(SUMPRODUCT(--(calc!$BN$3:$BN$132=TRUE),--(calc!$BO$3:$BO$132=BO66))-1)/2,"")</f>
        <v/>
      </c>
      <c r="BT66" s="5">
        <f>IF(BN66,1+SUMPRODUCT(--(calc!$BN$3:$BN$132=TRUE),--(calc!$BP$3:$BP$132&gt;BP66))+(SUMPRODUCT(--(calc!$BN$3:$BN$132=TRUE),--(calc!$BP$3:$BP$132=BP66))-1)/2,"")</f>
        <v/>
      </c>
      <c r="BU66" s="5">
        <f>IF(BN66,SUMPRODUCT(--(calc!$BN$3:$BN$132=TRUE),--(ROW(calc!$BN$3:$BN$132)&gt;ROW(BN66)),--(((calc!$BS$3:$BS$132&gt;BS66)*(calc!$BT$3:$BT$132&gt;BT66)+(calc!$BS$3:$BS$132&lt;BS66)*(calc!$BT$3:$BT$132&lt;BT66))&gt;0))-SUMPRODUCT(--(calc!$BN$3:$BN$132=TRUE),--(ROW(calc!$BN$3:$BN$132)&gt;ROW(BN66)),--(((calc!$BS$3:$BS$132&gt;BS66)*(calc!$BT$3:$BT$132&lt;BT66)+(calc!$BS$3:$BS$132&lt;BS66)*(calc!$BT$3:$BT$132&gt;BT66))&gt;0)),0)</f>
        <v/>
      </c>
    </row>
    <row r="67">
      <c r="A67" s="2">
        <f>mos_metrics!A66</f>
        <v/>
      </c>
      <c r="B67" s="2">
        <f>mos_metrics!B66</f>
        <v/>
      </c>
      <c r="C67" s="2">
        <f>mos_metrics!C66</f>
        <v/>
      </c>
      <c r="D67" s="2">
        <f>mos_metrics!D66</f>
        <v/>
      </c>
      <c r="E67" s="2">
        <f>mos_metrics!E66</f>
        <v/>
      </c>
      <c r="F67" s="2">
        <f>mos_metrics!F66</f>
        <v/>
      </c>
      <c r="G67" s="2">
        <f>IF($B67="","",IFERROR(VLOOKUP($B67,correlation!$A$2:$B$12,2,FALSE),1))</f>
        <v/>
      </c>
      <c r="H67" s="2">
        <f>IF($E67="","",IFERROR(VLOOKUP($E67,correlation!$D$2:$E$8,2,FALSE),1))</f>
        <v/>
      </c>
      <c r="I67" s="2">
        <f>ISNUMBER($F67)</f>
        <v/>
      </c>
      <c r="J67" s="2">
        <f>AND($G67=1,$H67=1,$I67)</f>
        <v/>
      </c>
      <c r="K67" s="5">
        <f>IF(mos_metrics!G66="","",mos_metrics!G66)</f>
        <v/>
      </c>
      <c r="L67" s="2">
        <f>AND($J67,ISNUMBER(K67),correlation!$I$26=1)</f>
        <v/>
      </c>
      <c r="M67" s="5">
        <f>IF(L67,$F67,"")</f>
        <v/>
      </c>
      <c r="N67" s="5">
        <f>IF(L67,K67*correlation!$J$26,"")</f>
        <v/>
      </c>
      <c r="O67" s="5">
        <f>IF(AND(L67,ISNUMBER(correlation!$F$26)),N67*correlation!$F$26+correlation!$G$26,"")</f>
        <v/>
      </c>
      <c r="P67" s="5">
        <f>IF(AND(L67,ISNUMBER(O67)),(M67-O67)^2,"")</f>
        <v/>
      </c>
      <c r="Q67" s="5">
        <f>IF(L67,1+SUMPRODUCT(--(calc!$L$3:$L$132=TRUE),--(calc!$M$3:$M$132&gt;M67))+(SUMPRODUCT(--(calc!$L$3:$L$132=TRUE),--(calc!$M$3:$M$132=M67))-1)/2,"")</f>
        <v/>
      </c>
      <c r="R67" s="5">
        <f>IF(L67,1+SUMPRODUCT(--(calc!$L$3:$L$132=TRUE),--(calc!$N$3:$N$132&gt;N67))+(SUMPRODUCT(--(calc!$L$3:$L$132=TRUE),--(calc!$N$3:$N$132=N67))-1)/2,"")</f>
        <v/>
      </c>
      <c r="S67" s="5">
        <f>IF(L67,SUMPRODUCT(--(calc!$L$3:$L$132=TRUE),--(ROW(calc!$L$3:$L$132)&gt;ROW(L67)),--(((calc!$Q$3:$Q$132&gt;Q67)*(calc!$R$3:$R$132&gt;R67)+(calc!$Q$3:$Q$132&lt;Q67)*(calc!$R$3:$R$132&lt;R67))&gt;0))-SUMPRODUCT(--(calc!$L$3:$L$132=TRUE),--(ROW(calc!$L$3:$L$132)&gt;ROW(L67)),--(((calc!$Q$3:$Q$132&gt;Q67)*(calc!$R$3:$R$132&lt;R67)+(calc!$Q$3:$Q$132&lt;Q67)*(calc!$R$3:$R$132&gt;R67))&gt;0)),0)</f>
        <v/>
      </c>
      <c r="T67" s="5">
        <f>IF(mos_metrics!H66="","",mos_metrics!H66)</f>
        <v/>
      </c>
      <c r="U67" s="2">
        <f>AND($J67,ISNUMBER(T67),correlation!$I$27=1)</f>
        <v/>
      </c>
      <c r="V67" s="5">
        <f>IF(U67,$F67,"")</f>
        <v/>
      </c>
      <c r="W67" s="5">
        <f>IF(U67,T67*correlation!$J$27,"")</f>
        <v/>
      </c>
      <c r="X67" s="5">
        <f>IF(AND(U67,ISNUMBER(correlation!$F$27)),W67*correlation!$F$27+correlation!$G$27,"")</f>
        <v/>
      </c>
      <c r="Y67" s="5">
        <f>IF(AND(U67,ISNUMBER(X67)),(V67-X67)^2,"")</f>
        <v/>
      </c>
      <c r="Z67" s="5">
        <f>IF(U67,1+SUMPRODUCT(--(calc!$U$3:$U$132=TRUE),--(calc!$V$3:$V$132&gt;V67))+(SUMPRODUCT(--(calc!$U$3:$U$132=TRUE),--(calc!$V$3:$V$132=V67))-1)/2,"")</f>
        <v/>
      </c>
      <c r="AA67" s="5">
        <f>IF(U67,1+SUMPRODUCT(--(calc!$U$3:$U$132=TRUE),--(calc!$W$3:$W$132&gt;W67))+(SUMPRODUCT(--(calc!$U$3:$U$132=TRUE),--(calc!$W$3:$W$132=W67))-1)/2,"")</f>
        <v/>
      </c>
      <c r="AB67" s="5">
        <f>IF(U67,SUMPRODUCT(--(calc!$U$3:$U$132=TRUE),--(ROW(calc!$U$3:$U$132)&gt;ROW(U67)),--(((calc!$Z$3:$Z$132&gt;Z67)*(calc!$AA$3:$AA$132&gt;AA67)+(calc!$Z$3:$Z$132&lt;Z67)*(calc!$AA$3:$AA$132&lt;AA67))&gt;0))-SUMPRODUCT(--(calc!$U$3:$U$132=TRUE),--(ROW(calc!$U$3:$U$132)&gt;ROW(U67)),--(((calc!$Z$3:$Z$132&gt;Z67)*(calc!$AA$3:$AA$132&lt;AA67)+(calc!$Z$3:$Z$132&lt;Z67)*(calc!$AA$3:$AA$132&gt;AA67))&gt;0)),0)</f>
        <v/>
      </c>
      <c r="AC67" s="5">
        <f>IF(mos_metrics!I66="","",mos_metrics!I66)</f>
        <v/>
      </c>
      <c r="AD67" s="2">
        <f>AND($J67,ISNUMBER(AC67),correlation!$I$28=1)</f>
        <v/>
      </c>
      <c r="AE67" s="5">
        <f>IF(AD67,$F67,"")</f>
        <v/>
      </c>
      <c r="AF67" s="5">
        <f>IF(AD67,AC67*correlation!$J$28,"")</f>
        <v/>
      </c>
      <c r="AG67" s="5">
        <f>IF(AND(AD67,ISNUMBER(correlation!$F$28)),AF67*correlation!$F$28+correlation!$G$28,"")</f>
        <v/>
      </c>
      <c r="AH67" s="5">
        <f>IF(AND(AD67,ISNUMBER(AG67)),(AE67-AG67)^2,"")</f>
        <v/>
      </c>
      <c r="AI67" s="5">
        <f>IF(AD67,1+SUMPRODUCT(--(calc!$AD$3:$AD$132=TRUE),--(calc!$AE$3:$AE$132&gt;AE67))+(SUMPRODUCT(--(calc!$AD$3:$AD$132=TRUE),--(calc!$AE$3:$AE$132=AE67))-1)/2,"")</f>
        <v/>
      </c>
      <c r="AJ67" s="5">
        <f>IF(AD67,1+SUMPRODUCT(--(calc!$AD$3:$AD$132=TRUE),--(calc!$AF$3:$AF$132&gt;AF67))+(SUMPRODUCT(--(calc!$AD$3:$AD$132=TRUE),--(calc!$AF$3:$AF$132=AF67))-1)/2,"")</f>
        <v/>
      </c>
      <c r="AK67" s="5">
        <f>IF(AD67,SUMPRODUCT(--(calc!$AD$3:$AD$132=TRUE),--(ROW(calc!$AD$3:$AD$132)&gt;ROW(AD67)),--(((calc!$AI$3:$AI$132&gt;AI67)*(calc!$AJ$3:$AJ$132&gt;AJ67)+(calc!$AI$3:$AI$132&lt;AI67)*(calc!$AJ$3:$AJ$132&lt;AJ67))&gt;0))-SUMPRODUCT(--(calc!$AD$3:$AD$132=TRUE),--(ROW(calc!$AD$3:$AD$132)&gt;ROW(AD67)),--(((calc!$AI$3:$AI$132&gt;AI67)*(calc!$AJ$3:$AJ$132&lt;AJ67)+(calc!$AI$3:$AI$132&lt;AI67)*(calc!$AJ$3:$AJ$132&gt;AJ67))&gt;0)),0)</f>
        <v/>
      </c>
      <c r="AL67" s="5">
        <f>IF(mos_metrics!J66="","",mos_metrics!J66)</f>
        <v/>
      </c>
      <c r="AM67" s="2">
        <f>AND($J67,ISNUMBER(AL67),correlation!$I$29=1)</f>
        <v/>
      </c>
      <c r="AN67" s="5">
        <f>IF(AM67,$F67,"")</f>
        <v/>
      </c>
      <c r="AO67" s="5">
        <f>IF(AM67,AL67*correlation!$J$29,"")</f>
        <v/>
      </c>
      <c r="AP67" s="5">
        <f>IF(AND(AM67,ISNUMBER(correlation!$F$29)),AO67*correlation!$F$29+correlation!$G$29,"")</f>
        <v/>
      </c>
      <c r="AQ67" s="5">
        <f>IF(AND(AM67,ISNUMBER(AP67)),(AN67-AP67)^2,"")</f>
        <v/>
      </c>
      <c r="AR67" s="5">
        <f>IF(AM67,1+SUMPRODUCT(--(calc!$AM$3:$AM$132=TRUE),--(calc!$AN$3:$AN$132&gt;AN67))+(SUMPRODUCT(--(calc!$AM$3:$AM$132=TRUE),--(calc!$AN$3:$AN$132=AN67))-1)/2,"")</f>
        <v/>
      </c>
      <c r="AS67" s="5">
        <f>IF(AM67,1+SUMPRODUCT(--(calc!$AM$3:$AM$132=TRUE),--(calc!$AO$3:$AO$132&gt;AO67))+(SUMPRODUCT(--(calc!$AM$3:$AM$132=TRUE),--(calc!$AO$3:$AO$132=AO67))-1)/2,"")</f>
        <v/>
      </c>
      <c r="AT67" s="5">
        <f>IF(AM67,SUMPRODUCT(--(calc!$AM$3:$AM$132=TRUE),--(ROW(calc!$AM$3:$AM$132)&gt;ROW(AM67)),--(((calc!$AR$3:$AR$132&gt;AR67)*(calc!$AS$3:$AS$132&gt;AS67)+(calc!$AR$3:$AR$132&lt;AR67)*(calc!$AS$3:$AS$132&lt;AS67))&gt;0))-SUMPRODUCT(--(calc!$AM$3:$AM$132=TRUE),--(ROW(calc!$AM$3:$AM$132)&gt;ROW(AM67)),--(((calc!$AR$3:$AR$132&gt;AR67)*(calc!$AS$3:$AS$132&lt;AS67)+(calc!$AR$3:$AR$132&lt;AR67)*(calc!$AS$3:$AS$132&gt;AS67))&gt;0)),0)</f>
        <v/>
      </c>
      <c r="AU67" s="5">
        <f>IF(mos_metrics!K66="","",mos_metrics!K66)</f>
        <v/>
      </c>
      <c r="AV67" s="2">
        <f>AND($J67,ISNUMBER(AU67),correlation!$I$30=1)</f>
        <v/>
      </c>
      <c r="AW67" s="5">
        <f>IF(AV67,$F67,"")</f>
        <v/>
      </c>
      <c r="AX67" s="5">
        <f>IF(AV67,AU67*correlation!$J$30,"")</f>
        <v/>
      </c>
      <c r="AY67" s="5">
        <f>IF(AND(AV67,ISNUMBER(correlation!$F$30)),AX67*correlation!$F$30+correlation!$G$30,"")</f>
        <v/>
      </c>
      <c r="AZ67" s="5">
        <f>IF(AND(AV67,ISNUMBER(AY67)),(AW67-AY67)^2,"")</f>
        <v/>
      </c>
      <c r="BA67" s="5">
        <f>IF(AV67,1+SUMPRODUCT(--(calc!$AV$3:$AV$132=TRUE),--(calc!$AW$3:$AW$132&gt;AW67))+(SUMPRODUCT(--(calc!$AV$3:$AV$132=TRUE),--(calc!$AW$3:$AW$132=AW67))-1)/2,"")</f>
        <v/>
      </c>
      <c r="BB67" s="5">
        <f>IF(AV67,1+SUMPRODUCT(--(calc!$AV$3:$AV$132=TRUE),--(calc!$AX$3:$AX$132&gt;AX67))+(SUMPRODUCT(--(calc!$AV$3:$AV$132=TRUE),--(calc!$AX$3:$AX$132=AX67))-1)/2,"")</f>
        <v/>
      </c>
      <c r="BC67" s="5">
        <f>IF(AV67,SUMPRODUCT(--(calc!$AV$3:$AV$132=TRUE),--(ROW(calc!$AV$3:$AV$132)&gt;ROW(AV67)),--(((calc!$BA$3:$BA$132&gt;BA67)*(calc!$BB$3:$BB$132&gt;BB67)+(calc!$BA$3:$BA$132&lt;BA67)*(calc!$BB$3:$BB$132&lt;BB67))&gt;0))-SUMPRODUCT(--(calc!$AV$3:$AV$132=TRUE),--(ROW(calc!$AV$3:$AV$132)&gt;ROW(AV67)),--(((calc!$BA$3:$BA$132&gt;BA67)*(calc!$BB$3:$BB$132&lt;BB67)+(calc!$BA$3:$BA$132&lt;BA67)*(calc!$BB$3:$BB$132&gt;BB67))&gt;0)),0)</f>
        <v/>
      </c>
      <c r="BD67" s="5">
        <f>IF(mos_metrics!L66="","",mos_metrics!L66)</f>
        <v/>
      </c>
      <c r="BE67" s="2">
        <f>AND($J67,ISNUMBER(BD67),correlation!$I$31=1)</f>
        <v/>
      </c>
      <c r="BF67" s="5">
        <f>IF(BE67,$F67,"")</f>
        <v/>
      </c>
      <c r="BG67" s="5">
        <f>IF(BE67,BD67*correlation!$J$31,"")</f>
        <v/>
      </c>
      <c r="BH67" s="5">
        <f>IF(AND(BE67,ISNUMBER(correlation!$F$31)),BG67*correlation!$F$31+correlation!$G$31,"")</f>
        <v/>
      </c>
      <c r="BI67" s="5">
        <f>IF(AND(BE67,ISNUMBER(BH67)),(BF67-BH67)^2,"")</f>
        <v/>
      </c>
      <c r="BJ67" s="5">
        <f>IF(BE67,1+SUMPRODUCT(--(calc!$BE$3:$BE$132=TRUE),--(calc!$BF$3:$BF$132&gt;BF67))+(SUMPRODUCT(--(calc!$BE$3:$BE$132=TRUE),--(calc!$BF$3:$BF$132=BF67))-1)/2,"")</f>
        <v/>
      </c>
      <c r="BK67" s="5">
        <f>IF(BE67,1+SUMPRODUCT(--(calc!$BE$3:$BE$132=TRUE),--(calc!$BG$3:$BG$132&gt;BG67))+(SUMPRODUCT(--(calc!$BE$3:$BE$132=TRUE),--(calc!$BG$3:$BG$132=BG67))-1)/2,"")</f>
        <v/>
      </c>
      <c r="BL67" s="5">
        <f>IF(BE67,SUMPRODUCT(--(calc!$BE$3:$BE$132=TRUE),--(ROW(calc!$BE$3:$BE$132)&gt;ROW(BE67)),--(((calc!$BJ$3:$BJ$132&gt;BJ67)*(calc!$BK$3:$BK$132&gt;BK67)+(calc!$BJ$3:$BJ$132&lt;BJ67)*(calc!$BK$3:$BK$132&lt;BK67))&gt;0))-SUMPRODUCT(--(calc!$BE$3:$BE$132=TRUE),--(ROW(calc!$BE$3:$BE$132)&gt;ROW(BE67)),--(((calc!$BJ$3:$BJ$132&gt;BJ67)*(calc!$BK$3:$BK$132&lt;BK67)+(calc!$BJ$3:$BJ$132&lt;BJ67)*(calc!$BK$3:$BK$132&gt;BK67))&gt;0)),0)</f>
        <v/>
      </c>
      <c r="BM67" s="5">
        <f>IF(mos_metrics!M66="","",mos_metrics!M66)</f>
        <v/>
      </c>
      <c r="BN67" s="2">
        <f>AND($J67,ISNUMBER(BM67),correlation!$I$32=1)</f>
        <v/>
      </c>
      <c r="BO67" s="5">
        <f>IF(BN67,$F67,"")</f>
        <v/>
      </c>
      <c r="BP67" s="5">
        <f>IF(BN67,BM67*correlation!$J$32,"")</f>
        <v/>
      </c>
      <c r="BQ67" s="5">
        <f>IF(AND(BN67,ISNUMBER(correlation!$F$32)),BP67*correlation!$F$32+correlation!$G$32,"")</f>
        <v/>
      </c>
      <c r="BR67" s="5">
        <f>IF(AND(BN67,ISNUMBER(BQ67)),(BO67-BQ67)^2,"")</f>
        <v/>
      </c>
      <c r="BS67" s="5">
        <f>IF(BN67,1+SUMPRODUCT(--(calc!$BN$3:$BN$132=TRUE),--(calc!$BO$3:$BO$132&gt;BO67))+(SUMPRODUCT(--(calc!$BN$3:$BN$132=TRUE),--(calc!$BO$3:$BO$132=BO67))-1)/2,"")</f>
        <v/>
      </c>
      <c r="BT67" s="5">
        <f>IF(BN67,1+SUMPRODUCT(--(calc!$BN$3:$BN$132=TRUE),--(calc!$BP$3:$BP$132&gt;BP67))+(SUMPRODUCT(--(calc!$BN$3:$BN$132=TRUE),--(calc!$BP$3:$BP$132=BP67))-1)/2,"")</f>
        <v/>
      </c>
      <c r="BU67" s="5">
        <f>IF(BN67,SUMPRODUCT(--(calc!$BN$3:$BN$132=TRUE),--(ROW(calc!$BN$3:$BN$132)&gt;ROW(BN67)),--(((calc!$BS$3:$BS$132&gt;BS67)*(calc!$BT$3:$BT$132&gt;BT67)+(calc!$BS$3:$BS$132&lt;BS67)*(calc!$BT$3:$BT$132&lt;BT67))&gt;0))-SUMPRODUCT(--(calc!$BN$3:$BN$132=TRUE),--(ROW(calc!$BN$3:$BN$132)&gt;ROW(BN67)),--(((calc!$BS$3:$BS$132&gt;BS67)*(calc!$BT$3:$BT$132&lt;BT67)+(calc!$BS$3:$BS$132&lt;BS67)*(calc!$BT$3:$BT$132&gt;BT67))&gt;0)),0)</f>
        <v/>
      </c>
    </row>
    <row r="68">
      <c r="A68" s="2">
        <f>mos_metrics!A67</f>
        <v/>
      </c>
      <c r="B68" s="2">
        <f>mos_metrics!B67</f>
        <v/>
      </c>
      <c r="C68" s="2">
        <f>mos_metrics!C67</f>
        <v/>
      </c>
      <c r="D68" s="2">
        <f>mos_metrics!D67</f>
        <v/>
      </c>
      <c r="E68" s="2">
        <f>mos_metrics!E67</f>
        <v/>
      </c>
      <c r="F68" s="2">
        <f>mos_metrics!F67</f>
        <v/>
      </c>
      <c r="G68" s="2">
        <f>IF($B68="","",IFERROR(VLOOKUP($B68,correlation!$A$2:$B$12,2,FALSE),1))</f>
        <v/>
      </c>
      <c r="H68" s="2">
        <f>IF($E68="","",IFERROR(VLOOKUP($E68,correlation!$D$2:$E$8,2,FALSE),1))</f>
        <v/>
      </c>
      <c r="I68" s="2">
        <f>ISNUMBER($F68)</f>
        <v/>
      </c>
      <c r="J68" s="2">
        <f>AND($G68=1,$H68=1,$I68)</f>
        <v/>
      </c>
      <c r="K68" s="5">
        <f>IF(mos_metrics!G67="","",mos_metrics!G67)</f>
        <v/>
      </c>
      <c r="L68" s="2">
        <f>AND($J68,ISNUMBER(K68),correlation!$I$26=1)</f>
        <v/>
      </c>
      <c r="M68" s="5">
        <f>IF(L68,$F68,"")</f>
        <v/>
      </c>
      <c r="N68" s="5">
        <f>IF(L68,K68*correlation!$J$26,"")</f>
        <v/>
      </c>
      <c r="O68" s="5">
        <f>IF(AND(L68,ISNUMBER(correlation!$F$26)),N68*correlation!$F$26+correlation!$G$26,"")</f>
        <v/>
      </c>
      <c r="P68" s="5">
        <f>IF(AND(L68,ISNUMBER(O68)),(M68-O68)^2,"")</f>
        <v/>
      </c>
      <c r="Q68" s="5">
        <f>IF(L68,1+SUMPRODUCT(--(calc!$L$3:$L$132=TRUE),--(calc!$M$3:$M$132&gt;M68))+(SUMPRODUCT(--(calc!$L$3:$L$132=TRUE),--(calc!$M$3:$M$132=M68))-1)/2,"")</f>
        <v/>
      </c>
      <c r="R68" s="5">
        <f>IF(L68,1+SUMPRODUCT(--(calc!$L$3:$L$132=TRUE),--(calc!$N$3:$N$132&gt;N68))+(SUMPRODUCT(--(calc!$L$3:$L$132=TRUE),--(calc!$N$3:$N$132=N68))-1)/2,"")</f>
        <v/>
      </c>
      <c r="S68" s="5">
        <f>IF(L68,SUMPRODUCT(--(calc!$L$3:$L$132=TRUE),--(ROW(calc!$L$3:$L$132)&gt;ROW(L68)),--(((calc!$Q$3:$Q$132&gt;Q68)*(calc!$R$3:$R$132&gt;R68)+(calc!$Q$3:$Q$132&lt;Q68)*(calc!$R$3:$R$132&lt;R68))&gt;0))-SUMPRODUCT(--(calc!$L$3:$L$132=TRUE),--(ROW(calc!$L$3:$L$132)&gt;ROW(L68)),--(((calc!$Q$3:$Q$132&gt;Q68)*(calc!$R$3:$R$132&lt;R68)+(calc!$Q$3:$Q$132&lt;Q68)*(calc!$R$3:$R$132&gt;R68))&gt;0)),0)</f>
        <v/>
      </c>
      <c r="T68" s="5">
        <f>IF(mos_metrics!H67="","",mos_metrics!H67)</f>
        <v/>
      </c>
      <c r="U68" s="2">
        <f>AND($J68,ISNUMBER(T68),correlation!$I$27=1)</f>
        <v/>
      </c>
      <c r="V68" s="5">
        <f>IF(U68,$F68,"")</f>
        <v/>
      </c>
      <c r="W68" s="5">
        <f>IF(U68,T68*correlation!$J$27,"")</f>
        <v/>
      </c>
      <c r="X68" s="5">
        <f>IF(AND(U68,ISNUMBER(correlation!$F$27)),W68*correlation!$F$27+correlation!$G$27,"")</f>
        <v/>
      </c>
      <c r="Y68" s="5">
        <f>IF(AND(U68,ISNUMBER(X68)),(V68-X68)^2,"")</f>
        <v/>
      </c>
      <c r="Z68" s="5">
        <f>IF(U68,1+SUMPRODUCT(--(calc!$U$3:$U$132=TRUE),--(calc!$V$3:$V$132&gt;V68))+(SUMPRODUCT(--(calc!$U$3:$U$132=TRUE),--(calc!$V$3:$V$132=V68))-1)/2,"")</f>
        <v/>
      </c>
      <c r="AA68" s="5">
        <f>IF(U68,1+SUMPRODUCT(--(calc!$U$3:$U$132=TRUE),--(calc!$W$3:$W$132&gt;W68))+(SUMPRODUCT(--(calc!$U$3:$U$132=TRUE),--(calc!$W$3:$W$132=W68))-1)/2,"")</f>
        <v/>
      </c>
      <c r="AB68" s="5">
        <f>IF(U68,SUMPRODUCT(--(calc!$U$3:$U$132=TRUE),--(ROW(calc!$U$3:$U$132)&gt;ROW(U68)),--(((calc!$Z$3:$Z$132&gt;Z68)*(calc!$AA$3:$AA$132&gt;AA68)+(calc!$Z$3:$Z$132&lt;Z68)*(calc!$AA$3:$AA$132&lt;AA68))&gt;0))-SUMPRODUCT(--(calc!$U$3:$U$132=TRUE),--(ROW(calc!$U$3:$U$132)&gt;ROW(U68)),--(((calc!$Z$3:$Z$132&gt;Z68)*(calc!$AA$3:$AA$132&lt;AA68)+(calc!$Z$3:$Z$132&lt;Z68)*(calc!$AA$3:$AA$132&gt;AA68))&gt;0)),0)</f>
        <v/>
      </c>
      <c r="AC68" s="5">
        <f>IF(mos_metrics!I67="","",mos_metrics!I67)</f>
        <v/>
      </c>
      <c r="AD68" s="2">
        <f>AND($J68,ISNUMBER(AC68),correlation!$I$28=1)</f>
        <v/>
      </c>
      <c r="AE68" s="5">
        <f>IF(AD68,$F68,"")</f>
        <v/>
      </c>
      <c r="AF68" s="5">
        <f>IF(AD68,AC68*correlation!$J$28,"")</f>
        <v/>
      </c>
      <c r="AG68" s="5">
        <f>IF(AND(AD68,ISNUMBER(correlation!$F$28)),AF68*correlation!$F$28+correlation!$G$28,"")</f>
        <v/>
      </c>
      <c r="AH68" s="5">
        <f>IF(AND(AD68,ISNUMBER(AG68)),(AE68-AG68)^2,"")</f>
        <v/>
      </c>
      <c r="AI68" s="5">
        <f>IF(AD68,1+SUMPRODUCT(--(calc!$AD$3:$AD$132=TRUE),--(calc!$AE$3:$AE$132&gt;AE68))+(SUMPRODUCT(--(calc!$AD$3:$AD$132=TRUE),--(calc!$AE$3:$AE$132=AE68))-1)/2,"")</f>
        <v/>
      </c>
      <c r="AJ68" s="5">
        <f>IF(AD68,1+SUMPRODUCT(--(calc!$AD$3:$AD$132=TRUE),--(calc!$AF$3:$AF$132&gt;AF68))+(SUMPRODUCT(--(calc!$AD$3:$AD$132=TRUE),--(calc!$AF$3:$AF$132=AF68))-1)/2,"")</f>
        <v/>
      </c>
      <c r="AK68" s="5">
        <f>IF(AD68,SUMPRODUCT(--(calc!$AD$3:$AD$132=TRUE),--(ROW(calc!$AD$3:$AD$132)&gt;ROW(AD68)),--(((calc!$AI$3:$AI$132&gt;AI68)*(calc!$AJ$3:$AJ$132&gt;AJ68)+(calc!$AI$3:$AI$132&lt;AI68)*(calc!$AJ$3:$AJ$132&lt;AJ68))&gt;0))-SUMPRODUCT(--(calc!$AD$3:$AD$132=TRUE),--(ROW(calc!$AD$3:$AD$132)&gt;ROW(AD68)),--(((calc!$AI$3:$AI$132&gt;AI68)*(calc!$AJ$3:$AJ$132&lt;AJ68)+(calc!$AI$3:$AI$132&lt;AI68)*(calc!$AJ$3:$AJ$132&gt;AJ68))&gt;0)),0)</f>
        <v/>
      </c>
      <c r="AL68" s="5">
        <f>IF(mos_metrics!J67="","",mos_metrics!J67)</f>
        <v/>
      </c>
      <c r="AM68" s="2">
        <f>AND($J68,ISNUMBER(AL68),correlation!$I$29=1)</f>
        <v/>
      </c>
      <c r="AN68" s="5">
        <f>IF(AM68,$F68,"")</f>
        <v/>
      </c>
      <c r="AO68" s="5">
        <f>IF(AM68,AL68*correlation!$J$29,"")</f>
        <v/>
      </c>
      <c r="AP68" s="5">
        <f>IF(AND(AM68,ISNUMBER(correlation!$F$29)),AO68*correlation!$F$29+correlation!$G$29,"")</f>
        <v/>
      </c>
      <c r="AQ68" s="5">
        <f>IF(AND(AM68,ISNUMBER(AP68)),(AN68-AP68)^2,"")</f>
        <v/>
      </c>
      <c r="AR68" s="5">
        <f>IF(AM68,1+SUMPRODUCT(--(calc!$AM$3:$AM$132=TRUE),--(calc!$AN$3:$AN$132&gt;AN68))+(SUMPRODUCT(--(calc!$AM$3:$AM$132=TRUE),--(calc!$AN$3:$AN$132=AN68))-1)/2,"")</f>
        <v/>
      </c>
      <c r="AS68" s="5">
        <f>IF(AM68,1+SUMPRODUCT(--(calc!$AM$3:$AM$132=TRUE),--(calc!$AO$3:$AO$132&gt;AO68))+(SUMPRODUCT(--(calc!$AM$3:$AM$132=TRUE),--(calc!$AO$3:$AO$132=AO68))-1)/2,"")</f>
        <v/>
      </c>
      <c r="AT68" s="5">
        <f>IF(AM68,SUMPRODUCT(--(calc!$AM$3:$AM$132=TRUE),--(ROW(calc!$AM$3:$AM$132)&gt;ROW(AM68)),--(((calc!$AR$3:$AR$132&gt;AR68)*(calc!$AS$3:$AS$132&gt;AS68)+(calc!$AR$3:$AR$132&lt;AR68)*(calc!$AS$3:$AS$132&lt;AS68))&gt;0))-SUMPRODUCT(--(calc!$AM$3:$AM$132=TRUE),--(ROW(calc!$AM$3:$AM$132)&gt;ROW(AM68)),--(((calc!$AR$3:$AR$132&gt;AR68)*(calc!$AS$3:$AS$132&lt;AS68)+(calc!$AR$3:$AR$132&lt;AR68)*(calc!$AS$3:$AS$132&gt;AS68))&gt;0)),0)</f>
        <v/>
      </c>
      <c r="AU68" s="5">
        <f>IF(mos_metrics!K67="","",mos_metrics!K67)</f>
        <v/>
      </c>
      <c r="AV68" s="2">
        <f>AND($J68,ISNUMBER(AU68),correlation!$I$30=1)</f>
        <v/>
      </c>
      <c r="AW68" s="5">
        <f>IF(AV68,$F68,"")</f>
        <v/>
      </c>
      <c r="AX68" s="5">
        <f>IF(AV68,AU68*correlation!$J$30,"")</f>
        <v/>
      </c>
      <c r="AY68" s="5">
        <f>IF(AND(AV68,ISNUMBER(correlation!$F$30)),AX68*correlation!$F$30+correlation!$G$30,"")</f>
        <v/>
      </c>
      <c r="AZ68" s="5">
        <f>IF(AND(AV68,ISNUMBER(AY68)),(AW68-AY68)^2,"")</f>
        <v/>
      </c>
      <c r="BA68" s="5">
        <f>IF(AV68,1+SUMPRODUCT(--(calc!$AV$3:$AV$132=TRUE),--(calc!$AW$3:$AW$132&gt;AW68))+(SUMPRODUCT(--(calc!$AV$3:$AV$132=TRUE),--(calc!$AW$3:$AW$132=AW68))-1)/2,"")</f>
        <v/>
      </c>
      <c r="BB68" s="5">
        <f>IF(AV68,1+SUMPRODUCT(--(calc!$AV$3:$AV$132=TRUE),--(calc!$AX$3:$AX$132&gt;AX68))+(SUMPRODUCT(--(calc!$AV$3:$AV$132=TRUE),--(calc!$AX$3:$AX$132=AX68))-1)/2,"")</f>
        <v/>
      </c>
      <c r="BC68" s="5">
        <f>IF(AV68,SUMPRODUCT(--(calc!$AV$3:$AV$132=TRUE),--(ROW(calc!$AV$3:$AV$132)&gt;ROW(AV68)),--(((calc!$BA$3:$BA$132&gt;BA68)*(calc!$BB$3:$BB$132&gt;BB68)+(calc!$BA$3:$BA$132&lt;BA68)*(calc!$BB$3:$BB$132&lt;BB68))&gt;0))-SUMPRODUCT(--(calc!$AV$3:$AV$132=TRUE),--(ROW(calc!$AV$3:$AV$132)&gt;ROW(AV68)),--(((calc!$BA$3:$BA$132&gt;BA68)*(calc!$BB$3:$BB$132&lt;BB68)+(calc!$BA$3:$BA$132&lt;BA68)*(calc!$BB$3:$BB$132&gt;BB68))&gt;0)),0)</f>
        <v/>
      </c>
      <c r="BD68" s="5">
        <f>IF(mos_metrics!L67="","",mos_metrics!L67)</f>
        <v/>
      </c>
      <c r="BE68" s="2">
        <f>AND($J68,ISNUMBER(BD68),correlation!$I$31=1)</f>
        <v/>
      </c>
      <c r="BF68" s="5">
        <f>IF(BE68,$F68,"")</f>
        <v/>
      </c>
      <c r="BG68" s="5">
        <f>IF(BE68,BD68*correlation!$J$31,"")</f>
        <v/>
      </c>
      <c r="BH68" s="5">
        <f>IF(AND(BE68,ISNUMBER(correlation!$F$31)),BG68*correlation!$F$31+correlation!$G$31,"")</f>
        <v/>
      </c>
      <c r="BI68" s="5">
        <f>IF(AND(BE68,ISNUMBER(BH68)),(BF68-BH68)^2,"")</f>
        <v/>
      </c>
      <c r="BJ68" s="5">
        <f>IF(BE68,1+SUMPRODUCT(--(calc!$BE$3:$BE$132=TRUE),--(calc!$BF$3:$BF$132&gt;BF68))+(SUMPRODUCT(--(calc!$BE$3:$BE$132=TRUE),--(calc!$BF$3:$BF$132=BF68))-1)/2,"")</f>
        <v/>
      </c>
      <c r="BK68" s="5">
        <f>IF(BE68,1+SUMPRODUCT(--(calc!$BE$3:$BE$132=TRUE),--(calc!$BG$3:$BG$132&gt;BG68))+(SUMPRODUCT(--(calc!$BE$3:$BE$132=TRUE),--(calc!$BG$3:$BG$132=BG68))-1)/2,"")</f>
        <v/>
      </c>
      <c r="BL68" s="5">
        <f>IF(BE68,SUMPRODUCT(--(calc!$BE$3:$BE$132=TRUE),--(ROW(calc!$BE$3:$BE$132)&gt;ROW(BE68)),--(((calc!$BJ$3:$BJ$132&gt;BJ68)*(calc!$BK$3:$BK$132&gt;BK68)+(calc!$BJ$3:$BJ$132&lt;BJ68)*(calc!$BK$3:$BK$132&lt;BK68))&gt;0))-SUMPRODUCT(--(calc!$BE$3:$BE$132=TRUE),--(ROW(calc!$BE$3:$BE$132)&gt;ROW(BE68)),--(((calc!$BJ$3:$BJ$132&gt;BJ68)*(calc!$BK$3:$BK$132&lt;BK68)+(calc!$BJ$3:$BJ$132&lt;BJ68)*(calc!$BK$3:$BK$132&gt;BK68))&gt;0)),0)</f>
        <v/>
      </c>
      <c r="BM68" s="5">
        <f>IF(mos_metrics!M67="","",mos_metrics!M67)</f>
        <v/>
      </c>
      <c r="BN68" s="2">
        <f>AND($J68,ISNUMBER(BM68),correlation!$I$32=1)</f>
        <v/>
      </c>
      <c r="BO68" s="5">
        <f>IF(BN68,$F68,"")</f>
        <v/>
      </c>
      <c r="BP68" s="5">
        <f>IF(BN68,BM68*correlation!$J$32,"")</f>
        <v/>
      </c>
      <c r="BQ68" s="5">
        <f>IF(AND(BN68,ISNUMBER(correlation!$F$32)),BP68*correlation!$F$32+correlation!$G$32,"")</f>
        <v/>
      </c>
      <c r="BR68" s="5">
        <f>IF(AND(BN68,ISNUMBER(BQ68)),(BO68-BQ68)^2,"")</f>
        <v/>
      </c>
      <c r="BS68" s="5">
        <f>IF(BN68,1+SUMPRODUCT(--(calc!$BN$3:$BN$132=TRUE),--(calc!$BO$3:$BO$132&gt;BO68))+(SUMPRODUCT(--(calc!$BN$3:$BN$132=TRUE),--(calc!$BO$3:$BO$132=BO68))-1)/2,"")</f>
        <v/>
      </c>
      <c r="BT68" s="5">
        <f>IF(BN68,1+SUMPRODUCT(--(calc!$BN$3:$BN$132=TRUE),--(calc!$BP$3:$BP$132&gt;BP68))+(SUMPRODUCT(--(calc!$BN$3:$BN$132=TRUE),--(calc!$BP$3:$BP$132=BP68))-1)/2,"")</f>
        <v/>
      </c>
      <c r="BU68" s="5">
        <f>IF(BN68,SUMPRODUCT(--(calc!$BN$3:$BN$132=TRUE),--(ROW(calc!$BN$3:$BN$132)&gt;ROW(BN68)),--(((calc!$BS$3:$BS$132&gt;BS68)*(calc!$BT$3:$BT$132&gt;BT68)+(calc!$BS$3:$BS$132&lt;BS68)*(calc!$BT$3:$BT$132&lt;BT68))&gt;0))-SUMPRODUCT(--(calc!$BN$3:$BN$132=TRUE),--(ROW(calc!$BN$3:$BN$132)&gt;ROW(BN68)),--(((calc!$BS$3:$BS$132&gt;BS68)*(calc!$BT$3:$BT$132&lt;BT68)+(calc!$BS$3:$BS$132&lt;BS68)*(calc!$BT$3:$BT$132&gt;BT68))&gt;0)),0)</f>
        <v/>
      </c>
    </row>
    <row r="69">
      <c r="A69" s="2">
        <f>mos_metrics!A68</f>
        <v/>
      </c>
      <c r="B69" s="2">
        <f>mos_metrics!B68</f>
        <v/>
      </c>
      <c r="C69" s="2">
        <f>mos_metrics!C68</f>
        <v/>
      </c>
      <c r="D69" s="2">
        <f>mos_metrics!D68</f>
        <v/>
      </c>
      <c r="E69" s="2">
        <f>mos_metrics!E68</f>
        <v/>
      </c>
      <c r="F69" s="2">
        <f>mos_metrics!F68</f>
        <v/>
      </c>
      <c r="G69" s="2">
        <f>IF($B69="","",IFERROR(VLOOKUP($B69,correlation!$A$2:$B$12,2,FALSE),1))</f>
        <v/>
      </c>
      <c r="H69" s="2">
        <f>IF($E69="","",IFERROR(VLOOKUP($E69,correlation!$D$2:$E$8,2,FALSE),1))</f>
        <v/>
      </c>
      <c r="I69" s="2">
        <f>ISNUMBER($F69)</f>
        <v/>
      </c>
      <c r="J69" s="2">
        <f>AND($G69=1,$H69=1,$I69)</f>
        <v/>
      </c>
      <c r="K69" s="5">
        <f>IF(mos_metrics!G68="","",mos_metrics!G68)</f>
        <v/>
      </c>
      <c r="L69" s="2">
        <f>AND($J69,ISNUMBER(K69),correlation!$I$26=1)</f>
        <v/>
      </c>
      <c r="M69" s="5">
        <f>IF(L69,$F69,"")</f>
        <v/>
      </c>
      <c r="N69" s="5">
        <f>IF(L69,K69*correlation!$J$26,"")</f>
        <v/>
      </c>
      <c r="O69" s="5">
        <f>IF(AND(L69,ISNUMBER(correlation!$F$26)),N69*correlation!$F$26+correlation!$G$26,"")</f>
        <v/>
      </c>
      <c r="P69" s="5">
        <f>IF(AND(L69,ISNUMBER(O69)),(M69-O69)^2,"")</f>
        <v/>
      </c>
      <c r="Q69" s="5">
        <f>IF(L69,1+SUMPRODUCT(--(calc!$L$3:$L$132=TRUE),--(calc!$M$3:$M$132&gt;M69))+(SUMPRODUCT(--(calc!$L$3:$L$132=TRUE),--(calc!$M$3:$M$132=M69))-1)/2,"")</f>
        <v/>
      </c>
      <c r="R69" s="5">
        <f>IF(L69,1+SUMPRODUCT(--(calc!$L$3:$L$132=TRUE),--(calc!$N$3:$N$132&gt;N69))+(SUMPRODUCT(--(calc!$L$3:$L$132=TRUE),--(calc!$N$3:$N$132=N69))-1)/2,"")</f>
        <v/>
      </c>
      <c r="S69" s="5">
        <f>IF(L69,SUMPRODUCT(--(calc!$L$3:$L$132=TRUE),--(ROW(calc!$L$3:$L$132)&gt;ROW(L69)),--(((calc!$Q$3:$Q$132&gt;Q69)*(calc!$R$3:$R$132&gt;R69)+(calc!$Q$3:$Q$132&lt;Q69)*(calc!$R$3:$R$132&lt;R69))&gt;0))-SUMPRODUCT(--(calc!$L$3:$L$132=TRUE),--(ROW(calc!$L$3:$L$132)&gt;ROW(L69)),--(((calc!$Q$3:$Q$132&gt;Q69)*(calc!$R$3:$R$132&lt;R69)+(calc!$Q$3:$Q$132&lt;Q69)*(calc!$R$3:$R$132&gt;R69))&gt;0)),0)</f>
        <v/>
      </c>
      <c r="T69" s="5">
        <f>IF(mos_metrics!H68="","",mos_metrics!H68)</f>
        <v/>
      </c>
      <c r="U69" s="2">
        <f>AND($J69,ISNUMBER(T69),correlation!$I$27=1)</f>
        <v/>
      </c>
      <c r="V69" s="5">
        <f>IF(U69,$F69,"")</f>
        <v/>
      </c>
      <c r="W69" s="5">
        <f>IF(U69,T69*correlation!$J$27,"")</f>
        <v/>
      </c>
      <c r="X69" s="5">
        <f>IF(AND(U69,ISNUMBER(correlation!$F$27)),W69*correlation!$F$27+correlation!$G$27,"")</f>
        <v/>
      </c>
      <c r="Y69" s="5">
        <f>IF(AND(U69,ISNUMBER(X69)),(V69-X69)^2,"")</f>
        <v/>
      </c>
      <c r="Z69" s="5">
        <f>IF(U69,1+SUMPRODUCT(--(calc!$U$3:$U$132=TRUE),--(calc!$V$3:$V$132&gt;V69))+(SUMPRODUCT(--(calc!$U$3:$U$132=TRUE),--(calc!$V$3:$V$132=V69))-1)/2,"")</f>
        <v/>
      </c>
      <c r="AA69" s="5">
        <f>IF(U69,1+SUMPRODUCT(--(calc!$U$3:$U$132=TRUE),--(calc!$W$3:$W$132&gt;W69))+(SUMPRODUCT(--(calc!$U$3:$U$132=TRUE),--(calc!$W$3:$W$132=W69))-1)/2,"")</f>
        <v/>
      </c>
      <c r="AB69" s="5">
        <f>IF(U69,SUMPRODUCT(--(calc!$U$3:$U$132=TRUE),--(ROW(calc!$U$3:$U$132)&gt;ROW(U69)),--(((calc!$Z$3:$Z$132&gt;Z69)*(calc!$AA$3:$AA$132&gt;AA69)+(calc!$Z$3:$Z$132&lt;Z69)*(calc!$AA$3:$AA$132&lt;AA69))&gt;0))-SUMPRODUCT(--(calc!$U$3:$U$132=TRUE),--(ROW(calc!$U$3:$U$132)&gt;ROW(U69)),--(((calc!$Z$3:$Z$132&gt;Z69)*(calc!$AA$3:$AA$132&lt;AA69)+(calc!$Z$3:$Z$132&lt;Z69)*(calc!$AA$3:$AA$132&gt;AA69))&gt;0)),0)</f>
        <v/>
      </c>
      <c r="AC69" s="5">
        <f>IF(mos_metrics!I68="","",mos_metrics!I68)</f>
        <v/>
      </c>
      <c r="AD69" s="2">
        <f>AND($J69,ISNUMBER(AC69),correlation!$I$28=1)</f>
        <v/>
      </c>
      <c r="AE69" s="5">
        <f>IF(AD69,$F69,"")</f>
        <v/>
      </c>
      <c r="AF69" s="5">
        <f>IF(AD69,AC69*correlation!$J$28,"")</f>
        <v/>
      </c>
      <c r="AG69" s="5">
        <f>IF(AND(AD69,ISNUMBER(correlation!$F$28)),AF69*correlation!$F$28+correlation!$G$28,"")</f>
        <v/>
      </c>
      <c r="AH69" s="5">
        <f>IF(AND(AD69,ISNUMBER(AG69)),(AE69-AG69)^2,"")</f>
        <v/>
      </c>
      <c r="AI69" s="5">
        <f>IF(AD69,1+SUMPRODUCT(--(calc!$AD$3:$AD$132=TRUE),--(calc!$AE$3:$AE$132&gt;AE69))+(SUMPRODUCT(--(calc!$AD$3:$AD$132=TRUE),--(calc!$AE$3:$AE$132=AE69))-1)/2,"")</f>
        <v/>
      </c>
      <c r="AJ69" s="5">
        <f>IF(AD69,1+SUMPRODUCT(--(calc!$AD$3:$AD$132=TRUE),--(calc!$AF$3:$AF$132&gt;AF69))+(SUMPRODUCT(--(calc!$AD$3:$AD$132=TRUE),--(calc!$AF$3:$AF$132=AF69))-1)/2,"")</f>
        <v/>
      </c>
      <c r="AK69" s="5">
        <f>IF(AD69,SUMPRODUCT(--(calc!$AD$3:$AD$132=TRUE),--(ROW(calc!$AD$3:$AD$132)&gt;ROW(AD69)),--(((calc!$AI$3:$AI$132&gt;AI69)*(calc!$AJ$3:$AJ$132&gt;AJ69)+(calc!$AI$3:$AI$132&lt;AI69)*(calc!$AJ$3:$AJ$132&lt;AJ69))&gt;0))-SUMPRODUCT(--(calc!$AD$3:$AD$132=TRUE),--(ROW(calc!$AD$3:$AD$132)&gt;ROW(AD69)),--(((calc!$AI$3:$AI$132&gt;AI69)*(calc!$AJ$3:$AJ$132&lt;AJ69)+(calc!$AI$3:$AI$132&lt;AI69)*(calc!$AJ$3:$AJ$132&gt;AJ69))&gt;0)),0)</f>
        <v/>
      </c>
      <c r="AL69" s="5">
        <f>IF(mos_metrics!J68="","",mos_metrics!J68)</f>
        <v/>
      </c>
      <c r="AM69" s="2">
        <f>AND($J69,ISNUMBER(AL69),correlation!$I$29=1)</f>
        <v/>
      </c>
      <c r="AN69" s="5">
        <f>IF(AM69,$F69,"")</f>
        <v/>
      </c>
      <c r="AO69" s="5">
        <f>IF(AM69,AL69*correlation!$J$29,"")</f>
        <v/>
      </c>
      <c r="AP69" s="5">
        <f>IF(AND(AM69,ISNUMBER(correlation!$F$29)),AO69*correlation!$F$29+correlation!$G$29,"")</f>
        <v/>
      </c>
      <c r="AQ69" s="5">
        <f>IF(AND(AM69,ISNUMBER(AP69)),(AN69-AP69)^2,"")</f>
        <v/>
      </c>
      <c r="AR69" s="5">
        <f>IF(AM69,1+SUMPRODUCT(--(calc!$AM$3:$AM$132=TRUE),--(calc!$AN$3:$AN$132&gt;AN69))+(SUMPRODUCT(--(calc!$AM$3:$AM$132=TRUE),--(calc!$AN$3:$AN$132=AN69))-1)/2,"")</f>
        <v/>
      </c>
      <c r="AS69" s="5">
        <f>IF(AM69,1+SUMPRODUCT(--(calc!$AM$3:$AM$132=TRUE),--(calc!$AO$3:$AO$132&gt;AO69))+(SUMPRODUCT(--(calc!$AM$3:$AM$132=TRUE),--(calc!$AO$3:$AO$132=AO69))-1)/2,"")</f>
        <v/>
      </c>
      <c r="AT69" s="5">
        <f>IF(AM69,SUMPRODUCT(--(calc!$AM$3:$AM$132=TRUE),--(ROW(calc!$AM$3:$AM$132)&gt;ROW(AM69)),--(((calc!$AR$3:$AR$132&gt;AR69)*(calc!$AS$3:$AS$132&gt;AS69)+(calc!$AR$3:$AR$132&lt;AR69)*(calc!$AS$3:$AS$132&lt;AS69))&gt;0))-SUMPRODUCT(--(calc!$AM$3:$AM$132=TRUE),--(ROW(calc!$AM$3:$AM$132)&gt;ROW(AM69)),--(((calc!$AR$3:$AR$132&gt;AR69)*(calc!$AS$3:$AS$132&lt;AS69)+(calc!$AR$3:$AR$132&lt;AR69)*(calc!$AS$3:$AS$132&gt;AS69))&gt;0)),0)</f>
        <v/>
      </c>
      <c r="AU69" s="5">
        <f>IF(mos_metrics!K68="","",mos_metrics!K68)</f>
        <v/>
      </c>
      <c r="AV69" s="2">
        <f>AND($J69,ISNUMBER(AU69),correlation!$I$30=1)</f>
        <v/>
      </c>
      <c r="AW69" s="5">
        <f>IF(AV69,$F69,"")</f>
        <v/>
      </c>
      <c r="AX69" s="5">
        <f>IF(AV69,AU69*correlation!$J$30,"")</f>
        <v/>
      </c>
      <c r="AY69" s="5">
        <f>IF(AND(AV69,ISNUMBER(correlation!$F$30)),AX69*correlation!$F$30+correlation!$G$30,"")</f>
        <v/>
      </c>
      <c r="AZ69" s="5">
        <f>IF(AND(AV69,ISNUMBER(AY69)),(AW69-AY69)^2,"")</f>
        <v/>
      </c>
      <c r="BA69" s="5">
        <f>IF(AV69,1+SUMPRODUCT(--(calc!$AV$3:$AV$132=TRUE),--(calc!$AW$3:$AW$132&gt;AW69))+(SUMPRODUCT(--(calc!$AV$3:$AV$132=TRUE),--(calc!$AW$3:$AW$132=AW69))-1)/2,"")</f>
        <v/>
      </c>
      <c r="BB69" s="5">
        <f>IF(AV69,1+SUMPRODUCT(--(calc!$AV$3:$AV$132=TRUE),--(calc!$AX$3:$AX$132&gt;AX69))+(SUMPRODUCT(--(calc!$AV$3:$AV$132=TRUE),--(calc!$AX$3:$AX$132=AX69))-1)/2,"")</f>
        <v/>
      </c>
      <c r="BC69" s="5">
        <f>IF(AV69,SUMPRODUCT(--(calc!$AV$3:$AV$132=TRUE),--(ROW(calc!$AV$3:$AV$132)&gt;ROW(AV69)),--(((calc!$BA$3:$BA$132&gt;BA69)*(calc!$BB$3:$BB$132&gt;BB69)+(calc!$BA$3:$BA$132&lt;BA69)*(calc!$BB$3:$BB$132&lt;BB69))&gt;0))-SUMPRODUCT(--(calc!$AV$3:$AV$132=TRUE),--(ROW(calc!$AV$3:$AV$132)&gt;ROW(AV69)),--(((calc!$BA$3:$BA$132&gt;BA69)*(calc!$BB$3:$BB$132&lt;BB69)+(calc!$BA$3:$BA$132&lt;BA69)*(calc!$BB$3:$BB$132&gt;BB69))&gt;0)),0)</f>
        <v/>
      </c>
      <c r="BD69" s="5">
        <f>IF(mos_metrics!L68="","",mos_metrics!L68)</f>
        <v/>
      </c>
      <c r="BE69" s="2">
        <f>AND($J69,ISNUMBER(BD69),correlation!$I$31=1)</f>
        <v/>
      </c>
      <c r="BF69" s="5">
        <f>IF(BE69,$F69,"")</f>
        <v/>
      </c>
      <c r="BG69" s="5">
        <f>IF(BE69,BD69*correlation!$J$31,"")</f>
        <v/>
      </c>
      <c r="BH69" s="5">
        <f>IF(AND(BE69,ISNUMBER(correlation!$F$31)),BG69*correlation!$F$31+correlation!$G$31,"")</f>
        <v/>
      </c>
      <c r="BI69" s="5">
        <f>IF(AND(BE69,ISNUMBER(BH69)),(BF69-BH69)^2,"")</f>
        <v/>
      </c>
      <c r="BJ69" s="5">
        <f>IF(BE69,1+SUMPRODUCT(--(calc!$BE$3:$BE$132=TRUE),--(calc!$BF$3:$BF$132&gt;BF69))+(SUMPRODUCT(--(calc!$BE$3:$BE$132=TRUE),--(calc!$BF$3:$BF$132=BF69))-1)/2,"")</f>
        <v/>
      </c>
      <c r="BK69" s="5">
        <f>IF(BE69,1+SUMPRODUCT(--(calc!$BE$3:$BE$132=TRUE),--(calc!$BG$3:$BG$132&gt;BG69))+(SUMPRODUCT(--(calc!$BE$3:$BE$132=TRUE),--(calc!$BG$3:$BG$132=BG69))-1)/2,"")</f>
        <v/>
      </c>
      <c r="BL69" s="5">
        <f>IF(BE69,SUMPRODUCT(--(calc!$BE$3:$BE$132=TRUE),--(ROW(calc!$BE$3:$BE$132)&gt;ROW(BE69)),--(((calc!$BJ$3:$BJ$132&gt;BJ69)*(calc!$BK$3:$BK$132&gt;BK69)+(calc!$BJ$3:$BJ$132&lt;BJ69)*(calc!$BK$3:$BK$132&lt;BK69))&gt;0))-SUMPRODUCT(--(calc!$BE$3:$BE$132=TRUE),--(ROW(calc!$BE$3:$BE$132)&gt;ROW(BE69)),--(((calc!$BJ$3:$BJ$132&gt;BJ69)*(calc!$BK$3:$BK$132&lt;BK69)+(calc!$BJ$3:$BJ$132&lt;BJ69)*(calc!$BK$3:$BK$132&gt;BK69))&gt;0)),0)</f>
        <v/>
      </c>
      <c r="BM69" s="5">
        <f>IF(mos_metrics!M68="","",mos_metrics!M68)</f>
        <v/>
      </c>
      <c r="BN69" s="2">
        <f>AND($J69,ISNUMBER(BM69),correlation!$I$32=1)</f>
        <v/>
      </c>
      <c r="BO69" s="5">
        <f>IF(BN69,$F69,"")</f>
        <v/>
      </c>
      <c r="BP69" s="5">
        <f>IF(BN69,BM69*correlation!$J$32,"")</f>
        <v/>
      </c>
      <c r="BQ69" s="5">
        <f>IF(AND(BN69,ISNUMBER(correlation!$F$32)),BP69*correlation!$F$32+correlation!$G$32,"")</f>
        <v/>
      </c>
      <c r="BR69" s="5">
        <f>IF(AND(BN69,ISNUMBER(BQ69)),(BO69-BQ69)^2,"")</f>
        <v/>
      </c>
      <c r="BS69" s="5">
        <f>IF(BN69,1+SUMPRODUCT(--(calc!$BN$3:$BN$132=TRUE),--(calc!$BO$3:$BO$132&gt;BO69))+(SUMPRODUCT(--(calc!$BN$3:$BN$132=TRUE),--(calc!$BO$3:$BO$132=BO69))-1)/2,"")</f>
        <v/>
      </c>
      <c r="BT69" s="5">
        <f>IF(BN69,1+SUMPRODUCT(--(calc!$BN$3:$BN$132=TRUE),--(calc!$BP$3:$BP$132&gt;BP69))+(SUMPRODUCT(--(calc!$BN$3:$BN$132=TRUE),--(calc!$BP$3:$BP$132=BP69))-1)/2,"")</f>
        <v/>
      </c>
      <c r="BU69" s="5">
        <f>IF(BN69,SUMPRODUCT(--(calc!$BN$3:$BN$132=TRUE),--(ROW(calc!$BN$3:$BN$132)&gt;ROW(BN69)),--(((calc!$BS$3:$BS$132&gt;BS69)*(calc!$BT$3:$BT$132&gt;BT69)+(calc!$BS$3:$BS$132&lt;BS69)*(calc!$BT$3:$BT$132&lt;BT69))&gt;0))-SUMPRODUCT(--(calc!$BN$3:$BN$132=TRUE),--(ROW(calc!$BN$3:$BN$132)&gt;ROW(BN69)),--(((calc!$BS$3:$BS$132&gt;BS69)*(calc!$BT$3:$BT$132&lt;BT69)+(calc!$BS$3:$BS$132&lt;BS69)*(calc!$BT$3:$BT$132&gt;BT69))&gt;0)),0)</f>
        <v/>
      </c>
    </row>
    <row r="70">
      <c r="A70" s="2">
        <f>mos_metrics!A69</f>
        <v/>
      </c>
      <c r="B70" s="2">
        <f>mos_metrics!B69</f>
        <v/>
      </c>
      <c r="C70" s="2">
        <f>mos_metrics!C69</f>
        <v/>
      </c>
      <c r="D70" s="2">
        <f>mos_metrics!D69</f>
        <v/>
      </c>
      <c r="E70" s="2">
        <f>mos_metrics!E69</f>
        <v/>
      </c>
      <c r="F70" s="2">
        <f>mos_metrics!F69</f>
        <v/>
      </c>
      <c r="G70" s="2">
        <f>IF($B70="","",IFERROR(VLOOKUP($B70,correlation!$A$2:$B$12,2,FALSE),1))</f>
        <v/>
      </c>
      <c r="H70" s="2">
        <f>IF($E70="","",IFERROR(VLOOKUP($E70,correlation!$D$2:$E$8,2,FALSE),1))</f>
        <v/>
      </c>
      <c r="I70" s="2">
        <f>ISNUMBER($F70)</f>
        <v/>
      </c>
      <c r="J70" s="2">
        <f>AND($G70=1,$H70=1,$I70)</f>
        <v/>
      </c>
      <c r="K70" s="5">
        <f>IF(mos_metrics!G69="","",mos_metrics!G69)</f>
        <v/>
      </c>
      <c r="L70" s="2">
        <f>AND($J70,ISNUMBER(K70),correlation!$I$26=1)</f>
        <v/>
      </c>
      <c r="M70" s="5">
        <f>IF(L70,$F70,"")</f>
        <v/>
      </c>
      <c r="N70" s="5">
        <f>IF(L70,K70*correlation!$J$26,"")</f>
        <v/>
      </c>
      <c r="O70" s="5">
        <f>IF(AND(L70,ISNUMBER(correlation!$F$26)),N70*correlation!$F$26+correlation!$G$26,"")</f>
        <v/>
      </c>
      <c r="P70" s="5">
        <f>IF(AND(L70,ISNUMBER(O70)),(M70-O70)^2,"")</f>
        <v/>
      </c>
      <c r="Q70" s="5">
        <f>IF(L70,1+SUMPRODUCT(--(calc!$L$3:$L$132=TRUE),--(calc!$M$3:$M$132&gt;M70))+(SUMPRODUCT(--(calc!$L$3:$L$132=TRUE),--(calc!$M$3:$M$132=M70))-1)/2,"")</f>
        <v/>
      </c>
      <c r="R70" s="5">
        <f>IF(L70,1+SUMPRODUCT(--(calc!$L$3:$L$132=TRUE),--(calc!$N$3:$N$132&gt;N70))+(SUMPRODUCT(--(calc!$L$3:$L$132=TRUE),--(calc!$N$3:$N$132=N70))-1)/2,"")</f>
        <v/>
      </c>
      <c r="S70" s="5">
        <f>IF(L70,SUMPRODUCT(--(calc!$L$3:$L$132=TRUE),--(ROW(calc!$L$3:$L$132)&gt;ROW(L70)),--(((calc!$Q$3:$Q$132&gt;Q70)*(calc!$R$3:$R$132&gt;R70)+(calc!$Q$3:$Q$132&lt;Q70)*(calc!$R$3:$R$132&lt;R70))&gt;0))-SUMPRODUCT(--(calc!$L$3:$L$132=TRUE),--(ROW(calc!$L$3:$L$132)&gt;ROW(L70)),--(((calc!$Q$3:$Q$132&gt;Q70)*(calc!$R$3:$R$132&lt;R70)+(calc!$Q$3:$Q$132&lt;Q70)*(calc!$R$3:$R$132&gt;R70))&gt;0)),0)</f>
        <v/>
      </c>
      <c r="T70" s="5">
        <f>IF(mos_metrics!H69="","",mos_metrics!H69)</f>
        <v/>
      </c>
      <c r="U70" s="2">
        <f>AND($J70,ISNUMBER(T70),correlation!$I$27=1)</f>
        <v/>
      </c>
      <c r="V70" s="5">
        <f>IF(U70,$F70,"")</f>
        <v/>
      </c>
      <c r="W70" s="5">
        <f>IF(U70,T70*correlation!$J$27,"")</f>
        <v/>
      </c>
      <c r="X70" s="5">
        <f>IF(AND(U70,ISNUMBER(correlation!$F$27)),W70*correlation!$F$27+correlation!$G$27,"")</f>
        <v/>
      </c>
      <c r="Y70" s="5">
        <f>IF(AND(U70,ISNUMBER(X70)),(V70-X70)^2,"")</f>
        <v/>
      </c>
      <c r="Z70" s="5">
        <f>IF(U70,1+SUMPRODUCT(--(calc!$U$3:$U$132=TRUE),--(calc!$V$3:$V$132&gt;V70))+(SUMPRODUCT(--(calc!$U$3:$U$132=TRUE),--(calc!$V$3:$V$132=V70))-1)/2,"")</f>
        <v/>
      </c>
      <c r="AA70" s="5">
        <f>IF(U70,1+SUMPRODUCT(--(calc!$U$3:$U$132=TRUE),--(calc!$W$3:$W$132&gt;W70))+(SUMPRODUCT(--(calc!$U$3:$U$132=TRUE),--(calc!$W$3:$W$132=W70))-1)/2,"")</f>
        <v/>
      </c>
      <c r="AB70" s="5">
        <f>IF(U70,SUMPRODUCT(--(calc!$U$3:$U$132=TRUE),--(ROW(calc!$U$3:$U$132)&gt;ROW(U70)),--(((calc!$Z$3:$Z$132&gt;Z70)*(calc!$AA$3:$AA$132&gt;AA70)+(calc!$Z$3:$Z$132&lt;Z70)*(calc!$AA$3:$AA$132&lt;AA70))&gt;0))-SUMPRODUCT(--(calc!$U$3:$U$132=TRUE),--(ROW(calc!$U$3:$U$132)&gt;ROW(U70)),--(((calc!$Z$3:$Z$132&gt;Z70)*(calc!$AA$3:$AA$132&lt;AA70)+(calc!$Z$3:$Z$132&lt;Z70)*(calc!$AA$3:$AA$132&gt;AA70))&gt;0)),0)</f>
        <v/>
      </c>
      <c r="AC70" s="5">
        <f>IF(mos_metrics!I69="","",mos_metrics!I69)</f>
        <v/>
      </c>
      <c r="AD70" s="2">
        <f>AND($J70,ISNUMBER(AC70),correlation!$I$28=1)</f>
        <v/>
      </c>
      <c r="AE70" s="5">
        <f>IF(AD70,$F70,"")</f>
        <v/>
      </c>
      <c r="AF70" s="5">
        <f>IF(AD70,AC70*correlation!$J$28,"")</f>
        <v/>
      </c>
      <c r="AG70" s="5">
        <f>IF(AND(AD70,ISNUMBER(correlation!$F$28)),AF70*correlation!$F$28+correlation!$G$28,"")</f>
        <v/>
      </c>
      <c r="AH70" s="5">
        <f>IF(AND(AD70,ISNUMBER(AG70)),(AE70-AG70)^2,"")</f>
        <v/>
      </c>
      <c r="AI70" s="5">
        <f>IF(AD70,1+SUMPRODUCT(--(calc!$AD$3:$AD$132=TRUE),--(calc!$AE$3:$AE$132&gt;AE70))+(SUMPRODUCT(--(calc!$AD$3:$AD$132=TRUE),--(calc!$AE$3:$AE$132=AE70))-1)/2,"")</f>
        <v/>
      </c>
      <c r="AJ70" s="5">
        <f>IF(AD70,1+SUMPRODUCT(--(calc!$AD$3:$AD$132=TRUE),--(calc!$AF$3:$AF$132&gt;AF70))+(SUMPRODUCT(--(calc!$AD$3:$AD$132=TRUE),--(calc!$AF$3:$AF$132=AF70))-1)/2,"")</f>
        <v/>
      </c>
      <c r="AK70" s="5">
        <f>IF(AD70,SUMPRODUCT(--(calc!$AD$3:$AD$132=TRUE),--(ROW(calc!$AD$3:$AD$132)&gt;ROW(AD70)),--(((calc!$AI$3:$AI$132&gt;AI70)*(calc!$AJ$3:$AJ$132&gt;AJ70)+(calc!$AI$3:$AI$132&lt;AI70)*(calc!$AJ$3:$AJ$132&lt;AJ70))&gt;0))-SUMPRODUCT(--(calc!$AD$3:$AD$132=TRUE),--(ROW(calc!$AD$3:$AD$132)&gt;ROW(AD70)),--(((calc!$AI$3:$AI$132&gt;AI70)*(calc!$AJ$3:$AJ$132&lt;AJ70)+(calc!$AI$3:$AI$132&lt;AI70)*(calc!$AJ$3:$AJ$132&gt;AJ70))&gt;0)),0)</f>
        <v/>
      </c>
      <c r="AL70" s="5">
        <f>IF(mos_metrics!J69="","",mos_metrics!J69)</f>
        <v/>
      </c>
      <c r="AM70" s="2">
        <f>AND($J70,ISNUMBER(AL70),correlation!$I$29=1)</f>
        <v/>
      </c>
      <c r="AN70" s="5">
        <f>IF(AM70,$F70,"")</f>
        <v/>
      </c>
      <c r="AO70" s="5">
        <f>IF(AM70,AL70*correlation!$J$29,"")</f>
        <v/>
      </c>
      <c r="AP70" s="5">
        <f>IF(AND(AM70,ISNUMBER(correlation!$F$29)),AO70*correlation!$F$29+correlation!$G$29,"")</f>
        <v/>
      </c>
      <c r="AQ70" s="5">
        <f>IF(AND(AM70,ISNUMBER(AP70)),(AN70-AP70)^2,"")</f>
        <v/>
      </c>
      <c r="AR70" s="5">
        <f>IF(AM70,1+SUMPRODUCT(--(calc!$AM$3:$AM$132=TRUE),--(calc!$AN$3:$AN$132&gt;AN70))+(SUMPRODUCT(--(calc!$AM$3:$AM$132=TRUE),--(calc!$AN$3:$AN$132=AN70))-1)/2,"")</f>
        <v/>
      </c>
      <c r="AS70" s="5">
        <f>IF(AM70,1+SUMPRODUCT(--(calc!$AM$3:$AM$132=TRUE),--(calc!$AO$3:$AO$132&gt;AO70))+(SUMPRODUCT(--(calc!$AM$3:$AM$132=TRUE),--(calc!$AO$3:$AO$132=AO70))-1)/2,"")</f>
        <v/>
      </c>
      <c r="AT70" s="5">
        <f>IF(AM70,SUMPRODUCT(--(calc!$AM$3:$AM$132=TRUE),--(ROW(calc!$AM$3:$AM$132)&gt;ROW(AM70)),--(((calc!$AR$3:$AR$132&gt;AR70)*(calc!$AS$3:$AS$132&gt;AS70)+(calc!$AR$3:$AR$132&lt;AR70)*(calc!$AS$3:$AS$132&lt;AS70))&gt;0))-SUMPRODUCT(--(calc!$AM$3:$AM$132=TRUE),--(ROW(calc!$AM$3:$AM$132)&gt;ROW(AM70)),--(((calc!$AR$3:$AR$132&gt;AR70)*(calc!$AS$3:$AS$132&lt;AS70)+(calc!$AR$3:$AR$132&lt;AR70)*(calc!$AS$3:$AS$132&gt;AS70))&gt;0)),0)</f>
        <v/>
      </c>
      <c r="AU70" s="5">
        <f>IF(mos_metrics!K69="","",mos_metrics!K69)</f>
        <v/>
      </c>
      <c r="AV70" s="2">
        <f>AND($J70,ISNUMBER(AU70),correlation!$I$30=1)</f>
        <v/>
      </c>
      <c r="AW70" s="5">
        <f>IF(AV70,$F70,"")</f>
        <v/>
      </c>
      <c r="AX70" s="5">
        <f>IF(AV70,AU70*correlation!$J$30,"")</f>
        <v/>
      </c>
      <c r="AY70" s="5">
        <f>IF(AND(AV70,ISNUMBER(correlation!$F$30)),AX70*correlation!$F$30+correlation!$G$30,"")</f>
        <v/>
      </c>
      <c r="AZ70" s="5">
        <f>IF(AND(AV70,ISNUMBER(AY70)),(AW70-AY70)^2,"")</f>
        <v/>
      </c>
      <c r="BA70" s="5">
        <f>IF(AV70,1+SUMPRODUCT(--(calc!$AV$3:$AV$132=TRUE),--(calc!$AW$3:$AW$132&gt;AW70))+(SUMPRODUCT(--(calc!$AV$3:$AV$132=TRUE),--(calc!$AW$3:$AW$132=AW70))-1)/2,"")</f>
        <v/>
      </c>
      <c r="BB70" s="5">
        <f>IF(AV70,1+SUMPRODUCT(--(calc!$AV$3:$AV$132=TRUE),--(calc!$AX$3:$AX$132&gt;AX70))+(SUMPRODUCT(--(calc!$AV$3:$AV$132=TRUE),--(calc!$AX$3:$AX$132=AX70))-1)/2,"")</f>
        <v/>
      </c>
      <c r="BC70" s="5">
        <f>IF(AV70,SUMPRODUCT(--(calc!$AV$3:$AV$132=TRUE),--(ROW(calc!$AV$3:$AV$132)&gt;ROW(AV70)),--(((calc!$BA$3:$BA$132&gt;BA70)*(calc!$BB$3:$BB$132&gt;BB70)+(calc!$BA$3:$BA$132&lt;BA70)*(calc!$BB$3:$BB$132&lt;BB70))&gt;0))-SUMPRODUCT(--(calc!$AV$3:$AV$132=TRUE),--(ROW(calc!$AV$3:$AV$132)&gt;ROW(AV70)),--(((calc!$BA$3:$BA$132&gt;BA70)*(calc!$BB$3:$BB$132&lt;BB70)+(calc!$BA$3:$BA$132&lt;BA70)*(calc!$BB$3:$BB$132&gt;BB70))&gt;0)),0)</f>
        <v/>
      </c>
      <c r="BD70" s="5">
        <f>IF(mos_metrics!L69="","",mos_metrics!L69)</f>
        <v/>
      </c>
      <c r="BE70" s="2">
        <f>AND($J70,ISNUMBER(BD70),correlation!$I$31=1)</f>
        <v/>
      </c>
      <c r="BF70" s="5">
        <f>IF(BE70,$F70,"")</f>
        <v/>
      </c>
      <c r="BG70" s="5">
        <f>IF(BE70,BD70*correlation!$J$31,"")</f>
        <v/>
      </c>
      <c r="BH70" s="5">
        <f>IF(AND(BE70,ISNUMBER(correlation!$F$31)),BG70*correlation!$F$31+correlation!$G$31,"")</f>
        <v/>
      </c>
      <c r="BI70" s="5">
        <f>IF(AND(BE70,ISNUMBER(BH70)),(BF70-BH70)^2,"")</f>
        <v/>
      </c>
      <c r="BJ70" s="5">
        <f>IF(BE70,1+SUMPRODUCT(--(calc!$BE$3:$BE$132=TRUE),--(calc!$BF$3:$BF$132&gt;BF70))+(SUMPRODUCT(--(calc!$BE$3:$BE$132=TRUE),--(calc!$BF$3:$BF$132=BF70))-1)/2,"")</f>
        <v/>
      </c>
      <c r="BK70" s="5">
        <f>IF(BE70,1+SUMPRODUCT(--(calc!$BE$3:$BE$132=TRUE),--(calc!$BG$3:$BG$132&gt;BG70))+(SUMPRODUCT(--(calc!$BE$3:$BE$132=TRUE),--(calc!$BG$3:$BG$132=BG70))-1)/2,"")</f>
        <v/>
      </c>
      <c r="BL70" s="5">
        <f>IF(BE70,SUMPRODUCT(--(calc!$BE$3:$BE$132=TRUE),--(ROW(calc!$BE$3:$BE$132)&gt;ROW(BE70)),--(((calc!$BJ$3:$BJ$132&gt;BJ70)*(calc!$BK$3:$BK$132&gt;BK70)+(calc!$BJ$3:$BJ$132&lt;BJ70)*(calc!$BK$3:$BK$132&lt;BK70))&gt;0))-SUMPRODUCT(--(calc!$BE$3:$BE$132=TRUE),--(ROW(calc!$BE$3:$BE$132)&gt;ROW(BE70)),--(((calc!$BJ$3:$BJ$132&gt;BJ70)*(calc!$BK$3:$BK$132&lt;BK70)+(calc!$BJ$3:$BJ$132&lt;BJ70)*(calc!$BK$3:$BK$132&gt;BK70))&gt;0)),0)</f>
        <v/>
      </c>
      <c r="BM70" s="5">
        <f>IF(mos_metrics!M69="","",mos_metrics!M69)</f>
        <v/>
      </c>
      <c r="BN70" s="2">
        <f>AND($J70,ISNUMBER(BM70),correlation!$I$32=1)</f>
        <v/>
      </c>
      <c r="BO70" s="5">
        <f>IF(BN70,$F70,"")</f>
        <v/>
      </c>
      <c r="BP70" s="5">
        <f>IF(BN70,BM70*correlation!$J$32,"")</f>
        <v/>
      </c>
      <c r="BQ70" s="5">
        <f>IF(AND(BN70,ISNUMBER(correlation!$F$32)),BP70*correlation!$F$32+correlation!$G$32,"")</f>
        <v/>
      </c>
      <c r="BR70" s="5">
        <f>IF(AND(BN70,ISNUMBER(BQ70)),(BO70-BQ70)^2,"")</f>
        <v/>
      </c>
      <c r="BS70" s="5">
        <f>IF(BN70,1+SUMPRODUCT(--(calc!$BN$3:$BN$132=TRUE),--(calc!$BO$3:$BO$132&gt;BO70))+(SUMPRODUCT(--(calc!$BN$3:$BN$132=TRUE),--(calc!$BO$3:$BO$132=BO70))-1)/2,"")</f>
        <v/>
      </c>
      <c r="BT70" s="5">
        <f>IF(BN70,1+SUMPRODUCT(--(calc!$BN$3:$BN$132=TRUE),--(calc!$BP$3:$BP$132&gt;BP70))+(SUMPRODUCT(--(calc!$BN$3:$BN$132=TRUE),--(calc!$BP$3:$BP$132=BP70))-1)/2,"")</f>
        <v/>
      </c>
      <c r="BU70" s="5">
        <f>IF(BN70,SUMPRODUCT(--(calc!$BN$3:$BN$132=TRUE),--(ROW(calc!$BN$3:$BN$132)&gt;ROW(BN70)),--(((calc!$BS$3:$BS$132&gt;BS70)*(calc!$BT$3:$BT$132&gt;BT70)+(calc!$BS$3:$BS$132&lt;BS70)*(calc!$BT$3:$BT$132&lt;BT70))&gt;0))-SUMPRODUCT(--(calc!$BN$3:$BN$132=TRUE),--(ROW(calc!$BN$3:$BN$132)&gt;ROW(BN70)),--(((calc!$BS$3:$BS$132&gt;BS70)*(calc!$BT$3:$BT$132&lt;BT70)+(calc!$BS$3:$BS$132&lt;BS70)*(calc!$BT$3:$BT$132&gt;BT70))&gt;0)),0)</f>
        <v/>
      </c>
    </row>
    <row r="71">
      <c r="A71" s="2">
        <f>mos_metrics!A70</f>
        <v/>
      </c>
      <c r="B71" s="2">
        <f>mos_metrics!B70</f>
        <v/>
      </c>
      <c r="C71" s="2">
        <f>mos_metrics!C70</f>
        <v/>
      </c>
      <c r="D71" s="2">
        <f>mos_metrics!D70</f>
        <v/>
      </c>
      <c r="E71" s="2">
        <f>mos_metrics!E70</f>
        <v/>
      </c>
      <c r="F71" s="2">
        <f>mos_metrics!F70</f>
        <v/>
      </c>
      <c r="G71" s="2">
        <f>IF($B71="","",IFERROR(VLOOKUP($B71,correlation!$A$2:$B$12,2,FALSE),1))</f>
        <v/>
      </c>
      <c r="H71" s="2">
        <f>IF($E71="","",IFERROR(VLOOKUP($E71,correlation!$D$2:$E$8,2,FALSE),1))</f>
        <v/>
      </c>
      <c r="I71" s="2">
        <f>ISNUMBER($F71)</f>
        <v/>
      </c>
      <c r="J71" s="2">
        <f>AND($G71=1,$H71=1,$I71)</f>
        <v/>
      </c>
      <c r="K71" s="5">
        <f>IF(mos_metrics!G70="","",mos_metrics!G70)</f>
        <v/>
      </c>
      <c r="L71" s="2">
        <f>AND($J71,ISNUMBER(K71),correlation!$I$26=1)</f>
        <v/>
      </c>
      <c r="M71" s="5">
        <f>IF(L71,$F71,"")</f>
        <v/>
      </c>
      <c r="N71" s="5">
        <f>IF(L71,K71*correlation!$J$26,"")</f>
        <v/>
      </c>
      <c r="O71" s="5">
        <f>IF(AND(L71,ISNUMBER(correlation!$F$26)),N71*correlation!$F$26+correlation!$G$26,"")</f>
        <v/>
      </c>
      <c r="P71" s="5">
        <f>IF(AND(L71,ISNUMBER(O71)),(M71-O71)^2,"")</f>
        <v/>
      </c>
      <c r="Q71" s="5">
        <f>IF(L71,1+SUMPRODUCT(--(calc!$L$3:$L$132=TRUE),--(calc!$M$3:$M$132&gt;M71))+(SUMPRODUCT(--(calc!$L$3:$L$132=TRUE),--(calc!$M$3:$M$132=M71))-1)/2,"")</f>
        <v/>
      </c>
      <c r="R71" s="5">
        <f>IF(L71,1+SUMPRODUCT(--(calc!$L$3:$L$132=TRUE),--(calc!$N$3:$N$132&gt;N71))+(SUMPRODUCT(--(calc!$L$3:$L$132=TRUE),--(calc!$N$3:$N$132=N71))-1)/2,"")</f>
        <v/>
      </c>
      <c r="S71" s="5">
        <f>IF(L71,SUMPRODUCT(--(calc!$L$3:$L$132=TRUE),--(ROW(calc!$L$3:$L$132)&gt;ROW(L71)),--(((calc!$Q$3:$Q$132&gt;Q71)*(calc!$R$3:$R$132&gt;R71)+(calc!$Q$3:$Q$132&lt;Q71)*(calc!$R$3:$R$132&lt;R71))&gt;0))-SUMPRODUCT(--(calc!$L$3:$L$132=TRUE),--(ROW(calc!$L$3:$L$132)&gt;ROW(L71)),--(((calc!$Q$3:$Q$132&gt;Q71)*(calc!$R$3:$R$132&lt;R71)+(calc!$Q$3:$Q$132&lt;Q71)*(calc!$R$3:$R$132&gt;R71))&gt;0)),0)</f>
        <v/>
      </c>
      <c r="T71" s="5">
        <f>IF(mos_metrics!H70="","",mos_metrics!H70)</f>
        <v/>
      </c>
      <c r="U71" s="2">
        <f>AND($J71,ISNUMBER(T71),correlation!$I$27=1)</f>
        <v/>
      </c>
      <c r="V71" s="5">
        <f>IF(U71,$F71,"")</f>
        <v/>
      </c>
      <c r="W71" s="5">
        <f>IF(U71,T71*correlation!$J$27,"")</f>
        <v/>
      </c>
      <c r="X71" s="5">
        <f>IF(AND(U71,ISNUMBER(correlation!$F$27)),W71*correlation!$F$27+correlation!$G$27,"")</f>
        <v/>
      </c>
      <c r="Y71" s="5">
        <f>IF(AND(U71,ISNUMBER(X71)),(V71-X71)^2,"")</f>
        <v/>
      </c>
      <c r="Z71" s="5">
        <f>IF(U71,1+SUMPRODUCT(--(calc!$U$3:$U$132=TRUE),--(calc!$V$3:$V$132&gt;V71))+(SUMPRODUCT(--(calc!$U$3:$U$132=TRUE),--(calc!$V$3:$V$132=V71))-1)/2,"")</f>
        <v/>
      </c>
      <c r="AA71" s="5">
        <f>IF(U71,1+SUMPRODUCT(--(calc!$U$3:$U$132=TRUE),--(calc!$W$3:$W$132&gt;W71))+(SUMPRODUCT(--(calc!$U$3:$U$132=TRUE),--(calc!$W$3:$W$132=W71))-1)/2,"")</f>
        <v/>
      </c>
      <c r="AB71" s="5">
        <f>IF(U71,SUMPRODUCT(--(calc!$U$3:$U$132=TRUE),--(ROW(calc!$U$3:$U$132)&gt;ROW(U71)),--(((calc!$Z$3:$Z$132&gt;Z71)*(calc!$AA$3:$AA$132&gt;AA71)+(calc!$Z$3:$Z$132&lt;Z71)*(calc!$AA$3:$AA$132&lt;AA71))&gt;0))-SUMPRODUCT(--(calc!$U$3:$U$132=TRUE),--(ROW(calc!$U$3:$U$132)&gt;ROW(U71)),--(((calc!$Z$3:$Z$132&gt;Z71)*(calc!$AA$3:$AA$132&lt;AA71)+(calc!$Z$3:$Z$132&lt;Z71)*(calc!$AA$3:$AA$132&gt;AA71))&gt;0)),0)</f>
        <v/>
      </c>
      <c r="AC71" s="5">
        <f>IF(mos_metrics!I70="","",mos_metrics!I70)</f>
        <v/>
      </c>
      <c r="AD71" s="2">
        <f>AND($J71,ISNUMBER(AC71),correlation!$I$28=1)</f>
        <v/>
      </c>
      <c r="AE71" s="5">
        <f>IF(AD71,$F71,"")</f>
        <v/>
      </c>
      <c r="AF71" s="5">
        <f>IF(AD71,AC71*correlation!$J$28,"")</f>
        <v/>
      </c>
      <c r="AG71" s="5">
        <f>IF(AND(AD71,ISNUMBER(correlation!$F$28)),AF71*correlation!$F$28+correlation!$G$28,"")</f>
        <v/>
      </c>
      <c r="AH71" s="5">
        <f>IF(AND(AD71,ISNUMBER(AG71)),(AE71-AG71)^2,"")</f>
        <v/>
      </c>
      <c r="AI71" s="5">
        <f>IF(AD71,1+SUMPRODUCT(--(calc!$AD$3:$AD$132=TRUE),--(calc!$AE$3:$AE$132&gt;AE71))+(SUMPRODUCT(--(calc!$AD$3:$AD$132=TRUE),--(calc!$AE$3:$AE$132=AE71))-1)/2,"")</f>
        <v/>
      </c>
      <c r="AJ71" s="5">
        <f>IF(AD71,1+SUMPRODUCT(--(calc!$AD$3:$AD$132=TRUE),--(calc!$AF$3:$AF$132&gt;AF71))+(SUMPRODUCT(--(calc!$AD$3:$AD$132=TRUE),--(calc!$AF$3:$AF$132=AF71))-1)/2,"")</f>
        <v/>
      </c>
      <c r="AK71" s="5">
        <f>IF(AD71,SUMPRODUCT(--(calc!$AD$3:$AD$132=TRUE),--(ROW(calc!$AD$3:$AD$132)&gt;ROW(AD71)),--(((calc!$AI$3:$AI$132&gt;AI71)*(calc!$AJ$3:$AJ$132&gt;AJ71)+(calc!$AI$3:$AI$132&lt;AI71)*(calc!$AJ$3:$AJ$132&lt;AJ71))&gt;0))-SUMPRODUCT(--(calc!$AD$3:$AD$132=TRUE),--(ROW(calc!$AD$3:$AD$132)&gt;ROW(AD71)),--(((calc!$AI$3:$AI$132&gt;AI71)*(calc!$AJ$3:$AJ$132&lt;AJ71)+(calc!$AI$3:$AI$132&lt;AI71)*(calc!$AJ$3:$AJ$132&gt;AJ71))&gt;0)),0)</f>
        <v/>
      </c>
      <c r="AL71" s="5">
        <f>IF(mos_metrics!J70="","",mos_metrics!J70)</f>
        <v/>
      </c>
      <c r="AM71" s="2">
        <f>AND($J71,ISNUMBER(AL71),correlation!$I$29=1)</f>
        <v/>
      </c>
      <c r="AN71" s="5">
        <f>IF(AM71,$F71,"")</f>
        <v/>
      </c>
      <c r="AO71" s="5">
        <f>IF(AM71,AL71*correlation!$J$29,"")</f>
        <v/>
      </c>
      <c r="AP71" s="5">
        <f>IF(AND(AM71,ISNUMBER(correlation!$F$29)),AO71*correlation!$F$29+correlation!$G$29,"")</f>
        <v/>
      </c>
      <c r="AQ71" s="5">
        <f>IF(AND(AM71,ISNUMBER(AP71)),(AN71-AP71)^2,"")</f>
        <v/>
      </c>
      <c r="AR71" s="5">
        <f>IF(AM71,1+SUMPRODUCT(--(calc!$AM$3:$AM$132=TRUE),--(calc!$AN$3:$AN$132&gt;AN71))+(SUMPRODUCT(--(calc!$AM$3:$AM$132=TRUE),--(calc!$AN$3:$AN$132=AN71))-1)/2,"")</f>
        <v/>
      </c>
      <c r="AS71" s="5">
        <f>IF(AM71,1+SUMPRODUCT(--(calc!$AM$3:$AM$132=TRUE),--(calc!$AO$3:$AO$132&gt;AO71))+(SUMPRODUCT(--(calc!$AM$3:$AM$132=TRUE),--(calc!$AO$3:$AO$132=AO71))-1)/2,"")</f>
        <v/>
      </c>
      <c r="AT71" s="5">
        <f>IF(AM71,SUMPRODUCT(--(calc!$AM$3:$AM$132=TRUE),--(ROW(calc!$AM$3:$AM$132)&gt;ROW(AM71)),--(((calc!$AR$3:$AR$132&gt;AR71)*(calc!$AS$3:$AS$132&gt;AS71)+(calc!$AR$3:$AR$132&lt;AR71)*(calc!$AS$3:$AS$132&lt;AS71))&gt;0))-SUMPRODUCT(--(calc!$AM$3:$AM$132=TRUE),--(ROW(calc!$AM$3:$AM$132)&gt;ROW(AM71)),--(((calc!$AR$3:$AR$132&gt;AR71)*(calc!$AS$3:$AS$132&lt;AS71)+(calc!$AR$3:$AR$132&lt;AR71)*(calc!$AS$3:$AS$132&gt;AS71))&gt;0)),0)</f>
        <v/>
      </c>
      <c r="AU71" s="5">
        <f>IF(mos_metrics!K70="","",mos_metrics!K70)</f>
        <v/>
      </c>
      <c r="AV71" s="2">
        <f>AND($J71,ISNUMBER(AU71),correlation!$I$30=1)</f>
        <v/>
      </c>
      <c r="AW71" s="5">
        <f>IF(AV71,$F71,"")</f>
        <v/>
      </c>
      <c r="AX71" s="5">
        <f>IF(AV71,AU71*correlation!$J$30,"")</f>
        <v/>
      </c>
      <c r="AY71" s="5">
        <f>IF(AND(AV71,ISNUMBER(correlation!$F$30)),AX71*correlation!$F$30+correlation!$G$30,"")</f>
        <v/>
      </c>
      <c r="AZ71" s="5">
        <f>IF(AND(AV71,ISNUMBER(AY71)),(AW71-AY71)^2,"")</f>
        <v/>
      </c>
      <c r="BA71" s="5">
        <f>IF(AV71,1+SUMPRODUCT(--(calc!$AV$3:$AV$132=TRUE),--(calc!$AW$3:$AW$132&gt;AW71))+(SUMPRODUCT(--(calc!$AV$3:$AV$132=TRUE),--(calc!$AW$3:$AW$132=AW71))-1)/2,"")</f>
        <v/>
      </c>
      <c r="BB71" s="5">
        <f>IF(AV71,1+SUMPRODUCT(--(calc!$AV$3:$AV$132=TRUE),--(calc!$AX$3:$AX$132&gt;AX71))+(SUMPRODUCT(--(calc!$AV$3:$AV$132=TRUE),--(calc!$AX$3:$AX$132=AX71))-1)/2,"")</f>
        <v/>
      </c>
      <c r="BC71" s="5">
        <f>IF(AV71,SUMPRODUCT(--(calc!$AV$3:$AV$132=TRUE),--(ROW(calc!$AV$3:$AV$132)&gt;ROW(AV71)),--(((calc!$BA$3:$BA$132&gt;BA71)*(calc!$BB$3:$BB$132&gt;BB71)+(calc!$BA$3:$BA$132&lt;BA71)*(calc!$BB$3:$BB$132&lt;BB71))&gt;0))-SUMPRODUCT(--(calc!$AV$3:$AV$132=TRUE),--(ROW(calc!$AV$3:$AV$132)&gt;ROW(AV71)),--(((calc!$BA$3:$BA$132&gt;BA71)*(calc!$BB$3:$BB$132&lt;BB71)+(calc!$BA$3:$BA$132&lt;BA71)*(calc!$BB$3:$BB$132&gt;BB71))&gt;0)),0)</f>
        <v/>
      </c>
      <c r="BD71" s="5">
        <f>IF(mos_metrics!L70="","",mos_metrics!L70)</f>
        <v/>
      </c>
      <c r="BE71" s="2">
        <f>AND($J71,ISNUMBER(BD71),correlation!$I$31=1)</f>
        <v/>
      </c>
      <c r="BF71" s="5">
        <f>IF(BE71,$F71,"")</f>
        <v/>
      </c>
      <c r="BG71" s="5">
        <f>IF(BE71,BD71*correlation!$J$31,"")</f>
        <v/>
      </c>
      <c r="BH71" s="5">
        <f>IF(AND(BE71,ISNUMBER(correlation!$F$31)),BG71*correlation!$F$31+correlation!$G$31,"")</f>
        <v/>
      </c>
      <c r="BI71" s="5">
        <f>IF(AND(BE71,ISNUMBER(BH71)),(BF71-BH71)^2,"")</f>
        <v/>
      </c>
      <c r="BJ71" s="5">
        <f>IF(BE71,1+SUMPRODUCT(--(calc!$BE$3:$BE$132=TRUE),--(calc!$BF$3:$BF$132&gt;BF71))+(SUMPRODUCT(--(calc!$BE$3:$BE$132=TRUE),--(calc!$BF$3:$BF$132=BF71))-1)/2,"")</f>
        <v/>
      </c>
      <c r="BK71" s="5">
        <f>IF(BE71,1+SUMPRODUCT(--(calc!$BE$3:$BE$132=TRUE),--(calc!$BG$3:$BG$132&gt;BG71))+(SUMPRODUCT(--(calc!$BE$3:$BE$132=TRUE),--(calc!$BG$3:$BG$132=BG71))-1)/2,"")</f>
        <v/>
      </c>
      <c r="BL71" s="5">
        <f>IF(BE71,SUMPRODUCT(--(calc!$BE$3:$BE$132=TRUE),--(ROW(calc!$BE$3:$BE$132)&gt;ROW(BE71)),--(((calc!$BJ$3:$BJ$132&gt;BJ71)*(calc!$BK$3:$BK$132&gt;BK71)+(calc!$BJ$3:$BJ$132&lt;BJ71)*(calc!$BK$3:$BK$132&lt;BK71))&gt;0))-SUMPRODUCT(--(calc!$BE$3:$BE$132=TRUE),--(ROW(calc!$BE$3:$BE$132)&gt;ROW(BE71)),--(((calc!$BJ$3:$BJ$132&gt;BJ71)*(calc!$BK$3:$BK$132&lt;BK71)+(calc!$BJ$3:$BJ$132&lt;BJ71)*(calc!$BK$3:$BK$132&gt;BK71))&gt;0)),0)</f>
        <v/>
      </c>
      <c r="BM71" s="5">
        <f>IF(mos_metrics!M70="","",mos_metrics!M70)</f>
        <v/>
      </c>
      <c r="BN71" s="2">
        <f>AND($J71,ISNUMBER(BM71),correlation!$I$32=1)</f>
        <v/>
      </c>
      <c r="BO71" s="5">
        <f>IF(BN71,$F71,"")</f>
        <v/>
      </c>
      <c r="BP71" s="5">
        <f>IF(BN71,BM71*correlation!$J$32,"")</f>
        <v/>
      </c>
      <c r="BQ71" s="5">
        <f>IF(AND(BN71,ISNUMBER(correlation!$F$32)),BP71*correlation!$F$32+correlation!$G$32,"")</f>
        <v/>
      </c>
      <c r="BR71" s="5">
        <f>IF(AND(BN71,ISNUMBER(BQ71)),(BO71-BQ71)^2,"")</f>
        <v/>
      </c>
      <c r="BS71" s="5">
        <f>IF(BN71,1+SUMPRODUCT(--(calc!$BN$3:$BN$132=TRUE),--(calc!$BO$3:$BO$132&gt;BO71))+(SUMPRODUCT(--(calc!$BN$3:$BN$132=TRUE),--(calc!$BO$3:$BO$132=BO71))-1)/2,"")</f>
        <v/>
      </c>
      <c r="BT71" s="5">
        <f>IF(BN71,1+SUMPRODUCT(--(calc!$BN$3:$BN$132=TRUE),--(calc!$BP$3:$BP$132&gt;BP71))+(SUMPRODUCT(--(calc!$BN$3:$BN$132=TRUE),--(calc!$BP$3:$BP$132=BP71))-1)/2,"")</f>
        <v/>
      </c>
      <c r="BU71" s="5">
        <f>IF(BN71,SUMPRODUCT(--(calc!$BN$3:$BN$132=TRUE),--(ROW(calc!$BN$3:$BN$132)&gt;ROW(BN71)),--(((calc!$BS$3:$BS$132&gt;BS71)*(calc!$BT$3:$BT$132&gt;BT71)+(calc!$BS$3:$BS$132&lt;BS71)*(calc!$BT$3:$BT$132&lt;BT71))&gt;0))-SUMPRODUCT(--(calc!$BN$3:$BN$132=TRUE),--(ROW(calc!$BN$3:$BN$132)&gt;ROW(BN71)),--(((calc!$BS$3:$BS$132&gt;BS71)*(calc!$BT$3:$BT$132&lt;BT71)+(calc!$BS$3:$BS$132&lt;BS71)*(calc!$BT$3:$BT$132&gt;BT71))&gt;0)),0)</f>
        <v/>
      </c>
    </row>
    <row r="72">
      <c r="A72" s="2">
        <f>mos_metrics!A71</f>
        <v/>
      </c>
      <c r="B72" s="2">
        <f>mos_metrics!B71</f>
        <v/>
      </c>
      <c r="C72" s="2">
        <f>mos_metrics!C71</f>
        <v/>
      </c>
      <c r="D72" s="2">
        <f>mos_metrics!D71</f>
        <v/>
      </c>
      <c r="E72" s="2">
        <f>mos_metrics!E71</f>
        <v/>
      </c>
      <c r="F72" s="2">
        <f>mos_metrics!F71</f>
        <v/>
      </c>
      <c r="G72" s="2">
        <f>IF($B72="","",IFERROR(VLOOKUP($B72,correlation!$A$2:$B$12,2,FALSE),1))</f>
        <v/>
      </c>
      <c r="H72" s="2">
        <f>IF($E72="","",IFERROR(VLOOKUP($E72,correlation!$D$2:$E$8,2,FALSE),1))</f>
        <v/>
      </c>
      <c r="I72" s="2">
        <f>ISNUMBER($F72)</f>
        <v/>
      </c>
      <c r="J72" s="2">
        <f>AND($G72=1,$H72=1,$I72)</f>
        <v/>
      </c>
      <c r="K72" s="5">
        <f>IF(mos_metrics!G71="","",mos_metrics!G71)</f>
        <v/>
      </c>
      <c r="L72" s="2">
        <f>AND($J72,ISNUMBER(K72),correlation!$I$26=1)</f>
        <v/>
      </c>
      <c r="M72" s="5">
        <f>IF(L72,$F72,"")</f>
        <v/>
      </c>
      <c r="N72" s="5">
        <f>IF(L72,K72*correlation!$J$26,"")</f>
        <v/>
      </c>
      <c r="O72" s="5">
        <f>IF(AND(L72,ISNUMBER(correlation!$F$26)),N72*correlation!$F$26+correlation!$G$26,"")</f>
        <v/>
      </c>
      <c r="P72" s="5">
        <f>IF(AND(L72,ISNUMBER(O72)),(M72-O72)^2,"")</f>
        <v/>
      </c>
      <c r="Q72" s="5">
        <f>IF(L72,1+SUMPRODUCT(--(calc!$L$3:$L$132=TRUE),--(calc!$M$3:$M$132&gt;M72))+(SUMPRODUCT(--(calc!$L$3:$L$132=TRUE),--(calc!$M$3:$M$132=M72))-1)/2,"")</f>
        <v/>
      </c>
      <c r="R72" s="5">
        <f>IF(L72,1+SUMPRODUCT(--(calc!$L$3:$L$132=TRUE),--(calc!$N$3:$N$132&gt;N72))+(SUMPRODUCT(--(calc!$L$3:$L$132=TRUE),--(calc!$N$3:$N$132=N72))-1)/2,"")</f>
        <v/>
      </c>
      <c r="S72" s="5">
        <f>IF(L72,SUMPRODUCT(--(calc!$L$3:$L$132=TRUE),--(ROW(calc!$L$3:$L$132)&gt;ROW(L72)),--(((calc!$Q$3:$Q$132&gt;Q72)*(calc!$R$3:$R$132&gt;R72)+(calc!$Q$3:$Q$132&lt;Q72)*(calc!$R$3:$R$132&lt;R72))&gt;0))-SUMPRODUCT(--(calc!$L$3:$L$132=TRUE),--(ROW(calc!$L$3:$L$132)&gt;ROW(L72)),--(((calc!$Q$3:$Q$132&gt;Q72)*(calc!$R$3:$R$132&lt;R72)+(calc!$Q$3:$Q$132&lt;Q72)*(calc!$R$3:$R$132&gt;R72))&gt;0)),0)</f>
        <v/>
      </c>
      <c r="T72" s="5">
        <f>IF(mos_metrics!H71="","",mos_metrics!H71)</f>
        <v/>
      </c>
      <c r="U72" s="2">
        <f>AND($J72,ISNUMBER(T72),correlation!$I$27=1)</f>
        <v/>
      </c>
      <c r="V72" s="5">
        <f>IF(U72,$F72,"")</f>
        <v/>
      </c>
      <c r="W72" s="5">
        <f>IF(U72,T72*correlation!$J$27,"")</f>
        <v/>
      </c>
      <c r="X72" s="5">
        <f>IF(AND(U72,ISNUMBER(correlation!$F$27)),W72*correlation!$F$27+correlation!$G$27,"")</f>
        <v/>
      </c>
      <c r="Y72" s="5">
        <f>IF(AND(U72,ISNUMBER(X72)),(V72-X72)^2,"")</f>
        <v/>
      </c>
      <c r="Z72" s="5">
        <f>IF(U72,1+SUMPRODUCT(--(calc!$U$3:$U$132=TRUE),--(calc!$V$3:$V$132&gt;V72))+(SUMPRODUCT(--(calc!$U$3:$U$132=TRUE),--(calc!$V$3:$V$132=V72))-1)/2,"")</f>
        <v/>
      </c>
      <c r="AA72" s="5">
        <f>IF(U72,1+SUMPRODUCT(--(calc!$U$3:$U$132=TRUE),--(calc!$W$3:$W$132&gt;W72))+(SUMPRODUCT(--(calc!$U$3:$U$132=TRUE),--(calc!$W$3:$W$132=W72))-1)/2,"")</f>
        <v/>
      </c>
      <c r="AB72" s="5">
        <f>IF(U72,SUMPRODUCT(--(calc!$U$3:$U$132=TRUE),--(ROW(calc!$U$3:$U$132)&gt;ROW(U72)),--(((calc!$Z$3:$Z$132&gt;Z72)*(calc!$AA$3:$AA$132&gt;AA72)+(calc!$Z$3:$Z$132&lt;Z72)*(calc!$AA$3:$AA$132&lt;AA72))&gt;0))-SUMPRODUCT(--(calc!$U$3:$U$132=TRUE),--(ROW(calc!$U$3:$U$132)&gt;ROW(U72)),--(((calc!$Z$3:$Z$132&gt;Z72)*(calc!$AA$3:$AA$132&lt;AA72)+(calc!$Z$3:$Z$132&lt;Z72)*(calc!$AA$3:$AA$132&gt;AA72))&gt;0)),0)</f>
        <v/>
      </c>
      <c r="AC72" s="5">
        <f>IF(mos_metrics!I71="","",mos_metrics!I71)</f>
        <v/>
      </c>
      <c r="AD72" s="2">
        <f>AND($J72,ISNUMBER(AC72),correlation!$I$28=1)</f>
        <v/>
      </c>
      <c r="AE72" s="5">
        <f>IF(AD72,$F72,"")</f>
        <v/>
      </c>
      <c r="AF72" s="5">
        <f>IF(AD72,AC72*correlation!$J$28,"")</f>
        <v/>
      </c>
      <c r="AG72" s="5">
        <f>IF(AND(AD72,ISNUMBER(correlation!$F$28)),AF72*correlation!$F$28+correlation!$G$28,"")</f>
        <v/>
      </c>
      <c r="AH72" s="5">
        <f>IF(AND(AD72,ISNUMBER(AG72)),(AE72-AG72)^2,"")</f>
        <v/>
      </c>
      <c r="AI72" s="5">
        <f>IF(AD72,1+SUMPRODUCT(--(calc!$AD$3:$AD$132=TRUE),--(calc!$AE$3:$AE$132&gt;AE72))+(SUMPRODUCT(--(calc!$AD$3:$AD$132=TRUE),--(calc!$AE$3:$AE$132=AE72))-1)/2,"")</f>
        <v/>
      </c>
      <c r="AJ72" s="5">
        <f>IF(AD72,1+SUMPRODUCT(--(calc!$AD$3:$AD$132=TRUE),--(calc!$AF$3:$AF$132&gt;AF72))+(SUMPRODUCT(--(calc!$AD$3:$AD$132=TRUE),--(calc!$AF$3:$AF$132=AF72))-1)/2,"")</f>
        <v/>
      </c>
      <c r="AK72" s="5">
        <f>IF(AD72,SUMPRODUCT(--(calc!$AD$3:$AD$132=TRUE),--(ROW(calc!$AD$3:$AD$132)&gt;ROW(AD72)),--(((calc!$AI$3:$AI$132&gt;AI72)*(calc!$AJ$3:$AJ$132&gt;AJ72)+(calc!$AI$3:$AI$132&lt;AI72)*(calc!$AJ$3:$AJ$132&lt;AJ72))&gt;0))-SUMPRODUCT(--(calc!$AD$3:$AD$132=TRUE),--(ROW(calc!$AD$3:$AD$132)&gt;ROW(AD72)),--(((calc!$AI$3:$AI$132&gt;AI72)*(calc!$AJ$3:$AJ$132&lt;AJ72)+(calc!$AI$3:$AI$132&lt;AI72)*(calc!$AJ$3:$AJ$132&gt;AJ72))&gt;0)),0)</f>
        <v/>
      </c>
      <c r="AL72" s="5">
        <f>IF(mos_metrics!J71="","",mos_metrics!J71)</f>
        <v/>
      </c>
      <c r="AM72" s="2">
        <f>AND($J72,ISNUMBER(AL72),correlation!$I$29=1)</f>
        <v/>
      </c>
      <c r="AN72" s="5">
        <f>IF(AM72,$F72,"")</f>
        <v/>
      </c>
      <c r="AO72" s="5">
        <f>IF(AM72,AL72*correlation!$J$29,"")</f>
        <v/>
      </c>
      <c r="AP72" s="5">
        <f>IF(AND(AM72,ISNUMBER(correlation!$F$29)),AO72*correlation!$F$29+correlation!$G$29,"")</f>
        <v/>
      </c>
      <c r="AQ72" s="5">
        <f>IF(AND(AM72,ISNUMBER(AP72)),(AN72-AP72)^2,"")</f>
        <v/>
      </c>
      <c r="AR72" s="5">
        <f>IF(AM72,1+SUMPRODUCT(--(calc!$AM$3:$AM$132=TRUE),--(calc!$AN$3:$AN$132&gt;AN72))+(SUMPRODUCT(--(calc!$AM$3:$AM$132=TRUE),--(calc!$AN$3:$AN$132=AN72))-1)/2,"")</f>
        <v/>
      </c>
      <c r="AS72" s="5">
        <f>IF(AM72,1+SUMPRODUCT(--(calc!$AM$3:$AM$132=TRUE),--(calc!$AO$3:$AO$132&gt;AO72))+(SUMPRODUCT(--(calc!$AM$3:$AM$132=TRUE),--(calc!$AO$3:$AO$132=AO72))-1)/2,"")</f>
        <v/>
      </c>
      <c r="AT72" s="5">
        <f>IF(AM72,SUMPRODUCT(--(calc!$AM$3:$AM$132=TRUE),--(ROW(calc!$AM$3:$AM$132)&gt;ROW(AM72)),--(((calc!$AR$3:$AR$132&gt;AR72)*(calc!$AS$3:$AS$132&gt;AS72)+(calc!$AR$3:$AR$132&lt;AR72)*(calc!$AS$3:$AS$132&lt;AS72))&gt;0))-SUMPRODUCT(--(calc!$AM$3:$AM$132=TRUE),--(ROW(calc!$AM$3:$AM$132)&gt;ROW(AM72)),--(((calc!$AR$3:$AR$132&gt;AR72)*(calc!$AS$3:$AS$132&lt;AS72)+(calc!$AR$3:$AR$132&lt;AR72)*(calc!$AS$3:$AS$132&gt;AS72))&gt;0)),0)</f>
        <v/>
      </c>
      <c r="AU72" s="5">
        <f>IF(mos_metrics!K71="","",mos_metrics!K71)</f>
        <v/>
      </c>
      <c r="AV72" s="2">
        <f>AND($J72,ISNUMBER(AU72),correlation!$I$30=1)</f>
        <v/>
      </c>
      <c r="AW72" s="5">
        <f>IF(AV72,$F72,"")</f>
        <v/>
      </c>
      <c r="AX72" s="5">
        <f>IF(AV72,AU72*correlation!$J$30,"")</f>
        <v/>
      </c>
      <c r="AY72" s="5">
        <f>IF(AND(AV72,ISNUMBER(correlation!$F$30)),AX72*correlation!$F$30+correlation!$G$30,"")</f>
        <v/>
      </c>
      <c r="AZ72" s="5">
        <f>IF(AND(AV72,ISNUMBER(AY72)),(AW72-AY72)^2,"")</f>
        <v/>
      </c>
      <c r="BA72" s="5">
        <f>IF(AV72,1+SUMPRODUCT(--(calc!$AV$3:$AV$132=TRUE),--(calc!$AW$3:$AW$132&gt;AW72))+(SUMPRODUCT(--(calc!$AV$3:$AV$132=TRUE),--(calc!$AW$3:$AW$132=AW72))-1)/2,"")</f>
        <v/>
      </c>
      <c r="BB72" s="5">
        <f>IF(AV72,1+SUMPRODUCT(--(calc!$AV$3:$AV$132=TRUE),--(calc!$AX$3:$AX$132&gt;AX72))+(SUMPRODUCT(--(calc!$AV$3:$AV$132=TRUE),--(calc!$AX$3:$AX$132=AX72))-1)/2,"")</f>
        <v/>
      </c>
      <c r="BC72" s="5">
        <f>IF(AV72,SUMPRODUCT(--(calc!$AV$3:$AV$132=TRUE),--(ROW(calc!$AV$3:$AV$132)&gt;ROW(AV72)),--(((calc!$BA$3:$BA$132&gt;BA72)*(calc!$BB$3:$BB$132&gt;BB72)+(calc!$BA$3:$BA$132&lt;BA72)*(calc!$BB$3:$BB$132&lt;BB72))&gt;0))-SUMPRODUCT(--(calc!$AV$3:$AV$132=TRUE),--(ROW(calc!$AV$3:$AV$132)&gt;ROW(AV72)),--(((calc!$BA$3:$BA$132&gt;BA72)*(calc!$BB$3:$BB$132&lt;BB72)+(calc!$BA$3:$BA$132&lt;BA72)*(calc!$BB$3:$BB$132&gt;BB72))&gt;0)),0)</f>
        <v/>
      </c>
      <c r="BD72" s="5">
        <f>IF(mos_metrics!L71="","",mos_metrics!L71)</f>
        <v/>
      </c>
      <c r="BE72" s="2">
        <f>AND($J72,ISNUMBER(BD72),correlation!$I$31=1)</f>
        <v/>
      </c>
      <c r="BF72" s="5">
        <f>IF(BE72,$F72,"")</f>
        <v/>
      </c>
      <c r="BG72" s="5">
        <f>IF(BE72,BD72*correlation!$J$31,"")</f>
        <v/>
      </c>
      <c r="BH72" s="5">
        <f>IF(AND(BE72,ISNUMBER(correlation!$F$31)),BG72*correlation!$F$31+correlation!$G$31,"")</f>
        <v/>
      </c>
      <c r="BI72" s="5">
        <f>IF(AND(BE72,ISNUMBER(BH72)),(BF72-BH72)^2,"")</f>
        <v/>
      </c>
      <c r="BJ72" s="5">
        <f>IF(BE72,1+SUMPRODUCT(--(calc!$BE$3:$BE$132=TRUE),--(calc!$BF$3:$BF$132&gt;BF72))+(SUMPRODUCT(--(calc!$BE$3:$BE$132=TRUE),--(calc!$BF$3:$BF$132=BF72))-1)/2,"")</f>
        <v/>
      </c>
      <c r="BK72" s="5">
        <f>IF(BE72,1+SUMPRODUCT(--(calc!$BE$3:$BE$132=TRUE),--(calc!$BG$3:$BG$132&gt;BG72))+(SUMPRODUCT(--(calc!$BE$3:$BE$132=TRUE),--(calc!$BG$3:$BG$132=BG72))-1)/2,"")</f>
        <v/>
      </c>
      <c r="BL72" s="5">
        <f>IF(BE72,SUMPRODUCT(--(calc!$BE$3:$BE$132=TRUE),--(ROW(calc!$BE$3:$BE$132)&gt;ROW(BE72)),--(((calc!$BJ$3:$BJ$132&gt;BJ72)*(calc!$BK$3:$BK$132&gt;BK72)+(calc!$BJ$3:$BJ$132&lt;BJ72)*(calc!$BK$3:$BK$132&lt;BK72))&gt;0))-SUMPRODUCT(--(calc!$BE$3:$BE$132=TRUE),--(ROW(calc!$BE$3:$BE$132)&gt;ROW(BE72)),--(((calc!$BJ$3:$BJ$132&gt;BJ72)*(calc!$BK$3:$BK$132&lt;BK72)+(calc!$BJ$3:$BJ$132&lt;BJ72)*(calc!$BK$3:$BK$132&gt;BK72))&gt;0)),0)</f>
        <v/>
      </c>
      <c r="BM72" s="5">
        <f>IF(mos_metrics!M71="","",mos_metrics!M71)</f>
        <v/>
      </c>
      <c r="BN72" s="2">
        <f>AND($J72,ISNUMBER(BM72),correlation!$I$32=1)</f>
        <v/>
      </c>
      <c r="BO72" s="5">
        <f>IF(BN72,$F72,"")</f>
        <v/>
      </c>
      <c r="BP72" s="5">
        <f>IF(BN72,BM72*correlation!$J$32,"")</f>
        <v/>
      </c>
      <c r="BQ72" s="5">
        <f>IF(AND(BN72,ISNUMBER(correlation!$F$32)),BP72*correlation!$F$32+correlation!$G$32,"")</f>
        <v/>
      </c>
      <c r="BR72" s="5">
        <f>IF(AND(BN72,ISNUMBER(BQ72)),(BO72-BQ72)^2,"")</f>
        <v/>
      </c>
      <c r="BS72" s="5">
        <f>IF(BN72,1+SUMPRODUCT(--(calc!$BN$3:$BN$132=TRUE),--(calc!$BO$3:$BO$132&gt;BO72))+(SUMPRODUCT(--(calc!$BN$3:$BN$132=TRUE),--(calc!$BO$3:$BO$132=BO72))-1)/2,"")</f>
        <v/>
      </c>
      <c r="BT72" s="5">
        <f>IF(BN72,1+SUMPRODUCT(--(calc!$BN$3:$BN$132=TRUE),--(calc!$BP$3:$BP$132&gt;BP72))+(SUMPRODUCT(--(calc!$BN$3:$BN$132=TRUE),--(calc!$BP$3:$BP$132=BP72))-1)/2,"")</f>
        <v/>
      </c>
      <c r="BU72" s="5">
        <f>IF(BN72,SUMPRODUCT(--(calc!$BN$3:$BN$132=TRUE),--(ROW(calc!$BN$3:$BN$132)&gt;ROW(BN72)),--(((calc!$BS$3:$BS$132&gt;BS72)*(calc!$BT$3:$BT$132&gt;BT72)+(calc!$BS$3:$BS$132&lt;BS72)*(calc!$BT$3:$BT$132&lt;BT72))&gt;0))-SUMPRODUCT(--(calc!$BN$3:$BN$132=TRUE),--(ROW(calc!$BN$3:$BN$132)&gt;ROW(BN72)),--(((calc!$BS$3:$BS$132&gt;BS72)*(calc!$BT$3:$BT$132&lt;BT72)+(calc!$BS$3:$BS$132&lt;BS72)*(calc!$BT$3:$BT$132&gt;BT72))&gt;0)),0)</f>
        <v/>
      </c>
    </row>
    <row r="73">
      <c r="A73" s="2">
        <f>mos_metrics!A72</f>
        <v/>
      </c>
      <c r="B73" s="2">
        <f>mos_metrics!B72</f>
        <v/>
      </c>
      <c r="C73" s="2">
        <f>mos_metrics!C72</f>
        <v/>
      </c>
      <c r="D73" s="2">
        <f>mos_metrics!D72</f>
        <v/>
      </c>
      <c r="E73" s="2">
        <f>mos_metrics!E72</f>
        <v/>
      </c>
      <c r="F73" s="2">
        <f>mos_metrics!F72</f>
        <v/>
      </c>
      <c r="G73" s="2">
        <f>IF($B73="","",IFERROR(VLOOKUP($B73,correlation!$A$2:$B$12,2,FALSE),1))</f>
        <v/>
      </c>
      <c r="H73" s="2">
        <f>IF($E73="","",IFERROR(VLOOKUP($E73,correlation!$D$2:$E$8,2,FALSE),1))</f>
        <v/>
      </c>
      <c r="I73" s="2">
        <f>ISNUMBER($F73)</f>
        <v/>
      </c>
      <c r="J73" s="2">
        <f>AND($G73=1,$H73=1,$I73)</f>
        <v/>
      </c>
      <c r="K73" s="5">
        <f>IF(mos_metrics!G72="","",mos_metrics!G72)</f>
        <v/>
      </c>
      <c r="L73" s="2">
        <f>AND($J73,ISNUMBER(K73),correlation!$I$26=1)</f>
        <v/>
      </c>
      <c r="M73" s="5">
        <f>IF(L73,$F73,"")</f>
        <v/>
      </c>
      <c r="N73" s="5">
        <f>IF(L73,K73*correlation!$J$26,"")</f>
        <v/>
      </c>
      <c r="O73" s="5">
        <f>IF(AND(L73,ISNUMBER(correlation!$F$26)),N73*correlation!$F$26+correlation!$G$26,"")</f>
        <v/>
      </c>
      <c r="P73" s="5">
        <f>IF(AND(L73,ISNUMBER(O73)),(M73-O73)^2,"")</f>
        <v/>
      </c>
      <c r="Q73" s="5">
        <f>IF(L73,1+SUMPRODUCT(--(calc!$L$3:$L$132=TRUE),--(calc!$M$3:$M$132&gt;M73))+(SUMPRODUCT(--(calc!$L$3:$L$132=TRUE),--(calc!$M$3:$M$132=M73))-1)/2,"")</f>
        <v/>
      </c>
      <c r="R73" s="5">
        <f>IF(L73,1+SUMPRODUCT(--(calc!$L$3:$L$132=TRUE),--(calc!$N$3:$N$132&gt;N73))+(SUMPRODUCT(--(calc!$L$3:$L$132=TRUE),--(calc!$N$3:$N$132=N73))-1)/2,"")</f>
        <v/>
      </c>
      <c r="S73" s="5">
        <f>IF(L73,SUMPRODUCT(--(calc!$L$3:$L$132=TRUE),--(ROW(calc!$L$3:$L$132)&gt;ROW(L73)),--(((calc!$Q$3:$Q$132&gt;Q73)*(calc!$R$3:$R$132&gt;R73)+(calc!$Q$3:$Q$132&lt;Q73)*(calc!$R$3:$R$132&lt;R73))&gt;0))-SUMPRODUCT(--(calc!$L$3:$L$132=TRUE),--(ROW(calc!$L$3:$L$132)&gt;ROW(L73)),--(((calc!$Q$3:$Q$132&gt;Q73)*(calc!$R$3:$R$132&lt;R73)+(calc!$Q$3:$Q$132&lt;Q73)*(calc!$R$3:$R$132&gt;R73))&gt;0)),0)</f>
        <v/>
      </c>
      <c r="T73" s="5">
        <f>IF(mos_metrics!H72="","",mos_metrics!H72)</f>
        <v/>
      </c>
      <c r="U73" s="2">
        <f>AND($J73,ISNUMBER(T73),correlation!$I$27=1)</f>
        <v/>
      </c>
      <c r="V73" s="5">
        <f>IF(U73,$F73,"")</f>
        <v/>
      </c>
      <c r="W73" s="5">
        <f>IF(U73,T73*correlation!$J$27,"")</f>
        <v/>
      </c>
      <c r="X73" s="5">
        <f>IF(AND(U73,ISNUMBER(correlation!$F$27)),W73*correlation!$F$27+correlation!$G$27,"")</f>
        <v/>
      </c>
      <c r="Y73" s="5">
        <f>IF(AND(U73,ISNUMBER(X73)),(V73-X73)^2,"")</f>
        <v/>
      </c>
      <c r="Z73" s="5">
        <f>IF(U73,1+SUMPRODUCT(--(calc!$U$3:$U$132=TRUE),--(calc!$V$3:$V$132&gt;V73))+(SUMPRODUCT(--(calc!$U$3:$U$132=TRUE),--(calc!$V$3:$V$132=V73))-1)/2,"")</f>
        <v/>
      </c>
      <c r="AA73" s="5">
        <f>IF(U73,1+SUMPRODUCT(--(calc!$U$3:$U$132=TRUE),--(calc!$W$3:$W$132&gt;W73))+(SUMPRODUCT(--(calc!$U$3:$U$132=TRUE),--(calc!$W$3:$W$132=W73))-1)/2,"")</f>
        <v/>
      </c>
      <c r="AB73" s="5">
        <f>IF(U73,SUMPRODUCT(--(calc!$U$3:$U$132=TRUE),--(ROW(calc!$U$3:$U$132)&gt;ROW(U73)),--(((calc!$Z$3:$Z$132&gt;Z73)*(calc!$AA$3:$AA$132&gt;AA73)+(calc!$Z$3:$Z$132&lt;Z73)*(calc!$AA$3:$AA$132&lt;AA73))&gt;0))-SUMPRODUCT(--(calc!$U$3:$U$132=TRUE),--(ROW(calc!$U$3:$U$132)&gt;ROW(U73)),--(((calc!$Z$3:$Z$132&gt;Z73)*(calc!$AA$3:$AA$132&lt;AA73)+(calc!$Z$3:$Z$132&lt;Z73)*(calc!$AA$3:$AA$132&gt;AA73))&gt;0)),0)</f>
        <v/>
      </c>
      <c r="AC73" s="5">
        <f>IF(mos_metrics!I72="","",mos_metrics!I72)</f>
        <v/>
      </c>
      <c r="AD73" s="2">
        <f>AND($J73,ISNUMBER(AC73),correlation!$I$28=1)</f>
        <v/>
      </c>
      <c r="AE73" s="5">
        <f>IF(AD73,$F73,"")</f>
        <v/>
      </c>
      <c r="AF73" s="5">
        <f>IF(AD73,AC73*correlation!$J$28,"")</f>
        <v/>
      </c>
      <c r="AG73" s="5">
        <f>IF(AND(AD73,ISNUMBER(correlation!$F$28)),AF73*correlation!$F$28+correlation!$G$28,"")</f>
        <v/>
      </c>
      <c r="AH73" s="5">
        <f>IF(AND(AD73,ISNUMBER(AG73)),(AE73-AG73)^2,"")</f>
        <v/>
      </c>
      <c r="AI73" s="5">
        <f>IF(AD73,1+SUMPRODUCT(--(calc!$AD$3:$AD$132=TRUE),--(calc!$AE$3:$AE$132&gt;AE73))+(SUMPRODUCT(--(calc!$AD$3:$AD$132=TRUE),--(calc!$AE$3:$AE$132=AE73))-1)/2,"")</f>
        <v/>
      </c>
      <c r="AJ73" s="5">
        <f>IF(AD73,1+SUMPRODUCT(--(calc!$AD$3:$AD$132=TRUE),--(calc!$AF$3:$AF$132&gt;AF73))+(SUMPRODUCT(--(calc!$AD$3:$AD$132=TRUE),--(calc!$AF$3:$AF$132=AF73))-1)/2,"")</f>
        <v/>
      </c>
      <c r="AK73" s="5">
        <f>IF(AD73,SUMPRODUCT(--(calc!$AD$3:$AD$132=TRUE),--(ROW(calc!$AD$3:$AD$132)&gt;ROW(AD73)),--(((calc!$AI$3:$AI$132&gt;AI73)*(calc!$AJ$3:$AJ$132&gt;AJ73)+(calc!$AI$3:$AI$132&lt;AI73)*(calc!$AJ$3:$AJ$132&lt;AJ73))&gt;0))-SUMPRODUCT(--(calc!$AD$3:$AD$132=TRUE),--(ROW(calc!$AD$3:$AD$132)&gt;ROW(AD73)),--(((calc!$AI$3:$AI$132&gt;AI73)*(calc!$AJ$3:$AJ$132&lt;AJ73)+(calc!$AI$3:$AI$132&lt;AI73)*(calc!$AJ$3:$AJ$132&gt;AJ73))&gt;0)),0)</f>
        <v/>
      </c>
      <c r="AL73" s="5">
        <f>IF(mos_metrics!J72="","",mos_metrics!J72)</f>
        <v/>
      </c>
      <c r="AM73" s="2">
        <f>AND($J73,ISNUMBER(AL73),correlation!$I$29=1)</f>
        <v/>
      </c>
      <c r="AN73" s="5">
        <f>IF(AM73,$F73,"")</f>
        <v/>
      </c>
      <c r="AO73" s="5">
        <f>IF(AM73,AL73*correlation!$J$29,"")</f>
        <v/>
      </c>
      <c r="AP73" s="5">
        <f>IF(AND(AM73,ISNUMBER(correlation!$F$29)),AO73*correlation!$F$29+correlation!$G$29,"")</f>
        <v/>
      </c>
      <c r="AQ73" s="5">
        <f>IF(AND(AM73,ISNUMBER(AP73)),(AN73-AP73)^2,"")</f>
        <v/>
      </c>
      <c r="AR73" s="5">
        <f>IF(AM73,1+SUMPRODUCT(--(calc!$AM$3:$AM$132=TRUE),--(calc!$AN$3:$AN$132&gt;AN73))+(SUMPRODUCT(--(calc!$AM$3:$AM$132=TRUE),--(calc!$AN$3:$AN$132=AN73))-1)/2,"")</f>
        <v/>
      </c>
      <c r="AS73" s="5">
        <f>IF(AM73,1+SUMPRODUCT(--(calc!$AM$3:$AM$132=TRUE),--(calc!$AO$3:$AO$132&gt;AO73))+(SUMPRODUCT(--(calc!$AM$3:$AM$132=TRUE),--(calc!$AO$3:$AO$132=AO73))-1)/2,"")</f>
        <v/>
      </c>
      <c r="AT73" s="5">
        <f>IF(AM73,SUMPRODUCT(--(calc!$AM$3:$AM$132=TRUE),--(ROW(calc!$AM$3:$AM$132)&gt;ROW(AM73)),--(((calc!$AR$3:$AR$132&gt;AR73)*(calc!$AS$3:$AS$132&gt;AS73)+(calc!$AR$3:$AR$132&lt;AR73)*(calc!$AS$3:$AS$132&lt;AS73))&gt;0))-SUMPRODUCT(--(calc!$AM$3:$AM$132=TRUE),--(ROW(calc!$AM$3:$AM$132)&gt;ROW(AM73)),--(((calc!$AR$3:$AR$132&gt;AR73)*(calc!$AS$3:$AS$132&lt;AS73)+(calc!$AR$3:$AR$132&lt;AR73)*(calc!$AS$3:$AS$132&gt;AS73))&gt;0)),0)</f>
        <v/>
      </c>
      <c r="AU73" s="5">
        <f>IF(mos_metrics!K72="","",mos_metrics!K72)</f>
        <v/>
      </c>
      <c r="AV73" s="2">
        <f>AND($J73,ISNUMBER(AU73),correlation!$I$30=1)</f>
        <v/>
      </c>
      <c r="AW73" s="5">
        <f>IF(AV73,$F73,"")</f>
        <v/>
      </c>
      <c r="AX73" s="5">
        <f>IF(AV73,AU73*correlation!$J$30,"")</f>
        <v/>
      </c>
      <c r="AY73" s="5">
        <f>IF(AND(AV73,ISNUMBER(correlation!$F$30)),AX73*correlation!$F$30+correlation!$G$30,"")</f>
        <v/>
      </c>
      <c r="AZ73" s="5">
        <f>IF(AND(AV73,ISNUMBER(AY73)),(AW73-AY73)^2,"")</f>
        <v/>
      </c>
      <c r="BA73" s="5">
        <f>IF(AV73,1+SUMPRODUCT(--(calc!$AV$3:$AV$132=TRUE),--(calc!$AW$3:$AW$132&gt;AW73))+(SUMPRODUCT(--(calc!$AV$3:$AV$132=TRUE),--(calc!$AW$3:$AW$132=AW73))-1)/2,"")</f>
        <v/>
      </c>
      <c r="BB73" s="5">
        <f>IF(AV73,1+SUMPRODUCT(--(calc!$AV$3:$AV$132=TRUE),--(calc!$AX$3:$AX$132&gt;AX73))+(SUMPRODUCT(--(calc!$AV$3:$AV$132=TRUE),--(calc!$AX$3:$AX$132=AX73))-1)/2,"")</f>
        <v/>
      </c>
      <c r="BC73" s="5">
        <f>IF(AV73,SUMPRODUCT(--(calc!$AV$3:$AV$132=TRUE),--(ROW(calc!$AV$3:$AV$132)&gt;ROW(AV73)),--(((calc!$BA$3:$BA$132&gt;BA73)*(calc!$BB$3:$BB$132&gt;BB73)+(calc!$BA$3:$BA$132&lt;BA73)*(calc!$BB$3:$BB$132&lt;BB73))&gt;0))-SUMPRODUCT(--(calc!$AV$3:$AV$132=TRUE),--(ROW(calc!$AV$3:$AV$132)&gt;ROW(AV73)),--(((calc!$BA$3:$BA$132&gt;BA73)*(calc!$BB$3:$BB$132&lt;BB73)+(calc!$BA$3:$BA$132&lt;BA73)*(calc!$BB$3:$BB$132&gt;BB73))&gt;0)),0)</f>
        <v/>
      </c>
      <c r="BD73" s="5">
        <f>IF(mos_metrics!L72="","",mos_metrics!L72)</f>
        <v/>
      </c>
      <c r="BE73" s="2">
        <f>AND($J73,ISNUMBER(BD73),correlation!$I$31=1)</f>
        <v/>
      </c>
      <c r="BF73" s="5">
        <f>IF(BE73,$F73,"")</f>
        <v/>
      </c>
      <c r="BG73" s="5">
        <f>IF(BE73,BD73*correlation!$J$31,"")</f>
        <v/>
      </c>
      <c r="BH73" s="5">
        <f>IF(AND(BE73,ISNUMBER(correlation!$F$31)),BG73*correlation!$F$31+correlation!$G$31,"")</f>
        <v/>
      </c>
      <c r="BI73" s="5">
        <f>IF(AND(BE73,ISNUMBER(BH73)),(BF73-BH73)^2,"")</f>
        <v/>
      </c>
      <c r="BJ73" s="5">
        <f>IF(BE73,1+SUMPRODUCT(--(calc!$BE$3:$BE$132=TRUE),--(calc!$BF$3:$BF$132&gt;BF73))+(SUMPRODUCT(--(calc!$BE$3:$BE$132=TRUE),--(calc!$BF$3:$BF$132=BF73))-1)/2,"")</f>
        <v/>
      </c>
      <c r="BK73" s="5">
        <f>IF(BE73,1+SUMPRODUCT(--(calc!$BE$3:$BE$132=TRUE),--(calc!$BG$3:$BG$132&gt;BG73))+(SUMPRODUCT(--(calc!$BE$3:$BE$132=TRUE),--(calc!$BG$3:$BG$132=BG73))-1)/2,"")</f>
        <v/>
      </c>
      <c r="BL73" s="5">
        <f>IF(BE73,SUMPRODUCT(--(calc!$BE$3:$BE$132=TRUE),--(ROW(calc!$BE$3:$BE$132)&gt;ROW(BE73)),--(((calc!$BJ$3:$BJ$132&gt;BJ73)*(calc!$BK$3:$BK$132&gt;BK73)+(calc!$BJ$3:$BJ$132&lt;BJ73)*(calc!$BK$3:$BK$132&lt;BK73))&gt;0))-SUMPRODUCT(--(calc!$BE$3:$BE$132=TRUE),--(ROW(calc!$BE$3:$BE$132)&gt;ROW(BE73)),--(((calc!$BJ$3:$BJ$132&gt;BJ73)*(calc!$BK$3:$BK$132&lt;BK73)+(calc!$BJ$3:$BJ$132&lt;BJ73)*(calc!$BK$3:$BK$132&gt;BK73))&gt;0)),0)</f>
        <v/>
      </c>
      <c r="BM73" s="5">
        <f>IF(mos_metrics!M72="","",mos_metrics!M72)</f>
        <v/>
      </c>
      <c r="BN73" s="2">
        <f>AND($J73,ISNUMBER(BM73),correlation!$I$32=1)</f>
        <v/>
      </c>
      <c r="BO73" s="5">
        <f>IF(BN73,$F73,"")</f>
        <v/>
      </c>
      <c r="BP73" s="5">
        <f>IF(BN73,BM73*correlation!$J$32,"")</f>
        <v/>
      </c>
      <c r="BQ73" s="5">
        <f>IF(AND(BN73,ISNUMBER(correlation!$F$32)),BP73*correlation!$F$32+correlation!$G$32,"")</f>
        <v/>
      </c>
      <c r="BR73" s="5">
        <f>IF(AND(BN73,ISNUMBER(BQ73)),(BO73-BQ73)^2,"")</f>
        <v/>
      </c>
      <c r="BS73" s="5">
        <f>IF(BN73,1+SUMPRODUCT(--(calc!$BN$3:$BN$132=TRUE),--(calc!$BO$3:$BO$132&gt;BO73))+(SUMPRODUCT(--(calc!$BN$3:$BN$132=TRUE),--(calc!$BO$3:$BO$132=BO73))-1)/2,"")</f>
        <v/>
      </c>
      <c r="BT73" s="5">
        <f>IF(BN73,1+SUMPRODUCT(--(calc!$BN$3:$BN$132=TRUE),--(calc!$BP$3:$BP$132&gt;BP73))+(SUMPRODUCT(--(calc!$BN$3:$BN$132=TRUE),--(calc!$BP$3:$BP$132=BP73))-1)/2,"")</f>
        <v/>
      </c>
      <c r="BU73" s="5">
        <f>IF(BN73,SUMPRODUCT(--(calc!$BN$3:$BN$132=TRUE),--(ROW(calc!$BN$3:$BN$132)&gt;ROW(BN73)),--(((calc!$BS$3:$BS$132&gt;BS73)*(calc!$BT$3:$BT$132&gt;BT73)+(calc!$BS$3:$BS$132&lt;BS73)*(calc!$BT$3:$BT$132&lt;BT73))&gt;0))-SUMPRODUCT(--(calc!$BN$3:$BN$132=TRUE),--(ROW(calc!$BN$3:$BN$132)&gt;ROW(BN73)),--(((calc!$BS$3:$BS$132&gt;BS73)*(calc!$BT$3:$BT$132&lt;BT73)+(calc!$BS$3:$BS$132&lt;BS73)*(calc!$BT$3:$BT$132&gt;BT73))&gt;0)),0)</f>
        <v/>
      </c>
    </row>
    <row r="74">
      <c r="A74" s="2">
        <f>mos_metrics!A73</f>
        <v/>
      </c>
      <c r="B74" s="2">
        <f>mos_metrics!B73</f>
        <v/>
      </c>
      <c r="C74" s="2">
        <f>mos_metrics!C73</f>
        <v/>
      </c>
      <c r="D74" s="2">
        <f>mos_metrics!D73</f>
        <v/>
      </c>
      <c r="E74" s="2">
        <f>mos_metrics!E73</f>
        <v/>
      </c>
      <c r="F74" s="2">
        <f>mos_metrics!F73</f>
        <v/>
      </c>
      <c r="G74" s="2">
        <f>IF($B74="","",IFERROR(VLOOKUP($B74,correlation!$A$2:$B$12,2,FALSE),1))</f>
        <v/>
      </c>
      <c r="H74" s="2">
        <f>IF($E74="","",IFERROR(VLOOKUP($E74,correlation!$D$2:$E$8,2,FALSE),1))</f>
        <v/>
      </c>
      <c r="I74" s="2">
        <f>ISNUMBER($F74)</f>
        <v/>
      </c>
      <c r="J74" s="2">
        <f>AND($G74=1,$H74=1,$I74)</f>
        <v/>
      </c>
      <c r="K74" s="5">
        <f>IF(mos_metrics!G73="","",mos_metrics!G73)</f>
        <v/>
      </c>
      <c r="L74" s="2">
        <f>AND($J74,ISNUMBER(K74),correlation!$I$26=1)</f>
        <v/>
      </c>
      <c r="M74" s="5">
        <f>IF(L74,$F74,"")</f>
        <v/>
      </c>
      <c r="N74" s="5">
        <f>IF(L74,K74*correlation!$J$26,"")</f>
        <v/>
      </c>
      <c r="O74" s="5">
        <f>IF(AND(L74,ISNUMBER(correlation!$F$26)),N74*correlation!$F$26+correlation!$G$26,"")</f>
        <v/>
      </c>
      <c r="P74" s="5">
        <f>IF(AND(L74,ISNUMBER(O74)),(M74-O74)^2,"")</f>
        <v/>
      </c>
      <c r="Q74" s="5">
        <f>IF(L74,1+SUMPRODUCT(--(calc!$L$3:$L$132=TRUE),--(calc!$M$3:$M$132&gt;M74))+(SUMPRODUCT(--(calc!$L$3:$L$132=TRUE),--(calc!$M$3:$M$132=M74))-1)/2,"")</f>
        <v/>
      </c>
      <c r="R74" s="5">
        <f>IF(L74,1+SUMPRODUCT(--(calc!$L$3:$L$132=TRUE),--(calc!$N$3:$N$132&gt;N74))+(SUMPRODUCT(--(calc!$L$3:$L$132=TRUE),--(calc!$N$3:$N$132=N74))-1)/2,"")</f>
        <v/>
      </c>
      <c r="S74" s="5">
        <f>IF(L74,SUMPRODUCT(--(calc!$L$3:$L$132=TRUE),--(ROW(calc!$L$3:$L$132)&gt;ROW(L74)),--(((calc!$Q$3:$Q$132&gt;Q74)*(calc!$R$3:$R$132&gt;R74)+(calc!$Q$3:$Q$132&lt;Q74)*(calc!$R$3:$R$132&lt;R74))&gt;0))-SUMPRODUCT(--(calc!$L$3:$L$132=TRUE),--(ROW(calc!$L$3:$L$132)&gt;ROW(L74)),--(((calc!$Q$3:$Q$132&gt;Q74)*(calc!$R$3:$R$132&lt;R74)+(calc!$Q$3:$Q$132&lt;Q74)*(calc!$R$3:$R$132&gt;R74))&gt;0)),0)</f>
        <v/>
      </c>
      <c r="T74" s="5">
        <f>IF(mos_metrics!H73="","",mos_metrics!H73)</f>
        <v/>
      </c>
      <c r="U74" s="2">
        <f>AND($J74,ISNUMBER(T74),correlation!$I$27=1)</f>
        <v/>
      </c>
      <c r="V74" s="5">
        <f>IF(U74,$F74,"")</f>
        <v/>
      </c>
      <c r="W74" s="5">
        <f>IF(U74,T74*correlation!$J$27,"")</f>
        <v/>
      </c>
      <c r="X74" s="5">
        <f>IF(AND(U74,ISNUMBER(correlation!$F$27)),W74*correlation!$F$27+correlation!$G$27,"")</f>
        <v/>
      </c>
      <c r="Y74" s="5">
        <f>IF(AND(U74,ISNUMBER(X74)),(V74-X74)^2,"")</f>
        <v/>
      </c>
      <c r="Z74" s="5">
        <f>IF(U74,1+SUMPRODUCT(--(calc!$U$3:$U$132=TRUE),--(calc!$V$3:$V$132&gt;V74))+(SUMPRODUCT(--(calc!$U$3:$U$132=TRUE),--(calc!$V$3:$V$132=V74))-1)/2,"")</f>
        <v/>
      </c>
      <c r="AA74" s="5">
        <f>IF(U74,1+SUMPRODUCT(--(calc!$U$3:$U$132=TRUE),--(calc!$W$3:$W$132&gt;W74))+(SUMPRODUCT(--(calc!$U$3:$U$132=TRUE),--(calc!$W$3:$W$132=W74))-1)/2,"")</f>
        <v/>
      </c>
      <c r="AB74" s="5">
        <f>IF(U74,SUMPRODUCT(--(calc!$U$3:$U$132=TRUE),--(ROW(calc!$U$3:$U$132)&gt;ROW(U74)),--(((calc!$Z$3:$Z$132&gt;Z74)*(calc!$AA$3:$AA$132&gt;AA74)+(calc!$Z$3:$Z$132&lt;Z74)*(calc!$AA$3:$AA$132&lt;AA74))&gt;0))-SUMPRODUCT(--(calc!$U$3:$U$132=TRUE),--(ROW(calc!$U$3:$U$132)&gt;ROW(U74)),--(((calc!$Z$3:$Z$132&gt;Z74)*(calc!$AA$3:$AA$132&lt;AA74)+(calc!$Z$3:$Z$132&lt;Z74)*(calc!$AA$3:$AA$132&gt;AA74))&gt;0)),0)</f>
        <v/>
      </c>
      <c r="AC74" s="5">
        <f>IF(mos_metrics!I73="","",mos_metrics!I73)</f>
        <v/>
      </c>
      <c r="AD74" s="2">
        <f>AND($J74,ISNUMBER(AC74),correlation!$I$28=1)</f>
        <v/>
      </c>
      <c r="AE74" s="5">
        <f>IF(AD74,$F74,"")</f>
        <v/>
      </c>
      <c r="AF74" s="5">
        <f>IF(AD74,AC74*correlation!$J$28,"")</f>
        <v/>
      </c>
      <c r="AG74" s="5">
        <f>IF(AND(AD74,ISNUMBER(correlation!$F$28)),AF74*correlation!$F$28+correlation!$G$28,"")</f>
        <v/>
      </c>
      <c r="AH74" s="5">
        <f>IF(AND(AD74,ISNUMBER(AG74)),(AE74-AG74)^2,"")</f>
        <v/>
      </c>
      <c r="AI74" s="5">
        <f>IF(AD74,1+SUMPRODUCT(--(calc!$AD$3:$AD$132=TRUE),--(calc!$AE$3:$AE$132&gt;AE74))+(SUMPRODUCT(--(calc!$AD$3:$AD$132=TRUE),--(calc!$AE$3:$AE$132=AE74))-1)/2,"")</f>
        <v/>
      </c>
      <c r="AJ74" s="5">
        <f>IF(AD74,1+SUMPRODUCT(--(calc!$AD$3:$AD$132=TRUE),--(calc!$AF$3:$AF$132&gt;AF74))+(SUMPRODUCT(--(calc!$AD$3:$AD$132=TRUE),--(calc!$AF$3:$AF$132=AF74))-1)/2,"")</f>
        <v/>
      </c>
      <c r="AK74" s="5">
        <f>IF(AD74,SUMPRODUCT(--(calc!$AD$3:$AD$132=TRUE),--(ROW(calc!$AD$3:$AD$132)&gt;ROW(AD74)),--(((calc!$AI$3:$AI$132&gt;AI74)*(calc!$AJ$3:$AJ$132&gt;AJ74)+(calc!$AI$3:$AI$132&lt;AI74)*(calc!$AJ$3:$AJ$132&lt;AJ74))&gt;0))-SUMPRODUCT(--(calc!$AD$3:$AD$132=TRUE),--(ROW(calc!$AD$3:$AD$132)&gt;ROW(AD74)),--(((calc!$AI$3:$AI$132&gt;AI74)*(calc!$AJ$3:$AJ$132&lt;AJ74)+(calc!$AI$3:$AI$132&lt;AI74)*(calc!$AJ$3:$AJ$132&gt;AJ74))&gt;0)),0)</f>
        <v/>
      </c>
      <c r="AL74" s="5">
        <f>IF(mos_metrics!J73="","",mos_metrics!J73)</f>
        <v/>
      </c>
      <c r="AM74" s="2">
        <f>AND($J74,ISNUMBER(AL74),correlation!$I$29=1)</f>
        <v/>
      </c>
      <c r="AN74" s="5">
        <f>IF(AM74,$F74,"")</f>
        <v/>
      </c>
      <c r="AO74" s="5">
        <f>IF(AM74,AL74*correlation!$J$29,"")</f>
        <v/>
      </c>
      <c r="AP74" s="5">
        <f>IF(AND(AM74,ISNUMBER(correlation!$F$29)),AO74*correlation!$F$29+correlation!$G$29,"")</f>
        <v/>
      </c>
      <c r="AQ74" s="5">
        <f>IF(AND(AM74,ISNUMBER(AP74)),(AN74-AP74)^2,"")</f>
        <v/>
      </c>
      <c r="AR74" s="5">
        <f>IF(AM74,1+SUMPRODUCT(--(calc!$AM$3:$AM$132=TRUE),--(calc!$AN$3:$AN$132&gt;AN74))+(SUMPRODUCT(--(calc!$AM$3:$AM$132=TRUE),--(calc!$AN$3:$AN$132=AN74))-1)/2,"")</f>
        <v/>
      </c>
      <c r="AS74" s="5">
        <f>IF(AM74,1+SUMPRODUCT(--(calc!$AM$3:$AM$132=TRUE),--(calc!$AO$3:$AO$132&gt;AO74))+(SUMPRODUCT(--(calc!$AM$3:$AM$132=TRUE),--(calc!$AO$3:$AO$132=AO74))-1)/2,"")</f>
        <v/>
      </c>
      <c r="AT74" s="5">
        <f>IF(AM74,SUMPRODUCT(--(calc!$AM$3:$AM$132=TRUE),--(ROW(calc!$AM$3:$AM$132)&gt;ROW(AM74)),--(((calc!$AR$3:$AR$132&gt;AR74)*(calc!$AS$3:$AS$132&gt;AS74)+(calc!$AR$3:$AR$132&lt;AR74)*(calc!$AS$3:$AS$132&lt;AS74))&gt;0))-SUMPRODUCT(--(calc!$AM$3:$AM$132=TRUE),--(ROW(calc!$AM$3:$AM$132)&gt;ROW(AM74)),--(((calc!$AR$3:$AR$132&gt;AR74)*(calc!$AS$3:$AS$132&lt;AS74)+(calc!$AR$3:$AR$132&lt;AR74)*(calc!$AS$3:$AS$132&gt;AS74))&gt;0)),0)</f>
        <v/>
      </c>
      <c r="AU74" s="5">
        <f>IF(mos_metrics!K73="","",mos_metrics!K73)</f>
        <v/>
      </c>
      <c r="AV74" s="2">
        <f>AND($J74,ISNUMBER(AU74),correlation!$I$30=1)</f>
        <v/>
      </c>
      <c r="AW74" s="5">
        <f>IF(AV74,$F74,"")</f>
        <v/>
      </c>
      <c r="AX74" s="5">
        <f>IF(AV74,AU74*correlation!$J$30,"")</f>
        <v/>
      </c>
      <c r="AY74" s="5">
        <f>IF(AND(AV74,ISNUMBER(correlation!$F$30)),AX74*correlation!$F$30+correlation!$G$30,"")</f>
        <v/>
      </c>
      <c r="AZ74" s="5">
        <f>IF(AND(AV74,ISNUMBER(AY74)),(AW74-AY74)^2,"")</f>
        <v/>
      </c>
      <c r="BA74" s="5">
        <f>IF(AV74,1+SUMPRODUCT(--(calc!$AV$3:$AV$132=TRUE),--(calc!$AW$3:$AW$132&gt;AW74))+(SUMPRODUCT(--(calc!$AV$3:$AV$132=TRUE),--(calc!$AW$3:$AW$132=AW74))-1)/2,"")</f>
        <v/>
      </c>
      <c r="BB74" s="5">
        <f>IF(AV74,1+SUMPRODUCT(--(calc!$AV$3:$AV$132=TRUE),--(calc!$AX$3:$AX$132&gt;AX74))+(SUMPRODUCT(--(calc!$AV$3:$AV$132=TRUE),--(calc!$AX$3:$AX$132=AX74))-1)/2,"")</f>
        <v/>
      </c>
      <c r="BC74" s="5">
        <f>IF(AV74,SUMPRODUCT(--(calc!$AV$3:$AV$132=TRUE),--(ROW(calc!$AV$3:$AV$132)&gt;ROW(AV74)),--(((calc!$BA$3:$BA$132&gt;BA74)*(calc!$BB$3:$BB$132&gt;BB74)+(calc!$BA$3:$BA$132&lt;BA74)*(calc!$BB$3:$BB$132&lt;BB74))&gt;0))-SUMPRODUCT(--(calc!$AV$3:$AV$132=TRUE),--(ROW(calc!$AV$3:$AV$132)&gt;ROW(AV74)),--(((calc!$BA$3:$BA$132&gt;BA74)*(calc!$BB$3:$BB$132&lt;BB74)+(calc!$BA$3:$BA$132&lt;BA74)*(calc!$BB$3:$BB$132&gt;BB74))&gt;0)),0)</f>
        <v/>
      </c>
      <c r="BD74" s="5">
        <f>IF(mos_metrics!L73="","",mos_metrics!L73)</f>
        <v/>
      </c>
      <c r="BE74" s="2">
        <f>AND($J74,ISNUMBER(BD74),correlation!$I$31=1)</f>
        <v/>
      </c>
      <c r="BF74" s="5">
        <f>IF(BE74,$F74,"")</f>
        <v/>
      </c>
      <c r="BG74" s="5">
        <f>IF(BE74,BD74*correlation!$J$31,"")</f>
        <v/>
      </c>
      <c r="BH74" s="5">
        <f>IF(AND(BE74,ISNUMBER(correlation!$F$31)),BG74*correlation!$F$31+correlation!$G$31,"")</f>
        <v/>
      </c>
      <c r="BI74" s="5">
        <f>IF(AND(BE74,ISNUMBER(BH74)),(BF74-BH74)^2,"")</f>
        <v/>
      </c>
      <c r="BJ74" s="5">
        <f>IF(BE74,1+SUMPRODUCT(--(calc!$BE$3:$BE$132=TRUE),--(calc!$BF$3:$BF$132&gt;BF74))+(SUMPRODUCT(--(calc!$BE$3:$BE$132=TRUE),--(calc!$BF$3:$BF$132=BF74))-1)/2,"")</f>
        <v/>
      </c>
      <c r="BK74" s="5">
        <f>IF(BE74,1+SUMPRODUCT(--(calc!$BE$3:$BE$132=TRUE),--(calc!$BG$3:$BG$132&gt;BG74))+(SUMPRODUCT(--(calc!$BE$3:$BE$132=TRUE),--(calc!$BG$3:$BG$132=BG74))-1)/2,"")</f>
        <v/>
      </c>
      <c r="BL74" s="5">
        <f>IF(BE74,SUMPRODUCT(--(calc!$BE$3:$BE$132=TRUE),--(ROW(calc!$BE$3:$BE$132)&gt;ROW(BE74)),--(((calc!$BJ$3:$BJ$132&gt;BJ74)*(calc!$BK$3:$BK$132&gt;BK74)+(calc!$BJ$3:$BJ$132&lt;BJ74)*(calc!$BK$3:$BK$132&lt;BK74))&gt;0))-SUMPRODUCT(--(calc!$BE$3:$BE$132=TRUE),--(ROW(calc!$BE$3:$BE$132)&gt;ROW(BE74)),--(((calc!$BJ$3:$BJ$132&gt;BJ74)*(calc!$BK$3:$BK$132&lt;BK74)+(calc!$BJ$3:$BJ$132&lt;BJ74)*(calc!$BK$3:$BK$132&gt;BK74))&gt;0)),0)</f>
        <v/>
      </c>
      <c r="BM74" s="5">
        <f>IF(mos_metrics!M73="","",mos_metrics!M73)</f>
        <v/>
      </c>
      <c r="BN74" s="2">
        <f>AND($J74,ISNUMBER(BM74),correlation!$I$32=1)</f>
        <v/>
      </c>
      <c r="BO74" s="5">
        <f>IF(BN74,$F74,"")</f>
        <v/>
      </c>
      <c r="BP74" s="5">
        <f>IF(BN74,BM74*correlation!$J$32,"")</f>
        <v/>
      </c>
      <c r="BQ74" s="5">
        <f>IF(AND(BN74,ISNUMBER(correlation!$F$32)),BP74*correlation!$F$32+correlation!$G$32,"")</f>
        <v/>
      </c>
      <c r="BR74" s="5">
        <f>IF(AND(BN74,ISNUMBER(BQ74)),(BO74-BQ74)^2,"")</f>
        <v/>
      </c>
      <c r="BS74" s="5">
        <f>IF(BN74,1+SUMPRODUCT(--(calc!$BN$3:$BN$132=TRUE),--(calc!$BO$3:$BO$132&gt;BO74))+(SUMPRODUCT(--(calc!$BN$3:$BN$132=TRUE),--(calc!$BO$3:$BO$132=BO74))-1)/2,"")</f>
        <v/>
      </c>
      <c r="BT74" s="5">
        <f>IF(BN74,1+SUMPRODUCT(--(calc!$BN$3:$BN$132=TRUE),--(calc!$BP$3:$BP$132&gt;BP74))+(SUMPRODUCT(--(calc!$BN$3:$BN$132=TRUE),--(calc!$BP$3:$BP$132=BP74))-1)/2,"")</f>
        <v/>
      </c>
      <c r="BU74" s="5">
        <f>IF(BN74,SUMPRODUCT(--(calc!$BN$3:$BN$132=TRUE),--(ROW(calc!$BN$3:$BN$132)&gt;ROW(BN74)),--(((calc!$BS$3:$BS$132&gt;BS74)*(calc!$BT$3:$BT$132&gt;BT74)+(calc!$BS$3:$BS$132&lt;BS74)*(calc!$BT$3:$BT$132&lt;BT74))&gt;0))-SUMPRODUCT(--(calc!$BN$3:$BN$132=TRUE),--(ROW(calc!$BN$3:$BN$132)&gt;ROW(BN74)),--(((calc!$BS$3:$BS$132&gt;BS74)*(calc!$BT$3:$BT$132&lt;BT74)+(calc!$BS$3:$BS$132&lt;BS74)*(calc!$BT$3:$BT$132&gt;BT74))&gt;0)),0)</f>
        <v/>
      </c>
    </row>
    <row r="75">
      <c r="A75" s="2">
        <f>mos_metrics!A74</f>
        <v/>
      </c>
      <c r="B75" s="2">
        <f>mos_metrics!B74</f>
        <v/>
      </c>
      <c r="C75" s="2">
        <f>mos_metrics!C74</f>
        <v/>
      </c>
      <c r="D75" s="2">
        <f>mos_metrics!D74</f>
        <v/>
      </c>
      <c r="E75" s="2">
        <f>mos_metrics!E74</f>
        <v/>
      </c>
      <c r="F75" s="2">
        <f>mos_metrics!F74</f>
        <v/>
      </c>
      <c r="G75" s="2">
        <f>IF($B75="","",IFERROR(VLOOKUP($B75,correlation!$A$2:$B$12,2,FALSE),1))</f>
        <v/>
      </c>
      <c r="H75" s="2">
        <f>IF($E75="","",IFERROR(VLOOKUP($E75,correlation!$D$2:$E$8,2,FALSE),1))</f>
        <v/>
      </c>
      <c r="I75" s="2">
        <f>ISNUMBER($F75)</f>
        <v/>
      </c>
      <c r="J75" s="2">
        <f>AND($G75=1,$H75=1,$I75)</f>
        <v/>
      </c>
      <c r="K75" s="5">
        <f>IF(mos_metrics!G74="","",mos_metrics!G74)</f>
        <v/>
      </c>
      <c r="L75" s="2">
        <f>AND($J75,ISNUMBER(K75),correlation!$I$26=1)</f>
        <v/>
      </c>
      <c r="M75" s="5">
        <f>IF(L75,$F75,"")</f>
        <v/>
      </c>
      <c r="N75" s="5">
        <f>IF(L75,K75*correlation!$J$26,"")</f>
        <v/>
      </c>
      <c r="O75" s="5">
        <f>IF(AND(L75,ISNUMBER(correlation!$F$26)),N75*correlation!$F$26+correlation!$G$26,"")</f>
        <v/>
      </c>
      <c r="P75" s="5">
        <f>IF(AND(L75,ISNUMBER(O75)),(M75-O75)^2,"")</f>
        <v/>
      </c>
      <c r="Q75" s="5">
        <f>IF(L75,1+SUMPRODUCT(--(calc!$L$3:$L$132=TRUE),--(calc!$M$3:$M$132&gt;M75))+(SUMPRODUCT(--(calc!$L$3:$L$132=TRUE),--(calc!$M$3:$M$132=M75))-1)/2,"")</f>
        <v/>
      </c>
      <c r="R75" s="5">
        <f>IF(L75,1+SUMPRODUCT(--(calc!$L$3:$L$132=TRUE),--(calc!$N$3:$N$132&gt;N75))+(SUMPRODUCT(--(calc!$L$3:$L$132=TRUE),--(calc!$N$3:$N$132=N75))-1)/2,"")</f>
        <v/>
      </c>
      <c r="S75" s="5">
        <f>IF(L75,SUMPRODUCT(--(calc!$L$3:$L$132=TRUE),--(ROW(calc!$L$3:$L$132)&gt;ROW(L75)),--(((calc!$Q$3:$Q$132&gt;Q75)*(calc!$R$3:$R$132&gt;R75)+(calc!$Q$3:$Q$132&lt;Q75)*(calc!$R$3:$R$132&lt;R75))&gt;0))-SUMPRODUCT(--(calc!$L$3:$L$132=TRUE),--(ROW(calc!$L$3:$L$132)&gt;ROW(L75)),--(((calc!$Q$3:$Q$132&gt;Q75)*(calc!$R$3:$R$132&lt;R75)+(calc!$Q$3:$Q$132&lt;Q75)*(calc!$R$3:$R$132&gt;R75))&gt;0)),0)</f>
        <v/>
      </c>
      <c r="T75" s="5">
        <f>IF(mos_metrics!H74="","",mos_metrics!H74)</f>
        <v/>
      </c>
      <c r="U75" s="2">
        <f>AND($J75,ISNUMBER(T75),correlation!$I$27=1)</f>
        <v/>
      </c>
      <c r="V75" s="5">
        <f>IF(U75,$F75,"")</f>
        <v/>
      </c>
      <c r="W75" s="5">
        <f>IF(U75,T75*correlation!$J$27,"")</f>
        <v/>
      </c>
      <c r="X75" s="5">
        <f>IF(AND(U75,ISNUMBER(correlation!$F$27)),W75*correlation!$F$27+correlation!$G$27,"")</f>
        <v/>
      </c>
      <c r="Y75" s="5">
        <f>IF(AND(U75,ISNUMBER(X75)),(V75-X75)^2,"")</f>
        <v/>
      </c>
      <c r="Z75" s="5">
        <f>IF(U75,1+SUMPRODUCT(--(calc!$U$3:$U$132=TRUE),--(calc!$V$3:$V$132&gt;V75))+(SUMPRODUCT(--(calc!$U$3:$U$132=TRUE),--(calc!$V$3:$V$132=V75))-1)/2,"")</f>
        <v/>
      </c>
      <c r="AA75" s="5">
        <f>IF(U75,1+SUMPRODUCT(--(calc!$U$3:$U$132=TRUE),--(calc!$W$3:$W$132&gt;W75))+(SUMPRODUCT(--(calc!$U$3:$U$132=TRUE),--(calc!$W$3:$W$132=W75))-1)/2,"")</f>
        <v/>
      </c>
      <c r="AB75" s="5">
        <f>IF(U75,SUMPRODUCT(--(calc!$U$3:$U$132=TRUE),--(ROW(calc!$U$3:$U$132)&gt;ROW(U75)),--(((calc!$Z$3:$Z$132&gt;Z75)*(calc!$AA$3:$AA$132&gt;AA75)+(calc!$Z$3:$Z$132&lt;Z75)*(calc!$AA$3:$AA$132&lt;AA75))&gt;0))-SUMPRODUCT(--(calc!$U$3:$U$132=TRUE),--(ROW(calc!$U$3:$U$132)&gt;ROW(U75)),--(((calc!$Z$3:$Z$132&gt;Z75)*(calc!$AA$3:$AA$132&lt;AA75)+(calc!$Z$3:$Z$132&lt;Z75)*(calc!$AA$3:$AA$132&gt;AA75))&gt;0)),0)</f>
        <v/>
      </c>
      <c r="AC75" s="5">
        <f>IF(mos_metrics!I74="","",mos_metrics!I74)</f>
        <v/>
      </c>
      <c r="AD75" s="2">
        <f>AND($J75,ISNUMBER(AC75),correlation!$I$28=1)</f>
        <v/>
      </c>
      <c r="AE75" s="5">
        <f>IF(AD75,$F75,"")</f>
        <v/>
      </c>
      <c r="AF75" s="5">
        <f>IF(AD75,AC75*correlation!$J$28,"")</f>
        <v/>
      </c>
      <c r="AG75" s="5">
        <f>IF(AND(AD75,ISNUMBER(correlation!$F$28)),AF75*correlation!$F$28+correlation!$G$28,"")</f>
        <v/>
      </c>
      <c r="AH75" s="5">
        <f>IF(AND(AD75,ISNUMBER(AG75)),(AE75-AG75)^2,"")</f>
        <v/>
      </c>
      <c r="AI75" s="5">
        <f>IF(AD75,1+SUMPRODUCT(--(calc!$AD$3:$AD$132=TRUE),--(calc!$AE$3:$AE$132&gt;AE75))+(SUMPRODUCT(--(calc!$AD$3:$AD$132=TRUE),--(calc!$AE$3:$AE$132=AE75))-1)/2,"")</f>
        <v/>
      </c>
      <c r="AJ75" s="5">
        <f>IF(AD75,1+SUMPRODUCT(--(calc!$AD$3:$AD$132=TRUE),--(calc!$AF$3:$AF$132&gt;AF75))+(SUMPRODUCT(--(calc!$AD$3:$AD$132=TRUE),--(calc!$AF$3:$AF$132=AF75))-1)/2,"")</f>
        <v/>
      </c>
      <c r="AK75" s="5">
        <f>IF(AD75,SUMPRODUCT(--(calc!$AD$3:$AD$132=TRUE),--(ROW(calc!$AD$3:$AD$132)&gt;ROW(AD75)),--(((calc!$AI$3:$AI$132&gt;AI75)*(calc!$AJ$3:$AJ$132&gt;AJ75)+(calc!$AI$3:$AI$132&lt;AI75)*(calc!$AJ$3:$AJ$132&lt;AJ75))&gt;0))-SUMPRODUCT(--(calc!$AD$3:$AD$132=TRUE),--(ROW(calc!$AD$3:$AD$132)&gt;ROW(AD75)),--(((calc!$AI$3:$AI$132&gt;AI75)*(calc!$AJ$3:$AJ$132&lt;AJ75)+(calc!$AI$3:$AI$132&lt;AI75)*(calc!$AJ$3:$AJ$132&gt;AJ75))&gt;0)),0)</f>
        <v/>
      </c>
      <c r="AL75" s="5">
        <f>IF(mos_metrics!J74="","",mos_metrics!J74)</f>
        <v/>
      </c>
      <c r="AM75" s="2">
        <f>AND($J75,ISNUMBER(AL75),correlation!$I$29=1)</f>
        <v/>
      </c>
      <c r="AN75" s="5">
        <f>IF(AM75,$F75,"")</f>
        <v/>
      </c>
      <c r="AO75" s="5">
        <f>IF(AM75,AL75*correlation!$J$29,"")</f>
        <v/>
      </c>
      <c r="AP75" s="5">
        <f>IF(AND(AM75,ISNUMBER(correlation!$F$29)),AO75*correlation!$F$29+correlation!$G$29,"")</f>
        <v/>
      </c>
      <c r="AQ75" s="5">
        <f>IF(AND(AM75,ISNUMBER(AP75)),(AN75-AP75)^2,"")</f>
        <v/>
      </c>
      <c r="AR75" s="5">
        <f>IF(AM75,1+SUMPRODUCT(--(calc!$AM$3:$AM$132=TRUE),--(calc!$AN$3:$AN$132&gt;AN75))+(SUMPRODUCT(--(calc!$AM$3:$AM$132=TRUE),--(calc!$AN$3:$AN$132=AN75))-1)/2,"")</f>
        <v/>
      </c>
      <c r="AS75" s="5">
        <f>IF(AM75,1+SUMPRODUCT(--(calc!$AM$3:$AM$132=TRUE),--(calc!$AO$3:$AO$132&gt;AO75))+(SUMPRODUCT(--(calc!$AM$3:$AM$132=TRUE),--(calc!$AO$3:$AO$132=AO75))-1)/2,"")</f>
        <v/>
      </c>
      <c r="AT75" s="5">
        <f>IF(AM75,SUMPRODUCT(--(calc!$AM$3:$AM$132=TRUE),--(ROW(calc!$AM$3:$AM$132)&gt;ROW(AM75)),--(((calc!$AR$3:$AR$132&gt;AR75)*(calc!$AS$3:$AS$132&gt;AS75)+(calc!$AR$3:$AR$132&lt;AR75)*(calc!$AS$3:$AS$132&lt;AS75))&gt;0))-SUMPRODUCT(--(calc!$AM$3:$AM$132=TRUE),--(ROW(calc!$AM$3:$AM$132)&gt;ROW(AM75)),--(((calc!$AR$3:$AR$132&gt;AR75)*(calc!$AS$3:$AS$132&lt;AS75)+(calc!$AR$3:$AR$132&lt;AR75)*(calc!$AS$3:$AS$132&gt;AS75))&gt;0)),0)</f>
        <v/>
      </c>
      <c r="AU75" s="5">
        <f>IF(mos_metrics!K74="","",mos_metrics!K74)</f>
        <v/>
      </c>
      <c r="AV75" s="2">
        <f>AND($J75,ISNUMBER(AU75),correlation!$I$30=1)</f>
        <v/>
      </c>
      <c r="AW75" s="5">
        <f>IF(AV75,$F75,"")</f>
        <v/>
      </c>
      <c r="AX75" s="5">
        <f>IF(AV75,AU75*correlation!$J$30,"")</f>
        <v/>
      </c>
      <c r="AY75" s="5">
        <f>IF(AND(AV75,ISNUMBER(correlation!$F$30)),AX75*correlation!$F$30+correlation!$G$30,"")</f>
        <v/>
      </c>
      <c r="AZ75" s="5">
        <f>IF(AND(AV75,ISNUMBER(AY75)),(AW75-AY75)^2,"")</f>
        <v/>
      </c>
      <c r="BA75" s="5">
        <f>IF(AV75,1+SUMPRODUCT(--(calc!$AV$3:$AV$132=TRUE),--(calc!$AW$3:$AW$132&gt;AW75))+(SUMPRODUCT(--(calc!$AV$3:$AV$132=TRUE),--(calc!$AW$3:$AW$132=AW75))-1)/2,"")</f>
        <v/>
      </c>
      <c r="BB75" s="5">
        <f>IF(AV75,1+SUMPRODUCT(--(calc!$AV$3:$AV$132=TRUE),--(calc!$AX$3:$AX$132&gt;AX75))+(SUMPRODUCT(--(calc!$AV$3:$AV$132=TRUE),--(calc!$AX$3:$AX$132=AX75))-1)/2,"")</f>
        <v/>
      </c>
      <c r="BC75" s="5">
        <f>IF(AV75,SUMPRODUCT(--(calc!$AV$3:$AV$132=TRUE),--(ROW(calc!$AV$3:$AV$132)&gt;ROW(AV75)),--(((calc!$BA$3:$BA$132&gt;BA75)*(calc!$BB$3:$BB$132&gt;BB75)+(calc!$BA$3:$BA$132&lt;BA75)*(calc!$BB$3:$BB$132&lt;BB75))&gt;0))-SUMPRODUCT(--(calc!$AV$3:$AV$132=TRUE),--(ROW(calc!$AV$3:$AV$132)&gt;ROW(AV75)),--(((calc!$BA$3:$BA$132&gt;BA75)*(calc!$BB$3:$BB$132&lt;BB75)+(calc!$BA$3:$BA$132&lt;BA75)*(calc!$BB$3:$BB$132&gt;BB75))&gt;0)),0)</f>
        <v/>
      </c>
      <c r="BD75" s="5">
        <f>IF(mos_metrics!L74="","",mos_metrics!L74)</f>
        <v/>
      </c>
      <c r="BE75" s="2">
        <f>AND($J75,ISNUMBER(BD75),correlation!$I$31=1)</f>
        <v/>
      </c>
      <c r="BF75" s="5">
        <f>IF(BE75,$F75,"")</f>
        <v/>
      </c>
      <c r="BG75" s="5">
        <f>IF(BE75,BD75*correlation!$J$31,"")</f>
        <v/>
      </c>
      <c r="BH75" s="5">
        <f>IF(AND(BE75,ISNUMBER(correlation!$F$31)),BG75*correlation!$F$31+correlation!$G$31,"")</f>
        <v/>
      </c>
      <c r="BI75" s="5">
        <f>IF(AND(BE75,ISNUMBER(BH75)),(BF75-BH75)^2,"")</f>
        <v/>
      </c>
      <c r="BJ75" s="5">
        <f>IF(BE75,1+SUMPRODUCT(--(calc!$BE$3:$BE$132=TRUE),--(calc!$BF$3:$BF$132&gt;BF75))+(SUMPRODUCT(--(calc!$BE$3:$BE$132=TRUE),--(calc!$BF$3:$BF$132=BF75))-1)/2,"")</f>
        <v/>
      </c>
      <c r="BK75" s="5">
        <f>IF(BE75,1+SUMPRODUCT(--(calc!$BE$3:$BE$132=TRUE),--(calc!$BG$3:$BG$132&gt;BG75))+(SUMPRODUCT(--(calc!$BE$3:$BE$132=TRUE),--(calc!$BG$3:$BG$132=BG75))-1)/2,"")</f>
        <v/>
      </c>
      <c r="BL75" s="5">
        <f>IF(BE75,SUMPRODUCT(--(calc!$BE$3:$BE$132=TRUE),--(ROW(calc!$BE$3:$BE$132)&gt;ROW(BE75)),--(((calc!$BJ$3:$BJ$132&gt;BJ75)*(calc!$BK$3:$BK$132&gt;BK75)+(calc!$BJ$3:$BJ$132&lt;BJ75)*(calc!$BK$3:$BK$132&lt;BK75))&gt;0))-SUMPRODUCT(--(calc!$BE$3:$BE$132=TRUE),--(ROW(calc!$BE$3:$BE$132)&gt;ROW(BE75)),--(((calc!$BJ$3:$BJ$132&gt;BJ75)*(calc!$BK$3:$BK$132&lt;BK75)+(calc!$BJ$3:$BJ$132&lt;BJ75)*(calc!$BK$3:$BK$132&gt;BK75))&gt;0)),0)</f>
        <v/>
      </c>
      <c r="BM75" s="5">
        <f>IF(mos_metrics!M74="","",mos_metrics!M74)</f>
        <v/>
      </c>
      <c r="BN75" s="2">
        <f>AND($J75,ISNUMBER(BM75),correlation!$I$32=1)</f>
        <v/>
      </c>
      <c r="BO75" s="5">
        <f>IF(BN75,$F75,"")</f>
        <v/>
      </c>
      <c r="BP75" s="5">
        <f>IF(BN75,BM75*correlation!$J$32,"")</f>
        <v/>
      </c>
      <c r="BQ75" s="5">
        <f>IF(AND(BN75,ISNUMBER(correlation!$F$32)),BP75*correlation!$F$32+correlation!$G$32,"")</f>
        <v/>
      </c>
      <c r="BR75" s="5">
        <f>IF(AND(BN75,ISNUMBER(BQ75)),(BO75-BQ75)^2,"")</f>
        <v/>
      </c>
      <c r="BS75" s="5">
        <f>IF(BN75,1+SUMPRODUCT(--(calc!$BN$3:$BN$132=TRUE),--(calc!$BO$3:$BO$132&gt;BO75))+(SUMPRODUCT(--(calc!$BN$3:$BN$132=TRUE),--(calc!$BO$3:$BO$132=BO75))-1)/2,"")</f>
        <v/>
      </c>
      <c r="BT75" s="5">
        <f>IF(BN75,1+SUMPRODUCT(--(calc!$BN$3:$BN$132=TRUE),--(calc!$BP$3:$BP$132&gt;BP75))+(SUMPRODUCT(--(calc!$BN$3:$BN$132=TRUE),--(calc!$BP$3:$BP$132=BP75))-1)/2,"")</f>
        <v/>
      </c>
      <c r="BU75" s="5">
        <f>IF(BN75,SUMPRODUCT(--(calc!$BN$3:$BN$132=TRUE),--(ROW(calc!$BN$3:$BN$132)&gt;ROW(BN75)),--(((calc!$BS$3:$BS$132&gt;BS75)*(calc!$BT$3:$BT$132&gt;BT75)+(calc!$BS$3:$BS$132&lt;BS75)*(calc!$BT$3:$BT$132&lt;BT75))&gt;0))-SUMPRODUCT(--(calc!$BN$3:$BN$132=TRUE),--(ROW(calc!$BN$3:$BN$132)&gt;ROW(BN75)),--(((calc!$BS$3:$BS$132&gt;BS75)*(calc!$BT$3:$BT$132&lt;BT75)+(calc!$BS$3:$BS$132&lt;BS75)*(calc!$BT$3:$BT$132&gt;BT75))&gt;0)),0)</f>
        <v/>
      </c>
    </row>
    <row r="76">
      <c r="A76" s="2">
        <f>mos_metrics!A75</f>
        <v/>
      </c>
      <c r="B76" s="2">
        <f>mos_metrics!B75</f>
        <v/>
      </c>
      <c r="C76" s="2">
        <f>mos_metrics!C75</f>
        <v/>
      </c>
      <c r="D76" s="2">
        <f>mos_metrics!D75</f>
        <v/>
      </c>
      <c r="E76" s="2">
        <f>mos_metrics!E75</f>
        <v/>
      </c>
      <c r="F76" s="2">
        <f>mos_metrics!F75</f>
        <v/>
      </c>
      <c r="G76" s="2">
        <f>IF($B76="","",IFERROR(VLOOKUP($B76,correlation!$A$2:$B$12,2,FALSE),1))</f>
        <v/>
      </c>
      <c r="H76" s="2">
        <f>IF($E76="","",IFERROR(VLOOKUP($E76,correlation!$D$2:$E$8,2,FALSE),1))</f>
        <v/>
      </c>
      <c r="I76" s="2">
        <f>ISNUMBER($F76)</f>
        <v/>
      </c>
      <c r="J76" s="2">
        <f>AND($G76=1,$H76=1,$I76)</f>
        <v/>
      </c>
      <c r="K76" s="5">
        <f>IF(mos_metrics!G75="","",mos_metrics!G75)</f>
        <v/>
      </c>
      <c r="L76" s="2">
        <f>AND($J76,ISNUMBER(K76),correlation!$I$26=1)</f>
        <v/>
      </c>
      <c r="M76" s="5">
        <f>IF(L76,$F76,"")</f>
        <v/>
      </c>
      <c r="N76" s="5">
        <f>IF(L76,K76*correlation!$J$26,"")</f>
        <v/>
      </c>
      <c r="O76" s="5">
        <f>IF(AND(L76,ISNUMBER(correlation!$F$26)),N76*correlation!$F$26+correlation!$G$26,"")</f>
        <v/>
      </c>
      <c r="P76" s="5">
        <f>IF(AND(L76,ISNUMBER(O76)),(M76-O76)^2,"")</f>
        <v/>
      </c>
      <c r="Q76" s="5">
        <f>IF(L76,1+SUMPRODUCT(--(calc!$L$3:$L$132=TRUE),--(calc!$M$3:$M$132&gt;M76))+(SUMPRODUCT(--(calc!$L$3:$L$132=TRUE),--(calc!$M$3:$M$132=M76))-1)/2,"")</f>
        <v/>
      </c>
      <c r="R76" s="5">
        <f>IF(L76,1+SUMPRODUCT(--(calc!$L$3:$L$132=TRUE),--(calc!$N$3:$N$132&gt;N76))+(SUMPRODUCT(--(calc!$L$3:$L$132=TRUE),--(calc!$N$3:$N$132=N76))-1)/2,"")</f>
        <v/>
      </c>
      <c r="S76" s="5">
        <f>IF(L76,SUMPRODUCT(--(calc!$L$3:$L$132=TRUE),--(ROW(calc!$L$3:$L$132)&gt;ROW(L76)),--(((calc!$Q$3:$Q$132&gt;Q76)*(calc!$R$3:$R$132&gt;R76)+(calc!$Q$3:$Q$132&lt;Q76)*(calc!$R$3:$R$132&lt;R76))&gt;0))-SUMPRODUCT(--(calc!$L$3:$L$132=TRUE),--(ROW(calc!$L$3:$L$132)&gt;ROW(L76)),--(((calc!$Q$3:$Q$132&gt;Q76)*(calc!$R$3:$R$132&lt;R76)+(calc!$Q$3:$Q$132&lt;Q76)*(calc!$R$3:$R$132&gt;R76))&gt;0)),0)</f>
        <v/>
      </c>
      <c r="T76" s="5">
        <f>IF(mos_metrics!H75="","",mos_metrics!H75)</f>
        <v/>
      </c>
      <c r="U76" s="2">
        <f>AND($J76,ISNUMBER(T76),correlation!$I$27=1)</f>
        <v/>
      </c>
      <c r="V76" s="5">
        <f>IF(U76,$F76,"")</f>
        <v/>
      </c>
      <c r="W76" s="5">
        <f>IF(U76,T76*correlation!$J$27,"")</f>
        <v/>
      </c>
      <c r="X76" s="5">
        <f>IF(AND(U76,ISNUMBER(correlation!$F$27)),W76*correlation!$F$27+correlation!$G$27,"")</f>
        <v/>
      </c>
      <c r="Y76" s="5">
        <f>IF(AND(U76,ISNUMBER(X76)),(V76-X76)^2,"")</f>
        <v/>
      </c>
      <c r="Z76" s="5">
        <f>IF(U76,1+SUMPRODUCT(--(calc!$U$3:$U$132=TRUE),--(calc!$V$3:$V$132&gt;V76))+(SUMPRODUCT(--(calc!$U$3:$U$132=TRUE),--(calc!$V$3:$V$132=V76))-1)/2,"")</f>
        <v/>
      </c>
      <c r="AA76" s="5">
        <f>IF(U76,1+SUMPRODUCT(--(calc!$U$3:$U$132=TRUE),--(calc!$W$3:$W$132&gt;W76))+(SUMPRODUCT(--(calc!$U$3:$U$132=TRUE),--(calc!$W$3:$W$132=W76))-1)/2,"")</f>
        <v/>
      </c>
      <c r="AB76" s="5">
        <f>IF(U76,SUMPRODUCT(--(calc!$U$3:$U$132=TRUE),--(ROW(calc!$U$3:$U$132)&gt;ROW(U76)),--(((calc!$Z$3:$Z$132&gt;Z76)*(calc!$AA$3:$AA$132&gt;AA76)+(calc!$Z$3:$Z$132&lt;Z76)*(calc!$AA$3:$AA$132&lt;AA76))&gt;0))-SUMPRODUCT(--(calc!$U$3:$U$132=TRUE),--(ROW(calc!$U$3:$U$132)&gt;ROW(U76)),--(((calc!$Z$3:$Z$132&gt;Z76)*(calc!$AA$3:$AA$132&lt;AA76)+(calc!$Z$3:$Z$132&lt;Z76)*(calc!$AA$3:$AA$132&gt;AA76))&gt;0)),0)</f>
        <v/>
      </c>
      <c r="AC76" s="5">
        <f>IF(mos_metrics!I75="","",mos_metrics!I75)</f>
        <v/>
      </c>
      <c r="AD76" s="2">
        <f>AND($J76,ISNUMBER(AC76),correlation!$I$28=1)</f>
        <v/>
      </c>
      <c r="AE76" s="5">
        <f>IF(AD76,$F76,"")</f>
        <v/>
      </c>
      <c r="AF76" s="5">
        <f>IF(AD76,AC76*correlation!$J$28,"")</f>
        <v/>
      </c>
      <c r="AG76" s="5">
        <f>IF(AND(AD76,ISNUMBER(correlation!$F$28)),AF76*correlation!$F$28+correlation!$G$28,"")</f>
        <v/>
      </c>
      <c r="AH76" s="5">
        <f>IF(AND(AD76,ISNUMBER(AG76)),(AE76-AG76)^2,"")</f>
        <v/>
      </c>
      <c r="AI76" s="5">
        <f>IF(AD76,1+SUMPRODUCT(--(calc!$AD$3:$AD$132=TRUE),--(calc!$AE$3:$AE$132&gt;AE76))+(SUMPRODUCT(--(calc!$AD$3:$AD$132=TRUE),--(calc!$AE$3:$AE$132=AE76))-1)/2,"")</f>
        <v/>
      </c>
      <c r="AJ76" s="5">
        <f>IF(AD76,1+SUMPRODUCT(--(calc!$AD$3:$AD$132=TRUE),--(calc!$AF$3:$AF$132&gt;AF76))+(SUMPRODUCT(--(calc!$AD$3:$AD$132=TRUE),--(calc!$AF$3:$AF$132=AF76))-1)/2,"")</f>
        <v/>
      </c>
      <c r="AK76" s="5">
        <f>IF(AD76,SUMPRODUCT(--(calc!$AD$3:$AD$132=TRUE),--(ROW(calc!$AD$3:$AD$132)&gt;ROW(AD76)),--(((calc!$AI$3:$AI$132&gt;AI76)*(calc!$AJ$3:$AJ$132&gt;AJ76)+(calc!$AI$3:$AI$132&lt;AI76)*(calc!$AJ$3:$AJ$132&lt;AJ76))&gt;0))-SUMPRODUCT(--(calc!$AD$3:$AD$132=TRUE),--(ROW(calc!$AD$3:$AD$132)&gt;ROW(AD76)),--(((calc!$AI$3:$AI$132&gt;AI76)*(calc!$AJ$3:$AJ$132&lt;AJ76)+(calc!$AI$3:$AI$132&lt;AI76)*(calc!$AJ$3:$AJ$132&gt;AJ76))&gt;0)),0)</f>
        <v/>
      </c>
      <c r="AL76" s="5">
        <f>IF(mos_metrics!J75="","",mos_metrics!J75)</f>
        <v/>
      </c>
      <c r="AM76" s="2">
        <f>AND($J76,ISNUMBER(AL76),correlation!$I$29=1)</f>
        <v/>
      </c>
      <c r="AN76" s="5">
        <f>IF(AM76,$F76,"")</f>
        <v/>
      </c>
      <c r="AO76" s="5">
        <f>IF(AM76,AL76*correlation!$J$29,"")</f>
        <v/>
      </c>
      <c r="AP76" s="5">
        <f>IF(AND(AM76,ISNUMBER(correlation!$F$29)),AO76*correlation!$F$29+correlation!$G$29,"")</f>
        <v/>
      </c>
      <c r="AQ76" s="5">
        <f>IF(AND(AM76,ISNUMBER(AP76)),(AN76-AP76)^2,"")</f>
        <v/>
      </c>
      <c r="AR76" s="5">
        <f>IF(AM76,1+SUMPRODUCT(--(calc!$AM$3:$AM$132=TRUE),--(calc!$AN$3:$AN$132&gt;AN76))+(SUMPRODUCT(--(calc!$AM$3:$AM$132=TRUE),--(calc!$AN$3:$AN$132=AN76))-1)/2,"")</f>
        <v/>
      </c>
      <c r="AS76" s="5">
        <f>IF(AM76,1+SUMPRODUCT(--(calc!$AM$3:$AM$132=TRUE),--(calc!$AO$3:$AO$132&gt;AO76))+(SUMPRODUCT(--(calc!$AM$3:$AM$132=TRUE),--(calc!$AO$3:$AO$132=AO76))-1)/2,"")</f>
        <v/>
      </c>
      <c r="AT76" s="5">
        <f>IF(AM76,SUMPRODUCT(--(calc!$AM$3:$AM$132=TRUE),--(ROW(calc!$AM$3:$AM$132)&gt;ROW(AM76)),--(((calc!$AR$3:$AR$132&gt;AR76)*(calc!$AS$3:$AS$132&gt;AS76)+(calc!$AR$3:$AR$132&lt;AR76)*(calc!$AS$3:$AS$132&lt;AS76))&gt;0))-SUMPRODUCT(--(calc!$AM$3:$AM$132=TRUE),--(ROW(calc!$AM$3:$AM$132)&gt;ROW(AM76)),--(((calc!$AR$3:$AR$132&gt;AR76)*(calc!$AS$3:$AS$132&lt;AS76)+(calc!$AR$3:$AR$132&lt;AR76)*(calc!$AS$3:$AS$132&gt;AS76))&gt;0)),0)</f>
        <v/>
      </c>
      <c r="AU76" s="5">
        <f>IF(mos_metrics!K75="","",mos_metrics!K75)</f>
        <v/>
      </c>
      <c r="AV76" s="2">
        <f>AND($J76,ISNUMBER(AU76),correlation!$I$30=1)</f>
        <v/>
      </c>
      <c r="AW76" s="5">
        <f>IF(AV76,$F76,"")</f>
        <v/>
      </c>
      <c r="AX76" s="5">
        <f>IF(AV76,AU76*correlation!$J$30,"")</f>
        <v/>
      </c>
      <c r="AY76" s="5">
        <f>IF(AND(AV76,ISNUMBER(correlation!$F$30)),AX76*correlation!$F$30+correlation!$G$30,"")</f>
        <v/>
      </c>
      <c r="AZ76" s="5">
        <f>IF(AND(AV76,ISNUMBER(AY76)),(AW76-AY76)^2,"")</f>
        <v/>
      </c>
      <c r="BA76" s="5">
        <f>IF(AV76,1+SUMPRODUCT(--(calc!$AV$3:$AV$132=TRUE),--(calc!$AW$3:$AW$132&gt;AW76))+(SUMPRODUCT(--(calc!$AV$3:$AV$132=TRUE),--(calc!$AW$3:$AW$132=AW76))-1)/2,"")</f>
        <v/>
      </c>
      <c r="BB76" s="5">
        <f>IF(AV76,1+SUMPRODUCT(--(calc!$AV$3:$AV$132=TRUE),--(calc!$AX$3:$AX$132&gt;AX76))+(SUMPRODUCT(--(calc!$AV$3:$AV$132=TRUE),--(calc!$AX$3:$AX$132=AX76))-1)/2,"")</f>
        <v/>
      </c>
      <c r="BC76" s="5">
        <f>IF(AV76,SUMPRODUCT(--(calc!$AV$3:$AV$132=TRUE),--(ROW(calc!$AV$3:$AV$132)&gt;ROW(AV76)),--(((calc!$BA$3:$BA$132&gt;BA76)*(calc!$BB$3:$BB$132&gt;BB76)+(calc!$BA$3:$BA$132&lt;BA76)*(calc!$BB$3:$BB$132&lt;BB76))&gt;0))-SUMPRODUCT(--(calc!$AV$3:$AV$132=TRUE),--(ROW(calc!$AV$3:$AV$132)&gt;ROW(AV76)),--(((calc!$BA$3:$BA$132&gt;BA76)*(calc!$BB$3:$BB$132&lt;BB76)+(calc!$BA$3:$BA$132&lt;BA76)*(calc!$BB$3:$BB$132&gt;BB76))&gt;0)),0)</f>
        <v/>
      </c>
      <c r="BD76" s="5">
        <f>IF(mos_metrics!L75="","",mos_metrics!L75)</f>
        <v/>
      </c>
      <c r="BE76" s="2">
        <f>AND($J76,ISNUMBER(BD76),correlation!$I$31=1)</f>
        <v/>
      </c>
      <c r="BF76" s="5">
        <f>IF(BE76,$F76,"")</f>
        <v/>
      </c>
      <c r="BG76" s="5">
        <f>IF(BE76,BD76*correlation!$J$31,"")</f>
        <v/>
      </c>
      <c r="BH76" s="5">
        <f>IF(AND(BE76,ISNUMBER(correlation!$F$31)),BG76*correlation!$F$31+correlation!$G$31,"")</f>
        <v/>
      </c>
      <c r="BI76" s="5">
        <f>IF(AND(BE76,ISNUMBER(BH76)),(BF76-BH76)^2,"")</f>
        <v/>
      </c>
      <c r="BJ76" s="5">
        <f>IF(BE76,1+SUMPRODUCT(--(calc!$BE$3:$BE$132=TRUE),--(calc!$BF$3:$BF$132&gt;BF76))+(SUMPRODUCT(--(calc!$BE$3:$BE$132=TRUE),--(calc!$BF$3:$BF$132=BF76))-1)/2,"")</f>
        <v/>
      </c>
      <c r="BK76" s="5">
        <f>IF(BE76,1+SUMPRODUCT(--(calc!$BE$3:$BE$132=TRUE),--(calc!$BG$3:$BG$132&gt;BG76))+(SUMPRODUCT(--(calc!$BE$3:$BE$132=TRUE),--(calc!$BG$3:$BG$132=BG76))-1)/2,"")</f>
        <v/>
      </c>
      <c r="BL76" s="5">
        <f>IF(BE76,SUMPRODUCT(--(calc!$BE$3:$BE$132=TRUE),--(ROW(calc!$BE$3:$BE$132)&gt;ROW(BE76)),--(((calc!$BJ$3:$BJ$132&gt;BJ76)*(calc!$BK$3:$BK$132&gt;BK76)+(calc!$BJ$3:$BJ$132&lt;BJ76)*(calc!$BK$3:$BK$132&lt;BK76))&gt;0))-SUMPRODUCT(--(calc!$BE$3:$BE$132=TRUE),--(ROW(calc!$BE$3:$BE$132)&gt;ROW(BE76)),--(((calc!$BJ$3:$BJ$132&gt;BJ76)*(calc!$BK$3:$BK$132&lt;BK76)+(calc!$BJ$3:$BJ$132&lt;BJ76)*(calc!$BK$3:$BK$132&gt;BK76))&gt;0)),0)</f>
        <v/>
      </c>
      <c r="BM76" s="5">
        <f>IF(mos_metrics!M75="","",mos_metrics!M75)</f>
        <v/>
      </c>
      <c r="BN76" s="2">
        <f>AND($J76,ISNUMBER(BM76),correlation!$I$32=1)</f>
        <v/>
      </c>
      <c r="BO76" s="5">
        <f>IF(BN76,$F76,"")</f>
        <v/>
      </c>
      <c r="BP76" s="5">
        <f>IF(BN76,BM76*correlation!$J$32,"")</f>
        <v/>
      </c>
      <c r="BQ76" s="5">
        <f>IF(AND(BN76,ISNUMBER(correlation!$F$32)),BP76*correlation!$F$32+correlation!$G$32,"")</f>
        <v/>
      </c>
      <c r="BR76" s="5">
        <f>IF(AND(BN76,ISNUMBER(BQ76)),(BO76-BQ76)^2,"")</f>
        <v/>
      </c>
      <c r="BS76" s="5">
        <f>IF(BN76,1+SUMPRODUCT(--(calc!$BN$3:$BN$132=TRUE),--(calc!$BO$3:$BO$132&gt;BO76))+(SUMPRODUCT(--(calc!$BN$3:$BN$132=TRUE),--(calc!$BO$3:$BO$132=BO76))-1)/2,"")</f>
        <v/>
      </c>
      <c r="BT76" s="5">
        <f>IF(BN76,1+SUMPRODUCT(--(calc!$BN$3:$BN$132=TRUE),--(calc!$BP$3:$BP$132&gt;BP76))+(SUMPRODUCT(--(calc!$BN$3:$BN$132=TRUE),--(calc!$BP$3:$BP$132=BP76))-1)/2,"")</f>
        <v/>
      </c>
      <c r="BU76" s="5">
        <f>IF(BN76,SUMPRODUCT(--(calc!$BN$3:$BN$132=TRUE),--(ROW(calc!$BN$3:$BN$132)&gt;ROW(BN76)),--(((calc!$BS$3:$BS$132&gt;BS76)*(calc!$BT$3:$BT$132&gt;BT76)+(calc!$BS$3:$BS$132&lt;BS76)*(calc!$BT$3:$BT$132&lt;BT76))&gt;0))-SUMPRODUCT(--(calc!$BN$3:$BN$132=TRUE),--(ROW(calc!$BN$3:$BN$132)&gt;ROW(BN76)),--(((calc!$BS$3:$BS$132&gt;BS76)*(calc!$BT$3:$BT$132&lt;BT76)+(calc!$BS$3:$BS$132&lt;BS76)*(calc!$BT$3:$BT$132&gt;BT76))&gt;0)),0)</f>
        <v/>
      </c>
    </row>
    <row r="77">
      <c r="A77" s="2">
        <f>mos_metrics!A76</f>
        <v/>
      </c>
      <c r="B77" s="2">
        <f>mos_metrics!B76</f>
        <v/>
      </c>
      <c r="C77" s="2">
        <f>mos_metrics!C76</f>
        <v/>
      </c>
      <c r="D77" s="2">
        <f>mos_metrics!D76</f>
        <v/>
      </c>
      <c r="E77" s="2">
        <f>mos_metrics!E76</f>
        <v/>
      </c>
      <c r="F77" s="2">
        <f>mos_metrics!F76</f>
        <v/>
      </c>
      <c r="G77" s="2">
        <f>IF($B77="","",IFERROR(VLOOKUP($B77,correlation!$A$2:$B$12,2,FALSE),1))</f>
        <v/>
      </c>
      <c r="H77" s="2">
        <f>IF($E77="","",IFERROR(VLOOKUP($E77,correlation!$D$2:$E$8,2,FALSE),1))</f>
        <v/>
      </c>
      <c r="I77" s="2">
        <f>ISNUMBER($F77)</f>
        <v/>
      </c>
      <c r="J77" s="2">
        <f>AND($G77=1,$H77=1,$I77)</f>
        <v/>
      </c>
      <c r="K77" s="5">
        <f>IF(mos_metrics!G76="","",mos_metrics!G76)</f>
        <v/>
      </c>
      <c r="L77" s="2">
        <f>AND($J77,ISNUMBER(K77),correlation!$I$26=1)</f>
        <v/>
      </c>
      <c r="M77" s="5">
        <f>IF(L77,$F77,"")</f>
        <v/>
      </c>
      <c r="N77" s="5">
        <f>IF(L77,K77*correlation!$J$26,"")</f>
        <v/>
      </c>
      <c r="O77" s="5">
        <f>IF(AND(L77,ISNUMBER(correlation!$F$26)),N77*correlation!$F$26+correlation!$G$26,"")</f>
        <v/>
      </c>
      <c r="P77" s="5">
        <f>IF(AND(L77,ISNUMBER(O77)),(M77-O77)^2,"")</f>
        <v/>
      </c>
      <c r="Q77" s="5">
        <f>IF(L77,1+SUMPRODUCT(--(calc!$L$3:$L$132=TRUE),--(calc!$M$3:$M$132&gt;M77))+(SUMPRODUCT(--(calc!$L$3:$L$132=TRUE),--(calc!$M$3:$M$132=M77))-1)/2,"")</f>
        <v/>
      </c>
      <c r="R77" s="5">
        <f>IF(L77,1+SUMPRODUCT(--(calc!$L$3:$L$132=TRUE),--(calc!$N$3:$N$132&gt;N77))+(SUMPRODUCT(--(calc!$L$3:$L$132=TRUE),--(calc!$N$3:$N$132=N77))-1)/2,"")</f>
        <v/>
      </c>
      <c r="S77" s="5">
        <f>IF(L77,SUMPRODUCT(--(calc!$L$3:$L$132=TRUE),--(ROW(calc!$L$3:$L$132)&gt;ROW(L77)),--(((calc!$Q$3:$Q$132&gt;Q77)*(calc!$R$3:$R$132&gt;R77)+(calc!$Q$3:$Q$132&lt;Q77)*(calc!$R$3:$R$132&lt;R77))&gt;0))-SUMPRODUCT(--(calc!$L$3:$L$132=TRUE),--(ROW(calc!$L$3:$L$132)&gt;ROW(L77)),--(((calc!$Q$3:$Q$132&gt;Q77)*(calc!$R$3:$R$132&lt;R77)+(calc!$Q$3:$Q$132&lt;Q77)*(calc!$R$3:$R$132&gt;R77))&gt;0)),0)</f>
        <v/>
      </c>
      <c r="T77" s="5">
        <f>IF(mos_metrics!H76="","",mos_metrics!H76)</f>
        <v/>
      </c>
      <c r="U77" s="2">
        <f>AND($J77,ISNUMBER(T77),correlation!$I$27=1)</f>
        <v/>
      </c>
      <c r="V77" s="5">
        <f>IF(U77,$F77,"")</f>
        <v/>
      </c>
      <c r="W77" s="5">
        <f>IF(U77,T77*correlation!$J$27,"")</f>
        <v/>
      </c>
      <c r="X77" s="5">
        <f>IF(AND(U77,ISNUMBER(correlation!$F$27)),W77*correlation!$F$27+correlation!$G$27,"")</f>
        <v/>
      </c>
      <c r="Y77" s="5">
        <f>IF(AND(U77,ISNUMBER(X77)),(V77-X77)^2,"")</f>
        <v/>
      </c>
      <c r="Z77" s="5">
        <f>IF(U77,1+SUMPRODUCT(--(calc!$U$3:$U$132=TRUE),--(calc!$V$3:$V$132&gt;V77))+(SUMPRODUCT(--(calc!$U$3:$U$132=TRUE),--(calc!$V$3:$V$132=V77))-1)/2,"")</f>
        <v/>
      </c>
      <c r="AA77" s="5">
        <f>IF(U77,1+SUMPRODUCT(--(calc!$U$3:$U$132=TRUE),--(calc!$W$3:$W$132&gt;W77))+(SUMPRODUCT(--(calc!$U$3:$U$132=TRUE),--(calc!$W$3:$W$132=W77))-1)/2,"")</f>
        <v/>
      </c>
      <c r="AB77" s="5">
        <f>IF(U77,SUMPRODUCT(--(calc!$U$3:$U$132=TRUE),--(ROW(calc!$U$3:$U$132)&gt;ROW(U77)),--(((calc!$Z$3:$Z$132&gt;Z77)*(calc!$AA$3:$AA$132&gt;AA77)+(calc!$Z$3:$Z$132&lt;Z77)*(calc!$AA$3:$AA$132&lt;AA77))&gt;0))-SUMPRODUCT(--(calc!$U$3:$U$132=TRUE),--(ROW(calc!$U$3:$U$132)&gt;ROW(U77)),--(((calc!$Z$3:$Z$132&gt;Z77)*(calc!$AA$3:$AA$132&lt;AA77)+(calc!$Z$3:$Z$132&lt;Z77)*(calc!$AA$3:$AA$132&gt;AA77))&gt;0)),0)</f>
        <v/>
      </c>
      <c r="AC77" s="5">
        <f>IF(mos_metrics!I76="","",mos_metrics!I76)</f>
        <v/>
      </c>
      <c r="AD77" s="2">
        <f>AND($J77,ISNUMBER(AC77),correlation!$I$28=1)</f>
        <v/>
      </c>
      <c r="AE77" s="5">
        <f>IF(AD77,$F77,"")</f>
        <v/>
      </c>
      <c r="AF77" s="5">
        <f>IF(AD77,AC77*correlation!$J$28,"")</f>
        <v/>
      </c>
      <c r="AG77" s="5">
        <f>IF(AND(AD77,ISNUMBER(correlation!$F$28)),AF77*correlation!$F$28+correlation!$G$28,"")</f>
        <v/>
      </c>
      <c r="AH77" s="5">
        <f>IF(AND(AD77,ISNUMBER(AG77)),(AE77-AG77)^2,"")</f>
        <v/>
      </c>
      <c r="AI77" s="5">
        <f>IF(AD77,1+SUMPRODUCT(--(calc!$AD$3:$AD$132=TRUE),--(calc!$AE$3:$AE$132&gt;AE77))+(SUMPRODUCT(--(calc!$AD$3:$AD$132=TRUE),--(calc!$AE$3:$AE$132=AE77))-1)/2,"")</f>
        <v/>
      </c>
      <c r="AJ77" s="5">
        <f>IF(AD77,1+SUMPRODUCT(--(calc!$AD$3:$AD$132=TRUE),--(calc!$AF$3:$AF$132&gt;AF77))+(SUMPRODUCT(--(calc!$AD$3:$AD$132=TRUE),--(calc!$AF$3:$AF$132=AF77))-1)/2,"")</f>
        <v/>
      </c>
      <c r="AK77" s="5">
        <f>IF(AD77,SUMPRODUCT(--(calc!$AD$3:$AD$132=TRUE),--(ROW(calc!$AD$3:$AD$132)&gt;ROW(AD77)),--(((calc!$AI$3:$AI$132&gt;AI77)*(calc!$AJ$3:$AJ$132&gt;AJ77)+(calc!$AI$3:$AI$132&lt;AI77)*(calc!$AJ$3:$AJ$132&lt;AJ77))&gt;0))-SUMPRODUCT(--(calc!$AD$3:$AD$132=TRUE),--(ROW(calc!$AD$3:$AD$132)&gt;ROW(AD77)),--(((calc!$AI$3:$AI$132&gt;AI77)*(calc!$AJ$3:$AJ$132&lt;AJ77)+(calc!$AI$3:$AI$132&lt;AI77)*(calc!$AJ$3:$AJ$132&gt;AJ77))&gt;0)),0)</f>
        <v/>
      </c>
      <c r="AL77" s="5">
        <f>IF(mos_metrics!J76="","",mos_metrics!J76)</f>
        <v/>
      </c>
      <c r="AM77" s="2">
        <f>AND($J77,ISNUMBER(AL77),correlation!$I$29=1)</f>
        <v/>
      </c>
      <c r="AN77" s="5">
        <f>IF(AM77,$F77,"")</f>
        <v/>
      </c>
      <c r="AO77" s="5">
        <f>IF(AM77,AL77*correlation!$J$29,"")</f>
        <v/>
      </c>
      <c r="AP77" s="5">
        <f>IF(AND(AM77,ISNUMBER(correlation!$F$29)),AO77*correlation!$F$29+correlation!$G$29,"")</f>
        <v/>
      </c>
      <c r="AQ77" s="5">
        <f>IF(AND(AM77,ISNUMBER(AP77)),(AN77-AP77)^2,"")</f>
        <v/>
      </c>
      <c r="AR77" s="5">
        <f>IF(AM77,1+SUMPRODUCT(--(calc!$AM$3:$AM$132=TRUE),--(calc!$AN$3:$AN$132&gt;AN77))+(SUMPRODUCT(--(calc!$AM$3:$AM$132=TRUE),--(calc!$AN$3:$AN$132=AN77))-1)/2,"")</f>
        <v/>
      </c>
      <c r="AS77" s="5">
        <f>IF(AM77,1+SUMPRODUCT(--(calc!$AM$3:$AM$132=TRUE),--(calc!$AO$3:$AO$132&gt;AO77))+(SUMPRODUCT(--(calc!$AM$3:$AM$132=TRUE),--(calc!$AO$3:$AO$132=AO77))-1)/2,"")</f>
        <v/>
      </c>
      <c r="AT77" s="5">
        <f>IF(AM77,SUMPRODUCT(--(calc!$AM$3:$AM$132=TRUE),--(ROW(calc!$AM$3:$AM$132)&gt;ROW(AM77)),--(((calc!$AR$3:$AR$132&gt;AR77)*(calc!$AS$3:$AS$132&gt;AS77)+(calc!$AR$3:$AR$132&lt;AR77)*(calc!$AS$3:$AS$132&lt;AS77))&gt;0))-SUMPRODUCT(--(calc!$AM$3:$AM$132=TRUE),--(ROW(calc!$AM$3:$AM$132)&gt;ROW(AM77)),--(((calc!$AR$3:$AR$132&gt;AR77)*(calc!$AS$3:$AS$132&lt;AS77)+(calc!$AR$3:$AR$132&lt;AR77)*(calc!$AS$3:$AS$132&gt;AS77))&gt;0)),0)</f>
        <v/>
      </c>
      <c r="AU77" s="5">
        <f>IF(mos_metrics!K76="","",mos_metrics!K76)</f>
        <v/>
      </c>
      <c r="AV77" s="2">
        <f>AND($J77,ISNUMBER(AU77),correlation!$I$30=1)</f>
        <v/>
      </c>
      <c r="AW77" s="5">
        <f>IF(AV77,$F77,"")</f>
        <v/>
      </c>
      <c r="AX77" s="5">
        <f>IF(AV77,AU77*correlation!$J$30,"")</f>
        <v/>
      </c>
      <c r="AY77" s="5">
        <f>IF(AND(AV77,ISNUMBER(correlation!$F$30)),AX77*correlation!$F$30+correlation!$G$30,"")</f>
        <v/>
      </c>
      <c r="AZ77" s="5">
        <f>IF(AND(AV77,ISNUMBER(AY77)),(AW77-AY77)^2,"")</f>
        <v/>
      </c>
      <c r="BA77" s="5">
        <f>IF(AV77,1+SUMPRODUCT(--(calc!$AV$3:$AV$132=TRUE),--(calc!$AW$3:$AW$132&gt;AW77))+(SUMPRODUCT(--(calc!$AV$3:$AV$132=TRUE),--(calc!$AW$3:$AW$132=AW77))-1)/2,"")</f>
        <v/>
      </c>
      <c r="BB77" s="5">
        <f>IF(AV77,1+SUMPRODUCT(--(calc!$AV$3:$AV$132=TRUE),--(calc!$AX$3:$AX$132&gt;AX77))+(SUMPRODUCT(--(calc!$AV$3:$AV$132=TRUE),--(calc!$AX$3:$AX$132=AX77))-1)/2,"")</f>
        <v/>
      </c>
      <c r="BC77" s="5">
        <f>IF(AV77,SUMPRODUCT(--(calc!$AV$3:$AV$132=TRUE),--(ROW(calc!$AV$3:$AV$132)&gt;ROW(AV77)),--(((calc!$BA$3:$BA$132&gt;BA77)*(calc!$BB$3:$BB$132&gt;BB77)+(calc!$BA$3:$BA$132&lt;BA77)*(calc!$BB$3:$BB$132&lt;BB77))&gt;0))-SUMPRODUCT(--(calc!$AV$3:$AV$132=TRUE),--(ROW(calc!$AV$3:$AV$132)&gt;ROW(AV77)),--(((calc!$BA$3:$BA$132&gt;BA77)*(calc!$BB$3:$BB$132&lt;BB77)+(calc!$BA$3:$BA$132&lt;BA77)*(calc!$BB$3:$BB$132&gt;BB77))&gt;0)),0)</f>
        <v/>
      </c>
      <c r="BD77" s="5">
        <f>IF(mos_metrics!L76="","",mos_metrics!L76)</f>
        <v/>
      </c>
      <c r="BE77" s="2">
        <f>AND($J77,ISNUMBER(BD77),correlation!$I$31=1)</f>
        <v/>
      </c>
      <c r="BF77" s="5">
        <f>IF(BE77,$F77,"")</f>
        <v/>
      </c>
      <c r="BG77" s="5">
        <f>IF(BE77,BD77*correlation!$J$31,"")</f>
        <v/>
      </c>
      <c r="BH77" s="5">
        <f>IF(AND(BE77,ISNUMBER(correlation!$F$31)),BG77*correlation!$F$31+correlation!$G$31,"")</f>
        <v/>
      </c>
      <c r="BI77" s="5">
        <f>IF(AND(BE77,ISNUMBER(BH77)),(BF77-BH77)^2,"")</f>
        <v/>
      </c>
      <c r="BJ77" s="5">
        <f>IF(BE77,1+SUMPRODUCT(--(calc!$BE$3:$BE$132=TRUE),--(calc!$BF$3:$BF$132&gt;BF77))+(SUMPRODUCT(--(calc!$BE$3:$BE$132=TRUE),--(calc!$BF$3:$BF$132=BF77))-1)/2,"")</f>
        <v/>
      </c>
      <c r="BK77" s="5">
        <f>IF(BE77,1+SUMPRODUCT(--(calc!$BE$3:$BE$132=TRUE),--(calc!$BG$3:$BG$132&gt;BG77))+(SUMPRODUCT(--(calc!$BE$3:$BE$132=TRUE),--(calc!$BG$3:$BG$132=BG77))-1)/2,"")</f>
        <v/>
      </c>
      <c r="BL77" s="5">
        <f>IF(BE77,SUMPRODUCT(--(calc!$BE$3:$BE$132=TRUE),--(ROW(calc!$BE$3:$BE$132)&gt;ROW(BE77)),--(((calc!$BJ$3:$BJ$132&gt;BJ77)*(calc!$BK$3:$BK$132&gt;BK77)+(calc!$BJ$3:$BJ$132&lt;BJ77)*(calc!$BK$3:$BK$132&lt;BK77))&gt;0))-SUMPRODUCT(--(calc!$BE$3:$BE$132=TRUE),--(ROW(calc!$BE$3:$BE$132)&gt;ROW(BE77)),--(((calc!$BJ$3:$BJ$132&gt;BJ77)*(calc!$BK$3:$BK$132&lt;BK77)+(calc!$BJ$3:$BJ$132&lt;BJ77)*(calc!$BK$3:$BK$132&gt;BK77))&gt;0)),0)</f>
        <v/>
      </c>
      <c r="BM77" s="5">
        <f>IF(mos_metrics!M76="","",mos_metrics!M76)</f>
        <v/>
      </c>
      <c r="BN77" s="2">
        <f>AND($J77,ISNUMBER(BM77),correlation!$I$32=1)</f>
        <v/>
      </c>
      <c r="BO77" s="5">
        <f>IF(BN77,$F77,"")</f>
        <v/>
      </c>
      <c r="BP77" s="5">
        <f>IF(BN77,BM77*correlation!$J$32,"")</f>
        <v/>
      </c>
      <c r="BQ77" s="5">
        <f>IF(AND(BN77,ISNUMBER(correlation!$F$32)),BP77*correlation!$F$32+correlation!$G$32,"")</f>
        <v/>
      </c>
      <c r="BR77" s="5">
        <f>IF(AND(BN77,ISNUMBER(BQ77)),(BO77-BQ77)^2,"")</f>
        <v/>
      </c>
      <c r="BS77" s="5">
        <f>IF(BN77,1+SUMPRODUCT(--(calc!$BN$3:$BN$132=TRUE),--(calc!$BO$3:$BO$132&gt;BO77))+(SUMPRODUCT(--(calc!$BN$3:$BN$132=TRUE),--(calc!$BO$3:$BO$132=BO77))-1)/2,"")</f>
        <v/>
      </c>
      <c r="BT77" s="5">
        <f>IF(BN77,1+SUMPRODUCT(--(calc!$BN$3:$BN$132=TRUE),--(calc!$BP$3:$BP$132&gt;BP77))+(SUMPRODUCT(--(calc!$BN$3:$BN$132=TRUE),--(calc!$BP$3:$BP$132=BP77))-1)/2,"")</f>
        <v/>
      </c>
      <c r="BU77" s="5">
        <f>IF(BN77,SUMPRODUCT(--(calc!$BN$3:$BN$132=TRUE),--(ROW(calc!$BN$3:$BN$132)&gt;ROW(BN77)),--(((calc!$BS$3:$BS$132&gt;BS77)*(calc!$BT$3:$BT$132&gt;BT77)+(calc!$BS$3:$BS$132&lt;BS77)*(calc!$BT$3:$BT$132&lt;BT77))&gt;0))-SUMPRODUCT(--(calc!$BN$3:$BN$132=TRUE),--(ROW(calc!$BN$3:$BN$132)&gt;ROW(BN77)),--(((calc!$BS$3:$BS$132&gt;BS77)*(calc!$BT$3:$BT$132&lt;BT77)+(calc!$BS$3:$BS$132&lt;BS77)*(calc!$BT$3:$BT$132&gt;BT77))&gt;0)),0)</f>
        <v/>
      </c>
    </row>
    <row r="78">
      <c r="A78" s="2">
        <f>mos_metrics!A77</f>
        <v/>
      </c>
      <c r="B78" s="2">
        <f>mos_metrics!B77</f>
        <v/>
      </c>
      <c r="C78" s="2">
        <f>mos_metrics!C77</f>
        <v/>
      </c>
      <c r="D78" s="2">
        <f>mos_metrics!D77</f>
        <v/>
      </c>
      <c r="E78" s="2">
        <f>mos_metrics!E77</f>
        <v/>
      </c>
      <c r="F78" s="2">
        <f>mos_metrics!F77</f>
        <v/>
      </c>
      <c r="G78" s="2">
        <f>IF($B78="","",IFERROR(VLOOKUP($B78,correlation!$A$2:$B$12,2,FALSE),1))</f>
        <v/>
      </c>
      <c r="H78" s="2">
        <f>IF($E78="","",IFERROR(VLOOKUP($E78,correlation!$D$2:$E$8,2,FALSE),1))</f>
        <v/>
      </c>
      <c r="I78" s="2">
        <f>ISNUMBER($F78)</f>
        <v/>
      </c>
      <c r="J78" s="2">
        <f>AND($G78=1,$H78=1,$I78)</f>
        <v/>
      </c>
      <c r="K78" s="5">
        <f>IF(mos_metrics!G77="","",mos_metrics!G77)</f>
        <v/>
      </c>
      <c r="L78" s="2">
        <f>AND($J78,ISNUMBER(K78),correlation!$I$26=1)</f>
        <v/>
      </c>
      <c r="M78" s="5">
        <f>IF(L78,$F78,"")</f>
        <v/>
      </c>
      <c r="N78" s="5">
        <f>IF(L78,K78*correlation!$J$26,"")</f>
        <v/>
      </c>
      <c r="O78" s="5">
        <f>IF(AND(L78,ISNUMBER(correlation!$F$26)),N78*correlation!$F$26+correlation!$G$26,"")</f>
        <v/>
      </c>
      <c r="P78" s="5">
        <f>IF(AND(L78,ISNUMBER(O78)),(M78-O78)^2,"")</f>
        <v/>
      </c>
      <c r="Q78" s="5">
        <f>IF(L78,1+SUMPRODUCT(--(calc!$L$3:$L$132=TRUE),--(calc!$M$3:$M$132&gt;M78))+(SUMPRODUCT(--(calc!$L$3:$L$132=TRUE),--(calc!$M$3:$M$132=M78))-1)/2,"")</f>
        <v/>
      </c>
      <c r="R78" s="5">
        <f>IF(L78,1+SUMPRODUCT(--(calc!$L$3:$L$132=TRUE),--(calc!$N$3:$N$132&gt;N78))+(SUMPRODUCT(--(calc!$L$3:$L$132=TRUE),--(calc!$N$3:$N$132=N78))-1)/2,"")</f>
        <v/>
      </c>
      <c r="S78" s="5">
        <f>IF(L78,SUMPRODUCT(--(calc!$L$3:$L$132=TRUE),--(ROW(calc!$L$3:$L$132)&gt;ROW(L78)),--(((calc!$Q$3:$Q$132&gt;Q78)*(calc!$R$3:$R$132&gt;R78)+(calc!$Q$3:$Q$132&lt;Q78)*(calc!$R$3:$R$132&lt;R78))&gt;0))-SUMPRODUCT(--(calc!$L$3:$L$132=TRUE),--(ROW(calc!$L$3:$L$132)&gt;ROW(L78)),--(((calc!$Q$3:$Q$132&gt;Q78)*(calc!$R$3:$R$132&lt;R78)+(calc!$Q$3:$Q$132&lt;Q78)*(calc!$R$3:$R$132&gt;R78))&gt;0)),0)</f>
        <v/>
      </c>
      <c r="T78" s="5">
        <f>IF(mos_metrics!H77="","",mos_metrics!H77)</f>
        <v/>
      </c>
      <c r="U78" s="2">
        <f>AND($J78,ISNUMBER(T78),correlation!$I$27=1)</f>
        <v/>
      </c>
      <c r="V78" s="5">
        <f>IF(U78,$F78,"")</f>
        <v/>
      </c>
      <c r="W78" s="5">
        <f>IF(U78,T78*correlation!$J$27,"")</f>
        <v/>
      </c>
      <c r="X78" s="5">
        <f>IF(AND(U78,ISNUMBER(correlation!$F$27)),W78*correlation!$F$27+correlation!$G$27,"")</f>
        <v/>
      </c>
      <c r="Y78" s="5">
        <f>IF(AND(U78,ISNUMBER(X78)),(V78-X78)^2,"")</f>
        <v/>
      </c>
      <c r="Z78" s="5">
        <f>IF(U78,1+SUMPRODUCT(--(calc!$U$3:$U$132=TRUE),--(calc!$V$3:$V$132&gt;V78))+(SUMPRODUCT(--(calc!$U$3:$U$132=TRUE),--(calc!$V$3:$V$132=V78))-1)/2,"")</f>
        <v/>
      </c>
      <c r="AA78" s="5">
        <f>IF(U78,1+SUMPRODUCT(--(calc!$U$3:$U$132=TRUE),--(calc!$W$3:$W$132&gt;W78))+(SUMPRODUCT(--(calc!$U$3:$U$132=TRUE),--(calc!$W$3:$W$132=W78))-1)/2,"")</f>
        <v/>
      </c>
      <c r="AB78" s="5">
        <f>IF(U78,SUMPRODUCT(--(calc!$U$3:$U$132=TRUE),--(ROW(calc!$U$3:$U$132)&gt;ROW(U78)),--(((calc!$Z$3:$Z$132&gt;Z78)*(calc!$AA$3:$AA$132&gt;AA78)+(calc!$Z$3:$Z$132&lt;Z78)*(calc!$AA$3:$AA$132&lt;AA78))&gt;0))-SUMPRODUCT(--(calc!$U$3:$U$132=TRUE),--(ROW(calc!$U$3:$U$132)&gt;ROW(U78)),--(((calc!$Z$3:$Z$132&gt;Z78)*(calc!$AA$3:$AA$132&lt;AA78)+(calc!$Z$3:$Z$132&lt;Z78)*(calc!$AA$3:$AA$132&gt;AA78))&gt;0)),0)</f>
        <v/>
      </c>
      <c r="AC78" s="5">
        <f>IF(mos_metrics!I77="","",mos_metrics!I77)</f>
        <v/>
      </c>
      <c r="AD78" s="2">
        <f>AND($J78,ISNUMBER(AC78),correlation!$I$28=1)</f>
        <v/>
      </c>
      <c r="AE78" s="5">
        <f>IF(AD78,$F78,"")</f>
        <v/>
      </c>
      <c r="AF78" s="5">
        <f>IF(AD78,AC78*correlation!$J$28,"")</f>
        <v/>
      </c>
      <c r="AG78" s="5">
        <f>IF(AND(AD78,ISNUMBER(correlation!$F$28)),AF78*correlation!$F$28+correlation!$G$28,"")</f>
        <v/>
      </c>
      <c r="AH78" s="5">
        <f>IF(AND(AD78,ISNUMBER(AG78)),(AE78-AG78)^2,"")</f>
        <v/>
      </c>
      <c r="AI78" s="5">
        <f>IF(AD78,1+SUMPRODUCT(--(calc!$AD$3:$AD$132=TRUE),--(calc!$AE$3:$AE$132&gt;AE78))+(SUMPRODUCT(--(calc!$AD$3:$AD$132=TRUE),--(calc!$AE$3:$AE$132=AE78))-1)/2,"")</f>
        <v/>
      </c>
      <c r="AJ78" s="5">
        <f>IF(AD78,1+SUMPRODUCT(--(calc!$AD$3:$AD$132=TRUE),--(calc!$AF$3:$AF$132&gt;AF78))+(SUMPRODUCT(--(calc!$AD$3:$AD$132=TRUE),--(calc!$AF$3:$AF$132=AF78))-1)/2,"")</f>
        <v/>
      </c>
      <c r="AK78" s="5">
        <f>IF(AD78,SUMPRODUCT(--(calc!$AD$3:$AD$132=TRUE),--(ROW(calc!$AD$3:$AD$132)&gt;ROW(AD78)),--(((calc!$AI$3:$AI$132&gt;AI78)*(calc!$AJ$3:$AJ$132&gt;AJ78)+(calc!$AI$3:$AI$132&lt;AI78)*(calc!$AJ$3:$AJ$132&lt;AJ78))&gt;0))-SUMPRODUCT(--(calc!$AD$3:$AD$132=TRUE),--(ROW(calc!$AD$3:$AD$132)&gt;ROW(AD78)),--(((calc!$AI$3:$AI$132&gt;AI78)*(calc!$AJ$3:$AJ$132&lt;AJ78)+(calc!$AI$3:$AI$132&lt;AI78)*(calc!$AJ$3:$AJ$132&gt;AJ78))&gt;0)),0)</f>
        <v/>
      </c>
      <c r="AL78" s="5">
        <f>IF(mos_metrics!J77="","",mos_metrics!J77)</f>
        <v/>
      </c>
      <c r="AM78" s="2">
        <f>AND($J78,ISNUMBER(AL78),correlation!$I$29=1)</f>
        <v/>
      </c>
      <c r="AN78" s="5">
        <f>IF(AM78,$F78,"")</f>
        <v/>
      </c>
      <c r="AO78" s="5">
        <f>IF(AM78,AL78*correlation!$J$29,"")</f>
        <v/>
      </c>
      <c r="AP78" s="5">
        <f>IF(AND(AM78,ISNUMBER(correlation!$F$29)),AO78*correlation!$F$29+correlation!$G$29,"")</f>
        <v/>
      </c>
      <c r="AQ78" s="5">
        <f>IF(AND(AM78,ISNUMBER(AP78)),(AN78-AP78)^2,"")</f>
        <v/>
      </c>
      <c r="AR78" s="5">
        <f>IF(AM78,1+SUMPRODUCT(--(calc!$AM$3:$AM$132=TRUE),--(calc!$AN$3:$AN$132&gt;AN78))+(SUMPRODUCT(--(calc!$AM$3:$AM$132=TRUE),--(calc!$AN$3:$AN$132=AN78))-1)/2,"")</f>
        <v/>
      </c>
      <c r="AS78" s="5">
        <f>IF(AM78,1+SUMPRODUCT(--(calc!$AM$3:$AM$132=TRUE),--(calc!$AO$3:$AO$132&gt;AO78))+(SUMPRODUCT(--(calc!$AM$3:$AM$132=TRUE),--(calc!$AO$3:$AO$132=AO78))-1)/2,"")</f>
        <v/>
      </c>
      <c r="AT78" s="5">
        <f>IF(AM78,SUMPRODUCT(--(calc!$AM$3:$AM$132=TRUE),--(ROW(calc!$AM$3:$AM$132)&gt;ROW(AM78)),--(((calc!$AR$3:$AR$132&gt;AR78)*(calc!$AS$3:$AS$132&gt;AS78)+(calc!$AR$3:$AR$132&lt;AR78)*(calc!$AS$3:$AS$132&lt;AS78))&gt;0))-SUMPRODUCT(--(calc!$AM$3:$AM$132=TRUE),--(ROW(calc!$AM$3:$AM$132)&gt;ROW(AM78)),--(((calc!$AR$3:$AR$132&gt;AR78)*(calc!$AS$3:$AS$132&lt;AS78)+(calc!$AR$3:$AR$132&lt;AR78)*(calc!$AS$3:$AS$132&gt;AS78))&gt;0)),0)</f>
        <v/>
      </c>
      <c r="AU78" s="5">
        <f>IF(mos_metrics!K77="","",mos_metrics!K77)</f>
        <v/>
      </c>
      <c r="AV78" s="2">
        <f>AND($J78,ISNUMBER(AU78),correlation!$I$30=1)</f>
        <v/>
      </c>
      <c r="AW78" s="5">
        <f>IF(AV78,$F78,"")</f>
        <v/>
      </c>
      <c r="AX78" s="5">
        <f>IF(AV78,AU78*correlation!$J$30,"")</f>
        <v/>
      </c>
      <c r="AY78" s="5">
        <f>IF(AND(AV78,ISNUMBER(correlation!$F$30)),AX78*correlation!$F$30+correlation!$G$30,"")</f>
        <v/>
      </c>
      <c r="AZ78" s="5">
        <f>IF(AND(AV78,ISNUMBER(AY78)),(AW78-AY78)^2,"")</f>
        <v/>
      </c>
      <c r="BA78" s="5">
        <f>IF(AV78,1+SUMPRODUCT(--(calc!$AV$3:$AV$132=TRUE),--(calc!$AW$3:$AW$132&gt;AW78))+(SUMPRODUCT(--(calc!$AV$3:$AV$132=TRUE),--(calc!$AW$3:$AW$132=AW78))-1)/2,"")</f>
        <v/>
      </c>
      <c r="BB78" s="5">
        <f>IF(AV78,1+SUMPRODUCT(--(calc!$AV$3:$AV$132=TRUE),--(calc!$AX$3:$AX$132&gt;AX78))+(SUMPRODUCT(--(calc!$AV$3:$AV$132=TRUE),--(calc!$AX$3:$AX$132=AX78))-1)/2,"")</f>
        <v/>
      </c>
      <c r="BC78" s="5">
        <f>IF(AV78,SUMPRODUCT(--(calc!$AV$3:$AV$132=TRUE),--(ROW(calc!$AV$3:$AV$132)&gt;ROW(AV78)),--(((calc!$BA$3:$BA$132&gt;BA78)*(calc!$BB$3:$BB$132&gt;BB78)+(calc!$BA$3:$BA$132&lt;BA78)*(calc!$BB$3:$BB$132&lt;BB78))&gt;0))-SUMPRODUCT(--(calc!$AV$3:$AV$132=TRUE),--(ROW(calc!$AV$3:$AV$132)&gt;ROW(AV78)),--(((calc!$BA$3:$BA$132&gt;BA78)*(calc!$BB$3:$BB$132&lt;BB78)+(calc!$BA$3:$BA$132&lt;BA78)*(calc!$BB$3:$BB$132&gt;BB78))&gt;0)),0)</f>
        <v/>
      </c>
      <c r="BD78" s="5">
        <f>IF(mos_metrics!L77="","",mos_metrics!L77)</f>
        <v/>
      </c>
      <c r="BE78" s="2">
        <f>AND($J78,ISNUMBER(BD78),correlation!$I$31=1)</f>
        <v/>
      </c>
      <c r="BF78" s="5">
        <f>IF(BE78,$F78,"")</f>
        <v/>
      </c>
      <c r="BG78" s="5">
        <f>IF(BE78,BD78*correlation!$J$31,"")</f>
        <v/>
      </c>
      <c r="BH78" s="5">
        <f>IF(AND(BE78,ISNUMBER(correlation!$F$31)),BG78*correlation!$F$31+correlation!$G$31,"")</f>
        <v/>
      </c>
      <c r="BI78" s="5">
        <f>IF(AND(BE78,ISNUMBER(BH78)),(BF78-BH78)^2,"")</f>
        <v/>
      </c>
      <c r="BJ78" s="5">
        <f>IF(BE78,1+SUMPRODUCT(--(calc!$BE$3:$BE$132=TRUE),--(calc!$BF$3:$BF$132&gt;BF78))+(SUMPRODUCT(--(calc!$BE$3:$BE$132=TRUE),--(calc!$BF$3:$BF$132=BF78))-1)/2,"")</f>
        <v/>
      </c>
      <c r="BK78" s="5">
        <f>IF(BE78,1+SUMPRODUCT(--(calc!$BE$3:$BE$132=TRUE),--(calc!$BG$3:$BG$132&gt;BG78))+(SUMPRODUCT(--(calc!$BE$3:$BE$132=TRUE),--(calc!$BG$3:$BG$132=BG78))-1)/2,"")</f>
        <v/>
      </c>
      <c r="BL78" s="5">
        <f>IF(BE78,SUMPRODUCT(--(calc!$BE$3:$BE$132=TRUE),--(ROW(calc!$BE$3:$BE$132)&gt;ROW(BE78)),--(((calc!$BJ$3:$BJ$132&gt;BJ78)*(calc!$BK$3:$BK$132&gt;BK78)+(calc!$BJ$3:$BJ$132&lt;BJ78)*(calc!$BK$3:$BK$132&lt;BK78))&gt;0))-SUMPRODUCT(--(calc!$BE$3:$BE$132=TRUE),--(ROW(calc!$BE$3:$BE$132)&gt;ROW(BE78)),--(((calc!$BJ$3:$BJ$132&gt;BJ78)*(calc!$BK$3:$BK$132&lt;BK78)+(calc!$BJ$3:$BJ$132&lt;BJ78)*(calc!$BK$3:$BK$132&gt;BK78))&gt;0)),0)</f>
        <v/>
      </c>
      <c r="BM78" s="5">
        <f>IF(mos_metrics!M77="","",mos_metrics!M77)</f>
        <v/>
      </c>
      <c r="BN78" s="2">
        <f>AND($J78,ISNUMBER(BM78),correlation!$I$32=1)</f>
        <v/>
      </c>
      <c r="BO78" s="5">
        <f>IF(BN78,$F78,"")</f>
        <v/>
      </c>
      <c r="BP78" s="5">
        <f>IF(BN78,BM78*correlation!$J$32,"")</f>
        <v/>
      </c>
      <c r="BQ78" s="5">
        <f>IF(AND(BN78,ISNUMBER(correlation!$F$32)),BP78*correlation!$F$32+correlation!$G$32,"")</f>
        <v/>
      </c>
      <c r="BR78" s="5">
        <f>IF(AND(BN78,ISNUMBER(BQ78)),(BO78-BQ78)^2,"")</f>
        <v/>
      </c>
      <c r="BS78" s="5">
        <f>IF(BN78,1+SUMPRODUCT(--(calc!$BN$3:$BN$132=TRUE),--(calc!$BO$3:$BO$132&gt;BO78))+(SUMPRODUCT(--(calc!$BN$3:$BN$132=TRUE),--(calc!$BO$3:$BO$132=BO78))-1)/2,"")</f>
        <v/>
      </c>
      <c r="BT78" s="5">
        <f>IF(BN78,1+SUMPRODUCT(--(calc!$BN$3:$BN$132=TRUE),--(calc!$BP$3:$BP$132&gt;BP78))+(SUMPRODUCT(--(calc!$BN$3:$BN$132=TRUE),--(calc!$BP$3:$BP$132=BP78))-1)/2,"")</f>
        <v/>
      </c>
      <c r="BU78" s="5">
        <f>IF(BN78,SUMPRODUCT(--(calc!$BN$3:$BN$132=TRUE),--(ROW(calc!$BN$3:$BN$132)&gt;ROW(BN78)),--(((calc!$BS$3:$BS$132&gt;BS78)*(calc!$BT$3:$BT$132&gt;BT78)+(calc!$BS$3:$BS$132&lt;BS78)*(calc!$BT$3:$BT$132&lt;BT78))&gt;0))-SUMPRODUCT(--(calc!$BN$3:$BN$132=TRUE),--(ROW(calc!$BN$3:$BN$132)&gt;ROW(BN78)),--(((calc!$BS$3:$BS$132&gt;BS78)*(calc!$BT$3:$BT$132&lt;BT78)+(calc!$BS$3:$BS$132&lt;BS78)*(calc!$BT$3:$BT$132&gt;BT78))&gt;0)),0)</f>
        <v/>
      </c>
    </row>
    <row r="79">
      <c r="A79" s="2">
        <f>mos_metrics!A78</f>
        <v/>
      </c>
      <c r="B79" s="2">
        <f>mos_metrics!B78</f>
        <v/>
      </c>
      <c r="C79" s="2">
        <f>mos_metrics!C78</f>
        <v/>
      </c>
      <c r="D79" s="2">
        <f>mos_metrics!D78</f>
        <v/>
      </c>
      <c r="E79" s="2">
        <f>mos_metrics!E78</f>
        <v/>
      </c>
      <c r="F79" s="2">
        <f>mos_metrics!F78</f>
        <v/>
      </c>
      <c r="G79" s="2">
        <f>IF($B79="","",IFERROR(VLOOKUP($B79,correlation!$A$2:$B$12,2,FALSE),1))</f>
        <v/>
      </c>
      <c r="H79" s="2">
        <f>IF($E79="","",IFERROR(VLOOKUP($E79,correlation!$D$2:$E$8,2,FALSE),1))</f>
        <v/>
      </c>
      <c r="I79" s="2">
        <f>ISNUMBER($F79)</f>
        <v/>
      </c>
      <c r="J79" s="2">
        <f>AND($G79=1,$H79=1,$I79)</f>
        <v/>
      </c>
      <c r="K79" s="5">
        <f>IF(mos_metrics!G78="","",mos_metrics!G78)</f>
        <v/>
      </c>
      <c r="L79" s="2">
        <f>AND($J79,ISNUMBER(K79),correlation!$I$26=1)</f>
        <v/>
      </c>
      <c r="M79" s="5">
        <f>IF(L79,$F79,"")</f>
        <v/>
      </c>
      <c r="N79" s="5">
        <f>IF(L79,K79*correlation!$J$26,"")</f>
        <v/>
      </c>
      <c r="O79" s="5">
        <f>IF(AND(L79,ISNUMBER(correlation!$F$26)),N79*correlation!$F$26+correlation!$G$26,"")</f>
        <v/>
      </c>
      <c r="P79" s="5">
        <f>IF(AND(L79,ISNUMBER(O79)),(M79-O79)^2,"")</f>
        <v/>
      </c>
      <c r="Q79" s="5">
        <f>IF(L79,1+SUMPRODUCT(--(calc!$L$3:$L$132=TRUE),--(calc!$M$3:$M$132&gt;M79))+(SUMPRODUCT(--(calc!$L$3:$L$132=TRUE),--(calc!$M$3:$M$132=M79))-1)/2,"")</f>
        <v/>
      </c>
      <c r="R79" s="5">
        <f>IF(L79,1+SUMPRODUCT(--(calc!$L$3:$L$132=TRUE),--(calc!$N$3:$N$132&gt;N79))+(SUMPRODUCT(--(calc!$L$3:$L$132=TRUE),--(calc!$N$3:$N$132=N79))-1)/2,"")</f>
        <v/>
      </c>
      <c r="S79" s="5">
        <f>IF(L79,SUMPRODUCT(--(calc!$L$3:$L$132=TRUE),--(ROW(calc!$L$3:$L$132)&gt;ROW(L79)),--(((calc!$Q$3:$Q$132&gt;Q79)*(calc!$R$3:$R$132&gt;R79)+(calc!$Q$3:$Q$132&lt;Q79)*(calc!$R$3:$R$132&lt;R79))&gt;0))-SUMPRODUCT(--(calc!$L$3:$L$132=TRUE),--(ROW(calc!$L$3:$L$132)&gt;ROW(L79)),--(((calc!$Q$3:$Q$132&gt;Q79)*(calc!$R$3:$R$132&lt;R79)+(calc!$Q$3:$Q$132&lt;Q79)*(calc!$R$3:$R$132&gt;R79))&gt;0)),0)</f>
        <v/>
      </c>
      <c r="T79" s="5">
        <f>IF(mos_metrics!H78="","",mos_metrics!H78)</f>
        <v/>
      </c>
      <c r="U79" s="2">
        <f>AND($J79,ISNUMBER(T79),correlation!$I$27=1)</f>
        <v/>
      </c>
      <c r="V79" s="5">
        <f>IF(U79,$F79,"")</f>
        <v/>
      </c>
      <c r="W79" s="5">
        <f>IF(U79,T79*correlation!$J$27,"")</f>
        <v/>
      </c>
      <c r="X79" s="5">
        <f>IF(AND(U79,ISNUMBER(correlation!$F$27)),W79*correlation!$F$27+correlation!$G$27,"")</f>
        <v/>
      </c>
      <c r="Y79" s="5">
        <f>IF(AND(U79,ISNUMBER(X79)),(V79-X79)^2,"")</f>
        <v/>
      </c>
      <c r="Z79" s="5">
        <f>IF(U79,1+SUMPRODUCT(--(calc!$U$3:$U$132=TRUE),--(calc!$V$3:$V$132&gt;V79))+(SUMPRODUCT(--(calc!$U$3:$U$132=TRUE),--(calc!$V$3:$V$132=V79))-1)/2,"")</f>
        <v/>
      </c>
      <c r="AA79" s="5">
        <f>IF(U79,1+SUMPRODUCT(--(calc!$U$3:$U$132=TRUE),--(calc!$W$3:$W$132&gt;W79))+(SUMPRODUCT(--(calc!$U$3:$U$132=TRUE),--(calc!$W$3:$W$132=W79))-1)/2,"")</f>
        <v/>
      </c>
      <c r="AB79" s="5">
        <f>IF(U79,SUMPRODUCT(--(calc!$U$3:$U$132=TRUE),--(ROW(calc!$U$3:$U$132)&gt;ROW(U79)),--(((calc!$Z$3:$Z$132&gt;Z79)*(calc!$AA$3:$AA$132&gt;AA79)+(calc!$Z$3:$Z$132&lt;Z79)*(calc!$AA$3:$AA$132&lt;AA79))&gt;0))-SUMPRODUCT(--(calc!$U$3:$U$132=TRUE),--(ROW(calc!$U$3:$U$132)&gt;ROW(U79)),--(((calc!$Z$3:$Z$132&gt;Z79)*(calc!$AA$3:$AA$132&lt;AA79)+(calc!$Z$3:$Z$132&lt;Z79)*(calc!$AA$3:$AA$132&gt;AA79))&gt;0)),0)</f>
        <v/>
      </c>
      <c r="AC79" s="5">
        <f>IF(mos_metrics!I78="","",mos_metrics!I78)</f>
        <v/>
      </c>
      <c r="AD79" s="2">
        <f>AND($J79,ISNUMBER(AC79),correlation!$I$28=1)</f>
        <v/>
      </c>
      <c r="AE79" s="5">
        <f>IF(AD79,$F79,"")</f>
        <v/>
      </c>
      <c r="AF79" s="5">
        <f>IF(AD79,AC79*correlation!$J$28,"")</f>
        <v/>
      </c>
      <c r="AG79" s="5">
        <f>IF(AND(AD79,ISNUMBER(correlation!$F$28)),AF79*correlation!$F$28+correlation!$G$28,"")</f>
        <v/>
      </c>
      <c r="AH79" s="5">
        <f>IF(AND(AD79,ISNUMBER(AG79)),(AE79-AG79)^2,"")</f>
        <v/>
      </c>
      <c r="AI79" s="5">
        <f>IF(AD79,1+SUMPRODUCT(--(calc!$AD$3:$AD$132=TRUE),--(calc!$AE$3:$AE$132&gt;AE79))+(SUMPRODUCT(--(calc!$AD$3:$AD$132=TRUE),--(calc!$AE$3:$AE$132=AE79))-1)/2,"")</f>
        <v/>
      </c>
      <c r="AJ79" s="5">
        <f>IF(AD79,1+SUMPRODUCT(--(calc!$AD$3:$AD$132=TRUE),--(calc!$AF$3:$AF$132&gt;AF79))+(SUMPRODUCT(--(calc!$AD$3:$AD$132=TRUE),--(calc!$AF$3:$AF$132=AF79))-1)/2,"")</f>
        <v/>
      </c>
      <c r="AK79" s="5">
        <f>IF(AD79,SUMPRODUCT(--(calc!$AD$3:$AD$132=TRUE),--(ROW(calc!$AD$3:$AD$132)&gt;ROW(AD79)),--(((calc!$AI$3:$AI$132&gt;AI79)*(calc!$AJ$3:$AJ$132&gt;AJ79)+(calc!$AI$3:$AI$132&lt;AI79)*(calc!$AJ$3:$AJ$132&lt;AJ79))&gt;0))-SUMPRODUCT(--(calc!$AD$3:$AD$132=TRUE),--(ROW(calc!$AD$3:$AD$132)&gt;ROW(AD79)),--(((calc!$AI$3:$AI$132&gt;AI79)*(calc!$AJ$3:$AJ$132&lt;AJ79)+(calc!$AI$3:$AI$132&lt;AI79)*(calc!$AJ$3:$AJ$132&gt;AJ79))&gt;0)),0)</f>
        <v/>
      </c>
      <c r="AL79" s="5">
        <f>IF(mos_metrics!J78="","",mos_metrics!J78)</f>
        <v/>
      </c>
      <c r="AM79" s="2">
        <f>AND($J79,ISNUMBER(AL79),correlation!$I$29=1)</f>
        <v/>
      </c>
      <c r="AN79" s="5">
        <f>IF(AM79,$F79,"")</f>
        <v/>
      </c>
      <c r="AO79" s="5">
        <f>IF(AM79,AL79*correlation!$J$29,"")</f>
        <v/>
      </c>
      <c r="AP79" s="5">
        <f>IF(AND(AM79,ISNUMBER(correlation!$F$29)),AO79*correlation!$F$29+correlation!$G$29,"")</f>
        <v/>
      </c>
      <c r="AQ79" s="5">
        <f>IF(AND(AM79,ISNUMBER(AP79)),(AN79-AP79)^2,"")</f>
        <v/>
      </c>
      <c r="AR79" s="5">
        <f>IF(AM79,1+SUMPRODUCT(--(calc!$AM$3:$AM$132=TRUE),--(calc!$AN$3:$AN$132&gt;AN79))+(SUMPRODUCT(--(calc!$AM$3:$AM$132=TRUE),--(calc!$AN$3:$AN$132=AN79))-1)/2,"")</f>
        <v/>
      </c>
      <c r="AS79" s="5">
        <f>IF(AM79,1+SUMPRODUCT(--(calc!$AM$3:$AM$132=TRUE),--(calc!$AO$3:$AO$132&gt;AO79))+(SUMPRODUCT(--(calc!$AM$3:$AM$132=TRUE),--(calc!$AO$3:$AO$132=AO79))-1)/2,"")</f>
        <v/>
      </c>
      <c r="AT79" s="5">
        <f>IF(AM79,SUMPRODUCT(--(calc!$AM$3:$AM$132=TRUE),--(ROW(calc!$AM$3:$AM$132)&gt;ROW(AM79)),--(((calc!$AR$3:$AR$132&gt;AR79)*(calc!$AS$3:$AS$132&gt;AS79)+(calc!$AR$3:$AR$132&lt;AR79)*(calc!$AS$3:$AS$132&lt;AS79))&gt;0))-SUMPRODUCT(--(calc!$AM$3:$AM$132=TRUE),--(ROW(calc!$AM$3:$AM$132)&gt;ROW(AM79)),--(((calc!$AR$3:$AR$132&gt;AR79)*(calc!$AS$3:$AS$132&lt;AS79)+(calc!$AR$3:$AR$132&lt;AR79)*(calc!$AS$3:$AS$132&gt;AS79))&gt;0)),0)</f>
        <v/>
      </c>
      <c r="AU79" s="5">
        <f>IF(mos_metrics!K78="","",mos_metrics!K78)</f>
        <v/>
      </c>
      <c r="AV79" s="2">
        <f>AND($J79,ISNUMBER(AU79),correlation!$I$30=1)</f>
        <v/>
      </c>
      <c r="AW79" s="5">
        <f>IF(AV79,$F79,"")</f>
        <v/>
      </c>
      <c r="AX79" s="5">
        <f>IF(AV79,AU79*correlation!$J$30,"")</f>
        <v/>
      </c>
      <c r="AY79" s="5">
        <f>IF(AND(AV79,ISNUMBER(correlation!$F$30)),AX79*correlation!$F$30+correlation!$G$30,"")</f>
        <v/>
      </c>
      <c r="AZ79" s="5">
        <f>IF(AND(AV79,ISNUMBER(AY79)),(AW79-AY79)^2,"")</f>
        <v/>
      </c>
      <c r="BA79" s="5">
        <f>IF(AV79,1+SUMPRODUCT(--(calc!$AV$3:$AV$132=TRUE),--(calc!$AW$3:$AW$132&gt;AW79))+(SUMPRODUCT(--(calc!$AV$3:$AV$132=TRUE),--(calc!$AW$3:$AW$132=AW79))-1)/2,"")</f>
        <v/>
      </c>
      <c r="BB79" s="5">
        <f>IF(AV79,1+SUMPRODUCT(--(calc!$AV$3:$AV$132=TRUE),--(calc!$AX$3:$AX$132&gt;AX79))+(SUMPRODUCT(--(calc!$AV$3:$AV$132=TRUE),--(calc!$AX$3:$AX$132=AX79))-1)/2,"")</f>
        <v/>
      </c>
      <c r="BC79" s="5">
        <f>IF(AV79,SUMPRODUCT(--(calc!$AV$3:$AV$132=TRUE),--(ROW(calc!$AV$3:$AV$132)&gt;ROW(AV79)),--(((calc!$BA$3:$BA$132&gt;BA79)*(calc!$BB$3:$BB$132&gt;BB79)+(calc!$BA$3:$BA$132&lt;BA79)*(calc!$BB$3:$BB$132&lt;BB79))&gt;0))-SUMPRODUCT(--(calc!$AV$3:$AV$132=TRUE),--(ROW(calc!$AV$3:$AV$132)&gt;ROW(AV79)),--(((calc!$BA$3:$BA$132&gt;BA79)*(calc!$BB$3:$BB$132&lt;BB79)+(calc!$BA$3:$BA$132&lt;BA79)*(calc!$BB$3:$BB$132&gt;BB79))&gt;0)),0)</f>
        <v/>
      </c>
      <c r="BD79" s="5">
        <f>IF(mos_metrics!L78="","",mos_metrics!L78)</f>
        <v/>
      </c>
      <c r="BE79" s="2">
        <f>AND($J79,ISNUMBER(BD79),correlation!$I$31=1)</f>
        <v/>
      </c>
      <c r="BF79" s="5">
        <f>IF(BE79,$F79,"")</f>
        <v/>
      </c>
      <c r="BG79" s="5">
        <f>IF(BE79,BD79*correlation!$J$31,"")</f>
        <v/>
      </c>
      <c r="BH79" s="5">
        <f>IF(AND(BE79,ISNUMBER(correlation!$F$31)),BG79*correlation!$F$31+correlation!$G$31,"")</f>
        <v/>
      </c>
      <c r="BI79" s="5">
        <f>IF(AND(BE79,ISNUMBER(BH79)),(BF79-BH79)^2,"")</f>
        <v/>
      </c>
      <c r="BJ79" s="5">
        <f>IF(BE79,1+SUMPRODUCT(--(calc!$BE$3:$BE$132=TRUE),--(calc!$BF$3:$BF$132&gt;BF79))+(SUMPRODUCT(--(calc!$BE$3:$BE$132=TRUE),--(calc!$BF$3:$BF$132=BF79))-1)/2,"")</f>
        <v/>
      </c>
      <c r="BK79" s="5">
        <f>IF(BE79,1+SUMPRODUCT(--(calc!$BE$3:$BE$132=TRUE),--(calc!$BG$3:$BG$132&gt;BG79))+(SUMPRODUCT(--(calc!$BE$3:$BE$132=TRUE),--(calc!$BG$3:$BG$132=BG79))-1)/2,"")</f>
        <v/>
      </c>
      <c r="BL79" s="5">
        <f>IF(BE79,SUMPRODUCT(--(calc!$BE$3:$BE$132=TRUE),--(ROW(calc!$BE$3:$BE$132)&gt;ROW(BE79)),--(((calc!$BJ$3:$BJ$132&gt;BJ79)*(calc!$BK$3:$BK$132&gt;BK79)+(calc!$BJ$3:$BJ$132&lt;BJ79)*(calc!$BK$3:$BK$132&lt;BK79))&gt;0))-SUMPRODUCT(--(calc!$BE$3:$BE$132=TRUE),--(ROW(calc!$BE$3:$BE$132)&gt;ROW(BE79)),--(((calc!$BJ$3:$BJ$132&gt;BJ79)*(calc!$BK$3:$BK$132&lt;BK79)+(calc!$BJ$3:$BJ$132&lt;BJ79)*(calc!$BK$3:$BK$132&gt;BK79))&gt;0)),0)</f>
        <v/>
      </c>
      <c r="BM79" s="5">
        <f>IF(mos_metrics!M78="","",mos_metrics!M78)</f>
        <v/>
      </c>
      <c r="BN79" s="2">
        <f>AND($J79,ISNUMBER(BM79),correlation!$I$32=1)</f>
        <v/>
      </c>
      <c r="BO79" s="5">
        <f>IF(BN79,$F79,"")</f>
        <v/>
      </c>
      <c r="BP79" s="5">
        <f>IF(BN79,BM79*correlation!$J$32,"")</f>
        <v/>
      </c>
      <c r="BQ79" s="5">
        <f>IF(AND(BN79,ISNUMBER(correlation!$F$32)),BP79*correlation!$F$32+correlation!$G$32,"")</f>
        <v/>
      </c>
      <c r="BR79" s="5">
        <f>IF(AND(BN79,ISNUMBER(BQ79)),(BO79-BQ79)^2,"")</f>
        <v/>
      </c>
      <c r="BS79" s="5">
        <f>IF(BN79,1+SUMPRODUCT(--(calc!$BN$3:$BN$132=TRUE),--(calc!$BO$3:$BO$132&gt;BO79))+(SUMPRODUCT(--(calc!$BN$3:$BN$132=TRUE),--(calc!$BO$3:$BO$132=BO79))-1)/2,"")</f>
        <v/>
      </c>
      <c r="BT79" s="5">
        <f>IF(BN79,1+SUMPRODUCT(--(calc!$BN$3:$BN$132=TRUE),--(calc!$BP$3:$BP$132&gt;BP79))+(SUMPRODUCT(--(calc!$BN$3:$BN$132=TRUE),--(calc!$BP$3:$BP$132=BP79))-1)/2,"")</f>
        <v/>
      </c>
      <c r="BU79" s="5">
        <f>IF(BN79,SUMPRODUCT(--(calc!$BN$3:$BN$132=TRUE),--(ROW(calc!$BN$3:$BN$132)&gt;ROW(BN79)),--(((calc!$BS$3:$BS$132&gt;BS79)*(calc!$BT$3:$BT$132&gt;BT79)+(calc!$BS$3:$BS$132&lt;BS79)*(calc!$BT$3:$BT$132&lt;BT79))&gt;0))-SUMPRODUCT(--(calc!$BN$3:$BN$132=TRUE),--(ROW(calc!$BN$3:$BN$132)&gt;ROW(BN79)),--(((calc!$BS$3:$BS$132&gt;BS79)*(calc!$BT$3:$BT$132&lt;BT79)+(calc!$BS$3:$BS$132&lt;BS79)*(calc!$BT$3:$BT$132&gt;BT79))&gt;0)),0)</f>
        <v/>
      </c>
    </row>
    <row r="80">
      <c r="A80" s="2">
        <f>mos_metrics!A79</f>
        <v/>
      </c>
      <c r="B80" s="2">
        <f>mos_metrics!B79</f>
        <v/>
      </c>
      <c r="C80" s="2">
        <f>mos_metrics!C79</f>
        <v/>
      </c>
      <c r="D80" s="2">
        <f>mos_metrics!D79</f>
        <v/>
      </c>
      <c r="E80" s="2">
        <f>mos_metrics!E79</f>
        <v/>
      </c>
      <c r="F80" s="2">
        <f>mos_metrics!F79</f>
        <v/>
      </c>
      <c r="G80" s="2">
        <f>IF($B80="","",IFERROR(VLOOKUP($B80,correlation!$A$2:$B$12,2,FALSE),1))</f>
        <v/>
      </c>
      <c r="H80" s="2">
        <f>IF($E80="","",IFERROR(VLOOKUP($E80,correlation!$D$2:$E$8,2,FALSE),1))</f>
        <v/>
      </c>
      <c r="I80" s="2">
        <f>ISNUMBER($F80)</f>
        <v/>
      </c>
      <c r="J80" s="2">
        <f>AND($G80=1,$H80=1,$I80)</f>
        <v/>
      </c>
      <c r="K80" s="5">
        <f>IF(mos_metrics!G79="","",mos_metrics!G79)</f>
        <v/>
      </c>
      <c r="L80" s="2">
        <f>AND($J80,ISNUMBER(K80),correlation!$I$26=1)</f>
        <v/>
      </c>
      <c r="M80" s="5">
        <f>IF(L80,$F80,"")</f>
        <v/>
      </c>
      <c r="N80" s="5">
        <f>IF(L80,K80*correlation!$J$26,"")</f>
        <v/>
      </c>
      <c r="O80" s="5">
        <f>IF(AND(L80,ISNUMBER(correlation!$F$26)),N80*correlation!$F$26+correlation!$G$26,"")</f>
        <v/>
      </c>
      <c r="P80" s="5">
        <f>IF(AND(L80,ISNUMBER(O80)),(M80-O80)^2,"")</f>
        <v/>
      </c>
      <c r="Q80" s="5">
        <f>IF(L80,1+SUMPRODUCT(--(calc!$L$3:$L$132=TRUE),--(calc!$M$3:$M$132&gt;M80))+(SUMPRODUCT(--(calc!$L$3:$L$132=TRUE),--(calc!$M$3:$M$132=M80))-1)/2,"")</f>
        <v/>
      </c>
      <c r="R80" s="5">
        <f>IF(L80,1+SUMPRODUCT(--(calc!$L$3:$L$132=TRUE),--(calc!$N$3:$N$132&gt;N80))+(SUMPRODUCT(--(calc!$L$3:$L$132=TRUE),--(calc!$N$3:$N$132=N80))-1)/2,"")</f>
        <v/>
      </c>
      <c r="S80" s="5">
        <f>IF(L80,SUMPRODUCT(--(calc!$L$3:$L$132=TRUE),--(ROW(calc!$L$3:$L$132)&gt;ROW(L80)),--(((calc!$Q$3:$Q$132&gt;Q80)*(calc!$R$3:$R$132&gt;R80)+(calc!$Q$3:$Q$132&lt;Q80)*(calc!$R$3:$R$132&lt;R80))&gt;0))-SUMPRODUCT(--(calc!$L$3:$L$132=TRUE),--(ROW(calc!$L$3:$L$132)&gt;ROW(L80)),--(((calc!$Q$3:$Q$132&gt;Q80)*(calc!$R$3:$R$132&lt;R80)+(calc!$Q$3:$Q$132&lt;Q80)*(calc!$R$3:$R$132&gt;R80))&gt;0)),0)</f>
        <v/>
      </c>
      <c r="T80" s="5">
        <f>IF(mos_metrics!H79="","",mos_metrics!H79)</f>
        <v/>
      </c>
      <c r="U80" s="2">
        <f>AND($J80,ISNUMBER(T80),correlation!$I$27=1)</f>
        <v/>
      </c>
      <c r="V80" s="5">
        <f>IF(U80,$F80,"")</f>
        <v/>
      </c>
      <c r="W80" s="5">
        <f>IF(U80,T80*correlation!$J$27,"")</f>
        <v/>
      </c>
      <c r="X80" s="5">
        <f>IF(AND(U80,ISNUMBER(correlation!$F$27)),W80*correlation!$F$27+correlation!$G$27,"")</f>
        <v/>
      </c>
      <c r="Y80" s="5">
        <f>IF(AND(U80,ISNUMBER(X80)),(V80-X80)^2,"")</f>
        <v/>
      </c>
      <c r="Z80" s="5">
        <f>IF(U80,1+SUMPRODUCT(--(calc!$U$3:$U$132=TRUE),--(calc!$V$3:$V$132&gt;V80))+(SUMPRODUCT(--(calc!$U$3:$U$132=TRUE),--(calc!$V$3:$V$132=V80))-1)/2,"")</f>
        <v/>
      </c>
      <c r="AA80" s="5">
        <f>IF(U80,1+SUMPRODUCT(--(calc!$U$3:$U$132=TRUE),--(calc!$W$3:$W$132&gt;W80))+(SUMPRODUCT(--(calc!$U$3:$U$132=TRUE),--(calc!$W$3:$W$132=W80))-1)/2,"")</f>
        <v/>
      </c>
      <c r="AB80" s="5">
        <f>IF(U80,SUMPRODUCT(--(calc!$U$3:$U$132=TRUE),--(ROW(calc!$U$3:$U$132)&gt;ROW(U80)),--(((calc!$Z$3:$Z$132&gt;Z80)*(calc!$AA$3:$AA$132&gt;AA80)+(calc!$Z$3:$Z$132&lt;Z80)*(calc!$AA$3:$AA$132&lt;AA80))&gt;0))-SUMPRODUCT(--(calc!$U$3:$U$132=TRUE),--(ROW(calc!$U$3:$U$132)&gt;ROW(U80)),--(((calc!$Z$3:$Z$132&gt;Z80)*(calc!$AA$3:$AA$132&lt;AA80)+(calc!$Z$3:$Z$132&lt;Z80)*(calc!$AA$3:$AA$132&gt;AA80))&gt;0)),0)</f>
        <v/>
      </c>
      <c r="AC80" s="5">
        <f>IF(mos_metrics!I79="","",mos_metrics!I79)</f>
        <v/>
      </c>
      <c r="AD80" s="2">
        <f>AND($J80,ISNUMBER(AC80),correlation!$I$28=1)</f>
        <v/>
      </c>
      <c r="AE80" s="5">
        <f>IF(AD80,$F80,"")</f>
        <v/>
      </c>
      <c r="AF80" s="5">
        <f>IF(AD80,AC80*correlation!$J$28,"")</f>
        <v/>
      </c>
      <c r="AG80" s="5">
        <f>IF(AND(AD80,ISNUMBER(correlation!$F$28)),AF80*correlation!$F$28+correlation!$G$28,"")</f>
        <v/>
      </c>
      <c r="AH80" s="5">
        <f>IF(AND(AD80,ISNUMBER(AG80)),(AE80-AG80)^2,"")</f>
        <v/>
      </c>
      <c r="AI80" s="5">
        <f>IF(AD80,1+SUMPRODUCT(--(calc!$AD$3:$AD$132=TRUE),--(calc!$AE$3:$AE$132&gt;AE80))+(SUMPRODUCT(--(calc!$AD$3:$AD$132=TRUE),--(calc!$AE$3:$AE$132=AE80))-1)/2,"")</f>
        <v/>
      </c>
      <c r="AJ80" s="5">
        <f>IF(AD80,1+SUMPRODUCT(--(calc!$AD$3:$AD$132=TRUE),--(calc!$AF$3:$AF$132&gt;AF80))+(SUMPRODUCT(--(calc!$AD$3:$AD$132=TRUE),--(calc!$AF$3:$AF$132=AF80))-1)/2,"")</f>
        <v/>
      </c>
      <c r="AK80" s="5">
        <f>IF(AD80,SUMPRODUCT(--(calc!$AD$3:$AD$132=TRUE),--(ROW(calc!$AD$3:$AD$132)&gt;ROW(AD80)),--(((calc!$AI$3:$AI$132&gt;AI80)*(calc!$AJ$3:$AJ$132&gt;AJ80)+(calc!$AI$3:$AI$132&lt;AI80)*(calc!$AJ$3:$AJ$132&lt;AJ80))&gt;0))-SUMPRODUCT(--(calc!$AD$3:$AD$132=TRUE),--(ROW(calc!$AD$3:$AD$132)&gt;ROW(AD80)),--(((calc!$AI$3:$AI$132&gt;AI80)*(calc!$AJ$3:$AJ$132&lt;AJ80)+(calc!$AI$3:$AI$132&lt;AI80)*(calc!$AJ$3:$AJ$132&gt;AJ80))&gt;0)),0)</f>
        <v/>
      </c>
      <c r="AL80" s="5">
        <f>IF(mos_metrics!J79="","",mos_metrics!J79)</f>
        <v/>
      </c>
      <c r="AM80" s="2">
        <f>AND($J80,ISNUMBER(AL80),correlation!$I$29=1)</f>
        <v/>
      </c>
      <c r="AN80" s="5">
        <f>IF(AM80,$F80,"")</f>
        <v/>
      </c>
      <c r="AO80" s="5">
        <f>IF(AM80,AL80*correlation!$J$29,"")</f>
        <v/>
      </c>
      <c r="AP80" s="5">
        <f>IF(AND(AM80,ISNUMBER(correlation!$F$29)),AO80*correlation!$F$29+correlation!$G$29,"")</f>
        <v/>
      </c>
      <c r="AQ80" s="5">
        <f>IF(AND(AM80,ISNUMBER(AP80)),(AN80-AP80)^2,"")</f>
        <v/>
      </c>
      <c r="AR80" s="5">
        <f>IF(AM80,1+SUMPRODUCT(--(calc!$AM$3:$AM$132=TRUE),--(calc!$AN$3:$AN$132&gt;AN80))+(SUMPRODUCT(--(calc!$AM$3:$AM$132=TRUE),--(calc!$AN$3:$AN$132=AN80))-1)/2,"")</f>
        <v/>
      </c>
      <c r="AS80" s="5">
        <f>IF(AM80,1+SUMPRODUCT(--(calc!$AM$3:$AM$132=TRUE),--(calc!$AO$3:$AO$132&gt;AO80))+(SUMPRODUCT(--(calc!$AM$3:$AM$132=TRUE),--(calc!$AO$3:$AO$132=AO80))-1)/2,"")</f>
        <v/>
      </c>
      <c r="AT80" s="5">
        <f>IF(AM80,SUMPRODUCT(--(calc!$AM$3:$AM$132=TRUE),--(ROW(calc!$AM$3:$AM$132)&gt;ROW(AM80)),--(((calc!$AR$3:$AR$132&gt;AR80)*(calc!$AS$3:$AS$132&gt;AS80)+(calc!$AR$3:$AR$132&lt;AR80)*(calc!$AS$3:$AS$132&lt;AS80))&gt;0))-SUMPRODUCT(--(calc!$AM$3:$AM$132=TRUE),--(ROW(calc!$AM$3:$AM$132)&gt;ROW(AM80)),--(((calc!$AR$3:$AR$132&gt;AR80)*(calc!$AS$3:$AS$132&lt;AS80)+(calc!$AR$3:$AR$132&lt;AR80)*(calc!$AS$3:$AS$132&gt;AS80))&gt;0)),0)</f>
        <v/>
      </c>
      <c r="AU80" s="5">
        <f>IF(mos_metrics!K79="","",mos_metrics!K79)</f>
        <v/>
      </c>
      <c r="AV80" s="2">
        <f>AND($J80,ISNUMBER(AU80),correlation!$I$30=1)</f>
        <v/>
      </c>
      <c r="AW80" s="5">
        <f>IF(AV80,$F80,"")</f>
        <v/>
      </c>
      <c r="AX80" s="5">
        <f>IF(AV80,AU80*correlation!$J$30,"")</f>
        <v/>
      </c>
      <c r="AY80" s="5">
        <f>IF(AND(AV80,ISNUMBER(correlation!$F$30)),AX80*correlation!$F$30+correlation!$G$30,"")</f>
        <v/>
      </c>
      <c r="AZ80" s="5">
        <f>IF(AND(AV80,ISNUMBER(AY80)),(AW80-AY80)^2,"")</f>
        <v/>
      </c>
      <c r="BA80" s="5">
        <f>IF(AV80,1+SUMPRODUCT(--(calc!$AV$3:$AV$132=TRUE),--(calc!$AW$3:$AW$132&gt;AW80))+(SUMPRODUCT(--(calc!$AV$3:$AV$132=TRUE),--(calc!$AW$3:$AW$132=AW80))-1)/2,"")</f>
        <v/>
      </c>
      <c r="BB80" s="5">
        <f>IF(AV80,1+SUMPRODUCT(--(calc!$AV$3:$AV$132=TRUE),--(calc!$AX$3:$AX$132&gt;AX80))+(SUMPRODUCT(--(calc!$AV$3:$AV$132=TRUE),--(calc!$AX$3:$AX$132=AX80))-1)/2,"")</f>
        <v/>
      </c>
      <c r="BC80" s="5">
        <f>IF(AV80,SUMPRODUCT(--(calc!$AV$3:$AV$132=TRUE),--(ROW(calc!$AV$3:$AV$132)&gt;ROW(AV80)),--(((calc!$BA$3:$BA$132&gt;BA80)*(calc!$BB$3:$BB$132&gt;BB80)+(calc!$BA$3:$BA$132&lt;BA80)*(calc!$BB$3:$BB$132&lt;BB80))&gt;0))-SUMPRODUCT(--(calc!$AV$3:$AV$132=TRUE),--(ROW(calc!$AV$3:$AV$132)&gt;ROW(AV80)),--(((calc!$BA$3:$BA$132&gt;BA80)*(calc!$BB$3:$BB$132&lt;BB80)+(calc!$BA$3:$BA$132&lt;BA80)*(calc!$BB$3:$BB$132&gt;BB80))&gt;0)),0)</f>
        <v/>
      </c>
      <c r="BD80" s="5">
        <f>IF(mos_metrics!L79="","",mos_metrics!L79)</f>
        <v/>
      </c>
      <c r="BE80" s="2">
        <f>AND($J80,ISNUMBER(BD80),correlation!$I$31=1)</f>
        <v/>
      </c>
      <c r="BF80" s="5">
        <f>IF(BE80,$F80,"")</f>
        <v/>
      </c>
      <c r="BG80" s="5">
        <f>IF(BE80,BD80*correlation!$J$31,"")</f>
        <v/>
      </c>
      <c r="BH80" s="5">
        <f>IF(AND(BE80,ISNUMBER(correlation!$F$31)),BG80*correlation!$F$31+correlation!$G$31,"")</f>
        <v/>
      </c>
      <c r="BI80" s="5">
        <f>IF(AND(BE80,ISNUMBER(BH80)),(BF80-BH80)^2,"")</f>
        <v/>
      </c>
      <c r="BJ80" s="5">
        <f>IF(BE80,1+SUMPRODUCT(--(calc!$BE$3:$BE$132=TRUE),--(calc!$BF$3:$BF$132&gt;BF80))+(SUMPRODUCT(--(calc!$BE$3:$BE$132=TRUE),--(calc!$BF$3:$BF$132=BF80))-1)/2,"")</f>
        <v/>
      </c>
      <c r="BK80" s="5">
        <f>IF(BE80,1+SUMPRODUCT(--(calc!$BE$3:$BE$132=TRUE),--(calc!$BG$3:$BG$132&gt;BG80))+(SUMPRODUCT(--(calc!$BE$3:$BE$132=TRUE),--(calc!$BG$3:$BG$132=BG80))-1)/2,"")</f>
        <v/>
      </c>
      <c r="BL80" s="5">
        <f>IF(BE80,SUMPRODUCT(--(calc!$BE$3:$BE$132=TRUE),--(ROW(calc!$BE$3:$BE$132)&gt;ROW(BE80)),--(((calc!$BJ$3:$BJ$132&gt;BJ80)*(calc!$BK$3:$BK$132&gt;BK80)+(calc!$BJ$3:$BJ$132&lt;BJ80)*(calc!$BK$3:$BK$132&lt;BK80))&gt;0))-SUMPRODUCT(--(calc!$BE$3:$BE$132=TRUE),--(ROW(calc!$BE$3:$BE$132)&gt;ROW(BE80)),--(((calc!$BJ$3:$BJ$132&gt;BJ80)*(calc!$BK$3:$BK$132&lt;BK80)+(calc!$BJ$3:$BJ$132&lt;BJ80)*(calc!$BK$3:$BK$132&gt;BK80))&gt;0)),0)</f>
        <v/>
      </c>
      <c r="BM80" s="5">
        <f>IF(mos_metrics!M79="","",mos_metrics!M79)</f>
        <v/>
      </c>
      <c r="BN80" s="2">
        <f>AND($J80,ISNUMBER(BM80),correlation!$I$32=1)</f>
        <v/>
      </c>
      <c r="BO80" s="5">
        <f>IF(BN80,$F80,"")</f>
        <v/>
      </c>
      <c r="BP80" s="5">
        <f>IF(BN80,BM80*correlation!$J$32,"")</f>
        <v/>
      </c>
      <c r="BQ80" s="5">
        <f>IF(AND(BN80,ISNUMBER(correlation!$F$32)),BP80*correlation!$F$32+correlation!$G$32,"")</f>
        <v/>
      </c>
      <c r="BR80" s="5">
        <f>IF(AND(BN80,ISNUMBER(BQ80)),(BO80-BQ80)^2,"")</f>
        <v/>
      </c>
      <c r="BS80" s="5">
        <f>IF(BN80,1+SUMPRODUCT(--(calc!$BN$3:$BN$132=TRUE),--(calc!$BO$3:$BO$132&gt;BO80))+(SUMPRODUCT(--(calc!$BN$3:$BN$132=TRUE),--(calc!$BO$3:$BO$132=BO80))-1)/2,"")</f>
        <v/>
      </c>
      <c r="BT80" s="5">
        <f>IF(BN80,1+SUMPRODUCT(--(calc!$BN$3:$BN$132=TRUE),--(calc!$BP$3:$BP$132&gt;BP80))+(SUMPRODUCT(--(calc!$BN$3:$BN$132=TRUE),--(calc!$BP$3:$BP$132=BP80))-1)/2,"")</f>
        <v/>
      </c>
      <c r="BU80" s="5">
        <f>IF(BN80,SUMPRODUCT(--(calc!$BN$3:$BN$132=TRUE),--(ROW(calc!$BN$3:$BN$132)&gt;ROW(BN80)),--(((calc!$BS$3:$BS$132&gt;BS80)*(calc!$BT$3:$BT$132&gt;BT80)+(calc!$BS$3:$BS$132&lt;BS80)*(calc!$BT$3:$BT$132&lt;BT80))&gt;0))-SUMPRODUCT(--(calc!$BN$3:$BN$132=TRUE),--(ROW(calc!$BN$3:$BN$132)&gt;ROW(BN80)),--(((calc!$BS$3:$BS$132&gt;BS80)*(calc!$BT$3:$BT$132&lt;BT80)+(calc!$BS$3:$BS$132&lt;BS80)*(calc!$BT$3:$BT$132&gt;BT80))&gt;0)),0)</f>
        <v/>
      </c>
    </row>
    <row r="81">
      <c r="A81" s="2">
        <f>mos_metrics!A80</f>
        <v/>
      </c>
      <c r="B81" s="2">
        <f>mos_metrics!B80</f>
        <v/>
      </c>
      <c r="C81" s="2">
        <f>mos_metrics!C80</f>
        <v/>
      </c>
      <c r="D81" s="2">
        <f>mos_metrics!D80</f>
        <v/>
      </c>
      <c r="E81" s="2">
        <f>mos_metrics!E80</f>
        <v/>
      </c>
      <c r="F81" s="2">
        <f>mos_metrics!F80</f>
        <v/>
      </c>
      <c r="G81" s="2">
        <f>IF($B81="","",IFERROR(VLOOKUP($B81,correlation!$A$2:$B$12,2,FALSE),1))</f>
        <v/>
      </c>
      <c r="H81" s="2">
        <f>IF($E81="","",IFERROR(VLOOKUP($E81,correlation!$D$2:$E$8,2,FALSE),1))</f>
        <v/>
      </c>
      <c r="I81" s="2">
        <f>ISNUMBER($F81)</f>
        <v/>
      </c>
      <c r="J81" s="2">
        <f>AND($G81=1,$H81=1,$I81)</f>
        <v/>
      </c>
      <c r="K81" s="5">
        <f>IF(mos_metrics!G80="","",mos_metrics!G80)</f>
        <v/>
      </c>
      <c r="L81" s="2">
        <f>AND($J81,ISNUMBER(K81),correlation!$I$26=1)</f>
        <v/>
      </c>
      <c r="M81" s="5">
        <f>IF(L81,$F81,"")</f>
        <v/>
      </c>
      <c r="N81" s="5">
        <f>IF(L81,K81*correlation!$J$26,"")</f>
        <v/>
      </c>
      <c r="O81" s="5">
        <f>IF(AND(L81,ISNUMBER(correlation!$F$26)),N81*correlation!$F$26+correlation!$G$26,"")</f>
        <v/>
      </c>
      <c r="P81" s="5">
        <f>IF(AND(L81,ISNUMBER(O81)),(M81-O81)^2,"")</f>
        <v/>
      </c>
      <c r="Q81" s="5">
        <f>IF(L81,1+SUMPRODUCT(--(calc!$L$3:$L$132=TRUE),--(calc!$M$3:$M$132&gt;M81))+(SUMPRODUCT(--(calc!$L$3:$L$132=TRUE),--(calc!$M$3:$M$132=M81))-1)/2,"")</f>
        <v/>
      </c>
      <c r="R81" s="5">
        <f>IF(L81,1+SUMPRODUCT(--(calc!$L$3:$L$132=TRUE),--(calc!$N$3:$N$132&gt;N81))+(SUMPRODUCT(--(calc!$L$3:$L$132=TRUE),--(calc!$N$3:$N$132=N81))-1)/2,"")</f>
        <v/>
      </c>
      <c r="S81" s="5">
        <f>IF(L81,SUMPRODUCT(--(calc!$L$3:$L$132=TRUE),--(ROW(calc!$L$3:$L$132)&gt;ROW(L81)),--(((calc!$Q$3:$Q$132&gt;Q81)*(calc!$R$3:$R$132&gt;R81)+(calc!$Q$3:$Q$132&lt;Q81)*(calc!$R$3:$R$132&lt;R81))&gt;0))-SUMPRODUCT(--(calc!$L$3:$L$132=TRUE),--(ROW(calc!$L$3:$L$132)&gt;ROW(L81)),--(((calc!$Q$3:$Q$132&gt;Q81)*(calc!$R$3:$R$132&lt;R81)+(calc!$Q$3:$Q$132&lt;Q81)*(calc!$R$3:$R$132&gt;R81))&gt;0)),0)</f>
        <v/>
      </c>
      <c r="T81" s="5">
        <f>IF(mos_metrics!H80="","",mos_metrics!H80)</f>
        <v/>
      </c>
      <c r="U81" s="2">
        <f>AND($J81,ISNUMBER(T81),correlation!$I$27=1)</f>
        <v/>
      </c>
      <c r="V81" s="5">
        <f>IF(U81,$F81,"")</f>
        <v/>
      </c>
      <c r="W81" s="5">
        <f>IF(U81,T81*correlation!$J$27,"")</f>
        <v/>
      </c>
      <c r="X81" s="5">
        <f>IF(AND(U81,ISNUMBER(correlation!$F$27)),W81*correlation!$F$27+correlation!$G$27,"")</f>
        <v/>
      </c>
      <c r="Y81" s="5">
        <f>IF(AND(U81,ISNUMBER(X81)),(V81-X81)^2,"")</f>
        <v/>
      </c>
      <c r="Z81" s="5">
        <f>IF(U81,1+SUMPRODUCT(--(calc!$U$3:$U$132=TRUE),--(calc!$V$3:$V$132&gt;V81))+(SUMPRODUCT(--(calc!$U$3:$U$132=TRUE),--(calc!$V$3:$V$132=V81))-1)/2,"")</f>
        <v/>
      </c>
      <c r="AA81" s="5">
        <f>IF(U81,1+SUMPRODUCT(--(calc!$U$3:$U$132=TRUE),--(calc!$W$3:$W$132&gt;W81))+(SUMPRODUCT(--(calc!$U$3:$U$132=TRUE),--(calc!$W$3:$W$132=W81))-1)/2,"")</f>
        <v/>
      </c>
      <c r="AB81" s="5">
        <f>IF(U81,SUMPRODUCT(--(calc!$U$3:$U$132=TRUE),--(ROW(calc!$U$3:$U$132)&gt;ROW(U81)),--(((calc!$Z$3:$Z$132&gt;Z81)*(calc!$AA$3:$AA$132&gt;AA81)+(calc!$Z$3:$Z$132&lt;Z81)*(calc!$AA$3:$AA$132&lt;AA81))&gt;0))-SUMPRODUCT(--(calc!$U$3:$U$132=TRUE),--(ROW(calc!$U$3:$U$132)&gt;ROW(U81)),--(((calc!$Z$3:$Z$132&gt;Z81)*(calc!$AA$3:$AA$132&lt;AA81)+(calc!$Z$3:$Z$132&lt;Z81)*(calc!$AA$3:$AA$132&gt;AA81))&gt;0)),0)</f>
        <v/>
      </c>
      <c r="AC81" s="5">
        <f>IF(mos_metrics!I80="","",mos_metrics!I80)</f>
        <v/>
      </c>
      <c r="AD81" s="2">
        <f>AND($J81,ISNUMBER(AC81),correlation!$I$28=1)</f>
        <v/>
      </c>
      <c r="AE81" s="5">
        <f>IF(AD81,$F81,"")</f>
        <v/>
      </c>
      <c r="AF81" s="5">
        <f>IF(AD81,AC81*correlation!$J$28,"")</f>
        <v/>
      </c>
      <c r="AG81" s="5">
        <f>IF(AND(AD81,ISNUMBER(correlation!$F$28)),AF81*correlation!$F$28+correlation!$G$28,"")</f>
        <v/>
      </c>
      <c r="AH81" s="5">
        <f>IF(AND(AD81,ISNUMBER(AG81)),(AE81-AG81)^2,"")</f>
        <v/>
      </c>
      <c r="AI81" s="5">
        <f>IF(AD81,1+SUMPRODUCT(--(calc!$AD$3:$AD$132=TRUE),--(calc!$AE$3:$AE$132&gt;AE81))+(SUMPRODUCT(--(calc!$AD$3:$AD$132=TRUE),--(calc!$AE$3:$AE$132=AE81))-1)/2,"")</f>
        <v/>
      </c>
      <c r="AJ81" s="5">
        <f>IF(AD81,1+SUMPRODUCT(--(calc!$AD$3:$AD$132=TRUE),--(calc!$AF$3:$AF$132&gt;AF81))+(SUMPRODUCT(--(calc!$AD$3:$AD$132=TRUE),--(calc!$AF$3:$AF$132=AF81))-1)/2,"")</f>
        <v/>
      </c>
      <c r="AK81" s="5">
        <f>IF(AD81,SUMPRODUCT(--(calc!$AD$3:$AD$132=TRUE),--(ROW(calc!$AD$3:$AD$132)&gt;ROW(AD81)),--(((calc!$AI$3:$AI$132&gt;AI81)*(calc!$AJ$3:$AJ$132&gt;AJ81)+(calc!$AI$3:$AI$132&lt;AI81)*(calc!$AJ$3:$AJ$132&lt;AJ81))&gt;0))-SUMPRODUCT(--(calc!$AD$3:$AD$132=TRUE),--(ROW(calc!$AD$3:$AD$132)&gt;ROW(AD81)),--(((calc!$AI$3:$AI$132&gt;AI81)*(calc!$AJ$3:$AJ$132&lt;AJ81)+(calc!$AI$3:$AI$132&lt;AI81)*(calc!$AJ$3:$AJ$132&gt;AJ81))&gt;0)),0)</f>
        <v/>
      </c>
      <c r="AL81" s="5">
        <f>IF(mos_metrics!J80="","",mos_metrics!J80)</f>
        <v/>
      </c>
      <c r="AM81" s="2">
        <f>AND($J81,ISNUMBER(AL81),correlation!$I$29=1)</f>
        <v/>
      </c>
      <c r="AN81" s="5">
        <f>IF(AM81,$F81,"")</f>
        <v/>
      </c>
      <c r="AO81" s="5">
        <f>IF(AM81,AL81*correlation!$J$29,"")</f>
        <v/>
      </c>
      <c r="AP81" s="5">
        <f>IF(AND(AM81,ISNUMBER(correlation!$F$29)),AO81*correlation!$F$29+correlation!$G$29,"")</f>
        <v/>
      </c>
      <c r="AQ81" s="5">
        <f>IF(AND(AM81,ISNUMBER(AP81)),(AN81-AP81)^2,"")</f>
        <v/>
      </c>
      <c r="AR81" s="5">
        <f>IF(AM81,1+SUMPRODUCT(--(calc!$AM$3:$AM$132=TRUE),--(calc!$AN$3:$AN$132&gt;AN81))+(SUMPRODUCT(--(calc!$AM$3:$AM$132=TRUE),--(calc!$AN$3:$AN$132=AN81))-1)/2,"")</f>
        <v/>
      </c>
      <c r="AS81" s="5">
        <f>IF(AM81,1+SUMPRODUCT(--(calc!$AM$3:$AM$132=TRUE),--(calc!$AO$3:$AO$132&gt;AO81))+(SUMPRODUCT(--(calc!$AM$3:$AM$132=TRUE),--(calc!$AO$3:$AO$132=AO81))-1)/2,"")</f>
        <v/>
      </c>
      <c r="AT81" s="5">
        <f>IF(AM81,SUMPRODUCT(--(calc!$AM$3:$AM$132=TRUE),--(ROW(calc!$AM$3:$AM$132)&gt;ROW(AM81)),--(((calc!$AR$3:$AR$132&gt;AR81)*(calc!$AS$3:$AS$132&gt;AS81)+(calc!$AR$3:$AR$132&lt;AR81)*(calc!$AS$3:$AS$132&lt;AS81))&gt;0))-SUMPRODUCT(--(calc!$AM$3:$AM$132=TRUE),--(ROW(calc!$AM$3:$AM$132)&gt;ROW(AM81)),--(((calc!$AR$3:$AR$132&gt;AR81)*(calc!$AS$3:$AS$132&lt;AS81)+(calc!$AR$3:$AR$132&lt;AR81)*(calc!$AS$3:$AS$132&gt;AS81))&gt;0)),0)</f>
        <v/>
      </c>
      <c r="AU81" s="5">
        <f>IF(mos_metrics!K80="","",mos_metrics!K80)</f>
        <v/>
      </c>
      <c r="AV81" s="2">
        <f>AND($J81,ISNUMBER(AU81),correlation!$I$30=1)</f>
        <v/>
      </c>
      <c r="AW81" s="5">
        <f>IF(AV81,$F81,"")</f>
        <v/>
      </c>
      <c r="AX81" s="5">
        <f>IF(AV81,AU81*correlation!$J$30,"")</f>
        <v/>
      </c>
      <c r="AY81" s="5">
        <f>IF(AND(AV81,ISNUMBER(correlation!$F$30)),AX81*correlation!$F$30+correlation!$G$30,"")</f>
        <v/>
      </c>
      <c r="AZ81" s="5">
        <f>IF(AND(AV81,ISNUMBER(AY81)),(AW81-AY81)^2,"")</f>
        <v/>
      </c>
      <c r="BA81" s="5">
        <f>IF(AV81,1+SUMPRODUCT(--(calc!$AV$3:$AV$132=TRUE),--(calc!$AW$3:$AW$132&gt;AW81))+(SUMPRODUCT(--(calc!$AV$3:$AV$132=TRUE),--(calc!$AW$3:$AW$132=AW81))-1)/2,"")</f>
        <v/>
      </c>
      <c r="BB81" s="5">
        <f>IF(AV81,1+SUMPRODUCT(--(calc!$AV$3:$AV$132=TRUE),--(calc!$AX$3:$AX$132&gt;AX81))+(SUMPRODUCT(--(calc!$AV$3:$AV$132=TRUE),--(calc!$AX$3:$AX$132=AX81))-1)/2,"")</f>
        <v/>
      </c>
      <c r="BC81" s="5">
        <f>IF(AV81,SUMPRODUCT(--(calc!$AV$3:$AV$132=TRUE),--(ROW(calc!$AV$3:$AV$132)&gt;ROW(AV81)),--(((calc!$BA$3:$BA$132&gt;BA81)*(calc!$BB$3:$BB$132&gt;BB81)+(calc!$BA$3:$BA$132&lt;BA81)*(calc!$BB$3:$BB$132&lt;BB81))&gt;0))-SUMPRODUCT(--(calc!$AV$3:$AV$132=TRUE),--(ROW(calc!$AV$3:$AV$132)&gt;ROW(AV81)),--(((calc!$BA$3:$BA$132&gt;BA81)*(calc!$BB$3:$BB$132&lt;BB81)+(calc!$BA$3:$BA$132&lt;BA81)*(calc!$BB$3:$BB$132&gt;BB81))&gt;0)),0)</f>
        <v/>
      </c>
      <c r="BD81" s="5">
        <f>IF(mos_metrics!L80="","",mos_metrics!L80)</f>
        <v/>
      </c>
      <c r="BE81" s="2">
        <f>AND($J81,ISNUMBER(BD81),correlation!$I$31=1)</f>
        <v/>
      </c>
      <c r="BF81" s="5">
        <f>IF(BE81,$F81,"")</f>
        <v/>
      </c>
      <c r="BG81" s="5">
        <f>IF(BE81,BD81*correlation!$J$31,"")</f>
        <v/>
      </c>
      <c r="BH81" s="5">
        <f>IF(AND(BE81,ISNUMBER(correlation!$F$31)),BG81*correlation!$F$31+correlation!$G$31,"")</f>
        <v/>
      </c>
      <c r="BI81" s="5">
        <f>IF(AND(BE81,ISNUMBER(BH81)),(BF81-BH81)^2,"")</f>
        <v/>
      </c>
      <c r="BJ81" s="5">
        <f>IF(BE81,1+SUMPRODUCT(--(calc!$BE$3:$BE$132=TRUE),--(calc!$BF$3:$BF$132&gt;BF81))+(SUMPRODUCT(--(calc!$BE$3:$BE$132=TRUE),--(calc!$BF$3:$BF$132=BF81))-1)/2,"")</f>
        <v/>
      </c>
      <c r="BK81" s="5">
        <f>IF(BE81,1+SUMPRODUCT(--(calc!$BE$3:$BE$132=TRUE),--(calc!$BG$3:$BG$132&gt;BG81))+(SUMPRODUCT(--(calc!$BE$3:$BE$132=TRUE),--(calc!$BG$3:$BG$132=BG81))-1)/2,"")</f>
        <v/>
      </c>
      <c r="BL81" s="5">
        <f>IF(BE81,SUMPRODUCT(--(calc!$BE$3:$BE$132=TRUE),--(ROW(calc!$BE$3:$BE$132)&gt;ROW(BE81)),--(((calc!$BJ$3:$BJ$132&gt;BJ81)*(calc!$BK$3:$BK$132&gt;BK81)+(calc!$BJ$3:$BJ$132&lt;BJ81)*(calc!$BK$3:$BK$132&lt;BK81))&gt;0))-SUMPRODUCT(--(calc!$BE$3:$BE$132=TRUE),--(ROW(calc!$BE$3:$BE$132)&gt;ROW(BE81)),--(((calc!$BJ$3:$BJ$132&gt;BJ81)*(calc!$BK$3:$BK$132&lt;BK81)+(calc!$BJ$3:$BJ$132&lt;BJ81)*(calc!$BK$3:$BK$132&gt;BK81))&gt;0)),0)</f>
        <v/>
      </c>
      <c r="BM81" s="5">
        <f>IF(mos_metrics!M80="","",mos_metrics!M80)</f>
        <v/>
      </c>
      <c r="BN81" s="2">
        <f>AND($J81,ISNUMBER(BM81),correlation!$I$32=1)</f>
        <v/>
      </c>
      <c r="BO81" s="5">
        <f>IF(BN81,$F81,"")</f>
        <v/>
      </c>
      <c r="BP81" s="5">
        <f>IF(BN81,BM81*correlation!$J$32,"")</f>
        <v/>
      </c>
      <c r="BQ81" s="5">
        <f>IF(AND(BN81,ISNUMBER(correlation!$F$32)),BP81*correlation!$F$32+correlation!$G$32,"")</f>
        <v/>
      </c>
      <c r="BR81" s="5">
        <f>IF(AND(BN81,ISNUMBER(BQ81)),(BO81-BQ81)^2,"")</f>
        <v/>
      </c>
      <c r="BS81" s="5">
        <f>IF(BN81,1+SUMPRODUCT(--(calc!$BN$3:$BN$132=TRUE),--(calc!$BO$3:$BO$132&gt;BO81))+(SUMPRODUCT(--(calc!$BN$3:$BN$132=TRUE),--(calc!$BO$3:$BO$132=BO81))-1)/2,"")</f>
        <v/>
      </c>
      <c r="BT81" s="5">
        <f>IF(BN81,1+SUMPRODUCT(--(calc!$BN$3:$BN$132=TRUE),--(calc!$BP$3:$BP$132&gt;BP81))+(SUMPRODUCT(--(calc!$BN$3:$BN$132=TRUE),--(calc!$BP$3:$BP$132=BP81))-1)/2,"")</f>
        <v/>
      </c>
      <c r="BU81" s="5">
        <f>IF(BN81,SUMPRODUCT(--(calc!$BN$3:$BN$132=TRUE),--(ROW(calc!$BN$3:$BN$132)&gt;ROW(BN81)),--(((calc!$BS$3:$BS$132&gt;BS81)*(calc!$BT$3:$BT$132&gt;BT81)+(calc!$BS$3:$BS$132&lt;BS81)*(calc!$BT$3:$BT$132&lt;BT81))&gt;0))-SUMPRODUCT(--(calc!$BN$3:$BN$132=TRUE),--(ROW(calc!$BN$3:$BN$132)&gt;ROW(BN81)),--(((calc!$BS$3:$BS$132&gt;BS81)*(calc!$BT$3:$BT$132&lt;BT81)+(calc!$BS$3:$BS$132&lt;BS81)*(calc!$BT$3:$BT$132&gt;BT81))&gt;0)),0)</f>
        <v/>
      </c>
    </row>
    <row r="82">
      <c r="A82" s="2">
        <f>mos_metrics!A81</f>
        <v/>
      </c>
      <c r="B82" s="2">
        <f>mos_metrics!B81</f>
        <v/>
      </c>
      <c r="C82" s="2">
        <f>mos_metrics!C81</f>
        <v/>
      </c>
      <c r="D82" s="2">
        <f>mos_metrics!D81</f>
        <v/>
      </c>
      <c r="E82" s="2">
        <f>mos_metrics!E81</f>
        <v/>
      </c>
      <c r="F82" s="2">
        <f>mos_metrics!F81</f>
        <v/>
      </c>
      <c r="G82" s="2">
        <f>IF($B82="","",IFERROR(VLOOKUP($B82,correlation!$A$2:$B$12,2,FALSE),1))</f>
        <v/>
      </c>
      <c r="H82" s="2">
        <f>IF($E82="","",IFERROR(VLOOKUP($E82,correlation!$D$2:$E$8,2,FALSE),1))</f>
        <v/>
      </c>
      <c r="I82" s="2">
        <f>ISNUMBER($F82)</f>
        <v/>
      </c>
      <c r="J82" s="2">
        <f>AND($G82=1,$H82=1,$I82)</f>
        <v/>
      </c>
      <c r="K82" s="5">
        <f>IF(mos_metrics!G81="","",mos_metrics!G81)</f>
        <v/>
      </c>
      <c r="L82" s="2">
        <f>AND($J82,ISNUMBER(K82),correlation!$I$26=1)</f>
        <v/>
      </c>
      <c r="M82" s="5">
        <f>IF(L82,$F82,"")</f>
        <v/>
      </c>
      <c r="N82" s="5">
        <f>IF(L82,K82*correlation!$J$26,"")</f>
        <v/>
      </c>
      <c r="O82" s="5">
        <f>IF(AND(L82,ISNUMBER(correlation!$F$26)),N82*correlation!$F$26+correlation!$G$26,"")</f>
        <v/>
      </c>
      <c r="P82" s="5">
        <f>IF(AND(L82,ISNUMBER(O82)),(M82-O82)^2,"")</f>
        <v/>
      </c>
      <c r="Q82" s="5">
        <f>IF(L82,1+SUMPRODUCT(--(calc!$L$3:$L$132=TRUE),--(calc!$M$3:$M$132&gt;M82))+(SUMPRODUCT(--(calc!$L$3:$L$132=TRUE),--(calc!$M$3:$M$132=M82))-1)/2,"")</f>
        <v/>
      </c>
      <c r="R82" s="5">
        <f>IF(L82,1+SUMPRODUCT(--(calc!$L$3:$L$132=TRUE),--(calc!$N$3:$N$132&gt;N82))+(SUMPRODUCT(--(calc!$L$3:$L$132=TRUE),--(calc!$N$3:$N$132=N82))-1)/2,"")</f>
        <v/>
      </c>
      <c r="S82" s="5">
        <f>IF(L82,SUMPRODUCT(--(calc!$L$3:$L$132=TRUE),--(ROW(calc!$L$3:$L$132)&gt;ROW(L82)),--(((calc!$Q$3:$Q$132&gt;Q82)*(calc!$R$3:$R$132&gt;R82)+(calc!$Q$3:$Q$132&lt;Q82)*(calc!$R$3:$R$132&lt;R82))&gt;0))-SUMPRODUCT(--(calc!$L$3:$L$132=TRUE),--(ROW(calc!$L$3:$L$132)&gt;ROW(L82)),--(((calc!$Q$3:$Q$132&gt;Q82)*(calc!$R$3:$R$132&lt;R82)+(calc!$Q$3:$Q$132&lt;Q82)*(calc!$R$3:$R$132&gt;R82))&gt;0)),0)</f>
        <v/>
      </c>
      <c r="T82" s="5">
        <f>IF(mos_metrics!H81="","",mos_metrics!H81)</f>
        <v/>
      </c>
      <c r="U82" s="2">
        <f>AND($J82,ISNUMBER(T82),correlation!$I$27=1)</f>
        <v/>
      </c>
      <c r="V82" s="5">
        <f>IF(U82,$F82,"")</f>
        <v/>
      </c>
      <c r="W82" s="5">
        <f>IF(U82,T82*correlation!$J$27,"")</f>
        <v/>
      </c>
      <c r="X82" s="5">
        <f>IF(AND(U82,ISNUMBER(correlation!$F$27)),W82*correlation!$F$27+correlation!$G$27,"")</f>
        <v/>
      </c>
      <c r="Y82" s="5">
        <f>IF(AND(U82,ISNUMBER(X82)),(V82-X82)^2,"")</f>
        <v/>
      </c>
      <c r="Z82" s="5">
        <f>IF(U82,1+SUMPRODUCT(--(calc!$U$3:$U$132=TRUE),--(calc!$V$3:$V$132&gt;V82))+(SUMPRODUCT(--(calc!$U$3:$U$132=TRUE),--(calc!$V$3:$V$132=V82))-1)/2,"")</f>
        <v/>
      </c>
      <c r="AA82" s="5">
        <f>IF(U82,1+SUMPRODUCT(--(calc!$U$3:$U$132=TRUE),--(calc!$W$3:$W$132&gt;W82))+(SUMPRODUCT(--(calc!$U$3:$U$132=TRUE),--(calc!$W$3:$W$132=W82))-1)/2,"")</f>
        <v/>
      </c>
      <c r="AB82" s="5">
        <f>IF(U82,SUMPRODUCT(--(calc!$U$3:$U$132=TRUE),--(ROW(calc!$U$3:$U$132)&gt;ROW(U82)),--(((calc!$Z$3:$Z$132&gt;Z82)*(calc!$AA$3:$AA$132&gt;AA82)+(calc!$Z$3:$Z$132&lt;Z82)*(calc!$AA$3:$AA$132&lt;AA82))&gt;0))-SUMPRODUCT(--(calc!$U$3:$U$132=TRUE),--(ROW(calc!$U$3:$U$132)&gt;ROW(U82)),--(((calc!$Z$3:$Z$132&gt;Z82)*(calc!$AA$3:$AA$132&lt;AA82)+(calc!$Z$3:$Z$132&lt;Z82)*(calc!$AA$3:$AA$132&gt;AA82))&gt;0)),0)</f>
        <v/>
      </c>
      <c r="AC82" s="5">
        <f>IF(mos_metrics!I81="","",mos_metrics!I81)</f>
        <v/>
      </c>
      <c r="AD82" s="2">
        <f>AND($J82,ISNUMBER(AC82),correlation!$I$28=1)</f>
        <v/>
      </c>
      <c r="AE82" s="5">
        <f>IF(AD82,$F82,"")</f>
        <v/>
      </c>
      <c r="AF82" s="5">
        <f>IF(AD82,AC82*correlation!$J$28,"")</f>
        <v/>
      </c>
      <c r="AG82" s="5">
        <f>IF(AND(AD82,ISNUMBER(correlation!$F$28)),AF82*correlation!$F$28+correlation!$G$28,"")</f>
        <v/>
      </c>
      <c r="AH82" s="5">
        <f>IF(AND(AD82,ISNUMBER(AG82)),(AE82-AG82)^2,"")</f>
        <v/>
      </c>
      <c r="AI82" s="5">
        <f>IF(AD82,1+SUMPRODUCT(--(calc!$AD$3:$AD$132=TRUE),--(calc!$AE$3:$AE$132&gt;AE82))+(SUMPRODUCT(--(calc!$AD$3:$AD$132=TRUE),--(calc!$AE$3:$AE$132=AE82))-1)/2,"")</f>
        <v/>
      </c>
      <c r="AJ82" s="5">
        <f>IF(AD82,1+SUMPRODUCT(--(calc!$AD$3:$AD$132=TRUE),--(calc!$AF$3:$AF$132&gt;AF82))+(SUMPRODUCT(--(calc!$AD$3:$AD$132=TRUE),--(calc!$AF$3:$AF$132=AF82))-1)/2,"")</f>
        <v/>
      </c>
      <c r="AK82" s="5">
        <f>IF(AD82,SUMPRODUCT(--(calc!$AD$3:$AD$132=TRUE),--(ROW(calc!$AD$3:$AD$132)&gt;ROW(AD82)),--(((calc!$AI$3:$AI$132&gt;AI82)*(calc!$AJ$3:$AJ$132&gt;AJ82)+(calc!$AI$3:$AI$132&lt;AI82)*(calc!$AJ$3:$AJ$132&lt;AJ82))&gt;0))-SUMPRODUCT(--(calc!$AD$3:$AD$132=TRUE),--(ROW(calc!$AD$3:$AD$132)&gt;ROW(AD82)),--(((calc!$AI$3:$AI$132&gt;AI82)*(calc!$AJ$3:$AJ$132&lt;AJ82)+(calc!$AI$3:$AI$132&lt;AI82)*(calc!$AJ$3:$AJ$132&gt;AJ82))&gt;0)),0)</f>
        <v/>
      </c>
      <c r="AL82" s="5">
        <f>IF(mos_metrics!J81="","",mos_metrics!J81)</f>
        <v/>
      </c>
      <c r="AM82" s="2">
        <f>AND($J82,ISNUMBER(AL82),correlation!$I$29=1)</f>
        <v/>
      </c>
      <c r="AN82" s="5">
        <f>IF(AM82,$F82,"")</f>
        <v/>
      </c>
      <c r="AO82" s="5">
        <f>IF(AM82,AL82*correlation!$J$29,"")</f>
        <v/>
      </c>
      <c r="AP82" s="5">
        <f>IF(AND(AM82,ISNUMBER(correlation!$F$29)),AO82*correlation!$F$29+correlation!$G$29,"")</f>
        <v/>
      </c>
      <c r="AQ82" s="5">
        <f>IF(AND(AM82,ISNUMBER(AP82)),(AN82-AP82)^2,"")</f>
        <v/>
      </c>
      <c r="AR82" s="5">
        <f>IF(AM82,1+SUMPRODUCT(--(calc!$AM$3:$AM$132=TRUE),--(calc!$AN$3:$AN$132&gt;AN82))+(SUMPRODUCT(--(calc!$AM$3:$AM$132=TRUE),--(calc!$AN$3:$AN$132=AN82))-1)/2,"")</f>
        <v/>
      </c>
      <c r="AS82" s="5">
        <f>IF(AM82,1+SUMPRODUCT(--(calc!$AM$3:$AM$132=TRUE),--(calc!$AO$3:$AO$132&gt;AO82))+(SUMPRODUCT(--(calc!$AM$3:$AM$132=TRUE),--(calc!$AO$3:$AO$132=AO82))-1)/2,"")</f>
        <v/>
      </c>
      <c r="AT82" s="5">
        <f>IF(AM82,SUMPRODUCT(--(calc!$AM$3:$AM$132=TRUE),--(ROW(calc!$AM$3:$AM$132)&gt;ROW(AM82)),--(((calc!$AR$3:$AR$132&gt;AR82)*(calc!$AS$3:$AS$132&gt;AS82)+(calc!$AR$3:$AR$132&lt;AR82)*(calc!$AS$3:$AS$132&lt;AS82))&gt;0))-SUMPRODUCT(--(calc!$AM$3:$AM$132=TRUE),--(ROW(calc!$AM$3:$AM$132)&gt;ROW(AM82)),--(((calc!$AR$3:$AR$132&gt;AR82)*(calc!$AS$3:$AS$132&lt;AS82)+(calc!$AR$3:$AR$132&lt;AR82)*(calc!$AS$3:$AS$132&gt;AS82))&gt;0)),0)</f>
        <v/>
      </c>
      <c r="AU82" s="5">
        <f>IF(mos_metrics!K81="","",mos_metrics!K81)</f>
        <v/>
      </c>
      <c r="AV82" s="2">
        <f>AND($J82,ISNUMBER(AU82),correlation!$I$30=1)</f>
        <v/>
      </c>
      <c r="AW82" s="5">
        <f>IF(AV82,$F82,"")</f>
        <v/>
      </c>
      <c r="AX82" s="5">
        <f>IF(AV82,AU82*correlation!$J$30,"")</f>
        <v/>
      </c>
      <c r="AY82" s="5">
        <f>IF(AND(AV82,ISNUMBER(correlation!$F$30)),AX82*correlation!$F$30+correlation!$G$30,"")</f>
        <v/>
      </c>
      <c r="AZ82" s="5">
        <f>IF(AND(AV82,ISNUMBER(AY82)),(AW82-AY82)^2,"")</f>
        <v/>
      </c>
      <c r="BA82" s="5">
        <f>IF(AV82,1+SUMPRODUCT(--(calc!$AV$3:$AV$132=TRUE),--(calc!$AW$3:$AW$132&gt;AW82))+(SUMPRODUCT(--(calc!$AV$3:$AV$132=TRUE),--(calc!$AW$3:$AW$132=AW82))-1)/2,"")</f>
        <v/>
      </c>
      <c r="BB82" s="5">
        <f>IF(AV82,1+SUMPRODUCT(--(calc!$AV$3:$AV$132=TRUE),--(calc!$AX$3:$AX$132&gt;AX82))+(SUMPRODUCT(--(calc!$AV$3:$AV$132=TRUE),--(calc!$AX$3:$AX$132=AX82))-1)/2,"")</f>
        <v/>
      </c>
      <c r="BC82" s="5">
        <f>IF(AV82,SUMPRODUCT(--(calc!$AV$3:$AV$132=TRUE),--(ROW(calc!$AV$3:$AV$132)&gt;ROW(AV82)),--(((calc!$BA$3:$BA$132&gt;BA82)*(calc!$BB$3:$BB$132&gt;BB82)+(calc!$BA$3:$BA$132&lt;BA82)*(calc!$BB$3:$BB$132&lt;BB82))&gt;0))-SUMPRODUCT(--(calc!$AV$3:$AV$132=TRUE),--(ROW(calc!$AV$3:$AV$132)&gt;ROW(AV82)),--(((calc!$BA$3:$BA$132&gt;BA82)*(calc!$BB$3:$BB$132&lt;BB82)+(calc!$BA$3:$BA$132&lt;BA82)*(calc!$BB$3:$BB$132&gt;BB82))&gt;0)),0)</f>
        <v/>
      </c>
      <c r="BD82" s="5">
        <f>IF(mos_metrics!L81="","",mos_metrics!L81)</f>
        <v/>
      </c>
      <c r="BE82" s="2">
        <f>AND($J82,ISNUMBER(BD82),correlation!$I$31=1)</f>
        <v/>
      </c>
      <c r="BF82" s="5">
        <f>IF(BE82,$F82,"")</f>
        <v/>
      </c>
      <c r="BG82" s="5">
        <f>IF(BE82,BD82*correlation!$J$31,"")</f>
        <v/>
      </c>
      <c r="BH82" s="5">
        <f>IF(AND(BE82,ISNUMBER(correlation!$F$31)),BG82*correlation!$F$31+correlation!$G$31,"")</f>
        <v/>
      </c>
      <c r="BI82" s="5">
        <f>IF(AND(BE82,ISNUMBER(BH82)),(BF82-BH82)^2,"")</f>
        <v/>
      </c>
      <c r="BJ82" s="5">
        <f>IF(BE82,1+SUMPRODUCT(--(calc!$BE$3:$BE$132=TRUE),--(calc!$BF$3:$BF$132&gt;BF82))+(SUMPRODUCT(--(calc!$BE$3:$BE$132=TRUE),--(calc!$BF$3:$BF$132=BF82))-1)/2,"")</f>
        <v/>
      </c>
      <c r="BK82" s="5">
        <f>IF(BE82,1+SUMPRODUCT(--(calc!$BE$3:$BE$132=TRUE),--(calc!$BG$3:$BG$132&gt;BG82))+(SUMPRODUCT(--(calc!$BE$3:$BE$132=TRUE),--(calc!$BG$3:$BG$132=BG82))-1)/2,"")</f>
        <v/>
      </c>
      <c r="BL82" s="5">
        <f>IF(BE82,SUMPRODUCT(--(calc!$BE$3:$BE$132=TRUE),--(ROW(calc!$BE$3:$BE$132)&gt;ROW(BE82)),--(((calc!$BJ$3:$BJ$132&gt;BJ82)*(calc!$BK$3:$BK$132&gt;BK82)+(calc!$BJ$3:$BJ$132&lt;BJ82)*(calc!$BK$3:$BK$132&lt;BK82))&gt;0))-SUMPRODUCT(--(calc!$BE$3:$BE$132=TRUE),--(ROW(calc!$BE$3:$BE$132)&gt;ROW(BE82)),--(((calc!$BJ$3:$BJ$132&gt;BJ82)*(calc!$BK$3:$BK$132&lt;BK82)+(calc!$BJ$3:$BJ$132&lt;BJ82)*(calc!$BK$3:$BK$132&gt;BK82))&gt;0)),0)</f>
        <v/>
      </c>
      <c r="BM82" s="5">
        <f>IF(mos_metrics!M81="","",mos_metrics!M81)</f>
        <v/>
      </c>
      <c r="BN82" s="2">
        <f>AND($J82,ISNUMBER(BM82),correlation!$I$32=1)</f>
        <v/>
      </c>
      <c r="BO82" s="5">
        <f>IF(BN82,$F82,"")</f>
        <v/>
      </c>
      <c r="BP82" s="5">
        <f>IF(BN82,BM82*correlation!$J$32,"")</f>
        <v/>
      </c>
      <c r="BQ82" s="5">
        <f>IF(AND(BN82,ISNUMBER(correlation!$F$32)),BP82*correlation!$F$32+correlation!$G$32,"")</f>
        <v/>
      </c>
      <c r="BR82" s="5">
        <f>IF(AND(BN82,ISNUMBER(BQ82)),(BO82-BQ82)^2,"")</f>
        <v/>
      </c>
      <c r="BS82" s="5">
        <f>IF(BN82,1+SUMPRODUCT(--(calc!$BN$3:$BN$132=TRUE),--(calc!$BO$3:$BO$132&gt;BO82))+(SUMPRODUCT(--(calc!$BN$3:$BN$132=TRUE),--(calc!$BO$3:$BO$132=BO82))-1)/2,"")</f>
        <v/>
      </c>
      <c r="BT82" s="5">
        <f>IF(BN82,1+SUMPRODUCT(--(calc!$BN$3:$BN$132=TRUE),--(calc!$BP$3:$BP$132&gt;BP82))+(SUMPRODUCT(--(calc!$BN$3:$BN$132=TRUE),--(calc!$BP$3:$BP$132=BP82))-1)/2,"")</f>
        <v/>
      </c>
      <c r="BU82" s="5">
        <f>IF(BN82,SUMPRODUCT(--(calc!$BN$3:$BN$132=TRUE),--(ROW(calc!$BN$3:$BN$132)&gt;ROW(BN82)),--(((calc!$BS$3:$BS$132&gt;BS82)*(calc!$BT$3:$BT$132&gt;BT82)+(calc!$BS$3:$BS$132&lt;BS82)*(calc!$BT$3:$BT$132&lt;BT82))&gt;0))-SUMPRODUCT(--(calc!$BN$3:$BN$132=TRUE),--(ROW(calc!$BN$3:$BN$132)&gt;ROW(BN82)),--(((calc!$BS$3:$BS$132&gt;BS82)*(calc!$BT$3:$BT$132&lt;BT82)+(calc!$BS$3:$BS$132&lt;BS82)*(calc!$BT$3:$BT$132&gt;BT82))&gt;0)),0)</f>
        <v/>
      </c>
    </row>
    <row r="83">
      <c r="A83" s="2">
        <f>mos_metrics!A82</f>
        <v/>
      </c>
      <c r="B83" s="2">
        <f>mos_metrics!B82</f>
        <v/>
      </c>
      <c r="C83" s="2">
        <f>mos_metrics!C82</f>
        <v/>
      </c>
      <c r="D83" s="2">
        <f>mos_metrics!D82</f>
        <v/>
      </c>
      <c r="E83" s="2">
        <f>mos_metrics!E82</f>
        <v/>
      </c>
      <c r="F83" s="2">
        <f>mos_metrics!F82</f>
        <v/>
      </c>
      <c r="G83" s="2">
        <f>IF($B83="","",IFERROR(VLOOKUP($B83,correlation!$A$2:$B$12,2,FALSE),1))</f>
        <v/>
      </c>
      <c r="H83" s="2">
        <f>IF($E83="","",IFERROR(VLOOKUP($E83,correlation!$D$2:$E$8,2,FALSE),1))</f>
        <v/>
      </c>
      <c r="I83" s="2">
        <f>ISNUMBER($F83)</f>
        <v/>
      </c>
      <c r="J83" s="2">
        <f>AND($G83=1,$H83=1,$I83)</f>
        <v/>
      </c>
      <c r="K83" s="5">
        <f>IF(mos_metrics!G82="","",mos_metrics!G82)</f>
        <v/>
      </c>
      <c r="L83" s="2">
        <f>AND($J83,ISNUMBER(K83),correlation!$I$26=1)</f>
        <v/>
      </c>
      <c r="M83" s="5">
        <f>IF(L83,$F83,"")</f>
        <v/>
      </c>
      <c r="N83" s="5">
        <f>IF(L83,K83*correlation!$J$26,"")</f>
        <v/>
      </c>
      <c r="O83" s="5">
        <f>IF(AND(L83,ISNUMBER(correlation!$F$26)),N83*correlation!$F$26+correlation!$G$26,"")</f>
        <v/>
      </c>
      <c r="P83" s="5">
        <f>IF(AND(L83,ISNUMBER(O83)),(M83-O83)^2,"")</f>
        <v/>
      </c>
      <c r="Q83" s="5">
        <f>IF(L83,1+SUMPRODUCT(--(calc!$L$3:$L$132=TRUE),--(calc!$M$3:$M$132&gt;M83))+(SUMPRODUCT(--(calc!$L$3:$L$132=TRUE),--(calc!$M$3:$M$132=M83))-1)/2,"")</f>
        <v/>
      </c>
      <c r="R83" s="5">
        <f>IF(L83,1+SUMPRODUCT(--(calc!$L$3:$L$132=TRUE),--(calc!$N$3:$N$132&gt;N83))+(SUMPRODUCT(--(calc!$L$3:$L$132=TRUE),--(calc!$N$3:$N$132=N83))-1)/2,"")</f>
        <v/>
      </c>
      <c r="S83" s="5">
        <f>IF(L83,SUMPRODUCT(--(calc!$L$3:$L$132=TRUE),--(ROW(calc!$L$3:$L$132)&gt;ROW(L83)),--(((calc!$Q$3:$Q$132&gt;Q83)*(calc!$R$3:$R$132&gt;R83)+(calc!$Q$3:$Q$132&lt;Q83)*(calc!$R$3:$R$132&lt;R83))&gt;0))-SUMPRODUCT(--(calc!$L$3:$L$132=TRUE),--(ROW(calc!$L$3:$L$132)&gt;ROW(L83)),--(((calc!$Q$3:$Q$132&gt;Q83)*(calc!$R$3:$R$132&lt;R83)+(calc!$Q$3:$Q$132&lt;Q83)*(calc!$R$3:$R$132&gt;R83))&gt;0)),0)</f>
        <v/>
      </c>
      <c r="T83" s="5">
        <f>IF(mos_metrics!H82="","",mos_metrics!H82)</f>
        <v/>
      </c>
      <c r="U83" s="2">
        <f>AND($J83,ISNUMBER(T83),correlation!$I$27=1)</f>
        <v/>
      </c>
      <c r="V83" s="5">
        <f>IF(U83,$F83,"")</f>
        <v/>
      </c>
      <c r="W83" s="5">
        <f>IF(U83,T83*correlation!$J$27,"")</f>
        <v/>
      </c>
      <c r="X83" s="5">
        <f>IF(AND(U83,ISNUMBER(correlation!$F$27)),W83*correlation!$F$27+correlation!$G$27,"")</f>
        <v/>
      </c>
      <c r="Y83" s="5">
        <f>IF(AND(U83,ISNUMBER(X83)),(V83-X83)^2,"")</f>
        <v/>
      </c>
      <c r="Z83" s="5">
        <f>IF(U83,1+SUMPRODUCT(--(calc!$U$3:$U$132=TRUE),--(calc!$V$3:$V$132&gt;V83))+(SUMPRODUCT(--(calc!$U$3:$U$132=TRUE),--(calc!$V$3:$V$132=V83))-1)/2,"")</f>
        <v/>
      </c>
      <c r="AA83" s="5">
        <f>IF(U83,1+SUMPRODUCT(--(calc!$U$3:$U$132=TRUE),--(calc!$W$3:$W$132&gt;W83))+(SUMPRODUCT(--(calc!$U$3:$U$132=TRUE),--(calc!$W$3:$W$132=W83))-1)/2,"")</f>
        <v/>
      </c>
      <c r="AB83" s="5">
        <f>IF(U83,SUMPRODUCT(--(calc!$U$3:$U$132=TRUE),--(ROW(calc!$U$3:$U$132)&gt;ROW(U83)),--(((calc!$Z$3:$Z$132&gt;Z83)*(calc!$AA$3:$AA$132&gt;AA83)+(calc!$Z$3:$Z$132&lt;Z83)*(calc!$AA$3:$AA$132&lt;AA83))&gt;0))-SUMPRODUCT(--(calc!$U$3:$U$132=TRUE),--(ROW(calc!$U$3:$U$132)&gt;ROW(U83)),--(((calc!$Z$3:$Z$132&gt;Z83)*(calc!$AA$3:$AA$132&lt;AA83)+(calc!$Z$3:$Z$132&lt;Z83)*(calc!$AA$3:$AA$132&gt;AA83))&gt;0)),0)</f>
        <v/>
      </c>
      <c r="AC83" s="5">
        <f>IF(mos_metrics!I82="","",mos_metrics!I82)</f>
        <v/>
      </c>
      <c r="AD83" s="2">
        <f>AND($J83,ISNUMBER(AC83),correlation!$I$28=1)</f>
        <v/>
      </c>
      <c r="AE83" s="5">
        <f>IF(AD83,$F83,"")</f>
        <v/>
      </c>
      <c r="AF83" s="5">
        <f>IF(AD83,AC83*correlation!$J$28,"")</f>
        <v/>
      </c>
      <c r="AG83" s="5">
        <f>IF(AND(AD83,ISNUMBER(correlation!$F$28)),AF83*correlation!$F$28+correlation!$G$28,"")</f>
        <v/>
      </c>
      <c r="AH83" s="5">
        <f>IF(AND(AD83,ISNUMBER(AG83)),(AE83-AG83)^2,"")</f>
        <v/>
      </c>
      <c r="AI83" s="5">
        <f>IF(AD83,1+SUMPRODUCT(--(calc!$AD$3:$AD$132=TRUE),--(calc!$AE$3:$AE$132&gt;AE83))+(SUMPRODUCT(--(calc!$AD$3:$AD$132=TRUE),--(calc!$AE$3:$AE$132=AE83))-1)/2,"")</f>
        <v/>
      </c>
      <c r="AJ83" s="5">
        <f>IF(AD83,1+SUMPRODUCT(--(calc!$AD$3:$AD$132=TRUE),--(calc!$AF$3:$AF$132&gt;AF83))+(SUMPRODUCT(--(calc!$AD$3:$AD$132=TRUE),--(calc!$AF$3:$AF$132=AF83))-1)/2,"")</f>
        <v/>
      </c>
      <c r="AK83" s="5">
        <f>IF(AD83,SUMPRODUCT(--(calc!$AD$3:$AD$132=TRUE),--(ROW(calc!$AD$3:$AD$132)&gt;ROW(AD83)),--(((calc!$AI$3:$AI$132&gt;AI83)*(calc!$AJ$3:$AJ$132&gt;AJ83)+(calc!$AI$3:$AI$132&lt;AI83)*(calc!$AJ$3:$AJ$132&lt;AJ83))&gt;0))-SUMPRODUCT(--(calc!$AD$3:$AD$132=TRUE),--(ROW(calc!$AD$3:$AD$132)&gt;ROW(AD83)),--(((calc!$AI$3:$AI$132&gt;AI83)*(calc!$AJ$3:$AJ$132&lt;AJ83)+(calc!$AI$3:$AI$132&lt;AI83)*(calc!$AJ$3:$AJ$132&gt;AJ83))&gt;0)),0)</f>
        <v/>
      </c>
      <c r="AL83" s="5">
        <f>IF(mos_metrics!J82="","",mos_metrics!J82)</f>
        <v/>
      </c>
      <c r="AM83" s="2">
        <f>AND($J83,ISNUMBER(AL83),correlation!$I$29=1)</f>
        <v/>
      </c>
      <c r="AN83" s="5">
        <f>IF(AM83,$F83,"")</f>
        <v/>
      </c>
      <c r="AO83" s="5">
        <f>IF(AM83,AL83*correlation!$J$29,"")</f>
        <v/>
      </c>
      <c r="AP83" s="5">
        <f>IF(AND(AM83,ISNUMBER(correlation!$F$29)),AO83*correlation!$F$29+correlation!$G$29,"")</f>
        <v/>
      </c>
      <c r="AQ83" s="5">
        <f>IF(AND(AM83,ISNUMBER(AP83)),(AN83-AP83)^2,"")</f>
        <v/>
      </c>
      <c r="AR83" s="5">
        <f>IF(AM83,1+SUMPRODUCT(--(calc!$AM$3:$AM$132=TRUE),--(calc!$AN$3:$AN$132&gt;AN83))+(SUMPRODUCT(--(calc!$AM$3:$AM$132=TRUE),--(calc!$AN$3:$AN$132=AN83))-1)/2,"")</f>
        <v/>
      </c>
      <c r="AS83" s="5">
        <f>IF(AM83,1+SUMPRODUCT(--(calc!$AM$3:$AM$132=TRUE),--(calc!$AO$3:$AO$132&gt;AO83))+(SUMPRODUCT(--(calc!$AM$3:$AM$132=TRUE),--(calc!$AO$3:$AO$132=AO83))-1)/2,"")</f>
        <v/>
      </c>
      <c r="AT83" s="5">
        <f>IF(AM83,SUMPRODUCT(--(calc!$AM$3:$AM$132=TRUE),--(ROW(calc!$AM$3:$AM$132)&gt;ROW(AM83)),--(((calc!$AR$3:$AR$132&gt;AR83)*(calc!$AS$3:$AS$132&gt;AS83)+(calc!$AR$3:$AR$132&lt;AR83)*(calc!$AS$3:$AS$132&lt;AS83))&gt;0))-SUMPRODUCT(--(calc!$AM$3:$AM$132=TRUE),--(ROW(calc!$AM$3:$AM$132)&gt;ROW(AM83)),--(((calc!$AR$3:$AR$132&gt;AR83)*(calc!$AS$3:$AS$132&lt;AS83)+(calc!$AR$3:$AR$132&lt;AR83)*(calc!$AS$3:$AS$132&gt;AS83))&gt;0)),0)</f>
        <v/>
      </c>
      <c r="AU83" s="5">
        <f>IF(mos_metrics!K82="","",mos_metrics!K82)</f>
        <v/>
      </c>
      <c r="AV83" s="2">
        <f>AND($J83,ISNUMBER(AU83),correlation!$I$30=1)</f>
        <v/>
      </c>
      <c r="AW83" s="5">
        <f>IF(AV83,$F83,"")</f>
        <v/>
      </c>
      <c r="AX83" s="5">
        <f>IF(AV83,AU83*correlation!$J$30,"")</f>
        <v/>
      </c>
      <c r="AY83" s="5">
        <f>IF(AND(AV83,ISNUMBER(correlation!$F$30)),AX83*correlation!$F$30+correlation!$G$30,"")</f>
        <v/>
      </c>
      <c r="AZ83" s="5">
        <f>IF(AND(AV83,ISNUMBER(AY83)),(AW83-AY83)^2,"")</f>
        <v/>
      </c>
      <c r="BA83" s="5">
        <f>IF(AV83,1+SUMPRODUCT(--(calc!$AV$3:$AV$132=TRUE),--(calc!$AW$3:$AW$132&gt;AW83))+(SUMPRODUCT(--(calc!$AV$3:$AV$132=TRUE),--(calc!$AW$3:$AW$132=AW83))-1)/2,"")</f>
        <v/>
      </c>
      <c r="BB83" s="5">
        <f>IF(AV83,1+SUMPRODUCT(--(calc!$AV$3:$AV$132=TRUE),--(calc!$AX$3:$AX$132&gt;AX83))+(SUMPRODUCT(--(calc!$AV$3:$AV$132=TRUE),--(calc!$AX$3:$AX$132=AX83))-1)/2,"")</f>
        <v/>
      </c>
      <c r="BC83" s="5">
        <f>IF(AV83,SUMPRODUCT(--(calc!$AV$3:$AV$132=TRUE),--(ROW(calc!$AV$3:$AV$132)&gt;ROW(AV83)),--(((calc!$BA$3:$BA$132&gt;BA83)*(calc!$BB$3:$BB$132&gt;BB83)+(calc!$BA$3:$BA$132&lt;BA83)*(calc!$BB$3:$BB$132&lt;BB83))&gt;0))-SUMPRODUCT(--(calc!$AV$3:$AV$132=TRUE),--(ROW(calc!$AV$3:$AV$132)&gt;ROW(AV83)),--(((calc!$BA$3:$BA$132&gt;BA83)*(calc!$BB$3:$BB$132&lt;BB83)+(calc!$BA$3:$BA$132&lt;BA83)*(calc!$BB$3:$BB$132&gt;BB83))&gt;0)),0)</f>
        <v/>
      </c>
      <c r="BD83" s="5">
        <f>IF(mos_metrics!L82="","",mos_metrics!L82)</f>
        <v/>
      </c>
      <c r="BE83" s="2">
        <f>AND($J83,ISNUMBER(BD83),correlation!$I$31=1)</f>
        <v/>
      </c>
      <c r="BF83" s="5">
        <f>IF(BE83,$F83,"")</f>
        <v/>
      </c>
      <c r="BG83" s="5">
        <f>IF(BE83,BD83*correlation!$J$31,"")</f>
        <v/>
      </c>
      <c r="BH83" s="5">
        <f>IF(AND(BE83,ISNUMBER(correlation!$F$31)),BG83*correlation!$F$31+correlation!$G$31,"")</f>
        <v/>
      </c>
      <c r="BI83" s="5">
        <f>IF(AND(BE83,ISNUMBER(BH83)),(BF83-BH83)^2,"")</f>
        <v/>
      </c>
      <c r="BJ83" s="5">
        <f>IF(BE83,1+SUMPRODUCT(--(calc!$BE$3:$BE$132=TRUE),--(calc!$BF$3:$BF$132&gt;BF83))+(SUMPRODUCT(--(calc!$BE$3:$BE$132=TRUE),--(calc!$BF$3:$BF$132=BF83))-1)/2,"")</f>
        <v/>
      </c>
      <c r="BK83" s="5">
        <f>IF(BE83,1+SUMPRODUCT(--(calc!$BE$3:$BE$132=TRUE),--(calc!$BG$3:$BG$132&gt;BG83))+(SUMPRODUCT(--(calc!$BE$3:$BE$132=TRUE),--(calc!$BG$3:$BG$132=BG83))-1)/2,"")</f>
        <v/>
      </c>
      <c r="BL83" s="5">
        <f>IF(BE83,SUMPRODUCT(--(calc!$BE$3:$BE$132=TRUE),--(ROW(calc!$BE$3:$BE$132)&gt;ROW(BE83)),--(((calc!$BJ$3:$BJ$132&gt;BJ83)*(calc!$BK$3:$BK$132&gt;BK83)+(calc!$BJ$3:$BJ$132&lt;BJ83)*(calc!$BK$3:$BK$132&lt;BK83))&gt;0))-SUMPRODUCT(--(calc!$BE$3:$BE$132=TRUE),--(ROW(calc!$BE$3:$BE$132)&gt;ROW(BE83)),--(((calc!$BJ$3:$BJ$132&gt;BJ83)*(calc!$BK$3:$BK$132&lt;BK83)+(calc!$BJ$3:$BJ$132&lt;BJ83)*(calc!$BK$3:$BK$132&gt;BK83))&gt;0)),0)</f>
        <v/>
      </c>
      <c r="BM83" s="5">
        <f>IF(mos_metrics!M82="","",mos_metrics!M82)</f>
        <v/>
      </c>
      <c r="BN83" s="2">
        <f>AND($J83,ISNUMBER(BM83),correlation!$I$32=1)</f>
        <v/>
      </c>
      <c r="BO83" s="5">
        <f>IF(BN83,$F83,"")</f>
        <v/>
      </c>
      <c r="BP83" s="5">
        <f>IF(BN83,BM83*correlation!$J$32,"")</f>
        <v/>
      </c>
      <c r="BQ83" s="5">
        <f>IF(AND(BN83,ISNUMBER(correlation!$F$32)),BP83*correlation!$F$32+correlation!$G$32,"")</f>
        <v/>
      </c>
      <c r="BR83" s="5">
        <f>IF(AND(BN83,ISNUMBER(BQ83)),(BO83-BQ83)^2,"")</f>
        <v/>
      </c>
      <c r="BS83" s="5">
        <f>IF(BN83,1+SUMPRODUCT(--(calc!$BN$3:$BN$132=TRUE),--(calc!$BO$3:$BO$132&gt;BO83))+(SUMPRODUCT(--(calc!$BN$3:$BN$132=TRUE),--(calc!$BO$3:$BO$132=BO83))-1)/2,"")</f>
        <v/>
      </c>
      <c r="BT83" s="5">
        <f>IF(BN83,1+SUMPRODUCT(--(calc!$BN$3:$BN$132=TRUE),--(calc!$BP$3:$BP$132&gt;BP83))+(SUMPRODUCT(--(calc!$BN$3:$BN$132=TRUE),--(calc!$BP$3:$BP$132=BP83))-1)/2,"")</f>
        <v/>
      </c>
      <c r="BU83" s="5">
        <f>IF(BN83,SUMPRODUCT(--(calc!$BN$3:$BN$132=TRUE),--(ROW(calc!$BN$3:$BN$132)&gt;ROW(BN83)),--(((calc!$BS$3:$BS$132&gt;BS83)*(calc!$BT$3:$BT$132&gt;BT83)+(calc!$BS$3:$BS$132&lt;BS83)*(calc!$BT$3:$BT$132&lt;BT83))&gt;0))-SUMPRODUCT(--(calc!$BN$3:$BN$132=TRUE),--(ROW(calc!$BN$3:$BN$132)&gt;ROW(BN83)),--(((calc!$BS$3:$BS$132&gt;BS83)*(calc!$BT$3:$BT$132&lt;BT83)+(calc!$BS$3:$BS$132&lt;BS83)*(calc!$BT$3:$BT$132&gt;BT83))&gt;0)),0)</f>
        <v/>
      </c>
    </row>
    <row r="84">
      <c r="A84" s="2">
        <f>mos_metrics!A83</f>
        <v/>
      </c>
      <c r="B84" s="2">
        <f>mos_metrics!B83</f>
        <v/>
      </c>
      <c r="C84" s="2">
        <f>mos_metrics!C83</f>
        <v/>
      </c>
      <c r="D84" s="2">
        <f>mos_metrics!D83</f>
        <v/>
      </c>
      <c r="E84" s="2">
        <f>mos_metrics!E83</f>
        <v/>
      </c>
      <c r="F84" s="2">
        <f>mos_metrics!F83</f>
        <v/>
      </c>
      <c r="G84" s="2">
        <f>IF($B84="","",IFERROR(VLOOKUP($B84,correlation!$A$2:$B$12,2,FALSE),1))</f>
        <v/>
      </c>
      <c r="H84" s="2">
        <f>IF($E84="","",IFERROR(VLOOKUP($E84,correlation!$D$2:$E$8,2,FALSE),1))</f>
        <v/>
      </c>
      <c r="I84" s="2">
        <f>ISNUMBER($F84)</f>
        <v/>
      </c>
      <c r="J84" s="2">
        <f>AND($G84=1,$H84=1,$I84)</f>
        <v/>
      </c>
      <c r="K84" s="5">
        <f>IF(mos_metrics!G83="","",mos_metrics!G83)</f>
        <v/>
      </c>
      <c r="L84" s="2">
        <f>AND($J84,ISNUMBER(K84),correlation!$I$26=1)</f>
        <v/>
      </c>
      <c r="M84" s="5">
        <f>IF(L84,$F84,"")</f>
        <v/>
      </c>
      <c r="N84" s="5">
        <f>IF(L84,K84*correlation!$J$26,"")</f>
        <v/>
      </c>
      <c r="O84" s="5">
        <f>IF(AND(L84,ISNUMBER(correlation!$F$26)),N84*correlation!$F$26+correlation!$G$26,"")</f>
        <v/>
      </c>
      <c r="P84" s="5">
        <f>IF(AND(L84,ISNUMBER(O84)),(M84-O84)^2,"")</f>
        <v/>
      </c>
      <c r="Q84" s="5">
        <f>IF(L84,1+SUMPRODUCT(--(calc!$L$3:$L$132=TRUE),--(calc!$M$3:$M$132&gt;M84))+(SUMPRODUCT(--(calc!$L$3:$L$132=TRUE),--(calc!$M$3:$M$132=M84))-1)/2,"")</f>
        <v/>
      </c>
      <c r="R84" s="5">
        <f>IF(L84,1+SUMPRODUCT(--(calc!$L$3:$L$132=TRUE),--(calc!$N$3:$N$132&gt;N84))+(SUMPRODUCT(--(calc!$L$3:$L$132=TRUE),--(calc!$N$3:$N$132=N84))-1)/2,"")</f>
        <v/>
      </c>
      <c r="S84" s="5">
        <f>IF(L84,SUMPRODUCT(--(calc!$L$3:$L$132=TRUE),--(ROW(calc!$L$3:$L$132)&gt;ROW(L84)),--(((calc!$Q$3:$Q$132&gt;Q84)*(calc!$R$3:$R$132&gt;R84)+(calc!$Q$3:$Q$132&lt;Q84)*(calc!$R$3:$R$132&lt;R84))&gt;0))-SUMPRODUCT(--(calc!$L$3:$L$132=TRUE),--(ROW(calc!$L$3:$L$132)&gt;ROW(L84)),--(((calc!$Q$3:$Q$132&gt;Q84)*(calc!$R$3:$R$132&lt;R84)+(calc!$Q$3:$Q$132&lt;Q84)*(calc!$R$3:$R$132&gt;R84))&gt;0)),0)</f>
        <v/>
      </c>
      <c r="T84" s="5">
        <f>IF(mos_metrics!H83="","",mos_metrics!H83)</f>
        <v/>
      </c>
      <c r="U84" s="2">
        <f>AND($J84,ISNUMBER(T84),correlation!$I$27=1)</f>
        <v/>
      </c>
      <c r="V84" s="5">
        <f>IF(U84,$F84,"")</f>
        <v/>
      </c>
      <c r="W84" s="5">
        <f>IF(U84,T84*correlation!$J$27,"")</f>
        <v/>
      </c>
      <c r="X84" s="5">
        <f>IF(AND(U84,ISNUMBER(correlation!$F$27)),W84*correlation!$F$27+correlation!$G$27,"")</f>
        <v/>
      </c>
      <c r="Y84" s="5">
        <f>IF(AND(U84,ISNUMBER(X84)),(V84-X84)^2,"")</f>
        <v/>
      </c>
      <c r="Z84" s="5">
        <f>IF(U84,1+SUMPRODUCT(--(calc!$U$3:$U$132=TRUE),--(calc!$V$3:$V$132&gt;V84))+(SUMPRODUCT(--(calc!$U$3:$U$132=TRUE),--(calc!$V$3:$V$132=V84))-1)/2,"")</f>
        <v/>
      </c>
      <c r="AA84" s="5">
        <f>IF(U84,1+SUMPRODUCT(--(calc!$U$3:$U$132=TRUE),--(calc!$W$3:$W$132&gt;W84))+(SUMPRODUCT(--(calc!$U$3:$U$132=TRUE),--(calc!$W$3:$W$132=W84))-1)/2,"")</f>
        <v/>
      </c>
      <c r="AB84" s="5">
        <f>IF(U84,SUMPRODUCT(--(calc!$U$3:$U$132=TRUE),--(ROW(calc!$U$3:$U$132)&gt;ROW(U84)),--(((calc!$Z$3:$Z$132&gt;Z84)*(calc!$AA$3:$AA$132&gt;AA84)+(calc!$Z$3:$Z$132&lt;Z84)*(calc!$AA$3:$AA$132&lt;AA84))&gt;0))-SUMPRODUCT(--(calc!$U$3:$U$132=TRUE),--(ROW(calc!$U$3:$U$132)&gt;ROW(U84)),--(((calc!$Z$3:$Z$132&gt;Z84)*(calc!$AA$3:$AA$132&lt;AA84)+(calc!$Z$3:$Z$132&lt;Z84)*(calc!$AA$3:$AA$132&gt;AA84))&gt;0)),0)</f>
        <v/>
      </c>
      <c r="AC84" s="5">
        <f>IF(mos_metrics!I83="","",mos_metrics!I83)</f>
        <v/>
      </c>
      <c r="AD84" s="2">
        <f>AND($J84,ISNUMBER(AC84),correlation!$I$28=1)</f>
        <v/>
      </c>
      <c r="AE84" s="5">
        <f>IF(AD84,$F84,"")</f>
        <v/>
      </c>
      <c r="AF84" s="5">
        <f>IF(AD84,AC84*correlation!$J$28,"")</f>
        <v/>
      </c>
      <c r="AG84" s="5">
        <f>IF(AND(AD84,ISNUMBER(correlation!$F$28)),AF84*correlation!$F$28+correlation!$G$28,"")</f>
        <v/>
      </c>
      <c r="AH84" s="5">
        <f>IF(AND(AD84,ISNUMBER(AG84)),(AE84-AG84)^2,"")</f>
        <v/>
      </c>
      <c r="AI84" s="5">
        <f>IF(AD84,1+SUMPRODUCT(--(calc!$AD$3:$AD$132=TRUE),--(calc!$AE$3:$AE$132&gt;AE84))+(SUMPRODUCT(--(calc!$AD$3:$AD$132=TRUE),--(calc!$AE$3:$AE$132=AE84))-1)/2,"")</f>
        <v/>
      </c>
      <c r="AJ84" s="5">
        <f>IF(AD84,1+SUMPRODUCT(--(calc!$AD$3:$AD$132=TRUE),--(calc!$AF$3:$AF$132&gt;AF84))+(SUMPRODUCT(--(calc!$AD$3:$AD$132=TRUE),--(calc!$AF$3:$AF$132=AF84))-1)/2,"")</f>
        <v/>
      </c>
      <c r="AK84" s="5">
        <f>IF(AD84,SUMPRODUCT(--(calc!$AD$3:$AD$132=TRUE),--(ROW(calc!$AD$3:$AD$132)&gt;ROW(AD84)),--(((calc!$AI$3:$AI$132&gt;AI84)*(calc!$AJ$3:$AJ$132&gt;AJ84)+(calc!$AI$3:$AI$132&lt;AI84)*(calc!$AJ$3:$AJ$132&lt;AJ84))&gt;0))-SUMPRODUCT(--(calc!$AD$3:$AD$132=TRUE),--(ROW(calc!$AD$3:$AD$132)&gt;ROW(AD84)),--(((calc!$AI$3:$AI$132&gt;AI84)*(calc!$AJ$3:$AJ$132&lt;AJ84)+(calc!$AI$3:$AI$132&lt;AI84)*(calc!$AJ$3:$AJ$132&gt;AJ84))&gt;0)),0)</f>
        <v/>
      </c>
      <c r="AL84" s="5">
        <f>IF(mos_metrics!J83="","",mos_metrics!J83)</f>
        <v/>
      </c>
      <c r="AM84" s="2">
        <f>AND($J84,ISNUMBER(AL84),correlation!$I$29=1)</f>
        <v/>
      </c>
      <c r="AN84" s="5">
        <f>IF(AM84,$F84,"")</f>
        <v/>
      </c>
      <c r="AO84" s="5">
        <f>IF(AM84,AL84*correlation!$J$29,"")</f>
        <v/>
      </c>
      <c r="AP84" s="5">
        <f>IF(AND(AM84,ISNUMBER(correlation!$F$29)),AO84*correlation!$F$29+correlation!$G$29,"")</f>
        <v/>
      </c>
      <c r="AQ84" s="5">
        <f>IF(AND(AM84,ISNUMBER(AP84)),(AN84-AP84)^2,"")</f>
        <v/>
      </c>
      <c r="AR84" s="5">
        <f>IF(AM84,1+SUMPRODUCT(--(calc!$AM$3:$AM$132=TRUE),--(calc!$AN$3:$AN$132&gt;AN84))+(SUMPRODUCT(--(calc!$AM$3:$AM$132=TRUE),--(calc!$AN$3:$AN$132=AN84))-1)/2,"")</f>
        <v/>
      </c>
      <c r="AS84" s="5">
        <f>IF(AM84,1+SUMPRODUCT(--(calc!$AM$3:$AM$132=TRUE),--(calc!$AO$3:$AO$132&gt;AO84))+(SUMPRODUCT(--(calc!$AM$3:$AM$132=TRUE),--(calc!$AO$3:$AO$132=AO84))-1)/2,"")</f>
        <v/>
      </c>
      <c r="AT84" s="5">
        <f>IF(AM84,SUMPRODUCT(--(calc!$AM$3:$AM$132=TRUE),--(ROW(calc!$AM$3:$AM$132)&gt;ROW(AM84)),--(((calc!$AR$3:$AR$132&gt;AR84)*(calc!$AS$3:$AS$132&gt;AS84)+(calc!$AR$3:$AR$132&lt;AR84)*(calc!$AS$3:$AS$132&lt;AS84))&gt;0))-SUMPRODUCT(--(calc!$AM$3:$AM$132=TRUE),--(ROW(calc!$AM$3:$AM$132)&gt;ROW(AM84)),--(((calc!$AR$3:$AR$132&gt;AR84)*(calc!$AS$3:$AS$132&lt;AS84)+(calc!$AR$3:$AR$132&lt;AR84)*(calc!$AS$3:$AS$132&gt;AS84))&gt;0)),0)</f>
        <v/>
      </c>
      <c r="AU84" s="5">
        <f>IF(mos_metrics!K83="","",mos_metrics!K83)</f>
        <v/>
      </c>
      <c r="AV84" s="2">
        <f>AND($J84,ISNUMBER(AU84),correlation!$I$30=1)</f>
        <v/>
      </c>
      <c r="AW84" s="5">
        <f>IF(AV84,$F84,"")</f>
        <v/>
      </c>
      <c r="AX84" s="5">
        <f>IF(AV84,AU84*correlation!$J$30,"")</f>
        <v/>
      </c>
      <c r="AY84" s="5">
        <f>IF(AND(AV84,ISNUMBER(correlation!$F$30)),AX84*correlation!$F$30+correlation!$G$30,"")</f>
        <v/>
      </c>
      <c r="AZ84" s="5">
        <f>IF(AND(AV84,ISNUMBER(AY84)),(AW84-AY84)^2,"")</f>
        <v/>
      </c>
      <c r="BA84" s="5">
        <f>IF(AV84,1+SUMPRODUCT(--(calc!$AV$3:$AV$132=TRUE),--(calc!$AW$3:$AW$132&gt;AW84))+(SUMPRODUCT(--(calc!$AV$3:$AV$132=TRUE),--(calc!$AW$3:$AW$132=AW84))-1)/2,"")</f>
        <v/>
      </c>
      <c r="BB84" s="5">
        <f>IF(AV84,1+SUMPRODUCT(--(calc!$AV$3:$AV$132=TRUE),--(calc!$AX$3:$AX$132&gt;AX84))+(SUMPRODUCT(--(calc!$AV$3:$AV$132=TRUE),--(calc!$AX$3:$AX$132=AX84))-1)/2,"")</f>
        <v/>
      </c>
      <c r="BC84" s="5">
        <f>IF(AV84,SUMPRODUCT(--(calc!$AV$3:$AV$132=TRUE),--(ROW(calc!$AV$3:$AV$132)&gt;ROW(AV84)),--(((calc!$BA$3:$BA$132&gt;BA84)*(calc!$BB$3:$BB$132&gt;BB84)+(calc!$BA$3:$BA$132&lt;BA84)*(calc!$BB$3:$BB$132&lt;BB84))&gt;0))-SUMPRODUCT(--(calc!$AV$3:$AV$132=TRUE),--(ROW(calc!$AV$3:$AV$132)&gt;ROW(AV84)),--(((calc!$BA$3:$BA$132&gt;BA84)*(calc!$BB$3:$BB$132&lt;BB84)+(calc!$BA$3:$BA$132&lt;BA84)*(calc!$BB$3:$BB$132&gt;BB84))&gt;0)),0)</f>
        <v/>
      </c>
      <c r="BD84" s="5">
        <f>IF(mos_metrics!L83="","",mos_metrics!L83)</f>
        <v/>
      </c>
      <c r="BE84" s="2">
        <f>AND($J84,ISNUMBER(BD84),correlation!$I$31=1)</f>
        <v/>
      </c>
      <c r="BF84" s="5">
        <f>IF(BE84,$F84,"")</f>
        <v/>
      </c>
      <c r="BG84" s="5">
        <f>IF(BE84,BD84*correlation!$J$31,"")</f>
        <v/>
      </c>
      <c r="BH84" s="5">
        <f>IF(AND(BE84,ISNUMBER(correlation!$F$31)),BG84*correlation!$F$31+correlation!$G$31,"")</f>
        <v/>
      </c>
      <c r="BI84" s="5">
        <f>IF(AND(BE84,ISNUMBER(BH84)),(BF84-BH84)^2,"")</f>
        <v/>
      </c>
      <c r="BJ84" s="5">
        <f>IF(BE84,1+SUMPRODUCT(--(calc!$BE$3:$BE$132=TRUE),--(calc!$BF$3:$BF$132&gt;BF84))+(SUMPRODUCT(--(calc!$BE$3:$BE$132=TRUE),--(calc!$BF$3:$BF$132=BF84))-1)/2,"")</f>
        <v/>
      </c>
      <c r="BK84" s="5">
        <f>IF(BE84,1+SUMPRODUCT(--(calc!$BE$3:$BE$132=TRUE),--(calc!$BG$3:$BG$132&gt;BG84))+(SUMPRODUCT(--(calc!$BE$3:$BE$132=TRUE),--(calc!$BG$3:$BG$132=BG84))-1)/2,"")</f>
        <v/>
      </c>
      <c r="BL84" s="5">
        <f>IF(BE84,SUMPRODUCT(--(calc!$BE$3:$BE$132=TRUE),--(ROW(calc!$BE$3:$BE$132)&gt;ROW(BE84)),--(((calc!$BJ$3:$BJ$132&gt;BJ84)*(calc!$BK$3:$BK$132&gt;BK84)+(calc!$BJ$3:$BJ$132&lt;BJ84)*(calc!$BK$3:$BK$132&lt;BK84))&gt;0))-SUMPRODUCT(--(calc!$BE$3:$BE$132=TRUE),--(ROW(calc!$BE$3:$BE$132)&gt;ROW(BE84)),--(((calc!$BJ$3:$BJ$132&gt;BJ84)*(calc!$BK$3:$BK$132&lt;BK84)+(calc!$BJ$3:$BJ$132&lt;BJ84)*(calc!$BK$3:$BK$132&gt;BK84))&gt;0)),0)</f>
        <v/>
      </c>
      <c r="BM84" s="5">
        <f>IF(mos_metrics!M83="","",mos_metrics!M83)</f>
        <v/>
      </c>
      <c r="BN84" s="2">
        <f>AND($J84,ISNUMBER(BM84),correlation!$I$32=1)</f>
        <v/>
      </c>
      <c r="BO84" s="5">
        <f>IF(BN84,$F84,"")</f>
        <v/>
      </c>
      <c r="BP84" s="5">
        <f>IF(BN84,BM84*correlation!$J$32,"")</f>
        <v/>
      </c>
      <c r="BQ84" s="5">
        <f>IF(AND(BN84,ISNUMBER(correlation!$F$32)),BP84*correlation!$F$32+correlation!$G$32,"")</f>
        <v/>
      </c>
      <c r="BR84" s="5">
        <f>IF(AND(BN84,ISNUMBER(BQ84)),(BO84-BQ84)^2,"")</f>
        <v/>
      </c>
      <c r="BS84" s="5">
        <f>IF(BN84,1+SUMPRODUCT(--(calc!$BN$3:$BN$132=TRUE),--(calc!$BO$3:$BO$132&gt;BO84))+(SUMPRODUCT(--(calc!$BN$3:$BN$132=TRUE),--(calc!$BO$3:$BO$132=BO84))-1)/2,"")</f>
        <v/>
      </c>
      <c r="BT84" s="5">
        <f>IF(BN84,1+SUMPRODUCT(--(calc!$BN$3:$BN$132=TRUE),--(calc!$BP$3:$BP$132&gt;BP84))+(SUMPRODUCT(--(calc!$BN$3:$BN$132=TRUE),--(calc!$BP$3:$BP$132=BP84))-1)/2,"")</f>
        <v/>
      </c>
      <c r="BU84" s="5">
        <f>IF(BN84,SUMPRODUCT(--(calc!$BN$3:$BN$132=TRUE),--(ROW(calc!$BN$3:$BN$132)&gt;ROW(BN84)),--(((calc!$BS$3:$BS$132&gt;BS84)*(calc!$BT$3:$BT$132&gt;BT84)+(calc!$BS$3:$BS$132&lt;BS84)*(calc!$BT$3:$BT$132&lt;BT84))&gt;0))-SUMPRODUCT(--(calc!$BN$3:$BN$132=TRUE),--(ROW(calc!$BN$3:$BN$132)&gt;ROW(BN84)),--(((calc!$BS$3:$BS$132&gt;BS84)*(calc!$BT$3:$BT$132&lt;BT84)+(calc!$BS$3:$BS$132&lt;BS84)*(calc!$BT$3:$BT$132&gt;BT84))&gt;0)),0)</f>
        <v/>
      </c>
    </row>
    <row r="85">
      <c r="A85" s="2">
        <f>mos_metrics!A84</f>
        <v/>
      </c>
      <c r="B85" s="2">
        <f>mos_metrics!B84</f>
        <v/>
      </c>
      <c r="C85" s="2">
        <f>mos_metrics!C84</f>
        <v/>
      </c>
      <c r="D85" s="2">
        <f>mos_metrics!D84</f>
        <v/>
      </c>
      <c r="E85" s="2">
        <f>mos_metrics!E84</f>
        <v/>
      </c>
      <c r="F85" s="2">
        <f>mos_metrics!F84</f>
        <v/>
      </c>
      <c r="G85" s="2">
        <f>IF($B85="","",IFERROR(VLOOKUP($B85,correlation!$A$2:$B$12,2,FALSE),1))</f>
        <v/>
      </c>
      <c r="H85" s="2">
        <f>IF($E85="","",IFERROR(VLOOKUP($E85,correlation!$D$2:$E$8,2,FALSE),1))</f>
        <v/>
      </c>
      <c r="I85" s="2">
        <f>ISNUMBER($F85)</f>
        <v/>
      </c>
      <c r="J85" s="2">
        <f>AND($G85=1,$H85=1,$I85)</f>
        <v/>
      </c>
      <c r="K85" s="5">
        <f>IF(mos_metrics!G84="","",mos_metrics!G84)</f>
        <v/>
      </c>
      <c r="L85" s="2">
        <f>AND($J85,ISNUMBER(K85),correlation!$I$26=1)</f>
        <v/>
      </c>
      <c r="M85" s="5">
        <f>IF(L85,$F85,"")</f>
        <v/>
      </c>
      <c r="N85" s="5">
        <f>IF(L85,K85*correlation!$J$26,"")</f>
        <v/>
      </c>
      <c r="O85" s="5">
        <f>IF(AND(L85,ISNUMBER(correlation!$F$26)),N85*correlation!$F$26+correlation!$G$26,"")</f>
        <v/>
      </c>
      <c r="P85" s="5">
        <f>IF(AND(L85,ISNUMBER(O85)),(M85-O85)^2,"")</f>
        <v/>
      </c>
      <c r="Q85" s="5">
        <f>IF(L85,1+SUMPRODUCT(--(calc!$L$3:$L$132=TRUE),--(calc!$M$3:$M$132&gt;M85))+(SUMPRODUCT(--(calc!$L$3:$L$132=TRUE),--(calc!$M$3:$M$132=M85))-1)/2,"")</f>
        <v/>
      </c>
      <c r="R85" s="5">
        <f>IF(L85,1+SUMPRODUCT(--(calc!$L$3:$L$132=TRUE),--(calc!$N$3:$N$132&gt;N85))+(SUMPRODUCT(--(calc!$L$3:$L$132=TRUE),--(calc!$N$3:$N$132=N85))-1)/2,"")</f>
        <v/>
      </c>
      <c r="S85" s="5">
        <f>IF(L85,SUMPRODUCT(--(calc!$L$3:$L$132=TRUE),--(ROW(calc!$L$3:$L$132)&gt;ROW(L85)),--(((calc!$Q$3:$Q$132&gt;Q85)*(calc!$R$3:$R$132&gt;R85)+(calc!$Q$3:$Q$132&lt;Q85)*(calc!$R$3:$R$132&lt;R85))&gt;0))-SUMPRODUCT(--(calc!$L$3:$L$132=TRUE),--(ROW(calc!$L$3:$L$132)&gt;ROW(L85)),--(((calc!$Q$3:$Q$132&gt;Q85)*(calc!$R$3:$R$132&lt;R85)+(calc!$Q$3:$Q$132&lt;Q85)*(calc!$R$3:$R$132&gt;R85))&gt;0)),0)</f>
        <v/>
      </c>
      <c r="T85" s="5">
        <f>IF(mos_metrics!H84="","",mos_metrics!H84)</f>
        <v/>
      </c>
      <c r="U85" s="2">
        <f>AND($J85,ISNUMBER(T85),correlation!$I$27=1)</f>
        <v/>
      </c>
      <c r="V85" s="5">
        <f>IF(U85,$F85,"")</f>
        <v/>
      </c>
      <c r="W85" s="5">
        <f>IF(U85,T85*correlation!$J$27,"")</f>
        <v/>
      </c>
      <c r="X85" s="5">
        <f>IF(AND(U85,ISNUMBER(correlation!$F$27)),W85*correlation!$F$27+correlation!$G$27,"")</f>
        <v/>
      </c>
      <c r="Y85" s="5">
        <f>IF(AND(U85,ISNUMBER(X85)),(V85-X85)^2,"")</f>
        <v/>
      </c>
      <c r="Z85" s="5">
        <f>IF(U85,1+SUMPRODUCT(--(calc!$U$3:$U$132=TRUE),--(calc!$V$3:$V$132&gt;V85))+(SUMPRODUCT(--(calc!$U$3:$U$132=TRUE),--(calc!$V$3:$V$132=V85))-1)/2,"")</f>
        <v/>
      </c>
      <c r="AA85" s="5">
        <f>IF(U85,1+SUMPRODUCT(--(calc!$U$3:$U$132=TRUE),--(calc!$W$3:$W$132&gt;W85))+(SUMPRODUCT(--(calc!$U$3:$U$132=TRUE),--(calc!$W$3:$W$132=W85))-1)/2,"")</f>
        <v/>
      </c>
      <c r="AB85" s="5">
        <f>IF(U85,SUMPRODUCT(--(calc!$U$3:$U$132=TRUE),--(ROW(calc!$U$3:$U$132)&gt;ROW(U85)),--(((calc!$Z$3:$Z$132&gt;Z85)*(calc!$AA$3:$AA$132&gt;AA85)+(calc!$Z$3:$Z$132&lt;Z85)*(calc!$AA$3:$AA$132&lt;AA85))&gt;0))-SUMPRODUCT(--(calc!$U$3:$U$132=TRUE),--(ROW(calc!$U$3:$U$132)&gt;ROW(U85)),--(((calc!$Z$3:$Z$132&gt;Z85)*(calc!$AA$3:$AA$132&lt;AA85)+(calc!$Z$3:$Z$132&lt;Z85)*(calc!$AA$3:$AA$132&gt;AA85))&gt;0)),0)</f>
        <v/>
      </c>
      <c r="AC85" s="5">
        <f>IF(mos_metrics!I84="","",mos_metrics!I84)</f>
        <v/>
      </c>
      <c r="AD85" s="2">
        <f>AND($J85,ISNUMBER(AC85),correlation!$I$28=1)</f>
        <v/>
      </c>
      <c r="AE85" s="5">
        <f>IF(AD85,$F85,"")</f>
        <v/>
      </c>
      <c r="AF85" s="5">
        <f>IF(AD85,AC85*correlation!$J$28,"")</f>
        <v/>
      </c>
      <c r="AG85" s="5">
        <f>IF(AND(AD85,ISNUMBER(correlation!$F$28)),AF85*correlation!$F$28+correlation!$G$28,"")</f>
        <v/>
      </c>
      <c r="AH85" s="5">
        <f>IF(AND(AD85,ISNUMBER(AG85)),(AE85-AG85)^2,"")</f>
        <v/>
      </c>
      <c r="AI85" s="5">
        <f>IF(AD85,1+SUMPRODUCT(--(calc!$AD$3:$AD$132=TRUE),--(calc!$AE$3:$AE$132&gt;AE85))+(SUMPRODUCT(--(calc!$AD$3:$AD$132=TRUE),--(calc!$AE$3:$AE$132=AE85))-1)/2,"")</f>
        <v/>
      </c>
      <c r="AJ85" s="5">
        <f>IF(AD85,1+SUMPRODUCT(--(calc!$AD$3:$AD$132=TRUE),--(calc!$AF$3:$AF$132&gt;AF85))+(SUMPRODUCT(--(calc!$AD$3:$AD$132=TRUE),--(calc!$AF$3:$AF$132=AF85))-1)/2,"")</f>
        <v/>
      </c>
      <c r="AK85" s="5">
        <f>IF(AD85,SUMPRODUCT(--(calc!$AD$3:$AD$132=TRUE),--(ROW(calc!$AD$3:$AD$132)&gt;ROW(AD85)),--(((calc!$AI$3:$AI$132&gt;AI85)*(calc!$AJ$3:$AJ$132&gt;AJ85)+(calc!$AI$3:$AI$132&lt;AI85)*(calc!$AJ$3:$AJ$132&lt;AJ85))&gt;0))-SUMPRODUCT(--(calc!$AD$3:$AD$132=TRUE),--(ROW(calc!$AD$3:$AD$132)&gt;ROW(AD85)),--(((calc!$AI$3:$AI$132&gt;AI85)*(calc!$AJ$3:$AJ$132&lt;AJ85)+(calc!$AI$3:$AI$132&lt;AI85)*(calc!$AJ$3:$AJ$132&gt;AJ85))&gt;0)),0)</f>
        <v/>
      </c>
      <c r="AL85" s="5">
        <f>IF(mos_metrics!J84="","",mos_metrics!J84)</f>
        <v/>
      </c>
      <c r="AM85" s="2">
        <f>AND($J85,ISNUMBER(AL85),correlation!$I$29=1)</f>
        <v/>
      </c>
      <c r="AN85" s="5">
        <f>IF(AM85,$F85,"")</f>
        <v/>
      </c>
      <c r="AO85" s="5">
        <f>IF(AM85,AL85*correlation!$J$29,"")</f>
        <v/>
      </c>
      <c r="AP85" s="5">
        <f>IF(AND(AM85,ISNUMBER(correlation!$F$29)),AO85*correlation!$F$29+correlation!$G$29,"")</f>
        <v/>
      </c>
      <c r="AQ85" s="5">
        <f>IF(AND(AM85,ISNUMBER(AP85)),(AN85-AP85)^2,"")</f>
        <v/>
      </c>
      <c r="AR85" s="5">
        <f>IF(AM85,1+SUMPRODUCT(--(calc!$AM$3:$AM$132=TRUE),--(calc!$AN$3:$AN$132&gt;AN85))+(SUMPRODUCT(--(calc!$AM$3:$AM$132=TRUE),--(calc!$AN$3:$AN$132=AN85))-1)/2,"")</f>
        <v/>
      </c>
      <c r="AS85" s="5">
        <f>IF(AM85,1+SUMPRODUCT(--(calc!$AM$3:$AM$132=TRUE),--(calc!$AO$3:$AO$132&gt;AO85))+(SUMPRODUCT(--(calc!$AM$3:$AM$132=TRUE),--(calc!$AO$3:$AO$132=AO85))-1)/2,"")</f>
        <v/>
      </c>
      <c r="AT85" s="5">
        <f>IF(AM85,SUMPRODUCT(--(calc!$AM$3:$AM$132=TRUE),--(ROW(calc!$AM$3:$AM$132)&gt;ROW(AM85)),--(((calc!$AR$3:$AR$132&gt;AR85)*(calc!$AS$3:$AS$132&gt;AS85)+(calc!$AR$3:$AR$132&lt;AR85)*(calc!$AS$3:$AS$132&lt;AS85))&gt;0))-SUMPRODUCT(--(calc!$AM$3:$AM$132=TRUE),--(ROW(calc!$AM$3:$AM$132)&gt;ROW(AM85)),--(((calc!$AR$3:$AR$132&gt;AR85)*(calc!$AS$3:$AS$132&lt;AS85)+(calc!$AR$3:$AR$132&lt;AR85)*(calc!$AS$3:$AS$132&gt;AS85))&gt;0)),0)</f>
        <v/>
      </c>
      <c r="AU85" s="5">
        <f>IF(mos_metrics!K84="","",mos_metrics!K84)</f>
        <v/>
      </c>
      <c r="AV85" s="2">
        <f>AND($J85,ISNUMBER(AU85),correlation!$I$30=1)</f>
        <v/>
      </c>
      <c r="AW85" s="5">
        <f>IF(AV85,$F85,"")</f>
        <v/>
      </c>
      <c r="AX85" s="5">
        <f>IF(AV85,AU85*correlation!$J$30,"")</f>
        <v/>
      </c>
      <c r="AY85" s="5">
        <f>IF(AND(AV85,ISNUMBER(correlation!$F$30)),AX85*correlation!$F$30+correlation!$G$30,"")</f>
        <v/>
      </c>
      <c r="AZ85" s="5">
        <f>IF(AND(AV85,ISNUMBER(AY85)),(AW85-AY85)^2,"")</f>
        <v/>
      </c>
      <c r="BA85" s="5">
        <f>IF(AV85,1+SUMPRODUCT(--(calc!$AV$3:$AV$132=TRUE),--(calc!$AW$3:$AW$132&gt;AW85))+(SUMPRODUCT(--(calc!$AV$3:$AV$132=TRUE),--(calc!$AW$3:$AW$132=AW85))-1)/2,"")</f>
        <v/>
      </c>
      <c r="BB85" s="5">
        <f>IF(AV85,1+SUMPRODUCT(--(calc!$AV$3:$AV$132=TRUE),--(calc!$AX$3:$AX$132&gt;AX85))+(SUMPRODUCT(--(calc!$AV$3:$AV$132=TRUE),--(calc!$AX$3:$AX$132=AX85))-1)/2,"")</f>
        <v/>
      </c>
      <c r="BC85" s="5">
        <f>IF(AV85,SUMPRODUCT(--(calc!$AV$3:$AV$132=TRUE),--(ROW(calc!$AV$3:$AV$132)&gt;ROW(AV85)),--(((calc!$BA$3:$BA$132&gt;BA85)*(calc!$BB$3:$BB$132&gt;BB85)+(calc!$BA$3:$BA$132&lt;BA85)*(calc!$BB$3:$BB$132&lt;BB85))&gt;0))-SUMPRODUCT(--(calc!$AV$3:$AV$132=TRUE),--(ROW(calc!$AV$3:$AV$132)&gt;ROW(AV85)),--(((calc!$BA$3:$BA$132&gt;BA85)*(calc!$BB$3:$BB$132&lt;BB85)+(calc!$BA$3:$BA$132&lt;BA85)*(calc!$BB$3:$BB$132&gt;BB85))&gt;0)),0)</f>
        <v/>
      </c>
      <c r="BD85" s="5">
        <f>IF(mos_metrics!L84="","",mos_metrics!L84)</f>
        <v/>
      </c>
      <c r="BE85" s="2">
        <f>AND($J85,ISNUMBER(BD85),correlation!$I$31=1)</f>
        <v/>
      </c>
      <c r="BF85" s="5">
        <f>IF(BE85,$F85,"")</f>
        <v/>
      </c>
      <c r="BG85" s="5">
        <f>IF(BE85,BD85*correlation!$J$31,"")</f>
        <v/>
      </c>
      <c r="BH85" s="5">
        <f>IF(AND(BE85,ISNUMBER(correlation!$F$31)),BG85*correlation!$F$31+correlation!$G$31,"")</f>
        <v/>
      </c>
      <c r="BI85" s="5">
        <f>IF(AND(BE85,ISNUMBER(BH85)),(BF85-BH85)^2,"")</f>
        <v/>
      </c>
      <c r="BJ85" s="5">
        <f>IF(BE85,1+SUMPRODUCT(--(calc!$BE$3:$BE$132=TRUE),--(calc!$BF$3:$BF$132&gt;BF85))+(SUMPRODUCT(--(calc!$BE$3:$BE$132=TRUE),--(calc!$BF$3:$BF$132=BF85))-1)/2,"")</f>
        <v/>
      </c>
      <c r="BK85" s="5">
        <f>IF(BE85,1+SUMPRODUCT(--(calc!$BE$3:$BE$132=TRUE),--(calc!$BG$3:$BG$132&gt;BG85))+(SUMPRODUCT(--(calc!$BE$3:$BE$132=TRUE),--(calc!$BG$3:$BG$132=BG85))-1)/2,"")</f>
        <v/>
      </c>
      <c r="BL85" s="5">
        <f>IF(BE85,SUMPRODUCT(--(calc!$BE$3:$BE$132=TRUE),--(ROW(calc!$BE$3:$BE$132)&gt;ROW(BE85)),--(((calc!$BJ$3:$BJ$132&gt;BJ85)*(calc!$BK$3:$BK$132&gt;BK85)+(calc!$BJ$3:$BJ$132&lt;BJ85)*(calc!$BK$3:$BK$132&lt;BK85))&gt;0))-SUMPRODUCT(--(calc!$BE$3:$BE$132=TRUE),--(ROW(calc!$BE$3:$BE$132)&gt;ROW(BE85)),--(((calc!$BJ$3:$BJ$132&gt;BJ85)*(calc!$BK$3:$BK$132&lt;BK85)+(calc!$BJ$3:$BJ$132&lt;BJ85)*(calc!$BK$3:$BK$132&gt;BK85))&gt;0)),0)</f>
        <v/>
      </c>
      <c r="BM85" s="5">
        <f>IF(mos_metrics!M84="","",mos_metrics!M84)</f>
        <v/>
      </c>
      <c r="BN85" s="2">
        <f>AND($J85,ISNUMBER(BM85),correlation!$I$32=1)</f>
        <v/>
      </c>
      <c r="BO85" s="5">
        <f>IF(BN85,$F85,"")</f>
        <v/>
      </c>
      <c r="BP85" s="5">
        <f>IF(BN85,BM85*correlation!$J$32,"")</f>
        <v/>
      </c>
      <c r="BQ85" s="5">
        <f>IF(AND(BN85,ISNUMBER(correlation!$F$32)),BP85*correlation!$F$32+correlation!$G$32,"")</f>
        <v/>
      </c>
      <c r="BR85" s="5">
        <f>IF(AND(BN85,ISNUMBER(BQ85)),(BO85-BQ85)^2,"")</f>
        <v/>
      </c>
      <c r="BS85" s="5">
        <f>IF(BN85,1+SUMPRODUCT(--(calc!$BN$3:$BN$132=TRUE),--(calc!$BO$3:$BO$132&gt;BO85))+(SUMPRODUCT(--(calc!$BN$3:$BN$132=TRUE),--(calc!$BO$3:$BO$132=BO85))-1)/2,"")</f>
        <v/>
      </c>
      <c r="BT85" s="5">
        <f>IF(BN85,1+SUMPRODUCT(--(calc!$BN$3:$BN$132=TRUE),--(calc!$BP$3:$BP$132&gt;BP85))+(SUMPRODUCT(--(calc!$BN$3:$BN$132=TRUE),--(calc!$BP$3:$BP$132=BP85))-1)/2,"")</f>
        <v/>
      </c>
      <c r="BU85" s="5">
        <f>IF(BN85,SUMPRODUCT(--(calc!$BN$3:$BN$132=TRUE),--(ROW(calc!$BN$3:$BN$132)&gt;ROW(BN85)),--(((calc!$BS$3:$BS$132&gt;BS85)*(calc!$BT$3:$BT$132&gt;BT85)+(calc!$BS$3:$BS$132&lt;BS85)*(calc!$BT$3:$BT$132&lt;BT85))&gt;0))-SUMPRODUCT(--(calc!$BN$3:$BN$132=TRUE),--(ROW(calc!$BN$3:$BN$132)&gt;ROW(BN85)),--(((calc!$BS$3:$BS$132&gt;BS85)*(calc!$BT$3:$BT$132&lt;BT85)+(calc!$BS$3:$BS$132&lt;BS85)*(calc!$BT$3:$BT$132&gt;BT85))&gt;0)),0)</f>
        <v/>
      </c>
    </row>
    <row r="86">
      <c r="A86" s="2">
        <f>mos_metrics!A85</f>
        <v/>
      </c>
      <c r="B86" s="2">
        <f>mos_metrics!B85</f>
        <v/>
      </c>
      <c r="C86" s="2">
        <f>mos_metrics!C85</f>
        <v/>
      </c>
      <c r="D86" s="2">
        <f>mos_metrics!D85</f>
        <v/>
      </c>
      <c r="E86" s="2">
        <f>mos_metrics!E85</f>
        <v/>
      </c>
      <c r="F86" s="2">
        <f>mos_metrics!F85</f>
        <v/>
      </c>
      <c r="G86" s="2">
        <f>IF($B86="","",IFERROR(VLOOKUP($B86,correlation!$A$2:$B$12,2,FALSE),1))</f>
        <v/>
      </c>
      <c r="H86" s="2">
        <f>IF($E86="","",IFERROR(VLOOKUP($E86,correlation!$D$2:$E$8,2,FALSE),1))</f>
        <v/>
      </c>
      <c r="I86" s="2">
        <f>ISNUMBER($F86)</f>
        <v/>
      </c>
      <c r="J86" s="2">
        <f>AND($G86=1,$H86=1,$I86)</f>
        <v/>
      </c>
      <c r="K86" s="5">
        <f>IF(mos_metrics!G85="","",mos_metrics!G85)</f>
        <v/>
      </c>
      <c r="L86" s="2">
        <f>AND($J86,ISNUMBER(K86),correlation!$I$26=1)</f>
        <v/>
      </c>
      <c r="M86" s="5">
        <f>IF(L86,$F86,"")</f>
        <v/>
      </c>
      <c r="N86" s="5">
        <f>IF(L86,K86*correlation!$J$26,"")</f>
        <v/>
      </c>
      <c r="O86" s="5">
        <f>IF(AND(L86,ISNUMBER(correlation!$F$26)),N86*correlation!$F$26+correlation!$G$26,"")</f>
        <v/>
      </c>
      <c r="P86" s="5">
        <f>IF(AND(L86,ISNUMBER(O86)),(M86-O86)^2,"")</f>
        <v/>
      </c>
      <c r="Q86" s="5">
        <f>IF(L86,1+SUMPRODUCT(--(calc!$L$3:$L$132=TRUE),--(calc!$M$3:$M$132&gt;M86))+(SUMPRODUCT(--(calc!$L$3:$L$132=TRUE),--(calc!$M$3:$M$132=M86))-1)/2,"")</f>
        <v/>
      </c>
      <c r="R86" s="5">
        <f>IF(L86,1+SUMPRODUCT(--(calc!$L$3:$L$132=TRUE),--(calc!$N$3:$N$132&gt;N86))+(SUMPRODUCT(--(calc!$L$3:$L$132=TRUE),--(calc!$N$3:$N$132=N86))-1)/2,"")</f>
        <v/>
      </c>
      <c r="S86" s="5">
        <f>IF(L86,SUMPRODUCT(--(calc!$L$3:$L$132=TRUE),--(ROW(calc!$L$3:$L$132)&gt;ROW(L86)),--(((calc!$Q$3:$Q$132&gt;Q86)*(calc!$R$3:$R$132&gt;R86)+(calc!$Q$3:$Q$132&lt;Q86)*(calc!$R$3:$R$132&lt;R86))&gt;0))-SUMPRODUCT(--(calc!$L$3:$L$132=TRUE),--(ROW(calc!$L$3:$L$132)&gt;ROW(L86)),--(((calc!$Q$3:$Q$132&gt;Q86)*(calc!$R$3:$R$132&lt;R86)+(calc!$Q$3:$Q$132&lt;Q86)*(calc!$R$3:$R$132&gt;R86))&gt;0)),0)</f>
        <v/>
      </c>
      <c r="T86" s="5">
        <f>IF(mos_metrics!H85="","",mos_metrics!H85)</f>
        <v/>
      </c>
      <c r="U86" s="2">
        <f>AND($J86,ISNUMBER(T86),correlation!$I$27=1)</f>
        <v/>
      </c>
      <c r="V86" s="5">
        <f>IF(U86,$F86,"")</f>
        <v/>
      </c>
      <c r="W86" s="5">
        <f>IF(U86,T86*correlation!$J$27,"")</f>
        <v/>
      </c>
      <c r="X86" s="5">
        <f>IF(AND(U86,ISNUMBER(correlation!$F$27)),W86*correlation!$F$27+correlation!$G$27,"")</f>
        <v/>
      </c>
      <c r="Y86" s="5">
        <f>IF(AND(U86,ISNUMBER(X86)),(V86-X86)^2,"")</f>
        <v/>
      </c>
      <c r="Z86" s="5">
        <f>IF(U86,1+SUMPRODUCT(--(calc!$U$3:$U$132=TRUE),--(calc!$V$3:$V$132&gt;V86))+(SUMPRODUCT(--(calc!$U$3:$U$132=TRUE),--(calc!$V$3:$V$132=V86))-1)/2,"")</f>
        <v/>
      </c>
      <c r="AA86" s="5">
        <f>IF(U86,1+SUMPRODUCT(--(calc!$U$3:$U$132=TRUE),--(calc!$W$3:$W$132&gt;W86))+(SUMPRODUCT(--(calc!$U$3:$U$132=TRUE),--(calc!$W$3:$W$132=W86))-1)/2,"")</f>
        <v/>
      </c>
      <c r="AB86" s="5">
        <f>IF(U86,SUMPRODUCT(--(calc!$U$3:$U$132=TRUE),--(ROW(calc!$U$3:$U$132)&gt;ROW(U86)),--(((calc!$Z$3:$Z$132&gt;Z86)*(calc!$AA$3:$AA$132&gt;AA86)+(calc!$Z$3:$Z$132&lt;Z86)*(calc!$AA$3:$AA$132&lt;AA86))&gt;0))-SUMPRODUCT(--(calc!$U$3:$U$132=TRUE),--(ROW(calc!$U$3:$U$132)&gt;ROW(U86)),--(((calc!$Z$3:$Z$132&gt;Z86)*(calc!$AA$3:$AA$132&lt;AA86)+(calc!$Z$3:$Z$132&lt;Z86)*(calc!$AA$3:$AA$132&gt;AA86))&gt;0)),0)</f>
        <v/>
      </c>
      <c r="AC86" s="5">
        <f>IF(mos_metrics!I85="","",mos_metrics!I85)</f>
        <v/>
      </c>
      <c r="AD86" s="2">
        <f>AND($J86,ISNUMBER(AC86),correlation!$I$28=1)</f>
        <v/>
      </c>
      <c r="AE86" s="5">
        <f>IF(AD86,$F86,"")</f>
        <v/>
      </c>
      <c r="AF86" s="5">
        <f>IF(AD86,AC86*correlation!$J$28,"")</f>
        <v/>
      </c>
      <c r="AG86" s="5">
        <f>IF(AND(AD86,ISNUMBER(correlation!$F$28)),AF86*correlation!$F$28+correlation!$G$28,"")</f>
        <v/>
      </c>
      <c r="AH86" s="5">
        <f>IF(AND(AD86,ISNUMBER(AG86)),(AE86-AG86)^2,"")</f>
        <v/>
      </c>
      <c r="AI86" s="5">
        <f>IF(AD86,1+SUMPRODUCT(--(calc!$AD$3:$AD$132=TRUE),--(calc!$AE$3:$AE$132&gt;AE86))+(SUMPRODUCT(--(calc!$AD$3:$AD$132=TRUE),--(calc!$AE$3:$AE$132=AE86))-1)/2,"")</f>
        <v/>
      </c>
      <c r="AJ86" s="5">
        <f>IF(AD86,1+SUMPRODUCT(--(calc!$AD$3:$AD$132=TRUE),--(calc!$AF$3:$AF$132&gt;AF86))+(SUMPRODUCT(--(calc!$AD$3:$AD$132=TRUE),--(calc!$AF$3:$AF$132=AF86))-1)/2,"")</f>
        <v/>
      </c>
      <c r="AK86" s="5">
        <f>IF(AD86,SUMPRODUCT(--(calc!$AD$3:$AD$132=TRUE),--(ROW(calc!$AD$3:$AD$132)&gt;ROW(AD86)),--(((calc!$AI$3:$AI$132&gt;AI86)*(calc!$AJ$3:$AJ$132&gt;AJ86)+(calc!$AI$3:$AI$132&lt;AI86)*(calc!$AJ$3:$AJ$132&lt;AJ86))&gt;0))-SUMPRODUCT(--(calc!$AD$3:$AD$132=TRUE),--(ROW(calc!$AD$3:$AD$132)&gt;ROW(AD86)),--(((calc!$AI$3:$AI$132&gt;AI86)*(calc!$AJ$3:$AJ$132&lt;AJ86)+(calc!$AI$3:$AI$132&lt;AI86)*(calc!$AJ$3:$AJ$132&gt;AJ86))&gt;0)),0)</f>
        <v/>
      </c>
      <c r="AL86" s="5">
        <f>IF(mos_metrics!J85="","",mos_metrics!J85)</f>
        <v/>
      </c>
      <c r="AM86" s="2">
        <f>AND($J86,ISNUMBER(AL86),correlation!$I$29=1)</f>
        <v/>
      </c>
      <c r="AN86" s="5">
        <f>IF(AM86,$F86,"")</f>
        <v/>
      </c>
      <c r="AO86" s="5">
        <f>IF(AM86,AL86*correlation!$J$29,"")</f>
        <v/>
      </c>
      <c r="AP86" s="5">
        <f>IF(AND(AM86,ISNUMBER(correlation!$F$29)),AO86*correlation!$F$29+correlation!$G$29,"")</f>
        <v/>
      </c>
      <c r="AQ86" s="5">
        <f>IF(AND(AM86,ISNUMBER(AP86)),(AN86-AP86)^2,"")</f>
        <v/>
      </c>
      <c r="AR86" s="5">
        <f>IF(AM86,1+SUMPRODUCT(--(calc!$AM$3:$AM$132=TRUE),--(calc!$AN$3:$AN$132&gt;AN86))+(SUMPRODUCT(--(calc!$AM$3:$AM$132=TRUE),--(calc!$AN$3:$AN$132=AN86))-1)/2,"")</f>
        <v/>
      </c>
      <c r="AS86" s="5">
        <f>IF(AM86,1+SUMPRODUCT(--(calc!$AM$3:$AM$132=TRUE),--(calc!$AO$3:$AO$132&gt;AO86))+(SUMPRODUCT(--(calc!$AM$3:$AM$132=TRUE),--(calc!$AO$3:$AO$132=AO86))-1)/2,"")</f>
        <v/>
      </c>
      <c r="AT86" s="5">
        <f>IF(AM86,SUMPRODUCT(--(calc!$AM$3:$AM$132=TRUE),--(ROW(calc!$AM$3:$AM$132)&gt;ROW(AM86)),--(((calc!$AR$3:$AR$132&gt;AR86)*(calc!$AS$3:$AS$132&gt;AS86)+(calc!$AR$3:$AR$132&lt;AR86)*(calc!$AS$3:$AS$132&lt;AS86))&gt;0))-SUMPRODUCT(--(calc!$AM$3:$AM$132=TRUE),--(ROW(calc!$AM$3:$AM$132)&gt;ROW(AM86)),--(((calc!$AR$3:$AR$132&gt;AR86)*(calc!$AS$3:$AS$132&lt;AS86)+(calc!$AR$3:$AR$132&lt;AR86)*(calc!$AS$3:$AS$132&gt;AS86))&gt;0)),0)</f>
        <v/>
      </c>
      <c r="AU86" s="5">
        <f>IF(mos_metrics!K85="","",mos_metrics!K85)</f>
        <v/>
      </c>
      <c r="AV86" s="2">
        <f>AND($J86,ISNUMBER(AU86),correlation!$I$30=1)</f>
        <v/>
      </c>
      <c r="AW86" s="5">
        <f>IF(AV86,$F86,"")</f>
        <v/>
      </c>
      <c r="AX86" s="5">
        <f>IF(AV86,AU86*correlation!$J$30,"")</f>
        <v/>
      </c>
      <c r="AY86" s="5">
        <f>IF(AND(AV86,ISNUMBER(correlation!$F$30)),AX86*correlation!$F$30+correlation!$G$30,"")</f>
        <v/>
      </c>
      <c r="AZ86" s="5">
        <f>IF(AND(AV86,ISNUMBER(AY86)),(AW86-AY86)^2,"")</f>
        <v/>
      </c>
      <c r="BA86" s="5">
        <f>IF(AV86,1+SUMPRODUCT(--(calc!$AV$3:$AV$132=TRUE),--(calc!$AW$3:$AW$132&gt;AW86))+(SUMPRODUCT(--(calc!$AV$3:$AV$132=TRUE),--(calc!$AW$3:$AW$132=AW86))-1)/2,"")</f>
        <v/>
      </c>
      <c r="BB86" s="5">
        <f>IF(AV86,1+SUMPRODUCT(--(calc!$AV$3:$AV$132=TRUE),--(calc!$AX$3:$AX$132&gt;AX86))+(SUMPRODUCT(--(calc!$AV$3:$AV$132=TRUE),--(calc!$AX$3:$AX$132=AX86))-1)/2,"")</f>
        <v/>
      </c>
      <c r="BC86" s="5">
        <f>IF(AV86,SUMPRODUCT(--(calc!$AV$3:$AV$132=TRUE),--(ROW(calc!$AV$3:$AV$132)&gt;ROW(AV86)),--(((calc!$BA$3:$BA$132&gt;BA86)*(calc!$BB$3:$BB$132&gt;BB86)+(calc!$BA$3:$BA$132&lt;BA86)*(calc!$BB$3:$BB$132&lt;BB86))&gt;0))-SUMPRODUCT(--(calc!$AV$3:$AV$132=TRUE),--(ROW(calc!$AV$3:$AV$132)&gt;ROW(AV86)),--(((calc!$BA$3:$BA$132&gt;BA86)*(calc!$BB$3:$BB$132&lt;BB86)+(calc!$BA$3:$BA$132&lt;BA86)*(calc!$BB$3:$BB$132&gt;BB86))&gt;0)),0)</f>
        <v/>
      </c>
      <c r="BD86" s="5">
        <f>IF(mos_metrics!L85="","",mos_metrics!L85)</f>
        <v/>
      </c>
      <c r="BE86" s="2">
        <f>AND($J86,ISNUMBER(BD86),correlation!$I$31=1)</f>
        <v/>
      </c>
      <c r="BF86" s="5">
        <f>IF(BE86,$F86,"")</f>
        <v/>
      </c>
      <c r="BG86" s="5">
        <f>IF(BE86,BD86*correlation!$J$31,"")</f>
        <v/>
      </c>
      <c r="BH86" s="5">
        <f>IF(AND(BE86,ISNUMBER(correlation!$F$31)),BG86*correlation!$F$31+correlation!$G$31,"")</f>
        <v/>
      </c>
      <c r="BI86" s="5">
        <f>IF(AND(BE86,ISNUMBER(BH86)),(BF86-BH86)^2,"")</f>
        <v/>
      </c>
      <c r="BJ86" s="5">
        <f>IF(BE86,1+SUMPRODUCT(--(calc!$BE$3:$BE$132=TRUE),--(calc!$BF$3:$BF$132&gt;BF86))+(SUMPRODUCT(--(calc!$BE$3:$BE$132=TRUE),--(calc!$BF$3:$BF$132=BF86))-1)/2,"")</f>
        <v/>
      </c>
      <c r="BK86" s="5">
        <f>IF(BE86,1+SUMPRODUCT(--(calc!$BE$3:$BE$132=TRUE),--(calc!$BG$3:$BG$132&gt;BG86))+(SUMPRODUCT(--(calc!$BE$3:$BE$132=TRUE),--(calc!$BG$3:$BG$132=BG86))-1)/2,"")</f>
        <v/>
      </c>
      <c r="BL86" s="5">
        <f>IF(BE86,SUMPRODUCT(--(calc!$BE$3:$BE$132=TRUE),--(ROW(calc!$BE$3:$BE$132)&gt;ROW(BE86)),--(((calc!$BJ$3:$BJ$132&gt;BJ86)*(calc!$BK$3:$BK$132&gt;BK86)+(calc!$BJ$3:$BJ$132&lt;BJ86)*(calc!$BK$3:$BK$132&lt;BK86))&gt;0))-SUMPRODUCT(--(calc!$BE$3:$BE$132=TRUE),--(ROW(calc!$BE$3:$BE$132)&gt;ROW(BE86)),--(((calc!$BJ$3:$BJ$132&gt;BJ86)*(calc!$BK$3:$BK$132&lt;BK86)+(calc!$BJ$3:$BJ$132&lt;BJ86)*(calc!$BK$3:$BK$132&gt;BK86))&gt;0)),0)</f>
        <v/>
      </c>
      <c r="BM86" s="5">
        <f>IF(mos_metrics!M85="","",mos_metrics!M85)</f>
        <v/>
      </c>
      <c r="BN86" s="2">
        <f>AND($J86,ISNUMBER(BM86),correlation!$I$32=1)</f>
        <v/>
      </c>
      <c r="BO86" s="5">
        <f>IF(BN86,$F86,"")</f>
        <v/>
      </c>
      <c r="BP86" s="5">
        <f>IF(BN86,BM86*correlation!$J$32,"")</f>
        <v/>
      </c>
      <c r="BQ86" s="5">
        <f>IF(AND(BN86,ISNUMBER(correlation!$F$32)),BP86*correlation!$F$32+correlation!$G$32,"")</f>
        <v/>
      </c>
      <c r="BR86" s="5">
        <f>IF(AND(BN86,ISNUMBER(BQ86)),(BO86-BQ86)^2,"")</f>
        <v/>
      </c>
      <c r="BS86" s="5">
        <f>IF(BN86,1+SUMPRODUCT(--(calc!$BN$3:$BN$132=TRUE),--(calc!$BO$3:$BO$132&gt;BO86))+(SUMPRODUCT(--(calc!$BN$3:$BN$132=TRUE),--(calc!$BO$3:$BO$132=BO86))-1)/2,"")</f>
        <v/>
      </c>
      <c r="BT86" s="5">
        <f>IF(BN86,1+SUMPRODUCT(--(calc!$BN$3:$BN$132=TRUE),--(calc!$BP$3:$BP$132&gt;BP86))+(SUMPRODUCT(--(calc!$BN$3:$BN$132=TRUE),--(calc!$BP$3:$BP$132=BP86))-1)/2,"")</f>
        <v/>
      </c>
      <c r="BU86" s="5">
        <f>IF(BN86,SUMPRODUCT(--(calc!$BN$3:$BN$132=TRUE),--(ROW(calc!$BN$3:$BN$132)&gt;ROW(BN86)),--(((calc!$BS$3:$BS$132&gt;BS86)*(calc!$BT$3:$BT$132&gt;BT86)+(calc!$BS$3:$BS$132&lt;BS86)*(calc!$BT$3:$BT$132&lt;BT86))&gt;0))-SUMPRODUCT(--(calc!$BN$3:$BN$132=TRUE),--(ROW(calc!$BN$3:$BN$132)&gt;ROW(BN86)),--(((calc!$BS$3:$BS$132&gt;BS86)*(calc!$BT$3:$BT$132&lt;BT86)+(calc!$BS$3:$BS$132&lt;BS86)*(calc!$BT$3:$BT$132&gt;BT86))&gt;0)),0)</f>
        <v/>
      </c>
    </row>
    <row r="87">
      <c r="A87" s="2">
        <f>mos_metrics!A86</f>
        <v/>
      </c>
      <c r="B87" s="2">
        <f>mos_metrics!B86</f>
        <v/>
      </c>
      <c r="C87" s="2">
        <f>mos_metrics!C86</f>
        <v/>
      </c>
      <c r="D87" s="2">
        <f>mos_metrics!D86</f>
        <v/>
      </c>
      <c r="E87" s="2">
        <f>mos_metrics!E86</f>
        <v/>
      </c>
      <c r="F87" s="2">
        <f>mos_metrics!F86</f>
        <v/>
      </c>
      <c r="G87" s="2">
        <f>IF($B87="","",IFERROR(VLOOKUP($B87,correlation!$A$2:$B$12,2,FALSE),1))</f>
        <v/>
      </c>
      <c r="H87" s="2">
        <f>IF($E87="","",IFERROR(VLOOKUP($E87,correlation!$D$2:$E$8,2,FALSE),1))</f>
        <v/>
      </c>
      <c r="I87" s="2">
        <f>ISNUMBER($F87)</f>
        <v/>
      </c>
      <c r="J87" s="2">
        <f>AND($G87=1,$H87=1,$I87)</f>
        <v/>
      </c>
      <c r="K87" s="5">
        <f>IF(mos_metrics!G86="","",mos_metrics!G86)</f>
        <v/>
      </c>
      <c r="L87" s="2">
        <f>AND($J87,ISNUMBER(K87),correlation!$I$26=1)</f>
        <v/>
      </c>
      <c r="M87" s="5">
        <f>IF(L87,$F87,"")</f>
        <v/>
      </c>
      <c r="N87" s="5">
        <f>IF(L87,K87*correlation!$J$26,"")</f>
        <v/>
      </c>
      <c r="O87" s="5">
        <f>IF(AND(L87,ISNUMBER(correlation!$F$26)),N87*correlation!$F$26+correlation!$G$26,"")</f>
        <v/>
      </c>
      <c r="P87" s="5">
        <f>IF(AND(L87,ISNUMBER(O87)),(M87-O87)^2,"")</f>
        <v/>
      </c>
      <c r="Q87" s="5">
        <f>IF(L87,1+SUMPRODUCT(--(calc!$L$3:$L$132=TRUE),--(calc!$M$3:$M$132&gt;M87))+(SUMPRODUCT(--(calc!$L$3:$L$132=TRUE),--(calc!$M$3:$M$132=M87))-1)/2,"")</f>
        <v/>
      </c>
      <c r="R87" s="5">
        <f>IF(L87,1+SUMPRODUCT(--(calc!$L$3:$L$132=TRUE),--(calc!$N$3:$N$132&gt;N87))+(SUMPRODUCT(--(calc!$L$3:$L$132=TRUE),--(calc!$N$3:$N$132=N87))-1)/2,"")</f>
        <v/>
      </c>
      <c r="S87" s="5">
        <f>IF(L87,SUMPRODUCT(--(calc!$L$3:$L$132=TRUE),--(ROW(calc!$L$3:$L$132)&gt;ROW(L87)),--(((calc!$Q$3:$Q$132&gt;Q87)*(calc!$R$3:$R$132&gt;R87)+(calc!$Q$3:$Q$132&lt;Q87)*(calc!$R$3:$R$132&lt;R87))&gt;0))-SUMPRODUCT(--(calc!$L$3:$L$132=TRUE),--(ROW(calc!$L$3:$L$132)&gt;ROW(L87)),--(((calc!$Q$3:$Q$132&gt;Q87)*(calc!$R$3:$R$132&lt;R87)+(calc!$Q$3:$Q$132&lt;Q87)*(calc!$R$3:$R$132&gt;R87))&gt;0)),0)</f>
        <v/>
      </c>
      <c r="T87" s="5">
        <f>IF(mos_metrics!H86="","",mos_metrics!H86)</f>
        <v/>
      </c>
      <c r="U87" s="2">
        <f>AND($J87,ISNUMBER(T87),correlation!$I$27=1)</f>
        <v/>
      </c>
      <c r="V87" s="5">
        <f>IF(U87,$F87,"")</f>
        <v/>
      </c>
      <c r="W87" s="5">
        <f>IF(U87,T87*correlation!$J$27,"")</f>
        <v/>
      </c>
      <c r="X87" s="5">
        <f>IF(AND(U87,ISNUMBER(correlation!$F$27)),W87*correlation!$F$27+correlation!$G$27,"")</f>
        <v/>
      </c>
      <c r="Y87" s="5">
        <f>IF(AND(U87,ISNUMBER(X87)),(V87-X87)^2,"")</f>
        <v/>
      </c>
      <c r="Z87" s="5">
        <f>IF(U87,1+SUMPRODUCT(--(calc!$U$3:$U$132=TRUE),--(calc!$V$3:$V$132&gt;V87))+(SUMPRODUCT(--(calc!$U$3:$U$132=TRUE),--(calc!$V$3:$V$132=V87))-1)/2,"")</f>
        <v/>
      </c>
      <c r="AA87" s="5">
        <f>IF(U87,1+SUMPRODUCT(--(calc!$U$3:$U$132=TRUE),--(calc!$W$3:$W$132&gt;W87))+(SUMPRODUCT(--(calc!$U$3:$U$132=TRUE),--(calc!$W$3:$W$132=W87))-1)/2,"")</f>
        <v/>
      </c>
      <c r="AB87" s="5">
        <f>IF(U87,SUMPRODUCT(--(calc!$U$3:$U$132=TRUE),--(ROW(calc!$U$3:$U$132)&gt;ROW(U87)),--(((calc!$Z$3:$Z$132&gt;Z87)*(calc!$AA$3:$AA$132&gt;AA87)+(calc!$Z$3:$Z$132&lt;Z87)*(calc!$AA$3:$AA$132&lt;AA87))&gt;0))-SUMPRODUCT(--(calc!$U$3:$U$132=TRUE),--(ROW(calc!$U$3:$U$132)&gt;ROW(U87)),--(((calc!$Z$3:$Z$132&gt;Z87)*(calc!$AA$3:$AA$132&lt;AA87)+(calc!$Z$3:$Z$132&lt;Z87)*(calc!$AA$3:$AA$132&gt;AA87))&gt;0)),0)</f>
        <v/>
      </c>
      <c r="AC87" s="5">
        <f>IF(mos_metrics!I86="","",mos_metrics!I86)</f>
        <v/>
      </c>
      <c r="AD87" s="2">
        <f>AND($J87,ISNUMBER(AC87),correlation!$I$28=1)</f>
        <v/>
      </c>
      <c r="AE87" s="5">
        <f>IF(AD87,$F87,"")</f>
        <v/>
      </c>
      <c r="AF87" s="5">
        <f>IF(AD87,AC87*correlation!$J$28,"")</f>
        <v/>
      </c>
      <c r="AG87" s="5">
        <f>IF(AND(AD87,ISNUMBER(correlation!$F$28)),AF87*correlation!$F$28+correlation!$G$28,"")</f>
        <v/>
      </c>
      <c r="AH87" s="5">
        <f>IF(AND(AD87,ISNUMBER(AG87)),(AE87-AG87)^2,"")</f>
        <v/>
      </c>
      <c r="AI87" s="5">
        <f>IF(AD87,1+SUMPRODUCT(--(calc!$AD$3:$AD$132=TRUE),--(calc!$AE$3:$AE$132&gt;AE87))+(SUMPRODUCT(--(calc!$AD$3:$AD$132=TRUE),--(calc!$AE$3:$AE$132=AE87))-1)/2,"")</f>
        <v/>
      </c>
      <c r="AJ87" s="5">
        <f>IF(AD87,1+SUMPRODUCT(--(calc!$AD$3:$AD$132=TRUE),--(calc!$AF$3:$AF$132&gt;AF87))+(SUMPRODUCT(--(calc!$AD$3:$AD$132=TRUE),--(calc!$AF$3:$AF$132=AF87))-1)/2,"")</f>
        <v/>
      </c>
      <c r="AK87" s="5">
        <f>IF(AD87,SUMPRODUCT(--(calc!$AD$3:$AD$132=TRUE),--(ROW(calc!$AD$3:$AD$132)&gt;ROW(AD87)),--(((calc!$AI$3:$AI$132&gt;AI87)*(calc!$AJ$3:$AJ$132&gt;AJ87)+(calc!$AI$3:$AI$132&lt;AI87)*(calc!$AJ$3:$AJ$132&lt;AJ87))&gt;0))-SUMPRODUCT(--(calc!$AD$3:$AD$132=TRUE),--(ROW(calc!$AD$3:$AD$132)&gt;ROW(AD87)),--(((calc!$AI$3:$AI$132&gt;AI87)*(calc!$AJ$3:$AJ$132&lt;AJ87)+(calc!$AI$3:$AI$132&lt;AI87)*(calc!$AJ$3:$AJ$132&gt;AJ87))&gt;0)),0)</f>
        <v/>
      </c>
      <c r="AL87" s="5">
        <f>IF(mos_metrics!J86="","",mos_metrics!J86)</f>
        <v/>
      </c>
      <c r="AM87" s="2">
        <f>AND($J87,ISNUMBER(AL87),correlation!$I$29=1)</f>
        <v/>
      </c>
      <c r="AN87" s="5">
        <f>IF(AM87,$F87,"")</f>
        <v/>
      </c>
      <c r="AO87" s="5">
        <f>IF(AM87,AL87*correlation!$J$29,"")</f>
        <v/>
      </c>
      <c r="AP87" s="5">
        <f>IF(AND(AM87,ISNUMBER(correlation!$F$29)),AO87*correlation!$F$29+correlation!$G$29,"")</f>
        <v/>
      </c>
      <c r="AQ87" s="5">
        <f>IF(AND(AM87,ISNUMBER(AP87)),(AN87-AP87)^2,"")</f>
        <v/>
      </c>
      <c r="AR87" s="5">
        <f>IF(AM87,1+SUMPRODUCT(--(calc!$AM$3:$AM$132=TRUE),--(calc!$AN$3:$AN$132&gt;AN87))+(SUMPRODUCT(--(calc!$AM$3:$AM$132=TRUE),--(calc!$AN$3:$AN$132=AN87))-1)/2,"")</f>
        <v/>
      </c>
      <c r="AS87" s="5">
        <f>IF(AM87,1+SUMPRODUCT(--(calc!$AM$3:$AM$132=TRUE),--(calc!$AO$3:$AO$132&gt;AO87))+(SUMPRODUCT(--(calc!$AM$3:$AM$132=TRUE),--(calc!$AO$3:$AO$132=AO87))-1)/2,"")</f>
        <v/>
      </c>
      <c r="AT87" s="5">
        <f>IF(AM87,SUMPRODUCT(--(calc!$AM$3:$AM$132=TRUE),--(ROW(calc!$AM$3:$AM$132)&gt;ROW(AM87)),--(((calc!$AR$3:$AR$132&gt;AR87)*(calc!$AS$3:$AS$132&gt;AS87)+(calc!$AR$3:$AR$132&lt;AR87)*(calc!$AS$3:$AS$132&lt;AS87))&gt;0))-SUMPRODUCT(--(calc!$AM$3:$AM$132=TRUE),--(ROW(calc!$AM$3:$AM$132)&gt;ROW(AM87)),--(((calc!$AR$3:$AR$132&gt;AR87)*(calc!$AS$3:$AS$132&lt;AS87)+(calc!$AR$3:$AR$132&lt;AR87)*(calc!$AS$3:$AS$132&gt;AS87))&gt;0)),0)</f>
        <v/>
      </c>
      <c r="AU87" s="5">
        <f>IF(mos_metrics!K86="","",mos_metrics!K86)</f>
        <v/>
      </c>
      <c r="AV87" s="2">
        <f>AND($J87,ISNUMBER(AU87),correlation!$I$30=1)</f>
        <v/>
      </c>
      <c r="AW87" s="5">
        <f>IF(AV87,$F87,"")</f>
        <v/>
      </c>
      <c r="AX87" s="5">
        <f>IF(AV87,AU87*correlation!$J$30,"")</f>
        <v/>
      </c>
      <c r="AY87" s="5">
        <f>IF(AND(AV87,ISNUMBER(correlation!$F$30)),AX87*correlation!$F$30+correlation!$G$30,"")</f>
        <v/>
      </c>
      <c r="AZ87" s="5">
        <f>IF(AND(AV87,ISNUMBER(AY87)),(AW87-AY87)^2,"")</f>
        <v/>
      </c>
      <c r="BA87" s="5">
        <f>IF(AV87,1+SUMPRODUCT(--(calc!$AV$3:$AV$132=TRUE),--(calc!$AW$3:$AW$132&gt;AW87))+(SUMPRODUCT(--(calc!$AV$3:$AV$132=TRUE),--(calc!$AW$3:$AW$132=AW87))-1)/2,"")</f>
        <v/>
      </c>
      <c r="BB87" s="5">
        <f>IF(AV87,1+SUMPRODUCT(--(calc!$AV$3:$AV$132=TRUE),--(calc!$AX$3:$AX$132&gt;AX87))+(SUMPRODUCT(--(calc!$AV$3:$AV$132=TRUE),--(calc!$AX$3:$AX$132=AX87))-1)/2,"")</f>
        <v/>
      </c>
      <c r="BC87" s="5">
        <f>IF(AV87,SUMPRODUCT(--(calc!$AV$3:$AV$132=TRUE),--(ROW(calc!$AV$3:$AV$132)&gt;ROW(AV87)),--(((calc!$BA$3:$BA$132&gt;BA87)*(calc!$BB$3:$BB$132&gt;BB87)+(calc!$BA$3:$BA$132&lt;BA87)*(calc!$BB$3:$BB$132&lt;BB87))&gt;0))-SUMPRODUCT(--(calc!$AV$3:$AV$132=TRUE),--(ROW(calc!$AV$3:$AV$132)&gt;ROW(AV87)),--(((calc!$BA$3:$BA$132&gt;BA87)*(calc!$BB$3:$BB$132&lt;BB87)+(calc!$BA$3:$BA$132&lt;BA87)*(calc!$BB$3:$BB$132&gt;BB87))&gt;0)),0)</f>
        <v/>
      </c>
      <c r="BD87" s="5">
        <f>IF(mos_metrics!L86="","",mos_metrics!L86)</f>
        <v/>
      </c>
      <c r="BE87" s="2">
        <f>AND($J87,ISNUMBER(BD87),correlation!$I$31=1)</f>
        <v/>
      </c>
      <c r="BF87" s="5">
        <f>IF(BE87,$F87,"")</f>
        <v/>
      </c>
      <c r="BG87" s="5">
        <f>IF(BE87,BD87*correlation!$J$31,"")</f>
        <v/>
      </c>
      <c r="BH87" s="5">
        <f>IF(AND(BE87,ISNUMBER(correlation!$F$31)),BG87*correlation!$F$31+correlation!$G$31,"")</f>
        <v/>
      </c>
      <c r="BI87" s="5">
        <f>IF(AND(BE87,ISNUMBER(BH87)),(BF87-BH87)^2,"")</f>
        <v/>
      </c>
      <c r="BJ87" s="5">
        <f>IF(BE87,1+SUMPRODUCT(--(calc!$BE$3:$BE$132=TRUE),--(calc!$BF$3:$BF$132&gt;BF87))+(SUMPRODUCT(--(calc!$BE$3:$BE$132=TRUE),--(calc!$BF$3:$BF$132=BF87))-1)/2,"")</f>
        <v/>
      </c>
      <c r="BK87" s="5">
        <f>IF(BE87,1+SUMPRODUCT(--(calc!$BE$3:$BE$132=TRUE),--(calc!$BG$3:$BG$132&gt;BG87))+(SUMPRODUCT(--(calc!$BE$3:$BE$132=TRUE),--(calc!$BG$3:$BG$132=BG87))-1)/2,"")</f>
        <v/>
      </c>
      <c r="BL87" s="5">
        <f>IF(BE87,SUMPRODUCT(--(calc!$BE$3:$BE$132=TRUE),--(ROW(calc!$BE$3:$BE$132)&gt;ROW(BE87)),--(((calc!$BJ$3:$BJ$132&gt;BJ87)*(calc!$BK$3:$BK$132&gt;BK87)+(calc!$BJ$3:$BJ$132&lt;BJ87)*(calc!$BK$3:$BK$132&lt;BK87))&gt;0))-SUMPRODUCT(--(calc!$BE$3:$BE$132=TRUE),--(ROW(calc!$BE$3:$BE$132)&gt;ROW(BE87)),--(((calc!$BJ$3:$BJ$132&gt;BJ87)*(calc!$BK$3:$BK$132&lt;BK87)+(calc!$BJ$3:$BJ$132&lt;BJ87)*(calc!$BK$3:$BK$132&gt;BK87))&gt;0)),0)</f>
        <v/>
      </c>
      <c r="BM87" s="5">
        <f>IF(mos_metrics!M86="","",mos_metrics!M86)</f>
        <v/>
      </c>
      <c r="BN87" s="2">
        <f>AND($J87,ISNUMBER(BM87),correlation!$I$32=1)</f>
        <v/>
      </c>
      <c r="BO87" s="5">
        <f>IF(BN87,$F87,"")</f>
        <v/>
      </c>
      <c r="BP87" s="5">
        <f>IF(BN87,BM87*correlation!$J$32,"")</f>
        <v/>
      </c>
      <c r="BQ87" s="5">
        <f>IF(AND(BN87,ISNUMBER(correlation!$F$32)),BP87*correlation!$F$32+correlation!$G$32,"")</f>
        <v/>
      </c>
      <c r="BR87" s="5">
        <f>IF(AND(BN87,ISNUMBER(BQ87)),(BO87-BQ87)^2,"")</f>
        <v/>
      </c>
      <c r="BS87" s="5">
        <f>IF(BN87,1+SUMPRODUCT(--(calc!$BN$3:$BN$132=TRUE),--(calc!$BO$3:$BO$132&gt;BO87))+(SUMPRODUCT(--(calc!$BN$3:$BN$132=TRUE),--(calc!$BO$3:$BO$132=BO87))-1)/2,"")</f>
        <v/>
      </c>
      <c r="BT87" s="5">
        <f>IF(BN87,1+SUMPRODUCT(--(calc!$BN$3:$BN$132=TRUE),--(calc!$BP$3:$BP$132&gt;BP87))+(SUMPRODUCT(--(calc!$BN$3:$BN$132=TRUE),--(calc!$BP$3:$BP$132=BP87))-1)/2,"")</f>
        <v/>
      </c>
      <c r="BU87" s="5">
        <f>IF(BN87,SUMPRODUCT(--(calc!$BN$3:$BN$132=TRUE),--(ROW(calc!$BN$3:$BN$132)&gt;ROW(BN87)),--(((calc!$BS$3:$BS$132&gt;BS87)*(calc!$BT$3:$BT$132&gt;BT87)+(calc!$BS$3:$BS$132&lt;BS87)*(calc!$BT$3:$BT$132&lt;BT87))&gt;0))-SUMPRODUCT(--(calc!$BN$3:$BN$132=TRUE),--(ROW(calc!$BN$3:$BN$132)&gt;ROW(BN87)),--(((calc!$BS$3:$BS$132&gt;BS87)*(calc!$BT$3:$BT$132&lt;BT87)+(calc!$BS$3:$BS$132&lt;BS87)*(calc!$BT$3:$BT$132&gt;BT87))&gt;0)),0)</f>
        <v/>
      </c>
    </row>
    <row r="88">
      <c r="A88" s="2">
        <f>mos_metrics!A87</f>
        <v/>
      </c>
      <c r="B88" s="2">
        <f>mos_metrics!B87</f>
        <v/>
      </c>
      <c r="C88" s="2">
        <f>mos_metrics!C87</f>
        <v/>
      </c>
      <c r="D88" s="2">
        <f>mos_metrics!D87</f>
        <v/>
      </c>
      <c r="E88" s="2">
        <f>mos_metrics!E87</f>
        <v/>
      </c>
      <c r="F88" s="2">
        <f>mos_metrics!F87</f>
        <v/>
      </c>
      <c r="G88" s="2">
        <f>IF($B88="","",IFERROR(VLOOKUP($B88,correlation!$A$2:$B$12,2,FALSE),1))</f>
        <v/>
      </c>
      <c r="H88" s="2">
        <f>IF($E88="","",IFERROR(VLOOKUP($E88,correlation!$D$2:$E$8,2,FALSE),1))</f>
        <v/>
      </c>
      <c r="I88" s="2">
        <f>ISNUMBER($F88)</f>
        <v/>
      </c>
      <c r="J88" s="2">
        <f>AND($G88=1,$H88=1,$I88)</f>
        <v/>
      </c>
      <c r="K88" s="5">
        <f>IF(mos_metrics!G87="","",mos_metrics!G87)</f>
        <v/>
      </c>
      <c r="L88" s="2">
        <f>AND($J88,ISNUMBER(K88),correlation!$I$26=1)</f>
        <v/>
      </c>
      <c r="M88" s="5">
        <f>IF(L88,$F88,"")</f>
        <v/>
      </c>
      <c r="N88" s="5">
        <f>IF(L88,K88*correlation!$J$26,"")</f>
        <v/>
      </c>
      <c r="O88" s="5">
        <f>IF(AND(L88,ISNUMBER(correlation!$F$26)),N88*correlation!$F$26+correlation!$G$26,"")</f>
        <v/>
      </c>
      <c r="P88" s="5">
        <f>IF(AND(L88,ISNUMBER(O88)),(M88-O88)^2,"")</f>
        <v/>
      </c>
      <c r="Q88" s="5">
        <f>IF(L88,1+SUMPRODUCT(--(calc!$L$3:$L$132=TRUE),--(calc!$M$3:$M$132&gt;M88))+(SUMPRODUCT(--(calc!$L$3:$L$132=TRUE),--(calc!$M$3:$M$132=M88))-1)/2,"")</f>
        <v/>
      </c>
      <c r="R88" s="5">
        <f>IF(L88,1+SUMPRODUCT(--(calc!$L$3:$L$132=TRUE),--(calc!$N$3:$N$132&gt;N88))+(SUMPRODUCT(--(calc!$L$3:$L$132=TRUE),--(calc!$N$3:$N$132=N88))-1)/2,"")</f>
        <v/>
      </c>
      <c r="S88" s="5">
        <f>IF(L88,SUMPRODUCT(--(calc!$L$3:$L$132=TRUE),--(ROW(calc!$L$3:$L$132)&gt;ROW(L88)),--(((calc!$Q$3:$Q$132&gt;Q88)*(calc!$R$3:$R$132&gt;R88)+(calc!$Q$3:$Q$132&lt;Q88)*(calc!$R$3:$R$132&lt;R88))&gt;0))-SUMPRODUCT(--(calc!$L$3:$L$132=TRUE),--(ROW(calc!$L$3:$L$132)&gt;ROW(L88)),--(((calc!$Q$3:$Q$132&gt;Q88)*(calc!$R$3:$R$132&lt;R88)+(calc!$Q$3:$Q$132&lt;Q88)*(calc!$R$3:$R$132&gt;R88))&gt;0)),0)</f>
        <v/>
      </c>
      <c r="T88" s="5">
        <f>IF(mos_metrics!H87="","",mos_metrics!H87)</f>
        <v/>
      </c>
      <c r="U88" s="2">
        <f>AND($J88,ISNUMBER(T88),correlation!$I$27=1)</f>
        <v/>
      </c>
      <c r="V88" s="5">
        <f>IF(U88,$F88,"")</f>
        <v/>
      </c>
      <c r="W88" s="5">
        <f>IF(U88,T88*correlation!$J$27,"")</f>
        <v/>
      </c>
      <c r="X88" s="5">
        <f>IF(AND(U88,ISNUMBER(correlation!$F$27)),W88*correlation!$F$27+correlation!$G$27,"")</f>
        <v/>
      </c>
      <c r="Y88" s="5">
        <f>IF(AND(U88,ISNUMBER(X88)),(V88-X88)^2,"")</f>
        <v/>
      </c>
      <c r="Z88" s="5">
        <f>IF(U88,1+SUMPRODUCT(--(calc!$U$3:$U$132=TRUE),--(calc!$V$3:$V$132&gt;V88))+(SUMPRODUCT(--(calc!$U$3:$U$132=TRUE),--(calc!$V$3:$V$132=V88))-1)/2,"")</f>
        <v/>
      </c>
      <c r="AA88" s="5">
        <f>IF(U88,1+SUMPRODUCT(--(calc!$U$3:$U$132=TRUE),--(calc!$W$3:$W$132&gt;W88))+(SUMPRODUCT(--(calc!$U$3:$U$132=TRUE),--(calc!$W$3:$W$132=W88))-1)/2,"")</f>
        <v/>
      </c>
      <c r="AB88" s="5">
        <f>IF(U88,SUMPRODUCT(--(calc!$U$3:$U$132=TRUE),--(ROW(calc!$U$3:$U$132)&gt;ROW(U88)),--(((calc!$Z$3:$Z$132&gt;Z88)*(calc!$AA$3:$AA$132&gt;AA88)+(calc!$Z$3:$Z$132&lt;Z88)*(calc!$AA$3:$AA$132&lt;AA88))&gt;0))-SUMPRODUCT(--(calc!$U$3:$U$132=TRUE),--(ROW(calc!$U$3:$U$132)&gt;ROW(U88)),--(((calc!$Z$3:$Z$132&gt;Z88)*(calc!$AA$3:$AA$132&lt;AA88)+(calc!$Z$3:$Z$132&lt;Z88)*(calc!$AA$3:$AA$132&gt;AA88))&gt;0)),0)</f>
        <v/>
      </c>
      <c r="AC88" s="5">
        <f>IF(mos_metrics!I87="","",mos_metrics!I87)</f>
        <v/>
      </c>
      <c r="AD88" s="2">
        <f>AND($J88,ISNUMBER(AC88),correlation!$I$28=1)</f>
        <v/>
      </c>
      <c r="AE88" s="5">
        <f>IF(AD88,$F88,"")</f>
        <v/>
      </c>
      <c r="AF88" s="5">
        <f>IF(AD88,AC88*correlation!$J$28,"")</f>
        <v/>
      </c>
      <c r="AG88" s="5">
        <f>IF(AND(AD88,ISNUMBER(correlation!$F$28)),AF88*correlation!$F$28+correlation!$G$28,"")</f>
        <v/>
      </c>
      <c r="AH88" s="5">
        <f>IF(AND(AD88,ISNUMBER(AG88)),(AE88-AG88)^2,"")</f>
        <v/>
      </c>
      <c r="AI88" s="5">
        <f>IF(AD88,1+SUMPRODUCT(--(calc!$AD$3:$AD$132=TRUE),--(calc!$AE$3:$AE$132&gt;AE88))+(SUMPRODUCT(--(calc!$AD$3:$AD$132=TRUE),--(calc!$AE$3:$AE$132=AE88))-1)/2,"")</f>
        <v/>
      </c>
      <c r="AJ88" s="5">
        <f>IF(AD88,1+SUMPRODUCT(--(calc!$AD$3:$AD$132=TRUE),--(calc!$AF$3:$AF$132&gt;AF88))+(SUMPRODUCT(--(calc!$AD$3:$AD$132=TRUE),--(calc!$AF$3:$AF$132=AF88))-1)/2,"")</f>
        <v/>
      </c>
      <c r="AK88" s="5">
        <f>IF(AD88,SUMPRODUCT(--(calc!$AD$3:$AD$132=TRUE),--(ROW(calc!$AD$3:$AD$132)&gt;ROW(AD88)),--(((calc!$AI$3:$AI$132&gt;AI88)*(calc!$AJ$3:$AJ$132&gt;AJ88)+(calc!$AI$3:$AI$132&lt;AI88)*(calc!$AJ$3:$AJ$132&lt;AJ88))&gt;0))-SUMPRODUCT(--(calc!$AD$3:$AD$132=TRUE),--(ROW(calc!$AD$3:$AD$132)&gt;ROW(AD88)),--(((calc!$AI$3:$AI$132&gt;AI88)*(calc!$AJ$3:$AJ$132&lt;AJ88)+(calc!$AI$3:$AI$132&lt;AI88)*(calc!$AJ$3:$AJ$132&gt;AJ88))&gt;0)),0)</f>
        <v/>
      </c>
      <c r="AL88" s="5">
        <f>IF(mos_metrics!J87="","",mos_metrics!J87)</f>
        <v/>
      </c>
      <c r="AM88" s="2">
        <f>AND($J88,ISNUMBER(AL88),correlation!$I$29=1)</f>
        <v/>
      </c>
      <c r="AN88" s="5">
        <f>IF(AM88,$F88,"")</f>
        <v/>
      </c>
      <c r="AO88" s="5">
        <f>IF(AM88,AL88*correlation!$J$29,"")</f>
        <v/>
      </c>
      <c r="AP88" s="5">
        <f>IF(AND(AM88,ISNUMBER(correlation!$F$29)),AO88*correlation!$F$29+correlation!$G$29,"")</f>
        <v/>
      </c>
      <c r="AQ88" s="5">
        <f>IF(AND(AM88,ISNUMBER(AP88)),(AN88-AP88)^2,"")</f>
        <v/>
      </c>
      <c r="AR88" s="5">
        <f>IF(AM88,1+SUMPRODUCT(--(calc!$AM$3:$AM$132=TRUE),--(calc!$AN$3:$AN$132&gt;AN88))+(SUMPRODUCT(--(calc!$AM$3:$AM$132=TRUE),--(calc!$AN$3:$AN$132=AN88))-1)/2,"")</f>
        <v/>
      </c>
      <c r="AS88" s="5">
        <f>IF(AM88,1+SUMPRODUCT(--(calc!$AM$3:$AM$132=TRUE),--(calc!$AO$3:$AO$132&gt;AO88))+(SUMPRODUCT(--(calc!$AM$3:$AM$132=TRUE),--(calc!$AO$3:$AO$132=AO88))-1)/2,"")</f>
        <v/>
      </c>
      <c r="AT88" s="5">
        <f>IF(AM88,SUMPRODUCT(--(calc!$AM$3:$AM$132=TRUE),--(ROW(calc!$AM$3:$AM$132)&gt;ROW(AM88)),--(((calc!$AR$3:$AR$132&gt;AR88)*(calc!$AS$3:$AS$132&gt;AS88)+(calc!$AR$3:$AR$132&lt;AR88)*(calc!$AS$3:$AS$132&lt;AS88))&gt;0))-SUMPRODUCT(--(calc!$AM$3:$AM$132=TRUE),--(ROW(calc!$AM$3:$AM$132)&gt;ROW(AM88)),--(((calc!$AR$3:$AR$132&gt;AR88)*(calc!$AS$3:$AS$132&lt;AS88)+(calc!$AR$3:$AR$132&lt;AR88)*(calc!$AS$3:$AS$132&gt;AS88))&gt;0)),0)</f>
        <v/>
      </c>
      <c r="AU88" s="5">
        <f>IF(mos_metrics!K87="","",mos_metrics!K87)</f>
        <v/>
      </c>
      <c r="AV88" s="2">
        <f>AND($J88,ISNUMBER(AU88),correlation!$I$30=1)</f>
        <v/>
      </c>
      <c r="AW88" s="5">
        <f>IF(AV88,$F88,"")</f>
        <v/>
      </c>
      <c r="AX88" s="5">
        <f>IF(AV88,AU88*correlation!$J$30,"")</f>
        <v/>
      </c>
      <c r="AY88" s="5">
        <f>IF(AND(AV88,ISNUMBER(correlation!$F$30)),AX88*correlation!$F$30+correlation!$G$30,"")</f>
        <v/>
      </c>
      <c r="AZ88" s="5">
        <f>IF(AND(AV88,ISNUMBER(AY88)),(AW88-AY88)^2,"")</f>
        <v/>
      </c>
      <c r="BA88" s="5">
        <f>IF(AV88,1+SUMPRODUCT(--(calc!$AV$3:$AV$132=TRUE),--(calc!$AW$3:$AW$132&gt;AW88))+(SUMPRODUCT(--(calc!$AV$3:$AV$132=TRUE),--(calc!$AW$3:$AW$132=AW88))-1)/2,"")</f>
        <v/>
      </c>
      <c r="BB88" s="5">
        <f>IF(AV88,1+SUMPRODUCT(--(calc!$AV$3:$AV$132=TRUE),--(calc!$AX$3:$AX$132&gt;AX88))+(SUMPRODUCT(--(calc!$AV$3:$AV$132=TRUE),--(calc!$AX$3:$AX$132=AX88))-1)/2,"")</f>
        <v/>
      </c>
      <c r="BC88" s="5">
        <f>IF(AV88,SUMPRODUCT(--(calc!$AV$3:$AV$132=TRUE),--(ROW(calc!$AV$3:$AV$132)&gt;ROW(AV88)),--(((calc!$BA$3:$BA$132&gt;BA88)*(calc!$BB$3:$BB$132&gt;BB88)+(calc!$BA$3:$BA$132&lt;BA88)*(calc!$BB$3:$BB$132&lt;BB88))&gt;0))-SUMPRODUCT(--(calc!$AV$3:$AV$132=TRUE),--(ROW(calc!$AV$3:$AV$132)&gt;ROW(AV88)),--(((calc!$BA$3:$BA$132&gt;BA88)*(calc!$BB$3:$BB$132&lt;BB88)+(calc!$BA$3:$BA$132&lt;BA88)*(calc!$BB$3:$BB$132&gt;BB88))&gt;0)),0)</f>
        <v/>
      </c>
      <c r="BD88" s="5">
        <f>IF(mos_metrics!L87="","",mos_metrics!L87)</f>
        <v/>
      </c>
      <c r="BE88" s="2">
        <f>AND($J88,ISNUMBER(BD88),correlation!$I$31=1)</f>
        <v/>
      </c>
      <c r="BF88" s="5">
        <f>IF(BE88,$F88,"")</f>
        <v/>
      </c>
      <c r="BG88" s="5">
        <f>IF(BE88,BD88*correlation!$J$31,"")</f>
        <v/>
      </c>
      <c r="BH88" s="5">
        <f>IF(AND(BE88,ISNUMBER(correlation!$F$31)),BG88*correlation!$F$31+correlation!$G$31,"")</f>
        <v/>
      </c>
      <c r="BI88" s="5">
        <f>IF(AND(BE88,ISNUMBER(BH88)),(BF88-BH88)^2,"")</f>
        <v/>
      </c>
      <c r="BJ88" s="5">
        <f>IF(BE88,1+SUMPRODUCT(--(calc!$BE$3:$BE$132=TRUE),--(calc!$BF$3:$BF$132&gt;BF88))+(SUMPRODUCT(--(calc!$BE$3:$BE$132=TRUE),--(calc!$BF$3:$BF$132=BF88))-1)/2,"")</f>
        <v/>
      </c>
      <c r="BK88" s="5">
        <f>IF(BE88,1+SUMPRODUCT(--(calc!$BE$3:$BE$132=TRUE),--(calc!$BG$3:$BG$132&gt;BG88))+(SUMPRODUCT(--(calc!$BE$3:$BE$132=TRUE),--(calc!$BG$3:$BG$132=BG88))-1)/2,"")</f>
        <v/>
      </c>
      <c r="BL88" s="5">
        <f>IF(BE88,SUMPRODUCT(--(calc!$BE$3:$BE$132=TRUE),--(ROW(calc!$BE$3:$BE$132)&gt;ROW(BE88)),--(((calc!$BJ$3:$BJ$132&gt;BJ88)*(calc!$BK$3:$BK$132&gt;BK88)+(calc!$BJ$3:$BJ$132&lt;BJ88)*(calc!$BK$3:$BK$132&lt;BK88))&gt;0))-SUMPRODUCT(--(calc!$BE$3:$BE$132=TRUE),--(ROW(calc!$BE$3:$BE$132)&gt;ROW(BE88)),--(((calc!$BJ$3:$BJ$132&gt;BJ88)*(calc!$BK$3:$BK$132&lt;BK88)+(calc!$BJ$3:$BJ$132&lt;BJ88)*(calc!$BK$3:$BK$132&gt;BK88))&gt;0)),0)</f>
        <v/>
      </c>
      <c r="BM88" s="5">
        <f>IF(mos_metrics!M87="","",mos_metrics!M87)</f>
        <v/>
      </c>
      <c r="BN88" s="2">
        <f>AND($J88,ISNUMBER(BM88),correlation!$I$32=1)</f>
        <v/>
      </c>
      <c r="BO88" s="5">
        <f>IF(BN88,$F88,"")</f>
        <v/>
      </c>
      <c r="BP88" s="5">
        <f>IF(BN88,BM88*correlation!$J$32,"")</f>
        <v/>
      </c>
      <c r="BQ88" s="5">
        <f>IF(AND(BN88,ISNUMBER(correlation!$F$32)),BP88*correlation!$F$32+correlation!$G$32,"")</f>
        <v/>
      </c>
      <c r="BR88" s="5">
        <f>IF(AND(BN88,ISNUMBER(BQ88)),(BO88-BQ88)^2,"")</f>
        <v/>
      </c>
      <c r="BS88" s="5">
        <f>IF(BN88,1+SUMPRODUCT(--(calc!$BN$3:$BN$132=TRUE),--(calc!$BO$3:$BO$132&gt;BO88))+(SUMPRODUCT(--(calc!$BN$3:$BN$132=TRUE),--(calc!$BO$3:$BO$132=BO88))-1)/2,"")</f>
        <v/>
      </c>
      <c r="BT88" s="5">
        <f>IF(BN88,1+SUMPRODUCT(--(calc!$BN$3:$BN$132=TRUE),--(calc!$BP$3:$BP$132&gt;BP88))+(SUMPRODUCT(--(calc!$BN$3:$BN$132=TRUE),--(calc!$BP$3:$BP$132=BP88))-1)/2,"")</f>
        <v/>
      </c>
      <c r="BU88" s="5">
        <f>IF(BN88,SUMPRODUCT(--(calc!$BN$3:$BN$132=TRUE),--(ROW(calc!$BN$3:$BN$132)&gt;ROW(BN88)),--(((calc!$BS$3:$BS$132&gt;BS88)*(calc!$BT$3:$BT$132&gt;BT88)+(calc!$BS$3:$BS$132&lt;BS88)*(calc!$BT$3:$BT$132&lt;BT88))&gt;0))-SUMPRODUCT(--(calc!$BN$3:$BN$132=TRUE),--(ROW(calc!$BN$3:$BN$132)&gt;ROW(BN88)),--(((calc!$BS$3:$BS$132&gt;BS88)*(calc!$BT$3:$BT$132&lt;BT88)+(calc!$BS$3:$BS$132&lt;BS88)*(calc!$BT$3:$BT$132&gt;BT88))&gt;0)),0)</f>
        <v/>
      </c>
    </row>
    <row r="89">
      <c r="A89" s="2">
        <f>mos_metrics!A88</f>
        <v/>
      </c>
      <c r="B89" s="2">
        <f>mos_metrics!B88</f>
        <v/>
      </c>
      <c r="C89" s="2">
        <f>mos_metrics!C88</f>
        <v/>
      </c>
      <c r="D89" s="2">
        <f>mos_metrics!D88</f>
        <v/>
      </c>
      <c r="E89" s="2">
        <f>mos_metrics!E88</f>
        <v/>
      </c>
      <c r="F89" s="2">
        <f>mos_metrics!F88</f>
        <v/>
      </c>
      <c r="G89" s="2">
        <f>IF($B89="","",IFERROR(VLOOKUP($B89,correlation!$A$2:$B$12,2,FALSE),1))</f>
        <v/>
      </c>
      <c r="H89" s="2">
        <f>IF($E89="","",IFERROR(VLOOKUP($E89,correlation!$D$2:$E$8,2,FALSE),1))</f>
        <v/>
      </c>
      <c r="I89" s="2">
        <f>ISNUMBER($F89)</f>
        <v/>
      </c>
      <c r="J89" s="2">
        <f>AND($G89=1,$H89=1,$I89)</f>
        <v/>
      </c>
      <c r="K89" s="5">
        <f>IF(mos_metrics!G88="","",mos_metrics!G88)</f>
        <v/>
      </c>
      <c r="L89" s="2">
        <f>AND($J89,ISNUMBER(K89),correlation!$I$26=1)</f>
        <v/>
      </c>
      <c r="M89" s="5">
        <f>IF(L89,$F89,"")</f>
        <v/>
      </c>
      <c r="N89" s="5">
        <f>IF(L89,K89*correlation!$J$26,"")</f>
        <v/>
      </c>
      <c r="O89" s="5">
        <f>IF(AND(L89,ISNUMBER(correlation!$F$26)),N89*correlation!$F$26+correlation!$G$26,"")</f>
        <v/>
      </c>
      <c r="P89" s="5">
        <f>IF(AND(L89,ISNUMBER(O89)),(M89-O89)^2,"")</f>
        <v/>
      </c>
      <c r="Q89" s="5">
        <f>IF(L89,1+SUMPRODUCT(--(calc!$L$3:$L$132=TRUE),--(calc!$M$3:$M$132&gt;M89))+(SUMPRODUCT(--(calc!$L$3:$L$132=TRUE),--(calc!$M$3:$M$132=M89))-1)/2,"")</f>
        <v/>
      </c>
      <c r="R89" s="5">
        <f>IF(L89,1+SUMPRODUCT(--(calc!$L$3:$L$132=TRUE),--(calc!$N$3:$N$132&gt;N89))+(SUMPRODUCT(--(calc!$L$3:$L$132=TRUE),--(calc!$N$3:$N$132=N89))-1)/2,"")</f>
        <v/>
      </c>
      <c r="S89" s="5">
        <f>IF(L89,SUMPRODUCT(--(calc!$L$3:$L$132=TRUE),--(ROW(calc!$L$3:$L$132)&gt;ROW(L89)),--(((calc!$Q$3:$Q$132&gt;Q89)*(calc!$R$3:$R$132&gt;R89)+(calc!$Q$3:$Q$132&lt;Q89)*(calc!$R$3:$R$132&lt;R89))&gt;0))-SUMPRODUCT(--(calc!$L$3:$L$132=TRUE),--(ROW(calc!$L$3:$L$132)&gt;ROW(L89)),--(((calc!$Q$3:$Q$132&gt;Q89)*(calc!$R$3:$R$132&lt;R89)+(calc!$Q$3:$Q$132&lt;Q89)*(calc!$R$3:$R$132&gt;R89))&gt;0)),0)</f>
        <v/>
      </c>
      <c r="T89" s="5">
        <f>IF(mos_metrics!H88="","",mos_metrics!H88)</f>
        <v/>
      </c>
      <c r="U89" s="2">
        <f>AND($J89,ISNUMBER(T89),correlation!$I$27=1)</f>
        <v/>
      </c>
      <c r="V89" s="5">
        <f>IF(U89,$F89,"")</f>
        <v/>
      </c>
      <c r="W89" s="5">
        <f>IF(U89,T89*correlation!$J$27,"")</f>
        <v/>
      </c>
      <c r="X89" s="5">
        <f>IF(AND(U89,ISNUMBER(correlation!$F$27)),W89*correlation!$F$27+correlation!$G$27,"")</f>
        <v/>
      </c>
      <c r="Y89" s="5">
        <f>IF(AND(U89,ISNUMBER(X89)),(V89-X89)^2,"")</f>
        <v/>
      </c>
      <c r="Z89" s="5">
        <f>IF(U89,1+SUMPRODUCT(--(calc!$U$3:$U$132=TRUE),--(calc!$V$3:$V$132&gt;V89))+(SUMPRODUCT(--(calc!$U$3:$U$132=TRUE),--(calc!$V$3:$V$132=V89))-1)/2,"")</f>
        <v/>
      </c>
      <c r="AA89" s="5">
        <f>IF(U89,1+SUMPRODUCT(--(calc!$U$3:$U$132=TRUE),--(calc!$W$3:$W$132&gt;W89))+(SUMPRODUCT(--(calc!$U$3:$U$132=TRUE),--(calc!$W$3:$W$132=W89))-1)/2,"")</f>
        <v/>
      </c>
      <c r="AB89" s="5">
        <f>IF(U89,SUMPRODUCT(--(calc!$U$3:$U$132=TRUE),--(ROW(calc!$U$3:$U$132)&gt;ROW(U89)),--(((calc!$Z$3:$Z$132&gt;Z89)*(calc!$AA$3:$AA$132&gt;AA89)+(calc!$Z$3:$Z$132&lt;Z89)*(calc!$AA$3:$AA$132&lt;AA89))&gt;0))-SUMPRODUCT(--(calc!$U$3:$U$132=TRUE),--(ROW(calc!$U$3:$U$132)&gt;ROW(U89)),--(((calc!$Z$3:$Z$132&gt;Z89)*(calc!$AA$3:$AA$132&lt;AA89)+(calc!$Z$3:$Z$132&lt;Z89)*(calc!$AA$3:$AA$132&gt;AA89))&gt;0)),0)</f>
        <v/>
      </c>
      <c r="AC89" s="5">
        <f>IF(mos_metrics!I88="","",mos_metrics!I88)</f>
        <v/>
      </c>
      <c r="AD89" s="2">
        <f>AND($J89,ISNUMBER(AC89),correlation!$I$28=1)</f>
        <v/>
      </c>
      <c r="AE89" s="5">
        <f>IF(AD89,$F89,"")</f>
        <v/>
      </c>
      <c r="AF89" s="5">
        <f>IF(AD89,AC89*correlation!$J$28,"")</f>
        <v/>
      </c>
      <c r="AG89" s="5">
        <f>IF(AND(AD89,ISNUMBER(correlation!$F$28)),AF89*correlation!$F$28+correlation!$G$28,"")</f>
        <v/>
      </c>
      <c r="AH89" s="5">
        <f>IF(AND(AD89,ISNUMBER(AG89)),(AE89-AG89)^2,"")</f>
        <v/>
      </c>
      <c r="AI89" s="5">
        <f>IF(AD89,1+SUMPRODUCT(--(calc!$AD$3:$AD$132=TRUE),--(calc!$AE$3:$AE$132&gt;AE89))+(SUMPRODUCT(--(calc!$AD$3:$AD$132=TRUE),--(calc!$AE$3:$AE$132=AE89))-1)/2,"")</f>
        <v/>
      </c>
      <c r="AJ89" s="5">
        <f>IF(AD89,1+SUMPRODUCT(--(calc!$AD$3:$AD$132=TRUE),--(calc!$AF$3:$AF$132&gt;AF89))+(SUMPRODUCT(--(calc!$AD$3:$AD$132=TRUE),--(calc!$AF$3:$AF$132=AF89))-1)/2,"")</f>
        <v/>
      </c>
      <c r="AK89" s="5">
        <f>IF(AD89,SUMPRODUCT(--(calc!$AD$3:$AD$132=TRUE),--(ROW(calc!$AD$3:$AD$132)&gt;ROW(AD89)),--(((calc!$AI$3:$AI$132&gt;AI89)*(calc!$AJ$3:$AJ$132&gt;AJ89)+(calc!$AI$3:$AI$132&lt;AI89)*(calc!$AJ$3:$AJ$132&lt;AJ89))&gt;0))-SUMPRODUCT(--(calc!$AD$3:$AD$132=TRUE),--(ROW(calc!$AD$3:$AD$132)&gt;ROW(AD89)),--(((calc!$AI$3:$AI$132&gt;AI89)*(calc!$AJ$3:$AJ$132&lt;AJ89)+(calc!$AI$3:$AI$132&lt;AI89)*(calc!$AJ$3:$AJ$132&gt;AJ89))&gt;0)),0)</f>
        <v/>
      </c>
      <c r="AL89" s="5">
        <f>IF(mos_metrics!J88="","",mos_metrics!J88)</f>
        <v/>
      </c>
      <c r="AM89" s="2">
        <f>AND($J89,ISNUMBER(AL89),correlation!$I$29=1)</f>
        <v/>
      </c>
      <c r="AN89" s="5">
        <f>IF(AM89,$F89,"")</f>
        <v/>
      </c>
      <c r="AO89" s="5">
        <f>IF(AM89,AL89*correlation!$J$29,"")</f>
        <v/>
      </c>
      <c r="AP89" s="5">
        <f>IF(AND(AM89,ISNUMBER(correlation!$F$29)),AO89*correlation!$F$29+correlation!$G$29,"")</f>
        <v/>
      </c>
      <c r="AQ89" s="5">
        <f>IF(AND(AM89,ISNUMBER(AP89)),(AN89-AP89)^2,"")</f>
        <v/>
      </c>
      <c r="AR89" s="5">
        <f>IF(AM89,1+SUMPRODUCT(--(calc!$AM$3:$AM$132=TRUE),--(calc!$AN$3:$AN$132&gt;AN89))+(SUMPRODUCT(--(calc!$AM$3:$AM$132=TRUE),--(calc!$AN$3:$AN$132=AN89))-1)/2,"")</f>
        <v/>
      </c>
      <c r="AS89" s="5">
        <f>IF(AM89,1+SUMPRODUCT(--(calc!$AM$3:$AM$132=TRUE),--(calc!$AO$3:$AO$132&gt;AO89))+(SUMPRODUCT(--(calc!$AM$3:$AM$132=TRUE),--(calc!$AO$3:$AO$132=AO89))-1)/2,"")</f>
        <v/>
      </c>
      <c r="AT89" s="5">
        <f>IF(AM89,SUMPRODUCT(--(calc!$AM$3:$AM$132=TRUE),--(ROW(calc!$AM$3:$AM$132)&gt;ROW(AM89)),--(((calc!$AR$3:$AR$132&gt;AR89)*(calc!$AS$3:$AS$132&gt;AS89)+(calc!$AR$3:$AR$132&lt;AR89)*(calc!$AS$3:$AS$132&lt;AS89))&gt;0))-SUMPRODUCT(--(calc!$AM$3:$AM$132=TRUE),--(ROW(calc!$AM$3:$AM$132)&gt;ROW(AM89)),--(((calc!$AR$3:$AR$132&gt;AR89)*(calc!$AS$3:$AS$132&lt;AS89)+(calc!$AR$3:$AR$132&lt;AR89)*(calc!$AS$3:$AS$132&gt;AS89))&gt;0)),0)</f>
        <v/>
      </c>
      <c r="AU89" s="5">
        <f>IF(mos_metrics!K88="","",mos_metrics!K88)</f>
        <v/>
      </c>
      <c r="AV89" s="2">
        <f>AND($J89,ISNUMBER(AU89),correlation!$I$30=1)</f>
        <v/>
      </c>
      <c r="AW89" s="5">
        <f>IF(AV89,$F89,"")</f>
        <v/>
      </c>
      <c r="AX89" s="5">
        <f>IF(AV89,AU89*correlation!$J$30,"")</f>
        <v/>
      </c>
      <c r="AY89" s="5">
        <f>IF(AND(AV89,ISNUMBER(correlation!$F$30)),AX89*correlation!$F$30+correlation!$G$30,"")</f>
        <v/>
      </c>
      <c r="AZ89" s="5">
        <f>IF(AND(AV89,ISNUMBER(AY89)),(AW89-AY89)^2,"")</f>
        <v/>
      </c>
      <c r="BA89" s="5">
        <f>IF(AV89,1+SUMPRODUCT(--(calc!$AV$3:$AV$132=TRUE),--(calc!$AW$3:$AW$132&gt;AW89))+(SUMPRODUCT(--(calc!$AV$3:$AV$132=TRUE),--(calc!$AW$3:$AW$132=AW89))-1)/2,"")</f>
        <v/>
      </c>
      <c r="BB89" s="5">
        <f>IF(AV89,1+SUMPRODUCT(--(calc!$AV$3:$AV$132=TRUE),--(calc!$AX$3:$AX$132&gt;AX89))+(SUMPRODUCT(--(calc!$AV$3:$AV$132=TRUE),--(calc!$AX$3:$AX$132=AX89))-1)/2,"")</f>
        <v/>
      </c>
      <c r="BC89" s="5">
        <f>IF(AV89,SUMPRODUCT(--(calc!$AV$3:$AV$132=TRUE),--(ROW(calc!$AV$3:$AV$132)&gt;ROW(AV89)),--(((calc!$BA$3:$BA$132&gt;BA89)*(calc!$BB$3:$BB$132&gt;BB89)+(calc!$BA$3:$BA$132&lt;BA89)*(calc!$BB$3:$BB$132&lt;BB89))&gt;0))-SUMPRODUCT(--(calc!$AV$3:$AV$132=TRUE),--(ROW(calc!$AV$3:$AV$132)&gt;ROW(AV89)),--(((calc!$BA$3:$BA$132&gt;BA89)*(calc!$BB$3:$BB$132&lt;BB89)+(calc!$BA$3:$BA$132&lt;BA89)*(calc!$BB$3:$BB$132&gt;BB89))&gt;0)),0)</f>
        <v/>
      </c>
      <c r="BD89" s="5">
        <f>IF(mos_metrics!L88="","",mos_metrics!L88)</f>
        <v/>
      </c>
      <c r="BE89" s="2">
        <f>AND($J89,ISNUMBER(BD89),correlation!$I$31=1)</f>
        <v/>
      </c>
      <c r="BF89" s="5">
        <f>IF(BE89,$F89,"")</f>
        <v/>
      </c>
      <c r="BG89" s="5">
        <f>IF(BE89,BD89*correlation!$J$31,"")</f>
        <v/>
      </c>
      <c r="BH89" s="5">
        <f>IF(AND(BE89,ISNUMBER(correlation!$F$31)),BG89*correlation!$F$31+correlation!$G$31,"")</f>
        <v/>
      </c>
      <c r="BI89" s="5">
        <f>IF(AND(BE89,ISNUMBER(BH89)),(BF89-BH89)^2,"")</f>
        <v/>
      </c>
      <c r="BJ89" s="5">
        <f>IF(BE89,1+SUMPRODUCT(--(calc!$BE$3:$BE$132=TRUE),--(calc!$BF$3:$BF$132&gt;BF89))+(SUMPRODUCT(--(calc!$BE$3:$BE$132=TRUE),--(calc!$BF$3:$BF$132=BF89))-1)/2,"")</f>
        <v/>
      </c>
      <c r="BK89" s="5">
        <f>IF(BE89,1+SUMPRODUCT(--(calc!$BE$3:$BE$132=TRUE),--(calc!$BG$3:$BG$132&gt;BG89))+(SUMPRODUCT(--(calc!$BE$3:$BE$132=TRUE),--(calc!$BG$3:$BG$132=BG89))-1)/2,"")</f>
        <v/>
      </c>
      <c r="BL89" s="5">
        <f>IF(BE89,SUMPRODUCT(--(calc!$BE$3:$BE$132=TRUE),--(ROW(calc!$BE$3:$BE$132)&gt;ROW(BE89)),--(((calc!$BJ$3:$BJ$132&gt;BJ89)*(calc!$BK$3:$BK$132&gt;BK89)+(calc!$BJ$3:$BJ$132&lt;BJ89)*(calc!$BK$3:$BK$132&lt;BK89))&gt;0))-SUMPRODUCT(--(calc!$BE$3:$BE$132=TRUE),--(ROW(calc!$BE$3:$BE$132)&gt;ROW(BE89)),--(((calc!$BJ$3:$BJ$132&gt;BJ89)*(calc!$BK$3:$BK$132&lt;BK89)+(calc!$BJ$3:$BJ$132&lt;BJ89)*(calc!$BK$3:$BK$132&gt;BK89))&gt;0)),0)</f>
        <v/>
      </c>
      <c r="BM89" s="5">
        <f>IF(mos_metrics!M88="","",mos_metrics!M88)</f>
        <v/>
      </c>
      <c r="BN89" s="2">
        <f>AND($J89,ISNUMBER(BM89),correlation!$I$32=1)</f>
        <v/>
      </c>
      <c r="BO89" s="5">
        <f>IF(BN89,$F89,"")</f>
        <v/>
      </c>
      <c r="BP89" s="5">
        <f>IF(BN89,BM89*correlation!$J$32,"")</f>
        <v/>
      </c>
      <c r="BQ89" s="5">
        <f>IF(AND(BN89,ISNUMBER(correlation!$F$32)),BP89*correlation!$F$32+correlation!$G$32,"")</f>
        <v/>
      </c>
      <c r="BR89" s="5">
        <f>IF(AND(BN89,ISNUMBER(BQ89)),(BO89-BQ89)^2,"")</f>
        <v/>
      </c>
      <c r="BS89" s="5">
        <f>IF(BN89,1+SUMPRODUCT(--(calc!$BN$3:$BN$132=TRUE),--(calc!$BO$3:$BO$132&gt;BO89))+(SUMPRODUCT(--(calc!$BN$3:$BN$132=TRUE),--(calc!$BO$3:$BO$132=BO89))-1)/2,"")</f>
        <v/>
      </c>
      <c r="BT89" s="5">
        <f>IF(BN89,1+SUMPRODUCT(--(calc!$BN$3:$BN$132=TRUE),--(calc!$BP$3:$BP$132&gt;BP89))+(SUMPRODUCT(--(calc!$BN$3:$BN$132=TRUE),--(calc!$BP$3:$BP$132=BP89))-1)/2,"")</f>
        <v/>
      </c>
      <c r="BU89" s="5">
        <f>IF(BN89,SUMPRODUCT(--(calc!$BN$3:$BN$132=TRUE),--(ROW(calc!$BN$3:$BN$132)&gt;ROW(BN89)),--(((calc!$BS$3:$BS$132&gt;BS89)*(calc!$BT$3:$BT$132&gt;BT89)+(calc!$BS$3:$BS$132&lt;BS89)*(calc!$BT$3:$BT$132&lt;BT89))&gt;0))-SUMPRODUCT(--(calc!$BN$3:$BN$132=TRUE),--(ROW(calc!$BN$3:$BN$132)&gt;ROW(BN89)),--(((calc!$BS$3:$BS$132&gt;BS89)*(calc!$BT$3:$BT$132&lt;BT89)+(calc!$BS$3:$BS$132&lt;BS89)*(calc!$BT$3:$BT$132&gt;BT89))&gt;0)),0)</f>
        <v/>
      </c>
    </row>
    <row r="90">
      <c r="A90" s="2">
        <f>mos_metrics!A89</f>
        <v/>
      </c>
      <c r="B90" s="2">
        <f>mos_metrics!B89</f>
        <v/>
      </c>
      <c r="C90" s="2">
        <f>mos_metrics!C89</f>
        <v/>
      </c>
      <c r="D90" s="2">
        <f>mos_metrics!D89</f>
        <v/>
      </c>
      <c r="E90" s="2">
        <f>mos_metrics!E89</f>
        <v/>
      </c>
      <c r="F90" s="2">
        <f>mos_metrics!F89</f>
        <v/>
      </c>
      <c r="G90" s="2">
        <f>IF($B90="","",IFERROR(VLOOKUP($B90,correlation!$A$2:$B$12,2,FALSE),1))</f>
        <v/>
      </c>
      <c r="H90" s="2">
        <f>IF($E90="","",IFERROR(VLOOKUP($E90,correlation!$D$2:$E$8,2,FALSE),1))</f>
        <v/>
      </c>
      <c r="I90" s="2">
        <f>ISNUMBER($F90)</f>
        <v/>
      </c>
      <c r="J90" s="2">
        <f>AND($G90=1,$H90=1,$I90)</f>
        <v/>
      </c>
      <c r="K90" s="5">
        <f>IF(mos_metrics!G89="","",mos_metrics!G89)</f>
        <v/>
      </c>
      <c r="L90" s="2">
        <f>AND($J90,ISNUMBER(K90),correlation!$I$26=1)</f>
        <v/>
      </c>
      <c r="M90" s="5">
        <f>IF(L90,$F90,"")</f>
        <v/>
      </c>
      <c r="N90" s="5">
        <f>IF(L90,K90*correlation!$J$26,"")</f>
        <v/>
      </c>
      <c r="O90" s="5">
        <f>IF(AND(L90,ISNUMBER(correlation!$F$26)),N90*correlation!$F$26+correlation!$G$26,"")</f>
        <v/>
      </c>
      <c r="P90" s="5">
        <f>IF(AND(L90,ISNUMBER(O90)),(M90-O90)^2,"")</f>
        <v/>
      </c>
      <c r="Q90" s="5">
        <f>IF(L90,1+SUMPRODUCT(--(calc!$L$3:$L$132=TRUE),--(calc!$M$3:$M$132&gt;M90))+(SUMPRODUCT(--(calc!$L$3:$L$132=TRUE),--(calc!$M$3:$M$132=M90))-1)/2,"")</f>
        <v/>
      </c>
      <c r="R90" s="5">
        <f>IF(L90,1+SUMPRODUCT(--(calc!$L$3:$L$132=TRUE),--(calc!$N$3:$N$132&gt;N90))+(SUMPRODUCT(--(calc!$L$3:$L$132=TRUE),--(calc!$N$3:$N$132=N90))-1)/2,"")</f>
        <v/>
      </c>
      <c r="S90" s="5">
        <f>IF(L90,SUMPRODUCT(--(calc!$L$3:$L$132=TRUE),--(ROW(calc!$L$3:$L$132)&gt;ROW(L90)),--(((calc!$Q$3:$Q$132&gt;Q90)*(calc!$R$3:$R$132&gt;R90)+(calc!$Q$3:$Q$132&lt;Q90)*(calc!$R$3:$R$132&lt;R90))&gt;0))-SUMPRODUCT(--(calc!$L$3:$L$132=TRUE),--(ROW(calc!$L$3:$L$132)&gt;ROW(L90)),--(((calc!$Q$3:$Q$132&gt;Q90)*(calc!$R$3:$R$132&lt;R90)+(calc!$Q$3:$Q$132&lt;Q90)*(calc!$R$3:$R$132&gt;R90))&gt;0)),0)</f>
        <v/>
      </c>
      <c r="T90" s="5">
        <f>IF(mos_metrics!H89="","",mos_metrics!H89)</f>
        <v/>
      </c>
      <c r="U90" s="2">
        <f>AND($J90,ISNUMBER(T90),correlation!$I$27=1)</f>
        <v/>
      </c>
      <c r="V90" s="5">
        <f>IF(U90,$F90,"")</f>
        <v/>
      </c>
      <c r="W90" s="5">
        <f>IF(U90,T90*correlation!$J$27,"")</f>
        <v/>
      </c>
      <c r="X90" s="5">
        <f>IF(AND(U90,ISNUMBER(correlation!$F$27)),W90*correlation!$F$27+correlation!$G$27,"")</f>
        <v/>
      </c>
      <c r="Y90" s="5">
        <f>IF(AND(U90,ISNUMBER(X90)),(V90-X90)^2,"")</f>
        <v/>
      </c>
      <c r="Z90" s="5">
        <f>IF(U90,1+SUMPRODUCT(--(calc!$U$3:$U$132=TRUE),--(calc!$V$3:$V$132&gt;V90))+(SUMPRODUCT(--(calc!$U$3:$U$132=TRUE),--(calc!$V$3:$V$132=V90))-1)/2,"")</f>
        <v/>
      </c>
      <c r="AA90" s="5">
        <f>IF(U90,1+SUMPRODUCT(--(calc!$U$3:$U$132=TRUE),--(calc!$W$3:$W$132&gt;W90))+(SUMPRODUCT(--(calc!$U$3:$U$132=TRUE),--(calc!$W$3:$W$132=W90))-1)/2,"")</f>
        <v/>
      </c>
      <c r="AB90" s="5">
        <f>IF(U90,SUMPRODUCT(--(calc!$U$3:$U$132=TRUE),--(ROW(calc!$U$3:$U$132)&gt;ROW(U90)),--(((calc!$Z$3:$Z$132&gt;Z90)*(calc!$AA$3:$AA$132&gt;AA90)+(calc!$Z$3:$Z$132&lt;Z90)*(calc!$AA$3:$AA$132&lt;AA90))&gt;0))-SUMPRODUCT(--(calc!$U$3:$U$132=TRUE),--(ROW(calc!$U$3:$U$132)&gt;ROW(U90)),--(((calc!$Z$3:$Z$132&gt;Z90)*(calc!$AA$3:$AA$132&lt;AA90)+(calc!$Z$3:$Z$132&lt;Z90)*(calc!$AA$3:$AA$132&gt;AA90))&gt;0)),0)</f>
        <v/>
      </c>
      <c r="AC90" s="5">
        <f>IF(mos_metrics!I89="","",mos_metrics!I89)</f>
        <v/>
      </c>
      <c r="AD90" s="2">
        <f>AND($J90,ISNUMBER(AC90),correlation!$I$28=1)</f>
        <v/>
      </c>
      <c r="AE90" s="5">
        <f>IF(AD90,$F90,"")</f>
        <v/>
      </c>
      <c r="AF90" s="5">
        <f>IF(AD90,AC90*correlation!$J$28,"")</f>
        <v/>
      </c>
      <c r="AG90" s="5">
        <f>IF(AND(AD90,ISNUMBER(correlation!$F$28)),AF90*correlation!$F$28+correlation!$G$28,"")</f>
        <v/>
      </c>
      <c r="AH90" s="5">
        <f>IF(AND(AD90,ISNUMBER(AG90)),(AE90-AG90)^2,"")</f>
        <v/>
      </c>
      <c r="AI90" s="5">
        <f>IF(AD90,1+SUMPRODUCT(--(calc!$AD$3:$AD$132=TRUE),--(calc!$AE$3:$AE$132&gt;AE90))+(SUMPRODUCT(--(calc!$AD$3:$AD$132=TRUE),--(calc!$AE$3:$AE$132=AE90))-1)/2,"")</f>
        <v/>
      </c>
      <c r="AJ90" s="5">
        <f>IF(AD90,1+SUMPRODUCT(--(calc!$AD$3:$AD$132=TRUE),--(calc!$AF$3:$AF$132&gt;AF90))+(SUMPRODUCT(--(calc!$AD$3:$AD$132=TRUE),--(calc!$AF$3:$AF$132=AF90))-1)/2,"")</f>
        <v/>
      </c>
      <c r="AK90" s="5">
        <f>IF(AD90,SUMPRODUCT(--(calc!$AD$3:$AD$132=TRUE),--(ROW(calc!$AD$3:$AD$132)&gt;ROW(AD90)),--(((calc!$AI$3:$AI$132&gt;AI90)*(calc!$AJ$3:$AJ$132&gt;AJ90)+(calc!$AI$3:$AI$132&lt;AI90)*(calc!$AJ$3:$AJ$132&lt;AJ90))&gt;0))-SUMPRODUCT(--(calc!$AD$3:$AD$132=TRUE),--(ROW(calc!$AD$3:$AD$132)&gt;ROW(AD90)),--(((calc!$AI$3:$AI$132&gt;AI90)*(calc!$AJ$3:$AJ$132&lt;AJ90)+(calc!$AI$3:$AI$132&lt;AI90)*(calc!$AJ$3:$AJ$132&gt;AJ90))&gt;0)),0)</f>
        <v/>
      </c>
      <c r="AL90" s="5">
        <f>IF(mos_metrics!J89="","",mos_metrics!J89)</f>
        <v/>
      </c>
      <c r="AM90" s="2">
        <f>AND($J90,ISNUMBER(AL90),correlation!$I$29=1)</f>
        <v/>
      </c>
      <c r="AN90" s="5">
        <f>IF(AM90,$F90,"")</f>
        <v/>
      </c>
      <c r="AO90" s="5">
        <f>IF(AM90,AL90*correlation!$J$29,"")</f>
        <v/>
      </c>
      <c r="AP90" s="5">
        <f>IF(AND(AM90,ISNUMBER(correlation!$F$29)),AO90*correlation!$F$29+correlation!$G$29,"")</f>
        <v/>
      </c>
      <c r="AQ90" s="5">
        <f>IF(AND(AM90,ISNUMBER(AP90)),(AN90-AP90)^2,"")</f>
        <v/>
      </c>
      <c r="AR90" s="5">
        <f>IF(AM90,1+SUMPRODUCT(--(calc!$AM$3:$AM$132=TRUE),--(calc!$AN$3:$AN$132&gt;AN90))+(SUMPRODUCT(--(calc!$AM$3:$AM$132=TRUE),--(calc!$AN$3:$AN$132=AN90))-1)/2,"")</f>
        <v/>
      </c>
      <c r="AS90" s="5">
        <f>IF(AM90,1+SUMPRODUCT(--(calc!$AM$3:$AM$132=TRUE),--(calc!$AO$3:$AO$132&gt;AO90))+(SUMPRODUCT(--(calc!$AM$3:$AM$132=TRUE),--(calc!$AO$3:$AO$132=AO90))-1)/2,"")</f>
        <v/>
      </c>
      <c r="AT90" s="5">
        <f>IF(AM90,SUMPRODUCT(--(calc!$AM$3:$AM$132=TRUE),--(ROW(calc!$AM$3:$AM$132)&gt;ROW(AM90)),--(((calc!$AR$3:$AR$132&gt;AR90)*(calc!$AS$3:$AS$132&gt;AS90)+(calc!$AR$3:$AR$132&lt;AR90)*(calc!$AS$3:$AS$132&lt;AS90))&gt;0))-SUMPRODUCT(--(calc!$AM$3:$AM$132=TRUE),--(ROW(calc!$AM$3:$AM$132)&gt;ROW(AM90)),--(((calc!$AR$3:$AR$132&gt;AR90)*(calc!$AS$3:$AS$132&lt;AS90)+(calc!$AR$3:$AR$132&lt;AR90)*(calc!$AS$3:$AS$132&gt;AS90))&gt;0)),0)</f>
        <v/>
      </c>
      <c r="AU90" s="5">
        <f>IF(mos_metrics!K89="","",mos_metrics!K89)</f>
        <v/>
      </c>
      <c r="AV90" s="2">
        <f>AND($J90,ISNUMBER(AU90),correlation!$I$30=1)</f>
        <v/>
      </c>
      <c r="AW90" s="5">
        <f>IF(AV90,$F90,"")</f>
        <v/>
      </c>
      <c r="AX90" s="5">
        <f>IF(AV90,AU90*correlation!$J$30,"")</f>
        <v/>
      </c>
      <c r="AY90" s="5">
        <f>IF(AND(AV90,ISNUMBER(correlation!$F$30)),AX90*correlation!$F$30+correlation!$G$30,"")</f>
        <v/>
      </c>
      <c r="AZ90" s="5">
        <f>IF(AND(AV90,ISNUMBER(AY90)),(AW90-AY90)^2,"")</f>
        <v/>
      </c>
      <c r="BA90" s="5">
        <f>IF(AV90,1+SUMPRODUCT(--(calc!$AV$3:$AV$132=TRUE),--(calc!$AW$3:$AW$132&gt;AW90))+(SUMPRODUCT(--(calc!$AV$3:$AV$132=TRUE),--(calc!$AW$3:$AW$132=AW90))-1)/2,"")</f>
        <v/>
      </c>
      <c r="BB90" s="5">
        <f>IF(AV90,1+SUMPRODUCT(--(calc!$AV$3:$AV$132=TRUE),--(calc!$AX$3:$AX$132&gt;AX90))+(SUMPRODUCT(--(calc!$AV$3:$AV$132=TRUE),--(calc!$AX$3:$AX$132=AX90))-1)/2,"")</f>
        <v/>
      </c>
      <c r="BC90" s="5">
        <f>IF(AV90,SUMPRODUCT(--(calc!$AV$3:$AV$132=TRUE),--(ROW(calc!$AV$3:$AV$132)&gt;ROW(AV90)),--(((calc!$BA$3:$BA$132&gt;BA90)*(calc!$BB$3:$BB$132&gt;BB90)+(calc!$BA$3:$BA$132&lt;BA90)*(calc!$BB$3:$BB$132&lt;BB90))&gt;0))-SUMPRODUCT(--(calc!$AV$3:$AV$132=TRUE),--(ROW(calc!$AV$3:$AV$132)&gt;ROW(AV90)),--(((calc!$BA$3:$BA$132&gt;BA90)*(calc!$BB$3:$BB$132&lt;BB90)+(calc!$BA$3:$BA$132&lt;BA90)*(calc!$BB$3:$BB$132&gt;BB90))&gt;0)),0)</f>
        <v/>
      </c>
      <c r="BD90" s="5">
        <f>IF(mos_metrics!L89="","",mos_metrics!L89)</f>
        <v/>
      </c>
      <c r="BE90" s="2">
        <f>AND($J90,ISNUMBER(BD90),correlation!$I$31=1)</f>
        <v/>
      </c>
      <c r="BF90" s="5">
        <f>IF(BE90,$F90,"")</f>
        <v/>
      </c>
      <c r="BG90" s="5">
        <f>IF(BE90,BD90*correlation!$J$31,"")</f>
        <v/>
      </c>
      <c r="BH90" s="5">
        <f>IF(AND(BE90,ISNUMBER(correlation!$F$31)),BG90*correlation!$F$31+correlation!$G$31,"")</f>
        <v/>
      </c>
      <c r="BI90" s="5">
        <f>IF(AND(BE90,ISNUMBER(BH90)),(BF90-BH90)^2,"")</f>
        <v/>
      </c>
      <c r="BJ90" s="5">
        <f>IF(BE90,1+SUMPRODUCT(--(calc!$BE$3:$BE$132=TRUE),--(calc!$BF$3:$BF$132&gt;BF90))+(SUMPRODUCT(--(calc!$BE$3:$BE$132=TRUE),--(calc!$BF$3:$BF$132=BF90))-1)/2,"")</f>
        <v/>
      </c>
      <c r="BK90" s="5">
        <f>IF(BE90,1+SUMPRODUCT(--(calc!$BE$3:$BE$132=TRUE),--(calc!$BG$3:$BG$132&gt;BG90))+(SUMPRODUCT(--(calc!$BE$3:$BE$132=TRUE),--(calc!$BG$3:$BG$132=BG90))-1)/2,"")</f>
        <v/>
      </c>
      <c r="BL90" s="5">
        <f>IF(BE90,SUMPRODUCT(--(calc!$BE$3:$BE$132=TRUE),--(ROW(calc!$BE$3:$BE$132)&gt;ROW(BE90)),--(((calc!$BJ$3:$BJ$132&gt;BJ90)*(calc!$BK$3:$BK$132&gt;BK90)+(calc!$BJ$3:$BJ$132&lt;BJ90)*(calc!$BK$3:$BK$132&lt;BK90))&gt;0))-SUMPRODUCT(--(calc!$BE$3:$BE$132=TRUE),--(ROW(calc!$BE$3:$BE$132)&gt;ROW(BE90)),--(((calc!$BJ$3:$BJ$132&gt;BJ90)*(calc!$BK$3:$BK$132&lt;BK90)+(calc!$BJ$3:$BJ$132&lt;BJ90)*(calc!$BK$3:$BK$132&gt;BK90))&gt;0)),0)</f>
        <v/>
      </c>
      <c r="BM90" s="5">
        <f>IF(mos_metrics!M89="","",mos_metrics!M89)</f>
        <v/>
      </c>
      <c r="BN90" s="2">
        <f>AND($J90,ISNUMBER(BM90),correlation!$I$32=1)</f>
        <v/>
      </c>
      <c r="BO90" s="5">
        <f>IF(BN90,$F90,"")</f>
        <v/>
      </c>
      <c r="BP90" s="5">
        <f>IF(BN90,BM90*correlation!$J$32,"")</f>
        <v/>
      </c>
      <c r="BQ90" s="5">
        <f>IF(AND(BN90,ISNUMBER(correlation!$F$32)),BP90*correlation!$F$32+correlation!$G$32,"")</f>
        <v/>
      </c>
      <c r="BR90" s="5">
        <f>IF(AND(BN90,ISNUMBER(BQ90)),(BO90-BQ90)^2,"")</f>
        <v/>
      </c>
      <c r="BS90" s="5">
        <f>IF(BN90,1+SUMPRODUCT(--(calc!$BN$3:$BN$132=TRUE),--(calc!$BO$3:$BO$132&gt;BO90))+(SUMPRODUCT(--(calc!$BN$3:$BN$132=TRUE),--(calc!$BO$3:$BO$132=BO90))-1)/2,"")</f>
        <v/>
      </c>
      <c r="BT90" s="5">
        <f>IF(BN90,1+SUMPRODUCT(--(calc!$BN$3:$BN$132=TRUE),--(calc!$BP$3:$BP$132&gt;BP90))+(SUMPRODUCT(--(calc!$BN$3:$BN$132=TRUE),--(calc!$BP$3:$BP$132=BP90))-1)/2,"")</f>
        <v/>
      </c>
      <c r="BU90" s="5">
        <f>IF(BN90,SUMPRODUCT(--(calc!$BN$3:$BN$132=TRUE),--(ROW(calc!$BN$3:$BN$132)&gt;ROW(BN90)),--(((calc!$BS$3:$BS$132&gt;BS90)*(calc!$BT$3:$BT$132&gt;BT90)+(calc!$BS$3:$BS$132&lt;BS90)*(calc!$BT$3:$BT$132&lt;BT90))&gt;0))-SUMPRODUCT(--(calc!$BN$3:$BN$132=TRUE),--(ROW(calc!$BN$3:$BN$132)&gt;ROW(BN90)),--(((calc!$BS$3:$BS$132&gt;BS90)*(calc!$BT$3:$BT$132&lt;BT90)+(calc!$BS$3:$BS$132&lt;BS90)*(calc!$BT$3:$BT$132&gt;BT90))&gt;0)),0)</f>
        <v/>
      </c>
    </row>
    <row r="91">
      <c r="A91" s="2">
        <f>mos_metrics!A90</f>
        <v/>
      </c>
      <c r="B91" s="2">
        <f>mos_metrics!B90</f>
        <v/>
      </c>
      <c r="C91" s="2">
        <f>mos_metrics!C90</f>
        <v/>
      </c>
      <c r="D91" s="2">
        <f>mos_metrics!D90</f>
        <v/>
      </c>
      <c r="E91" s="2">
        <f>mos_metrics!E90</f>
        <v/>
      </c>
      <c r="F91" s="2">
        <f>mos_metrics!F90</f>
        <v/>
      </c>
      <c r="G91" s="2">
        <f>IF($B91="","",IFERROR(VLOOKUP($B91,correlation!$A$2:$B$12,2,FALSE),1))</f>
        <v/>
      </c>
      <c r="H91" s="2">
        <f>IF($E91="","",IFERROR(VLOOKUP($E91,correlation!$D$2:$E$8,2,FALSE),1))</f>
        <v/>
      </c>
      <c r="I91" s="2">
        <f>ISNUMBER($F91)</f>
        <v/>
      </c>
      <c r="J91" s="2">
        <f>AND($G91=1,$H91=1,$I91)</f>
        <v/>
      </c>
      <c r="K91" s="5">
        <f>IF(mos_metrics!G90="","",mos_metrics!G90)</f>
        <v/>
      </c>
      <c r="L91" s="2">
        <f>AND($J91,ISNUMBER(K91),correlation!$I$26=1)</f>
        <v/>
      </c>
      <c r="M91" s="5">
        <f>IF(L91,$F91,"")</f>
        <v/>
      </c>
      <c r="N91" s="5">
        <f>IF(L91,K91*correlation!$J$26,"")</f>
        <v/>
      </c>
      <c r="O91" s="5">
        <f>IF(AND(L91,ISNUMBER(correlation!$F$26)),N91*correlation!$F$26+correlation!$G$26,"")</f>
        <v/>
      </c>
      <c r="P91" s="5">
        <f>IF(AND(L91,ISNUMBER(O91)),(M91-O91)^2,"")</f>
        <v/>
      </c>
      <c r="Q91" s="5">
        <f>IF(L91,1+SUMPRODUCT(--(calc!$L$3:$L$132=TRUE),--(calc!$M$3:$M$132&gt;M91))+(SUMPRODUCT(--(calc!$L$3:$L$132=TRUE),--(calc!$M$3:$M$132=M91))-1)/2,"")</f>
        <v/>
      </c>
      <c r="R91" s="5">
        <f>IF(L91,1+SUMPRODUCT(--(calc!$L$3:$L$132=TRUE),--(calc!$N$3:$N$132&gt;N91))+(SUMPRODUCT(--(calc!$L$3:$L$132=TRUE),--(calc!$N$3:$N$132=N91))-1)/2,"")</f>
        <v/>
      </c>
      <c r="S91" s="5">
        <f>IF(L91,SUMPRODUCT(--(calc!$L$3:$L$132=TRUE),--(ROW(calc!$L$3:$L$132)&gt;ROW(L91)),--(((calc!$Q$3:$Q$132&gt;Q91)*(calc!$R$3:$R$132&gt;R91)+(calc!$Q$3:$Q$132&lt;Q91)*(calc!$R$3:$R$132&lt;R91))&gt;0))-SUMPRODUCT(--(calc!$L$3:$L$132=TRUE),--(ROW(calc!$L$3:$L$132)&gt;ROW(L91)),--(((calc!$Q$3:$Q$132&gt;Q91)*(calc!$R$3:$R$132&lt;R91)+(calc!$Q$3:$Q$132&lt;Q91)*(calc!$R$3:$R$132&gt;R91))&gt;0)),0)</f>
        <v/>
      </c>
      <c r="T91" s="5">
        <f>IF(mos_metrics!H90="","",mos_metrics!H90)</f>
        <v/>
      </c>
      <c r="U91" s="2">
        <f>AND($J91,ISNUMBER(T91),correlation!$I$27=1)</f>
        <v/>
      </c>
      <c r="V91" s="5">
        <f>IF(U91,$F91,"")</f>
        <v/>
      </c>
      <c r="W91" s="5">
        <f>IF(U91,T91*correlation!$J$27,"")</f>
        <v/>
      </c>
      <c r="X91" s="5">
        <f>IF(AND(U91,ISNUMBER(correlation!$F$27)),W91*correlation!$F$27+correlation!$G$27,"")</f>
        <v/>
      </c>
      <c r="Y91" s="5">
        <f>IF(AND(U91,ISNUMBER(X91)),(V91-X91)^2,"")</f>
        <v/>
      </c>
      <c r="Z91" s="5">
        <f>IF(U91,1+SUMPRODUCT(--(calc!$U$3:$U$132=TRUE),--(calc!$V$3:$V$132&gt;V91))+(SUMPRODUCT(--(calc!$U$3:$U$132=TRUE),--(calc!$V$3:$V$132=V91))-1)/2,"")</f>
        <v/>
      </c>
      <c r="AA91" s="5">
        <f>IF(U91,1+SUMPRODUCT(--(calc!$U$3:$U$132=TRUE),--(calc!$W$3:$W$132&gt;W91))+(SUMPRODUCT(--(calc!$U$3:$U$132=TRUE),--(calc!$W$3:$W$132=W91))-1)/2,"")</f>
        <v/>
      </c>
      <c r="AB91" s="5">
        <f>IF(U91,SUMPRODUCT(--(calc!$U$3:$U$132=TRUE),--(ROW(calc!$U$3:$U$132)&gt;ROW(U91)),--(((calc!$Z$3:$Z$132&gt;Z91)*(calc!$AA$3:$AA$132&gt;AA91)+(calc!$Z$3:$Z$132&lt;Z91)*(calc!$AA$3:$AA$132&lt;AA91))&gt;0))-SUMPRODUCT(--(calc!$U$3:$U$132=TRUE),--(ROW(calc!$U$3:$U$132)&gt;ROW(U91)),--(((calc!$Z$3:$Z$132&gt;Z91)*(calc!$AA$3:$AA$132&lt;AA91)+(calc!$Z$3:$Z$132&lt;Z91)*(calc!$AA$3:$AA$132&gt;AA91))&gt;0)),0)</f>
        <v/>
      </c>
      <c r="AC91" s="5">
        <f>IF(mos_metrics!I90="","",mos_metrics!I90)</f>
        <v/>
      </c>
      <c r="AD91" s="2">
        <f>AND($J91,ISNUMBER(AC91),correlation!$I$28=1)</f>
        <v/>
      </c>
      <c r="AE91" s="5">
        <f>IF(AD91,$F91,"")</f>
        <v/>
      </c>
      <c r="AF91" s="5">
        <f>IF(AD91,AC91*correlation!$J$28,"")</f>
        <v/>
      </c>
      <c r="AG91" s="5">
        <f>IF(AND(AD91,ISNUMBER(correlation!$F$28)),AF91*correlation!$F$28+correlation!$G$28,"")</f>
        <v/>
      </c>
      <c r="AH91" s="5">
        <f>IF(AND(AD91,ISNUMBER(AG91)),(AE91-AG91)^2,"")</f>
        <v/>
      </c>
      <c r="AI91" s="5">
        <f>IF(AD91,1+SUMPRODUCT(--(calc!$AD$3:$AD$132=TRUE),--(calc!$AE$3:$AE$132&gt;AE91))+(SUMPRODUCT(--(calc!$AD$3:$AD$132=TRUE),--(calc!$AE$3:$AE$132=AE91))-1)/2,"")</f>
        <v/>
      </c>
      <c r="AJ91" s="5">
        <f>IF(AD91,1+SUMPRODUCT(--(calc!$AD$3:$AD$132=TRUE),--(calc!$AF$3:$AF$132&gt;AF91))+(SUMPRODUCT(--(calc!$AD$3:$AD$132=TRUE),--(calc!$AF$3:$AF$132=AF91))-1)/2,"")</f>
        <v/>
      </c>
      <c r="AK91" s="5">
        <f>IF(AD91,SUMPRODUCT(--(calc!$AD$3:$AD$132=TRUE),--(ROW(calc!$AD$3:$AD$132)&gt;ROW(AD91)),--(((calc!$AI$3:$AI$132&gt;AI91)*(calc!$AJ$3:$AJ$132&gt;AJ91)+(calc!$AI$3:$AI$132&lt;AI91)*(calc!$AJ$3:$AJ$132&lt;AJ91))&gt;0))-SUMPRODUCT(--(calc!$AD$3:$AD$132=TRUE),--(ROW(calc!$AD$3:$AD$132)&gt;ROW(AD91)),--(((calc!$AI$3:$AI$132&gt;AI91)*(calc!$AJ$3:$AJ$132&lt;AJ91)+(calc!$AI$3:$AI$132&lt;AI91)*(calc!$AJ$3:$AJ$132&gt;AJ91))&gt;0)),0)</f>
        <v/>
      </c>
      <c r="AL91" s="5">
        <f>IF(mos_metrics!J90="","",mos_metrics!J90)</f>
        <v/>
      </c>
      <c r="AM91" s="2">
        <f>AND($J91,ISNUMBER(AL91),correlation!$I$29=1)</f>
        <v/>
      </c>
      <c r="AN91" s="5">
        <f>IF(AM91,$F91,"")</f>
        <v/>
      </c>
      <c r="AO91" s="5">
        <f>IF(AM91,AL91*correlation!$J$29,"")</f>
        <v/>
      </c>
      <c r="AP91" s="5">
        <f>IF(AND(AM91,ISNUMBER(correlation!$F$29)),AO91*correlation!$F$29+correlation!$G$29,"")</f>
        <v/>
      </c>
      <c r="AQ91" s="5">
        <f>IF(AND(AM91,ISNUMBER(AP91)),(AN91-AP91)^2,"")</f>
        <v/>
      </c>
      <c r="AR91" s="5">
        <f>IF(AM91,1+SUMPRODUCT(--(calc!$AM$3:$AM$132=TRUE),--(calc!$AN$3:$AN$132&gt;AN91))+(SUMPRODUCT(--(calc!$AM$3:$AM$132=TRUE),--(calc!$AN$3:$AN$132=AN91))-1)/2,"")</f>
        <v/>
      </c>
      <c r="AS91" s="5">
        <f>IF(AM91,1+SUMPRODUCT(--(calc!$AM$3:$AM$132=TRUE),--(calc!$AO$3:$AO$132&gt;AO91))+(SUMPRODUCT(--(calc!$AM$3:$AM$132=TRUE),--(calc!$AO$3:$AO$132=AO91))-1)/2,"")</f>
        <v/>
      </c>
      <c r="AT91" s="5">
        <f>IF(AM91,SUMPRODUCT(--(calc!$AM$3:$AM$132=TRUE),--(ROW(calc!$AM$3:$AM$132)&gt;ROW(AM91)),--(((calc!$AR$3:$AR$132&gt;AR91)*(calc!$AS$3:$AS$132&gt;AS91)+(calc!$AR$3:$AR$132&lt;AR91)*(calc!$AS$3:$AS$132&lt;AS91))&gt;0))-SUMPRODUCT(--(calc!$AM$3:$AM$132=TRUE),--(ROW(calc!$AM$3:$AM$132)&gt;ROW(AM91)),--(((calc!$AR$3:$AR$132&gt;AR91)*(calc!$AS$3:$AS$132&lt;AS91)+(calc!$AR$3:$AR$132&lt;AR91)*(calc!$AS$3:$AS$132&gt;AS91))&gt;0)),0)</f>
        <v/>
      </c>
      <c r="AU91" s="5">
        <f>IF(mos_metrics!K90="","",mos_metrics!K90)</f>
        <v/>
      </c>
      <c r="AV91" s="2">
        <f>AND($J91,ISNUMBER(AU91),correlation!$I$30=1)</f>
        <v/>
      </c>
      <c r="AW91" s="5">
        <f>IF(AV91,$F91,"")</f>
        <v/>
      </c>
      <c r="AX91" s="5">
        <f>IF(AV91,AU91*correlation!$J$30,"")</f>
        <v/>
      </c>
      <c r="AY91" s="5">
        <f>IF(AND(AV91,ISNUMBER(correlation!$F$30)),AX91*correlation!$F$30+correlation!$G$30,"")</f>
        <v/>
      </c>
      <c r="AZ91" s="5">
        <f>IF(AND(AV91,ISNUMBER(AY91)),(AW91-AY91)^2,"")</f>
        <v/>
      </c>
      <c r="BA91" s="5">
        <f>IF(AV91,1+SUMPRODUCT(--(calc!$AV$3:$AV$132=TRUE),--(calc!$AW$3:$AW$132&gt;AW91))+(SUMPRODUCT(--(calc!$AV$3:$AV$132=TRUE),--(calc!$AW$3:$AW$132=AW91))-1)/2,"")</f>
        <v/>
      </c>
      <c r="BB91" s="5">
        <f>IF(AV91,1+SUMPRODUCT(--(calc!$AV$3:$AV$132=TRUE),--(calc!$AX$3:$AX$132&gt;AX91))+(SUMPRODUCT(--(calc!$AV$3:$AV$132=TRUE),--(calc!$AX$3:$AX$132=AX91))-1)/2,"")</f>
        <v/>
      </c>
      <c r="BC91" s="5">
        <f>IF(AV91,SUMPRODUCT(--(calc!$AV$3:$AV$132=TRUE),--(ROW(calc!$AV$3:$AV$132)&gt;ROW(AV91)),--(((calc!$BA$3:$BA$132&gt;BA91)*(calc!$BB$3:$BB$132&gt;BB91)+(calc!$BA$3:$BA$132&lt;BA91)*(calc!$BB$3:$BB$132&lt;BB91))&gt;0))-SUMPRODUCT(--(calc!$AV$3:$AV$132=TRUE),--(ROW(calc!$AV$3:$AV$132)&gt;ROW(AV91)),--(((calc!$BA$3:$BA$132&gt;BA91)*(calc!$BB$3:$BB$132&lt;BB91)+(calc!$BA$3:$BA$132&lt;BA91)*(calc!$BB$3:$BB$132&gt;BB91))&gt;0)),0)</f>
        <v/>
      </c>
      <c r="BD91" s="5">
        <f>IF(mos_metrics!L90="","",mos_metrics!L90)</f>
        <v/>
      </c>
      <c r="BE91" s="2">
        <f>AND($J91,ISNUMBER(BD91),correlation!$I$31=1)</f>
        <v/>
      </c>
      <c r="BF91" s="5">
        <f>IF(BE91,$F91,"")</f>
        <v/>
      </c>
      <c r="BG91" s="5">
        <f>IF(BE91,BD91*correlation!$J$31,"")</f>
        <v/>
      </c>
      <c r="BH91" s="5">
        <f>IF(AND(BE91,ISNUMBER(correlation!$F$31)),BG91*correlation!$F$31+correlation!$G$31,"")</f>
        <v/>
      </c>
      <c r="BI91" s="5">
        <f>IF(AND(BE91,ISNUMBER(BH91)),(BF91-BH91)^2,"")</f>
        <v/>
      </c>
      <c r="BJ91" s="5">
        <f>IF(BE91,1+SUMPRODUCT(--(calc!$BE$3:$BE$132=TRUE),--(calc!$BF$3:$BF$132&gt;BF91))+(SUMPRODUCT(--(calc!$BE$3:$BE$132=TRUE),--(calc!$BF$3:$BF$132=BF91))-1)/2,"")</f>
        <v/>
      </c>
      <c r="BK91" s="5">
        <f>IF(BE91,1+SUMPRODUCT(--(calc!$BE$3:$BE$132=TRUE),--(calc!$BG$3:$BG$132&gt;BG91))+(SUMPRODUCT(--(calc!$BE$3:$BE$132=TRUE),--(calc!$BG$3:$BG$132=BG91))-1)/2,"")</f>
        <v/>
      </c>
      <c r="BL91" s="5">
        <f>IF(BE91,SUMPRODUCT(--(calc!$BE$3:$BE$132=TRUE),--(ROW(calc!$BE$3:$BE$132)&gt;ROW(BE91)),--(((calc!$BJ$3:$BJ$132&gt;BJ91)*(calc!$BK$3:$BK$132&gt;BK91)+(calc!$BJ$3:$BJ$132&lt;BJ91)*(calc!$BK$3:$BK$132&lt;BK91))&gt;0))-SUMPRODUCT(--(calc!$BE$3:$BE$132=TRUE),--(ROW(calc!$BE$3:$BE$132)&gt;ROW(BE91)),--(((calc!$BJ$3:$BJ$132&gt;BJ91)*(calc!$BK$3:$BK$132&lt;BK91)+(calc!$BJ$3:$BJ$132&lt;BJ91)*(calc!$BK$3:$BK$132&gt;BK91))&gt;0)),0)</f>
        <v/>
      </c>
      <c r="BM91" s="5">
        <f>IF(mos_metrics!M90="","",mos_metrics!M90)</f>
        <v/>
      </c>
      <c r="BN91" s="2">
        <f>AND($J91,ISNUMBER(BM91),correlation!$I$32=1)</f>
        <v/>
      </c>
      <c r="BO91" s="5">
        <f>IF(BN91,$F91,"")</f>
        <v/>
      </c>
      <c r="BP91" s="5">
        <f>IF(BN91,BM91*correlation!$J$32,"")</f>
        <v/>
      </c>
      <c r="BQ91" s="5">
        <f>IF(AND(BN91,ISNUMBER(correlation!$F$32)),BP91*correlation!$F$32+correlation!$G$32,"")</f>
        <v/>
      </c>
      <c r="BR91" s="5">
        <f>IF(AND(BN91,ISNUMBER(BQ91)),(BO91-BQ91)^2,"")</f>
        <v/>
      </c>
      <c r="BS91" s="5">
        <f>IF(BN91,1+SUMPRODUCT(--(calc!$BN$3:$BN$132=TRUE),--(calc!$BO$3:$BO$132&gt;BO91))+(SUMPRODUCT(--(calc!$BN$3:$BN$132=TRUE),--(calc!$BO$3:$BO$132=BO91))-1)/2,"")</f>
        <v/>
      </c>
      <c r="BT91" s="5">
        <f>IF(BN91,1+SUMPRODUCT(--(calc!$BN$3:$BN$132=TRUE),--(calc!$BP$3:$BP$132&gt;BP91))+(SUMPRODUCT(--(calc!$BN$3:$BN$132=TRUE),--(calc!$BP$3:$BP$132=BP91))-1)/2,"")</f>
        <v/>
      </c>
      <c r="BU91" s="5">
        <f>IF(BN91,SUMPRODUCT(--(calc!$BN$3:$BN$132=TRUE),--(ROW(calc!$BN$3:$BN$132)&gt;ROW(BN91)),--(((calc!$BS$3:$BS$132&gt;BS91)*(calc!$BT$3:$BT$132&gt;BT91)+(calc!$BS$3:$BS$132&lt;BS91)*(calc!$BT$3:$BT$132&lt;BT91))&gt;0))-SUMPRODUCT(--(calc!$BN$3:$BN$132=TRUE),--(ROW(calc!$BN$3:$BN$132)&gt;ROW(BN91)),--(((calc!$BS$3:$BS$132&gt;BS91)*(calc!$BT$3:$BT$132&lt;BT91)+(calc!$BS$3:$BS$132&lt;BS91)*(calc!$BT$3:$BT$132&gt;BT91))&gt;0)),0)</f>
        <v/>
      </c>
    </row>
    <row r="92">
      <c r="A92" s="2">
        <f>mos_metrics!A91</f>
        <v/>
      </c>
      <c r="B92" s="2">
        <f>mos_metrics!B91</f>
        <v/>
      </c>
      <c r="C92" s="2">
        <f>mos_metrics!C91</f>
        <v/>
      </c>
      <c r="D92" s="2">
        <f>mos_metrics!D91</f>
        <v/>
      </c>
      <c r="E92" s="2">
        <f>mos_metrics!E91</f>
        <v/>
      </c>
      <c r="F92" s="2">
        <f>mos_metrics!F91</f>
        <v/>
      </c>
      <c r="G92" s="2">
        <f>IF($B92="","",IFERROR(VLOOKUP($B92,correlation!$A$2:$B$12,2,FALSE),1))</f>
        <v/>
      </c>
      <c r="H92" s="2">
        <f>IF($E92="","",IFERROR(VLOOKUP($E92,correlation!$D$2:$E$8,2,FALSE),1))</f>
        <v/>
      </c>
      <c r="I92" s="2">
        <f>ISNUMBER($F92)</f>
        <v/>
      </c>
      <c r="J92" s="2">
        <f>AND($G92=1,$H92=1,$I92)</f>
        <v/>
      </c>
      <c r="K92" s="5">
        <f>IF(mos_metrics!G91="","",mos_metrics!G91)</f>
        <v/>
      </c>
      <c r="L92" s="2">
        <f>AND($J92,ISNUMBER(K92),correlation!$I$26=1)</f>
        <v/>
      </c>
      <c r="M92" s="5">
        <f>IF(L92,$F92,"")</f>
        <v/>
      </c>
      <c r="N92" s="5">
        <f>IF(L92,K92*correlation!$J$26,"")</f>
        <v/>
      </c>
      <c r="O92" s="5">
        <f>IF(AND(L92,ISNUMBER(correlation!$F$26)),N92*correlation!$F$26+correlation!$G$26,"")</f>
        <v/>
      </c>
      <c r="P92" s="5">
        <f>IF(AND(L92,ISNUMBER(O92)),(M92-O92)^2,"")</f>
        <v/>
      </c>
      <c r="Q92" s="5">
        <f>IF(L92,1+SUMPRODUCT(--(calc!$L$3:$L$132=TRUE),--(calc!$M$3:$M$132&gt;M92))+(SUMPRODUCT(--(calc!$L$3:$L$132=TRUE),--(calc!$M$3:$M$132=M92))-1)/2,"")</f>
        <v/>
      </c>
      <c r="R92" s="5">
        <f>IF(L92,1+SUMPRODUCT(--(calc!$L$3:$L$132=TRUE),--(calc!$N$3:$N$132&gt;N92))+(SUMPRODUCT(--(calc!$L$3:$L$132=TRUE),--(calc!$N$3:$N$132=N92))-1)/2,"")</f>
        <v/>
      </c>
      <c r="S92" s="5">
        <f>IF(L92,SUMPRODUCT(--(calc!$L$3:$L$132=TRUE),--(ROW(calc!$L$3:$L$132)&gt;ROW(L92)),--(((calc!$Q$3:$Q$132&gt;Q92)*(calc!$R$3:$R$132&gt;R92)+(calc!$Q$3:$Q$132&lt;Q92)*(calc!$R$3:$R$132&lt;R92))&gt;0))-SUMPRODUCT(--(calc!$L$3:$L$132=TRUE),--(ROW(calc!$L$3:$L$132)&gt;ROW(L92)),--(((calc!$Q$3:$Q$132&gt;Q92)*(calc!$R$3:$R$132&lt;R92)+(calc!$Q$3:$Q$132&lt;Q92)*(calc!$R$3:$R$132&gt;R92))&gt;0)),0)</f>
        <v/>
      </c>
      <c r="T92" s="5">
        <f>IF(mos_metrics!H91="","",mos_metrics!H91)</f>
        <v/>
      </c>
      <c r="U92" s="2">
        <f>AND($J92,ISNUMBER(T92),correlation!$I$27=1)</f>
        <v/>
      </c>
      <c r="V92" s="5">
        <f>IF(U92,$F92,"")</f>
        <v/>
      </c>
      <c r="W92" s="5">
        <f>IF(U92,T92*correlation!$J$27,"")</f>
        <v/>
      </c>
      <c r="X92" s="5">
        <f>IF(AND(U92,ISNUMBER(correlation!$F$27)),W92*correlation!$F$27+correlation!$G$27,"")</f>
        <v/>
      </c>
      <c r="Y92" s="5">
        <f>IF(AND(U92,ISNUMBER(X92)),(V92-X92)^2,"")</f>
        <v/>
      </c>
      <c r="Z92" s="5">
        <f>IF(U92,1+SUMPRODUCT(--(calc!$U$3:$U$132=TRUE),--(calc!$V$3:$V$132&gt;V92))+(SUMPRODUCT(--(calc!$U$3:$U$132=TRUE),--(calc!$V$3:$V$132=V92))-1)/2,"")</f>
        <v/>
      </c>
      <c r="AA92" s="5">
        <f>IF(U92,1+SUMPRODUCT(--(calc!$U$3:$U$132=TRUE),--(calc!$W$3:$W$132&gt;W92))+(SUMPRODUCT(--(calc!$U$3:$U$132=TRUE),--(calc!$W$3:$W$132=W92))-1)/2,"")</f>
        <v/>
      </c>
      <c r="AB92" s="5">
        <f>IF(U92,SUMPRODUCT(--(calc!$U$3:$U$132=TRUE),--(ROW(calc!$U$3:$U$132)&gt;ROW(U92)),--(((calc!$Z$3:$Z$132&gt;Z92)*(calc!$AA$3:$AA$132&gt;AA92)+(calc!$Z$3:$Z$132&lt;Z92)*(calc!$AA$3:$AA$132&lt;AA92))&gt;0))-SUMPRODUCT(--(calc!$U$3:$U$132=TRUE),--(ROW(calc!$U$3:$U$132)&gt;ROW(U92)),--(((calc!$Z$3:$Z$132&gt;Z92)*(calc!$AA$3:$AA$132&lt;AA92)+(calc!$Z$3:$Z$132&lt;Z92)*(calc!$AA$3:$AA$132&gt;AA92))&gt;0)),0)</f>
        <v/>
      </c>
      <c r="AC92" s="5">
        <f>IF(mos_metrics!I91="","",mos_metrics!I91)</f>
        <v/>
      </c>
      <c r="AD92" s="2">
        <f>AND($J92,ISNUMBER(AC92),correlation!$I$28=1)</f>
        <v/>
      </c>
      <c r="AE92" s="5">
        <f>IF(AD92,$F92,"")</f>
        <v/>
      </c>
      <c r="AF92" s="5">
        <f>IF(AD92,AC92*correlation!$J$28,"")</f>
        <v/>
      </c>
      <c r="AG92" s="5">
        <f>IF(AND(AD92,ISNUMBER(correlation!$F$28)),AF92*correlation!$F$28+correlation!$G$28,"")</f>
        <v/>
      </c>
      <c r="AH92" s="5">
        <f>IF(AND(AD92,ISNUMBER(AG92)),(AE92-AG92)^2,"")</f>
        <v/>
      </c>
      <c r="AI92" s="5">
        <f>IF(AD92,1+SUMPRODUCT(--(calc!$AD$3:$AD$132=TRUE),--(calc!$AE$3:$AE$132&gt;AE92))+(SUMPRODUCT(--(calc!$AD$3:$AD$132=TRUE),--(calc!$AE$3:$AE$132=AE92))-1)/2,"")</f>
        <v/>
      </c>
      <c r="AJ92" s="5">
        <f>IF(AD92,1+SUMPRODUCT(--(calc!$AD$3:$AD$132=TRUE),--(calc!$AF$3:$AF$132&gt;AF92))+(SUMPRODUCT(--(calc!$AD$3:$AD$132=TRUE),--(calc!$AF$3:$AF$132=AF92))-1)/2,"")</f>
        <v/>
      </c>
      <c r="AK92" s="5">
        <f>IF(AD92,SUMPRODUCT(--(calc!$AD$3:$AD$132=TRUE),--(ROW(calc!$AD$3:$AD$132)&gt;ROW(AD92)),--(((calc!$AI$3:$AI$132&gt;AI92)*(calc!$AJ$3:$AJ$132&gt;AJ92)+(calc!$AI$3:$AI$132&lt;AI92)*(calc!$AJ$3:$AJ$132&lt;AJ92))&gt;0))-SUMPRODUCT(--(calc!$AD$3:$AD$132=TRUE),--(ROW(calc!$AD$3:$AD$132)&gt;ROW(AD92)),--(((calc!$AI$3:$AI$132&gt;AI92)*(calc!$AJ$3:$AJ$132&lt;AJ92)+(calc!$AI$3:$AI$132&lt;AI92)*(calc!$AJ$3:$AJ$132&gt;AJ92))&gt;0)),0)</f>
        <v/>
      </c>
      <c r="AL92" s="5">
        <f>IF(mos_metrics!J91="","",mos_metrics!J91)</f>
        <v/>
      </c>
      <c r="AM92" s="2">
        <f>AND($J92,ISNUMBER(AL92),correlation!$I$29=1)</f>
        <v/>
      </c>
      <c r="AN92" s="5">
        <f>IF(AM92,$F92,"")</f>
        <v/>
      </c>
      <c r="AO92" s="5">
        <f>IF(AM92,AL92*correlation!$J$29,"")</f>
        <v/>
      </c>
      <c r="AP92" s="5">
        <f>IF(AND(AM92,ISNUMBER(correlation!$F$29)),AO92*correlation!$F$29+correlation!$G$29,"")</f>
        <v/>
      </c>
      <c r="AQ92" s="5">
        <f>IF(AND(AM92,ISNUMBER(AP92)),(AN92-AP92)^2,"")</f>
        <v/>
      </c>
      <c r="AR92" s="5">
        <f>IF(AM92,1+SUMPRODUCT(--(calc!$AM$3:$AM$132=TRUE),--(calc!$AN$3:$AN$132&gt;AN92))+(SUMPRODUCT(--(calc!$AM$3:$AM$132=TRUE),--(calc!$AN$3:$AN$132=AN92))-1)/2,"")</f>
        <v/>
      </c>
      <c r="AS92" s="5">
        <f>IF(AM92,1+SUMPRODUCT(--(calc!$AM$3:$AM$132=TRUE),--(calc!$AO$3:$AO$132&gt;AO92))+(SUMPRODUCT(--(calc!$AM$3:$AM$132=TRUE),--(calc!$AO$3:$AO$132=AO92))-1)/2,"")</f>
        <v/>
      </c>
      <c r="AT92" s="5">
        <f>IF(AM92,SUMPRODUCT(--(calc!$AM$3:$AM$132=TRUE),--(ROW(calc!$AM$3:$AM$132)&gt;ROW(AM92)),--(((calc!$AR$3:$AR$132&gt;AR92)*(calc!$AS$3:$AS$132&gt;AS92)+(calc!$AR$3:$AR$132&lt;AR92)*(calc!$AS$3:$AS$132&lt;AS92))&gt;0))-SUMPRODUCT(--(calc!$AM$3:$AM$132=TRUE),--(ROW(calc!$AM$3:$AM$132)&gt;ROW(AM92)),--(((calc!$AR$3:$AR$132&gt;AR92)*(calc!$AS$3:$AS$132&lt;AS92)+(calc!$AR$3:$AR$132&lt;AR92)*(calc!$AS$3:$AS$132&gt;AS92))&gt;0)),0)</f>
        <v/>
      </c>
      <c r="AU92" s="5">
        <f>IF(mos_metrics!K91="","",mos_metrics!K91)</f>
        <v/>
      </c>
      <c r="AV92" s="2">
        <f>AND($J92,ISNUMBER(AU92),correlation!$I$30=1)</f>
        <v/>
      </c>
      <c r="AW92" s="5">
        <f>IF(AV92,$F92,"")</f>
        <v/>
      </c>
      <c r="AX92" s="5">
        <f>IF(AV92,AU92*correlation!$J$30,"")</f>
        <v/>
      </c>
      <c r="AY92" s="5">
        <f>IF(AND(AV92,ISNUMBER(correlation!$F$30)),AX92*correlation!$F$30+correlation!$G$30,"")</f>
        <v/>
      </c>
      <c r="AZ92" s="5">
        <f>IF(AND(AV92,ISNUMBER(AY92)),(AW92-AY92)^2,"")</f>
        <v/>
      </c>
      <c r="BA92" s="5">
        <f>IF(AV92,1+SUMPRODUCT(--(calc!$AV$3:$AV$132=TRUE),--(calc!$AW$3:$AW$132&gt;AW92))+(SUMPRODUCT(--(calc!$AV$3:$AV$132=TRUE),--(calc!$AW$3:$AW$132=AW92))-1)/2,"")</f>
        <v/>
      </c>
      <c r="BB92" s="5">
        <f>IF(AV92,1+SUMPRODUCT(--(calc!$AV$3:$AV$132=TRUE),--(calc!$AX$3:$AX$132&gt;AX92))+(SUMPRODUCT(--(calc!$AV$3:$AV$132=TRUE),--(calc!$AX$3:$AX$132=AX92))-1)/2,"")</f>
        <v/>
      </c>
      <c r="BC92" s="5">
        <f>IF(AV92,SUMPRODUCT(--(calc!$AV$3:$AV$132=TRUE),--(ROW(calc!$AV$3:$AV$132)&gt;ROW(AV92)),--(((calc!$BA$3:$BA$132&gt;BA92)*(calc!$BB$3:$BB$132&gt;BB92)+(calc!$BA$3:$BA$132&lt;BA92)*(calc!$BB$3:$BB$132&lt;BB92))&gt;0))-SUMPRODUCT(--(calc!$AV$3:$AV$132=TRUE),--(ROW(calc!$AV$3:$AV$132)&gt;ROW(AV92)),--(((calc!$BA$3:$BA$132&gt;BA92)*(calc!$BB$3:$BB$132&lt;BB92)+(calc!$BA$3:$BA$132&lt;BA92)*(calc!$BB$3:$BB$132&gt;BB92))&gt;0)),0)</f>
        <v/>
      </c>
      <c r="BD92" s="5">
        <f>IF(mos_metrics!L91="","",mos_metrics!L91)</f>
        <v/>
      </c>
      <c r="BE92" s="2">
        <f>AND($J92,ISNUMBER(BD92),correlation!$I$31=1)</f>
        <v/>
      </c>
      <c r="BF92" s="5">
        <f>IF(BE92,$F92,"")</f>
        <v/>
      </c>
      <c r="BG92" s="5">
        <f>IF(BE92,BD92*correlation!$J$31,"")</f>
        <v/>
      </c>
      <c r="BH92" s="5">
        <f>IF(AND(BE92,ISNUMBER(correlation!$F$31)),BG92*correlation!$F$31+correlation!$G$31,"")</f>
        <v/>
      </c>
      <c r="BI92" s="5">
        <f>IF(AND(BE92,ISNUMBER(BH92)),(BF92-BH92)^2,"")</f>
        <v/>
      </c>
      <c r="BJ92" s="5">
        <f>IF(BE92,1+SUMPRODUCT(--(calc!$BE$3:$BE$132=TRUE),--(calc!$BF$3:$BF$132&gt;BF92))+(SUMPRODUCT(--(calc!$BE$3:$BE$132=TRUE),--(calc!$BF$3:$BF$132=BF92))-1)/2,"")</f>
        <v/>
      </c>
      <c r="BK92" s="5">
        <f>IF(BE92,1+SUMPRODUCT(--(calc!$BE$3:$BE$132=TRUE),--(calc!$BG$3:$BG$132&gt;BG92))+(SUMPRODUCT(--(calc!$BE$3:$BE$132=TRUE),--(calc!$BG$3:$BG$132=BG92))-1)/2,"")</f>
        <v/>
      </c>
      <c r="BL92" s="5">
        <f>IF(BE92,SUMPRODUCT(--(calc!$BE$3:$BE$132=TRUE),--(ROW(calc!$BE$3:$BE$132)&gt;ROW(BE92)),--(((calc!$BJ$3:$BJ$132&gt;BJ92)*(calc!$BK$3:$BK$132&gt;BK92)+(calc!$BJ$3:$BJ$132&lt;BJ92)*(calc!$BK$3:$BK$132&lt;BK92))&gt;0))-SUMPRODUCT(--(calc!$BE$3:$BE$132=TRUE),--(ROW(calc!$BE$3:$BE$132)&gt;ROW(BE92)),--(((calc!$BJ$3:$BJ$132&gt;BJ92)*(calc!$BK$3:$BK$132&lt;BK92)+(calc!$BJ$3:$BJ$132&lt;BJ92)*(calc!$BK$3:$BK$132&gt;BK92))&gt;0)),0)</f>
        <v/>
      </c>
      <c r="BM92" s="5">
        <f>IF(mos_metrics!M91="","",mos_metrics!M91)</f>
        <v/>
      </c>
      <c r="BN92" s="2">
        <f>AND($J92,ISNUMBER(BM92),correlation!$I$32=1)</f>
        <v/>
      </c>
      <c r="BO92" s="5">
        <f>IF(BN92,$F92,"")</f>
        <v/>
      </c>
      <c r="BP92" s="5">
        <f>IF(BN92,BM92*correlation!$J$32,"")</f>
        <v/>
      </c>
      <c r="BQ92" s="5">
        <f>IF(AND(BN92,ISNUMBER(correlation!$F$32)),BP92*correlation!$F$32+correlation!$G$32,"")</f>
        <v/>
      </c>
      <c r="BR92" s="5">
        <f>IF(AND(BN92,ISNUMBER(BQ92)),(BO92-BQ92)^2,"")</f>
        <v/>
      </c>
      <c r="BS92" s="5">
        <f>IF(BN92,1+SUMPRODUCT(--(calc!$BN$3:$BN$132=TRUE),--(calc!$BO$3:$BO$132&gt;BO92))+(SUMPRODUCT(--(calc!$BN$3:$BN$132=TRUE),--(calc!$BO$3:$BO$132=BO92))-1)/2,"")</f>
        <v/>
      </c>
      <c r="BT92" s="5">
        <f>IF(BN92,1+SUMPRODUCT(--(calc!$BN$3:$BN$132=TRUE),--(calc!$BP$3:$BP$132&gt;BP92))+(SUMPRODUCT(--(calc!$BN$3:$BN$132=TRUE),--(calc!$BP$3:$BP$132=BP92))-1)/2,"")</f>
        <v/>
      </c>
      <c r="BU92" s="5">
        <f>IF(BN92,SUMPRODUCT(--(calc!$BN$3:$BN$132=TRUE),--(ROW(calc!$BN$3:$BN$132)&gt;ROW(BN92)),--(((calc!$BS$3:$BS$132&gt;BS92)*(calc!$BT$3:$BT$132&gt;BT92)+(calc!$BS$3:$BS$132&lt;BS92)*(calc!$BT$3:$BT$132&lt;BT92))&gt;0))-SUMPRODUCT(--(calc!$BN$3:$BN$132=TRUE),--(ROW(calc!$BN$3:$BN$132)&gt;ROW(BN92)),--(((calc!$BS$3:$BS$132&gt;BS92)*(calc!$BT$3:$BT$132&lt;BT92)+(calc!$BS$3:$BS$132&lt;BS92)*(calc!$BT$3:$BT$132&gt;BT92))&gt;0)),0)</f>
        <v/>
      </c>
    </row>
    <row r="93">
      <c r="A93" s="2">
        <f>mos_metrics!A92</f>
        <v/>
      </c>
      <c r="B93" s="2">
        <f>mos_metrics!B92</f>
        <v/>
      </c>
      <c r="C93" s="2">
        <f>mos_metrics!C92</f>
        <v/>
      </c>
      <c r="D93" s="2">
        <f>mos_metrics!D92</f>
        <v/>
      </c>
      <c r="E93" s="2">
        <f>mos_metrics!E92</f>
        <v/>
      </c>
      <c r="F93" s="2">
        <f>mos_metrics!F92</f>
        <v/>
      </c>
      <c r="G93" s="2">
        <f>IF($B93="","",IFERROR(VLOOKUP($B93,correlation!$A$2:$B$12,2,FALSE),1))</f>
        <v/>
      </c>
      <c r="H93" s="2">
        <f>IF($E93="","",IFERROR(VLOOKUP($E93,correlation!$D$2:$E$8,2,FALSE),1))</f>
        <v/>
      </c>
      <c r="I93" s="2">
        <f>ISNUMBER($F93)</f>
        <v/>
      </c>
      <c r="J93" s="2">
        <f>AND($G93=1,$H93=1,$I93)</f>
        <v/>
      </c>
      <c r="K93" s="5">
        <f>IF(mos_metrics!G92="","",mos_metrics!G92)</f>
        <v/>
      </c>
      <c r="L93" s="2">
        <f>AND($J93,ISNUMBER(K93),correlation!$I$26=1)</f>
        <v/>
      </c>
      <c r="M93" s="5">
        <f>IF(L93,$F93,"")</f>
        <v/>
      </c>
      <c r="N93" s="5">
        <f>IF(L93,K93*correlation!$J$26,"")</f>
        <v/>
      </c>
      <c r="O93" s="5">
        <f>IF(AND(L93,ISNUMBER(correlation!$F$26)),N93*correlation!$F$26+correlation!$G$26,"")</f>
        <v/>
      </c>
      <c r="P93" s="5">
        <f>IF(AND(L93,ISNUMBER(O93)),(M93-O93)^2,"")</f>
        <v/>
      </c>
      <c r="Q93" s="5">
        <f>IF(L93,1+SUMPRODUCT(--(calc!$L$3:$L$132=TRUE),--(calc!$M$3:$M$132&gt;M93))+(SUMPRODUCT(--(calc!$L$3:$L$132=TRUE),--(calc!$M$3:$M$132=M93))-1)/2,"")</f>
        <v/>
      </c>
      <c r="R93" s="5">
        <f>IF(L93,1+SUMPRODUCT(--(calc!$L$3:$L$132=TRUE),--(calc!$N$3:$N$132&gt;N93))+(SUMPRODUCT(--(calc!$L$3:$L$132=TRUE),--(calc!$N$3:$N$132=N93))-1)/2,"")</f>
        <v/>
      </c>
      <c r="S93" s="5">
        <f>IF(L93,SUMPRODUCT(--(calc!$L$3:$L$132=TRUE),--(ROW(calc!$L$3:$L$132)&gt;ROW(L93)),--(((calc!$Q$3:$Q$132&gt;Q93)*(calc!$R$3:$R$132&gt;R93)+(calc!$Q$3:$Q$132&lt;Q93)*(calc!$R$3:$R$132&lt;R93))&gt;0))-SUMPRODUCT(--(calc!$L$3:$L$132=TRUE),--(ROW(calc!$L$3:$L$132)&gt;ROW(L93)),--(((calc!$Q$3:$Q$132&gt;Q93)*(calc!$R$3:$R$132&lt;R93)+(calc!$Q$3:$Q$132&lt;Q93)*(calc!$R$3:$R$132&gt;R93))&gt;0)),0)</f>
        <v/>
      </c>
      <c r="T93" s="5">
        <f>IF(mos_metrics!H92="","",mos_metrics!H92)</f>
        <v/>
      </c>
      <c r="U93" s="2">
        <f>AND($J93,ISNUMBER(T93),correlation!$I$27=1)</f>
        <v/>
      </c>
      <c r="V93" s="5">
        <f>IF(U93,$F93,"")</f>
        <v/>
      </c>
      <c r="W93" s="5">
        <f>IF(U93,T93*correlation!$J$27,"")</f>
        <v/>
      </c>
      <c r="X93" s="5">
        <f>IF(AND(U93,ISNUMBER(correlation!$F$27)),W93*correlation!$F$27+correlation!$G$27,"")</f>
        <v/>
      </c>
      <c r="Y93" s="5">
        <f>IF(AND(U93,ISNUMBER(X93)),(V93-X93)^2,"")</f>
        <v/>
      </c>
      <c r="Z93" s="5">
        <f>IF(U93,1+SUMPRODUCT(--(calc!$U$3:$U$132=TRUE),--(calc!$V$3:$V$132&gt;V93))+(SUMPRODUCT(--(calc!$U$3:$U$132=TRUE),--(calc!$V$3:$V$132=V93))-1)/2,"")</f>
        <v/>
      </c>
      <c r="AA93" s="5">
        <f>IF(U93,1+SUMPRODUCT(--(calc!$U$3:$U$132=TRUE),--(calc!$W$3:$W$132&gt;W93))+(SUMPRODUCT(--(calc!$U$3:$U$132=TRUE),--(calc!$W$3:$W$132=W93))-1)/2,"")</f>
        <v/>
      </c>
      <c r="AB93" s="5">
        <f>IF(U93,SUMPRODUCT(--(calc!$U$3:$U$132=TRUE),--(ROW(calc!$U$3:$U$132)&gt;ROW(U93)),--(((calc!$Z$3:$Z$132&gt;Z93)*(calc!$AA$3:$AA$132&gt;AA93)+(calc!$Z$3:$Z$132&lt;Z93)*(calc!$AA$3:$AA$132&lt;AA93))&gt;0))-SUMPRODUCT(--(calc!$U$3:$U$132=TRUE),--(ROW(calc!$U$3:$U$132)&gt;ROW(U93)),--(((calc!$Z$3:$Z$132&gt;Z93)*(calc!$AA$3:$AA$132&lt;AA93)+(calc!$Z$3:$Z$132&lt;Z93)*(calc!$AA$3:$AA$132&gt;AA93))&gt;0)),0)</f>
        <v/>
      </c>
      <c r="AC93" s="5">
        <f>IF(mos_metrics!I92="","",mos_metrics!I92)</f>
        <v/>
      </c>
      <c r="AD93" s="2">
        <f>AND($J93,ISNUMBER(AC93),correlation!$I$28=1)</f>
        <v/>
      </c>
      <c r="AE93" s="5">
        <f>IF(AD93,$F93,"")</f>
        <v/>
      </c>
      <c r="AF93" s="5">
        <f>IF(AD93,AC93*correlation!$J$28,"")</f>
        <v/>
      </c>
      <c r="AG93" s="5">
        <f>IF(AND(AD93,ISNUMBER(correlation!$F$28)),AF93*correlation!$F$28+correlation!$G$28,"")</f>
        <v/>
      </c>
      <c r="AH93" s="5">
        <f>IF(AND(AD93,ISNUMBER(AG93)),(AE93-AG93)^2,"")</f>
        <v/>
      </c>
      <c r="AI93" s="5">
        <f>IF(AD93,1+SUMPRODUCT(--(calc!$AD$3:$AD$132=TRUE),--(calc!$AE$3:$AE$132&gt;AE93))+(SUMPRODUCT(--(calc!$AD$3:$AD$132=TRUE),--(calc!$AE$3:$AE$132=AE93))-1)/2,"")</f>
        <v/>
      </c>
      <c r="AJ93" s="5">
        <f>IF(AD93,1+SUMPRODUCT(--(calc!$AD$3:$AD$132=TRUE),--(calc!$AF$3:$AF$132&gt;AF93))+(SUMPRODUCT(--(calc!$AD$3:$AD$132=TRUE),--(calc!$AF$3:$AF$132=AF93))-1)/2,"")</f>
        <v/>
      </c>
      <c r="AK93" s="5">
        <f>IF(AD93,SUMPRODUCT(--(calc!$AD$3:$AD$132=TRUE),--(ROW(calc!$AD$3:$AD$132)&gt;ROW(AD93)),--(((calc!$AI$3:$AI$132&gt;AI93)*(calc!$AJ$3:$AJ$132&gt;AJ93)+(calc!$AI$3:$AI$132&lt;AI93)*(calc!$AJ$3:$AJ$132&lt;AJ93))&gt;0))-SUMPRODUCT(--(calc!$AD$3:$AD$132=TRUE),--(ROW(calc!$AD$3:$AD$132)&gt;ROW(AD93)),--(((calc!$AI$3:$AI$132&gt;AI93)*(calc!$AJ$3:$AJ$132&lt;AJ93)+(calc!$AI$3:$AI$132&lt;AI93)*(calc!$AJ$3:$AJ$132&gt;AJ93))&gt;0)),0)</f>
        <v/>
      </c>
      <c r="AL93" s="5">
        <f>IF(mos_metrics!J92="","",mos_metrics!J92)</f>
        <v/>
      </c>
      <c r="AM93" s="2">
        <f>AND($J93,ISNUMBER(AL93),correlation!$I$29=1)</f>
        <v/>
      </c>
      <c r="AN93" s="5">
        <f>IF(AM93,$F93,"")</f>
        <v/>
      </c>
      <c r="AO93" s="5">
        <f>IF(AM93,AL93*correlation!$J$29,"")</f>
        <v/>
      </c>
      <c r="AP93" s="5">
        <f>IF(AND(AM93,ISNUMBER(correlation!$F$29)),AO93*correlation!$F$29+correlation!$G$29,"")</f>
        <v/>
      </c>
      <c r="AQ93" s="5">
        <f>IF(AND(AM93,ISNUMBER(AP93)),(AN93-AP93)^2,"")</f>
        <v/>
      </c>
      <c r="AR93" s="5">
        <f>IF(AM93,1+SUMPRODUCT(--(calc!$AM$3:$AM$132=TRUE),--(calc!$AN$3:$AN$132&gt;AN93))+(SUMPRODUCT(--(calc!$AM$3:$AM$132=TRUE),--(calc!$AN$3:$AN$132=AN93))-1)/2,"")</f>
        <v/>
      </c>
      <c r="AS93" s="5">
        <f>IF(AM93,1+SUMPRODUCT(--(calc!$AM$3:$AM$132=TRUE),--(calc!$AO$3:$AO$132&gt;AO93))+(SUMPRODUCT(--(calc!$AM$3:$AM$132=TRUE),--(calc!$AO$3:$AO$132=AO93))-1)/2,"")</f>
        <v/>
      </c>
      <c r="AT93" s="5">
        <f>IF(AM93,SUMPRODUCT(--(calc!$AM$3:$AM$132=TRUE),--(ROW(calc!$AM$3:$AM$132)&gt;ROW(AM93)),--(((calc!$AR$3:$AR$132&gt;AR93)*(calc!$AS$3:$AS$132&gt;AS93)+(calc!$AR$3:$AR$132&lt;AR93)*(calc!$AS$3:$AS$132&lt;AS93))&gt;0))-SUMPRODUCT(--(calc!$AM$3:$AM$132=TRUE),--(ROW(calc!$AM$3:$AM$132)&gt;ROW(AM93)),--(((calc!$AR$3:$AR$132&gt;AR93)*(calc!$AS$3:$AS$132&lt;AS93)+(calc!$AR$3:$AR$132&lt;AR93)*(calc!$AS$3:$AS$132&gt;AS93))&gt;0)),0)</f>
        <v/>
      </c>
      <c r="AU93" s="5">
        <f>IF(mos_metrics!K92="","",mos_metrics!K92)</f>
        <v/>
      </c>
      <c r="AV93" s="2">
        <f>AND($J93,ISNUMBER(AU93),correlation!$I$30=1)</f>
        <v/>
      </c>
      <c r="AW93" s="5">
        <f>IF(AV93,$F93,"")</f>
        <v/>
      </c>
      <c r="AX93" s="5">
        <f>IF(AV93,AU93*correlation!$J$30,"")</f>
        <v/>
      </c>
      <c r="AY93" s="5">
        <f>IF(AND(AV93,ISNUMBER(correlation!$F$30)),AX93*correlation!$F$30+correlation!$G$30,"")</f>
        <v/>
      </c>
      <c r="AZ93" s="5">
        <f>IF(AND(AV93,ISNUMBER(AY93)),(AW93-AY93)^2,"")</f>
        <v/>
      </c>
      <c r="BA93" s="5">
        <f>IF(AV93,1+SUMPRODUCT(--(calc!$AV$3:$AV$132=TRUE),--(calc!$AW$3:$AW$132&gt;AW93))+(SUMPRODUCT(--(calc!$AV$3:$AV$132=TRUE),--(calc!$AW$3:$AW$132=AW93))-1)/2,"")</f>
        <v/>
      </c>
      <c r="BB93" s="5">
        <f>IF(AV93,1+SUMPRODUCT(--(calc!$AV$3:$AV$132=TRUE),--(calc!$AX$3:$AX$132&gt;AX93))+(SUMPRODUCT(--(calc!$AV$3:$AV$132=TRUE),--(calc!$AX$3:$AX$132=AX93))-1)/2,"")</f>
        <v/>
      </c>
      <c r="BC93" s="5">
        <f>IF(AV93,SUMPRODUCT(--(calc!$AV$3:$AV$132=TRUE),--(ROW(calc!$AV$3:$AV$132)&gt;ROW(AV93)),--(((calc!$BA$3:$BA$132&gt;BA93)*(calc!$BB$3:$BB$132&gt;BB93)+(calc!$BA$3:$BA$132&lt;BA93)*(calc!$BB$3:$BB$132&lt;BB93))&gt;0))-SUMPRODUCT(--(calc!$AV$3:$AV$132=TRUE),--(ROW(calc!$AV$3:$AV$132)&gt;ROW(AV93)),--(((calc!$BA$3:$BA$132&gt;BA93)*(calc!$BB$3:$BB$132&lt;BB93)+(calc!$BA$3:$BA$132&lt;BA93)*(calc!$BB$3:$BB$132&gt;BB93))&gt;0)),0)</f>
        <v/>
      </c>
      <c r="BD93" s="5">
        <f>IF(mos_metrics!L92="","",mos_metrics!L92)</f>
        <v/>
      </c>
      <c r="BE93" s="2">
        <f>AND($J93,ISNUMBER(BD93),correlation!$I$31=1)</f>
        <v/>
      </c>
      <c r="BF93" s="5">
        <f>IF(BE93,$F93,"")</f>
        <v/>
      </c>
      <c r="BG93" s="5">
        <f>IF(BE93,BD93*correlation!$J$31,"")</f>
        <v/>
      </c>
      <c r="BH93" s="5">
        <f>IF(AND(BE93,ISNUMBER(correlation!$F$31)),BG93*correlation!$F$31+correlation!$G$31,"")</f>
        <v/>
      </c>
      <c r="BI93" s="5">
        <f>IF(AND(BE93,ISNUMBER(BH93)),(BF93-BH93)^2,"")</f>
        <v/>
      </c>
      <c r="BJ93" s="5">
        <f>IF(BE93,1+SUMPRODUCT(--(calc!$BE$3:$BE$132=TRUE),--(calc!$BF$3:$BF$132&gt;BF93))+(SUMPRODUCT(--(calc!$BE$3:$BE$132=TRUE),--(calc!$BF$3:$BF$132=BF93))-1)/2,"")</f>
        <v/>
      </c>
      <c r="BK93" s="5">
        <f>IF(BE93,1+SUMPRODUCT(--(calc!$BE$3:$BE$132=TRUE),--(calc!$BG$3:$BG$132&gt;BG93))+(SUMPRODUCT(--(calc!$BE$3:$BE$132=TRUE),--(calc!$BG$3:$BG$132=BG93))-1)/2,"")</f>
        <v/>
      </c>
      <c r="BL93" s="5">
        <f>IF(BE93,SUMPRODUCT(--(calc!$BE$3:$BE$132=TRUE),--(ROW(calc!$BE$3:$BE$132)&gt;ROW(BE93)),--(((calc!$BJ$3:$BJ$132&gt;BJ93)*(calc!$BK$3:$BK$132&gt;BK93)+(calc!$BJ$3:$BJ$132&lt;BJ93)*(calc!$BK$3:$BK$132&lt;BK93))&gt;0))-SUMPRODUCT(--(calc!$BE$3:$BE$132=TRUE),--(ROW(calc!$BE$3:$BE$132)&gt;ROW(BE93)),--(((calc!$BJ$3:$BJ$132&gt;BJ93)*(calc!$BK$3:$BK$132&lt;BK93)+(calc!$BJ$3:$BJ$132&lt;BJ93)*(calc!$BK$3:$BK$132&gt;BK93))&gt;0)),0)</f>
        <v/>
      </c>
      <c r="BM93" s="5">
        <f>IF(mos_metrics!M92="","",mos_metrics!M92)</f>
        <v/>
      </c>
      <c r="BN93" s="2">
        <f>AND($J93,ISNUMBER(BM93),correlation!$I$32=1)</f>
        <v/>
      </c>
      <c r="BO93" s="5">
        <f>IF(BN93,$F93,"")</f>
        <v/>
      </c>
      <c r="BP93" s="5">
        <f>IF(BN93,BM93*correlation!$J$32,"")</f>
        <v/>
      </c>
      <c r="BQ93" s="5">
        <f>IF(AND(BN93,ISNUMBER(correlation!$F$32)),BP93*correlation!$F$32+correlation!$G$32,"")</f>
        <v/>
      </c>
      <c r="BR93" s="5">
        <f>IF(AND(BN93,ISNUMBER(BQ93)),(BO93-BQ93)^2,"")</f>
        <v/>
      </c>
      <c r="BS93" s="5">
        <f>IF(BN93,1+SUMPRODUCT(--(calc!$BN$3:$BN$132=TRUE),--(calc!$BO$3:$BO$132&gt;BO93))+(SUMPRODUCT(--(calc!$BN$3:$BN$132=TRUE),--(calc!$BO$3:$BO$132=BO93))-1)/2,"")</f>
        <v/>
      </c>
      <c r="BT93" s="5">
        <f>IF(BN93,1+SUMPRODUCT(--(calc!$BN$3:$BN$132=TRUE),--(calc!$BP$3:$BP$132&gt;BP93))+(SUMPRODUCT(--(calc!$BN$3:$BN$132=TRUE),--(calc!$BP$3:$BP$132=BP93))-1)/2,"")</f>
        <v/>
      </c>
      <c r="BU93" s="5">
        <f>IF(BN93,SUMPRODUCT(--(calc!$BN$3:$BN$132=TRUE),--(ROW(calc!$BN$3:$BN$132)&gt;ROW(BN93)),--(((calc!$BS$3:$BS$132&gt;BS93)*(calc!$BT$3:$BT$132&gt;BT93)+(calc!$BS$3:$BS$132&lt;BS93)*(calc!$BT$3:$BT$132&lt;BT93))&gt;0))-SUMPRODUCT(--(calc!$BN$3:$BN$132=TRUE),--(ROW(calc!$BN$3:$BN$132)&gt;ROW(BN93)),--(((calc!$BS$3:$BS$132&gt;BS93)*(calc!$BT$3:$BT$132&lt;BT93)+(calc!$BS$3:$BS$132&lt;BS93)*(calc!$BT$3:$BT$132&gt;BT93))&gt;0)),0)</f>
        <v/>
      </c>
    </row>
    <row r="94">
      <c r="A94" s="2">
        <f>mos_metrics!A93</f>
        <v/>
      </c>
      <c r="B94" s="2">
        <f>mos_metrics!B93</f>
        <v/>
      </c>
      <c r="C94" s="2">
        <f>mos_metrics!C93</f>
        <v/>
      </c>
      <c r="D94" s="2">
        <f>mos_metrics!D93</f>
        <v/>
      </c>
      <c r="E94" s="2">
        <f>mos_metrics!E93</f>
        <v/>
      </c>
      <c r="F94" s="2">
        <f>mos_metrics!F93</f>
        <v/>
      </c>
      <c r="G94" s="2">
        <f>IF($B94="","",IFERROR(VLOOKUP($B94,correlation!$A$2:$B$12,2,FALSE),1))</f>
        <v/>
      </c>
      <c r="H94" s="2">
        <f>IF($E94="","",IFERROR(VLOOKUP($E94,correlation!$D$2:$E$8,2,FALSE),1))</f>
        <v/>
      </c>
      <c r="I94" s="2">
        <f>ISNUMBER($F94)</f>
        <v/>
      </c>
      <c r="J94" s="2">
        <f>AND($G94=1,$H94=1,$I94)</f>
        <v/>
      </c>
      <c r="K94" s="5">
        <f>IF(mos_metrics!G93="","",mos_metrics!G93)</f>
        <v/>
      </c>
      <c r="L94" s="2">
        <f>AND($J94,ISNUMBER(K94),correlation!$I$26=1)</f>
        <v/>
      </c>
      <c r="M94" s="5">
        <f>IF(L94,$F94,"")</f>
        <v/>
      </c>
      <c r="N94" s="5">
        <f>IF(L94,K94*correlation!$J$26,"")</f>
        <v/>
      </c>
      <c r="O94" s="5">
        <f>IF(AND(L94,ISNUMBER(correlation!$F$26)),N94*correlation!$F$26+correlation!$G$26,"")</f>
        <v/>
      </c>
      <c r="P94" s="5">
        <f>IF(AND(L94,ISNUMBER(O94)),(M94-O94)^2,"")</f>
        <v/>
      </c>
      <c r="Q94" s="5">
        <f>IF(L94,1+SUMPRODUCT(--(calc!$L$3:$L$132=TRUE),--(calc!$M$3:$M$132&gt;M94))+(SUMPRODUCT(--(calc!$L$3:$L$132=TRUE),--(calc!$M$3:$M$132=M94))-1)/2,"")</f>
        <v/>
      </c>
      <c r="R94" s="5">
        <f>IF(L94,1+SUMPRODUCT(--(calc!$L$3:$L$132=TRUE),--(calc!$N$3:$N$132&gt;N94))+(SUMPRODUCT(--(calc!$L$3:$L$132=TRUE),--(calc!$N$3:$N$132=N94))-1)/2,"")</f>
        <v/>
      </c>
      <c r="S94" s="5">
        <f>IF(L94,SUMPRODUCT(--(calc!$L$3:$L$132=TRUE),--(ROW(calc!$L$3:$L$132)&gt;ROW(L94)),--(((calc!$Q$3:$Q$132&gt;Q94)*(calc!$R$3:$R$132&gt;R94)+(calc!$Q$3:$Q$132&lt;Q94)*(calc!$R$3:$R$132&lt;R94))&gt;0))-SUMPRODUCT(--(calc!$L$3:$L$132=TRUE),--(ROW(calc!$L$3:$L$132)&gt;ROW(L94)),--(((calc!$Q$3:$Q$132&gt;Q94)*(calc!$R$3:$R$132&lt;R94)+(calc!$Q$3:$Q$132&lt;Q94)*(calc!$R$3:$R$132&gt;R94))&gt;0)),0)</f>
        <v/>
      </c>
      <c r="T94" s="5">
        <f>IF(mos_metrics!H93="","",mos_metrics!H93)</f>
        <v/>
      </c>
      <c r="U94" s="2">
        <f>AND($J94,ISNUMBER(T94),correlation!$I$27=1)</f>
        <v/>
      </c>
      <c r="V94" s="5">
        <f>IF(U94,$F94,"")</f>
        <v/>
      </c>
      <c r="W94" s="5">
        <f>IF(U94,T94*correlation!$J$27,"")</f>
        <v/>
      </c>
      <c r="X94" s="5">
        <f>IF(AND(U94,ISNUMBER(correlation!$F$27)),W94*correlation!$F$27+correlation!$G$27,"")</f>
        <v/>
      </c>
      <c r="Y94" s="5">
        <f>IF(AND(U94,ISNUMBER(X94)),(V94-X94)^2,"")</f>
        <v/>
      </c>
      <c r="Z94" s="5">
        <f>IF(U94,1+SUMPRODUCT(--(calc!$U$3:$U$132=TRUE),--(calc!$V$3:$V$132&gt;V94))+(SUMPRODUCT(--(calc!$U$3:$U$132=TRUE),--(calc!$V$3:$V$132=V94))-1)/2,"")</f>
        <v/>
      </c>
      <c r="AA94" s="5">
        <f>IF(U94,1+SUMPRODUCT(--(calc!$U$3:$U$132=TRUE),--(calc!$W$3:$W$132&gt;W94))+(SUMPRODUCT(--(calc!$U$3:$U$132=TRUE),--(calc!$W$3:$W$132=W94))-1)/2,"")</f>
        <v/>
      </c>
      <c r="AB94" s="5">
        <f>IF(U94,SUMPRODUCT(--(calc!$U$3:$U$132=TRUE),--(ROW(calc!$U$3:$U$132)&gt;ROW(U94)),--(((calc!$Z$3:$Z$132&gt;Z94)*(calc!$AA$3:$AA$132&gt;AA94)+(calc!$Z$3:$Z$132&lt;Z94)*(calc!$AA$3:$AA$132&lt;AA94))&gt;0))-SUMPRODUCT(--(calc!$U$3:$U$132=TRUE),--(ROW(calc!$U$3:$U$132)&gt;ROW(U94)),--(((calc!$Z$3:$Z$132&gt;Z94)*(calc!$AA$3:$AA$132&lt;AA94)+(calc!$Z$3:$Z$132&lt;Z94)*(calc!$AA$3:$AA$132&gt;AA94))&gt;0)),0)</f>
        <v/>
      </c>
      <c r="AC94" s="5">
        <f>IF(mos_metrics!I93="","",mos_metrics!I93)</f>
        <v/>
      </c>
      <c r="AD94" s="2">
        <f>AND($J94,ISNUMBER(AC94),correlation!$I$28=1)</f>
        <v/>
      </c>
      <c r="AE94" s="5">
        <f>IF(AD94,$F94,"")</f>
        <v/>
      </c>
      <c r="AF94" s="5">
        <f>IF(AD94,AC94*correlation!$J$28,"")</f>
        <v/>
      </c>
      <c r="AG94" s="5">
        <f>IF(AND(AD94,ISNUMBER(correlation!$F$28)),AF94*correlation!$F$28+correlation!$G$28,"")</f>
        <v/>
      </c>
      <c r="AH94" s="5">
        <f>IF(AND(AD94,ISNUMBER(AG94)),(AE94-AG94)^2,"")</f>
        <v/>
      </c>
      <c r="AI94" s="5">
        <f>IF(AD94,1+SUMPRODUCT(--(calc!$AD$3:$AD$132=TRUE),--(calc!$AE$3:$AE$132&gt;AE94))+(SUMPRODUCT(--(calc!$AD$3:$AD$132=TRUE),--(calc!$AE$3:$AE$132=AE94))-1)/2,"")</f>
        <v/>
      </c>
      <c r="AJ94" s="5">
        <f>IF(AD94,1+SUMPRODUCT(--(calc!$AD$3:$AD$132=TRUE),--(calc!$AF$3:$AF$132&gt;AF94))+(SUMPRODUCT(--(calc!$AD$3:$AD$132=TRUE),--(calc!$AF$3:$AF$132=AF94))-1)/2,"")</f>
        <v/>
      </c>
      <c r="AK94" s="5">
        <f>IF(AD94,SUMPRODUCT(--(calc!$AD$3:$AD$132=TRUE),--(ROW(calc!$AD$3:$AD$132)&gt;ROW(AD94)),--(((calc!$AI$3:$AI$132&gt;AI94)*(calc!$AJ$3:$AJ$132&gt;AJ94)+(calc!$AI$3:$AI$132&lt;AI94)*(calc!$AJ$3:$AJ$132&lt;AJ94))&gt;0))-SUMPRODUCT(--(calc!$AD$3:$AD$132=TRUE),--(ROW(calc!$AD$3:$AD$132)&gt;ROW(AD94)),--(((calc!$AI$3:$AI$132&gt;AI94)*(calc!$AJ$3:$AJ$132&lt;AJ94)+(calc!$AI$3:$AI$132&lt;AI94)*(calc!$AJ$3:$AJ$132&gt;AJ94))&gt;0)),0)</f>
        <v/>
      </c>
      <c r="AL94" s="5">
        <f>IF(mos_metrics!J93="","",mos_metrics!J93)</f>
        <v/>
      </c>
      <c r="AM94" s="2">
        <f>AND($J94,ISNUMBER(AL94),correlation!$I$29=1)</f>
        <v/>
      </c>
      <c r="AN94" s="5">
        <f>IF(AM94,$F94,"")</f>
        <v/>
      </c>
      <c r="AO94" s="5">
        <f>IF(AM94,AL94*correlation!$J$29,"")</f>
        <v/>
      </c>
      <c r="AP94" s="5">
        <f>IF(AND(AM94,ISNUMBER(correlation!$F$29)),AO94*correlation!$F$29+correlation!$G$29,"")</f>
        <v/>
      </c>
      <c r="AQ94" s="5">
        <f>IF(AND(AM94,ISNUMBER(AP94)),(AN94-AP94)^2,"")</f>
        <v/>
      </c>
      <c r="AR94" s="5">
        <f>IF(AM94,1+SUMPRODUCT(--(calc!$AM$3:$AM$132=TRUE),--(calc!$AN$3:$AN$132&gt;AN94))+(SUMPRODUCT(--(calc!$AM$3:$AM$132=TRUE),--(calc!$AN$3:$AN$132=AN94))-1)/2,"")</f>
        <v/>
      </c>
      <c r="AS94" s="5">
        <f>IF(AM94,1+SUMPRODUCT(--(calc!$AM$3:$AM$132=TRUE),--(calc!$AO$3:$AO$132&gt;AO94))+(SUMPRODUCT(--(calc!$AM$3:$AM$132=TRUE),--(calc!$AO$3:$AO$132=AO94))-1)/2,"")</f>
        <v/>
      </c>
      <c r="AT94" s="5">
        <f>IF(AM94,SUMPRODUCT(--(calc!$AM$3:$AM$132=TRUE),--(ROW(calc!$AM$3:$AM$132)&gt;ROW(AM94)),--(((calc!$AR$3:$AR$132&gt;AR94)*(calc!$AS$3:$AS$132&gt;AS94)+(calc!$AR$3:$AR$132&lt;AR94)*(calc!$AS$3:$AS$132&lt;AS94))&gt;0))-SUMPRODUCT(--(calc!$AM$3:$AM$132=TRUE),--(ROW(calc!$AM$3:$AM$132)&gt;ROW(AM94)),--(((calc!$AR$3:$AR$132&gt;AR94)*(calc!$AS$3:$AS$132&lt;AS94)+(calc!$AR$3:$AR$132&lt;AR94)*(calc!$AS$3:$AS$132&gt;AS94))&gt;0)),0)</f>
        <v/>
      </c>
      <c r="AU94" s="5">
        <f>IF(mos_metrics!K93="","",mos_metrics!K93)</f>
        <v/>
      </c>
      <c r="AV94" s="2">
        <f>AND($J94,ISNUMBER(AU94),correlation!$I$30=1)</f>
        <v/>
      </c>
      <c r="AW94" s="5">
        <f>IF(AV94,$F94,"")</f>
        <v/>
      </c>
      <c r="AX94" s="5">
        <f>IF(AV94,AU94*correlation!$J$30,"")</f>
        <v/>
      </c>
      <c r="AY94" s="5">
        <f>IF(AND(AV94,ISNUMBER(correlation!$F$30)),AX94*correlation!$F$30+correlation!$G$30,"")</f>
        <v/>
      </c>
      <c r="AZ94" s="5">
        <f>IF(AND(AV94,ISNUMBER(AY94)),(AW94-AY94)^2,"")</f>
        <v/>
      </c>
      <c r="BA94" s="5">
        <f>IF(AV94,1+SUMPRODUCT(--(calc!$AV$3:$AV$132=TRUE),--(calc!$AW$3:$AW$132&gt;AW94))+(SUMPRODUCT(--(calc!$AV$3:$AV$132=TRUE),--(calc!$AW$3:$AW$132=AW94))-1)/2,"")</f>
        <v/>
      </c>
      <c r="BB94" s="5">
        <f>IF(AV94,1+SUMPRODUCT(--(calc!$AV$3:$AV$132=TRUE),--(calc!$AX$3:$AX$132&gt;AX94))+(SUMPRODUCT(--(calc!$AV$3:$AV$132=TRUE),--(calc!$AX$3:$AX$132=AX94))-1)/2,"")</f>
        <v/>
      </c>
      <c r="BC94" s="5">
        <f>IF(AV94,SUMPRODUCT(--(calc!$AV$3:$AV$132=TRUE),--(ROW(calc!$AV$3:$AV$132)&gt;ROW(AV94)),--(((calc!$BA$3:$BA$132&gt;BA94)*(calc!$BB$3:$BB$132&gt;BB94)+(calc!$BA$3:$BA$132&lt;BA94)*(calc!$BB$3:$BB$132&lt;BB94))&gt;0))-SUMPRODUCT(--(calc!$AV$3:$AV$132=TRUE),--(ROW(calc!$AV$3:$AV$132)&gt;ROW(AV94)),--(((calc!$BA$3:$BA$132&gt;BA94)*(calc!$BB$3:$BB$132&lt;BB94)+(calc!$BA$3:$BA$132&lt;BA94)*(calc!$BB$3:$BB$132&gt;BB94))&gt;0)),0)</f>
        <v/>
      </c>
      <c r="BD94" s="5">
        <f>IF(mos_metrics!L93="","",mos_metrics!L93)</f>
        <v/>
      </c>
      <c r="BE94" s="2">
        <f>AND($J94,ISNUMBER(BD94),correlation!$I$31=1)</f>
        <v/>
      </c>
      <c r="BF94" s="5">
        <f>IF(BE94,$F94,"")</f>
        <v/>
      </c>
      <c r="BG94" s="5">
        <f>IF(BE94,BD94*correlation!$J$31,"")</f>
        <v/>
      </c>
      <c r="BH94" s="5">
        <f>IF(AND(BE94,ISNUMBER(correlation!$F$31)),BG94*correlation!$F$31+correlation!$G$31,"")</f>
        <v/>
      </c>
      <c r="BI94" s="5">
        <f>IF(AND(BE94,ISNUMBER(BH94)),(BF94-BH94)^2,"")</f>
        <v/>
      </c>
      <c r="BJ94" s="5">
        <f>IF(BE94,1+SUMPRODUCT(--(calc!$BE$3:$BE$132=TRUE),--(calc!$BF$3:$BF$132&gt;BF94))+(SUMPRODUCT(--(calc!$BE$3:$BE$132=TRUE),--(calc!$BF$3:$BF$132=BF94))-1)/2,"")</f>
        <v/>
      </c>
      <c r="BK94" s="5">
        <f>IF(BE94,1+SUMPRODUCT(--(calc!$BE$3:$BE$132=TRUE),--(calc!$BG$3:$BG$132&gt;BG94))+(SUMPRODUCT(--(calc!$BE$3:$BE$132=TRUE),--(calc!$BG$3:$BG$132=BG94))-1)/2,"")</f>
        <v/>
      </c>
      <c r="BL94" s="5">
        <f>IF(BE94,SUMPRODUCT(--(calc!$BE$3:$BE$132=TRUE),--(ROW(calc!$BE$3:$BE$132)&gt;ROW(BE94)),--(((calc!$BJ$3:$BJ$132&gt;BJ94)*(calc!$BK$3:$BK$132&gt;BK94)+(calc!$BJ$3:$BJ$132&lt;BJ94)*(calc!$BK$3:$BK$132&lt;BK94))&gt;0))-SUMPRODUCT(--(calc!$BE$3:$BE$132=TRUE),--(ROW(calc!$BE$3:$BE$132)&gt;ROW(BE94)),--(((calc!$BJ$3:$BJ$132&gt;BJ94)*(calc!$BK$3:$BK$132&lt;BK94)+(calc!$BJ$3:$BJ$132&lt;BJ94)*(calc!$BK$3:$BK$132&gt;BK94))&gt;0)),0)</f>
        <v/>
      </c>
      <c r="BM94" s="5">
        <f>IF(mos_metrics!M93="","",mos_metrics!M93)</f>
        <v/>
      </c>
      <c r="BN94" s="2">
        <f>AND($J94,ISNUMBER(BM94),correlation!$I$32=1)</f>
        <v/>
      </c>
      <c r="BO94" s="5">
        <f>IF(BN94,$F94,"")</f>
        <v/>
      </c>
      <c r="BP94" s="5">
        <f>IF(BN94,BM94*correlation!$J$32,"")</f>
        <v/>
      </c>
      <c r="BQ94" s="5">
        <f>IF(AND(BN94,ISNUMBER(correlation!$F$32)),BP94*correlation!$F$32+correlation!$G$32,"")</f>
        <v/>
      </c>
      <c r="BR94" s="5">
        <f>IF(AND(BN94,ISNUMBER(BQ94)),(BO94-BQ94)^2,"")</f>
        <v/>
      </c>
      <c r="BS94" s="5">
        <f>IF(BN94,1+SUMPRODUCT(--(calc!$BN$3:$BN$132=TRUE),--(calc!$BO$3:$BO$132&gt;BO94))+(SUMPRODUCT(--(calc!$BN$3:$BN$132=TRUE),--(calc!$BO$3:$BO$132=BO94))-1)/2,"")</f>
        <v/>
      </c>
      <c r="BT94" s="5">
        <f>IF(BN94,1+SUMPRODUCT(--(calc!$BN$3:$BN$132=TRUE),--(calc!$BP$3:$BP$132&gt;BP94))+(SUMPRODUCT(--(calc!$BN$3:$BN$132=TRUE),--(calc!$BP$3:$BP$132=BP94))-1)/2,"")</f>
        <v/>
      </c>
      <c r="BU94" s="5">
        <f>IF(BN94,SUMPRODUCT(--(calc!$BN$3:$BN$132=TRUE),--(ROW(calc!$BN$3:$BN$132)&gt;ROW(BN94)),--(((calc!$BS$3:$BS$132&gt;BS94)*(calc!$BT$3:$BT$132&gt;BT94)+(calc!$BS$3:$BS$132&lt;BS94)*(calc!$BT$3:$BT$132&lt;BT94))&gt;0))-SUMPRODUCT(--(calc!$BN$3:$BN$132=TRUE),--(ROW(calc!$BN$3:$BN$132)&gt;ROW(BN94)),--(((calc!$BS$3:$BS$132&gt;BS94)*(calc!$BT$3:$BT$132&lt;BT94)+(calc!$BS$3:$BS$132&lt;BS94)*(calc!$BT$3:$BT$132&gt;BT94))&gt;0)),0)</f>
        <v/>
      </c>
    </row>
    <row r="95">
      <c r="A95" s="2">
        <f>mos_metrics!A94</f>
        <v/>
      </c>
      <c r="B95" s="2">
        <f>mos_metrics!B94</f>
        <v/>
      </c>
      <c r="C95" s="2">
        <f>mos_metrics!C94</f>
        <v/>
      </c>
      <c r="D95" s="2">
        <f>mos_metrics!D94</f>
        <v/>
      </c>
      <c r="E95" s="2">
        <f>mos_metrics!E94</f>
        <v/>
      </c>
      <c r="F95" s="2">
        <f>mos_metrics!F94</f>
        <v/>
      </c>
      <c r="G95" s="2">
        <f>IF($B95="","",IFERROR(VLOOKUP($B95,correlation!$A$2:$B$12,2,FALSE),1))</f>
        <v/>
      </c>
      <c r="H95" s="2">
        <f>IF($E95="","",IFERROR(VLOOKUP($E95,correlation!$D$2:$E$8,2,FALSE),1))</f>
        <v/>
      </c>
      <c r="I95" s="2">
        <f>ISNUMBER($F95)</f>
        <v/>
      </c>
      <c r="J95" s="2">
        <f>AND($G95=1,$H95=1,$I95)</f>
        <v/>
      </c>
      <c r="K95" s="5">
        <f>IF(mos_metrics!G94="","",mos_metrics!G94)</f>
        <v/>
      </c>
      <c r="L95" s="2">
        <f>AND($J95,ISNUMBER(K95),correlation!$I$26=1)</f>
        <v/>
      </c>
      <c r="M95" s="5">
        <f>IF(L95,$F95,"")</f>
        <v/>
      </c>
      <c r="N95" s="5">
        <f>IF(L95,K95*correlation!$J$26,"")</f>
        <v/>
      </c>
      <c r="O95" s="5">
        <f>IF(AND(L95,ISNUMBER(correlation!$F$26)),N95*correlation!$F$26+correlation!$G$26,"")</f>
        <v/>
      </c>
      <c r="P95" s="5">
        <f>IF(AND(L95,ISNUMBER(O95)),(M95-O95)^2,"")</f>
        <v/>
      </c>
      <c r="Q95" s="5">
        <f>IF(L95,1+SUMPRODUCT(--(calc!$L$3:$L$132=TRUE),--(calc!$M$3:$M$132&gt;M95))+(SUMPRODUCT(--(calc!$L$3:$L$132=TRUE),--(calc!$M$3:$M$132=M95))-1)/2,"")</f>
        <v/>
      </c>
      <c r="R95" s="5">
        <f>IF(L95,1+SUMPRODUCT(--(calc!$L$3:$L$132=TRUE),--(calc!$N$3:$N$132&gt;N95))+(SUMPRODUCT(--(calc!$L$3:$L$132=TRUE),--(calc!$N$3:$N$132=N95))-1)/2,"")</f>
        <v/>
      </c>
      <c r="S95" s="5">
        <f>IF(L95,SUMPRODUCT(--(calc!$L$3:$L$132=TRUE),--(ROW(calc!$L$3:$L$132)&gt;ROW(L95)),--(((calc!$Q$3:$Q$132&gt;Q95)*(calc!$R$3:$R$132&gt;R95)+(calc!$Q$3:$Q$132&lt;Q95)*(calc!$R$3:$R$132&lt;R95))&gt;0))-SUMPRODUCT(--(calc!$L$3:$L$132=TRUE),--(ROW(calc!$L$3:$L$132)&gt;ROW(L95)),--(((calc!$Q$3:$Q$132&gt;Q95)*(calc!$R$3:$R$132&lt;R95)+(calc!$Q$3:$Q$132&lt;Q95)*(calc!$R$3:$R$132&gt;R95))&gt;0)),0)</f>
        <v/>
      </c>
      <c r="T95" s="5">
        <f>IF(mos_metrics!H94="","",mos_metrics!H94)</f>
        <v/>
      </c>
      <c r="U95" s="2">
        <f>AND($J95,ISNUMBER(T95),correlation!$I$27=1)</f>
        <v/>
      </c>
      <c r="V95" s="5">
        <f>IF(U95,$F95,"")</f>
        <v/>
      </c>
      <c r="W95" s="5">
        <f>IF(U95,T95*correlation!$J$27,"")</f>
        <v/>
      </c>
      <c r="X95" s="5">
        <f>IF(AND(U95,ISNUMBER(correlation!$F$27)),W95*correlation!$F$27+correlation!$G$27,"")</f>
        <v/>
      </c>
      <c r="Y95" s="5">
        <f>IF(AND(U95,ISNUMBER(X95)),(V95-X95)^2,"")</f>
        <v/>
      </c>
      <c r="Z95" s="5">
        <f>IF(U95,1+SUMPRODUCT(--(calc!$U$3:$U$132=TRUE),--(calc!$V$3:$V$132&gt;V95))+(SUMPRODUCT(--(calc!$U$3:$U$132=TRUE),--(calc!$V$3:$V$132=V95))-1)/2,"")</f>
        <v/>
      </c>
      <c r="AA95" s="5">
        <f>IF(U95,1+SUMPRODUCT(--(calc!$U$3:$U$132=TRUE),--(calc!$W$3:$W$132&gt;W95))+(SUMPRODUCT(--(calc!$U$3:$U$132=TRUE),--(calc!$W$3:$W$132=W95))-1)/2,"")</f>
        <v/>
      </c>
      <c r="AB95" s="5">
        <f>IF(U95,SUMPRODUCT(--(calc!$U$3:$U$132=TRUE),--(ROW(calc!$U$3:$U$132)&gt;ROW(U95)),--(((calc!$Z$3:$Z$132&gt;Z95)*(calc!$AA$3:$AA$132&gt;AA95)+(calc!$Z$3:$Z$132&lt;Z95)*(calc!$AA$3:$AA$132&lt;AA95))&gt;0))-SUMPRODUCT(--(calc!$U$3:$U$132=TRUE),--(ROW(calc!$U$3:$U$132)&gt;ROW(U95)),--(((calc!$Z$3:$Z$132&gt;Z95)*(calc!$AA$3:$AA$132&lt;AA95)+(calc!$Z$3:$Z$132&lt;Z95)*(calc!$AA$3:$AA$132&gt;AA95))&gt;0)),0)</f>
        <v/>
      </c>
      <c r="AC95" s="5">
        <f>IF(mos_metrics!I94="","",mos_metrics!I94)</f>
        <v/>
      </c>
      <c r="AD95" s="2">
        <f>AND($J95,ISNUMBER(AC95),correlation!$I$28=1)</f>
        <v/>
      </c>
      <c r="AE95" s="5">
        <f>IF(AD95,$F95,"")</f>
        <v/>
      </c>
      <c r="AF95" s="5">
        <f>IF(AD95,AC95*correlation!$J$28,"")</f>
        <v/>
      </c>
      <c r="AG95" s="5">
        <f>IF(AND(AD95,ISNUMBER(correlation!$F$28)),AF95*correlation!$F$28+correlation!$G$28,"")</f>
        <v/>
      </c>
      <c r="AH95" s="5">
        <f>IF(AND(AD95,ISNUMBER(AG95)),(AE95-AG95)^2,"")</f>
        <v/>
      </c>
      <c r="AI95" s="5">
        <f>IF(AD95,1+SUMPRODUCT(--(calc!$AD$3:$AD$132=TRUE),--(calc!$AE$3:$AE$132&gt;AE95))+(SUMPRODUCT(--(calc!$AD$3:$AD$132=TRUE),--(calc!$AE$3:$AE$132=AE95))-1)/2,"")</f>
        <v/>
      </c>
      <c r="AJ95" s="5">
        <f>IF(AD95,1+SUMPRODUCT(--(calc!$AD$3:$AD$132=TRUE),--(calc!$AF$3:$AF$132&gt;AF95))+(SUMPRODUCT(--(calc!$AD$3:$AD$132=TRUE),--(calc!$AF$3:$AF$132=AF95))-1)/2,"")</f>
        <v/>
      </c>
      <c r="AK95" s="5">
        <f>IF(AD95,SUMPRODUCT(--(calc!$AD$3:$AD$132=TRUE),--(ROW(calc!$AD$3:$AD$132)&gt;ROW(AD95)),--(((calc!$AI$3:$AI$132&gt;AI95)*(calc!$AJ$3:$AJ$132&gt;AJ95)+(calc!$AI$3:$AI$132&lt;AI95)*(calc!$AJ$3:$AJ$132&lt;AJ95))&gt;0))-SUMPRODUCT(--(calc!$AD$3:$AD$132=TRUE),--(ROW(calc!$AD$3:$AD$132)&gt;ROW(AD95)),--(((calc!$AI$3:$AI$132&gt;AI95)*(calc!$AJ$3:$AJ$132&lt;AJ95)+(calc!$AI$3:$AI$132&lt;AI95)*(calc!$AJ$3:$AJ$132&gt;AJ95))&gt;0)),0)</f>
        <v/>
      </c>
      <c r="AL95" s="5">
        <f>IF(mos_metrics!J94="","",mos_metrics!J94)</f>
        <v/>
      </c>
      <c r="AM95" s="2">
        <f>AND($J95,ISNUMBER(AL95),correlation!$I$29=1)</f>
        <v/>
      </c>
      <c r="AN95" s="5">
        <f>IF(AM95,$F95,"")</f>
        <v/>
      </c>
      <c r="AO95" s="5">
        <f>IF(AM95,AL95*correlation!$J$29,"")</f>
        <v/>
      </c>
      <c r="AP95" s="5">
        <f>IF(AND(AM95,ISNUMBER(correlation!$F$29)),AO95*correlation!$F$29+correlation!$G$29,"")</f>
        <v/>
      </c>
      <c r="AQ95" s="5">
        <f>IF(AND(AM95,ISNUMBER(AP95)),(AN95-AP95)^2,"")</f>
        <v/>
      </c>
      <c r="AR95" s="5">
        <f>IF(AM95,1+SUMPRODUCT(--(calc!$AM$3:$AM$132=TRUE),--(calc!$AN$3:$AN$132&gt;AN95))+(SUMPRODUCT(--(calc!$AM$3:$AM$132=TRUE),--(calc!$AN$3:$AN$132=AN95))-1)/2,"")</f>
        <v/>
      </c>
      <c r="AS95" s="5">
        <f>IF(AM95,1+SUMPRODUCT(--(calc!$AM$3:$AM$132=TRUE),--(calc!$AO$3:$AO$132&gt;AO95))+(SUMPRODUCT(--(calc!$AM$3:$AM$132=TRUE),--(calc!$AO$3:$AO$132=AO95))-1)/2,"")</f>
        <v/>
      </c>
      <c r="AT95" s="5">
        <f>IF(AM95,SUMPRODUCT(--(calc!$AM$3:$AM$132=TRUE),--(ROW(calc!$AM$3:$AM$132)&gt;ROW(AM95)),--(((calc!$AR$3:$AR$132&gt;AR95)*(calc!$AS$3:$AS$132&gt;AS95)+(calc!$AR$3:$AR$132&lt;AR95)*(calc!$AS$3:$AS$132&lt;AS95))&gt;0))-SUMPRODUCT(--(calc!$AM$3:$AM$132=TRUE),--(ROW(calc!$AM$3:$AM$132)&gt;ROW(AM95)),--(((calc!$AR$3:$AR$132&gt;AR95)*(calc!$AS$3:$AS$132&lt;AS95)+(calc!$AR$3:$AR$132&lt;AR95)*(calc!$AS$3:$AS$132&gt;AS95))&gt;0)),0)</f>
        <v/>
      </c>
      <c r="AU95" s="5">
        <f>IF(mos_metrics!K94="","",mos_metrics!K94)</f>
        <v/>
      </c>
      <c r="AV95" s="2">
        <f>AND($J95,ISNUMBER(AU95),correlation!$I$30=1)</f>
        <v/>
      </c>
      <c r="AW95" s="5">
        <f>IF(AV95,$F95,"")</f>
        <v/>
      </c>
      <c r="AX95" s="5">
        <f>IF(AV95,AU95*correlation!$J$30,"")</f>
        <v/>
      </c>
      <c r="AY95" s="5">
        <f>IF(AND(AV95,ISNUMBER(correlation!$F$30)),AX95*correlation!$F$30+correlation!$G$30,"")</f>
        <v/>
      </c>
      <c r="AZ95" s="5">
        <f>IF(AND(AV95,ISNUMBER(AY95)),(AW95-AY95)^2,"")</f>
        <v/>
      </c>
      <c r="BA95" s="5">
        <f>IF(AV95,1+SUMPRODUCT(--(calc!$AV$3:$AV$132=TRUE),--(calc!$AW$3:$AW$132&gt;AW95))+(SUMPRODUCT(--(calc!$AV$3:$AV$132=TRUE),--(calc!$AW$3:$AW$132=AW95))-1)/2,"")</f>
        <v/>
      </c>
      <c r="BB95" s="5">
        <f>IF(AV95,1+SUMPRODUCT(--(calc!$AV$3:$AV$132=TRUE),--(calc!$AX$3:$AX$132&gt;AX95))+(SUMPRODUCT(--(calc!$AV$3:$AV$132=TRUE),--(calc!$AX$3:$AX$132=AX95))-1)/2,"")</f>
        <v/>
      </c>
      <c r="BC95" s="5">
        <f>IF(AV95,SUMPRODUCT(--(calc!$AV$3:$AV$132=TRUE),--(ROW(calc!$AV$3:$AV$132)&gt;ROW(AV95)),--(((calc!$BA$3:$BA$132&gt;BA95)*(calc!$BB$3:$BB$132&gt;BB95)+(calc!$BA$3:$BA$132&lt;BA95)*(calc!$BB$3:$BB$132&lt;BB95))&gt;0))-SUMPRODUCT(--(calc!$AV$3:$AV$132=TRUE),--(ROW(calc!$AV$3:$AV$132)&gt;ROW(AV95)),--(((calc!$BA$3:$BA$132&gt;BA95)*(calc!$BB$3:$BB$132&lt;BB95)+(calc!$BA$3:$BA$132&lt;BA95)*(calc!$BB$3:$BB$132&gt;BB95))&gt;0)),0)</f>
        <v/>
      </c>
      <c r="BD95" s="5">
        <f>IF(mos_metrics!L94="","",mos_metrics!L94)</f>
        <v/>
      </c>
      <c r="BE95" s="2">
        <f>AND($J95,ISNUMBER(BD95),correlation!$I$31=1)</f>
        <v/>
      </c>
      <c r="BF95" s="5">
        <f>IF(BE95,$F95,"")</f>
        <v/>
      </c>
      <c r="BG95" s="5">
        <f>IF(BE95,BD95*correlation!$J$31,"")</f>
        <v/>
      </c>
      <c r="BH95" s="5">
        <f>IF(AND(BE95,ISNUMBER(correlation!$F$31)),BG95*correlation!$F$31+correlation!$G$31,"")</f>
        <v/>
      </c>
      <c r="BI95" s="5">
        <f>IF(AND(BE95,ISNUMBER(BH95)),(BF95-BH95)^2,"")</f>
        <v/>
      </c>
      <c r="BJ95" s="5">
        <f>IF(BE95,1+SUMPRODUCT(--(calc!$BE$3:$BE$132=TRUE),--(calc!$BF$3:$BF$132&gt;BF95))+(SUMPRODUCT(--(calc!$BE$3:$BE$132=TRUE),--(calc!$BF$3:$BF$132=BF95))-1)/2,"")</f>
        <v/>
      </c>
      <c r="BK95" s="5">
        <f>IF(BE95,1+SUMPRODUCT(--(calc!$BE$3:$BE$132=TRUE),--(calc!$BG$3:$BG$132&gt;BG95))+(SUMPRODUCT(--(calc!$BE$3:$BE$132=TRUE),--(calc!$BG$3:$BG$132=BG95))-1)/2,"")</f>
        <v/>
      </c>
      <c r="BL95" s="5">
        <f>IF(BE95,SUMPRODUCT(--(calc!$BE$3:$BE$132=TRUE),--(ROW(calc!$BE$3:$BE$132)&gt;ROW(BE95)),--(((calc!$BJ$3:$BJ$132&gt;BJ95)*(calc!$BK$3:$BK$132&gt;BK95)+(calc!$BJ$3:$BJ$132&lt;BJ95)*(calc!$BK$3:$BK$132&lt;BK95))&gt;0))-SUMPRODUCT(--(calc!$BE$3:$BE$132=TRUE),--(ROW(calc!$BE$3:$BE$132)&gt;ROW(BE95)),--(((calc!$BJ$3:$BJ$132&gt;BJ95)*(calc!$BK$3:$BK$132&lt;BK95)+(calc!$BJ$3:$BJ$132&lt;BJ95)*(calc!$BK$3:$BK$132&gt;BK95))&gt;0)),0)</f>
        <v/>
      </c>
      <c r="BM95" s="5">
        <f>IF(mos_metrics!M94="","",mos_metrics!M94)</f>
        <v/>
      </c>
      <c r="BN95" s="2">
        <f>AND($J95,ISNUMBER(BM95),correlation!$I$32=1)</f>
        <v/>
      </c>
      <c r="BO95" s="5">
        <f>IF(BN95,$F95,"")</f>
        <v/>
      </c>
      <c r="BP95" s="5">
        <f>IF(BN95,BM95*correlation!$J$32,"")</f>
        <v/>
      </c>
      <c r="BQ95" s="5">
        <f>IF(AND(BN95,ISNUMBER(correlation!$F$32)),BP95*correlation!$F$32+correlation!$G$32,"")</f>
        <v/>
      </c>
      <c r="BR95" s="5">
        <f>IF(AND(BN95,ISNUMBER(BQ95)),(BO95-BQ95)^2,"")</f>
        <v/>
      </c>
      <c r="BS95" s="5">
        <f>IF(BN95,1+SUMPRODUCT(--(calc!$BN$3:$BN$132=TRUE),--(calc!$BO$3:$BO$132&gt;BO95))+(SUMPRODUCT(--(calc!$BN$3:$BN$132=TRUE),--(calc!$BO$3:$BO$132=BO95))-1)/2,"")</f>
        <v/>
      </c>
      <c r="BT95" s="5">
        <f>IF(BN95,1+SUMPRODUCT(--(calc!$BN$3:$BN$132=TRUE),--(calc!$BP$3:$BP$132&gt;BP95))+(SUMPRODUCT(--(calc!$BN$3:$BN$132=TRUE),--(calc!$BP$3:$BP$132=BP95))-1)/2,"")</f>
        <v/>
      </c>
      <c r="BU95" s="5">
        <f>IF(BN95,SUMPRODUCT(--(calc!$BN$3:$BN$132=TRUE),--(ROW(calc!$BN$3:$BN$132)&gt;ROW(BN95)),--(((calc!$BS$3:$BS$132&gt;BS95)*(calc!$BT$3:$BT$132&gt;BT95)+(calc!$BS$3:$BS$132&lt;BS95)*(calc!$BT$3:$BT$132&lt;BT95))&gt;0))-SUMPRODUCT(--(calc!$BN$3:$BN$132=TRUE),--(ROW(calc!$BN$3:$BN$132)&gt;ROW(BN95)),--(((calc!$BS$3:$BS$132&gt;BS95)*(calc!$BT$3:$BT$132&lt;BT95)+(calc!$BS$3:$BS$132&lt;BS95)*(calc!$BT$3:$BT$132&gt;BT95))&gt;0)),0)</f>
        <v/>
      </c>
    </row>
    <row r="96">
      <c r="A96" s="2">
        <f>mos_metrics!A95</f>
        <v/>
      </c>
      <c r="B96" s="2">
        <f>mos_metrics!B95</f>
        <v/>
      </c>
      <c r="C96" s="2">
        <f>mos_metrics!C95</f>
        <v/>
      </c>
      <c r="D96" s="2">
        <f>mos_metrics!D95</f>
        <v/>
      </c>
      <c r="E96" s="2">
        <f>mos_metrics!E95</f>
        <v/>
      </c>
      <c r="F96" s="2">
        <f>mos_metrics!F95</f>
        <v/>
      </c>
      <c r="G96" s="2">
        <f>IF($B96="","",IFERROR(VLOOKUP($B96,correlation!$A$2:$B$12,2,FALSE),1))</f>
        <v/>
      </c>
      <c r="H96" s="2">
        <f>IF($E96="","",IFERROR(VLOOKUP($E96,correlation!$D$2:$E$8,2,FALSE),1))</f>
        <v/>
      </c>
      <c r="I96" s="2">
        <f>ISNUMBER($F96)</f>
        <v/>
      </c>
      <c r="J96" s="2">
        <f>AND($G96=1,$H96=1,$I96)</f>
        <v/>
      </c>
      <c r="K96" s="5">
        <f>IF(mos_metrics!G95="","",mos_metrics!G95)</f>
        <v/>
      </c>
      <c r="L96" s="2">
        <f>AND($J96,ISNUMBER(K96),correlation!$I$26=1)</f>
        <v/>
      </c>
      <c r="M96" s="5">
        <f>IF(L96,$F96,"")</f>
        <v/>
      </c>
      <c r="N96" s="5">
        <f>IF(L96,K96*correlation!$J$26,"")</f>
        <v/>
      </c>
      <c r="O96" s="5">
        <f>IF(AND(L96,ISNUMBER(correlation!$F$26)),N96*correlation!$F$26+correlation!$G$26,"")</f>
        <v/>
      </c>
      <c r="P96" s="5">
        <f>IF(AND(L96,ISNUMBER(O96)),(M96-O96)^2,"")</f>
        <v/>
      </c>
      <c r="Q96" s="5">
        <f>IF(L96,1+SUMPRODUCT(--(calc!$L$3:$L$132=TRUE),--(calc!$M$3:$M$132&gt;M96))+(SUMPRODUCT(--(calc!$L$3:$L$132=TRUE),--(calc!$M$3:$M$132=M96))-1)/2,"")</f>
        <v/>
      </c>
      <c r="R96" s="5">
        <f>IF(L96,1+SUMPRODUCT(--(calc!$L$3:$L$132=TRUE),--(calc!$N$3:$N$132&gt;N96))+(SUMPRODUCT(--(calc!$L$3:$L$132=TRUE),--(calc!$N$3:$N$132=N96))-1)/2,"")</f>
        <v/>
      </c>
      <c r="S96" s="5">
        <f>IF(L96,SUMPRODUCT(--(calc!$L$3:$L$132=TRUE),--(ROW(calc!$L$3:$L$132)&gt;ROW(L96)),--(((calc!$Q$3:$Q$132&gt;Q96)*(calc!$R$3:$R$132&gt;R96)+(calc!$Q$3:$Q$132&lt;Q96)*(calc!$R$3:$R$132&lt;R96))&gt;0))-SUMPRODUCT(--(calc!$L$3:$L$132=TRUE),--(ROW(calc!$L$3:$L$132)&gt;ROW(L96)),--(((calc!$Q$3:$Q$132&gt;Q96)*(calc!$R$3:$R$132&lt;R96)+(calc!$Q$3:$Q$132&lt;Q96)*(calc!$R$3:$R$132&gt;R96))&gt;0)),0)</f>
        <v/>
      </c>
      <c r="T96" s="5">
        <f>IF(mos_metrics!H95="","",mos_metrics!H95)</f>
        <v/>
      </c>
      <c r="U96" s="2">
        <f>AND($J96,ISNUMBER(T96),correlation!$I$27=1)</f>
        <v/>
      </c>
      <c r="V96" s="5">
        <f>IF(U96,$F96,"")</f>
        <v/>
      </c>
      <c r="W96" s="5">
        <f>IF(U96,T96*correlation!$J$27,"")</f>
        <v/>
      </c>
      <c r="X96" s="5">
        <f>IF(AND(U96,ISNUMBER(correlation!$F$27)),W96*correlation!$F$27+correlation!$G$27,"")</f>
        <v/>
      </c>
      <c r="Y96" s="5">
        <f>IF(AND(U96,ISNUMBER(X96)),(V96-X96)^2,"")</f>
        <v/>
      </c>
      <c r="Z96" s="5">
        <f>IF(U96,1+SUMPRODUCT(--(calc!$U$3:$U$132=TRUE),--(calc!$V$3:$V$132&gt;V96))+(SUMPRODUCT(--(calc!$U$3:$U$132=TRUE),--(calc!$V$3:$V$132=V96))-1)/2,"")</f>
        <v/>
      </c>
      <c r="AA96" s="5">
        <f>IF(U96,1+SUMPRODUCT(--(calc!$U$3:$U$132=TRUE),--(calc!$W$3:$W$132&gt;W96))+(SUMPRODUCT(--(calc!$U$3:$U$132=TRUE),--(calc!$W$3:$W$132=W96))-1)/2,"")</f>
        <v/>
      </c>
      <c r="AB96" s="5">
        <f>IF(U96,SUMPRODUCT(--(calc!$U$3:$U$132=TRUE),--(ROW(calc!$U$3:$U$132)&gt;ROW(U96)),--(((calc!$Z$3:$Z$132&gt;Z96)*(calc!$AA$3:$AA$132&gt;AA96)+(calc!$Z$3:$Z$132&lt;Z96)*(calc!$AA$3:$AA$132&lt;AA96))&gt;0))-SUMPRODUCT(--(calc!$U$3:$U$132=TRUE),--(ROW(calc!$U$3:$U$132)&gt;ROW(U96)),--(((calc!$Z$3:$Z$132&gt;Z96)*(calc!$AA$3:$AA$132&lt;AA96)+(calc!$Z$3:$Z$132&lt;Z96)*(calc!$AA$3:$AA$132&gt;AA96))&gt;0)),0)</f>
        <v/>
      </c>
      <c r="AC96" s="5">
        <f>IF(mos_metrics!I95="","",mos_metrics!I95)</f>
        <v/>
      </c>
      <c r="AD96" s="2">
        <f>AND($J96,ISNUMBER(AC96),correlation!$I$28=1)</f>
        <v/>
      </c>
      <c r="AE96" s="5">
        <f>IF(AD96,$F96,"")</f>
        <v/>
      </c>
      <c r="AF96" s="5">
        <f>IF(AD96,AC96*correlation!$J$28,"")</f>
        <v/>
      </c>
      <c r="AG96" s="5">
        <f>IF(AND(AD96,ISNUMBER(correlation!$F$28)),AF96*correlation!$F$28+correlation!$G$28,"")</f>
        <v/>
      </c>
      <c r="AH96" s="5">
        <f>IF(AND(AD96,ISNUMBER(AG96)),(AE96-AG96)^2,"")</f>
        <v/>
      </c>
      <c r="AI96" s="5">
        <f>IF(AD96,1+SUMPRODUCT(--(calc!$AD$3:$AD$132=TRUE),--(calc!$AE$3:$AE$132&gt;AE96))+(SUMPRODUCT(--(calc!$AD$3:$AD$132=TRUE),--(calc!$AE$3:$AE$132=AE96))-1)/2,"")</f>
        <v/>
      </c>
      <c r="AJ96" s="5">
        <f>IF(AD96,1+SUMPRODUCT(--(calc!$AD$3:$AD$132=TRUE),--(calc!$AF$3:$AF$132&gt;AF96))+(SUMPRODUCT(--(calc!$AD$3:$AD$132=TRUE),--(calc!$AF$3:$AF$132=AF96))-1)/2,"")</f>
        <v/>
      </c>
      <c r="AK96" s="5">
        <f>IF(AD96,SUMPRODUCT(--(calc!$AD$3:$AD$132=TRUE),--(ROW(calc!$AD$3:$AD$132)&gt;ROW(AD96)),--(((calc!$AI$3:$AI$132&gt;AI96)*(calc!$AJ$3:$AJ$132&gt;AJ96)+(calc!$AI$3:$AI$132&lt;AI96)*(calc!$AJ$3:$AJ$132&lt;AJ96))&gt;0))-SUMPRODUCT(--(calc!$AD$3:$AD$132=TRUE),--(ROW(calc!$AD$3:$AD$132)&gt;ROW(AD96)),--(((calc!$AI$3:$AI$132&gt;AI96)*(calc!$AJ$3:$AJ$132&lt;AJ96)+(calc!$AI$3:$AI$132&lt;AI96)*(calc!$AJ$3:$AJ$132&gt;AJ96))&gt;0)),0)</f>
        <v/>
      </c>
      <c r="AL96" s="5">
        <f>IF(mos_metrics!J95="","",mos_metrics!J95)</f>
        <v/>
      </c>
      <c r="AM96" s="2">
        <f>AND($J96,ISNUMBER(AL96),correlation!$I$29=1)</f>
        <v/>
      </c>
      <c r="AN96" s="5">
        <f>IF(AM96,$F96,"")</f>
        <v/>
      </c>
      <c r="AO96" s="5">
        <f>IF(AM96,AL96*correlation!$J$29,"")</f>
        <v/>
      </c>
      <c r="AP96" s="5">
        <f>IF(AND(AM96,ISNUMBER(correlation!$F$29)),AO96*correlation!$F$29+correlation!$G$29,"")</f>
        <v/>
      </c>
      <c r="AQ96" s="5">
        <f>IF(AND(AM96,ISNUMBER(AP96)),(AN96-AP96)^2,"")</f>
        <v/>
      </c>
      <c r="AR96" s="5">
        <f>IF(AM96,1+SUMPRODUCT(--(calc!$AM$3:$AM$132=TRUE),--(calc!$AN$3:$AN$132&gt;AN96))+(SUMPRODUCT(--(calc!$AM$3:$AM$132=TRUE),--(calc!$AN$3:$AN$132=AN96))-1)/2,"")</f>
        <v/>
      </c>
      <c r="AS96" s="5">
        <f>IF(AM96,1+SUMPRODUCT(--(calc!$AM$3:$AM$132=TRUE),--(calc!$AO$3:$AO$132&gt;AO96))+(SUMPRODUCT(--(calc!$AM$3:$AM$132=TRUE),--(calc!$AO$3:$AO$132=AO96))-1)/2,"")</f>
        <v/>
      </c>
      <c r="AT96" s="5">
        <f>IF(AM96,SUMPRODUCT(--(calc!$AM$3:$AM$132=TRUE),--(ROW(calc!$AM$3:$AM$132)&gt;ROW(AM96)),--(((calc!$AR$3:$AR$132&gt;AR96)*(calc!$AS$3:$AS$132&gt;AS96)+(calc!$AR$3:$AR$132&lt;AR96)*(calc!$AS$3:$AS$132&lt;AS96))&gt;0))-SUMPRODUCT(--(calc!$AM$3:$AM$132=TRUE),--(ROW(calc!$AM$3:$AM$132)&gt;ROW(AM96)),--(((calc!$AR$3:$AR$132&gt;AR96)*(calc!$AS$3:$AS$132&lt;AS96)+(calc!$AR$3:$AR$132&lt;AR96)*(calc!$AS$3:$AS$132&gt;AS96))&gt;0)),0)</f>
        <v/>
      </c>
      <c r="AU96" s="5">
        <f>IF(mos_metrics!K95="","",mos_metrics!K95)</f>
        <v/>
      </c>
      <c r="AV96" s="2">
        <f>AND($J96,ISNUMBER(AU96),correlation!$I$30=1)</f>
        <v/>
      </c>
      <c r="AW96" s="5">
        <f>IF(AV96,$F96,"")</f>
        <v/>
      </c>
      <c r="AX96" s="5">
        <f>IF(AV96,AU96*correlation!$J$30,"")</f>
        <v/>
      </c>
      <c r="AY96" s="5">
        <f>IF(AND(AV96,ISNUMBER(correlation!$F$30)),AX96*correlation!$F$30+correlation!$G$30,"")</f>
        <v/>
      </c>
      <c r="AZ96" s="5">
        <f>IF(AND(AV96,ISNUMBER(AY96)),(AW96-AY96)^2,"")</f>
        <v/>
      </c>
      <c r="BA96" s="5">
        <f>IF(AV96,1+SUMPRODUCT(--(calc!$AV$3:$AV$132=TRUE),--(calc!$AW$3:$AW$132&gt;AW96))+(SUMPRODUCT(--(calc!$AV$3:$AV$132=TRUE),--(calc!$AW$3:$AW$132=AW96))-1)/2,"")</f>
        <v/>
      </c>
      <c r="BB96" s="5">
        <f>IF(AV96,1+SUMPRODUCT(--(calc!$AV$3:$AV$132=TRUE),--(calc!$AX$3:$AX$132&gt;AX96))+(SUMPRODUCT(--(calc!$AV$3:$AV$132=TRUE),--(calc!$AX$3:$AX$132=AX96))-1)/2,"")</f>
        <v/>
      </c>
      <c r="BC96" s="5">
        <f>IF(AV96,SUMPRODUCT(--(calc!$AV$3:$AV$132=TRUE),--(ROW(calc!$AV$3:$AV$132)&gt;ROW(AV96)),--(((calc!$BA$3:$BA$132&gt;BA96)*(calc!$BB$3:$BB$132&gt;BB96)+(calc!$BA$3:$BA$132&lt;BA96)*(calc!$BB$3:$BB$132&lt;BB96))&gt;0))-SUMPRODUCT(--(calc!$AV$3:$AV$132=TRUE),--(ROW(calc!$AV$3:$AV$132)&gt;ROW(AV96)),--(((calc!$BA$3:$BA$132&gt;BA96)*(calc!$BB$3:$BB$132&lt;BB96)+(calc!$BA$3:$BA$132&lt;BA96)*(calc!$BB$3:$BB$132&gt;BB96))&gt;0)),0)</f>
        <v/>
      </c>
      <c r="BD96" s="5">
        <f>IF(mos_metrics!L95="","",mos_metrics!L95)</f>
        <v/>
      </c>
      <c r="BE96" s="2">
        <f>AND($J96,ISNUMBER(BD96),correlation!$I$31=1)</f>
        <v/>
      </c>
      <c r="BF96" s="5">
        <f>IF(BE96,$F96,"")</f>
        <v/>
      </c>
      <c r="BG96" s="5">
        <f>IF(BE96,BD96*correlation!$J$31,"")</f>
        <v/>
      </c>
      <c r="BH96" s="5">
        <f>IF(AND(BE96,ISNUMBER(correlation!$F$31)),BG96*correlation!$F$31+correlation!$G$31,"")</f>
        <v/>
      </c>
      <c r="BI96" s="5">
        <f>IF(AND(BE96,ISNUMBER(BH96)),(BF96-BH96)^2,"")</f>
        <v/>
      </c>
      <c r="BJ96" s="5">
        <f>IF(BE96,1+SUMPRODUCT(--(calc!$BE$3:$BE$132=TRUE),--(calc!$BF$3:$BF$132&gt;BF96))+(SUMPRODUCT(--(calc!$BE$3:$BE$132=TRUE),--(calc!$BF$3:$BF$132=BF96))-1)/2,"")</f>
        <v/>
      </c>
      <c r="BK96" s="5">
        <f>IF(BE96,1+SUMPRODUCT(--(calc!$BE$3:$BE$132=TRUE),--(calc!$BG$3:$BG$132&gt;BG96))+(SUMPRODUCT(--(calc!$BE$3:$BE$132=TRUE),--(calc!$BG$3:$BG$132=BG96))-1)/2,"")</f>
        <v/>
      </c>
      <c r="BL96" s="5">
        <f>IF(BE96,SUMPRODUCT(--(calc!$BE$3:$BE$132=TRUE),--(ROW(calc!$BE$3:$BE$132)&gt;ROW(BE96)),--(((calc!$BJ$3:$BJ$132&gt;BJ96)*(calc!$BK$3:$BK$132&gt;BK96)+(calc!$BJ$3:$BJ$132&lt;BJ96)*(calc!$BK$3:$BK$132&lt;BK96))&gt;0))-SUMPRODUCT(--(calc!$BE$3:$BE$132=TRUE),--(ROW(calc!$BE$3:$BE$132)&gt;ROW(BE96)),--(((calc!$BJ$3:$BJ$132&gt;BJ96)*(calc!$BK$3:$BK$132&lt;BK96)+(calc!$BJ$3:$BJ$132&lt;BJ96)*(calc!$BK$3:$BK$132&gt;BK96))&gt;0)),0)</f>
        <v/>
      </c>
      <c r="BM96" s="5">
        <f>IF(mos_metrics!M95="","",mos_metrics!M95)</f>
        <v/>
      </c>
      <c r="BN96" s="2">
        <f>AND($J96,ISNUMBER(BM96),correlation!$I$32=1)</f>
        <v/>
      </c>
      <c r="BO96" s="5">
        <f>IF(BN96,$F96,"")</f>
        <v/>
      </c>
      <c r="BP96" s="5">
        <f>IF(BN96,BM96*correlation!$J$32,"")</f>
        <v/>
      </c>
      <c r="BQ96" s="5">
        <f>IF(AND(BN96,ISNUMBER(correlation!$F$32)),BP96*correlation!$F$32+correlation!$G$32,"")</f>
        <v/>
      </c>
      <c r="BR96" s="5">
        <f>IF(AND(BN96,ISNUMBER(BQ96)),(BO96-BQ96)^2,"")</f>
        <v/>
      </c>
      <c r="BS96" s="5">
        <f>IF(BN96,1+SUMPRODUCT(--(calc!$BN$3:$BN$132=TRUE),--(calc!$BO$3:$BO$132&gt;BO96))+(SUMPRODUCT(--(calc!$BN$3:$BN$132=TRUE),--(calc!$BO$3:$BO$132=BO96))-1)/2,"")</f>
        <v/>
      </c>
      <c r="BT96" s="5">
        <f>IF(BN96,1+SUMPRODUCT(--(calc!$BN$3:$BN$132=TRUE),--(calc!$BP$3:$BP$132&gt;BP96))+(SUMPRODUCT(--(calc!$BN$3:$BN$132=TRUE),--(calc!$BP$3:$BP$132=BP96))-1)/2,"")</f>
        <v/>
      </c>
      <c r="BU96" s="5">
        <f>IF(BN96,SUMPRODUCT(--(calc!$BN$3:$BN$132=TRUE),--(ROW(calc!$BN$3:$BN$132)&gt;ROW(BN96)),--(((calc!$BS$3:$BS$132&gt;BS96)*(calc!$BT$3:$BT$132&gt;BT96)+(calc!$BS$3:$BS$132&lt;BS96)*(calc!$BT$3:$BT$132&lt;BT96))&gt;0))-SUMPRODUCT(--(calc!$BN$3:$BN$132=TRUE),--(ROW(calc!$BN$3:$BN$132)&gt;ROW(BN96)),--(((calc!$BS$3:$BS$132&gt;BS96)*(calc!$BT$3:$BT$132&lt;BT96)+(calc!$BS$3:$BS$132&lt;BS96)*(calc!$BT$3:$BT$132&gt;BT96))&gt;0)),0)</f>
        <v/>
      </c>
    </row>
    <row r="97">
      <c r="A97" s="2">
        <f>mos_metrics!A96</f>
        <v/>
      </c>
      <c r="B97" s="2">
        <f>mos_metrics!B96</f>
        <v/>
      </c>
      <c r="C97" s="2">
        <f>mos_metrics!C96</f>
        <v/>
      </c>
      <c r="D97" s="2">
        <f>mos_metrics!D96</f>
        <v/>
      </c>
      <c r="E97" s="2">
        <f>mos_metrics!E96</f>
        <v/>
      </c>
      <c r="F97" s="2">
        <f>mos_metrics!F96</f>
        <v/>
      </c>
      <c r="G97" s="2">
        <f>IF($B97="","",IFERROR(VLOOKUP($B97,correlation!$A$2:$B$12,2,FALSE),1))</f>
        <v/>
      </c>
      <c r="H97" s="2">
        <f>IF($E97="","",IFERROR(VLOOKUP($E97,correlation!$D$2:$E$8,2,FALSE),1))</f>
        <v/>
      </c>
      <c r="I97" s="2">
        <f>ISNUMBER($F97)</f>
        <v/>
      </c>
      <c r="J97" s="2">
        <f>AND($G97=1,$H97=1,$I97)</f>
        <v/>
      </c>
      <c r="K97" s="5">
        <f>IF(mos_metrics!G96="","",mos_metrics!G96)</f>
        <v/>
      </c>
      <c r="L97" s="2">
        <f>AND($J97,ISNUMBER(K97),correlation!$I$26=1)</f>
        <v/>
      </c>
      <c r="M97" s="5">
        <f>IF(L97,$F97,"")</f>
        <v/>
      </c>
      <c r="N97" s="5">
        <f>IF(L97,K97*correlation!$J$26,"")</f>
        <v/>
      </c>
      <c r="O97" s="5">
        <f>IF(AND(L97,ISNUMBER(correlation!$F$26)),N97*correlation!$F$26+correlation!$G$26,"")</f>
        <v/>
      </c>
      <c r="P97" s="5">
        <f>IF(AND(L97,ISNUMBER(O97)),(M97-O97)^2,"")</f>
        <v/>
      </c>
      <c r="Q97" s="5">
        <f>IF(L97,1+SUMPRODUCT(--(calc!$L$3:$L$132=TRUE),--(calc!$M$3:$M$132&gt;M97))+(SUMPRODUCT(--(calc!$L$3:$L$132=TRUE),--(calc!$M$3:$M$132=M97))-1)/2,"")</f>
        <v/>
      </c>
      <c r="R97" s="5">
        <f>IF(L97,1+SUMPRODUCT(--(calc!$L$3:$L$132=TRUE),--(calc!$N$3:$N$132&gt;N97))+(SUMPRODUCT(--(calc!$L$3:$L$132=TRUE),--(calc!$N$3:$N$132=N97))-1)/2,"")</f>
        <v/>
      </c>
      <c r="S97" s="5">
        <f>IF(L97,SUMPRODUCT(--(calc!$L$3:$L$132=TRUE),--(ROW(calc!$L$3:$L$132)&gt;ROW(L97)),--(((calc!$Q$3:$Q$132&gt;Q97)*(calc!$R$3:$R$132&gt;R97)+(calc!$Q$3:$Q$132&lt;Q97)*(calc!$R$3:$R$132&lt;R97))&gt;0))-SUMPRODUCT(--(calc!$L$3:$L$132=TRUE),--(ROW(calc!$L$3:$L$132)&gt;ROW(L97)),--(((calc!$Q$3:$Q$132&gt;Q97)*(calc!$R$3:$R$132&lt;R97)+(calc!$Q$3:$Q$132&lt;Q97)*(calc!$R$3:$R$132&gt;R97))&gt;0)),0)</f>
        <v/>
      </c>
      <c r="T97" s="5">
        <f>IF(mos_metrics!H96="","",mos_metrics!H96)</f>
        <v/>
      </c>
      <c r="U97" s="2">
        <f>AND($J97,ISNUMBER(T97),correlation!$I$27=1)</f>
        <v/>
      </c>
      <c r="V97" s="5">
        <f>IF(U97,$F97,"")</f>
        <v/>
      </c>
      <c r="W97" s="5">
        <f>IF(U97,T97*correlation!$J$27,"")</f>
        <v/>
      </c>
      <c r="X97" s="5">
        <f>IF(AND(U97,ISNUMBER(correlation!$F$27)),W97*correlation!$F$27+correlation!$G$27,"")</f>
        <v/>
      </c>
      <c r="Y97" s="5">
        <f>IF(AND(U97,ISNUMBER(X97)),(V97-X97)^2,"")</f>
        <v/>
      </c>
      <c r="Z97" s="5">
        <f>IF(U97,1+SUMPRODUCT(--(calc!$U$3:$U$132=TRUE),--(calc!$V$3:$V$132&gt;V97))+(SUMPRODUCT(--(calc!$U$3:$U$132=TRUE),--(calc!$V$3:$V$132=V97))-1)/2,"")</f>
        <v/>
      </c>
      <c r="AA97" s="5">
        <f>IF(U97,1+SUMPRODUCT(--(calc!$U$3:$U$132=TRUE),--(calc!$W$3:$W$132&gt;W97))+(SUMPRODUCT(--(calc!$U$3:$U$132=TRUE),--(calc!$W$3:$W$132=W97))-1)/2,"")</f>
        <v/>
      </c>
      <c r="AB97" s="5">
        <f>IF(U97,SUMPRODUCT(--(calc!$U$3:$U$132=TRUE),--(ROW(calc!$U$3:$U$132)&gt;ROW(U97)),--(((calc!$Z$3:$Z$132&gt;Z97)*(calc!$AA$3:$AA$132&gt;AA97)+(calc!$Z$3:$Z$132&lt;Z97)*(calc!$AA$3:$AA$132&lt;AA97))&gt;0))-SUMPRODUCT(--(calc!$U$3:$U$132=TRUE),--(ROW(calc!$U$3:$U$132)&gt;ROW(U97)),--(((calc!$Z$3:$Z$132&gt;Z97)*(calc!$AA$3:$AA$132&lt;AA97)+(calc!$Z$3:$Z$132&lt;Z97)*(calc!$AA$3:$AA$132&gt;AA97))&gt;0)),0)</f>
        <v/>
      </c>
      <c r="AC97" s="5">
        <f>IF(mos_metrics!I96="","",mos_metrics!I96)</f>
        <v/>
      </c>
      <c r="AD97" s="2">
        <f>AND($J97,ISNUMBER(AC97),correlation!$I$28=1)</f>
        <v/>
      </c>
      <c r="AE97" s="5">
        <f>IF(AD97,$F97,"")</f>
        <v/>
      </c>
      <c r="AF97" s="5">
        <f>IF(AD97,AC97*correlation!$J$28,"")</f>
        <v/>
      </c>
      <c r="AG97" s="5">
        <f>IF(AND(AD97,ISNUMBER(correlation!$F$28)),AF97*correlation!$F$28+correlation!$G$28,"")</f>
        <v/>
      </c>
      <c r="AH97" s="5">
        <f>IF(AND(AD97,ISNUMBER(AG97)),(AE97-AG97)^2,"")</f>
        <v/>
      </c>
      <c r="AI97" s="5">
        <f>IF(AD97,1+SUMPRODUCT(--(calc!$AD$3:$AD$132=TRUE),--(calc!$AE$3:$AE$132&gt;AE97))+(SUMPRODUCT(--(calc!$AD$3:$AD$132=TRUE),--(calc!$AE$3:$AE$132=AE97))-1)/2,"")</f>
        <v/>
      </c>
      <c r="AJ97" s="5">
        <f>IF(AD97,1+SUMPRODUCT(--(calc!$AD$3:$AD$132=TRUE),--(calc!$AF$3:$AF$132&gt;AF97))+(SUMPRODUCT(--(calc!$AD$3:$AD$132=TRUE),--(calc!$AF$3:$AF$132=AF97))-1)/2,"")</f>
        <v/>
      </c>
      <c r="AK97" s="5">
        <f>IF(AD97,SUMPRODUCT(--(calc!$AD$3:$AD$132=TRUE),--(ROW(calc!$AD$3:$AD$132)&gt;ROW(AD97)),--(((calc!$AI$3:$AI$132&gt;AI97)*(calc!$AJ$3:$AJ$132&gt;AJ97)+(calc!$AI$3:$AI$132&lt;AI97)*(calc!$AJ$3:$AJ$132&lt;AJ97))&gt;0))-SUMPRODUCT(--(calc!$AD$3:$AD$132=TRUE),--(ROW(calc!$AD$3:$AD$132)&gt;ROW(AD97)),--(((calc!$AI$3:$AI$132&gt;AI97)*(calc!$AJ$3:$AJ$132&lt;AJ97)+(calc!$AI$3:$AI$132&lt;AI97)*(calc!$AJ$3:$AJ$132&gt;AJ97))&gt;0)),0)</f>
        <v/>
      </c>
      <c r="AL97" s="5">
        <f>IF(mos_metrics!J96="","",mos_metrics!J96)</f>
        <v/>
      </c>
      <c r="AM97" s="2">
        <f>AND($J97,ISNUMBER(AL97),correlation!$I$29=1)</f>
        <v/>
      </c>
      <c r="AN97" s="5">
        <f>IF(AM97,$F97,"")</f>
        <v/>
      </c>
      <c r="AO97" s="5">
        <f>IF(AM97,AL97*correlation!$J$29,"")</f>
        <v/>
      </c>
      <c r="AP97" s="5">
        <f>IF(AND(AM97,ISNUMBER(correlation!$F$29)),AO97*correlation!$F$29+correlation!$G$29,"")</f>
        <v/>
      </c>
      <c r="AQ97" s="5">
        <f>IF(AND(AM97,ISNUMBER(AP97)),(AN97-AP97)^2,"")</f>
        <v/>
      </c>
      <c r="AR97" s="5">
        <f>IF(AM97,1+SUMPRODUCT(--(calc!$AM$3:$AM$132=TRUE),--(calc!$AN$3:$AN$132&gt;AN97))+(SUMPRODUCT(--(calc!$AM$3:$AM$132=TRUE),--(calc!$AN$3:$AN$132=AN97))-1)/2,"")</f>
        <v/>
      </c>
      <c r="AS97" s="5">
        <f>IF(AM97,1+SUMPRODUCT(--(calc!$AM$3:$AM$132=TRUE),--(calc!$AO$3:$AO$132&gt;AO97))+(SUMPRODUCT(--(calc!$AM$3:$AM$132=TRUE),--(calc!$AO$3:$AO$132=AO97))-1)/2,"")</f>
        <v/>
      </c>
      <c r="AT97" s="5">
        <f>IF(AM97,SUMPRODUCT(--(calc!$AM$3:$AM$132=TRUE),--(ROW(calc!$AM$3:$AM$132)&gt;ROW(AM97)),--(((calc!$AR$3:$AR$132&gt;AR97)*(calc!$AS$3:$AS$132&gt;AS97)+(calc!$AR$3:$AR$132&lt;AR97)*(calc!$AS$3:$AS$132&lt;AS97))&gt;0))-SUMPRODUCT(--(calc!$AM$3:$AM$132=TRUE),--(ROW(calc!$AM$3:$AM$132)&gt;ROW(AM97)),--(((calc!$AR$3:$AR$132&gt;AR97)*(calc!$AS$3:$AS$132&lt;AS97)+(calc!$AR$3:$AR$132&lt;AR97)*(calc!$AS$3:$AS$132&gt;AS97))&gt;0)),0)</f>
        <v/>
      </c>
      <c r="AU97" s="5">
        <f>IF(mos_metrics!K96="","",mos_metrics!K96)</f>
        <v/>
      </c>
      <c r="AV97" s="2">
        <f>AND($J97,ISNUMBER(AU97),correlation!$I$30=1)</f>
        <v/>
      </c>
      <c r="AW97" s="5">
        <f>IF(AV97,$F97,"")</f>
        <v/>
      </c>
      <c r="AX97" s="5">
        <f>IF(AV97,AU97*correlation!$J$30,"")</f>
        <v/>
      </c>
      <c r="AY97" s="5">
        <f>IF(AND(AV97,ISNUMBER(correlation!$F$30)),AX97*correlation!$F$30+correlation!$G$30,"")</f>
        <v/>
      </c>
      <c r="AZ97" s="5">
        <f>IF(AND(AV97,ISNUMBER(AY97)),(AW97-AY97)^2,"")</f>
        <v/>
      </c>
      <c r="BA97" s="5">
        <f>IF(AV97,1+SUMPRODUCT(--(calc!$AV$3:$AV$132=TRUE),--(calc!$AW$3:$AW$132&gt;AW97))+(SUMPRODUCT(--(calc!$AV$3:$AV$132=TRUE),--(calc!$AW$3:$AW$132=AW97))-1)/2,"")</f>
        <v/>
      </c>
      <c r="BB97" s="5">
        <f>IF(AV97,1+SUMPRODUCT(--(calc!$AV$3:$AV$132=TRUE),--(calc!$AX$3:$AX$132&gt;AX97))+(SUMPRODUCT(--(calc!$AV$3:$AV$132=TRUE),--(calc!$AX$3:$AX$132=AX97))-1)/2,"")</f>
        <v/>
      </c>
      <c r="BC97" s="5">
        <f>IF(AV97,SUMPRODUCT(--(calc!$AV$3:$AV$132=TRUE),--(ROW(calc!$AV$3:$AV$132)&gt;ROW(AV97)),--(((calc!$BA$3:$BA$132&gt;BA97)*(calc!$BB$3:$BB$132&gt;BB97)+(calc!$BA$3:$BA$132&lt;BA97)*(calc!$BB$3:$BB$132&lt;BB97))&gt;0))-SUMPRODUCT(--(calc!$AV$3:$AV$132=TRUE),--(ROW(calc!$AV$3:$AV$132)&gt;ROW(AV97)),--(((calc!$BA$3:$BA$132&gt;BA97)*(calc!$BB$3:$BB$132&lt;BB97)+(calc!$BA$3:$BA$132&lt;BA97)*(calc!$BB$3:$BB$132&gt;BB97))&gt;0)),0)</f>
        <v/>
      </c>
      <c r="BD97" s="5">
        <f>IF(mos_metrics!L96="","",mos_metrics!L96)</f>
        <v/>
      </c>
      <c r="BE97" s="2">
        <f>AND($J97,ISNUMBER(BD97),correlation!$I$31=1)</f>
        <v/>
      </c>
      <c r="BF97" s="5">
        <f>IF(BE97,$F97,"")</f>
        <v/>
      </c>
      <c r="BG97" s="5">
        <f>IF(BE97,BD97*correlation!$J$31,"")</f>
        <v/>
      </c>
      <c r="BH97" s="5">
        <f>IF(AND(BE97,ISNUMBER(correlation!$F$31)),BG97*correlation!$F$31+correlation!$G$31,"")</f>
        <v/>
      </c>
      <c r="BI97" s="5">
        <f>IF(AND(BE97,ISNUMBER(BH97)),(BF97-BH97)^2,"")</f>
        <v/>
      </c>
      <c r="BJ97" s="5">
        <f>IF(BE97,1+SUMPRODUCT(--(calc!$BE$3:$BE$132=TRUE),--(calc!$BF$3:$BF$132&gt;BF97))+(SUMPRODUCT(--(calc!$BE$3:$BE$132=TRUE),--(calc!$BF$3:$BF$132=BF97))-1)/2,"")</f>
        <v/>
      </c>
      <c r="BK97" s="5">
        <f>IF(BE97,1+SUMPRODUCT(--(calc!$BE$3:$BE$132=TRUE),--(calc!$BG$3:$BG$132&gt;BG97))+(SUMPRODUCT(--(calc!$BE$3:$BE$132=TRUE),--(calc!$BG$3:$BG$132=BG97))-1)/2,"")</f>
        <v/>
      </c>
      <c r="BL97" s="5">
        <f>IF(BE97,SUMPRODUCT(--(calc!$BE$3:$BE$132=TRUE),--(ROW(calc!$BE$3:$BE$132)&gt;ROW(BE97)),--(((calc!$BJ$3:$BJ$132&gt;BJ97)*(calc!$BK$3:$BK$132&gt;BK97)+(calc!$BJ$3:$BJ$132&lt;BJ97)*(calc!$BK$3:$BK$132&lt;BK97))&gt;0))-SUMPRODUCT(--(calc!$BE$3:$BE$132=TRUE),--(ROW(calc!$BE$3:$BE$132)&gt;ROW(BE97)),--(((calc!$BJ$3:$BJ$132&gt;BJ97)*(calc!$BK$3:$BK$132&lt;BK97)+(calc!$BJ$3:$BJ$132&lt;BJ97)*(calc!$BK$3:$BK$132&gt;BK97))&gt;0)),0)</f>
        <v/>
      </c>
      <c r="BM97" s="5">
        <f>IF(mos_metrics!M96="","",mos_metrics!M96)</f>
        <v/>
      </c>
      <c r="BN97" s="2">
        <f>AND($J97,ISNUMBER(BM97),correlation!$I$32=1)</f>
        <v/>
      </c>
      <c r="BO97" s="5">
        <f>IF(BN97,$F97,"")</f>
        <v/>
      </c>
      <c r="BP97" s="5">
        <f>IF(BN97,BM97*correlation!$J$32,"")</f>
        <v/>
      </c>
      <c r="BQ97" s="5">
        <f>IF(AND(BN97,ISNUMBER(correlation!$F$32)),BP97*correlation!$F$32+correlation!$G$32,"")</f>
        <v/>
      </c>
      <c r="BR97" s="5">
        <f>IF(AND(BN97,ISNUMBER(BQ97)),(BO97-BQ97)^2,"")</f>
        <v/>
      </c>
      <c r="BS97" s="5">
        <f>IF(BN97,1+SUMPRODUCT(--(calc!$BN$3:$BN$132=TRUE),--(calc!$BO$3:$BO$132&gt;BO97))+(SUMPRODUCT(--(calc!$BN$3:$BN$132=TRUE),--(calc!$BO$3:$BO$132=BO97))-1)/2,"")</f>
        <v/>
      </c>
      <c r="BT97" s="5">
        <f>IF(BN97,1+SUMPRODUCT(--(calc!$BN$3:$BN$132=TRUE),--(calc!$BP$3:$BP$132&gt;BP97))+(SUMPRODUCT(--(calc!$BN$3:$BN$132=TRUE),--(calc!$BP$3:$BP$132=BP97))-1)/2,"")</f>
        <v/>
      </c>
      <c r="BU97" s="5">
        <f>IF(BN97,SUMPRODUCT(--(calc!$BN$3:$BN$132=TRUE),--(ROW(calc!$BN$3:$BN$132)&gt;ROW(BN97)),--(((calc!$BS$3:$BS$132&gt;BS97)*(calc!$BT$3:$BT$132&gt;BT97)+(calc!$BS$3:$BS$132&lt;BS97)*(calc!$BT$3:$BT$132&lt;BT97))&gt;0))-SUMPRODUCT(--(calc!$BN$3:$BN$132=TRUE),--(ROW(calc!$BN$3:$BN$132)&gt;ROW(BN97)),--(((calc!$BS$3:$BS$132&gt;BS97)*(calc!$BT$3:$BT$132&lt;BT97)+(calc!$BS$3:$BS$132&lt;BS97)*(calc!$BT$3:$BT$132&gt;BT97))&gt;0)),0)</f>
        <v/>
      </c>
    </row>
    <row r="98">
      <c r="A98" s="2">
        <f>mos_metrics!A97</f>
        <v/>
      </c>
      <c r="B98" s="2">
        <f>mos_metrics!B97</f>
        <v/>
      </c>
      <c r="C98" s="2">
        <f>mos_metrics!C97</f>
        <v/>
      </c>
      <c r="D98" s="2">
        <f>mos_metrics!D97</f>
        <v/>
      </c>
      <c r="E98" s="2">
        <f>mos_metrics!E97</f>
        <v/>
      </c>
      <c r="F98" s="2">
        <f>mos_metrics!F97</f>
        <v/>
      </c>
      <c r="G98" s="2">
        <f>IF($B98="","",IFERROR(VLOOKUP($B98,correlation!$A$2:$B$12,2,FALSE),1))</f>
        <v/>
      </c>
      <c r="H98" s="2">
        <f>IF($E98="","",IFERROR(VLOOKUP($E98,correlation!$D$2:$E$8,2,FALSE),1))</f>
        <v/>
      </c>
      <c r="I98" s="2">
        <f>ISNUMBER($F98)</f>
        <v/>
      </c>
      <c r="J98" s="2">
        <f>AND($G98=1,$H98=1,$I98)</f>
        <v/>
      </c>
      <c r="K98" s="5">
        <f>IF(mos_metrics!G97="","",mos_metrics!G97)</f>
        <v/>
      </c>
      <c r="L98" s="2">
        <f>AND($J98,ISNUMBER(K98),correlation!$I$26=1)</f>
        <v/>
      </c>
      <c r="M98" s="5">
        <f>IF(L98,$F98,"")</f>
        <v/>
      </c>
      <c r="N98" s="5">
        <f>IF(L98,K98*correlation!$J$26,"")</f>
        <v/>
      </c>
      <c r="O98" s="5">
        <f>IF(AND(L98,ISNUMBER(correlation!$F$26)),N98*correlation!$F$26+correlation!$G$26,"")</f>
        <v/>
      </c>
      <c r="P98" s="5">
        <f>IF(AND(L98,ISNUMBER(O98)),(M98-O98)^2,"")</f>
        <v/>
      </c>
      <c r="Q98" s="5">
        <f>IF(L98,1+SUMPRODUCT(--(calc!$L$3:$L$132=TRUE),--(calc!$M$3:$M$132&gt;M98))+(SUMPRODUCT(--(calc!$L$3:$L$132=TRUE),--(calc!$M$3:$M$132=M98))-1)/2,"")</f>
        <v/>
      </c>
      <c r="R98" s="5">
        <f>IF(L98,1+SUMPRODUCT(--(calc!$L$3:$L$132=TRUE),--(calc!$N$3:$N$132&gt;N98))+(SUMPRODUCT(--(calc!$L$3:$L$132=TRUE),--(calc!$N$3:$N$132=N98))-1)/2,"")</f>
        <v/>
      </c>
      <c r="S98" s="5">
        <f>IF(L98,SUMPRODUCT(--(calc!$L$3:$L$132=TRUE),--(ROW(calc!$L$3:$L$132)&gt;ROW(L98)),--(((calc!$Q$3:$Q$132&gt;Q98)*(calc!$R$3:$R$132&gt;R98)+(calc!$Q$3:$Q$132&lt;Q98)*(calc!$R$3:$R$132&lt;R98))&gt;0))-SUMPRODUCT(--(calc!$L$3:$L$132=TRUE),--(ROW(calc!$L$3:$L$132)&gt;ROW(L98)),--(((calc!$Q$3:$Q$132&gt;Q98)*(calc!$R$3:$R$132&lt;R98)+(calc!$Q$3:$Q$132&lt;Q98)*(calc!$R$3:$R$132&gt;R98))&gt;0)),0)</f>
        <v/>
      </c>
      <c r="T98" s="5">
        <f>IF(mos_metrics!H97="","",mos_metrics!H97)</f>
        <v/>
      </c>
      <c r="U98" s="2">
        <f>AND($J98,ISNUMBER(T98),correlation!$I$27=1)</f>
        <v/>
      </c>
      <c r="V98" s="5">
        <f>IF(U98,$F98,"")</f>
        <v/>
      </c>
      <c r="W98" s="5">
        <f>IF(U98,T98*correlation!$J$27,"")</f>
        <v/>
      </c>
      <c r="X98" s="5">
        <f>IF(AND(U98,ISNUMBER(correlation!$F$27)),W98*correlation!$F$27+correlation!$G$27,"")</f>
        <v/>
      </c>
      <c r="Y98" s="5">
        <f>IF(AND(U98,ISNUMBER(X98)),(V98-X98)^2,"")</f>
        <v/>
      </c>
      <c r="Z98" s="5">
        <f>IF(U98,1+SUMPRODUCT(--(calc!$U$3:$U$132=TRUE),--(calc!$V$3:$V$132&gt;V98))+(SUMPRODUCT(--(calc!$U$3:$U$132=TRUE),--(calc!$V$3:$V$132=V98))-1)/2,"")</f>
        <v/>
      </c>
      <c r="AA98" s="5">
        <f>IF(U98,1+SUMPRODUCT(--(calc!$U$3:$U$132=TRUE),--(calc!$W$3:$W$132&gt;W98))+(SUMPRODUCT(--(calc!$U$3:$U$132=TRUE),--(calc!$W$3:$W$132=W98))-1)/2,"")</f>
        <v/>
      </c>
      <c r="AB98" s="5">
        <f>IF(U98,SUMPRODUCT(--(calc!$U$3:$U$132=TRUE),--(ROW(calc!$U$3:$U$132)&gt;ROW(U98)),--(((calc!$Z$3:$Z$132&gt;Z98)*(calc!$AA$3:$AA$132&gt;AA98)+(calc!$Z$3:$Z$132&lt;Z98)*(calc!$AA$3:$AA$132&lt;AA98))&gt;0))-SUMPRODUCT(--(calc!$U$3:$U$132=TRUE),--(ROW(calc!$U$3:$U$132)&gt;ROW(U98)),--(((calc!$Z$3:$Z$132&gt;Z98)*(calc!$AA$3:$AA$132&lt;AA98)+(calc!$Z$3:$Z$132&lt;Z98)*(calc!$AA$3:$AA$132&gt;AA98))&gt;0)),0)</f>
        <v/>
      </c>
      <c r="AC98" s="5">
        <f>IF(mos_metrics!I97="","",mos_metrics!I97)</f>
        <v/>
      </c>
      <c r="AD98" s="2">
        <f>AND($J98,ISNUMBER(AC98),correlation!$I$28=1)</f>
        <v/>
      </c>
      <c r="AE98" s="5">
        <f>IF(AD98,$F98,"")</f>
        <v/>
      </c>
      <c r="AF98" s="5">
        <f>IF(AD98,AC98*correlation!$J$28,"")</f>
        <v/>
      </c>
      <c r="AG98" s="5">
        <f>IF(AND(AD98,ISNUMBER(correlation!$F$28)),AF98*correlation!$F$28+correlation!$G$28,"")</f>
        <v/>
      </c>
      <c r="AH98" s="5">
        <f>IF(AND(AD98,ISNUMBER(AG98)),(AE98-AG98)^2,"")</f>
        <v/>
      </c>
      <c r="AI98" s="5">
        <f>IF(AD98,1+SUMPRODUCT(--(calc!$AD$3:$AD$132=TRUE),--(calc!$AE$3:$AE$132&gt;AE98))+(SUMPRODUCT(--(calc!$AD$3:$AD$132=TRUE),--(calc!$AE$3:$AE$132=AE98))-1)/2,"")</f>
        <v/>
      </c>
      <c r="AJ98" s="5">
        <f>IF(AD98,1+SUMPRODUCT(--(calc!$AD$3:$AD$132=TRUE),--(calc!$AF$3:$AF$132&gt;AF98))+(SUMPRODUCT(--(calc!$AD$3:$AD$132=TRUE),--(calc!$AF$3:$AF$132=AF98))-1)/2,"")</f>
        <v/>
      </c>
      <c r="AK98" s="5">
        <f>IF(AD98,SUMPRODUCT(--(calc!$AD$3:$AD$132=TRUE),--(ROW(calc!$AD$3:$AD$132)&gt;ROW(AD98)),--(((calc!$AI$3:$AI$132&gt;AI98)*(calc!$AJ$3:$AJ$132&gt;AJ98)+(calc!$AI$3:$AI$132&lt;AI98)*(calc!$AJ$3:$AJ$132&lt;AJ98))&gt;0))-SUMPRODUCT(--(calc!$AD$3:$AD$132=TRUE),--(ROW(calc!$AD$3:$AD$132)&gt;ROW(AD98)),--(((calc!$AI$3:$AI$132&gt;AI98)*(calc!$AJ$3:$AJ$132&lt;AJ98)+(calc!$AI$3:$AI$132&lt;AI98)*(calc!$AJ$3:$AJ$132&gt;AJ98))&gt;0)),0)</f>
        <v/>
      </c>
      <c r="AL98" s="5">
        <f>IF(mos_metrics!J97="","",mos_metrics!J97)</f>
        <v/>
      </c>
      <c r="AM98" s="2">
        <f>AND($J98,ISNUMBER(AL98),correlation!$I$29=1)</f>
        <v/>
      </c>
      <c r="AN98" s="5">
        <f>IF(AM98,$F98,"")</f>
        <v/>
      </c>
      <c r="AO98" s="5">
        <f>IF(AM98,AL98*correlation!$J$29,"")</f>
        <v/>
      </c>
      <c r="AP98" s="5">
        <f>IF(AND(AM98,ISNUMBER(correlation!$F$29)),AO98*correlation!$F$29+correlation!$G$29,"")</f>
        <v/>
      </c>
      <c r="AQ98" s="5">
        <f>IF(AND(AM98,ISNUMBER(AP98)),(AN98-AP98)^2,"")</f>
        <v/>
      </c>
      <c r="AR98" s="5">
        <f>IF(AM98,1+SUMPRODUCT(--(calc!$AM$3:$AM$132=TRUE),--(calc!$AN$3:$AN$132&gt;AN98))+(SUMPRODUCT(--(calc!$AM$3:$AM$132=TRUE),--(calc!$AN$3:$AN$132=AN98))-1)/2,"")</f>
        <v/>
      </c>
      <c r="AS98" s="5">
        <f>IF(AM98,1+SUMPRODUCT(--(calc!$AM$3:$AM$132=TRUE),--(calc!$AO$3:$AO$132&gt;AO98))+(SUMPRODUCT(--(calc!$AM$3:$AM$132=TRUE),--(calc!$AO$3:$AO$132=AO98))-1)/2,"")</f>
        <v/>
      </c>
      <c r="AT98" s="5">
        <f>IF(AM98,SUMPRODUCT(--(calc!$AM$3:$AM$132=TRUE),--(ROW(calc!$AM$3:$AM$132)&gt;ROW(AM98)),--(((calc!$AR$3:$AR$132&gt;AR98)*(calc!$AS$3:$AS$132&gt;AS98)+(calc!$AR$3:$AR$132&lt;AR98)*(calc!$AS$3:$AS$132&lt;AS98))&gt;0))-SUMPRODUCT(--(calc!$AM$3:$AM$132=TRUE),--(ROW(calc!$AM$3:$AM$132)&gt;ROW(AM98)),--(((calc!$AR$3:$AR$132&gt;AR98)*(calc!$AS$3:$AS$132&lt;AS98)+(calc!$AR$3:$AR$132&lt;AR98)*(calc!$AS$3:$AS$132&gt;AS98))&gt;0)),0)</f>
        <v/>
      </c>
      <c r="AU98" s="5">
        <f>IF(mos_metrics!K97="","",mos_metrics!K97)</f>
        <v/>
      </c>
      <c r="AV98" s="2">
        <f>AND($J98,ISNUMBER(AU98),correlation!$I$30=1)</f>
        <v/>
      </c>
      <c r="AW98" s="5">
        <f>IF(AV98,$F98,"")</f>
        <v/>
      </c>
      <c r="AX98" s="5">
        <f>IF(AV98,AU98*correlation!$J$30,"")</f>
        <v/>
      </c>
      <c r="AY98" s="5">
        <f>IF(AND(AV98,ISNUMBER(correlation!$F$30)),AX98*correlation!$F$30+correlation!$G$30,"")</f>
        <v/>
      </c>
      <c r="AZ98" s="5">
        <f>IF(AND(AV98,ISNUMBER(AY98)),(AW98-AY98)^2,"")</f>
        <v/>
      </c>
      <c r="BA98" s="5">
        <f>IF(AV98,1+SUMPRODUCT(--(calc!$AV$3:$AV$132=TRUE),--(calc!$AW$3:$AW$132&gt;AW98))+(SUMPRODUCT(--(calc!$AV$3:$AV$132=TRUE),--(calc!$AW$3:$AW$132=AW98))-1)/2,"")</f>
        <v/>
      </c>
      <c r="BB98" s="5">
        <f>IF(AV98,1+SUMPRODUCT(--(calc!$AV$3:$AV$132=TRUE),--(calc!$AX$3:$AX$132&gt;AX98))+(SUMPRODUCT(--(calc!$AV$3:$AV$132=TRUE),--(calc!$AX$3:$AX$132=AX98))-1)/2,"")</f>
        <v/>
      </c>
      <c r="BC98" s="5">
        <f>IF(AV98,SUMPRODUCT(--(calc!$AV$3:$AV$132=TRUE),--(ROW(calc!$AV$3:$AV$132)&gt;ROW(AV98)),--(((calc!$BA$3:$BA$132&gt;BA98)*(calc!$BB$3:$BB$132&gt;BB98)+(calc!$BA$3:$BA$132&lt;BA98)*(calc!$BB$3:$BB$132&lt;BB98))&gt;0))-SUMPRODUCT(--(calc!$AV$3:$AV$132=TRUE),--(ROW(calc!$AV$3:$AV$132)&gt;ROW(AV98)),--(((calc!$BA$3:$BA$132&gt;BA98)*(calc!$BB$3:$BB$132&lt;BB98)+(calc!$BA$3:$BA$132&lt;BA98)*(calc!$BB$3:$BB$132&gt;BB98))&gt;0)),0)</f>
        <v/>
      </c>
      <c r="BD98" s="5">
        <f>IF(mos_metrics!L97="","",mos_metrics!L97)</f>
        <v/>
      </c>
      <c r="BE98" s="2">
        <f>AND($J98,ISNUMBER(BD98),correlation!$I$31=1)</f>
        <v/>
      </c>
      <c r="BF98" s="5">
        <f>IF(BE98,$F98,"")</f>
        <v/>
      </c>
      <c r="BG98" s="5">
        <f>IF(BE98,BD98*correlation!$J$31,"")</f>
        <v/>
      </c>
      <c r="BH98" s="5">
        <f>IF(AND(BE98,ISNUMBER(correlation!$F$31)),BG98*correlation!$F$31+correlation!$G$31,"")</f>
        <v/>
      </c>
      <c r="BI98" s="5">
        <f>IF(AND(BE98,ISNUMBER(BH98)),(BF98-BH98)^2,"")</f>
        <v/>
      </c>
      <c r="BJ98" s="5">
        <f>IF(BE98,1+SUMPRODUCT(--(calc!$BE$3:$BE$132=TRUE),--(calc!$BF$3:$BF$132&gt;BF98))+(SUMPRODUCT(--(calc!$BE$3:$BE$132=TRUE),--(calc!$BF$3:$BF$132=BF98))-1)/2,"")</f>
        <v/>
      </c>
      <c r="BK98" s="5">
        <f>IF(BE98,1+SUMPRODUCT(--(calc!$BE$3:$BE$132=TRUE),--(calc!$BG$3:$BG$132&gt;BG98))+(SUMPRODUCT(--(calc!$BE$3:$BE$132=TRUE),--(calc!$BG$3:$BG$132=BG98))-1)/2,"")</f>
        <v/>
      </c>
      <c r="BL98" s="5">
        <f>IF(BE98,SUMPRODUCT(--(calc!$BE$3:$BE$132=TRUE),--(ROW(calc!$BE$3:$BE$132)&gt;ROW(BE98)),--(((calc!$BJ$3:$BJ$132&gt;BJ98)*(calc!$BK$3:$BK$132&gt;BK98)+(calc!$BJ$3:$BJ$132&lt;BJ98)*(calc!$BK$3:$BK$132&lt;BK98))&gt;0))-SUMPRODUCT(--(calc!$BE$3:$BE$132=TRUE),--(ROW(calc!$BE$3:$BE$132)&gt;ROW(BE98)),--(((calc!$BJ$3:$BJ$132&gt;BJ98)*(calc!$BK$3:$BK$132&lt;BK98)+(calc!$BJ$3:$BJ$132&lt;BJ98)*(calc!$BK$3:$BK$132&gt;BK98))&gt;0)),0)</f>
        <v/>
      </c>
      <c r="BM98" s="5">
        <f>IF(mos_metrics!M97="","",mos_metrics!M97)</f>
        <v/>
      </c>
      <c r="BN98" s="2">
        <f>AND($J98,ISNUMBER(BM98),correlation!$I$32=1)</f>
        <v/>
      </c>
      <c r="BO98" s="5">
        <f>IF(BN98,$F98,"")</f>
        <v/>
      </c>
      <c r="BP98" s="5">
        <f>IF(BN98,BM98*correlation!$J$32,"")</f>
        <v/>
      </c>
      <c r="BQ98" s="5">
        <f>IF(AND(BN98,ISNUMBER(correlation!$F$32)),BP98*correlation!$F$32+correlation!$G$32,"")</f>
        <v/>
      </c>
      <c r="BR98" s="5">
        <f>IF(AND(BN98,ISNUMBER(BQ98)),(BO98-BQ98)^2,"")</f>
        <v/>
      </c>
      <c r="BS98" s="5">
        <f>IF(BN98,1+SUMPRODUCT(--(calc!$BN$3:$BN$132=TRUE),--(calc!$BO$3:$BO$132&gt;BO98))+(SUMPRODUCT(--(calc!$BN$3:$BN$132=TRUE),--(calc!$BO$3:$BO$132=BO98))-1)/2,"")</f>
        <v/>
      </c>
      <c r="BT98" s="5">
        <f>IF(BN98,1+SUMPRODUCT(--(calc!$BN$3:$BN$132=TRUE),--(calc!$BP$3:$BP$132&gt;BP98))+(SUMPRODUCT(--(calc!$BN$3:$BN$132=TRUE),--(calc!$BP$3:$BP$132=BP98))-1)/2,"")</f>
        <v/>
      </c>
      <c r="BU98" s="5">
        <f>IF(BN98,SUMPRODUCT(--(calc!$BN$3:$BN$132=TRUE),--(ROW(calc!$BN$3:$BN$132)&gt;ROW(BN98)),--(((calc!$BS$3:$BS$132&gt;BS98)*(calc!$BT$3:$BT$132&gt;BT98)+(calc!$BS$3:$BS$132&lt;BS98)*(calc!$BT$3:$BT$132&lt;BT98))&gt;0))-SUMPRODUCT(--(calc!$BN$3:$BN$132=TRUE),--(ROW(calc!$BN$3:$BN$132)&gt;ROW(BN98)),--(((calc!$BS$3:$BS$132&gt;BS98)*(calc!$BT$3:$BT$132&lt;BT98)+(calc!$BS$3:$BS$132&lt;BS98)*(calc!$BT$3:$BT$132&gt;BT98))&gt;0)),0)</f>
        <v/>
      </c>
    </row>
    <row r="99">
      <c r="A99" s="2">
        <f>mos_metrics!A98</f>
        <v/>
      </c>
      <c r="B99" s="2">
        <f>mos_metrics!B98</f>
        <v/>
      </c>
      <c r="C99" s="2">
        <f>mos_metrics!C98</f>
        <v/>
      </c>
      <c r="D99" s="2">
        <f>mos_metrics!D98</f>
        <v/>
      </c>
      <c r="E99" s="2">
        <f>mos_metrics!E98</f>
        <v/>
      </c>
      <c r="F99" s="2">
        <f>mos_metrics!F98</f>
        <v/>
      </c>
      <c r="G99" s="2">
        <f>IF($B99="","",IFERROR(VLOOKUP($B99,correlation!$A$2:$B$12,2,FALSE),1))</f>
        <v/>
      </c>
      <c r="H99" s="2">
        <f>IF($E99="","",IFERROR(VLOOKUP($E99,correlation!$D$2:$E$8,2,FALSE),1))</f>
        <v/>
      </c>
      <c r="I99" s="2">
        <f>ISNUMBER($F99)</f>
        <v/>
      </c>
      <c r="J99" s="2">
        <f>AND($G99=1,$H99=1,$I99)</f>
        <v/>
      </c>
      <c r="K99" s="5">
        <f>IF(mos_metrics!G98="","",mos_metrics!G98)</f>
        <v/>
      </c>
      <c r="L99" s="2">
        <f>AND($J99,ISNUMBER(K99),correlation!$I$26=1)</f>
        <v/>
      </c>
      <c r="M99" s="5">
        <f>IF(L99,$F99,"")</f>
        <v/>
      </c>
      <c r="N99" s="5">
        <f>IF(L99,K99*correlation!$J$26,"")</f>
        <v/>
      </c>
      <c r="O99" s="5">
        <f>IF(AND(L99,ISNUMBER(correlation!$F$26)),N99*correlation!$F$26+correlation!$G$26,"")</f>
        <v/>
      </c>
      <c r="P99" s="5">
        <f>IF(AND(L99,ISNUMBER(O99)),(M99-O99)^2,"")</f>
        <v/>
      </c>
      <c r="Q99" s="5">
        <f>IF(L99,1+SUMPRODUCT(--(calc!$L$3:$L$132=TRUE),--(calc!$M$3:$M$132&gt;M99))+(SUMPRODUCT(--(calc!$L$3:$L$132=TRUE),--(calc!$M$3:$M$132=M99))-1)/2,"")</f>
        <v/>
      </c>
      <c r="R99" s="5">
        <f>IF(L99,1+SUMPRODUCT(--(calc!$L$3:$L$132=TRUE),--(calc!$N$3:$N$132&gt;N99))+(SUMPRODUCT(--(calc!$L$3:$L$132=TRUE),--(calc!$N$3:$N$132=N99))-1)/2,"")</f>
        <v/>
      </c>
      <c r="S99" s="5">
        <f>IF(L99,SUMPRODUCT(--(calc!$L$3:$L$132=TRUE),--(ROW(calc!$L$3:$L$132)&gt;ROW(L99)),--(((calc!$Q$3:$Q$132&gt;Q99)*(calc!$R$3:$R$132&gt;R99)+(calc!$Q$3:$Q$132&lt;Q99)*(calc!$R$3:$R$132&lt;R99))&gt;0))-SUMPRODUCT(--(calc!$L$3:$L$132=TRUE),--(ROW(calc!$L$3:$L$132)&gt;ROW(L99)),--(((calc!$Q$3:$Q$132&gt;Q99)*(calc!$R$3:$R$132&lt;R99)+(calc!$Q$3:$Q$132&lt;Q99)*(calc!$R$3:$R$132&gt;R99))&gt;0)),0)</f>
        <v/>
      </c>
      <c r="T99" s="5">
        <f>IF(mos_metrics!H98="","",mos_metrics!H98)</f>
        <v/>
      </c>
      <c r="U99" s="2">
        <f>AND($J99,ISNUMBER(T99),correlation!$I$27=1)</f>
        <v/>
      </c>
      <c r="V99" s="5">
        <f>IF(U99,$F99,"")</f>
        <v/>
      </c>
      <c r="W99" s="5">
        <f>IF(U99,T99*correlation!$J$27,"")</f>
        <v/>
      </c>
      <c r="X99" s="5">
        <f>IF(AND(U99,ISNUMBER(correlation!$F$27)),W99*correlation!$F$27+correlation!$G$27,"")</f>
        <v/>
      </c>
      <c r="Y99" s="5">
        <f>IF(AND(U99,ISNUMBER(X99)),(V99-X99)^2,"")</f>
        <v/>
      </c>
      <c r="Z99" s="5">
        <f>IF(U99,1+SUMPRODUCT(--(calc!$U$3:$U$132=TRUE),--(calc!$V$3:$V$132&gt;V99))+(SUMPRODUCT(--(calc!$U$3:$U$132=TRUE),--(calc!$V$3:$V$132=V99))-1)/2,"")</f>
        <v/>
      </c>
      <c r="AA99" s="5">
        <f>IF(U99,1+SUMPRODUCT(--(calc!$U$3:$U$132=TRUE),--(calc!$W$3:$W$132&gt;W99))+(SUMPRODUCT(--(calc!$U$3:$U$132=TRUE),--(calc!$W$3:$W$132=W99))-1)/2,"")</f>
        <v/>
      </c>
      <c r="AB99" s="5">
        <f>IF(U99,SUMPRODUCT(--(calc!$U$3:$U$132=TRUE),--(ROW(calc!$U$3:$U$132)&gt;ROW(U99)),--(((calc!$Z$3:$Z$132&gt;Z99)*(calc!$AA$3:$AA$132&gt;AA99)+(calc!$Z$3:$Z$132&lt;Z99)*(calc!$AA$3:$AA$132&lt;AA99))&gt;0))-SUMPRODUCT(--(calc!$U$3:$U$132=TRUE),--(ROW(calc!$U$3:$U$132)&gt;ROW(U99)),--(((calc!$Z$3:$Z$132&gt;Z99)*(calc!$AA$3:$AA$132&lt;AA99)+(calc!$Z$3:$Z$132&lt;Z99)*(calc!$AA$3:$AA$132&gt;AA99))&gt;0)),0)</f>
        <v/>
      </c>
      <c r="AC99" s="5">
        <f>IF(mos_metrics!I98="","",mos_metrics!I98)</f>
        <v/>
      </c>
      <c r="AD99" s="2">
        <f>AND($J99,ISNUMBER(AC99),correlation!$I$28=1)</f>
        <v/>
      </c>
      <c r="AE99" s="5">
        <f>IF(AD99,$F99,"")</f>
        <v/>
      </c>
      <c r="AF99" s="5">
        <f>IF(AD99,AC99*correlation!$J$28,"")</f>
        <v/>
      </c>
      <c r="AG99" s="5">
        <f>IF(AND(AD99,ISNUMBER(correlation!$F$28)),AF99*correlation!$F$28+correlation!$G$28,"")</f>
        <v/>
      </c>
      <c r="AH99" s="5">
        <f>IF(AND(AD99,ISNUMBER(AG99)),(AE99-AG99)^2,"")</f>
        <v/>
      </c>
      <c r="AI99" s="5">
        <f>IF(AD99,1+SUMPRODUCT(--(calc!$AD$3:$AD$132=TRUE),--(calc!$AE$3:$AE$132&gt;AE99))+(SUMPRODUCT(--(calc!$AD$3:$AD$132=TRUE),--(calc!$AE$3:$AE$132=AE99))-1)/2,"")</f>
        <v/>
      </c>
      <c r="AJ99" s="5">
        <f>IF(AD99,1+SUMPRODUCT(--(calc!$AD$3:$AD$132=TRUE),--(calc!$AF$3:$AF$132&gt;AF99))+(SUMPRODUCT(--(calc!$AD$3:$AD$132=TRUE),--(calc!$AF$3:$AF$132=AF99))-1)/2,"")</f>
        <v/>
      </c>
      <c r="AK99" s="5">
        <f>IF(AD99,SUMPRODUCT(--(calc!$AD$3:$AD$132=TRUE),--(ROW(calc!$AD$3:$AD$132)&gt;ROW(AD99)),--(((calc!$AI$3:$AI$132&gt;AI99)*(calc!$AJ$3:$AJ$132&gt;AJ99)+(calc!$AI$3:$AI$132&lt;AI99)*(calc!$AJ$3:$AJ$132&lt;AJ99))&gt;0))-SUMPRODUCT(--(calc!$AD$3:$AD$132=TRUE),--(ROW(calc!$AD$3:$AD$132)&gt;ROW(AD99)),--(((calc!$AI$3:$AI$132&gt;AI99)*(calc!$AJ$3:$AJ$132&lt;AJ99)+(calc!$AI$3:$AI$132&lt;AI99)*(calc!$AJ$3:$AJ$132&gt;AJ99))&gt;0)),0)</f>
        <v/>
      </c>
      <c r="AL99" s="5">
        <f>IF(mos_metrics!J98="","",mos_metrics!J98)</f>
        <v/>
      </c>
      <c r="AM99" s="2">
        <f>AND($J99,ISNUMBER(AL99),correlation!$I$29=1)</f>
        <v/>
      </c>
      <c r="AN99" s="5">
        <f>IF(AM99,$F99,"")</f>
        <v/>
      </c>
      <c r="AO99" s="5">
        <f>IF(AM99,AL99*correlation!$J$29,"")</f>
        <v/>
      </c>
      <c r="AP99" s="5">
        <f>IF(AND(AM99,ISNUMBER(correlation!$F$29)),AO99*correlation!$F$29+correlation!$G$29,"")</f>
        <v/>
      </c>
      <c r="AQ99" s="5">
        <f>IF(AND(AM99,ISNUMBER(AP99)),(AN99-AP99)^2,"")</f>
        <v/>
      </c>
      <c r="AR99" s="5">
        <f>IF(AM99,1+SUMPRODUCT(--(calc!$AM$3:$AM$132=TRUE),--(calc!$AN$3:$AN$132&gt;AN99))+(SUMPRODUCT(--(calc!$AM$3:$AM$132=TRUE),--(calc!$AN$3:$AN$132=AN99))-1)/2,"")</f>
        <v/>
      </c>
      <c r="AS99" s="5">
        <f>IF(AM99,1+SUMPRODUCT(--(calc!$AM$3:$AM$132=TRUE),--(calc!$AO$3:$AO$132&gt;AO99))+(SUMPRODUCT(--(calc!$AM$3:$AM$132=TRUE),--(calc!$AO$3:$AO$132=AO99))-1)/2,"")</f>
        <v/>
      </c>
      <c r="AT99" s="5">
        <f>IF(AM99,SUMPRODUCT(--(calc!$AM$3:$AM$132=TRUE),--(ROW(calc!$AM$3:$AM$132)&gt;ROW(AM99)),--(((calc!$AR$3:$AR$132&gt;AR99)*(calc!$AS$3:$AS$132&gt;AS99)+(calc!$AR$3:$AR$132&lt;AR99)*(calc!$AS$3:$AS$132&lt;AS99))&gt;0))-SUMPRODUCT(--(calc!$AM$3:$AM$132=TRUE),--(ROW(calc!$AM$3:$AM$132)&gt;ROW(AM99)),--(((calc!$AR$3:$AR$132&gt;AR99)*(calc!$AS$3:$AS$132&lt;AS99)+(calc!$AR$3:$AR$132&lt;AR99)*(calc!$AS$3:$AS$132&gt;AS99))&gt;0)),0)</f>
        <v/>
      </c>
      <c r="AU99" s="5">
        <f>IF(mos_metrics!K98="","",mos_metrics!K98)</f>
        <v/>
      </c>
      <c r="AV99" s="2">
        <f>AND($J99,ISNUMBER(AU99),correlation!$I$30=1)</f>
        <v/>
      </c>
      <c r="AW99" s="5">
        <f>IF(AV99,$F99,"")</f>
        <v/>
      </c>
      <c r="AX99" s="5">
        <f>IF(AV99,AU99*correlation!$J$30,"")</f>
        <v/>
      </c>
      <c r="AY99" s="5">
        <f>IF(AND(AV99,ISNUMBER(correlation!$F$30)),AX99*correlation!$F$30+correlation!$G$30,"")</f>
        <v/>
      </c>
      <c r="AZ99" s="5">
        <f>IF(AND(AV99,ISNUMBER(AY99)),(AW99-AY99)^2,"")</f>
        <v/>
      </c>
      <c r="BA99" s="5">
        <f>IF(AV99,1+SUMPRODUCT(--(calc!$AV$3:$AV$132=TRUE),--(calc!$AW$3:$AW$132&gt;AW99))+(SUMPRODUCT(--(calc!$AV$3:$AV$132=TRUE),--(calc!$AW$3:$AW$132=AW99))-1)/2,"")</f>
        <v/>
      </c>
      <c r="BB99" s="5">
        <f>IF(AV99,1+SUMPRODUCT(--(calc!$AV$3:$AV$132=TRUE),--(calc!$AX$3:$AX$132&gt;AX99))+(SUMPRODUCT(--(calc!$AV$3:$AV$132=TRUE),--(calc!$AX$3:$AX$132=AX99))-1)/2,"")</f>
        <v/>
      </c>
      <c r="BC99" s="5">
        <f>IF(AV99,SUMPRODUCT(--(calc!$AV$3:$AV$132=TRUE),--(ROW(calc!$AV$3:$AV$132)&gt;ROW(AV99)),--(((calc!$BA$3:$BA$132&gt;BA99)*(calc!$BB$3:$BB$132&gt;BB99)+(calc!$BA$3:$BA$132&lt;BA99)*(calc!$BB$3:$BB$132&lt;BB99))&gt;0))-SUMPRODUCT(--(calc!$AV$3:$AV$132=TRUE),--(ROW(calc!$AV$3:$AV$132)&gt;ROW(AV99)),--(((calc!$BA$3:$BA$132&gt;BA99)*(calc!$BB$3:$BB$132&lt;BB99)+(calc!$BA$3:$BA$132&lt;BA99)*(calc!$BB$3:$BB$132&gt;BB99))&gt;0)),0)</f>
        <v/>
      </c>
      <c r="BD99" s="5">
        <f>IF(mos_metrics!L98="","",mos_metrics!L98)</f>
        <v/>
      </c>
      <c r="BE99" s="2">
        <f>AND($J99,ISNUMBER(BD99),correlation!$I$31=1)</f>
        <v/>
      </c>
      <c r="BF99" s="5">
        <f>IF(BE99,$F99,"")</f>
        <v/>
      </c>
      <c r="BG99" s="5">
        <f>IF(BE99,BD99*correlation!$J$31,"")</f>
        <v/>
      </c>
      <c r="BH99" s="5">
        <f>IF(AND(BE99,ISNUMBER(correlation!$F$31)),BG99*correlation!$F$31+correlation!$G$31,"")</f>
        <v/>
      </c>
      <c r="BI99" s="5">
        <f>IF(AND(BE99,ISNUMBER(BH99)),(BF99-BH99)^2,"")</f>
        <v/>
      </c>
      <c r="BJ99" s="5">
        <f>IF(BE99,1+SUMPRODUCT(--(calc!$BE$3:$BE$132=TRUE),--(calc!$BF$3:$BF$132&gt;BF99))+(SUMPRODUCT(--(calc!$BE$3:$BE$132=TRUE),--(calc!$BF$3:$BF$132=BF99))-1)/2,"")</f>
        <v/>
      </c>
      <c r="BK99" s="5">
        <f>IF(BE99,1+SUMPRODUCT(--(calc!$BE$3:$BE$132=TRUE),--(calc!$BG$3:$BG$132&gt;BG99))+(SUMPRODUCT(--(calc!$BE$3:$BE$132=TRUE),--(calc!$BG$3:$BG$132=BG99))-1)/2,"")</f>
        <v/>
      </c>
      <c r="BL99" s="5">
        <f>IF(BE99,SUMPRODUCT(--(calc!$BE$3:$BE$132=TRUE),--(ROW(calc!$BE$3:$BE$132)&gt;ROW(BE99)),--(((calc!$BJ$3:$BJ$132&gt;BJ99)*(calc!$BK$3:$BK$132&gt;BK99)+(calc!$BJ$3:$BJ$132&lt;BJ99)*(calc!$BK$3:$BK$132&lt;BK99))&gt;0))-SUMPRODUCT(--(calc!$BE$3:$BE$132=TRUE),--(ROW(calc!$BE$3:$BE$132)&gt;ROW(BE99)),--(((calc!$BJ$3:$BJ$132&gt;BJ99)*(calc!$BK$3:$BK$132&lt;BK99)+(calc!$BJ$3:$BJ$132&lt;BJ99)*(calc!$BK$3:$BK$132&gt;BK99))&gt;0)),0)</f>
        <v/>
      </c>
      <c r="BM99" s="5">
        <f>IF(mos_metrics!M98="","",mos_metrics!M98)</f>
        <v/>
      </c>
      <c r="BN99" s="2">
        <f>AND($J99,ISNUMBER(BM99),correlation!$I$32=1)</f>
        <v/>
      </c>
      <c r="BO99" s="5">
        <f>IF(BN99,$F99,"")</f>
        <v/>
      </c>
      <c r="BP99" s="5">
        <f>IF(BN99,BM99*correlation!$J$32,"")</f>
        <v/>
      </c>
      <c r="BQ99" s="5">
        <f>IF(AND(BN99,ISNUMBER(correlation!$F$32)),BP99*correlation!$F$32+correlation!$G$32,"")</f>
        <v/>
      </c>
      <c r="BR99" s="5">
        <f>IF(AND(BN99,ISNUMBER(BQ99)),(BO99-BQ99)^2,"")</f>
        <v/>
      </c>
      <c r="BS99" s="5">
        <f>IF(BN99,1+SUMPRODUCT(--(calc!$BN$3:$BN$132=TRUE),--(calc!$BO$3:$BO$132&gt;BO99))+(SUMPRODUCT(--(calc!$BN$3:$BN$132=TRUE),--(calc!$BO$3:$BO$132=BO99))-1)/2,"")</f>
        <v/>
      </c>
      <c r="BT99" s="5">
        <f>IF(BN99,1+SUMPRODUCT(--(calc!$BN$3:$BN$132=TRUE),--(calc!$BP$3:$BP$132&gt;BP99))+(SUMPRODUCT(--(calc!$BN$3:$BN$132=TRUE),--(calc!$BP$3:$BP$132=BP99))-1)/2,"")</f>
        <v/>
      </c>
      <c r="BU99" s="5">
        <f>IF(BN99,SUMPRODUCT(--(calc!$BN$3:$BN$132=TRUE),--(ROW(calc!$BN$3:$BN$132)&gt;ROW(BN99)),--(((calc!$BS$3:$BS$132&gt;BS99)*(calc!$BT$3:$BT$132&gt;BT99)+(calc!$BS$3:$BS$132&lt;BS99)*(calc!$BT$3:$BT$132&lt;BT99))&gt;0))-SUMPRODUCT(--(calc!$BN$3:$BN$132=TRUE),--(ROW(calc!$BN$3:$BN$132)&gt;ROW(BN99)),--(((calc!$BS$3:$BS$132&gt;BS99)*(calc!$BT$3:$BT$132&lt;BT99)+(calc!$BS$3:$BS$132&lt;BS99)*(calc!$BT$3:$BT$132&gt;BT99))&gt;0)),0)</f>
        <v/>
      </c>
    </row>
    <row r="100">
      <c r="A100" s="2">
        <f>mos_metrics!A99</f>
        <v/>
      </c>
      <c r="B100" s="2">
        <f>mos_metrics!B99</f>
        <v/>
      </c>
      <c r="C100" s="2">
        <f>mos_metrics!C99</f>
        <v/>
      </c>
      <c r="D100" s="2">
        <f>mos_metrics!D99</f>
        <v/>
      </c>
      <c r="E100" s="2">
        <f>mos_metrics!E99</f>
        <v/>
      </c>
      <c r="F100" s="2">
        <f>mos_metrics!F99</f>
        <v/>
      </c>
      <c r="G100" s="2">
        <f>IF($B100="","",IFERROR(VLOOKUP($B100,correlation!$A$2:$B$12,2,FALSE),1))</f>
        <v/>
      </c>
      <c r="H100" s="2">
        <f>IF($E100="","",IFERROR(VLOOKUP($E100,correlation!$D$2:$E$8,2,FALSE),1))</f>
        <v/>
      </c>
      <c r="I100" s="2">
        <f>ISNUMBER($F100)</f>
        <v/>
      </c>
      <c r="J100" s="2">
        <f>AND($G100=1,$H100=1,$I100)</f>
        <v/>
      </c>
      <c r="K100" s="5">
        <f>IF(mos_metrics!G99="","",mos_metrics!G99)</f>
        <v/>
      </c>
      <c r="L100" s="2">
        <f>AND($J100,ISNUMBER(K100),correlation!$I$26=1)</f>
        <v/>
      </c>
      <c r="M100" s="5">
        <f>IF(L100,$F100,"")</f>
        <v/>
      </c>
      <c r="N100" s="5">
        <f>IF(L100,K100*correlation!$J$26,"")</f>
        <v/>
      </c>
      <c r="O100" s="5">
        <f>IF(AND(L100,ISNUMBER(correlation!$F$26)),N100*correlation!$F$26+correlation!$G$26,"")</f>
        <v/>
      </c>
      <c r="P100" s="5">
        <f>IF(AND(L100,ISNUMBER(O100)),(M100-O100)^2,"")</f>
        <v/>
      </c>
      <c r="Q100" s="5">
        <f>IF(L100,1+SUMPRODUCT(--(calc!$L$3:$L$132=TRUE),--(calc!$M$3:$M$132&gt;M100))+(SUMPRODUCT(--(calc!$L$3:$L$132=TRUE),--(calc!$M$3:$M$132=M100))-1)/2,"")</f>
        <v/>
      </c>
      <c r="R100" s="5">
        <f>IF(L100,1+SUMPRODUCT(--(calc!$L$3:$L$132=TRUE),--(calc!$N$3:$N$132&gt;N100))+(SUMPRODUCT(--(calc!$L$3:$L$132=TRUE),--(calc!$N$3:$N$132=N100))-1)/2,"")</f>
        <v/>
      </c>
      <c r="S100" s="5">
        <f>IF(L100,SUMPRODUCT(--(calc!$L$3:$L$132=TRUE),--(ROW(calc!$L$3:$L$132)&gt;ROW(L100)),--(((calc!$Q$3:$Q$132&gt;Q100)*(calc!$R$3:$R$132&gt;R100)+(calc!$Q$3:$Q$132&lt;Q100)*(calc!$R$3:$R$132&lt;R100))&gt;0))-SUMPRODUCT(--(calc!$L$3:$L$132=TRUE),--(ROW(calc!$L$3:$L$132)&gt;ROW(L100)),--(((calc!$Q$3:$Q$132&gt;Q100)*(calc!$R$3:$R$132&lt;R100)+(calc!$Q$3:$Q$132&lt;Q100)*(calc!$R$3:$R$132&gt;R100))&gt;0)),0)</f>
        <v/>
      </c>
      <c r="T100" s="5">
        <f>IF(mos_metrics!H99="","",mos_metrics!H99)</f>
        <v/>
      </c>
      <c r="U100" s="2">
        <f>AND($J100,ISNUMBER(T100),correlation!$I$27=1)</f>
        <v/>
      </c>
      <c r="V100" s="5">
        <f>IF(U100,$F100,"")</f>
        <v/>
      </c>
      <c r="W100" s="5">
        <f>IF(U100,T100*correlation!$J$27,"")</f>
        <v/>
      </c>
      <c r="X100" s="5">
        <f>IF(AND(U100,ISNUMBER(correlation!$F$27)),W100*correlation!$F$27+correlation!$G$27,"")</f>
        <v/>
      </c>
      <c r="Y100" s="5">
        <f>IF(AND(U100,ISNUMBER(X100)),(V100-X100)^2,"")</f>
        <v/>
      </c>
      <c r="Z100" s="5">
        <f>IF(U100,1+SUMPRODUCT(--(calc!$U$3:$U$132=TRUE),--(calc!$V$3:$V$132&gt;V100))+(SUMPRODUCT(--(calc!$U$3:$U$132=TRUE),--(calc!$V$3:$V$132=V100))-1)/2,"")</f>
        <v/>
      </c>
      <c r="AA100" s="5">
        <f>IF(U100,1+SUMPRODUCT(--(calc!$U$3:$U$132=TRUE),--(calc!$W$3:$W$132&gt;W100))+(SUMPRODUCT(--(calc!$U$3:$U$132=TRUE),--(calc!$W$3:$W$132=W100))-1)/2,"")</f>
        <v/>
      </c>
      <c r="AB100" s="5">
        <f>IF(U100,SUMPRODUCT(--(calc!$U$3:$U$132=TRUE),--(ROW(calc!$U$3:$U$132)&gt;ROW(U100)),--(((calc!$Z$3:$Z$132&gt;Z100)*(calc!$AA$3:$AA$132&gt;AA100)+(calc!$Z$3:$Z$132&lt;Z100)*(calc!$AA$3:$AA$132&lt;AA100))&gt;0))-SUMPRODUCT(--(calc!$U$3:$U$132=TRUE),--(ROW(calc!$U$3:$U$132)&gt;ROW(U100)),--(((calc!$Z$3:$Z$132&gt;Z100)*(calc!$AA$3:$AA$132&lt;AA100)+(calc!$Z$3:$Z$132&lt;Z100)*(calc!$AA$3:$AA$132&gt;AA100))&gt;0)),0)</f>
        <v/>
      </c>
      <c r="AC100" s="5">
        <f>IF(mos_metrics!I99="","",mos_metrics!I99)</f>
        <v/>
      </c>
      <c r="AD100" s="2">
        <f>AND($J100,ISNUMBER(AC100),correlation!$I$28=1)</f>
        <v/>
      </c>
      <c r="AE100" s="5">
        <f>IF(AD100,$F100,"")</f>
        <v/>
      </c>
      <c r="AF100" s="5">
        <f>IF(AD100,AC100*correlation!$J$28,"")</f>
        <v/>
      </c>
      <c r="AG100" s="5">
        <f>IF(AND(AD100,ISNUMBER(correlation!$F$28)),AF100*correlation!$F$28+correlation!$G$28,"")</f>
        <v/>
      </c>
      <c r="AH100" s="5">
        <f>IF(AND(AD100,ISNUMBER(AG100)),(AE100-AG100)^2,"")</f>
        <v/>
      </c>
      <c r="AI100" s="5">
        <f>IF(AD100,1+SUMPRODUCT(--(calc!$AD$3:$AD$132=TRUE),--(calc!$AE$3:$AE$132&gt;AE100))+(SUMPRODUCT(--(calc!$AD$3:$AD$132=TRUE),--(calc!$AE$3:$AE$132=AE100))-1)/2,"")</f>
        <v/>
      </c>
      <c r="AJ100" s="5">
        <f>IF(AD100,1+SUMPRODUCT(--(calc!$AD$3:$AD$132=TRUE),--(calc!$AF$3:$AF$132&gt;AF100))+(SUMPRODUCT(--(calc!$AD$3:$AD$132=TRUE),--(calc!$AF$3:$AF$132=AF100))-1)/2,"")</f>
        <v/>
      </c>
      <c r="AK100" s="5">
        <f>IF(AD100,SUMPRODUCT(--(calc!$AD$3:$AD$132=TRUE),--(ROW(calc!$AD$3:$AD$132)&gt;ROW(AD100)),--(((calc!$AI$3:$AI$132&gt;AI100)*(calc!$AJ$3:$AJ$132&gt;AJ100)+(calc!$AI$3:$AI$132&lt;AI100)*(calc!$AJ$3:$AJ$132&lt;AJ100))&gt;0))-SUMPRODUCT(--(calc!$AD$3:$AD$132=TRUE),--(ROW(calc!$AD$3:$AD$132)&gt;ROW(AD100)),--(((calc!$AI$3:$AI$132&gt;AI100)*(calc!$AJ$3:$AJ$132&lt;AJ100)+(calc!$AI$3:$AI$132&lt;AI100)*(calc!$AJ$3:$AJ$132&gt;AJ100))&gt;0)),0)</f>
        <v/>
      </c>
      <c r="AL100" s="5">
        <f>IF(mos_metrics!J99="","",mos_metrics!J99)</f>
        <v/>
      </c>
      <c r="AM100" s="2">
        <f>AND($J100,ISNUMBER(AL100),correlation!$I$29=1)</f>
        <v/>
      </c>
      <c r="AN100" s="5">
        <f>IF(AM100,$F100,"")</f>
        <v/>
      </c>
      <c r="AO100" s="5">
        <f>IF(AM100,AL100*correlation!$J$29,"")</f>
        <v/>
      </c>
      <c r="AP100" s="5">
        <f>IF(AND(AM100,ISNUMBER(correlation!$F$29)),AO100*correlation!$F$29+correlation!$G$29,"")</f>
        <v/>
      </c>
      <c r="AQ100" s="5">
        <f>IF(AND(AM100,ISNUMBER(AP100)),(AN100-AP100)^2,"")</f>
        <v/>
      </c>
      <c r="AR100" s="5">
        <f>IF(AM100,1+SUMPRODUCT(--(calc!$AM$3:$AM$132=TRUE),--(calc!$AN$3:$AN$132&gt;AN100))+(SUMPRODUCT(--(calc!$AM$3:$AM$132=TRUE),--(calc!$AN$3:$AN$132=AN100))-1)/2,"")</f>
        <v/>
      </c>
      <c r="AS100" s="5">
        <f>IF(AM100,1+SUMPRODUCT(--(calc!$AM$3:$AM$132=TRUE),--(calc!$AO$3:$AO$132&gt;AO100))+(SUMPRODUCT(--(calc!$AM$3:$AM$132=TRUE),--(calc!$AO$3:$AO$132=AO100))-1)/2,"")</f>
        <v/>
      </c>
      <c r="AT100" s="5">
        <f>IF(AM100,SUMPRODUCT(--(calc!$AM$3:$AM$132=TRUE),--(ROW(calc!$AM$3:$AM$132)&gt;ROW(AM100)),--(((calc!$AR$3:$AR$132&gt;AR100)*(calc!$AS$3:$AS$132&gt;AS100)+(calc!$AR$3:$AR$132&lt;AR100)*(calc!$AS$3:$AS$132&lt;AS100))&gt;0))-SUMPRODUCT(--(calc!$AM$3:$AM$132=TRUE),--(ROW(calc!$AM$3:$AM$132)&gt;ROW(AM100)),--(((calc!$AR$3:$AR$132&gt;AR100)*(calc!$AS$3:$AS$132&lt;AS100)+(calc!$AR$3:$AR$132&lt;AR100)*(calc!$AS$3:$AS$132&gt;AS100))&gt;0)),0)</f>
        <v/>
      </c>
      <c r="AU100" s="5">
        <f>IF(mos_metrics!K99="","",mos_metrics!K99)</f>
        <v/>
      </c>
      <c r="AV100" s="2">
        <f>AND($J100,ISNUMBER(AU100),correlation!$I$30=1)</f>
        <v/>
      </c>
      <c r="AW100" s="5">
        <f>IF(AV100,$F100,"")</f>
        <v/>
      </c>
      <c r="AX100" s="5">
        <f>IF(AV100,AU100*correlation!$J$30,"")</f>
        <v/>
      </c>
      <c r="AY100" s="5">
        <f>IF(AND(AV100,ISNUMBER(correlation!$F$30)),AX100*correlation!$F$30+correlation!$G$30,"")</f>
        <v/>
      </c>
      <c r="AZ100" s="5">
        <f>IF(AND(AV100,ISNUMBER(AY100)),(AW100-AY100)^2,"")</f>
        <v/>
      </c>
      <c r="BA100" s="5">
        <f>IF(AV100,1+SUMPRODUCT(--(calc!$AV$3:$AV$132=TRUE),--(calc!$AW$3:$AW$132&gt;AW100))+(SUMPRODUCT(--(calc!$AV$3:$AV$132=TRUE),--(calc!$AW$3:$AW$132=AW100))-1)/2,"")</f>
        <v/>
      </c>
      <c r="BB100" s="5">
        <f>IF(AV100,1+SUMPRODUCT(--(calc!$AV$3:$AV$132=TRUE),--(calc!$AX$3:$AX$132&gt;AX100))+(SUMPRODUCT(--(calc!$AV$3:$AV$132=TRUE),--(calc!$AX$3:$AX$132=AX100))-1)/2,"")</f>
        <v/>
      </c>
      <c r="BC100" s="5">
        <f>IF(AV100,SUMPRODUCT(--(calc!$AV$3:$AV$132=TRUE),--(ROW(calc!$AV$3:$AV$132)&gt;ROW(AV100)),--(((calc!$BA$3:$BA$132&gt;BA100)*(calc!$BB$3:$BB$132&gt;BB100)+(calc!$BA$3:$BA$132&lt;BA100)*(calc!$BB$3:$BB$132&lt;BB100))&gt;0))-SUMPRODUCT(--(calc!$AV$3:$AV$132=TRUE),--(ROW(calc!$AV$3:$AV$132)&gt;ROW(AV100)),--(((calc!$BA$3:$BA$132&gt;BA100)*(calc!$BB$3:$BB$132&lt;BB100)+(calc!$BA$3:$BA$132&lt;BA100)*(calc!$BB$3:$BB$132&gt;BB100))&gt;0)),0)</f>
        <v/>
      </c>
      <c r="BD100" s="5">
        <f>IF(mos_metrics!L99="","",mos_metrics!L99)</f>
        <v/>
      </c>
      <c r="BE100" s="2">
        <f>AND($J100,ISNUMBER(BD100),correlation!$I$31=1)</f>
        <v/>
      </c>
      <c r="BF100" s="5">
        <f>IF(BE100,$F100,"")</f>
        <v/>
      </c>
      <c r="BG100" s="5">
        <f>IF(BE100,BD100*correlation!$J$31,"")</f>
        <v/>
      </c>
      <c r="BH100" s="5">
        <f>IF(AND(BE100,ISNUMBER(correlation!$F$31)),BG100*correlation!$F$31+correlation!$G$31,"")</f>
        <v/>
      </c>
      <c r="BI100" s="5">
        <f>IF(AND(BE100,ISNUMBER(BH100)),(BF100-BH100)^2,"")</f>
        <v/>
      </c>
      <c r="BJ100" s="5">
        <f>IF(BE100,1+SUMPRODUCT(--(calc!$BE$3:$BE$132=TRUE),--(calc!$BF$3:$BF$132&gt;BF100))+(SUMPRODUCT(--(calc!$BE$3:$BE$132=TRUE),--(calc!$BF$3:$BF$132=BF100))-1)/2,"")</f>
        <v/>
      </c>
      <c r="BK100" s="5">
        <f>IF(BE100,1+SUMPRODUCT(--(calc!$BE$3:$BE$132=TRUE),--(calc!$BG$3:$BG$132&gt;BG100))+(SUMPRODUCT(--(calc!$BE$3:$BE$132=TRUE),--(calc!$BG$3:$BG$132=BG100))-1)/2,"")</f>
        <v/>
      </c>
      <c r="BL100" s="5">
        <f>IF(BE100,SUMPRODUCT(--(calc!$BE$3:$BE$132=TRUE),--(ROW(calc!$BE$3:$BE$132)&gt;ROW(BE100)),--(((calc!$BJ$3:$BJ$132&gt;BJ100)*(calc!$BK$3:$BK$132&gt;BK100)+(calc!$BJ$3:$BJ$132&lt;BJ100)*(calc!$BK$3:$BK$132&lt;BK100))&gt;0))-SUMPRODUCT(--(calc!$BE$3:$BE$132=TRUE),--(ROW(calc!$BE$3:$BE$132)&gt;ROW(BE100)),--(((calc!$BJ$3:$BJ$132&gt;BJ100)*(calc!$BK$3:$BK$132&lt;BK100)+(calc!$BJ$3:$BJ$132&lt;BJ100)*(calc!$BK$3:$BK$132&gt;BK100))&gt;0)),0)</f>
        <v/>
      </c>
      <c r="BM100" s="5">
        <f>IF(mos_metrics!M99="","",mos_metrics!M99)</f>
        <v/>
      </c>
      <c r="BN100" s="2">
        <f>AND($J100,ISNUMBER(BM100),correlation!$I$32=1)</f>
        <v/>
      </c>
      <c r="BO100" s="5">
        <f>IF(BN100,$F100,"")</f>
        <v/>
      </c>
      <c r="BP100" s="5">
        <f>IF(BN100,BM100*correlation!$J$32,"")</f>
        <v/>
      </c>
      <c r="BQ100" s="5">
        <f>IF(AND(BN100,ISNUMBER(correlation!$F$32)),BP100*correlation!$F$32+correlation!$G$32,"")</f>
        <v/>
      </c>
      <c r="BR100" s="5">
        <f>IF(AND(BN100,ISNUMBER(BQ100)),(BO100-BQ100)^2,"")</f>
        <v/>
      </c>
      <c r="BS100" s="5">
        <f>IF(BN100,1+SUMPRODUCT(--(calc!$BN$3:$BN$132=TRUE),--(calc!$BO$3:$BO$132&gt;BO100))+(SUMPRODUCT(--(calc!$BN$3:$BN$132=TRUE),--(calc!$BO$3:$BO$132=BO100))-1)/2,"")</f>
        <v/>
      </c>
      <c r="BT100" s="5">
        <f>IF(BN100,1+SUMPRODUCT(--(calc!$BN$3:$BN$132=TRUE),--(calc!$BP$3:$BP$132&gt;BP100))+(SUMPRODUCT(--(calc!$BN$3:$BN$132=TRUE),--(calc!$BP$3:$BP$132=BP100))-1)/2,"")</f>
        <v/>
      </c>
      <c r="BU100" s="5">
        <f>IF(BN100,SUMPRODUCT(--(calc!$BN$3:$BN$132=TRUE),--(ROW(calc!$BN$3:$BN$132)&gt;ROW(BN100)),--(((calc!$BS$3:$BS$132&gt;BS100)*(calc!$BT$3:$BT$132&gt;BT100)+(calc!$BS$3:$BS$132&lt;BS100)*(calc!$BT$3:$BT$132&lt;BT100))&gt;0))-SUMPRODUCT(--(calc!$BN$3:$BN$132=TRUE),--(ROW(calc!$BN$3:$BN$132)&gt;ROW(BN100)),--(((calc!$BS$3:$BS$132&gt;BS100)*(calc!$BT$3:$BT$132&lt;BT100)+(calc!$BS$3:$BS$132&lt;BS100)*(calc!$BT$3:$BT$132&gt;BT100))&gt;0)),0)</f>
        <v/>
      </c>
    </row>
    <row r="101">
      <c r="A101" s="2">
        <f>mos_metrics!A100</f>
        <v/>
      </c>
      <c r="B101" s="2">
        <f>mos_metrics!B100</f>
        <v/>
      </c>
      <c r="C101" s="2">
        <f>mos_metrics!C100</f>
        <v/>
      </c>
      <c r="D101" s="2">
        <f>mos_metrics!D100</f>
        <v/>
      </c>
      <c r="E101" s="2">
        <f>mos_metrics!E100</f>
        <v/>
      </c>
      <c r="F101" s="2">
        <f>mos_metrics!F100</f>
        <v/>
      </c>
      <c r="G101" s="2">
        <f>IF($B101="","",IFERROR(VLOOKUP($B101,correlation!$A$2:$B$12,2,FALSE),1))</f>
        <v/>
      </c>
      <c r="H101" s="2">
        <f>IF($E101="","",IFERROR(VLOOKUP($E101,correlation!$D$2:$E$8,2,FALSE),1))</f>
        <v/>
      </c>
      <c r="I101" s="2">
        <f>ISNUMBER($F101)</f>
        <v/>
      </c>
      <c r="J101" s="2">
        <f>AND($G101=1,$H101=1,$I101)</f>
        <v/>
      </c>
      <c r="K101" s="5">
        <f>IF(mos_metrics!G100="","",mos_metrics!G100)</f>
        <v/>
      </c>
      <c r="L101" s="2">
        <f>AND($J101,ISNUMBER(K101),correlation!$I$26=1)</f>
        <v/>
      </c>
      <c r="M101" s="5">
        <f>IF(L101,$F101,"")</f>
        <v/>
      </c>
      <c r="N101" s="5">
        <f>IF(L101,K101*correlation!$J$26,"")</f>
        <v/>
      </c>
      <c r="O101" s="5">
        <f>IF(AND(L101,ISNUMBER(correlation!$F$26)),N101*correlation!$F$26+correlation!$G$26,"")</f>
        <v/>
      </c>
      <c r="P101" s="5">
        <f>IF(AND(L101,ISNUMBER(O101)),(M101-O101)^2,"")</f>
        <v/>
      </c>
      <c r="Q101" s="5">
        <f>IF(L101,1+SUMPRODUCT(--(calc!$L$3:$L$132=TRUE),--(calc!$M$3:$M$132&gt;M101))+(SUMPRODUCT(--(calc!$L$3:$L$132=TRUE),--(calc!$M$3:$M$132=M101))-1)/2,"")</f>
        <v/>
      </c>
      <c r="R101" s="5">
        <f>IF(L101,1+SUMPRODUCT(--(calc!$L$3:$L$132=TRUE),--(calc!$N$3:$N$132&gt;N101))+(SUMPRODUCT(--(calc!$L$3:$L$132=TRUE),--(calc!$N$3:$N$132=N101))-1)/2,"")</f>
        <v/>
      </c>
      <c r="S101" s="5">
        <f>IF(L101,SUMPRODUCT(--(calc!$L$3:$L$132=TRUE),--(ROW(calc!$L$3:$L$132)&gt;ROW(L101)),--(((calc!$Q$3:$Q$132&gt;Q101)*(calc!$R$3:$R$132&gt;R101)+(calc!$Q$3:$Q$132&lt;Q101)*(calc!$R$3:$R$132&lt;R101))&gt;0))-SUMPRODUCT(--(calc!$L$3:$L$132=TRUE),--(ROW(calc!$L$3:$L$132)&gt;ROW(L101)),--(((calc!$Q$3:$Q$132&gt;Q101)*(calc!$R$3:$R$132&lt;R101)+(calc!$Q$3:$Q$132&lt;Q101)*(calc!$R$3:$R$132&gt;R101))&gt;0)),0)</f>
        <v/>
      </c>
      <c r="T101" s="5">
        <f>IF(mos_metrics!H100="","",mos_metrics!H100)</f>
        <v/>
      </c>
      <c r="U101" s="2">
        <f>AND($J101,ISNUMBER(T101),correlation!$I$27=1)</f>
        <v/>
      </c>
      <c r="V101" s="5">
        <f>IF(U101,$F101,"")</f>
        <v/>
      </c>
      <c r="W101" s="5">
        <f>IF(U101,T101*correlation!$J$27,"")</f>
        <v/>
      </c>
      <c r="X101" s="5">
        <f>IF(AND(U101,ISNUMBER(correlation!$F$27)),W101*correlation!$F$27+correlation!$G$27,"")</f>
        <v/>
      </c>
      <c r="Y101" s="5">
        <f>IF(AND(U101,ISNUMBER(X101)),(V101-X101)^2,"")</f>
        <v/>
      </c>
      <c r="Z101" s="5">
        <f>IF(U101,1+SUMPRODUCT(--(calc!$U$3:$U$132=TRUE),--(calc!$V$3:$V$132&gt;V101))+(SUMPRODUCT(--(calc!$U$3:$U$132=TRUE),--(calc!$V$3:$V$132=V101))-1)/2,"")</f>
        <v/>
      </c>
      <c r="AA101" s="5">
        <f>IF(U101,1+SUMPRODUCT(--(calc!$U$3:$U$132=TRUE),--(calc!$W$3:$W$132&gt;W101))+(SUMPRODUCT(--(calc!$U$3:$U$132=TRUE),--(calc!$W$3:$W$132=W101))-1)/2,"")</f>
        <v/>
      </c>
      <c r="AB101" s="5">
        <f>IF(U101,SUMPRODUCT(--(calc!$U$3:$U$132=TRUE),--(ROW(calc!$U$3:$U$132)&gt;ROW(U101)),--(((calc!$Z$3:$Z$132&gt;Z101)*(calc!$AA$3:$AA$132&gt;AA101)+(calc!$Z$3:$Z$132&lt;Z101)*(calc!$AA$3:$AA$132&lt;AA101))&gt;0))-SUMPRODUCT(--(calc!$U$3:$U$132=TRUE),--(ROW(calc!$U$3:$U$132)&gt;ROW(U101)),--(((calc!$Z$3:$Z$132&gt;Z101)*(calc!$AA$3:$AA$132&lt;AA101)+(calc!$Z$3:$Z$132&lt;Z101)*(calc!$AA$3:$AA$132&gt;AA101))&gt;0)),0)</f>
        <v/>
      </c>
      <c r="AC101" s="5">
        <f>IF(mos_metrics!I100="","",mos_metrics!I100)</f>
        <v/>
      </c>
      <c r="AD101" s="2">
        <f>AND($J101,ISNUMBER(AC101),correlation!$I$28=1)</f>
        <v/>
      </c>
      <c r="AE101" s="5">
        <f>IF(AD101,$F101,"")</f>
        <v/>
      </c>
      <c r="AF101" s="5">
        <f>IF(AD101,AC101*correlation!$J$28,"")</f>
        <v/>
      </c>
      <c r="AG101" s="5">
        <f>IF(AND(AD101,ISNUMBER(correlation!$F$28)),AF101*correlation!$F$28+correlation!$G$28,"")</f>
        <v/>
      </c>
      <c r="AH101" s="5">
        <f>IF(AND(AD101,ISNUMBER(AG101)),(AE101-AG101)^2,"")</f>
        <v/>
      </c>
      <c r="AI101" s="5">
        <f>IF(AD101,1+SUMPRODUCT(--(calc!$AD$3:$AD$132=TRUE),--(calc!$AE$3:$AE$132&gt;AE101))+(SUMPRODUCT(--(calc!$AD$3:$AD$132=TRUE),--(calc!$AE$3:$AE$132=AE101))-1)/2,"")</f>
        <v/>
      </c>
      <c r="AJ101" s="5">
        <f>IF(AD101,1+SUMPRODUCT(--(calc!$AD$3:$AD$132=TRUE),--(calc!$AF$3:$AF$132&gt;AF101))+(SUMPRODUCT(--(calc!$AD$3:$AD$132=TRUE),--(calc!$AF$3:$AF$132=AF101))-1)/2,"")</f>
        <v/>
      </c>
      <c r="AK101" s="5">
        <f>IF(AD101,SUMPRODUCT(--(calc!$AD$3:$AD$132=TRUE),--(ROW(calc!$AD$3:$AD$132)&gt;ROW(AD101)),--(((calc!$AI$3:$AI$132&gt;AI101)*(calc!$AJ$3:$AJ$132&gt;AJ101)+(calc!$AI$3:$AI$132&lt;AI101)*(calc!$AJ$3:$AJ$132&lt;AJ101))&gt;0))-SUMPRODUCT(--(calc!$AD$3:$AD$132=TRUE),--(ROW(calc!$AD$3:$AD$132)&gt;ROW(AD101)),--(((calc!$AI$3:$AI$132&gt;AI101)*(calc!$AJ$3:$AJ$132&lt;AJ101)+(calc!$AI$3:$AI$132&lt;AI101)*(calc!$AJ$3:$AJ$132&gt;AJ101))&gt;0)),0)</f>
        <v/>
      </c>
      <c r="AL101" s="5">
        <f>IF(mos_metrics!J100="","",mos_metrics!J100)</f>
        <v/>
      </c>
      <c r="AM101" s="2">
        <f>AND($J101,ISNUMBER(AL101),correlation!$I$29=1)</f>
        <v/>
      </c>
      <c r="AN101" s="5">
        <f>IF(AM101,$F101,"")</f>
        <v/>
      </c>
      <c r="AO101" s="5">
        <f>IF(AM101,AL101*correlation!$J$29,"")</f>
        <v/>
      </c>
      <c r="AP101" s="5">
        <f>IF(AND(AM101,ISNUMBER(correlation!$F$29)),AO101*correlation!$F$29+correlation!$G$29,"")</f>
        <v/>
      </c>
      <c r="AQ101" s="5">
        <f>IF(AND(AM101,ISNUMBER(AP101)),(AN101-AP101)^2,"")</f>
        <v/>
      </c>
      <c r="AR101" s="5">
        <f>IF(AM101,1+SUMPRODUCT(--(calc!$AM$3:$AM$132=TRUE),--(calc!$AN$3:$AN$132&gt;AN101))+(SUMPRODUCT(--(calc!$AM$3:$AM$132=TRUE),--(calc!$AN$3:$AN$132=AN101))-1)/2,"")</f>
        <v/>
      </c>
      <c r="AS101" s="5">
        <f>IF(AM101,1+SUMPRODUCT(--(calc!$AM$3:$AM$132=TRUE),--(calc!$AO$3:$AO$132&gt;AO101))+(SUMPRODUCT(--(calc!$AM$3:$AM$132=TRUE),--(calc!$AO$3:$AO$132=AO101))-1)/2,"")</f>
        <v/>
      </c>
      <c r="AT101" s="5">
        <f>IF(AM101,SUMPRODUCT(--(calc!$AM$3:$AM$132=TRUE),--(ROW(calc!$AM$3:$AM$132)&gt;ROW(AM101)),--(((calc!$AR$3:$AR$132&gt;AR101)*(calc!$AS$3:$AS$132&gt;AS101)+(calc!$AR$3:$AR$132&lt;AR101)*(calc!$AS$3:$AS$132&lt;AS101))&gt;0))-SUMPRODUCT(--(calc!$AM$3:$AM$132=TRUE),--(ROW(calc!$AM$3:$AM$132)&gt;ROW(AM101)),--(((calc!$AR$3:$AR$132&gt;AR101)*(calc!$AS$3:$AS$132&lt;AS101)+(calc!$AR$3:$AR$132&lt;AR101)*(calc!$AS$3:$AS$132&gt;AS101))&gt;0)),0)</f>
        <v/>
      </c>
      <c r="AU101" s="5">
        <f>IF(mos_metrics!K100="","",mos_metrics!K100)</f>
        <v/>
      </c>
      <c r="AV101" s="2">
        <f>AND($J101,ISNUMBER(AU101),correlation!$I$30=1)</f>
        <v/>
      </c>
      <c r="AW101" s="5">
        <f>IF(AV101,$F101,"")</f>
        <v/>
      </c>
      <c r="AX101" s="5">
        <f>IF(AV101,AU101*correlation!$J$30,"")</f>
        <v/>
      </c>
      <c r="AY101" s="5">
        <f>IF(AND(AV101,ISNUMBER(correlation!$F$30)),AX101*correlation!$F$30+correlation!$G$30,"")</f>
        <v/>
      </c>
      <c r="AZ101" s="5">
        <f>IF(AND(AV101,ISNUMBER(AY101)),(AW101-AY101)^2,"")</f>
        <v/>
      </c>
      <c r="BA101" s="5">
        <f>IF(AV101,1+SUMPRODUCT(--(calc!$AV$3:$AV$132=TRUE),--(calc!$AW$3:$AW$132&gt;AW101))+(SUMPRODUCT(--(calc!$AV$3:$AV$132=TRUE),--(calc!$AW$3:$AW$132=AW101))-1)/2,"")</f>
        <v/>
      </c>
      <c r="BB101" s="5">
        <f>IF(AV101,1+SUMPRODUCT(--(calc!$AV$3:$AV$132=TRUE),--(calc!$AX$3:$AX$132&gt;AX101))+(SUMPRODUCT(--(calc!$AV$3:$AV$132=TRUE),--(calc!$AX$3:$AX$132=AX101))-1)/2,"")</f>
        <v/>
      </c>
      <c r="BC101" s="5">
        <f>IF(AV101,SUMPRODUCT(--(calc!$AV$3:$AV$132=TRUE),--(ROW(calc!$AV$3:$AV$132)&gt;ROW(AV101)),--(((calc!$BA$3:$BA$132&gt;BA101)*(calc!$BB$3:$BB$132&gt;BB101)+(calc!$BA$3:$BA$132&lt;BA101)*(calc!$BB$3:$BB$132&lt;BB101))&gt;0))-SUMPRODUCT(--(calc!$AV$3:$AV$132=TRUE),--(ROW(calc!$AV$3:$AV$132)&gt;ROW(AV101)),--(((calc!$BA$3:$BA$132&gt;BA101)*(calc!$BB$3:$BB$132&lt;BB101)+(calc!$BA$3:$BA$132&lt;BA101)*(calc!$BB$3:$BB$132&gt;BB101))&gt;0)),0)</f>
        <v/>
      </c>
      <c r="BD101" s="5">
        <f>IF(mos_metrics!L100="","",mos_metrics!L100)</f>
        <v/>
      </c>
      <c r="BE101" s="2">
        <f>AND($J101,ISNUMBER(BD101),correlation!$I$31=1)</f>
        <v/>
      </c>
      <c r="BF101" s="5">
        <f>IF(BE101,$F101,"")</f>
        <v/>
      </c>
      <c r="BG101" s="5">
        <f>IF(BE101,BD101*correlation!$J$31,"")</f>
        <v/>
      </c>
      <c r="BH101" s="5">
        <f>IF(AND(BE101,ISNUMBER(correlation!$F$31)),BG101*correlation!$F$31+correlation!$G$31,"")</f>
        <v/>
      </c>
      <c r="BI101" s="5">
        <f>IF(AND(BE101,ISNUMBER(BH101)),(BF101-BH101)^2,"")</f>
        <v/>
      </c>
      <c r="BJ101" s="5">
        <f>IF(BE101,1+SUMPRODUCT(--(calc!$BE$3:$BE$132=TRUE),--(calc!$BF$3:$BF$132&gt;BF101))+(SUMPRODUCT(--(calc!$BE$3:$BE$132=TRUE),--(calc!$BF$3:$BF$132=BF101))-1)/2,"")</f>
        <v/>
      </c>
      <c r="BK101" s="5">
        <f>IF(BE101,1+SUMPRODUCT(--(calc!$BE$3:$BE$132=TRUE),--(calc!$BG$3:$BG$132&gt;BG101))+(SUMPRODUCT(--(calc!$BE$3:$BE$132=TRUE),--(calc!$BG$3:$BG$132=BG101))-1)/2,"")</f>
        <v/>
      </c>
      <c r="BL101" s="5">
        <f>IF(BE101,SUMPRODUCT(--(calc!$BE$3:$BE$132=TRUE),--(ROW(calc!$BE$3:$BE$132)&gt;ROW(BE101)),--(((calc!$BJ$3:$BJ$132&gt;BJ101)*(calc!$BK$3:$BK$132&gt;BK101)+(calc!$BJ$3:$BJ$132&lt;BJ101)*(calc!$BK$3:$BK$132&lt;BK101))&gt;0))-SUMPRODUCT(--(calc!$BE$3:$BE$132=TRUE),--(ROW(calc!$BE$3:$BE$132)&gt;ROW(BE101)),--(((calc!$BJ$3:$BJ$132&gt;BJ101)*(calc!$BK$3:$BK$132&lt;BK101)+(calc!$BJ$3:$BJ$132&lt;BJ101)*(calc!$BK$3:$BK$132&gt;BK101))&gt;0)),0)</f>
        <v/>
      </c>
      <c r="BM101" s="5">
        <f>IF(mos_metrics!M100="","",mos_metrics!M100)</f>
        <v/>
      </c>
      <c r="BN101" s="2">
        <f>AND($J101,ISNUMBER(BM101),correlation!$I$32=1)</f>
        <v/>
      </c>
      <c r="BO101" s="5">
        <f>IF(BN101,$F101,"")</f>
        <v/>
      </c>
      <c r="BP101" s="5">
        <f>IF(BN101,BM101*correlation!$J$32,"")</f>
        <v/>
      </c>
      <c r="BQ101" s="5">
        <f>IF(AND(BN101,ISNUMBER(correlation!$F$32)),BP101*correlation!$F$32+correlation!$G$32,"")</f>
        <v/>
      </c>
      <c r="BR101" s="5">
        <f>IF(AND(BN101,ISNUMBER(BQ101)),(BO101-BQ101)^2,"")</f>
        <v/>
      </c>
      <c r="BS101" s="5">
        <f>IF(BN101,1+SUMPRODUCT(--(calc!$BN$3:$BN$132=TRUE),--(calc!$BO$3:$BO$132&gt;BO101))+(SUMPRODUCT(--(calc!$BN$3:$BN$132=TRUE),--(calc!$BO$3:$BO$132=BO101))-1)/2,"")</f>
        <v/>
      </c>
      <c r="BT101" s="5">
        <f>IF(BN101,1+SUMPRODUCT(--(calc!$BN$3:$BN$132=TRUE),--(calc!$BP$3:$BP$132&gt;BP101))+(SUMPRODUCT(--(calc!$BN$3:$BN$132=TRUE),--(calc!$BP$3:$BP$132=BP101))-1)/2,"")</f>
        <v/>
      </c>
      <c r="BU101" s="5">
        <f>IF(BN101,SUMPRODUCT(--(calc!$BN$3:$BN$132=TRUE),--(ROW(calc!$BN$3:$BN$132)&gt;ROW(BN101)),--(((calc!$BS$3:$BS$132&gt;BS101)*(calc!$BT$3:$BT$132&gt;BT101)+(calc!$BS$3:$BS$132&lt;BS101)*(calc!$BT$3:$BT$132&lt;BT101))&gt;0))-SUMPRODUCT(--(calc!$BN$3:$BN$132=TRUE),--(ROW(calc!$BN$3:$BN$132)&gt;ROW(BN101)),--(((calc!$BS$3:$BS$132&gt;BS101)*(calc!$BT$3:$BT$132&lt;BT101)+(calc!$BS$3:$BS$132&lt;BS101)*(calc!$BT$3:$BT$132&gt;BT101))&gt;0)),0)</f>
        <v/>
      </c>
    </row>
    <row r="102">
      <c r="A102" s="2">
        <f>mos_metrics!A101</f>
        <v/>
      </c>
      <c r="B102" s="2">
        <f>mos_metrics!B101</f>
        <v/>
      </c>
      <c r="C102" s="2">
        <f>mos_metrics!C101</f>
        <v/>
      </c>
      <c r="D102" s="2">
        <f>mos_metrics!D101</f>
        <v/>
      </c>
      <c r="E102" s="2">
        <f>mos_metrics!E101</f>
        <v/>
      </c>
      <c r="F102" s="2">
        <f>mos_metrics!F101</f>
        <v/>
      </c>
      <c r="G102" s="2">
        <f>IF($B102="","",IFERROR(VLOOKUP($B102,correlation!$A$2:$B$12,2,FALSE),1))</f>
        <v/>
      </c>
      <c r="H102" s="2">
        <f>IF($E102="","",IFERROR(VLOOKUP($E102,correlation!$D$2:$E$8,2,FALSE),1))</f>
        <v/>
      </c>
      <c r="I102" s="2">
        <f>ISNUMBER($F102)</f>
        <v/>
      </c>
      <c r="J102" s="2">
        <f>AND($G102=1,$H102=1,$I102)</f>
        <v/>
      </c>
      <c r="K102" s="5">
        <f>IF(mos_metrics!G101="","",mos_metrics!G101)</f>
        <v/>
      </c>
      <c r="L102" s="2">
        <f>AND($J102,ISNUMBER(K102),correlation!$I$26=1)</f>
        <v/>
      </c>
      <c r="M102" s="5">
        <f>IF(L102,$F102,"")</f>
        <v/>
      </c>
      <c r="N102" s="5">
        <f>IF(L102,K102*correlation!$J$26,"")</f>
        <v/>
      </c>
      <c r="O102" s="5">
        <f>IF(AND(L102,ISNUMBER(correlation!$F$26)),N102*correlation!$F$26+correlation!$G$26,"")</f>
        <v/>
      </c>
      <c r="P102" s="5">
        <f>IF(AND(L102,ISNUMBER(O102)),(M102-O102)^2,"")</f>
        <v/>
      </c>
      <c r="Q102" s="5">
        <f>IF(L102,1+SUMPRODUCT(--(calc!$L$3:$L$132=TRUE),--(calc!$M$3:$M$132&gt;M102))+(SUMPRODUCT(--(calc!$L$3:$L$132=TRUE),--(calc!$M$3:$M$132=M102))-1)/2,"")</f>
        <v/>
      </c>
      <c r="R102" s="5">
        <f>IF(L102,1+SUMPRODUCT(--(calc!$L$3:$L$132=TRUE),--(calc!$N$3:$N$132&gt;N102))+(SUMPRODUCT(--(calc!$L$3:$L$132=TRUE),--(calc!$N$3:$N$132=N102))-1)/2,"")</f>
        <v/>
      </c>
      <c r="S102" s="5">
        <f>IF(L102,SUMPRODUCT(--(calc!$L$3:$L$132=TRUE),--(ROW(calc!$L$3:$L$132)&gt;ROW(L102)),--(((calc!$Q$3:$Q$132&gt;Q102)*(calc!$R$3:$R$132&gt;R102)+(calc!$Q$3:$Q$132&lt;Q102)*(calc!$R$3:$R$132&lt;R102))&gt;0))-SUMPRODUCT(--(calc!$L$3:$L$132=TRUE),--(ROW(calc!$L$3:$L$132)&gt;ROW(L102)),--(((calc!$Q$3:$Q$132&gt;Q102)*(calc!$R$3:$R$132&lt;R102)+(calc!$Q$3:$Q$132&lt;Q102)*(calc!$R$3:$R$132&gt;R102))&gt;0)),0)</f>
        <v/>
      </c>
      <c r="T102" s="5">
        <f>IF(mos_metrics!H101="","",mos_metrics!H101)</f>
        <v/>
      </c>
      <c r="U102" s="2">
        <f>AND($J102,ISNUMBER(T102),correlation!$I$27=1)</f>
        <v/>
      </c>
      <c r="V102" s="5">
        <f>IF(U102,$F102,"")</f>
        <v/>
      </c>
      <c r="W102" s="5">
        <f>IF(U102,T102*correlation!$J$27,"")</f>
        <v/>
      </c>
      <c r="X102" s="5">
        <f>IF(AND(U102,ISNUMBER(correlation!$F$27)),W102*correlation!$F$27+correlation!$G$27,"")</f>
        <v/>
      </c>
      <c r="Y102" s="5">
        <f>IF(AND(U102,ISNUMBER(X102)),(V102-X102)^2,"")</f>
        <v/>
      </c>
      <c r="Z102" s="5">
        <f>IF(U102,1+SUMPRODUCT(--(calc!$U$3:$U$132=TRUE),--(calc!$V$3:$V$132&gt;V102))+(SUMPRODUCT(--(calc!$U$3:$U$132=TRUE),--(calc!$V$3:$V$132=V102))-1)/2,"")</f>
        <v/>
      </c>
      <c r="AA102" s="5">
        <f>IF(U102,1+SUMPRODUCT(--(calc!$U$3:$U$132=TRUE),--(calc!$W$3:$W$132&gt;W102))+(SUMPRODUCT(--(calc!$U$3:$U$132=TRUE),--(calc!$W$3:$W$132=W102))-1)/2,"")</f>
        <v/>
      </c>
      <c r="AB102" s="5">
        <f>IF(U102,SUMPRODUCT(--(calc!$U$3:$U$132=TRUE),--(ROW(calc!$U$3:$U$132)&gt;ROW(U102)),--(((calc!$Z$3:$Z$132&gt;Z102)*(calc!$AA$3:$AA$132&gt;AA102)+(calc!$Z$3:$Z$132&lt;Z102)*(calc!$AA$3:$AA$132&lt;AA102))&gt;0))-SUMPRODUCT(--(calc!$U$3:$U$132=TRUE),--(ROW(calc!$U$3:$U$132)&gt;ROW(U102)),--(((calc!$Z$3:$Z$132&gt;Z102)*(calc!$AA$3:$AA$132&lt;AA102)+(calc!$Z$3:$Z$132&lt;Z102)*(calc!$AA$3:$AA$132&gt;AA102))&gt;0)),0)</f>
        <v/>
      </c>
      <c r="AC102" s="5">
        <f>IF(mos_metrics!I101="","",mos_metrics!I101)</f>
        <v/>
      </c>
      <c r="AD102" s="2">
        <f>AND($J102,ISNUMBER(AC102),correlation!$I$28=1)</f>
        <v/>
      </c>
      <c r="AE102" s="5">
        <f>IF(AD102,$F102,"")</f>
        <v/>
      </c>
      <c r="AF102" s="5">
        <f>IF(AD102,AC102*correlation!$J$28,"")</f>
        <v/>
      </c>
      <c r="AG102" s="5">
        <f>IF(AND(AD102,ISNUMBER(correlation!$F$28)),AF102*correlation!$F$28+correlation!$G$28,"")</f>
        <v/>
      </c>
      <c r="AH102" s="5">
        <f>IF(AND(AD102,ISNUMBER(AG102)),(AE102-AG102)^2,"")</f>
        <v/>
      </c>
      <c r="AI102" s="5">
        <f>IF(AD102,1+SUMPRODUCT(--(calc!$AD$3:$AD$132=TRUE),--(calc!$AE$3:$AE$132&gt;AE102))+(SUMPRODUCT(--(calc!$AD$3:$AD$132=TRUE),--(calc!$AE$3:$AE$132=AE102))-1)/2,"")</f>
        <v/>
      </c>
      <c r="AJ102" s="5">
        <f>IF(AD102,1+SUMPRODUCT(--(calc!$AD$3:$AD$132=TRUE),--(calc!$AF$3:$AF$132&gt;AF102))+(SUMPRODUCT(--(calc!$AD$3:$AD$132=TRUE),--(calc!$AF$3:$AF$132=AF102))-1)/2,"")</f>
        <v/>
      </c>
      <c r="AK102" s="5">
        <f>IF(AD102,SUMPRODUCT(--(calc!$AD$3:$AD$132=TRUE),--(ROW(calc!$AD$3:$AD$132)&gt;ROW(AD102)),--(((calc!$AI$3:$AI$132&gt;AI102)*(calc!$AJ$3:$AJ$132&gt;AJ102)+(calc!$AI$3:$AI$132&lt;AI102)*(calc!$AJ$3:$AJ$132&lt;AJ102))&gt;0))-SUMPRODUCT(--(calc!$AD$3:$AD$132=TRUE),--(ROW(calc!$AD$3:$AD$132)&gt;ROW(AD102)),--(((calc!$AI$3:$AI$132&gt;AI102)*(calc!$AJ$3:$AJ$132&lt;AJ102)+(calc!$AI$3:$AI$132&lt;AI102)*(calc!$AJ$3:$AJ$132&gt;AJ102))&gt;0)),0)</f>
        <v/>
      </c>
      <c r="AL102" s="5">
        <f>IF(mos_metrics!J101="","",mos_metrics!J101)</f>
        <v/>
      </c>
      <c r="AM102" s="2">
        <f>AND($J102,ISNUMBER(AL102),correlation!$I$29=1)</f>
        <v/>
      </c>
      <c r="AN102" s="5">
        <f>IF(AM102,$F102,"")</f>
        <v/>
      </c>
      <c r="AO102" s="5">
        <f>IF(AM102,AL102*correlation!$J$29,"")</f>
        <v/>
      </c>
      <c r="AP102" s="5">
        <f>IF(AND(AM102,ISNUMBER(correlation!$F$29)),AO102*correlation!$F$29+correlation!$G$29,"")</f>
        <v/>
      </c>
      <c r="AQ102" s="5">
        <f>IF(AND(AM102,ISNUMBER(AP102)),(AN102-AP102)^2,"")</f>
        <v/>
      </c>
      <c r="AR102" s="5">
        <f>IF(AM102,1+SUMPRODUCT(--(calc!$AM$3:$AM$132=TRUE),--(calc!$AN$3:$AN$132&gt;AN102))+(SUMPRODUCT(--(calc!$AM$3:$AM$132=TRUE),--(calc!$AN$3:$AN$132=AN102))-1)/2,"")</f>
        <v/>
      </c>
      <c r="AS102" s="5">
        <f>IF(AM102,1+SUMPRODUCT(--(calc!$AM$3:$AM$132=TRUE),--(calc!$AO$3:$AO$132&gt;AO102))+(SUMPRODUCT(--(calc!$AM$3:$AM$132=TRUE),--(calc!$AO$3:$AO$132=AO102))-1)/2,"")</f>
        <v/>
      </c>
      <c r="AT102" s="5">
        <f>IF(AM102,SUMPRODUCT(--(calc!$AM$3:$AM$132=TRUE),--(ROW(calc!$AM$3:$AM$132)&gt;ROW(AM102)),--(((calc!$AR$3:$AR$132&gt;AR102)*(calc!$AS$3:$AS$132&gt;AS102)+(calc!$AR$3:$AR$132&lt;AR102)*(calc!$AS$3:$AS$132&lt;AS102))&gt;0))-SUMPRODUCT(--(calc!$AM$3:$AM$132=TRUE),--(ROW(calc!$AM$3:$AM$132)&gt;ROW(AM102)),--(((calc!$AR$3:$AR$132&gt;AR102)*(calc!$AS$3:$AS$132&lt;AS102)+(calc!$AR$3:$AR$132&lt;AR102)*(calc!$AS$3:$AS$132&gt;AS102))&gt;0)),0)</f>
        <v/>
      </c>
      <c r="AU102" s="5">
        <f>IF(mos_metrics!K101="","",mos_metrics!K101)</f>
        <v/>
      </c>
      <c r="AV102" s="2">
        <f>AND($J102,ISNUMBER(AU102),correlation!$I$30=1)</f>
        <v/>
      </c>
      <c r="AW102" s="5">
        <f>IF(AV102,$F102,"")</f>
        <v/>
      </c>
      <c r="AX102" s="5">
        <f>IF(AV102,AU102*correlation!$J$30,"")</f>
        <v/>
      </c>
      <c r="AY102" s="5">
        <f>IF(AND(AV102,ISNUMBER(correlation!$F$30)),AX102*correlation!$F$30+correlation!$G$30,"")</f>
        <v/>
      </c>
      <c r="AZ102" s="5">
        <f>IF(AND(AV102,ISNUMBER(AY102)),(AW102-AY102)^2,"")</f>
        <v/>
      </c>
      <c r="BA102" s="5">
        <f>IF(AV102,1+SUMPRODUCT(--(calc!$AV$3:$AV$132=TRUE),--(calc!$AW$3:$AW$132&gt;AW102))+(SUMPRODUCT(--(calc!$AV$3:$AV$132=TRUE),--(calc!$AW$3:$AW$132=AW102))-1)/2,"")</f>
        <v/>
      </c>
      <c r="BB102" s="5">
        <f>IF(AV102,1+SUMPRODUCT(--(calc!$AV$3:$AV$132=TRUE),--(calc!$AX$3:$AX$132&gt;AX102))+(SUMPRODUCT(--(calc!$AV$3:$AV$132=TRUE),--(calc!$AX$3:$AX$132=AX102))-1)/2,"")</f>
        <v/>
      </c>
      <c r="BC102" s="5">
        <f>IF(AV102,SUMPRODUCT(--(calc!$AV$3:$AV$132=TRUE),--(ROW(calc!$AV$3:$AV$132)&gt;ROW(AV102)),--(((calc!$BA$3:$BA$132&gt;BA102)*(calc!$BB$3:$BB$132&gt;BB102)+(calc!$BA$3:$BA$132&lt;BA102)*(calc!$BB$3:$BB$132&lt;BB102))&gt;0))-SUMPRODUCT(--(calc!$AV$3:$AV$132=TRUE),--(ROW(calc!$AV$3:$AV$132)&gt;ROW(AV102)),--(((calc!$BA$3:$BA$132&gt;BA102)*(calc!$BB$3:$BB$132&lt;BB102)+(calc!$BA$3:$BA$132&lt;BA102)*(calc!$BB$3:$BB$132&gt;BB102))&gt;0)),0)</f>
        <v/>
      </c>
      <c r="BD102" s="5">
        <f>IF(mos_metrics!L101="","",mos_metrics!L101)</f>
        <v/>
      </c>
      <c r="BE102" s="2">
        <f>AND($J102,ISNUMBER(BD102),correlation!$I$31=1)</f>
        <v/>
      </c>
      <c r="BF102" s="5">
        <f>IF(BE102,$F102,"")</f>
        <v/>
      </c>
      <c r="BG102" s="5">
        <f>IF(BE102,BD102*correlation!$J$31,"")</f>
        <v/>
      </c>
      <c r="BH102" s="5">
        <f>IF(AND(BE102,ISNUMBER(correlation!$F$31)),BG102*correlation!$F$31+correlation!$G$31,"")</f>
        <v/>
      </c>
      <c r="BI102" s="5">
        <f>IF(AND(BE102,ISNUMBER(BH102)),(BF102-BH102)^2,"")</f>
        <v/>
      </c>
      <c r="BJ102" s="5">
        <f>IF(BE102,1+SUMPRODUCT(--(calc!$BE$3:$BE$132=TRUE),--(calc!$BF$3:$BF$132&gt;BF102))+(SUMPRODUCT(--(calc!$BE$3:$BE$132=TRUE),--(calc!$BF$3:$BF$132=BF102))-1)/2,"")</f>
        <v/>
      </c>
      <c r="BK102" s="5">
        <f>IF(BE102,1+SUMPRODUCT(--(calc!$BE$3:$BE$132=TRUE),--(calc!$BG$3:$BG$132&gt;BG102))+(SUMPRODUCT(--(calc!$BE$3:$BE$132=TRUE),--(calc!$BG$3:$BG$132=BG102))-1)/2,"")</f>
        <v/>
      </c>
      <c r="BL102" s="5">
        <f>IF(BE102,SUMPRODUCT(--(calc!$BE$3:$BE$132=TRUE),--(ROW(calc!$BE$3:$BE$132)&gt;ROW(BE102)),--(((calc!$BJ$3:$BJ$132&gt;BJ102)*(calc!$BK$3:$BK$132&gt;BK102)+(calc!$BJ$3:$BJ$132&lt;BJ102)*(calc!$BK$3:$BK$132&lt;BK102))&gt;0))-SUMPRODUCT(--(calc!$BE$3:$BE$132=TRUE),--(ROW(calc!$BE$3:$BE$132)&gt;ROW(BE102)),--(((calc!$BJ$3:$BJ$132&gt;BJ102)*(calc!$BK$3:$BK$132&lt;BK102)+(calc!$BJ$3:$BJ$132&lt;BJ102)*(calc!$BK$3:$BK$132&gt;BK102))&gt;0)),0)</f>
        <v/>
      </c>
      <c r="BM102" s="5">
        <f>IF(mos_metrics!M101="","",mos_metrics!M101)</f>
        <v/>
      </c>
      <c r="BN102" s="2">
        <f>AND($J102,ISNUMBER(BM102),correlation!$I$32=1)</f>
        <v/>
      </c>
      <c r="BO102" s="5">
        <f>IF(BN102,$F102,"")</f>
        <v/>
      </c>
      <c r="BP102" s="5">
        <f>IF(BN102,BM102*correlation!$J$32,"")</f>
        <v/>
      </c>
      <c r="BQ102" s="5">
        <f>IF(AND(BN102,ISNUMBER(correlation!$F$32)),BP102*correlation!$F$32+correlation!$G$32,"")</f>
        <v/>
      </c>
      <c r="BR102" s="5">
        <f>IF(AND(BN102,ISNUMBER(BQ102)),(BO102-BQ102)^2,"")</f>
        <v/>
      </c>
      <c r="BS102" s="5">
        <f>IF(BN102,1+SUMPRODUCT(--(calc!$BN$3:$BN$132=TRUE),--(calc!$BO$3:$BO$132&gt;BO102))+(SUMPRODUCT(--(calc!$BN$3:$BN$132=TRUE),--(calc!$BO$3:$BO$132=BO102))-1)/2,"")</f>
        <v/>
      </c>
      <c r="BT102" s="5">
        <f>IF(BN102,1+SUMPRODUCT(--(calc!$BN$3:$BN$132=TRUE),--(calc!$BP$3:$BP$132&gt;BP102))+(SUMPRODUCT(--(calc!$BN$3:$BN$132=TRUE),--(calc!$BP$3:$BP$132=BP102))-1)/2,"")</f>
        <v/>
      </c>
      <c r="BU102" s="5">
        <f>IF(BN102,SUMPRODUCT(--(calc!$BN$3:$BN$132=TRUE),--(ROW(calc!$BN$3:$BN$132)&gt;ROW(BN102)),--(((calc!$BS$3:$BS$132&gt;BS102)*(calc!$BT$3:$BT$132&gt;BT102)+(calc!$BS$3:$BS$132&lt;BS102)*(calc!$BT$3:$BT$132&lt;BT102))&gt;0))-SUMPRODUCT(--(calc!$BN$3:$BN$132=TRUE),--(ROW(calc!$BN$3:$BN$132)&gt;ROW(BN102)),--(((calc!$BS$3:$BS$132&gt;BS102)*(calc!$BT$3:$BT$132&lt;BT102)+(calc!$BS$3:$BS$132&lt;BS102)*(calc!$BT$3:$BT$132&gt;BT102))&gt;0)),0)</f>
        <v/>
      </c>
    </row>
    <row r="103">
      <c r="A103" s="2">
        <f>mos_metrics!A102</f>
        <v/>
      </c>
      <c r="B103" s="2">
        <f>mos_metrics!B102</f>
        <v/>
      </c>
      <c r="C103" s="2">
        <f>mos_metrics!C102</f>
        <v/>
      </c>
      <c r="D103" s="2">
        <f>mos_metrics!D102</f>
        <v/>
      </c>
      <c r="E103" s="2">
        <f>mos_metrics!E102</f>
        <v/>
      </c>
      <c r="F103" s="2">
        <f>mos_metrics!F102</f>
        <v/>
      </c>
      <c r="G103" s="2">
        <f>IF($B103="","",IFERROR(VLOOKUP($B103,correlation!$A$2:$B$12,2,FALSE),1))</f>
        <v/>
      </c>
      <c r="H103" s="2">
        <f>IF($E103="","",IFERROR(VLOOKUP($E103,correlation!$D$2:$E$8,2,FALSE),1))</f>
        <v/>
      </c>
      <c r="I103" s="2">
        <f>ISNUMBER($F103)</f>
        <v/>
      </c>
      <c r="J103" s="2">
        <f>AND($G103=1,$H103=1,$I103)</f>
        <v/>
      </c>
      <c r="K103" s="5">
        <f>IF(mos_metrics!G102="","",mos_metrics!G102)</f>
        <v/>
      </c>
      <c r="L103" s="2">
        <f>AND($J103,ISNUMBER(K103),correlation!$I$26=1)</f>
        <v/>
      </c>
      <c r="M103" s="5">
        <f>IF(L103,$F103,"")</f>
        <v/>
      </c>
      <c r="N103" s="5">
        <f>IF(L103,K103*correlation!$J$26,"")</f>
        <v/>
      </c>
      <c r="O103" s="5">
        <f>IF(AND(L103,ISNUMBER(correlation!$F$26)),N103*correlation!$F$26+correlation!$G$26,"")</f>
        <v/>
      </c>
      <c r="P103" s="5">
        <f>IF(AND(L103,ISNUMBER(O103)),(M103-O103)^2,"")</f>
        <v/>
      </c>
      <c r="Q103" s="5">
        <f>IF(L103,1+SUMPRODUCT(--(calc!$L$3:$L$132=TRUE),--(calc!$M$3:$M$132&gt;M103))+(SUMPRODUCT(--(calc!$L$3:$L$132=TRUE),--(calc!$M$3:$M$132=M103))-1)/2,"")</f>
        <v/>
      </c>
      <c r="R103" s="5">
        <f>IF(L103,1+SUMPRODUCT(--(calc!$L$3:$L$132=TRUE),--(calc!$N$3:$N$132&gt;N103))+(SUMPRODUCT(--(calc!$L$3:$L$132=TRUE),--(calc!$N$3:$N$132=N103))-1)/2,"")</f>
        <v/>
      </c>
      <c r="S103" s="5">
        <f>IF(L103,SUMPRODUCT(--(calc!$L$3:$L$132=TRUE),--(ROW(calc!$L$3:$L$132)&gt;ROW(L103)),--(((calc!$Q$3:$Q$132&gt;Q103)*(calc!$R$3:$R$132&gt;R103)+(calc!$Q$3:$Q$132&lt;Q103)*(calc!$R$3:$R$132&lt;R103))&gt;0))-SUMPRODUCT(--(calc!$L$3:$L$132=TRUE),--(ROW(calc!$L$3:$L$132)&gt;ROW(L103)),--(((calc!$Q$3:$Q$132&gt;Q103)*(calc!$R$3:$R$132&lt;R103)+(calc!$Q$3:$Q$132&lt;Q103)*(calc!$R$3:$R$132&gt;R103))&gt;0)),0)</f>
        <v/>
      </c>
      <c r="T103" s="5">
        <f>IF(mos_metrics!H102="","",mos_metrics!H102)</f>
        <v/>
      </c>
      <c r="U103" s="2">
        <f>AND($J103,ISNUMBER(T103),correlation!$I$27=1)</f>
        <v/>
      </c>
      <c r="V103" s="5">
        <f>IF(U103,$F103,"")</f>
        <v/>
      </c>
      <c r="W103" s="5">
        <f>IF(U103,T103*correlation!$J$27,"")</f>
        <v/>
      </c>
      <c r="X103" s="5">
        <f>IF(AND(U103,ISNUMBER(correlation!$F$27)),W103*correlation!$F$27+correlation!$G$27,"")</f>
        <v/>
      </c>
      <c r="Y103" s="5">
        <f>IF(AND(U103,ISNUMBER(X103)),(V103-X103)^2,"")</f>
        <v/>
      </c>
      <c r="Z103" s="5">
        <f>IF(U103,1+SUMPRODUCT(--(calc!$U$3:$U$132=TRUE),--(calc!$V$3:$V$132&gt;V103))+(SUMPRODUCT(--(calc!$U$3:$U$132=TRUE),--(calc!$V$3:$V$132=V103))-1)/2,"")</f>
        <v/>
      </c>
      <c r="AA103" s="5">
        <f>IF(U103,1+SUMPRODUCT(--(calc!$U$3:$U$132=TRUE),--(calc!$W$3:$W$132&gt;W103))+(SUMPRODUCT(--(calc!$U$3:$U$132=TRUE),--(calc!$W$3:$W$132=W103))-1)/2,"")</f>
        <v/>
      </c>
      <c r="AB103" s="5">
        <f>IF(U103,SUMPRODUCT(--(calc!$U$3:$U$132=TRUE),--(ROW(calc!$U$3:$U$132)&gt;ROW(U103)),--(((calc!$Z$3:$Z$132&gt;Z103)*(calc!$AA$3:$AA$132&gt;AA103)+(calc!$Z$3:$Z$132&lt;Z103)*(calc!$AA$3:$AA$132&lt;AA103))&gt;0))-SUMPRODUCT(--(calc!$U$3:$U$132=TRUE),--(ROW(calc!$U$3:$U$132)&gt;ROW(U103)),--(((calc!$Z$3:$Z$132&gt;Z103)*(calc!$AA$3:$AA$132&lt;AA103)+(calc!$Z$3:$Z$132&lt;Z103)*(calc!$AA$3:$AA$132&gt;AA103))&gt;0)),0)</f>
        <v/>
      </c>
      <c r="AC103" s="5">
        <f>IF(mos_metrics!I102="","",mos_metrics!I102)</f>
        <v/>
      </c>
      <c r="AD103" s="2">
        <f>AND($J103,ISNUMBER(AC103),correlation!$I$28=1)</f>
        <v/>
      </c>
      <c r="AE103" s="5">
        <f>IF(AD103,$F103,"")</f>
        <v/>
      </c>
      <c r="AF103" s="5">
        <f>IF(AD103,AC103*correlation!$J$28,"")</f>
        <v/>
      </c>
      <c r="AG103" s="5">
        <f>IF(AND(AD103,ISNUMBER(correlation!$F$28)),AF103*correlation!$F$28+correlation!$G$28,"")</f>
        <v/>
      </c>
      <c r="AH103" s="5">
        <f>IF(AND(AD103,ISNUMBER(AG103)),(AE103-AG103)^2,"")</f>
        <v/>
      </c>
      <c r="AI103" s="5">
        <f>IF(AD103,1+SUMPRODUCT(--(calc!$AD$3:$AD$132=TRUE),--(calc!$AE$3:$AE$132&gt;AE103))+(SUMPRODUCT(--(calc!$AD$3:$AD$132=TRUE),--(calc!$AE$3:$AE$132=AE103))-1)/2,"")</f>
        <v/>
      </c>
      <c r="AJ103" s="5">
        <f>IF(AD103,1+SUMPRODUCT(--(calc!$AD$3:$AD$132=TRUE),--(calc!$AF$3:$AF$132&gt;AF103))+(SUMPRODUCT(--(calc!$AD$3:$AD$132=TRUE),--(calc!$AF$3:$AF$132=AF103))-1)/2,"")</f>
        <v/>
      </c>
      <c r="AK103" s="5">
        <f>IF(AD103,SUMPRODUCT(--(calc!$AD$3:$AD$132=TRUE),--(ROW(calc!$AD$3:$AD$132)&gt;ROW(AD103)),--(((calc!$AI$3:$AI$132&gt;AI103)*(calc!$AJ$3:$AJ$132&gt;AJ103)+(calc!$AI$3:$AI$132&lt;AI103)*(calc!$AJ$3:$AJ$132&lt;AJ103))&gt;0))-SUMPRODUCT(--(calc!$AD$3:$AD$132=TRUE),--(ROW(calc!$AD$3:$AD$132)&gt;ROW(AD103)),--(((calc!$AI$3:$AI$132&gt;AI103)*(calc!$AJ$3:$AJ$132&lt;AJ103)+(calc!$AI$3:$AI$132&lt;AI103)*(calc!$AJ$3:$AJ$132&gt;AJ103))&gt;0)),0)</f>
        <v/>
      </c>
      <c r="AL103" s="5">
        <f>IF(mos_metrics!J102="","",mos_metrics!J102)</f>
        <v/>
      </c>
      <c r="AM103" s="2">
        <f>AND($J103,ISNUMBER(AL103),correlation!$I$29=1)</f>
        <v/>
      </c>
      <c r="AN103" s="5">
        <f>IF(AM103,$F103,"")</f>
        <v/>
      </c>
      <c r="AO103" s="5">
        <f>IF(AM103,AL103*correlation!$J$29,"")</f>
        <v/>
      </c>
      <c r="AP103" s="5">
        <f>IF(AND(AM103,ISNUMBER(correlation!$F$29)),AO103*correlation!$F$29+correlation!$G$29,"")</f>
        <v/>
      </c>
      <c r="AQ103" s="5">
        <f>IF(AND(AM103,ISNUMBER(AP103)),(AN103-AP103)^2,"")</f>
        <v/>
      </c>
      <c r="AR103" s="5">
        <f>IF(AM103,1+SUMPRODUCT(--(calc!$AM$3:$AM$132=TRUE),--(calc!$AN$3:$AN$132&gt;AN103))+(SUMPRODUCT(--(calc!$AM$3:$AM$132=TRUE),--(calc!$AN$3:$AN$132=AN103))-1)/2,"")</f>
        <v/>
      </c>
      <c r="AS103" s="5">
        <f>IF(AM103,1+SUMPRODUCT(--(calc!$AM$3:$AM$132=TRUE),--(calc!$AO$3:$AO$132&gt;AO103))+(SUMPRODUCT(--(calc!$AM$3:$AM$132=TRUE),--(calc!$AO$3:$AO$132=AO103))-1)/2,"")</f>
        <v/>
      </c>
      <c r="AT103" s="5">
        <f>IF(AM103,SUMPRODUCT(--(calc!$AM$3:$AM$132=TRUE),--(ROW(calc!$AM$3:$AM$132)&gt;ROW(AM103)),--(((calc!$AR$3:$AR$132&gt;AR103)*(calc!$AS$3:$AS$132&gt;AS103)+(calc!$AR$3:$AR$132&lt;AR103)*(calc!$AS$3:$AS$132&lt;AS103))&gt;0))-SUMPRODUCT(--(calc!$AM$3:$AM$132=TRUE),--(ROW(calc!$AM$3:$AM$132)&gt;ROW(AM103)),--(((calc!$AR$3:$AR$132&gt;AR103)*(calc!$AS$3:$AS$132&lt;AS103)+(calc!$AR$3:$AR$132&lt;AR103)*(calc!$AS$3:$AS$132&gt;AS103))&gt;0)),0)</f>
        <v/>
      </c>
      <c r="AU103" s="5">
        <f>IF(mos_metrics!K102="","",mos_metrics!K102)</f>
        <v/>
      </c>
      <c r="AV103" s="2">
        <f>AND($J103,ISNUMBER(AU103),correlation!$I$30=1)</f>
        <v/>
      </c>
      <c r="AW103" s="5">
        <f>IF(AV103,$F103,"")</f>
        <v/>
      </c>
      <c r="AX103" s="5">
        <f>IF(AV103,AU103*correlation!$J$30,"")</f>
        <v/>
      </c>
      <c r="AY103" s="5">
        <f>IF(AND(AV103,ISNUMBER(correlation!$F$30)),AX103*correlation!$F$30+correlation!$G$30,"")</f>
        <v/>
      </c>
      <c r="AZ103" s="5">
        <f>IF(AND(AV103,ISNUMBER(AY103)),(AW103-AY103)^2,"")</f>
        <v/>
      </c>
      <c r="BA103" s="5">
        <f>IF(AV103,1+SUMPRODUCT(--(calc!$AV$3:$AV$132=TRUE),--(calc!$AW$3:$AW$132&gt;AW103))+(SUMPRODUCT(--(calc!$AV$3:$AV$132=TRUE),--(calc!$AW$3:$AW$132=AW103))-1)/2,"")</f>
        <v/>
      </c>
      <c r="BB103" s="5">
        <f>IF(AV103,1+SUMPRODUCT(--(calc!$AV$3:$AV$132=TRUE),--(calc!$AX$3:$AX$132&gt;AX103))+(SUMPRODUCT(--(calc!$AV$3:$AV$132=TRUE),--(calc!$AX$3:$AX$132=AX103))-1)/2,"")</f>
        <v/>
      </c>
      <c r="BC103" s="5">
        <f>IF(AV103,SUMPRODUCT(--(calc!$AV$3:$AV$132=TRUE),--(ROW(calc!$AV$3:$AV$132)&gt;ROW(AV103)),--(((calc!$BA$3:$BA$132&gt;BA103)*(calc!$BB$3:$BB$132&gt;BB103)+(calc!$BA$3:$BA$132&lt;BA103)*(calc!$BB$3:$BB$132&lt;BB103))&gt;0))-SUMPRODUCT(--(calc!$AV$3:$AV$132=TRUE),--(ROW(calc!$AV$3:$AV$132)&gt;ROW(AV103)),--(((calc!$BA$3:$BA$132&gt;BA103)*(calc!$BB$3:$BB$132&lt;BB103)+(calc!$BA$3:$BA$132&lt;BA103)*(calc!$BB$3:$BB$132&gt;BB103))&gt;0)),0)</f>
        <v/>
      </c>
      <c r="BD103" s="5">
        <f>IF(mos_metrics!L102="","",mos_metrics!L102)</f>
        <v/>
      </c>
      <c r="BE103" s="2">
        <f>AND($J103,ISNUMBER(BD103),correlation!$I$31=1)</f>
        <v/>
      </c>
      <c r="BF103" s="5">
        <f>IF(BE103,$F103,"")</f>
        <v/>
      </c>
      <c r="BG103" s="5">
        <f>IF(BE103,BD103*correlation!$J$31,"")</f>
        <v/>
      </c>
      <c r="BH103" s="5">
        <f>IF(AND(BE103,ISNUMBER(correlation!$F$31)),BG103*correlation!$F$31+correlation!$G$31,"")</f>
        <v/>
      </c>
      <c r="BI103" s="5">
        <f>IF(AND(BE103,ISNUMBER(BH103)),(BF103-BH103)^2,"")</f>
        <v/>
      </c>
      <c r="BJ103" s="5">
        <f>IF(BE103,1+SUMPRODUCT(--(calc!$BE$3:$BE$132=TRUE),--(calc!$BF$3:$BF$132&gt;BF103))+(SUMPRODUCT(--(calc!$BE$3:$BE$132=TRUE),--(calc!$BF$3:$BF$132=BF103))-1)/2,"")</f>
        <v/>
      </c>
      <c r="BK103" s="5">
        <f>IF(BE103,1+SUMPRODUCT(--(calc!$BE$3:$BE$132=TRUE),--(calc!$BG$3:$BG$132&gt;BG103))+(SUMPRODUCT(--(calc!$BE$3:$BE$132=TRUE),--(calc!$BG$3:$BG$132=BG103))-1)/2,"")</f>
        <v/>
      </c>
      <c r="BL103" s="5">
        <f>IF(BE103,SUMPRODUCT(--(calc!$BE$3:$BE$132=TRUE),--(ROW(calc!$BE$3:$BE$132)&gt;ROW(BE103)),--(((calc!$BJ$3:$BJ$132&gt;BJ103)*(calc!$BK$3:$BK$132&gt;BK103)+(calc!$BJ$3:$BJ$132&lt;BJ103)*(calc!$BK$3:$BK$132&lt;BK103))&gt;0))-SUMPRODUCT(--(calc!$BE$3:$BE$132=TRUE),--(ROW(calc!$BE$3:$BE$132)&gt;ROW(BE103)),--(((calc!$BJ$3:$BJ$132&gt;BJ103)*(calc!$BK$3:$BK$132&lt;BK103)+(calc!$BJ$3:$BJ$132&lt;BJ103)*(calc!$BK$3:$BK$132&gt;BK103))&gt;0)),0)</f>
        <v/>
      </c>
      <c r="BM103" s="5">
        <f>IF(mos_metrics!M102="","",mos_metrics!M102)</f>
        <v/>
      </c>
      <c r="BN103" s="2">
        <f>AND($J103,ISNUMBER(BM103),correlation!$I$32=1)</f>
        <v/>
      </c>
      <c r="BO103" s="5">
        <f>IF(BN103,$F103,"")</f>
        <v/>
      </c>
      <c r="BP103" s="5">
        <f>IF(BN103,BM103*correlation!$J$32,"")</f>
        <v/>
      </c>
      <c r="BQ103" s="5">
        <f>IF(AND(BN103,ISNUMBER(correlation!$F$32)),BP103*correlation!$F$32+correlation!$G$32,"")</f>
        <v/>
      </c>
      <c r="BR103" s="5">
        <f>IF(AND(BN103,ISNUMBER(BQ103)),(BO103-BQ103)^2,"")</f>
        <v/>
      </c>
      <c r="BS103" s="5">
        <f>IF(BN103,1+SUMPRODUCT(--(calc!$BN$3:$BN$132=TRUE),--(calc!$BO$3:$BO$132&gt;BO103))+(SUMPRODUCT(--(calc!$BN$3:$BN$132=TRUE),--(calc!$BO$3:$BO$132=BO103))-1)/2,"")</f>
        <v/>
      </c>
      <c r="BT103" s="5">
        <f>IF(BN103,1+SUMPRODUCT(--(calc!$BN$3:$BN$132=TRUE),--(calc!$BP$3:$BP$132&gt;BP103))+(SUMPRODUCT(--(calc!$BN$3:$BN$132=TRUE),--(calc!$BP$3:$BP$132=BP103))-1)/2,"")</f>
        <v/>
      </c>
      <c r="BU103" s="5">
        <f>IF(BN103,SUMPRODUCT(--(calc!$BN$3:$BN$132=TRUE),--(ROW(calc!$BN$3:$BN$132)&gt;ROW(BN103)),--(((calc!$BS$3:$BS$132&gt;BS103)*(calc!$BT$3:$BT$132&gt;BT103)+(calc!$BS$3:$BS$132&lt;BS103)*(calc!$BT$3:$BT$132&lt;BT103))&gt;0))-SUMPRODUCT(--(calc!$BN$3:$BN$132=TRUE),--(ROW(calc!$BN$3:$BN$132)&gt;ROW(BN103)),--(((calc!$BS$3:$BS$132&gt;BS103)*(calc!$BT$3:$BT$132&lt;BT103)+(calc!$BS$3:$BS$132&lt;BS103)*(calc!$BT$3:$BT$132&gt;BT103))&gt;0)),0)</f>
        <v/>
      </c>
    </row>
    <row r="104">
      <c r="A104" s="2">
        <f>mos_metrics!A103</f>
        <v/>
      </c>
      <c r="B104" s="2">
        <f>mos_metrics!B103</f>
        <v/>
      </c>
      <c r="C104" s="2">
        <f>mos_metrics!C103</f>
        <v/>
      </c>
      <c r="D104" s="2">
        <f>mos_metrics!D103</f>
        <v/>
      </c>
      <c r="E104" s="2">
        <f>mos_metrics!E103</f>
        <v/>
      </c>
      <c r="F104" s="2">
        <f>mos_metrics!F103</f>
        <v/>
      </c>
      <c r="G104" s="2">
        <f>IF($B104="","",IFERROR(VLOOKUP($B104,correlation!$A$2:$B$12,2,FALSE),1))</f>
        <v/>
      </c>
      <c r="H104" s="2">
        <f>IF($E104="","",IFERROR(VLOOKUP($E104,correlation!$D$2:$E$8,2,FALSE),1))</f>
        <v/>
      </c>
      <c r="I104" s="2">
        <f>ISNUMBER($F104)</f>
        <v/>
      </c>
      <c r="J104" s="2">
        <f>AND($G104=1,$H104=1,$I104)</f>
        <v/>
      </c>
      <c r="K104" s="5">
        <f>IF(mos_metrics!G103="","",mos_metrics!G103)</f>
        <v/>
      </c>
      <c r="L104" s="2">
        <f>AND($J104,ISNUMBER(K104),correlation!$I$26=1)</f>
        <v/>
      </c>
      <c r="M104" s="5">
        <f>IF(L104,$F104,"")</f>
        <v/>
      </c>
      <c r="N104" s="5">
        <f>IF(L104,K104*correlation!$J$26,"")</f>
        <v/>
      </c>
      <c r="O104" s="5">
        <f>IF(AND(L104,ISNUMBER(correlation!$F$26)),N104*correlation!$F$26+correlation!$G$26,"")</f>
        <v/>
      </c>
      <c r="P104" s="5">
        <f>IF(AND(L104,ISNUMBER(O104)),(M104-O104)^2,"")</f>
        <v/>
      </c>
      <c r="Q104" s="5">
        <f>IF(L104,1+SUMPRODUCT(--(calc!$L$3:$L$132=TRUE),--(calc!$M$3:$M$132&gt;M104))+(SUMPRODUCT(--(calc!$L$3:$L$132=TRUE),--(calc!$M$3:$M$132=M104))-1)/2,"")</f>
        <v/>
      </c>
      <c r="R104" s="5">
        <f>IF(L104,1+SUMPRODUCT(--(calc!$L$3:$L$132=TRUE),--(calc!$N$3:$N$132&gt;N104))+(SUMPRODUCT(--(calc!$L$3:$L$132=TRUE),--(calc!$N$3:$N$132=N104))-1)/2,"")</f>
        <v/>
      </c>
      <c r="S104" s="5">
        <f>IF(L104,SUMPRODUCT(--(calc!$L$3:$L$132=TRUE),--(ROW(calc!$L$3:$L$132)&gt;ROW(L104)),--(((calc!$Q$3:$Q$132&gt;Q104)*(calc!$R$3:$R$132&gt;R104)+(calc!$Q$3:$Q$132&lt;Q104)*(calc!$R$3:$R$132&lt;R104))&gt;0))-SUMPRODUCT(--(calc!$L$3:$L$132=TRUE),--(ROW(calc!$L$3:$L$132)&gt;ROW(L104)),--(((calc!$Q$3:$Q$132&gt;Q104)*(calc!$R$3:$R$132&lt;R104)+(calc!$Q$3:$Q$132&lt;Q104)*(calc!$R$3:$R$132&gt;R104))&gt;0)),0)</f>
        <v/>
      </c>
      <c r="T104" s="5">
        <f>IF(mos_metrics!H103="","",mos_metrics!H103)</f>
        <v/>
      </c>
      <c r="U104" s="2">
        <f>AND($J104,ISNUMBER(T104),correlation!$I$27=1)</f>
        <v/>
      </c>
      <c r="V104" s="5">
        <f>IF(U104,$F104,"")</f>
        <v/>
      </c>
      <c r="W104" s="5">
        <f>IF(U104,T104*correlation!$J$27,"")</f>
        <v/>
      </c>
      <c r="X104" s="5">
        <f>IF(AND(U104,ISNUMBER(correlation!$F$27)),W104*correlation!$F$27+correlation!$G$27,"")</f>
        <v/>
      </c>
      <c r="Y104" s="5">
        <f>IF(AND(U104,ISNUMBER(X104)),(V104-X104)^2,"")</f>
        <v/>
      </c>
      <c r="Z104" s="5">
        <f>IF(U104,1+SUMPRODUCT(--(calc!$U$3:$U$132=TRUE),--(calc!$V$3:$V$132&gt;V104))+(SUMPRODUCT(--(calc!$U$3:$U$132=TRUE),--(calc!$V$3:$V$132=V104))-1)/2,"")</f>
        <v/>
      </c>
      <c r="AA104" s="5">
        <f>IF(U104,1+SUMPRODUCT(--(calc!$U$3:$U$132=TRUE),--(calc!$W$3:$W$132&gt;W104))+(SUMPRODUCT(--(calc!$U$3:$U$132=TRUE),--(calc!$W$3:$W$132=W104))-1)/2,"")</f>
        <v/>
      </c>
      <c r="AB104" s="5">
        <f>IF(U104,SUMPRODUCT(--(calc!$U$3:$U$132=TRUE),--(ROW(calc!$U$3:$U$132)&gt;ROW(U104)),--(((calc!$Z$3:$Z$132&gt;Z104)*(calc!$AA$3:$AA$132&gt;AA104)+(calc!$Z$3:$Z$132&lt;Z104)*(calc!$AA$3:$AA$132&lt;AA104))&gt;0))-SUMPRODUCT(--(calc!$U$3:$U$132=TRUE),--(ROW(calc!$U$3:$U$132)&gt;ROW(U104)),--(((calc!$Z$3:$Z$132&gt;Z104)*(calc!$AA$3:$AA$132&lt;AA104)+(calc!$Z$3:$Z$132&lt;Z104)*(calc!$AA$3:$AA$132&gt;AA104))&gt;0)),0)</f>
        <v/>
      </c>
      <c r="AC104" s="5">
        <f>IF(mos_metrics!I103="","",mos_metrics!I103)</f>
        <v/>
      </c>
      <c r="AD104" s="2">
        <f>AND($J104,ISNUMBER(AC104),correlation!$I$28=1)</f>
        <v/>
      </c>
      <c r="AE104" s="5">
        <f>IF(AD104,$F104,"")</f>
        <v/>
      </c>
      <c r="AF104" s="5">
        <f>IF(AD104,AC104*correlation!$J$28,"")</f>
        <v/>
      </c>
      <c r="AG104" s="5">
        <f>IF(AND(AD104,ISNUMBER(correlation!$F$28)),AF104*correlation!$F$28+correlation!$G$28,"")</f>
        <v/>
      </c>
      <c r="AH104" s="5">
        <f>IF(AND(AD104,ISNUMBER(AG104)),(AE104-AG104)^2,"")</f>
        <v/>
      </c>
      <c r="AI104" s="5">
        <f>IF(AD104,1+SUMPRODUCT(--(calc!$AD$3:$AD$132=TRUE),--(calc!$AE$3:$AE$132&gt;AE104))+(SUMPRODUCT(--(calc!$AD$3:$AD$132=TRUE),--(calc!$AE$3:$AE$132=AE104))-1)/2,"")</f>
        <v/>
      </c>
      <c r="AJ104" s="5">
        <f>IF(AD104,1+SUMPRODUCT(--(calc!$AD$3:$AD$132=TRUE),--(calc!$AF$3:$AF$132&gt;AF104))+(SUMPRODUCT(--(calc!$AD$3:$AD$132=TRUE),--(calc!$AF$3:$AF$132=AF104))-1)/2,"")</f>
        <v/>
      </c>
      <c r="AK104" s="5">
        <f>IF(AD104,SUMPRODUCT(--(calc!$AD$3:$AD$132=TRUE),--(ROW(calc!$AD$3:$AD$132)&gt;ROW(AD104)),--(((calc!$AI$3:$AI$132&gt;AI104)*(calc!$AJ$3:$AJ$132&gt;AJ104)+(calc!$AI$3:$AI$132&lt;AI104)*(calc!$AJ$3:$AJ$132&lt;AJ104))&gt;0))-SUMPRODUCT(--(calc!$AD$3:$AD$132=TRUE),--(ROW(calc!$AD$3:$AD$132)&gt;ROW(AD104)),--(((calc!$AI$3:$AI$132&gt;AI104)*(calc!$AJ$3:$AJ$132&lt;AJ104)+(calc!$AI$3:$AI$132&lt;AI104)*(calc!$AJ$3:$AJ$132&gt;AJ104))&gt;0)),0)</f>
        <v/>
      </c>
      <c r="AL104" s="5">
        <f>IF(mos_metrics!J103="","",mos_metrics!J103)</f>
        <v/>
      </c>
      <c r="AM104" s="2">
        <f>AND($J104,ISNUMBER(AL104),correlation!$I$29=1)</f>
        <v/>
      </c>
      <c r="AN104" s="5">
        <f>IF(AM104,$F104,"")</f>
        <v/>
      </c>
      <c r="AO104" s="5">
        <f>IF(AM104,AL104*correlation!$J$29,"")</f>
        <v/>
      </c>
      <c r="AP104" s="5">
        <f>IF(AND(AM104,ISNUMBER(correlation!$F$29)),AO104*correlation!$F$29+correlation!$G$29,"")</f>
        <v/>
      </c>
      <c r="AQ104" s="5">
        <f>IF(AND(AM104,ISNUMBER(AP104)),(AN104-AP104)^2,"")</f>
        <v/>
      </c>
      <c r="AR104" s="5">
        <f>IF(AM104,1+SUMPRODUCT(--(calc!$AM$3:$AM$132=TRUE),--(calc!$AN$3:$AN$132&gt;AN104))+(SUMPRODUCT(--(calc!$AM$3:$AM$132=TRUE),--(calc!$AN$3:$AN$132=AN104))-1)/2,"")</f>
        <v/>
      </c>
      <c r="AS104" s="5">
        <f>IF(AM104,1+SUMPRODUCT(--(calc!$AM$3:$AM$132=TRUE),--(calc!$AO$3:$AO$132&gt;AO104))+(SUMPRODUCT(--(calc!$AM$3:$AM$132=TRUE),--(calc!$AO$3:$AO$132=AO104))-1)/2,"")</f>
        <v/>
      </c>
      <c r="AT104" s="5">
        <f>IF(AM104,SUMPRODUCT(--(calc!$AM$3:$AM$132=TRUE),--(ROW(calc!$AM$3:$AM$132)&gt;ROW(AM104)),--(((calc!$AR$3:$AR$132&gt;AR104)*(calc!$AS$3:$AS$132&gt;AS104)+(calc!$AR$3:$AR$132&lt;AR104)*(calc!$AS$3:$AS$132&lt;AS104))&gt;0))-SUMPRODUCT(--(calc!$AM$3:$AM$132=TRUE),--(ROW(calc!$AM$3:$AM$132)&gt;ROW(AM104)),--(((calc!$AR$3:$AR$132&gt;AR104)*(calc!$AS$3:$AS$132&lt;AS104)+(calc!$AR$3:$AR$132&lt;AR104)*(calc!$AS$3:$AS$132&gt;AS104))&gt;0)),0)</f>
        <v/>
      </c>
      <c r="AU104" s="5">
        <f>IF(mos_metrics!K103="","",mos_metrics!K103)</f>
        <v/>
      </c>
      <c r="AV104" s="2">
        <f>AND($J104,ISNUMBER(AU104),correlation!$I$30=1)</f>
        <v/>
      </c>
      <c r="AW104" s="5">
        <f>IF(AV104,$F104,"")</f>
        <v/>
      </c>
      <c r="AX104" s="5">
        <f>IF(AV104,AU104*correlation!$J$30,"")</f>
        <v/>
      </c>
      <c r="AY104" s="5">
        <f>IF(AND(AV104,ISNUMBER(correlation!$F$30)),AX104*correlation!$F$30+correlation!$G$30,"")</f>
        <v/>
      </c>
      <c r="AZ104" s="5">
        <f>IF(AND(AV104,ISNUMBER(AY104)),(AW104-AY104)^2,"")</f>
        <v/>
      </c>
      <c r="BA104" s="5">
        <f>IF(AV104,1+SUMPRODUCT(--(calc!$AV$3:$AV$132=TRUE),--(calc!$AW$3:$AW$132&gt;AW104))+(SUMPRODUCT(--(calc!$AV$3:$AV$132=TRUE),--(calc!$AW$3:$AW$132=AW104))-1)/2,"")</f>
        <v/>
      </c>
      <c r="BB104" s="5">
        <f>IF(AV104,1+SUMPRODUCT(--(calc!$AV$3:$AV$132=TRUE),--(calc!$AX$3:$AX$132&gt;AX104))+(SUMPRODUCT(--(calc!$AV$3:$AV$132=TRUE),--(calc!$AX$3:$AX$132=AX104))-1)/2,"")</f>
        <v/>
      </c>
      <c r="BC104" s="5">
        <f>IF(AV104,SUMPRODUCT(--(calc!$AV$3:$AV$132=TRUE),--(ROW(calc!$AV$3:$AV$132)&gt;ROW(AV104)),--(((calc!$BA$3:$BA$132&gt;BA104)*(calc!$BB$3:$BB$132&gt;BB104)+(calc!$BA$3:$BA$132&lt;BA104)*(calc!$BB$3:$BB$132&lt;BB104))&gt;0))-SUMPRODUCT(--(calc!$AV$3:$AV$132=TRUE),--(ROW(calc!$AV$3:$AV$132)&gt;ROW(AV104)),--(((calc!$BA$3:$BA$132&gt;BA104)*(calc!$BB$3:$BB$132&lt;BB104)+(calc!$BA$3:$BA$132&lt;BA104)*(calc!$BB$3:$BB$132&gt;BB104))&gt;0)),0)</f>
        <v/>
      </c>
      <c r="BD104" s="5">
        <f>IF(mos_metrics!L103="","",mos_metrics!L103)</f>
        <v/>
      </c>
      <c r="BE104" s="2">
        <f>AND($J104,ISNUMBER(BD104),correlation!$I$31=1)</f>
        <v/>
      </c>
      <c r="BF104" s="5">
        <f>IF(BE104,$F104,"")</f>
        <v/>
      </c>
      <c r="BG104" s="5">
        <f>IF(BE104,BD104*correlation!$J$31,"")</f>
        <v/>
      </c>
      <c r="BH104" s="5">
        <f>IF(AND(BE104,ISNUMBER(correlation!$F$31)),BG104*correlation!$F$31+correlation!$G$31,"")</f>
        <v/>
      </c>
      <c r="BI104" s="5">
        <f>IF(AND(BE104,ISNUMBER(BH104)),(BF104-BH104)^2,"")</f>
        <v/>
      </c>
      <c r="BJ104" s="5">
        <f>IF(BE104,1+SUMPRODUCT(--(calc!$BE$3:$BE$132=TRUE),--(calc!$BF$3:$BF$132&gt;BF104))+(SUMPRODUCT(--(calc!$BE$3:$BE$132=TRUE),--(calc!$BF$3:$BF$132=BF104))-1)/2,"")</f>
        <v/>
      </c>
      <c r="BK104" s="5">
        <f>IF(BE104,1+SUMPRODUCT(--(calc!$BE$3:$BE$132=TRUE),--(calc!$BG$3:$BG$132&gt;BG104))+(SUMPRODUCT(--(calc!$BE$3:$BE$132=TRUE),--(calc!$BG$3:$BG$132=BG104))-1)/2,"")</f>
        <v/>
      </c>
      <c r="BL104" s="5">
        <f>IF(BE104,SUMPRODUCT(--(calc!$BE$3:$BE$132=TRUE),--(ROW(calc!$BE$3:$BE$132)&gt;ROW(BE104)),--(((calc!$BJ$3:$BJ$132&gt;BJ104)*(calc!$BK$3:$BK$132&gt;BK104)+(calc!$BJ$3:$BJ$132&lt;BJ104)*(calc!$BK$3:$BK$132&lt;BK104))&gt;0))-SUMPRODUCT(--(calc!$BE$3:$BE$132=TRUE),--(ROW(calc!$BE$3:$BE$132)&gt;ROW(BE104)),--(((calc!$BJ$3:$BJ$132&gt;BJ104)*(calc!$BK$3:$BK$132&lt;BK104)+(calc!$BJ$3:$BJ$132&lt;BJ104)*(calc!$BK$3:$BK$132&gt;BK104))&gt;0)),0)</f>
        <v/>
      </c>
      <c r="BM104" s="5">
        <f>IF(mos_metrics!M103="","",mos_metrics!M103)</f>
        <v/>
      </c>
      <c r="BN104" s="2">
        <f>AND($J104,ISNUMBER(BM104),correlation!$I$32=1)</f>
        <v/>
      </c>
      <c r="BO104" s="5">
        <f>IF(BN104,$F104,"")</f>
        <v/>
      </c>
      <c r="BP104" s="5">
        <f>IF(BN104,BM104*correlation!$J$32,"")</f>
        <v/>
      </c>
      <c r="BQ104" s="5">
        <f>IF(AND(BN104,ISNUMBER(correlation!$F$32)),BP104*correlation!$F$32+correlation!$G$32,"")</f>
        <v/>
      </c>
      <c r="BR104" s="5">
        <f>IF(AND(BN104,ISNUMBER(BQ104)),(BO104-BQ104)^2,"")</f>
        <v/>
      </c>
      <c r="BS104" s="5">
        <f>IF(BN104,1+SUMPRODUCT(--(calc!$BN$3:$BN$132=TRUE),--(calc!$BO$3:$BO$132&gt;BO104))+(SUMPRODUCT(--(calc!$BN$3:$BN$132=TRUE),--(calc!$BO$3:$BO$132=BO104))-1)/2,"")</f>
        <v/>
      </c>
      <c r="BT104" s="5">
        <f>IF(BN104,1+SUMPRODUCT(--(calc!$BN$3:$BN$132=TRUE),--(calc!$BP$3:$BP$132&gt;BP104))+(SUMPRODUCT(--(calc!$BN$3:$BN$132=TRUE),--(calc!$BP$3:$BP$132=BP104))-1)/2,"")</f>
        <v/>
      </c>
      <c r="BU104" s="5">
        <f>IF(BN104,SUMPRODUCT(--(calc!$BN$3:$BN$132=TRUE),--(ROW(calc!$BN$3:$BN$132)&gt;ROW(BN104)),--(((calc!$BS$3:$BS$132&gt;BS104)*(calc!$BT$3:$BT$132&gt;BT104)+(calc!$BS$3:$BS$132&lt;BS104)*(calc!$BT$3:$BT$132&lt;BT104))&gt;0))-SUMPRODUCT(--(calc!$BN$3:$BN$132=TRUE),--(ROW(calc!$BN$3:$BN$132)&gt;ROW(BN104)),--(((calc!$BS$3:$BS$132&gt;BS104)*(calc!$BT$3:$BT$132&lt;BT104)+(calc!$BS$3:$BS$132&lt;BS104)*(calc!$BT$3:$BT$132&gt;BT104))&gt;0)),0)</f>
        <v/>
      </c>
    </row>
    <row r="105">
      <c r="A105" s="2">
        <f>mos_metrics!A104</f>
        <v/>
      </c>
      <c r="B105" s="2">
        <f>mos_metrics!B104</f>
        <v/>
      </c>
      <c r="C105" s="2">
        <f>mos_metrics!C104</f>
        <v/>
      </c>
      <c r="D105" s="2">
        <f>mos_metrics!D104</f>
        <v/>
      </c>
      <c r="E105" s="2">
        <f>mos_metrics!E104</f>
        <v/>
      </c>
      <c r="F105" s="2">
        <f>mos_metrics!F104</f>
        <v/>
      </c>
      <c r="G105" s="2">
        <f>IF($B105="","",IFERROR(VLOOKUP($B105,correlation!$A$2:$B$12,2,FALSE),1))</f>
        <v/>
      </c>
      <c r="H105" s="2">
        <f>IF($E105="","",IFERROR(VLOOKUP($E105,correlation!$D$2:$E$8,2,FALSE),1))</f>
        <v/>
      </c>
      <c r="I105" s="2">
        <f>ISNUMBER($F105)</f>
        <v/>
      </c>
      <c r="J105" s="2">
        <f>AND($G105=1,$H105=1,$I105)</f>
        <v/>
      </c>
      <c r="K105" s="5">
        <f>IF(mos_metrics!G104="","",mos_metrics!G104)</f>
        <v/>
      </c>
      <c r="L105" s="2">
        <f>AND($J105,ISNUMBER(K105),correlation!$I$26=1)</f>
        <v/>
      </c>
      <c r="M105" s="5">
        <f>IF(L105,$F105,"")</f>
        <v/>
      </c>
      <c r="N105" s="5">
        <f>IF(L105,K105*correlation!$J$26,"")</f>
        <v/>
      </c>
      <c r="O105" s="5">
        <f>IF(AND(L105,ISNUMBER(correlation!$F$26)),N105*correlation!$F$26+correlation!$G$26,"")</f>
        <v/>
      </c>
      <c r="P105" s="5">
        <f>IF(AND(L105,ISNUMBER(O105)),(M105-O105)^2,"")</f>
        <v/>
      </c>
      <c r="Q105" s="5">
        <f>IF(L105,1+SUMPRODUCT(--(calc!$L$3:$L$132=TRUE),--(calc!$M$3:$M$132&gt;M105))+(SUMPRODUCT(--(calc!$L$3:$L$132=TRUE),--(calc!$M$3:$M$132=M105))-1)/2,"")</f>
        <v/>
      </c>
      <c r="R105" s="5">
        <f>IF(L105,1+SUMPRODUCT(--(calc!$L$3:$L$132=TRUE),--(calc!$N$3:$N$132&gt;N105))+(SUMPRODUCT(--(calc!$L$3:$L$132=TRUE),--(calc!$N$3:$N$132=N105))-1)/2,"")</f>
        <v/>
      </c>
      <c r="S105" s="5">
        <f>IF(L105,SUMPRODUCT(--(calc!$L$3:$L$132=TRUE),--(ROW(calc!$L$3:$L$132)&gt;ROW(L105)),--(((calc!$Q$3:$Q$132&gt;Q105)*(calc!$R$3:$R$132&gt;R105)+(calc!$Q$3:$Q$132&lt;Q105)*(calc!$R$3:$R$132&lt;R105))&gt;0))-SUMPRODUCT(--(calc!$L$3:$L$132=TRUE),--(ROW(calc!$L$3:$L$132)&gt;ROW(L105)),--(((calc!$Q$3:$Q$132&gt;Q105)*(calc!$R$3:$R$132&lt;R105)+(calc!$Q$3:$Q$132&lt;Q105)*(calc!$R$3:$R$132&gt;R105))&gt;0)),0)</f>
        <v/>
      </c>
      <c r="T105" s="5">
        <f>IF(mos_metrics!H104="","",mos_metrics!H104)</f>
        <v/>
      </c>
      <c r="U105" s="2">
        <f>AND($J105,ISNUMBER(T105),correlation!$I$27=1)</f>
        <v/>
      </c>
      <c r="V105" s="5">
        <f>IF(U105,$F105,"")</f>
        <v/>
      </c>
      <c r="W105" s="5">
        <f>IF(U105,T105*correlation!$J$27,"")</f>
        <v/>
      </c>
      <c r="X105" s="5">
        <f>IF(AND(U105,ISNUMBER(correlation!$F$27)),W105*correlation!$F$27+correlation!$G$27,"")</f>
        <v/>
      </c>
      <c r="Y105" s="5">
        <f>IF(AND(U105,ISNUMBER(X105)),(V105-X105)^2,"")</f>
        <v/>
      </c>
      <c r="Z105" s="5">
        <f>IF(U105,1+SUMPRODUCT(--(calc!$U$3:$U$132=TRUE),--(calc!$V$3:$V$132&gt;V105))+(SUMPRODUCT(--(calc!$U$3:$U$132=TRUE),--(calc!$V$3:$V$132=V105))-1)/2,"")</f>
        <v/>
      </c>
      <c r="AA105" s="5">
        <f>IF(U105,1+SUMPRODUCT(--(calc!$U$3:$U$132=TRUE),--(calc!$W$3:$W$132&gt;W105))+(SUMPRODUCT(--(calc!$U$3:$U$132=TRUE),--(calc!$W$3:$W$132=W105))-1)/2,"")</f>
        <v/>
      </c>
      <c r="AB105" s="5">
        <f>IF(U105,SUMPRODUCT(--(calc!$U$3:$U$132=TRUE),--(ROW(calc!$U$3:$U$132)&gt;ROW(U105)),--(((calc!$Z$3:$Z$132&gt;Z105)*(calc!$AA$3:$AA$132&gt;AA105)+(calc!$Z$3:$Z$132&lt;Z105)*(calc!$AA$3:$AA$132&lt;AA105))&gt;0))-SUMPRODUCT(--(calc!$U$3:$U$132=TRUE),--(ROW(calc!$U$3:$U$132)&gt;ROW(U105)),--(((calc!$Z$3:$Z$132&gt;Z105)*(calc!$AA$3:$AA$132&lt;AA105)+(calc!$Z$3:$Z$132&lt;Z105)*(calc!$AA$3:$AA$132&gt;AA105))&gt;0)),0)</f>
        <v/>
      </c>
      <c r="AC105" s="5">
        <f>IF(mos_metrics!I104="","",mos_metrics!I104)</f>
        <v/>
      </c>
      <c r="AD105" s="2">
        <f>AND($J105,ISNUMBER(AC105),correlation!$I$28=1)</f>
        <v/>
      </c>
      <c r="AE105" s="5">
        <f>IF(AD105,$F105,"")</f>
        <v/>
      </c>
      <c r="AF105" s="5">
        <f>IF(AD105,AC105*correlation!$J$28,"")</f>
        <v/>
      </c>
      <c r="AG105" s="5">
        <f>IF(AND(AD105,ISNUMBER(correlation!$F$28)),AF105*correlation!$F$28+correlation!$G$28,"")</f>
        <v/>
      </c>
      <c r="AH105" s="5">
        <f>IF(AND(AD105,ISNUMBER(AG105)),(AE105-AG105)^2,"")</f>
        <v/>
      </c>
      <c r="AI105" s="5">
        <f>IF(AD105,1+SUMPRODUCT(--(calc!$AD$3:$AD$132=TRUE),--(calc!$AE$3:$AE$132&gt;AE105))+(SUMPRODUCT(--(calc!$AD$3:$AD$132=TRUE),--(calc!$AE$3:$AE$132=AE105))-1)/2,"")</f>
        <v/>
      </c>
      <c r="AJ105" s="5">
        <f>IF(AD105,1+SUMPRODUCT(--(calc!$AD$3:$AD$132=TRUE),--(calc!$AF$3:$AF$132&gt;AF105))+(SUMPRODUCT(--(calc!$AD$3:$AD$132=TRUE),--(calc!$AF$3:$AF$132=AF105))-1)/2,"")</f>
        <v/>
      </c>
      <c r="AK105" s="5">
        <f>IF(AD105,SUMPRODUCT(--(calc!$AD$3:$AD$132=TRUE),--(ROW(calc!$AD$3:$AD$132)&gt;ROW(AD105)),--(((calc!$AI$3:$AI$132&gt;AI105)*(calc!$AJ$3:$AJ$132&gt;AJ105)+(calc!$AI$3:$AI$132&lt;AI105)*(calc!$AJ$3:$AJ$132&lt;AJ105))&gt;0))-SUMPRODUCT(--(calc!$AD$3:$AD$132=TRUE),--(ROW(calc!$AD$3:$AD$132)&gt;ROW(AD105)),--(((calc!$AI$3:$AI$132&gt;AI105)*(calc!$AJ$3:$AJ$132&lt;AJ105)+(calc!$AI$3:$AI$132&lt;AI105)*(calc!$AJ$3:$AJ$132&gt;AJ105))&gt;0)),0)</f>
        <v/>
      </c>
      <c r="AL105" s="5">
        <f>IF(mos_metrics!J104="","",mos_metrics!J104)</f>
        <v/>
      </c>
      <c r="AM105" s="2">
        <f>AND($J105,ISNUMBER(AL105),correlation!$I$29=1)</f>
        <v/>
      </c>
      <c r="AN105" s="5">
        <f>IF(AM105,$F105,"")</f>
        <v/>
      </c>
      <c r="AO105" s="5">
        <f>IF(AM105,AL105*correlation!$J$29,"")</f>
        <v/>
      </c>
      <c r="AP105" s="5">
        <f>IF(AND(AM105,ISNUMBER(correlation!$F$29)),AO105*correlation!$F$29+correlation!$G$29,"")</f>
        <v/>
      </c>
      <c r="AQ105" s="5">
        <f>IF(AND(AM105,ISNUMBER(AP105)),(AN105-AP105)^2,"")</f>
        <v/>
      </c>
      <c r="AR105" s="5">
        <f>IF(AM105,1+SUMPRODUCT(--(calc!$AM$3:$AM$132=TRUE),--(calc!$AN$3:$AN$132&gt;AN105))+(SUMPRODUCT(--(calc!$AM$3:$AM$132=TRUE),--(calc!$AN$3:$AN$132=AN105))-1)/2,"")</f>
        <v/>
      </c>
      <c r="AS105" s="5">
        <f>IF(AM105,1+SUMPRODUCT(--(calc!$AM$3:$AM$132=TRUE),--(calc!$AO$3:$AO$132&gt;AO105))+(SUMPRODUCT(--(calc!$AM$3:$AM$132=TRUE),--(calc!$AO$3:$AO$132=AO105))-1)/2,"")</f>
        <v/>
      </c>
      <c r="AT105" s="5">
        <f>IF(AM105,SUMPRODUCT(--(calc!$AM$3:$AM$132=TRUE),--(ROW(calc!$AM$3:$AM$132)&gt;ROW(AM105)),--(((calc!$AR$3:$AR$132&gt;AR105)*(calc!$AS$3:$AS$132&gt;AS105)+(calc!$AR$3:$AR$132&lt;AR105)*(calc!$AS$3:$AS$132&lt;AS105))&gt;0))-SUMPRODUCT(--(calc!$AM$3:$AM$132=TRUE),--(ROW(calc!$AM$3:$AM$132)&gt;ROW(AM105)),--(((calc!$AR$3:$AR$132&gt;AR105)*(calc!$AS$3:$AS$132&lt;AS105)+(calc!$AR$3:$AR$132&lt;AR105)*(calc!$AS$3:$AS$132&gt;AS105))&gt;0)),0)</f>
        <v/>
      </c>
      <c r="AU105" s="5">
        <f>IF(mos_metrics!K104="","",mos_metrics!K104)</f>
        <v/>
      </c>
      <c r="AV105" s="2">
        <f>AND($J105,ISNUMBER(AU105),correlation!$I$30=1)</f>
        <v/>
      </c>
      <c r="AW105" s="5">
        <f>IF(AV105,$F105,"")</f>
        <v/>
      </c>
      <c r="AX105" s="5">
        <f>IF(AV105,AU105*correlation!$J$30,"")</f>
        <v/>
      </c>
      <c r="AY105" s="5">
        <f>IF(AND(AV105,ISNUMBER(correlation!$F$30)),AX105*correlation!$F$30+correlation!$G$30,"")</f>
        <v/>
      </c>
      <c r="AZ105" s="5">
        <f>IF(AND(AV105,ISNUMBER(AY105)),(AW105-AY105)^2,"")</f>
        <v/>
      </c>
      <c r="BA105" s="5">
        <f>IF(AV105,1+SUMPRODUCT(--(calc!$AV$3:$AV$132=TRUE),--(calc!$AW$3:$AW$132&gt;AW105))+(SUMPRODUCT(--(calc!$AV$3:$AV$132=TRUE),--(calc!$AW$3:$AW$132=AW105))-1)/2,"")</f>
        <v/>
      </c>
      <c r="BB105" s="5">
        <f>IF(AV105,1+SUMPRODUCT(--(calc!$AV$3:$AV$132=TRUE),--(calc!$AX$3:$AX$132&gt;AX105))+(SUMPRODUCT(--(calc!$AV$3:$AV$132=TRUE),--(calc!$AX$3:$AX$132=AX105))-1)/2,"")</f>
        <v/>
      </c>
      <c r="BC105" s="5">
        <f>IF(AV105,SUMPRODUCT(--(calc!$AV$3:$AV$132=TRUE),--(ROW(calc!$AV$3:$AV$132)&gt;ROW(AV105)),--(((calc!$BA$3:$BA$132&gt;BA105)*(calc!$BB$3:$BB$132&gt;BB105)+(calc!$BA$3:$BA$132&lt;BA105)*(calc!$BB$3:$BB$132&lt;BB105))&gt;0))-SUMPRODUCT(--(calc!$AV$3:$AV$132=TRUE),--(ROW(calc!$AV$3:$AV$132)&gt;ROW(AV105)),--(((calc!$BA$3:$BA$132&gt;BA105)*(calc!$BB$3:$BB$132&lt;BB105)+(calc!$BA$3:$BA$132&lt;BA105)*(calc!$BB$3:$BB$132&gt;BB105))&gt;0)),0)</f>
        <v/>
      </c>
      <c r="BD105" s="5">
        <f>IF(mos_metrics!L104="","",mos_metrics!L104)</f>
        <v/>
      </c>
      <c r="BE105" s="2">
        <f>AND($J105,ISNUMBER(BD105),correlation!$I$31=1)</f>
        <v/>
      </c>
      <c r="BF105" s="5">
        <f>IF(BE105,$F105,"")</f>
        <v/>
      </c>
      <c r="BG105" s="5">
        <f>IF(BE105,BD105*correlation!$J$31,"")</f>
        <v/>
      </c>
      <c r="BH105" s="5">
        <f>IF(AND(BE105,ISNUMBER(correlation!$F$31)),BG105*correlation!$F$31+correlation!$G$31,"")</f>
        <v/>
      </c>
      <c r="BI105" s="5">
        <f>IF(AND(BE105,ISNUMBER(BH105)),(BF105-BH105)^2,"")</f>
        <v/>
      </c>
      <c r="BJ105" s="5">
        <f>IF(BE105,1+SUMPRODUCT(--(calc!$BE$3:$BE$132=TRUE),--(calc!$BF$3:$BF$132&gt;BF105))+(SUMPRODUCT(--(calc!$BE$3:$BE$132=TRUE),--(calc!$BF$3:$BF$132=BF105))-1)/2,"")</f>
        <v/>
      </c>
      <c r="BK105" s="5">
        <f>IF(BE105,1+SUMPRODUCT(--(calc!$BE$3:$BE$132=TRUE),--(calc!$BG$3:$BG$132&gt;BG105))+(SUMPRODUCT(--(calc!$BE$3:$BE$132=TRUE),--(calc!$BG$3:$BG$132=BG105))-1)/2,"")</f>
        <v/>
      </c>
      <c r="BL105" s="5">
        <f>IF(BE105,SUMPRODUCT(--(calc!$BE$3:$BE$132=TRUE),--(ROW(calc!$BE$3:$BE$132)&gt;ROW(BE105)),--(((calc!$BJ$3:$BJ$132&gt;BJ105)*(calc!$BK$3:$BK$132&gt;BK105)+(calc!$BJ$3:$BJ$132&lt;BJ105)*(calc!$BK$3:$BK$132&lt;BK105))&gt;0))-SUMPRODUCT(--(calc!$BE$3:$BE$132=TRUE),--(ROW(calc!$BE$3:$BE$132)&gt;ROW(BE105)),--(((calc!$BJ$3:$BJ$132&gt;BJ105)*(calc!$BK$3:$BK$132&lt;BK105)+(calc!$BJ$3:$BJ$132&lt;BJ105)*(calc!$BK$3:$BK$132&gt;BK105))&gt;0)),0)</f>
        <v/>
      </c>
      <c r="BM105" s="5">
        <f>IF(mos_metrics!M104="","",mos_metrics!M104)</f>
        <v/>
      </c>
      <c r="BN105" s="2">
        <f>AND($J105,ISNUMBER(BM105),correlation!$I$32=1)</f>
        <v/>
      </c>
      <c r="BO105" s="5">
        <f>IF(BN105,$F105,"")</f>
        <v/>
      </c>
      <c r="BP105" s="5">
        <f>IF(BN105,BM105*correlation!$J$32,"")</f>
        <v/>
      </c>
      <c r="BQ105" s="5">
        <f>IF(AND(BN105,ISNUMBER(correlation!$F$32)),BP105*correlation!$F$32+correlation!$G$32,"")</f>
        <v/>
      </c>
      <c r="BR105" s="5">
        <f>IF(AND(BN105,ISNUMBER(BQ105)),(BO105-BQ105)^2,"")</f>
        <v/>
      </c>
      <c r="BS105" s="5">
        <f>IF(BN105,1+SUMPRODUCT(--(calc!$BN$3:$BN$132=TRUE),--(calc!$BO$3:$BO$132&gt;BO105))+(SUMPRODUCT(--(calc!$BN$3:$BN$132=TRUE),--(calc!$BO$3:$BO$132=BO105))-1)/2,"")</f>
        <v/>
      </c>
      <c r="BT105" s="5">
        <f>IF(BN105,1+SUMPRODUCT(--(calc!$BN$3:$BN$132=TRUE),--(calc!$BP$3:$BP$132&gt;BP105))+(SUMPRODUCT(--(calc!$BN$3:$BN$132=TRUE),--(calc!$BP$3:$BP$132=BP105))-1)/2,"")</f>
        <v/>
      </c>
      <c r="BU105" s="5">
        <f>IF(BN105,SUMPRODUCT(--(calc!$BN$3:$BN$132=TRUE),--(ROW(calc!$BN$3:$BN$132)&gt;ROW(BN105)),--(((calc!$BS$3:$BS$132&gt;BS105)*(calc!$BT$3:$BT$132&gt;BT105)+(calc!$BS$3:$BS$132&lt;BS105)*(calc!$BT$3:$BT$132&lt;BT105))&gt;0))-SUMPRODUCT(--(calc!$BN$3:$BN$132=TRUE),--(ROW(calc!$BN$3:$BN$132)&gt;ROW(BN105)),--(((calc!$BS$3:$BS$132&gt;BS105)*(calc!$BT$3:$BT$132&lt;BT105)+(calc!$BS$3:$BS$132&lt;BS105)*(calc!$BT$3:$BT$132&gt;BT105))&gt;0)),0)</f>
        <v/>
      </c>
    </row>
    <row r="106">
      <c r="A106" s="2">
        <f>mos_metrics!A105</f>
        <v/>
      </c>
      <c r="B106" s="2">
        <f>mos_metrics!B105</f>
        <v/>
      </c>
      <c r="C106" s="2">
        <f>mos_metrics!C105</f>
        <v/>
      </c>
      <c r="D106" s="2">
        <f>mos_metrics!D105</f>
        <v/>
      </c>
      <c r="E106" s="2">
        <f>mos_metrics!E105</f>
        <v/>
      </c>
      <c r="F106" s="2">
        <f>mos_metrics!F105</f>
        <v/>
      </c>
      <c r="G106" s="2">
        <f>IF($B106="","",IFERROR(VLOOKUP($B106,correlation!$A$2:$B$12,2,FALSE),1))</f>
        <v/>
      </c>
      <c r="H106" s="2">
        <f>IF($E106="","",IFERROR(VLOOKUP($E106,correlation!$D$2:$E$8,2,FALSE),1))</f>
        <v/>
      </c>
      <c r="I106" s="2">
        <f>ISNUMBER($F106)</f>
        <v/>
      </c>
      <c r="J106" s="2">
        <f>AND($G106=1,$H106=1,$I106)</f>
        <v/>
      </c>
      <c r="K106" s="5">
        <f>IF(mos_metrics!G105="","",mos_metrics!G105)</f>
        <v/>
      </c>
      <c r="L106" s="2">
        <f>AND($J106,ISNUMBER(K106),correlation!$I$26=1)</f>
        <v/>
      </c>
      <c r="M106" s="5">
        <f>IF(L106,$F106,"")</f>
        <v/>
      </c>
      <c r="N106" s="5">
        <f>IF(L106,K106*correlation!$J$26,"")</f>
        <v/>
      </c>
      <c r="O106" s="5">
        <f>IF(AND(L106,ISNUMBER(correlation!$F$26)),N106*correlation!$F$26+correlation!$G$26,"")</f>
        <v/>
      </c>
      <c r="P106" s="5">
        <f>IF(AND(L106,ISNUMBER(O106)),(M106-O106)^2,"")</f>
        <v/>
      </c>
      <c r="Q106" s="5">
        <f>IF(L106,1+SUMPRODUCT(--(calc!$L$3:$L$132=TRUE),--(calc!$M$3:$M$132&gt;M106))+(SUMPRODUCT(--(calc!$L$3:$L$132=TRUE),--(calc!$M$3:$M$132=M106))-1)/2,"")</f>
        <v/>
      </c>
      <c r="R106" s="5">
        <f>IF(L106,1+SUMPRODUCT(--(calc!$L$3:$L$132=TRUE),--(calc!$N$3:$N$132&gt;N106))+(SUMPRODUCT(--(calc!$L$3:$L$132=TRUE),--(calc!$N$3:$N$132=N106))-1)/2,"")</f>
        <v/>
      </c>
      <c r="S106" s="5">
        <f>IF(L106,SUMPRODUCT(--(calc!$L$3:$L$132=TRUE),--(ROW(calc!$L$3:$L$132)&gt;ROW(L106)),--(((calc!$Q$3:$Q$132&gt;Q106)*(calc!$R$3:$R$132&gt;R106)+(calc!$Q$3:$Q$132&lt;Q106)*(calc!$R$3:$R$132&lt;R106))&gt;0))-SUMPRODUCT(--(calc!$L$3:$L$132=TRUE),--(ROW(calc!$L$3:$L$132)&gt;ROW(L106)),--(((calc!$Q$3:$Q$132&gt;Q106)*(calc!$R$3:$R$132&lt;R106)+(calc!$Q$3:$Q$132&lt;Q106)*(calc!$R$3:$R$132&gt;R106))&gt;0)),0)</f>
        <v/>
      </c>
      <c r="T106" s="5">
        <f>IF(mos_metrics!H105="","",mos_metrics!H105)</f>
        <v/>
      </c>
      <c r="U106" s="2">
        <f>AND($J106,ISNUMBER(T106),correlation!$I$27=1)</f>
        <v/>
      </c>
      <c r="V106" s="5">
        <f>IF(U106,$F106,"")</f>
        <v/>
      </c>
      <c r="W106" s="5">
        <f>IF(U106,T106*correlation!$J$27,"")</f>
        <v/>
      </c>
      <c r="X106" s="5">
        <f>IF(AND(U106,ISNUMBER(correlation!$F$27)),W106*correlation!$F$27+correlation!$G$27,"")</f>
        <v/>
      </c>
      <c r="Y106" s="5">
        <f>IF(AND(U106,ISNUMBER(X106)),(V106-X106)^2,"")</f>
        <v/>
      </c>
      <c r="Z106" s="5">
        <f>IF(U106,1+SUMPRODUCT(--(calc!$U$3:$U$132=TRUE),--(calc!$V$3:$V$132&gt;V106))+(SUMPRODUCT(--(calc!$U$3:$U$132=TRUE),--(calc!$V$3:$V$132=V106))-1)/2,"")</f>
        <v/>
      </c>
      <c r="AA106" s="5">
        <f>IF(U106,1+SUMPRODUCT(--(calc!$U$3:$U$132=TRUE),--(calc!$W$3:$W$132&gt;W106))+(SUMPRODUCT(--(calc!$U$3:$U$132=TRUE),--(calc!$W$3:$W$132=W106))-1)/2,"")</f>
        <v/>
      </c>
      <c r="AB106" s="5">
        <f>IF(U106,SUMPRODUCT(--(calc!$U$3:$U$132=TRUE),--(ROW(calc!$U$3:$U$132)&gt;ROW(U106)),--(((calc!$Z$3:$Z$132&gt;Z106)*(calc!$AA$3:$AA$132&gt;AA106)+(calc!$Z$3:$Z$132&lt;Z106)*(calc!$AA$3:$AA$132&lt;AA106))&gt;0))-SUMPRODUCT(--(calc!$U$3:$U$132=TRUE),--(ROW(calc!$U$3:$U$132)&gt;ROW(U106)),--(((calc!$Z$3:$Z$132&gt;Z106)*(calc!$AA$3:$AA$132&lt;AA106)+(calc!$Z$3:$Z$132&lt;Z106)*(calc!$AA$3:$AA$132&gt;AA106))&gt;0)),0)</f>
        <v/>
      </c>
      <c r="AC106" s="5">
        <f>IF(mos_metrics!I105="","",mos_metrics!I105)</f>
        <v/>
      </c>
      <c r="AD106" s="2">
        <f>AND($J106,ISNUMBER(AC106),correlation!$I$28=1)</f>
        <v/>
      </c>
      <c r="AE106" s="5">
        <f>IF(AD106,$F106,"")</f>
        <v/>
      </c>
      <c r="AF106" s="5">
        <f>IF(AD106,AC106*correlation!$J$28,"")</f>
        <v/>
      </c>
      <c r="AG106" s="5">
        <f>IF(AND(AD106,ISNUMBER(correlation!$F$28)),AF106*correlation!$F$28+correlation!$G$28,"")</f>
        <v/>
      </c>
      <c r="AH106" s="5">
        <f>IF(AND(AD106,ISNUMBER(AG106)),(AE106-AG106)^2,"")</f>
        <v/>
      </c>
      <c r="AI106" s="5">
        <f>IF(AD106,1+SUMPRODUCT(--(calc!$AD$3:$AD$132=TRUE),--(calc!$AE$3:$AE$132&gt;AE106))+(SUMPRODUCT(--(calc!$AD$3:$AD$132=TRUE),--(calc!$AE$3:$AE$132=AE106))-1)/2,"")</f>
        <v/>
      </c>
      <c r="AJ106" s="5">
        <f>IF(AD106,1+SUMPRODUCT(--(calc!$AD$3:$AD$132=TRUE),--(calc!$AF$3:$AF$132&gt;AF106))+(SUMPRODUCT(--(calc!$AD$3:$AD$132=TRUE),--(calc!$AF$3:$AF$132=AF106))-1)/2,"")</f>
        <v/>
      </c>
      <c r="AK106" s="5">
        <f>IF(AD106,SUMPRODUCT(--(calc!$AD$3:$AD$132=TRUE),--(ROW(calc!$AD$3:$AD$132)&gt;ROW(AD106)),--(((calc!$AI$3:$AI$132&gt;AI106)*(calc!$AJ$3:$AJ$132&gt;AJ106)+(calc!$AI$3:$AI$132&lt;AI106)*(calc!$AJ$3:$AJ$132&lt;AJ106))&gt;0))-SUMPRODUCT(--(calc!$AD$3:$AD$132=TRUE),--(ROW(calc!$AD$3:$AD$132)&gt;ROW(AD106)),--(((calc!$AI$3:$AI$132&gt;AI106)*(calc!$AJ$3:$AJ$132&lt;AJ106)+(calc!$AI$3:$AI$132&lt;AI106)*(calc!$AJ$3:$AJ$132&gt;AJ106))&gt;0)),0)</f>
        <v/>
      </c>
      <c r="AL106" s="5">
        <f>IF(mos_metrics!J105="","",mos_metrics!J105)</f>
        <v/>
      </c>
      <c r="AM106" s="2">
        <f>AND($J106,ISNUMBER(AL106),correlation!$I$29=1)</f>
        <v/>
      </c>
      <c r="AN106" s="5">
        <f>IF(AM106,$F106,"")</f>
        <v/>
      </c>
      <c r="AO106" s="5">
        <f>IF(AM106,AL106*correlation!$J$29,"")</f>
        <v/>
      </c>
      <c r="AP106" s="5">
        <f>IF(AND(AM106,ISNUMBER(correlation!$F$29)),AO106*correlation!$F$29+correlation!$G$29,"")</f>
        <v/>
      </c>
      <c r="AQ106" s="5">
        <f>IF(AND(AM106,ISNUMBER(AP106)),(AN106-AP106)^2,"")</f>
        <v/>
      </c>
      <c r="AR106" s="5">
        <f>IF(AM106,1+SUMPRODUCT(--(calc!$AM$3:$AM$132=TRUE),--(calc!$AN$3:$AN$132&gt;AN106))+(SUMPRODUCT(--(calc!$AM$3:$AM$132=TRUE),--(calc!$AN$3:$AN$132=AN106))-1)/2,"")</f>
        <v/>
      </c>
      <c r="AS106" s="5">
        <f>IF(AM106,1+SUMPRODUCT(--(calc!$AM$3:$AM$132=TRUE),--(calc!$AO$3:$AO$132&gt;AO106))+(SUMPRODUCT(--(calc!$AM$3:$AM$132=TRUE),--(calc!$AO$3:$AO$132=AO106))-1)/2,"")</f>
        <v/>
      </c>
      <c r="AT106" s="5">
        <f>IF(AM106,SUMPRODUCT(--(calc!$AM$3:$AM$132=TRUE),--(ROW(calc!$AM$3:$AM$132)&gt;ROW(AM106)),--(((calc!$AR$3:$AR$132&gt;AR106)*(calc!$AS$3:$AS$132&gt;AS106)+(calc!$AR$3:$AR$132&lt;AR106)*(calc!$AS$3:$AS$132&lt;AS106))&gt;0))-SUMPRODUCT(--(calc!$AM$3:$AM$132=TRUE),--(ROW(calc!$AM$3:$AM$132)&gt;ROW(AM106)),--(((calc!$AR$3:$AR$132&gt;AR106)*(calc!$AS$3:$AS$132&lt;AS106)+(calc!$AR$3:$AR$132&lt;AR106)*(calc!$AS$3:$AS$132&gt;AS106))&gt;0)),0)</f>
        <v/>
      </c>
      <c r="AU106" s="5">
        <f>IF(mos_metrics!K105="","",mos_metrics!K105)</f>
        <v/>
      </c>
      <c r="AV106" s="2">
        <f>AND($J106,ISNUMBER(AU106),correlation!$I$30=1)</f>
        <v/>
      </c>
      <c r="AW106" s="5">
        <f>IF(AV106,$F106,"")</f>
        <v/>
      </c>
      <c r="AX106" s="5">
        <f>IF(AV106,AU106*correlation!$J$30,"")</f>
        <v/>
      </c>
      <c r="AY106" s="5">
        <f>IF(AND(AV106,ISNUMBER(correlation!$F$30)),AX106*correlation!$F$30+correlation!$G$30,"")</f>
        <v/>
      </c>
      <c r="AZ106" s="5">
        <f>IF(AND(AV106,ISNUMBER(AY106)),(AW106-AY106)^2,"")</f>
        <v/>
      </c>
      <c r="BA106" s="5">
        <f>IF(AV106,1+SUMPRODUCT(--(calc!$AV$3:$AV$132=TRUE),--(calc!$AW$3:$AW$132&gt;AW106))+(SUMPRODUCT(--(calc!$AV$3:$AV$132=TRUE),--(calc!$AW$3:$AW$132=AW106))-1)/2,"")</f>
        <v/>
      </c>
      <c r="BB106" s="5">
        <f>IF(AV106,1+SUMPRODUCT(--(calc!$AV$3:$AV$132=TRUE),--(calc!$AX$3:$AX$132&gt;AX106))+(SUMPRODUCT(--(calc!$AV$3:$AV$132=TRUE),--(calc!$AX$3:$AX$132=AX106))-1)/2,"")</f>
        <v/>
      </c>
      <c r="BC106" s="5">
        <f>IF(AV106,SUMPRODUCT(--(calc!$AV$3:$AV$132=TRUE),--(ROW(calc!$AV$3:$AV$132)&gt;ROW(AV106)),--(((calc!$BA$3:$BA$132&gt;BA106)*(calc!$BB$3:$BB$132&gt;BB106)+(calc!$BA$3:$BA$132&lt;BA106)*(calc!$BB$3:$BB$132&lt;BB106))&gt;0))-SUMPRODUCT(--(calc!$AV$3:$AV$132=TRUE),--(ROW(calc!$AV$3:$AV$132)&gt;ROW(AV106)),--(((calc!$BA$3:$BA$132&gt;BA106)*(calc!$BB$3:$BB$132&lt;BB106)+(calc!$BA$3:$BA$132&lt;BA106)*(calc!$BB$3:$BB$132&gt;BB106))&gt;0)),0)</f>
        <v/>
      </c>
      <c r="BD106" s="5">
        <f>IF(mos_metrics!L105="","",mos_metrics!L105)</f>
        <v/>
      </c>
      <c r="BE106" s="2">
        <f>AND($J106,ISNUMBER(BD106),correlation!$I$31=1)</f>
        <v/>
      </c>
      <c r="BF106" s="5">
        <f>IF(BE106,$F106,"")</f>
        <v/>
      </c>
      <c r="BG106" s="5">
        <f>IF(BE106,BD106*correlation!$J$31,"")</f>
        <v/>
      </c>
      <c r="BH106" s="5">
        <f>IF(AND(BE106,ISNUMBER(correlation!$F$31)),BG106*correlation!$F$31+correlation!$G$31,"")</f>
        <v/>
      </c>
      <c r="BI106" s="5">
        <f>IF(AND(BE106,ISNUMBER(BH106)),(BF106-BH106)^2,"")</f>
        <v/>
      </c>
      <c r="BJ106" s="5">
        <f>IF(BE106,1+SUMPRODUCT(--(calc!$BE$3:$BE$132=TRUE),--(calc!$BF$3:$BF$132&gt;BF106))+(SUMPRODUCT(--(calc!$BE$3:$BE$132=TRUE),--(calc!$BF$3:$BF$132=BF106))-1)/2,"")</f>
        <v/>
      </c>
      <c r="BK106" s="5">
        <f>IF(BE106,1+SUMPRODUCT(--(calc!$BE$3:$BE$132=TRUE),--(calc!$BG$3:$BG$132&gt;BG106))+(SUMPRODUCT(--(calc!$BE$3:$BE$132=TRUE),--(calc!$BG$3:$BG$132=BG106))-1)/2,"")</f>
        <v/>
      </c>
      <c r="BL106" s="5">
        <f>IF(BE106,SUMPRODUCT(--(calc!$BE$3:$BE$132=TRUE),--(ROW(calc!$BE$3:$BE$132)&gt;ROW(BE106)),--(((calc!$BJ$3:$BJ$132&gt;BJ106)*(calc!$BK$3:$BK$132&gt;BK106)+(calc!$BJ$3:$BJ$132&lt;BJ106)*(calc!$BK$3:$BK$132&lt;BK106))&gt;0))-SUMPRODUCT(--(calc!$BE$3:$BE$132=TRUE),--(ROW(calc!$BE$3:$BE$132)&gt;ROW(BE106)),--(((calc!$BJ$3:$BJ$132&gt;BJ106)*(calc!$BK$3:$BK$132&lt;BK106)+(calc!$BJ$3:$BJ$132&lt;BJ106)*(calc!$BK$3:$BK$132&gt;BK106))&gt;0)),0)</f>
        <v/>
      </c>
      <c r="BM106" s="5">
        <f>IF(mos_metrics!M105="","",mos_metrics!M105)</f>
        <v/>
      </c>
      <c r="BN106" s="2">
        <f>AND($J106,ISNUMBER(BM106),correlation!$I$32=1)</f>
        <v/>
      </c>
      <c r="BO106" s="5">
        <f>IF(BN106,$F106,"")</f>
        <v/>
      </c>
      <c r="BP106" s="5">
        <f>IF(BN106,BM106*correlation!$J$32,"")</f>
        <v/>
      </c>
      <c r="BQ106" s="5">
        <f>IF(AND(BN106,ISNUMBER(correlation!$F$32)),BP106*correlation!$F$32+correlation!$G$32,"")</f>
        <v/>
      </c>
      <c r="BR106" s="5">
        <f>IF(AND(BN106,ISNUMBER(BQ106)),(BO106-BQ106)^2,"")</f>
        <v/>
      </c>
      <c r="BS106" s="5">
        <f>IF(BN106,1+SUMPRODUCT(--(calc!$BN$3:$BN$132=TRUE),--(calc!$BO$3:$BO$132&gt;BO106))+(SUMPRODUCT(--(calc!$BN$3:$BN$132=TRUE),--(calc!$BO$3:$BO$132=BO106))-1)/2,"")</f>
        <v/>
      </c>
      <c r="BT106" s="5">
        <f>IF(BN106,1+SUMPRODUCT(--(calc!$BN$3:$BN$132=TRUE),--(calc!$BP$3:$BP$132&gt;BP106))+(SUMPRODUCT(--(calc!$BN$3:$BN$132=TRUE),--(calc!$BP$3:$BP$132=BP106))-1)/2,"")</f>
        <v/>
      </c>
      <c r="BU106" s="5">
        <f>IF(BN106,SUMPRODUCT(--(calc!$BN$3:$BN$132=TRUE),--(ROW(calc!$BN$3:$BN$132)&gt;ROW(BN106)),--(((calc!$BS$3:$BS$132&gt;BS106)*(calc!$BT$3:$BT$132&gt;BT106)+(calc!$BS$3:$BS$132&lt;BS106)*(calc!$BT$3:$BT$132&lt;BT106))&gt;0))-SUMPRODUCT(--(calc!$BN$3:$BN$132=TRUE),--(ROW(calc!$BN$3:$BN$132)&gt;ROW(BN106)),--(((calc!$BS$3:$BS$132&gt;BS106)*(calc!$BT$3:$BT$132&lt;BT106)+(calc!$BS$3:$BS$132&lt;BS106)*(calc!$BT$3:$BT$132&gt;BT106))&gt;0)),0)</f>
        <v/>
      </c>
    </row>
    <row r="107">
      <c r="A107" s="2">
        <f>mos_metrics!A106</f>
        <v/>
      </c>
      <c r="B107" s="2">
        <f>mos_metrics!B106</f>
        <v/>
      </c>
      <c r="C107" s="2">
        <f>mos_metrics!C106</f>
        <v/>
      </c>
      <c r="D107" s="2">
        <f>mos_metrics!D106</f>
        <v/>
      </c>
      <c r="E107" s="2">
        <f>mos_metrics!E106</f>
        <v/>
      </c>
      <c r="F107" s="2">
        <f>mos_metrics!F106</f>
        <v/>
      </c>
      <c r="G107" s="2">
        <f>IF($B107="","",IFERROR(VLOOKUP($B107,correlation!$A$2:$B$12,2,FALSE),1))</f>
        <v/>
      </c>
      <c r="H107" s="2">
        <f>IF($E107="","",IFERROR(VLOOKUP($E107,correlation!$D$2:$E$8,2,FALSE),1))</f>
        <v/>
      </c>
      <c r="I107" s="2">
        <f>ISNUMBER($F107)</f>
        <v/>
      </c>
      <c r="J107" s="2">
        <f>AND($G107=1,$H107=1,$I107)</f>
        <v/>
      </c>
      <c r="K107" s="5">
        <f>IF(mos_metrics!G106="","",mos_metrics!G106)</f>
        <v/>
      </c>
      <c r="L107" s="2">
        <f>AND($J107,ISNUMBER(K107),correlation!$I$26=1)</f>
        <v/>
      </c>
      <c r="M107" s="5">
        <f>IF(L107,$F107,"")</f>
        <v/>
      </c>
      <c r="N107" s="5">
        <f>IF(L107,K107*correlation!$J$26,"")</f>
        <v/>
      </c>
      <c r="O107" s="5">
        <f>IF(AND(L107,ISNUMBER(correlation!$F$26)),N107*correlation!$F$26+correlation!$G$26,"")</f>
        <v/>
      </c>
      <c r="P107" s="5">
        <f>IF(AND(L107,ISNUMBER(O107)),(M107-O107)^2,"")</f>
        <v/>
      </c>
      <c r="Q107" s="5">
        <f>IF(L107,1+SUMPRODUCT(--(calc!$L$3:$L$132=TRUE),--(calc!$M$3:$M$132&gt;M107))+(SUMPRODUCT(--(calc!$L$3:$L$132=TRUE),--(calc!$M$3:$M$132=M107))-1)/2,"")</f>
        <v/>
      </c>
      <c r="R107" s="5">
        <f>IF(L107,1+SUMPRODUCT(--(calc!$L$3:$L$132=TRUE),--(calc!$N$3:$N$132&gt;N107))+(SUMPRODUCT(--(calc!$L$3:$L$132=TRUE),--(calc!$N$3:$N$132=N107))-1)/2,"")</f>
        <v/>
      </c>
      <c r="S107" s="5">
        <f>IF(L107,SUMPRODUCT(--(calc!$L$3:$L$132=TRUE),--(ROW(calc!$L$3:$L$132)&gt;ROW(L107)),--(((calc!$Q$3:$Q$132&gt;Q107)*(calc!$R$3:$R$132&gt;R107)+(calc!$Q$3:$Q$132&lt;Q107)*(calc!$R$3:$R$132&lt;R107))&gt;0))-SUMPRODUCT(--(calc!$L$3:$L$132=TRUE),--(ROW(calc!$L$3:$L$132)&gt;ROW(L107)),--(((calc!$Q$3:$Q$132&gt;Q107)*(calc!$R$3:$R$132&lt;R107)+(calc!$Q$3:$Q$132&lt;Q107)*(calc!$R$3:$R$132&gt;R107))&gt;0)),0)</f>
        <v/>
      </c>
      <c r="T107" s="5">
        <f>IF(mos_metrics!H106="","",mos_metrics!H106)</f>
        <v/>
      </c>
      <c r="U107" s="2">
        <f>AND($J107,ISNUMBER(T107),correlation!$I$27=1)</f>
        <v/>
      </c>
      <c r="V107" s="5">
        <f>IF(U107,$F107,"")</f>
        <v/>
      </c>
      <c r="W107" s="5">
        <f>IF(U107,T107*correlation!$J$27,"")</f>
        <v/>
      </c>
      <c r="X107" s="5">
        <f>IF(AND(U107,ISNUMBER(correlation!$F$27)),W107*correlation!$F$27+correlation!$G$27,"")</f>
        <v/>
      </c>
      <c r="Y107" s="5">
        <f>IF(AND(U107,ISNUMBER(X107)),(V107-X107)^2,"")</f>
        <v/>
      </c>
      <c r="Z107" s="5">
        <f>IF(U107,1+SUMPRODUCT(--(calc!$U$3:$U$132=TRUE),--(calc!$V$3:$V$132&gt;V107))+(SUMPRODUCT(--(calc!$U$3:$U$132=TRUE),--(calc!$V$3:$V$132=V107))-1)/2,"")</f>
        <v/>
      </c>
      <c r="AA107" s="5">
        <f>IF(U107,1+SUMPRODUCT(--(calc!$U$3:$U$132=TRUE),--(calc!$W$3:$W$132&gt;W107))+(SUMPRODUCT(--(calc!$U$3:$U$132=TRUE),--(calc!$W$3:$W$132=W107))-1)/2,"")</f>
        <v/>
      </c>
      <c r="AB107" s="5">
        <f>IF(U107,SUMPRODUCT(--(calc!$U$3:$U$132=TRUE),--(ROW(calc!$U$3:$U$132)&gt;ROW(U107)),--(((calc!$Z$3:$Z$132&gt;Z107)*(calc!$AA$3:$AA$132&gt;AA107)+(calc!$Z$3:$Z$132&lt;Z107)*(calc!$AA$3:$AA$132&lt;AA107))&gt;0))-SUMPRODUCT(--(calc!$U$3:$U$132=TRUE),--(ROW(calc!$U$3:$U$132)&gt;ROW(U107)),--(((calc!$Z$3:$Z$132&gt;Z107)*(calc!$AA$3:$AA$132&lt;AA107)+(calc!$Z$3:$Z$132&lt;Z107)*(calc!$AA$3:$AA$132&gt;AA107))&gt;0)),0)</f>
        <v/>
      </c>
      <c r="AC107" s="5">
        <f>IF(mos_metrics!I106="","",mos_metrics!I106)</f>
        <v/>
      </c>
      <c r="AD107" s="2">
        <f>AND($J107,ISNUMBER(AC107),correlation!$I$28=1)</f>
        <v/>
      </c>
      <c r="AE107" s="5">
        <f>IF(AD107,$F107,"")</f>
        <v/>
      </c>
      <c r="AF107" s="5">
        <f>IF(AD107,AC107*correlation!$J$28,"")</f>
        <v/>
      </c>
      <c r="AG107" s="5">
        <f>IF(AND(AD107,ISNUMBER(correlation!$F$28)),AF107*correlation!$F$28+correlation!$G$28,"")</f>
        <v/>
      </c>
      <c r="AH107" s="5">
        <f>IF(AND(AD107,ISNUMBER(AG107)),(AE107-AG107)^2,"")</f>
        <v/>
      </c>
      <c r="AI107" s="5">
        <f>IF(AD107,1+SUMPRODUCT(--(calc!$AD$3:$AD$132=TRUE),--(calc!$AE$3:$AE$132&gt;AE107))+(SUMPRODUCT(--(calc!$AD$3:$AD$132=TRUE),--(calc!$AE$3:$AE$132=AE107))-1)/2,"")</f>
        <v/>
      </c>
      <c r="AJ107" s="5">
        <f>IF(AD107,1+SUMPRODUCT(--(calc!$AD$3:$AD$132=TRUE),--(calc!$AF$3:$AF$132&gt;AF107))+(SUMPRODUCT(--(calc!$AD$3:$AD$132=TRUE),--(calc!$AF$3:$AF$132=AF107))-1)/2,"")</f>
        <v/>
      </c>
      <c r="AK107" s="5">
        <f>IF(AD107,SUMPRODUCT(--(calc!$AD$3:$AD$132=TRUE),--(ROW(calc!$AD$3:$AD$132)&gt;ROW(AD107)),--(((calc!$AI$3:$AI$132&gt;AI107)*(calc!$AJ$3:$AJ$132&gt;AJ107)+(calc!$AI$3:$AI$132&lt;AI107)*(calc!$AJ$3:$AJ$132&lt;AJ107))&gt;0))-SUMPRODUCT(--(calc!$AD$3:$AD$132=TRUE),--(ROW(calc!$AD$3:$AD$132)&gt;ROW(AD107)),--(((calc!$AI$3:$AI$132&gt;AI107)*(calc!$AJ$3:$AJ$132&lt;AJ107)+(calc!$AI$3:$AI$132&lt;AI107)*(calc!$AJ$3:$AJ$132&gt;AJ107))&gt;0)),0)</f>
        <v/>
      </c>
      <c r="AL107" s="5">
        <f>IF(mos_metrics!J106="","",mos_metrics!J106)</f>
        <v/>
      </c>
      <c r="AM107" s="2">
        <f>AND($J107,ISNUMBER(AL107),correlation!$I$29=1)</f>
        <v/>
      </c>
      <c r="AN107" s="5">
        <f>IF(AM107,$F107,"")</f>
        <v/>
      </c>
      <c r="AO107" s="5">
        <f>IF(AM107,AL107*correlation!$J$29,"")</f>
        <v/>
      </c>
      <c r="AP107" s="5">
        <f>IF(AND(AM107,ISNUMBER(correlation!$F$29)),AO107*correlation!$F$29+correlation!$G$29,"")</f>
        <v/>
      </c>
      <c r="AQ107" s="5">
        <f>IF(AND(AM107,ISNUMBER(AP107)),(AN107-AP107)^2,"")</f>
        <v/>
      </c>
      <c r="AR107" s="5">
        <f>IF(AM107,1+SUMPRODUCT(--(calc!$AM$3:$AM$132=TRUE),--(calc!$AN$3:$AN$132&gt;AN107))+(SUMPRODUCT(--(calc!$AM$3:$AM$132=TRUE),--(calc!$AN$3:$AN$132=AN107))-1)/2,"")</f>
        <v/>
      </c>
      <c r="AS107" s="5">
        <f>IF(AM107,1+SUMPRODUCT(--(calc!$AM$3:$AM$132=TRUE),--(calc!$AO$3:$AO$132&gt;AO107))+(SUMPRODUCT(--(calc!$AM$3:$AM$132=TRUE),--(calc!$AO$3:$AO$132=AO107))-1)/2,"")</f>
        <v/>
      </c>
      <c r="AT107" s="5">
        <f>IF(AM107,SUMPRODUCT(--(calc!$AM$3:$AM$132=TRUE),--(ROW(calc!$AM$3:$AM$132)&gt;ROW(AM107)),--(((calc!$AR$3:$AR$132&gt;AR107)*(calc!$AS$3:$AS$132&gt;AS107)+(calc!$AR$3:$AR$132&lt;AR107)*(calc!$AS$3:$AS$132&lt;AS107))&gt;0))-SUMPRODUCT(--(calc!$AM$3:$AM$132=TRUE),--(ROW(calc!$AM$3:$AM$132)&gt;ROW(AM107)),--(((calc!$AR$3:$AR$132&gt;AR107)*(calc!$AS$3:$AS$132&lt;AS107)+(calc!$AR$3:$AR$132&lt;AR107)*(calc!$AS$3:$AS$132&gt;AS107))&gt;0)),0)</f>
        <v/>
      </c>
      <c r="AU107" s="5">
        <f>IF(mos_metrics!K106="","",mos_metrics!K106)</f>
        <v/>
      </c>
      <c r="AV107" s="2">
        <f>AND($J107,ISNUMBER(AU107),correlation!$I$30=1)</f>
        <v/>
      </c>
      <c r="AW107" s="5">
        <f>IF(AV107,$F107,"")</f>
        <v/>
      </c>
      <c r="AX107" s="5">
        <f>IF(AV107,AU107*correlation!$J$30,"")</f>
        <v/>
      </c>
      <c r="AY107" s="5">
        <f>IF(AND(AV107,ISNUMBER(correlation!$F$30)),AX107*correlation!$F$30+correlation!$G$30,"")</f>
        <v/>
      </c>
      <c r="AZ107" s="5">
        <f>IF(AND(AV107,ISNUMBER(AY107)),(AW107-AY107)^2,"")</f>
        <v/>
      </c>
      <c r="BA107" s="5">
        <f>IF(AV107,1+SUMPRODUCT(--(calc!$AV$3:$AV$132=TRUE),--(calc!$AW$3:$AW$132&gt;AW107))+(SUMPRODUCT(--(calc!$AV$3:$AV$132=TRUE),--(calc!$AW$3:$AW$132=AW107))-1)/2,"")</f>
        <v/>
      </c>
      <c r="BB107" s="5">
        <f>IF(AV107,1+SUMPRODUCT(--(calc!$AV$3:$AV$132=TRUE),--(calc!$AX$3:$AX$132&gt;AX107))+(SUMPRODUCT(--(calc!$AV$3:$AV$132=TRUE),--(calc!$AX$3:$AX$132=AX107))-1)/2,"")</f>
        <v/>
      </c>
      <c r="BC107" s="5">
        <f>IF(AV107,SUMPRODUCT(--(calc!$AV$3:$AV$132=TRUE),--(ROW(calc!$AV$3:$AV$132)&gt;ROW(AV107)),--(((calc!$BA$3:$BA$132&gt;BA107)*(calc!$BB$3:$BB$132&gt;BB107)+(calc!$BA$3:$BA$132&lt;BA107)*(calc!$BB$3:$BB$132&lt;BB107))&gt;0))-SUMPRODUCT(--(calc!$AV$3:$AV$132=TRUE),--(ROW(calc!$AV$3:$AV$132)&gt;ROW(AV107)),--(((calc!$BA$3:$BA$132&gt;BA107)*(calc!$BB$3:$BB$132&lt;BB107)+(calc!$BA$3:$BA$132&lt;BA107)*(calc!$BB$3:$BB$132&gt;BB107))&gt;0)),0)</f>
        <v/>
      </c>
      <c r="BD107" s="5">
        <f>IF(mos_metrics!L106="","",mos_metrics!L106)</f>
        <v/>
      </c>
      <c r="BE107" s="2">
        <f>AND($J107,ISNUMBER(BD107),correlation!$I$31=1)</f>
        <v/>
      </c>
      <c r="BF107" s="5">
        <f>IF(BE107,$F107,"")</f>
        <v/>
      </c>
      <c r="BG107" s="5">
        <f>IF(BE107,BD107*correlation!$J$31,"")</f>
        <v/>
      </c>
      <c r="BH107" s="5">
        <f>IF(AND(BE107,ISNUMBER(correlation!$F$31)),BG107*correlation!$F$31+correlation!$G$31,"")</f>
        <v/>
      </c>
      <c r="BI107" s="5">
        <f>IF(AND(BE107,ISNUMBER(BH107)),(BF107-BH107)^2,"")</f>
        <v/>
      </c>
      <c r="BJ107" s="5">
        <f>IF(BE107,1+SUMPRODUCT(--(calc!$BE$3:$BE$132=TRUE),--(calc!$BF$3:$BF$132&gt;BF107))+(SUMPRODUCT(--(calc!$BE$3:$BE$132=TRUE),--(calc!$BF$3:$BF$132=BF107))-1)/2,"")</f>
        <v/>
      </c>
      <c r="BK107" s="5">
        <f>IF(BE107,1+SUMPRODUCT(--(calc!$BE$3:$BE$132=TRUE),--(calc!$BG$3:$BG$132&gt;BG107))+(SUMPRODUCT(--(calc!$BE$3:$BE$132=TRUE),--(calc!$BG$3:$BG$132=BG107))-1)/2,"")</f>
        <v/>
      </c>
      <c r="BL107" s="5">
        <f>IF(BE107,SUMPRODUCT(--(calc!$BE$3:$BE$132=TRUE),--(ROW(calc!$BE$3:$BE$132)&gt;ROW(BE107)),--(((calc!$BJ$3:$BJ$132&gt;BJ107)*(calc!$BK$3:$BK$132&gt;BK107)+(calc!$BJ$3:$BJ$132&lt;BJ107)*(calc!$BK$3:$BK$132&lt;BK107))&gt;0))-SUMPRODUCT(--(calc!$BE$3:$BE$132=TRUE),--(ROW(calc!$BE$3:$BE$132)&gt;ROW(BE107)),--(((calc!$BJ$3:$BJ$132&gt;BJ107)*(calc!$BK$3:$BK$132&lt;BK107)+(calc!$BJ$3:$BJ$132&lt;BJ107)*(calc!$BK$3:$BK$132&gt;BK107))&gt;0)),0)</f>
        <v/>
      </c>
      <c r="BM107" s="5">
        <f>IF(mos_metrics!M106="","",mos_metrics!M106)</f>
        <v/>
      </c>
      <c r="BN107" s="2">
        <f>AND($J107,ISNUMBER(BM107),correlation!$I$32=1)</f>
        <v/>
      </c>
      <c r="BO107" s="5">
        <f>IF(BN107,$F107,"")</f>
        <v/>
      </c>
      <c r="BP107" s="5">
        <f>IF(BN107,BM107*correlation!$J$32,"")</f>
        <v/>
      </c>
      <c r="BQ107" s="5">
        <f>IF(AND(BN107,ISNUMBER(correlation!$F$32)),BP107*correlation!$F$32+correlation!$G$32,"")</f>
        <v/>
      </c>
      <c r="BR107" s="5">
        <f>IF(AND(BN107,ISNUMBER(BQ107)),(BO107-BQ107)^2,"")</f>
        <v/>
      </c>
      <c r="BS107" s="5">
        <f>IF(BN107,1+SUMPRODUCT(--(calc!$BN$3:$BN$132=TRUE),--(calc!$BO$3:$BO$132&gt;BO107))+(SUMPRODUCT(--(calc!$BN$3:$BN$132=TRUE),--(calc!$BO$3:$BO$132=BO107))-1)/2,"")</f>
        <v/>
      </c>
      <c r="BT107" s="5">
        <f>IF(BN107,1+SUMPRODUCT(--(calc!$BN$3:$BN$132=TRUE),--(calc!$BP$3:$BP$132&gt;BP107))+(SUMPRODUCT(--(calc!$BN$3:$BN$132=TRUE),--(calc!$BP$3:$BP$132=BP107))-1)/2,"")</f>
        <v/>
      </c>
      <c r="BU107" s="5">
        <f>IF(BN107,SUMPRODUCT(--(calc!$BN$3:$BN$132=TRUE),--(ROW(calc!$BN$3:$BN$132)&gt;ROW(BN107)),--(((calc!$BS$3:$BS$132&gt;BS107)*(calc!$BT$3:$BT$132&gt;BT107)+(calc!$BS$3:$BS$132&lt;BS107)*(calc!$BT$3:$BT$132&lt;BT107))&gt;0))-SUMPRODUCT(--(calc!$BN$3:$BN$132=TRUE),--(ROW(calc!$BN$3:$BN$132)&gt;ROW(BN107)),--(((calc!$BS$3:$BS$132&gt;BS107)*(calc!$BT$3:$BT$132&lt;BT107)+(calc!$BS$3:$BS$132&lt;BS107)*(calc!$BT$3:$BT$132&gt;BT107))&gt;0)),0)</f>
        <v/>
      </c>
    </row>
    <row r="108">
      <c r="A108" s="2">
        <f>mos_metrics!A107</f>
        <v/>
      </c>
      <c r="B108" s="2">
        <f>mos_metrics!B107</f>
        <v/>
      </c>
      <c r="C108" s="2">
        <f>mos_metrics!C107</f>
        <v/>
      </c>
      <c r="D108" s="2">
        <f>mos_metrics!D107</f>
        <v/>
      </c>
      <c r="E108" s="2">
        <f>mos_metrics!E107</f>
        <v/>
      </c>
      <c r="F108" s="2">
        <f>mos_metrics!F107</f>
        <v/>
      </c>
      <c r="G108" s="2">
        <f>IF($B108="","",IFERROR(VLOOKUP($B108,correlation!$A$2:$B$12,2,FALSE),1))</f>
        <v/>
      </c>
      <c r="H108" s="2">
        <f>IF($E108="","",IFERROR(VLOOKUP($E108,correlation!$D$2:$E$8,2,FALSE),1))</f>
        <v/>
      </c>
      <c r="I108" s="2">
        <f>ISNUMBER($F108)</f>
        <v/>
      </c>
      <c r="J108" s="2">
        <f>AND($G108=1,$H108=1,$I108)</f>
        <v/>
      </c>
      <c r="K108" s="5">
        <f>IF(mos_metrics!G107="","",mos_metrics!G107)</f>
        <v/>
      </c>
      <c r="L108" s="2">
        <f>AND($J108,ISNUMBER(K108),correlation!$I$26=1)</f>
        <v/>
      </c>
      <c r="M108" s="5">
        <f>IF(L108,$F108,"")</f>
        <v/>
      </c>
      <c r="N108" s="5">
        <f>IF(L108,K108*correlation!$J$26,"")</f>
        <v/>
      </c>
      <c r="O108" s="5">
        <f>IF(AND(L108,ISNUMBER(correlation!$F$26)),N108*correlation!$F$26+correlation!$G$26,"")</f>
        <v/>
      </c>
      <c r="P108" s="5">
        <f>IF(AND(L108,ISNUMBER(O108)),(M108-O108)^2,"")</f>
        <v/>
      </c>
      <c r="Q108" s="5">
        <f>IF(L108,1+SUMPRODUCT(--(calc!$L$3:$L$132=TRUE),--(calc!$M$3:$M$132&gt;M108))+(SUMPRODUCT(--(calc!$L$3:$L$132=TRUE),--(calc!$M$3:$M$132=M108))-1)/2,"")</f>
        <v/>
      </c>
      <c r="R108" s="5">
        <f>IF(L108,1+SUMPRODUCT(--(calc!$L$3:$L$132=TRUE),--(calc!$N$3:$N$132&gt;N108))+(SUMPRODUCT(--(calc!$L$3:$L$132=TRUE),--(calc!$N$3:$N$132=N108))-1)/2,"")</f>
        <v/>
      </c>
      <c r="S108" s="5">
        <f>IF(L108,SUMPRODUCT(--(calc!$L$3:$L$132=TRUE),--(ROW(calc!$L$3:$L$132)&gt;ROW(L108)),--(((calc!$Q$3:$Q$132&gt;Q108)*(calc!$R$3:$R$132&gt;R108)+(calc!$Q$3:$Q$132&lt;Q108)*(calc!$R$3:$R$132&lt;R108))&gt;0))-SUMPRODUCT(--(calc!$L$3:$L$132=TRUE),--(ROW(calc!$L$3:$L$132)&gt;ROW(L108)),--(((calc!$Q$3:$Q$132&gt;Q108)*(calc!$R$3:$R$132&lt;R108)+(calc!$Q$3:$Q$132&lt;Q108)*(calc!$R$3:$R$132&gt;R108))&gt;0)),0)</f>
        <v/>
      </c>
      <c r="T108" s="5">
        <f>IF(mos_metrics!H107="","",mos_metrics!H107)</f>
        <v/>
      </c>
      <c r="U108" s="2">
        <f>AND($J108,ISNUMBER(T108),correlation!$I$27=1)</f>
        <v/>
      </c>
      <c r="V108" s="5">
        <f>IF(U108,$F108,"")</f>
        <v/>
      </c>
      <c r="W108" s="5">
        <f>IF(U108,T108*correlation!$J$27,"")</f>
        <v/>
      </c>
      <c r="X108" s="5">
        <f>IF(AND(U108,ISNUMBER(correlation!$F$27)),W108*correlation!$F$27+correlation!$G$27,"")</f>
        <v/>
      </c>
      <c r="Y108" s="5">
        <f>IF(AND(U108,ISNUMBER(X108)),(V108-X108)^2,"")</f>
        <v/>
      </c>
      <c r="Z108" s="5">
        <f>IF(U108,1+SUMPRODUCT(--(calc!$U$3:$U$132=TRUE),--(calc!$V$3:$V$132&gt;V108))+(SUMPRODUCT(--(calc!$U$3:$U$132=TRUE),--(calc!$V$3:$V$132=V108))-1)/2,"")</f>
        <v/>
      </c>
      <c r="AA108" s="5">
        <f>IF(U108,1+SUMPRODUCT(--(calc!$U$3:$U$132=TRUE),--(calc!$W$3:$W$132&gt;W108))+(SUMPRODUCT(--(calc!$U$3:$U$132=TRUE),--(calc!$W$3:$W$132=W108))-1)/2,"")</f>
        <v/>
      </c>
      <c r="AB108" s="5">
        <f>IF(U108,SUMPRODUCT(--(calc!$U$3:$U$132=TRUE),--(ROW(calc!$U$3:$U$132)&gt;ROW(U108)),--(((calc!$Z$3:$Z$132&gt;Z108)*(calc!$AA$3:$AA$132&gt;AA108)+(calc!$Z$3:$Z$132&lt;Z108)*(calc!$AA$3:$AA$132&lt;AA108))&gt;0))-SUMPRODUCT(--(calc!$U$3:$U$132=TRUE),--(ROW(calc!$U$3:$U$132)&gt;ROW(U108)),--(((calc!$Z$3:$Z$132&gt;Z108)*(calc!$AA$3:$AA$132&lt;AA108)+(calc!$Z$3:$Z$132&lt;Z108)*(calc!$AA$3:$AA$132&gt;AA108))&gt;0)),0)</f>
        <v/>
      </c>
      <c r="AC108" s="5">
        <f>IF(mos_metrics!I107="","",mos_metrics!I107)</f>
        <v/>
      </c>
      <c r="AD108" s="2">
        <f>AND($J108,ISNUMBER(AC108),correlation!$I$28=1)</f>
        <v/>
      </c>
      <c r="AE108" s="5">
        <f>IF(AD108,$F108,"")</f>
        <v/>
      </c>
      <c r="AF108" s="5">
        <f>IF(AD108,AC108*correlation!$J$28,"")</f>
        <v/>
      </c>
      <c r="AG108" s="5">
        <f>IF(AND(AD108,ISNUMBER(correlation!$F$28)),AF108*correlation!$F$28+correlation!$G$28,"")</f>
        <v/>
      </c>
      <c r="AH108" s="5">
        <f>IF(AND(AD108,ISNUMBER(AG108)),(AE108-AG108)^2,"")</f>
        <v/>
      </c>
      <c r="AI108" s="5">
        <f>IF(AD108,1+SUMPRODUCT(--(calc!$AD$3:$AD$132=TRUE),--(calc!$AE$3:$AE$132&gt;AE108))+(SUMPRODUCT(--(calc!$AD$3:$AD$132=TRUE),--(calc!$AE$3:$AE$132=AE108))-1)/2,"")</f>
        <v/>
      </c>
      <c r="AJ108" s="5">
        <f>IF(AD108,1+SUMPRODUCT(--(calc!$AD$3:$AD$132=TRUE),--(calc!$AF$3:$AF$132&gt;AF108))+(SUMPRODUCT(--(calc!$AD$3:$AD$132=TRUE),--(calc!$AF$3:$AF$132=AF108))-1)/2,"")</f>
        <v/>
      </c>
      <c r="AK108" s="5">
        <f>IF(AD108,SUMPRODUCT(--(calc!$AD$3:$AD$132=TRUE),--(ROW(calc!$AD$3:$AD$132)&gt;ROW(AD108)),--(((calc!$AI$3:$AI$132&gt;AI108)*(calc!$AJ$3:$AJ$132&gt;AJ108)+(calc!$AI$3:$AI$132&lt;AI108)*(calc!$AJ$3:$AJ$132&lt;AJ108))&gt;0))-SUMPRODUCT(--(calc!$AD$3:$AD$132=TRUE),--(ROW(calc!$AD$3:$AD$132)&gt;ROW(AD108)),--(((calc!$AI$3:$AI$132&gt;AI108)*(calc!$AJ$3:$AJ$132&lt;AJ108)+(calc!$AI$3:$AI$132&lt;AI108)*(calc!$AJ$3:$AJ$132&gt;AJ108))&gt;0)),0)</f>
        <v/>
      </c>
      <c r="AL108" s="5">
        <f>IF(mos_metrics!J107="","",mos_metrics!J107)</f>
        <v/>
      </c>
      <c r="AM108" s="2">
        <f>AND($J108,ISNUMBER(AL108),correlation!$I$29=1)</f>
        <v/>
      </c>
      <c r="AN108" s="5">
        <f>IF(AM108,$F108,"")</f>
        <v/>
      </c>
      <c r="AO108" s="5">
        <f>IF(AM108,AL108*correlation!$J$29,"")</f>
        <v/>
      </c>
      <c r="AP108" s="5">
        <f>IF(AND(AM108,ISNUMBER(correlation!$F$29)),AO108*correlation!$F$29+correlation!$G$29,"")</f>
        <v/>
      </c>
      <c r="AQ108" s="5">
        <f>IF(AND(AM108,ISNUMBER(AP108)),(AN108-AP108)^2,"")</f>
        <v/>
      </c>
      <c r="AR108" s="5">
        <f>IF(AM108,1+SUMPRODUCT(--(calc!$AM$3:$AM$132=TRUE),--(calc!$AN$3:$AN$132&gt;AN108))+(SUMPRODUCT(--(calc!$AM$3:$AM$132=TRUE),--(calc!$AN$3:$AN$132=AN108))-1)/2,"")</f>
        <v/>
      </c>
      <c r="AS108" s="5">
        <f>IF(AM108,1+SUMPRODUCT(--(calc!$AM$3:$AM$132=TRUE),--(calc!$AO$3:$AO$132&gt;AO108))+(SUMPRODUCT(--(calc!$AM$3:$AM$132=TRUE),--(calc!$AO$3:$AO$132=AO108))-1)/2,"")</f>
        <v/>
      </c>
      <c r="AT108" s="5">
        <f>IF(AM108,SUMPRODUCT(--(calc!$AM$3:$AM$132=TRUE),--(ROW(calc!$AM$3:$AM$132)&gt;ROW(AM108)),--(((calc!$AR$3:$AR$132&gt;AR108)*(calc!$AS$3:$AS$132&gt;AS108)+(calc!$AR$3:$AR$132&lt;AR108)*(calc!$AS$3:$AS$132&lt;AS108))&gt;0))-SUMPRODUCT(--(calc!$AM$3:$AM$132=TRUE),--(ROW(calc!$AM$3:$AM$132)&gt;ROW(AM108)),--(((calc!$AR$3:$AR$132&gt;AR108)*(calc!$AS$3:$AS$132&lt;AS108)+(calc!$AR$3:$AR$132&lt;AR108)*(calc!$AS$3:$AS$132&gt;AS108))&gt;0)),0)</f>
        <v/>
      </c>
      <c r="AU108" s="5">
        <f>IF(mos_metrics!K107="","",mos_metrics!K107)</f>
        <v/>
      </c>
      <c r="AV108" s="2">
        <f>AND($J108,ISNUMBER(AU108),correlation!$I$30=1)</f>
        <v/>
      </c>
      <c r="AW108" s="5">
        <f>IF(AV108,$F108,"")</f>
        <v/>
      </c>
      <c r="AX108" s="5">
        <f>IF(AV108,AU108*correlation!$J$30,"")</f>
        <v/>
      </c>
      <c r="AY108" s="5">
        <f>IF(AND(AV108,ISNUMBER(correlation!$F$30)),AX108*correlation!$F$30+correlation!$G$30,"")</f>
        <v/>
      </c>
      <c r="AZ108" s="5">
        <f>IF(AND(AV108,ISNUMBER(AY108)),(AW108-AY108)^2,"")</f>
        <v/>
      </c>
      <c r="BA108" s="5">
        <f>IF(AV108,1+SUMPRODUCT(--(calc!$AV$3:$AV$132=TRUE),--(calc!$AW$3:$AW$132&gt;AW108))+(SUMPRODUCT(--(calc!$AV$3:$AV$132=TRUE),--(calc!$AW$3:$AW$132=AW108))-1)/2,"")</f>
        <v/>
      </c>
      <c r="BB108" s="5">
        <f>IF(AV108,1+SUMPRODUCT(--(calc!$AV$3:$AV$132=TRUE),--(calc!$AX$3:$AX$132&gt;AX108))+(SUMPRODUCT(--(calc!$AV$3:$AV$132=TRUE),--(calc!$AX$3:$AX$132=AX108))-1)/2,"")</f>
        <v/>
      </c>
      <c r="BC108" s="5">
        <f>IF(AV108,SUMPRODUCT(--(calc!$AV$3:$AV$132=TRUE),--(ROW(calc!$AV$3:$AV$132)&gt;ROW(AV108)),--(((calc!$BA$3:$BA$132&gt;BA108)*(calc!$BB$3:$BB$132&gt;BB108)+(calc!$BA$3:$BA$132&lt;BA108)*(calc!$BB$3:$BB$132&lt;BB108))&gt;0))-SUMPRODUCT(--(calc!$AV$3:$AV$132=TRUE),--(ROW(calc!$AV$3:$AV$132)&gt;ROW(AV108)),--(((calc!$BA$3:$BA$132&gt;BA108)*(calc!$BB$3:$BB$132&lt;BB108)+(calc!$BA$3:$BA$132&lt;BA108)*(calc!$BB$3:$BB$132&gt;BB108))&gt;0)),0)</f>
        <v/>
      </c>
      <c r="BD108" s="5">
        <f>IF(mos_metrics!L107="","",mos_metrics!L107)</f>
        <v/>
      </c>
      <c r="BE108" s="2">
        <f>AND($J108,ISNUMBER(BD108),correlation!$I$31=1)</f>
        <v/>
      </c>
      <c r="BF108" s="5">
        <f>IF(BE108,$F108,"")</f>
        <v/>
      </c>
      <c r="BG108" s="5">
        <f>IF(BE108,BD108*correlation!$J$31,"")</f>
        <v/>
      </c>
      <c r="BH108" s="5">
        <f>IF(AND(BE108,ISNUMBER(correlation!$F$31)),BG108*correlation!$F$31+correlation!$G$31,"")</f>
        <v/>
      </c>
      <c r="BI108" s="5">
        <f>IF(AND(BE108,ISNUMBER(BH108)),(BF108-BH108)^2,"")</f>
        <v/>
      </c>
      <c r="BJ108" s="5">
        <f>IF(BE108,1+SUMPRODUCT(--(calc!$BE$3:$BE$132=TRUE),--(calc!$BF$3:$BF$132&gt;BF108))+(SUMPRODUCT(--(calc!$BE$3:$BE$132=TRUE),--(calc!$BF$3:$BF$132=BF108))-1)/2,"")</f>
        <v/>
      </c>
      <c r="BK108" s="5">
        <f>IF(BE108,1+SUMPRODUCT(--(calc!$BE$3:$BE$132=TRUE),--(calc!$BG$3:$BG$132&gt;BG108))+(SUMPRODUCT(--(calc!$BE$3:$BE$132=TRUE),--(calc!$BG$3:$BG$132=BG108))-1)/2,"")</f>
        <v/>
      </c>
      <c r="BL108" s="5">
        <f>IF(BE108,SUMPRODUCT(--(calc!$BE$3:$BE$132=TRUE),--(ROW(calc!$BE$3:$BE$132)&gt;ROW(BE108)),--(((calc!$BJ$3:$BJ$132&gt;BJ108)*(calc!$BK$3:$BK$132&gt;BK108)+(calc!$BJ$3:$BJ$132&lt;BJ108)*(calc!$BK$3:$BK$132&lt;BK108))&gt;0))-SUMPRODUCT(--(calc!$BE$3:$BE$132=TRUE),--(ROW(calc!$BE$3:$BE$132)&gt;ROW(BE108)),--(((calc!$BJ$3:$BJ$132&gt;BJ108)*(calc!$BK$3:$BK$132&lt;BK108)+(calc!$BJ$3:$BJ$132&lt;BJ108)*(calc!$BK$3:$BK$132&gt;BK108))&gt;0)),0)</f>
        <v/>
      </c>
      <c r="BM108" s="5">
        <f>IF(mos_metrics!M107="","",mos_metrics!M107)</f>
        <v/>
      </c>
      <c r="BN108" s="2">
        <f>AND($J108,ISNUMBER(BM108),correlation!$I$32=1)</f>
        <v/>
      </c>
      <c r="BO108" s="5">
        <f>IF(BN108,$F108,"")</f>
        <v/>
      </c>
      <c r="BP108" s="5">
        <f>IF(BN108,BM108*correlation!$J$32,"")</f>
        <v/>
      </c>
      <c r="BQ108" s="5">
        <f>IF(AND(BN108,ISNUMBER(correlation!$F$32)),BP108*correlation!$F$32+correlation!$G$32,"")</f>
        <v/>
      </c>
      <c r="BR108" s="5">
        <f>IF(AND(BN108,ISNUMBER(BQ108)),(BO108-BQ108)^2,"")</f>
        <v/>
      </c>
      <c r="BS108" s="5">
        <f>IF(BN108,1+SUMPRODUCT(--(calc!$BN$3:$BN$132=TRUE),--(calc!$BO$3:$BO$132&gt;BO108))+(SUMPRODUCT(--(calc!$BN$3:$BN$132=TRUE),--(calc!$BO$3:$BO$132=BO108))-1)/2,"")</f>
        <v/>
      </c>
      <c r="BT108" s="5">
        <f>IF(BN108,1+SUMPRODUCT(--(calc!$BN$3:$BN$132=TRUE),--(calc!$BP$3:$BP$132&gt;BP108))+(SUMPRODUCT(--(calc!$BN$3:$BN$132=TRUE),--(calc!$BP$3:$BP$132=BP108))-1)/2,"")</f>
        <v/>
      </c>
      <c r="BU108" s="5">
        <f>IF(BN108,SUMPRODUCT(--(calc!$BN$3:$BN$132=TRUE),--(ROW(calc!$BN$3:$BN$132)&gt;ROW(BN108)),--(((calc!$BS$3:$BS$132&gt;BS108)*(calc!$BT$3:$BT$132&gt;BT108)+(calc!$BS$3:$BS$132&lt;BS108)*(calc!$BT$3:$BT$132&lt;BT108))&gt;0))-SUMPRODUCT(--(calc!$BN$3:$BN$132=TRUE),--(ROW(calc!$BN$3:$BN$132)&gt;ROW(BN108)),--(((calc!$BS$3:$BS$132&gt;BS108)*(calc!$BT$3:$BT$132&lt;BT108)+(calc!$BS$3:$BS$132&lt;BS108)*(calc!$BT$3:$BT$132&gt;BT108))&gt;0)),0)</f>
        <v/>
      </c>
    </row>
    <row r="109">
      <c r="A109" s="2">
        <f>mos_metrics!A108</f>
        <v/>
      </c>
      <c r="B109" s="2">
        <f>mos_metrics!B108</f>
        <v/>
      </c>
      <c r="C109" s="2">
        <f>mos_metrics!C108</f>
        <v/>
      </c>
      <c r="D109" s="2">
        <f>mos_metrics!D108</f>
        <v/>
      </c>
      <c r="E109" s="2">
        <f>mos_metrics!E108</f>
        <v/>
      </c>
      <c r="F109" s="2">
        <f>mos_metrics!F108</f>
        <v/>
      </c>
      <c r="G109" s="2">
        <f>IF($B109="","",IFERROR(VLOOKUP($B109,correlation!$A$2:$B$12,2,FALSE),1))</f>
        <v/>
      </c>
      <c r="H109" s="2">
        <f>IF($E109="","",IFERROR(VLOOKUP($E109,correlation!$D$2:$E$8,2,FALSE),1))</f>
        <v/>
      </c>
      <c r="I109" s="2">
        <f>ISNUMBER($F109)</f>
        <v/>
      </c>
      <c r="J109" s="2">
        <f>AND($G109=1,$H109=1,$I109)</f>
        <v/>
      </c>
      <c r="K109" s="5">
        <f>IF(mos_metrics!G108="","",mos_metrics!G108)</f>
        <v/>
      </c>
      <c r="L109" s="2">
        <f>AND($J109,ISNUMBER(K109),correlation!$I$26=1)</f>
        <v/>
      </c>
      <c r="M109" s="5">
        <f>IF(L109,$F109,"")</f>
        <v/>
      </c>
      <c r="N109" s="5">
        <f>IF(L109,K109*correlation!$J$26,"")</f>
        <v/>
      </c>
      <c r="O109" s="5">
        <f>IF(AND(L109,ISNUMBER(correlation!$F$26)),N109*correlation!$F$26+correlation!$G$26,"")</f>
        <v/>
      </c>
      <c r="P109" s="5">
        <f>IF(AND(L109,ISNUMBER(O109)),(M109-O109)^2,"")</f>
        <v/>
      </c>
      <c r="Q109" s="5">
        <f>IF(L109,1+SUMPRODUCT(--(calc!$L$3:$L$132=TRUE),--(calc!$M$3:$M$132&gt;M109))+(SUMPRODUCT(--(calc!$L$3:$L$132=TRUE),--(calc!$M$3:$M$132=M109))-1)/2,"")</f>
        <v/>
      </c>
      <c r="R109" s="5">
        <f>IF(L109,1+SUMPRODUCT(--(calc!$L$3:$L$132=TRUE),--(calc!$N$3:$N$132&gt;N109))+(SUMPRODUCT(--(calc!$L$3:$L$132=TRUE),--(calc!$N$3:$N$132=N109))-1)/2,"")</f>
        <v/>
      </c>
      <c r="S109" s="5">
        <f>IF(L109,SUMPRODUCT(--(calc!$L$3:$L$132=TRUE),--(ROW(calc!$L$3:$L$132)&gt;ROW(L109)),--(((calc!$Q$3:$Q$132&gt;Q109)*(calc!$R$3:$R$132&gt;R109)+(calc!$Q$3:$Q$132&lt;Q109)*(calc!$R$3:$R$132&lt;R109))&gt;0))-SUMPRODUCT(--(calc!$L$3:$L$132=TRUE),--(ROW(calc!$L$3:$L$132)&gt;ROW(L109)),--(((calc!$Q$3:$Q$132&gt;Q109)*(calc!$R$3:$R$132&lt;R109)+(calc!$Q$3:$Q$132&lt;Q109)*(calc!$R$3:$R$132&gt;R109))&gt;0)),0)</f>
        <v/>
      </c>
      <c r="T109" s="5">
        <f>IF(mos_metrics!H108="","",mos_metrics!H108)</f>
        <v/>
      </c>
      <c r="U109" s="2">
        <f>AND($J109,ISNUMBER(T109),correlation!$I$27=1)</f>
        <v/>
      </c>
      <c r="V109" s="5">
        <f>IF(U109,$F109,"")</f>
        <v/>
      </c>
      <c r="W109" s="5">
        <f>IF(U109,T109*correlation!$J$27,"")</f>
        <v/>
      </c>
      <c r="X109" s="5">
        <f>IF(AND(U109,ISNUMBER(correlation!$F$27)),W109*correlation!$F$27+correlation!$G$27,"")</f>
        <v/>
      </c>
      <c r="Y109" s="5">
        <f>IF(AND(U109,ISNUMBER(X109)),(V109-X109)^2,"")</f>
        <v/>
      </c>
      <c r="Z109" s="5">
        <f>IF(U109,1+SUMPRODUCT(--(calc!$U$3:$U$132=TRUE),--(calc!$V$3:$V$132&gt;V109))+(SUMPRODUCT(--(calc!$U$3:$U$132=TRUE),--(calc!$V$3:$V$132=V109))-1)/2,"")</f>
        <v/>
      </c>
      <c r="AA109" s="5">
        <f>IF(U109,1+SUMPRODUCT(--(calc!$U$3:$U$132=TRUE),--(calc!$W$3:$W$132&gt;W109))+(SUMPRODUCT(--(calc!$U$3:$U$132=TRUE),--(calc!$W$3:$W$132=W109))-1)/2,"")</f>
        <v/>
      </c>
      <c r="AB109" s="5">
        <f>IF(U109,SUMPRODUCT(--(calc!$U$3:$U$132=TRUE),--(ROW(calc!$U$3:$U$132)&gt;ROW(U109)),--(((calc!$Z$3:$Z$132&gt;Z109)*(calc!$AA$3:$AA$132&gt;AA109)+(calc!$Z$3:$Z$132&lt;Z109)*(calc!$AA$3:$AA$132&lt;AA109))&gt;0))-SUMPRODUCT(--(calc!$U$3:$U$132=TRUE),--(ROW(calc!$U$3:$U$132)&gt;ROW(U109)),--(((calc!$Z$3:$Z$132&gt;Z109)*(calc!$AA$3:$AA$132&lt;AA109)+(calc!$Z$3:$Z$132&lt;Z109)*(calc!$AA$3:$AA$132&gt;AA109))&gt;0)),0)</f>
        <v/>
      </c>
      <c r="AC109" s="5">
        <f>IF(mos_metrics!I108="","",mos_metrics!I108)</f>
        <v/>
      </c>
      <c r="AD109" s="2">
        <f>AND($J109,ISNUMBER(AC109),correlation!$I$28=1)</f>
        <v/>
      </c>
      <c r="AE109" s="5">
        <f>IF(AD109,$F109,"")</f>
        <v/>
      </c>
      <c r="AF109" s="5">
        <f>IF(AD109,AC109*correlation!$J$28,"")</f>
        <v/>
      </c>
      <c r="AG109" s="5">
        <f>IF(AND(AD109,ISNUMBER(correlation!$F$28)),AF109*correlation!$F$28+correlation!$G$28,"")</f>
        <v/>
      </c>
      <c r="AH109" s="5">
        <f>IF(AND(AD109,ISNUMBER(AG109)),(AE109-AG109)^2,"")</f>
        <v/>
      </c>
      <c r="AI109" s="5">
        <f>IF(AD109,1+SUMPRODUCT(--(calc!$AD$3:$AD$132=TRUE),--(calc!$AE$3:$AE$132&gt;AE109))+(SUMPRODUCT(--(calc!$AD$3:$AD$132=TRUE),--(calc!$AE$3:$AE$132=AE109))-1)/2,"")</f>
        <v/>
      </c>
      <c r="AJ109" s="5">
        <f>IF(AD109,1+SUMPRODUCT(--(calc!$AD$3:$AD$132=TRUE),--(calc!$AF$3:$AF$132&gt;AF109))+(SUMPRODUCT(--(calc!$AD$3:$AD$132=TRUE),--(calc!$AF$3:$AF$132=AF109))-1)/2,"")</f>
        <v/>
      </c>
      <c r="AK109" s="5">
        <f>IF(AD109,SUMPRODUCT(--(calc!$AD$3:$AD$132=TRUE),--(ROW(calc!$AD$3:$AD$132)&gt;ROW(AD109)),--(((calc!$AI$3:$AI$132&gt;AI109)*(calc!$AJ$3:$AJ$132&gt;AJ109)+(calc!$AI$3:$AI$132&lt;AI109)*(calc!$AJ$3:$AJ$132&lt;AJ109))&gt;0))-SUMPRODUCT(--(calc!$AD$3:$AD$132=TRUE),--(ROW(calc!$AD$3:$AD$132)&gt;ROW(AD109)),--(((calc!$AI$3:$AI$132&gt;AI109)*(calc!$AJ$3:$AJ$132&lt;AJ109)+(calc!$AI$3:$AI$132&lt;AI109)*(calc!$AJ$3:$AJ$132&gt;AJ109))&gt;0)),0)</f>
        <v/>
      </c>
      <c r="AL109" s="5">
        <f>IF(mos_metrics!J108="","",mos_metrics!J108)</f>
        <v/>
      </c>
      <c r="AM109" s="2">
        <f>AND($J109,ISNUMBER(AL109),correlation!$I$29=1)</f>
        <v/>
      </c>
      <c r="AN109" s="5">
        <f>IF(AM109,$F109,"")</f>
        <v/>
      </c>
      <c r="AO109" s="5">
        <f>IF(AM109,AL109*correlation!$J$29,"")</f>
        <v/>
      </c>
      <c r="AP109" s="5">
        <f>IF(AND(AM109,ISNUMBER(correlation!$F$29)),AO109*correlation!$F$29+correlation!$G$29,"")</f>
        <v/>
      </c>
      <c r="AQ109" s="5">
        <f>IF(AND(AM109,ISNUMBER(AP109)),(AN109-AP109)^2,"")</f>
        <v/>
      </c>
      <c r="AR109" s="5">
        <f>IF(AM109,1+SUMPRODUCT(--(calc!$AM$3:$AM$132=TRUE),--(calc!$AN$3:$AN$132&gt;AN109))+(SUMPRODUCT(--(calc!$AM$3:$AM$132=TRUE),--(calc!$AN$3:$AN$132=AN109))-1)/2,"")</f>
        <v/>
      </c>
      <c r="AS109" s="5">
        <f>IF(AM109,1+SUMPRODUCT(--(calc!$AM$3:$AM$132=TRUE),--(calc!$AO$3:$AO$132&gt;AO109))+(SUMPRODUCT(--(calc!$AM$3:$AM$132=TRUE),--(calc!$AO$3:$AO$132=AO109))-1)/2,"")</f>
        <v/>
      </c>
      <c r="AT109" s="5">
        <f>IF(AM109,SUMPRODUCT(--(calc!$AM$3:$AM$132=TRUE),--(ROW(calc!$AM$3:$AM$132)&gt;ROW(AM109)),--(((calc!$AR$3:$AR$132&gt;AR109)*(calc!$AS$3:$AS$132&gt;AS109)+(calc!$AR$3:$AR$132&lt;AR109)*(calc!$AS$3:$AS$132&lt;AS109))&gt;0))-SUMPRODUCT(--(calc!$AM$3:$AM$132=TRUE),--(ROW(calc!$AM$3:$AM$132)&gt;ROW(AM109)),--(((calc!$AR$3:$AR$132&gt;AR109)*(calc!$AS$3:$AS$132&lt;AS109)+(calc!$AR$3:$AR$132&lt;AR109)*(calc!$AS$3:$AS$132&gt;AS109))&gt;0)),0)</f>
        <v/>
      </c>
      <c r="AU109" s="5">
        <f>IF(mos_metrics!K108="","",mos_metrics!K108)</f>
        <v/>
      </c>
      <c r="AV109" s="2">
        <f>AND($J109,ISNUMBER(AU109),correlation!$I$30=1)</f>
        <v/>
      </c>
      <c r="AW109" s="5">
        <f>IF(AV109,$F109,"")</f>
        <v/>
      </c>
      <c r="AX109" s="5">
        <f>IF(AV109,AU109*correlation!$J$30,"")</f>
        <v/>
      </c>
      <c r="AY109" s="5">
        <f>IF(AND(AV109,ISNUMBER(correlation!$F$30)),AX109*correlation!$F$30+correlation!$G$30,"")</f>
        <v/>
      </c>
      <c r="AZ109" s="5">
        <f>IF(AND(AV109,ISNUMBER(AY109)),(AW109-AY109)^2,"")</f>
        <v/>
      </c>
      <c r="BA109" s="5">
        <f>IF(AV109,1+SUMPRODUCT(--(calc!$AV$3:$AV$132=TRUE),--(calc!$AW$3:$AW$132&gt;AW109))+(SUMPRODUCT(--(calc!$AV$3:$AV$132=TRUE),--(calc!$AW$3:$AW$132=AW109))-1)/2,"")</f>
        <v/>
      </c>
      <c r="BB109" s="5">
        <f>IF(AV109,1+SUMPRODUCT(--(calc!$AV$3:$AV$132=TRUE),--(calc!$AX$3:$AX$132&gt;AX109))+(SUMPRODUCT(--(calc!$AV$3:$AV$132=TRUE),--(calc!$AX$3:$AX$132=AX109))-1)/2,"")</f>
        <v/>
      </c>
      <c r="BC109" s="5">
        <f>IF(AV109,SUMPRODUCT(--(calc!$AV$3:$AV$132=TRUE),--(ROW(calc!$AV$3:$AV$132)&gt;ROW(AV109)),--(((calc!$BA$3:$BA$132&gt;BA109)*(calc!$BB$3:$BB$132&gt;BB109)+(calc!$BA$3:$BA$132&lt;BA109)*(calc!$BB$3:$BB$132&lt;BB109))&gt;0))-SUMPRODUCT(--(calc!$AV$3:$AV$132=TRUE),--(ROW(calc!$AV$3:$AV$132)&gt;ROW(AV109)),--(((calc!$BA$3:$BA$132&gt;BA109)*(calc!$BB$3:$BB$132&lt;BB109)+(calc!$BA$3:$BA$132&lt;BA109)*(calc!$BB$3:$BB$132&gt;BB109))&gt;0)),0)</f>
        <v/>
      </c>
      <c r="BD109" s="5">
        <f>IF(mos_metrics!L108="","",mos_metrics!L108)</f>
        <v/>
      </c>
      <c r="BE109" s="2">
        <f>AND($J109,ISNUMBER(BD109),correlation!$I$31=1)</f>
        <v/>
      </c>
      <c r="BF109" s="5">
        <f>IF(BE109,$F109,"")</f>
        <v/>
      </c>
      <c r="BG109" s="5">
        <f>IF(BE109,BD109*correlation!$J$31,"")</f>
        <v/>
      </c>
      <c r="BH109" s="5">
        <f>IF(AND(BE109,ISNUMBER(correlation!$F$31)),BG109*correlation!$F$31+correlation!$G$31,"")</f>
        <v/>
      </c>
      <c r="BI109" s="5">
        <f>IF(AND(BE109,ISNUMBER(BH109)),(BF109-BH109)^2,"")</f>
        <v/>
      </c>
      <c r="BJ109" s="5">
        <f>IF(BE109,1+SUMPRODUCT(--(calc!$BE$3:$BE$132=TRUE),--(calc!$BF$3:$BF$132&gt;BF109))+(SUMPRODUCT(--(calc!$BE$3:$BE$132=TRUE),--(calc!$BF$3:$BF$132=BF109))-1)/2,"")</f>
        <v/>
      </c>
      <c r="BK109" s="5">
        <f>IF(BE109,1+SUMPRODUCT(--(calc!$BE$3:$BE$132=TRUE),--(calc!$BG$3:$BG$132&gt;BG109))+(SUMPRODUCT(--(calc!$BE$3:$BE$132=TRUE),--(calc!$BG$3:$BG$132=BG109))-1)/2,"")</f>
        <v/>
      </c>
      <c r="BL109" s="5">
        <f>IF(BE109,SUMPRODUCT(--(calc!$BE$3:$BE$132=TRUE),--(ROW(calc!$BE$3:$BE$132)&gt;ROW(BE109)),--(((calc!$BJ$3:$BJ$132&gt;BJ109)*(calc!$BK$3:$BK$132&gt;BK109)+(calc!$BJ$3:$BJ$132&lt;BJ109)*(calc!$BK$3:$BK$132&lt;BK109))&gt;0))-SUMPRODUCT(--(calc!$BE$3:$BE$132=TRUE),--(ROW(calc!$BE$3:$BE$132)&gt;ROW(BE109)),--(((calc!$BJ$3:$BJ$132&gt;BJ109)*(calc!$BK$3:$BK$132&lt;BK109)+(calc!$BJ$3:$BJ$132&lt;BJ109)*(calc!$BK$3:$BK$132&gt;BK109))&gt;0)),0)</f>
        <v/>
      </c>
      <c r="BM109" s="5">
        <f>IF(mos_metrics!M108="","",mos_metrics!M108)</f>
        <v/>
      </c>
      <c r="BN109" s="2">
        <f>AND($J109,ISNUMBER(BM109),correlation!$I$32=1)</f>
        <v/>
      </c>
      <c r="BO109" s="5">
        <f>IF(BN109,$F109,"")</f>
        <v/>
      </c>
      <c r="BP109" s="5">
        <f>IF(BN109,BM109*correlation!$J$32,"")</f>
        <v/>
      </c>
      <c r="BQ109" s="5">
        <f>IF(AND(BN109,ISNUMBER(correlation!$F$32)),BP109*correlation!$F$32+correlation!$G$32,"")</f>
        <v/>
      </c>
      <c r="BR109" s="5">
        <f>IF(AND(BN109,ISNUMBER(BQ109)),(BO109-BQ109)^2,"")</f>
        <v/>
      </c>
      <c r="BS109" s="5">
        <f>IF(BN109,1+SUMPRODUCT(--(calc!$BN$3:$BN$132=TRUE),--(calc!$BO$3:$BO$132&gt;BO109))+(SUMPRODUCT(--(calc!$BN$3:$BN$132=TRUE),--(calc!$BO$3:$BO$132=BO109))-1)/2,"")</f>
        <v/>
      </c>
      <c r="BT109" s="5">
        <f>IF(BN109,1+SUMPRODUCT(--(calc!$BN$3:$BN$132=TRUE),--(calc!$BP$3:$BP$132&gt;BP109))+(SUMPRODUCT(--(calc!$BN$3:$BN$132=TRUE),--(calc!$BP$3:$BP$132=BP109))-1)/2,"")</f>
        <v/>
      </c>
      <c r="BU109" s="5">
        <f>IF(BN109,SUMPRODUCT(--(calc!$BN$3:$BN$132=TRUE),--(ROW(calc!$BN$3:$BN$132)&gt;ROW(BN109)),--(((calc!$BS$3:$BS$132&gt;BS109)*(calc!$BT$3:$BT$132&gt;BT109)+(calc!$BS$3:$BS$132&lt;BS109)*(calc!$BT$3:$BT$132&lt;BT109))&gt;0))-SUMPRODUCT(--(calc!$BN$3:$BN$132=TRUE),--(ROW(calc!$BN$3:$BN$132)&gt;ROW(BN109)),--(((calc!$BS$3:$BS$132&gt;BS109)*(calc!$BT$3:$BT$132&lt;BT109)+(calc!$BS$3:$BS$132&lt;BS109)*(calc!$BT$3:$BT$132&gt;BT109))&gt;0)),0)</f>
        <v/>
      </c>
    </row>
    <row r="110">
      <c r="A110" s="2">
        <f>mos_metrics!A109</f>
        <v/>
      </c>
      <c r="B110" s="2">
        <f>mos_metrics!B109</f>
        <v/>
      </c>
      <c r="C110" s="2">
        <f>mos_metrics!C109</f>
        <v/>
      </c>
      <c r="D110" s="2">
        <f>mos_metrics!D109</f>
        <v/>
      </c>
      <c r="E110" s="2">
        <f>mos_metrics!E109</f>
        <v/>
      </c>
      <c r="F110" s="2">
        <f>mos_metrics!F109</f>
        <v/>
      </c>
      <c r="G110" s="2">
        <f>IF($B110="","",IFERROR(VLOOKUP($B110,correlation!$A$2:$B$12,2,FALSE),1))</f>
        <v/>
      </c>
      <c r="H110" s="2">
        <f>IF($E110="","",IFERROR(VLOOKUP($E110,correlation!$D$2:$E$8,2,FALSE),1))</f>
        <v/>
      </c>
      <c r="I110" s="2">
        <f>ISNUMBER($F110)</f>
        <v/>
      </c>
      <c r="J110" s="2">
        <f>AND($G110=1,$H110=1,$I110)</f>
        <v/>
      </c>
      <c r="K110" s="5">
        <f>IF(mos_metrics!G109="","",mos_metrics!G109)</f>
        <v/>
      </c>
      <c r="L110" s="2">
        <f>AND($J110,ISNUMBER(K110),correlation!$I$26=1)</f>
        <v/>
      </c>
      <c r="M110" s="5">
        <f>IF(L110,$F110,"")</f>
        <v/>
      </c>
      <c r="N110" s="5">
        <f>IF(L110,K110*correlation!$J$26,"")</f>
        <v/>
      </c>
      <c r="O110" s="5">
        <f>IF(AND(L110,ISNUMBER(correlation!$F$26)),N110*correlation!$F$26+correlation!$G$26,"")</f>
        <v/>
      </c>
      <c r="P110" s="5">
        <f>IF(AND(L110,ISNUMBER(O110)),(M110-O110)^2,"")</f>
        <v/>
      </c>
      <c r="Q110" s="5">
        <f>IF(L110,1+SUMPRODUCT(--(calc!$L$3:$L$132=TRUE),--(calc!$M$3:$M$132&gt;M110))+(SUMPRODUCT(--(calc!$L$3:$L$132=TRUE),--(calc!$M$3:$M$132=M110))-1)/2,"")</f>
        <v/>
      </c>
      <c r="R110" s="5">
        <f>IF(L110,1+SUMPRODUCT(--(calc!$L$3:$L$132=TRUE),--(calc!$N$3:$N$132&gt;N110))+(SUMPRODUCT(--(calc!$L$3:$L$132=TRUE),--(calc!$N$3:$N$132=N110))-1)/2,"")</f>
        <v/>
      </c>
      <c r="S110" s="5">
        <f>IF(L110,SUMPRODUCT(--(calc!$L$3:$L$132=TRUE),--(ROW(calc!$L$3:$L$132)&gt;ROW(L110)),--(((calc!$Q$3:$Q$132&gt;Q110)*(calc!$R$3:$R$132&gt;R110)+(calc!$Q$3:$Q$132&lt;Q110)*(calc!$R$3:$R$132&lt;R110))&gt;0))-SUMPRODUCT(--(calc!$L$3:$L$132=TRUE),--(ROW(calc!$L$3:$L$132)&gt;ROW(L110)),--(((calc!$Q$3:$Q$132&gt;Q110)*(calc!$R$3:$R$132&lt;R110)+(calc!$Q$3:$Q$132&lt;Q110)*(calc!$R$3:$R$132&gt;R110))&gt;0)),0)</f>
        <v/>
      </c>
      <c r="T110" s="5">
        <f>IF(mos_metrics!H109="","",mos_metrics!H109)</f>
        <v/>
      </c>
      <c r="U110" s="2">
        <f>AND($J110,ISNUMBER(T110),correlation!$I$27=1)</f>
        <v/>
      </c>
      <c r="V110" s="5">
        <f>IF(U110,$F110,"")</f>
        <v/>
      </c>
      <c r="W110" s="5">
        <f>IF(U110,T110*correlation!$J$27,"")</f>
        <v/>
      </c>
      <c r="X110" s="5">
        <f>IF(AND(U110,ISNUMBER(correlation!$F$27)),W110*correlation!$F$27+correlation!$G$27,"")</f>
        <v/>
      </c>
      <c r="Y110" s="5">
        <f>IF(AND(U110,ISNUMBER(X110)),(V110-X110)^2,"")</f>
        <v/>
      </c>
      <c r="Z110" s="5">
        <f>IF(U110,1+SUMPRODUCT(--(calc!$U$3:$U$132=TRUE),--(calc!$V$3:$V$132&gt;V110))+(SUMPRODUCT(--(calc!$U$3:$U$132=TRUE),--(calc!$V$3:$V$132=V110))-1)/2,"")</f>
        <v/>
      </c>
      <c r="AA110" s="5">
        <f>IF(U110,1+SUMPRODUCT(--(calc!$U$3:$U$132=TRUE),--(calc!$W$3:$W$132&gt;W110))+(SUMPRODUCT(--(calc!$U$3:$U$132=TRUE),--(calc!$W$3:$W$132=W110))-1)/2,"")</f>
        <v/>
      </c>
      <c r="AB110" s="5">
        <f>IF(U110,SUMPRODUCT(--(calc!$U$3:$U$132=TRUE),--(ROW(calc!$U$3:$U$132)&gt;ROW(U110)),--(((calc!$Z$3:$Z$132&gt;Z110)*(calc!$AA$3:$AA$132&gt;AA110)+(calc!$Z$3:$Z$132&lt;Z110)*(calc!$AA$3:$AA$132&lt;AA110))&gt;0))-SUMPRODUCT(--(calc!$U$3:$U$132=TRUE),--(ROW(calc!$U$3:$U$132)&gt;ROW(U110)),--(((calc!$Z$3:$Z$132&gt;Z110)*(calc!$AA$3:$AA$132&lt;AA110)+(calc!$Z$3:$Z$132&lt;Z110)*(calc!$AA$3:$AA$132&gt;AA110))&gt;0)),0)</f>
        <v/>
      </c>
      <c r="AC110" s="5">
        <f>IF(mos_metrics!I109="","",mos_metrics!I109)</f>
        <v/>
      </c>
      <c r="AD110" s="2">
        <f>AND($J110,ISNUMBER(AC110),correlation!$I$28=1)</f>
        <v/>
      </c>
      <c r="AE110" s="5">
        <f>IF(AD110,$F110,"")</f>
        <v/>
      </c>
      <c r="AF110" s="5">
        <f>IF(AD110,AC110*correlation!$J$28,"")</f>
        <v/>
      </c>
      <c r="AG110" s="5">
        <f>IF(AND(AD110,ISNUMBER(correlation!$F$28)),AF110*correlation!$F$28+correlation!$G$28,"")</f>
        <v/>
      </c>
      <c r="AH110" s="5">
        <f>IF(AND(AD110,ISNUMBER(AG110)),(AE110-AG110)^2,"")</f>
        <v/>
      </c>
      <c r="AI110" s="5">
        <f>IF(AD110,1+SUMPRODUCT(--(calc!$AD$3:$AD$132=TRUE),--(calc!$AE$3:$AE$132&gt;AE110))+(SUMPRODUCT(--(calc!$AD$3:$AD$132=TRUE),--(calc!$AE$3:$AE$132=AE110))-1)/2,"")</f>
        <v/>
      </c>
      <c r="AJ110" s="5">
        <f>IF(AD110,1+SUMPRODUCT(--(calc!$AD$3:$AD$132=TRUE),--(calc!$AF$3:$AF$132&gt;AF110))+(SUMPRODUCT(--(calc!$AD$3:$AD$132=TRUE),--(calc!$AF$3:$AF$132=AF110))-1)/2,"")</f>
        <v/>
      </c>
      <c r="AK110" s="5">
        <f>IF(AD110,SUMPRODUCT(--(calc!$AD$3:$AD$132=TRUE),--(ROW(calc!$AD$3:$AD$132)&gt;ROW(AD110)),--(((calc!$AI$3:$AI$132&gt;AI110)*(calc!$AJ$3:$AJ$132&gt;AJ110)+(calc!$AI$3:$AI$132&lt;AI110)*(calc!$AJ$3:$AJ$132&lt;AJ110))&gt;0))-SUMPRODUCT(--(calc!$AD$3:$AD$132=TRUE),--(ROW(calc!$AD$3:$AD$132)&gt;ROW(AD110)),--(((calc!$AI$3:$AI$132&gt;AI110)*(calc!$AJ$3:$AJ$132&lt;AJ110)+(calc!$AI$3:$AI$132&lt;AI110)*(calc!$AJ$3:$AJ$132&gt;AJ110))&gt;0)),0)</f>
        <v/>
      </c>
      <c r="AL110" s="5">
        <f>IF(mos_metrics!J109="","",mos_metrics!J109)</f>
        <v/>
      </c>
      <c r="AM110" s="2">
        <f>AND($J110,ISNUMBER(AL110),correlation!$I$29=1)</f>
        <v/>
      </c>
      <c r="AN110" s="5">
        <f>IF(AM110,$F110,"")</f>
        <v/>
      </c>
      <c r="AO110" s="5">
        <f>IF(AM110,AL110*correlation!$J$29,"")</f>
        <v/>
      </c>
      <c r="AP110" s="5">
        <f>IF(AND(AM110,ISNUMBER(correlation!$F$29)),AO110*correlation!$F$29+correlation!$G$29,"")</f>
        <v/>
      </c>
      <c r="AQ110" s="5">
        <f>IF(AND(AM110,ISNUMBER(AP110)),(AN110-AP110)^2,"")</f>
        <v/>
      </c>
      <c r="AR110" s="5">
        <f>IF(AM110,1+SUMPRODUCT(--(calc!$AM$3:$AM$132=TRUE),--(calc!$AN$3:$AN$132&gt;AN110))+(SUMPRODUCT(--(calc!$AM$3:$AM$132=TRUE),--(calc!$AN$3:$AN$132=AN110))-1)/2,"")</f>
        <v/>
      </c>
      <c r="AS110" s="5">
        <f>IF(AM110,1+SUMPRODUCT(--(calc!$AM$3:$AM$132=TRUE),--(calc!$AO$3:$AO$132&gt;AO110))+(SUMPRODUCT(--(calc!$AM$3:$AM$132=TRUE),--(calc!$AO$3:$AO$132=AO110))-1)/2,"")</f>
        <v/>
      </c>
      <c r="AT110" s="5">
        <f>IF(AM110,SUMPRODUCT(--(calc!$AM$3:$AM$132=TRUE),--(ROW(calc!$AM$3:$AM$132)&gt;ROW(AM110)),--(((calc!$AR$3:$AR$132&gt;AR110)*(calc!$AS$3:$AS$132&gt;AS110)+(calc!$AR$3:$AR$132&lt;AR110)*(calc!$AS$3:$AS$132&lt;AS110))&gt;0))-SUMPRODUCT(--(calc!$AM$3:$AM$132=TRUE),--(ROW(calc!$AM$3:$AM$132)&gt;ROW(AM110)),--(((calc!$AR$3:$AR$132&gt;AR110)*(calc!$AS$3:$AS$132&lt;AS110)+(calc!$AR$3:$AR$132&lt;AR110)*(calc!$AS$3:$AS$132&gt;AS110))&gt;0)),0)</f>
        <v/>
      </c>
      <c r="AU110" s="5">
        <f>IF(mos_metrics!K109="","",mos_metrics!K109)</f>
        <v/>
      </c>
      <c r="AV110" s="2">
        <f>AND($J110,ISNUMBER(AU110),correlation!$I$30=1)</f>
        <v/>
      </c>
      <c r="AW110" s="5">
        <f>IF(AV110,$F110,"")</f>
        <v/>
      </c>
      <c r="AX110" s="5">
        <f>IF(AV110,AU110*correlation!$J$30,"")</f>
        <v/>
      </c>
      <c r="AY110" s="5">
        <f>IF(AND(AV110,ISNUMBER(correlation!$F$30)),AX110*correlation!$F$30+correlation!$G$30,"")</f>
        <v/>
      </c>
      <c r="AZ110" s="5">
        <f>IF(AND(AV110,ISNUMBER(AY110)),(AW110-AY110)^2,"")</f>
        <v/>
      </c>
      <c r="BA110" s="5">
        <f>IF(AV110,1+SUMPRODUCT(--(calc!$AV$3:$AV$132=TRUE),--(calc!$AW$3:$AW$132&gt;AW110))+(SUMPRODUCT(--(calc!$AV$3:$AV$132=TRUE),--(calc!$AW$3:$AW$132=AW110))-1)/2,"")</f>
        <v/>
      </c>
      <c r="BB110" s="5">
        <f>IF(AV110,1+SUMPRODUCT(--(calc!$AV$3:$AV$132=TRUE),--(calc!$AX$3:$AX$132&gt;AX110))+(SUMPRODUCT(--(calc!$AV$3:$AV$132=TRUE),--(calc!$AX$3:$AX$132=AX110))-1)/2,"")</f>
        <v/>
      </c>
      <c r="BC110" s="5">
        <f>IF(AV110,SUMPRODUCT(--(calc!$AV$3:$AV$132=TRUE),--(ROW(calc!$AV$3:$AV$132)&gt;ROW(AV110)),--(((calc!$BA$3:$BA$132&gt;BA110)*(calc!$BB$3:$BB$132&gt;BB110)+(calc!$BA$3:$BA$132&lt;BA110)*(calc!$BB$3:$BB$132&lt;BB110))&gt;0))-SUMPRODUCT(--(calc!$AV$3:$AV$132=TRUE),--(ROW(calc!$AV$3:$AV$132)&gt;ROW(AV110)),--(((calc!$BA$3:$BA$132&gt;BA110)*(calc!$BB$3:$BB$132&lt;BB110)+(calc!$BA$3:$BA$132&lt;BA110)*(calc!$BB$3:$BB$132&gt;BB110))&gt;0)),0)</f>
        <v/>
      </c>
      <c r="BD110" s="5">
        <f>IF(mos_metrics!L109="","",mos_metrics!L109)</f>
        <v/>
      </c>
      <c r="BE110" s="2">
        <f>AND($J110,ISNUMBER(BD110),correlation!$I$31=1)</f>
        <v/>
      </c>
      <c r="BF110" s="5">
        <f>IF(BE110,$F110,"")</f>
        <v/>
      </c>
      <c r="BG110" s="5">
        <f>IF(BE110,BD110*correlation!$J$31,"")</f>
        <v/>
      </c>
      <c r="BH110" s="5">
        <f>IF(AND(BE110,ISNUMBER(correlation!$F$31)),BG110*correlation!$F$31+correlation!$G$31,"")</f>
        <v/>
      </c>
      <c r="BI110" s="5">
        <f>IF(AND(BE110,ISNUMBER(BH110)),(BF110-BH110)^2,"")</f>
        <v/>
      </c>
      <c r="BJ110" s="5">
        <f>IF(BE110,1+SUMPRODUCT(--(calc!$BE$3:$BE$132=TRUE),--(calc!$BF$3:$BF$132&gt;BF110))+(SUMPRODUCT(--(calc!$BE$3:$BE$132=TRUE),--(calc!$BF$3:$BF$132=BF110))-1)/2,"")</f>
        <v/>
      </c>
      <c r="BK110" s="5">
        <f>IF(BE110,1+SUMPRODUCT(--(calc!$BE$3:$BE$132=TRUE),--(calc!$BG$3:$BG$132&gt;BG110))+(SUMPRODUCT(--(calc!$BE$3:$BE$132=TRUE),--(calc!$BG$3:$BG$132=BG110))-1)/2,"")</f>
        <v/>
      </c>
      <c r="BL110" s="5">
        <f>IF(BE110,SUMPRODUCT(--(calc!$BE$3:$BE$132=TRUE),--(ROW(calc!$BE$3:$BE$132)&gt;ROW(BE110)),--(((calc!$BJ$3:$BJ$132&gt;BJ110)*(calc!$BK$3:$BK$132&gt;BK110)+(calc!$BJ$3:$BJ$132&lt;BJ110)*(calc!$BK$3:$BK$132&lt;BK110))&gt;0))-SUMPRODUCT(--(calc!$BE$3:$BE$132=TRUE),--(ROW(calc!$BE$3:$BE$132)&gt;ROW(BE110)),--(((calc!$BJ$3:$BJ$132&gt;BJ110)*(calc!$BK$3:$BK$132&lt;BK110)+(calc!$BJ$3:$BJ$132&lt;BJ110)*(calc!$BK$3:$BK$132&gt;BK110))&gt;0)),0)</f>
        <v/>
      </c>
      <c r="BM110" s="5">
        <f>IF(mos_metrics!M109="","",mos_metrics!M109)</f>
        <v/>
      </c>
      <c r="BN110" s="2">
        <f>AND($J110,ISNUMBER(BM110),correlation!$I$32=1)</f>
        <v/>
      </c>
      <c r="BO110" s="5">
        <f>IF(BN110,$F110,"")</f>
        <v/>
      </c>
      <c r="BP110" s="5">
        <f>IF(BN110,BM110*correlation!$J$32,"")</f>
        <v/>
      </c>
      <c r="BQ110" s="5">
        <f>IF(AND(BN110,ISNUMBER(correlation!$F$32)),BP110*correlation!$F$32+correlation!$G$32,"")</f>
        <v/>
      </c>
      <c r="BR110" s="5">
        <f>IF(AND(BN110,ISNUMBER(BQ110)),(BO110-BQ110)^2,"")</f>
        <v/>
      </c>
      <c r="BS110" s="5">
        <f>IF(BN110,1+SUMPRODUCT(--(calc!$BN$3:$BN$132=TRUE),--(calc!$BO$3:$BO$132&gt;BO110))+(SUMPRODUCT(--(calc!$BN$3:$BN$132=TRUE),--(calc!$BO$3:$BO$132=BO110))-1)/2,"")</f>
        <v/>
      </c>
      <c r="BT110" s="5">
        <f>IF(BN110,1+SUMPRODUCT(--(calc!$BN$3:$BN$132=TRUE),--(calc!$BP$3:$BP$132&gt;BP110))+(SUMPRODUCT(--(calc!$BN$3:$BN$132=TRUE),--(calc!$BP$3:$BP$132=BP110))-1)/2,"")</f>
        <v/>
      </c>
      <c r="BU110" s="5">
        <f>IF(BN110,SUMPRODUCT(--(calc!$BN$3:$BN$132=TRUE),--(ROW(calc!$BN$3:$BN$132)&gt;ROW(BN110)),--(((calc!$BS$3:$BS$132&gt;BS110)*(calc!$BT$3:$BT$132&gt;BT110)+(calc!$BS$3:$BS$132&lt;BS110)*(calc!$BT$3:$BT$132&lt;BT110))&gt;0))-SUMPRODUCT(--(calc!$BN$3:$BN$132=TRUE),--(ROW(calc!$BN$3:$BN$132)&gt;ROW(BN110)),--(((calc!$BS$3:$BS$132&gt;BS110)*(calc!$BT$3:$BT$132&lt;BT110)+(calc!$BS$3:$BS$132&lt;BS110)*(calc!$BT$3:$BT$132&gt;BT110))&gt;0)),0)</f>
        <v/>
      </c>
    </row>
    <row r="111">
      <c r="A111" s="2">
        <f>mos_metrics!A110</f>
        <v/>
      </c>
      <c r="B111" s="2">
        <f>mos_metrics!B110</f>
        <v/>
      </c>
      <c r="C111" s="2">
        <f>mos_metrics!C110</f>
        <v/>
      </c>
      <c r="D111" s="2">
        <f>mos_metrics!D110</f>
        <v/>
      </c>
      <c r="E111" s="2">
        <f>mos_metrics!E110</f>
        <v/>
      </c>
      <c r="F111" s="2">
        <f>mos_metrics!F110</f>
        <v/>
      </c>
      <c r="G111" s="2">
        <f>IF($B111="","",IFERROR(VLOOKUP($B111,correlation!$A$2:$B$12,2,FALSE),1))</f>
        <v/>
      </c>
      <c r="H111" s="2">
        <f>IF($E111="","",IFERROR(VLOOKUP($E111,correlation!$D$2:$E$8,2,FALSE),1))</f>
        <v/>
      </c>
      <c r="I111" s="2">
        <f>ISNUMBER($F111)</f>
        <v/>
      </c>
      <c r="J111" s="2">
        <f>AND($G111=1,$H111=1,$I111)</f>
        <v/>
      </c>
      <c r="K111" s="5">
        <f>IF(mos_metrics!G110="","",mos_metrics!G110)</f>
        <v/>
      </c>
      <c r="L111" s="2">
        <f>AND($J111,ISNUMBER(K111),correlation!$I$26=1)</f>
        <v/>
      </c>
      <c r="M111" s="5">
        <f>IF(L111,$F111,"")</f>
        <v/>
      </c>
      <c r="N111" s="5">
        <f>IF(L111,K111*correlation!$J$26,"")</f>
        <v/>
      </c>
      <c r="O111" s="5">
        <f>IF(AND(L111,ISNUMBER(correlation!$F$26)),N111*correlation!$F$26+correlation!$G$26,"")</f>
        <v/>
      </c>
      <c r="P111" s="5">
        <f>IF(AND(L111,ISNUMBER(O111)),(M111-O111)^2,"")</f>
        <v/>
      </c>
      <c r="Q111" s="5">
        <f>IF(L111,1+SUMPRODUCT(--(calc!$L$3:$L$132=TRUE),--(calc!$M$3:$M$132&gt;M111))+(SUMPRODUCT(--(calc!$L$3:$L$132=TRUE),--(calc!$M$3:$M$132=M111))-1)/2,"")</f>
        <v/>
      </c>
      <c r="R111" s="5">
        <f>IF(L111,1+SUMPRODUCT(--(calc!$L$3:$L$132=TRUE),--(calc!$N$3:$N$132&gt;N111))+(SUMPRODUCT(--(calc!$L$3:$L$132=TRUE),--(calc!$N$3:$N$132=N111))-1)/2,"")</f>
        <v/>
      </c>
      <c r="S111" s="5">
        <f>IF(L111,SUMPRODUCT(--(calc!$L$3:$L$132=TRUE),--(ROW(calc!$L$3:$L$132)&gt;ROW(L111)),--(((calc!$Q$3:$Q$132&gt;Q111)*(calc!$R$3:$R$132&gt;R111)+(calc!$Q$3:$Q$132&lt;Q111)*(calc!$R$3:$R$132&lt;R111))&gt;0))-SUMPRODUCT(--(calc!$L$3:$L$132=TRUE),--(ROW(calc!$L$3:$L$132)&gt;ROW(L111)),--(((calc!$Q$3:$Q$132&gt;Q111)*(calc!$R$3:$R$132&lt;R111)+(calc!$Q$3:$Q$132&lt;Q111)*(calc!$R$3:$R$132&gt;R111))&gt;0)),0)</f>
        <v/>
      </c>
      <c r="T111" s="5">
        <f>IF(mos_metrics!H110="","",mos_metrics!H110)</f>
        <v/>
      </c>
      <c r="U111" s="2">
        <f>AND($J111,ISNUMBER(T111),correlation!$I$27=1)</f>
        <v/>
      </c>
      <c r="V111" s="5">
        <f>IF(U111,$F111,"")</f>
        <v/>
      </c>
      <c r="W111" s="5">
        <f>IF(U111,T111*correlation!$J$27,"")</f>
        <v/>
      </c>
      <c r="X111" s="5">
        <f>IF(AND(U111,ISNUMBER(correlation!$F$27)),W111*correlation!$F$27+correlation!$G$27,"")</f>
        <v/>
      </c>
      <c r="Y111" s="5">
        <f>IF(AND(U111,ISNUMBER(X111)),(V111-X111)^2,"")</f>
        <v/>
      </c>
      <c r="Z111" s="5">
        <f>IF(U111,1+SUMPRODUCT(--(calc!$U$3:$U$132=TRUE),--(calc!$V$3:$V$132&gt;V111))+(SUMPRODUCT(--(calc!$U$3:$U$132=TRUE),--(calc!$V$3:$V$132=V111))-1)/2,"")</f>
        <v/>
      </c>
      <c r="AA111" s="5">
        <f>IF(U111,1+SUMPRODUCT(--(calc!$U$3:$U$132=TRUE),--(calc!$W$3:$W$132&gt;W111))+(SUMPRODUCT(--(calc!$U$3:$U$132=TRUE),--(calc!$W$3:$W$132=W111))-1)/2,"")</f>
        <v/>
      </c>
      <c r="AB111" s="5">
        <f>IF(U111,SUMPRODUCT(--(calc!$U$3:$U$132=TRUE),--(ROW(calc!$U$3:$U$132)&gt;ROW(U111)),--(((calc!$Z$3:$Z$132&gt;Z111)*(calc!$AA$3:$AA$132&gt;AA111)+(calc!$Z$3:$Z$132&lt;Z111)*(calc!$AA$3:$AA$132&lt;AA111))&gt;0))-SUMPRODUCT(--(calc!$U$3:$U$132=TRUE),--(ROW(calc!$U$3:$U$132)&gt;ROW(U111)),--(((calc!$Z$3:$Z$132&gt;Z111)*(calc!$AA$3:$AA$132&lt;AA111)+(calc!$Z$3:$Z$132&lt;Z111)*(calc!$AA$3:$AA$132&gt;AA111))&gt;0)),0)</f>
        <v/>
      </c>
      <c r="AC111" s="5">
        <f>IF(mos_metrics!I110="","",mos_metrics!I110)</f>
        <v/>
      </c>
      <c r="AD111" s="2">
        <f>AND($J111,ISNUMBER(AC111),correlation!$I$28=1)</f>
        <v/>
      </c>
      <c r="AE111" s="5">
        <f>IF(AD111,$F111,"")</f>
        <v/>
      </c>
      <c r="AF111" s="5">
        <f>IF(AD111,AC111*correlation!$J$28,"")</f>
        <v/>
      </c>
      <c r="AG111" s="5">
        <f>IF(AND(AD111,ISNUMBER(correlation!$F$28)),AF111*correlation!$F$28+correlation!$G$28,"")</f>
        <v/>
      </c>
      <c r="AH111" s="5">
        <f>IF(AND(AD111,ISNUMBER(AG111)),(AE111-AG111)^2,"")</f>
        <v/>
      </c>
      <c r="AI111" s="5">
        <f>IF(AD111,1+SUMPRODUCT(--(calc!$AD$3:$AD$132=TRUE),--(calc!$AE$3:$AE$132&gt;AE111))+(SUMPRODUCT(--(calc!$AD$3:$AD$132=TRUE),--(calc!$AE$3:$AE$132=AE111))-1)/2,"")</f>
        <v/>
      </c>
      <c r="AJ111" s="5">
        <f>IF(AD111,1+SUMPRODUCT(--(calc!$AD$3:$AD$132=TRUE),--(calc!$AF$3:$AF$132&gt;AF111))+(SUMPRODUCT(--(calc!$AD$3:$AD$132=TRUE),--(calc!$AF$3:$AF$132=AF111))-1)/2,"")</f>
        <v/>
      </c>
      <c r="AK111" s="5">
        <f>IF(AD111,SUMPRODUCT(--(calc!$AD$3:$AD$132=TRUE),--(ROW(calc!$AD$3:$AD$132)&gt;ROW(AD111)),--(((calc!$AI$3:$AI$132&gt;AI111)*(calc!$AJ$3:$AJ$132&gt;AJ111)+(calc!$AI$3:$AI$132&lt;AI111)*(calc!$AJ$3:$AJ$132&lt;AJ111))&gt;0))-SUMPRODUCT(--(calc!$AD$3:$AD$132=TRUE),--(ROW(calc!$AD$3:$AD$132)&gt;ROW(AD111)),--(((calc!$AI$3:$AI$132&gt;AI111)*(calc!$AJ$3:$AJ$132&lt;AJ111)+(calc!$AI$3:$AI$132&lt;AI111)*(calc!$AJ$3:$AJ$132&gt;AJ111))&gt;0)),0)</f>
        <v/>
      </c>
      <c r="AL111" s="5">
        <f>IF(mos_metrics!J110="","",mos_metrics!J110)</f>
        <v/>
      </c>
      <c r="AM111" s="2">
        <f>AND($J111,ISNUMBER(AL111),correlation!$I$29=1)</f>
        <v/>
      </c>
      <c r="AN111" s="5">
        <f>IF(AM111,$F111,"")</f>
        <v/>
      </c>
      <c r="AO111" s="5">
        <f>IF(AM111,AL111*correlation!$J$29,"")</f>
        <v/>
      </c>
      <c r="AP111" s="5">
        <f>IF(AND(AM111,ISNUMBER(correlation!$F$29)),AO111*correlation!$F$29+correlation!$G$29,"")</f>
        <v/>
      </c>
      <c r="AQ111" s="5">
        <f>IF(AND(AM111,ISNUMBER(AP111)),(AN111-AP111)^2,"")</f>
        <v/>
      </c>
      <c r="AR111" s="5">
        <f>IF(AM111,1+SUMPRODUCT(--(calc!$AM$3:$AM$132=TRUE),--(calc!$AN$3:$AN$132&gt;AN111))+(SUMPRODUCT(--(calc!$AM$3:$AM$132=TRUE),--(calc!$AN$3:$AN$132=AN111))-1)/2,"")</f>
        <v/>
      </c>
      <c r="AS111" s="5">
        <f>IF(AM111,1+SUMPRODUCT(--(calc!$AM$3:$AM$132=TRUE),--(calc!$AO$3:$AO$132&gt;AO111))+(SUMPRODUCT(--(calc!$AM$3:$AM$132=TRUE),--(calc!$AO$3:$AO$132=AO111))-1)/2,"")</f>
        <v/>
      </c>
      <c r="AT111" s="5">
        <f>IF(AM111,SUMPRODUCT(--(calc!$AM$3:$AM$132=TRUE),--(ROW(calc!$AM$3:$AM$132)&gt;ROW(AM111)),--(((calc!$AR$3:$AR$132&gt;AR111)*(calc!$AS$3:$AS$132&gt;AS111)+(calc!$AR$3:$AR$132&lt;AR111)*(calc!$AS$3:$AS$132&lt;AS111))&gt;0))-SUMPRODUCT(--(calc!$AM$3:$AM$132=TRUE),--(ROW(calc!$AM$3:$AM$132)&gt;ROW(AM111)),--(((calc!$AR$3:$AR$132&gt;AR111)*(calc!$AS$3:$AS$132&lt;AS111)+(calc!$AR$3:$AR$132&lt;AR111)*(calc!$AS$3:$AS$132&gt;AS111))&gt;0)),0)</f>
        <v/>
      </c>
      <c r="AU111" s="5">
        <f>IF(mos_metrics!K110="","",mos_metrics!K110)</f>
        <v/>
      </c>
      <c r="AV111" s="2">
        <f>AND($J111,ISNUMBER(AU111),correlation!$I$30=1)</f>
        <v/>
      </c>
      <c r="AW111" s="5">
        <f>IF(AV111,$F111,"")</f>
        <v/>
      </c>
      <c r="AX111" s="5">
        <f>IF(AV111,AU111*correlation!$J$30,"")</f>
        <v/>
      </c>
      <c r="AY111" s="5">
        <f>IF(AND(AV111,ISNUMBER(correlation!$F$30)),AX111*correlation!$F$30+correlation!$G$30,"")</f>
        <v/>
      </c>
      <c r="AZ111" s="5">
        <f>IF(AND(AV111,ISNUMBER(AY111)),(AW111-AY111)^2,"")</f>
        <v/>
      </c>
      <c r="BA111" s="5">
        <f>IF(AV111,1+SUMPRODUCT(--(calc!$AV$3:$AV$132=TRUE),--(calc!$AW$3:$AW$132&gt;AW111))+(SUMPRODUCT(--(calc!$AV$3:$AV$132=TRUE),--(calc!$AW$3:$AW$132=AW111))-1)/2,"")</f>
        <v/>
      </c>
      <c r="BB111" s="5">
        <f>IF(AV111,1+SUMPRODUCT(--(calc!$AV$3:$AV$132=TRUE),--(calc!$AX$3:$AX$132&gt;AX111))+(SUMPRODUCT(--(calc!$AV$3:$AV$132=TRUE),--(calc!$AX$3:$AX$132=AX111))-1)/2,"")</f>
        <v/>
      </c>
      <c r="BC111" s="5">
        <f>IF(AV111,SUMPRODUCT(--(calc!$AV$3:$AV$132=TRUE),--(ROW(calc!$AV$3:$AV$132)&gt;ROW(AV111)),--(((calc!$BA$3:$BA$132&gt;BA111)*(calc!$BB$3:$BB$132&gt;BB111)+(calc!$BA$3:$BA$132&lt;BA111)*(calc!$BB$3:$BB$132&lt;BB111))&gt;0))-SUMPRODUCT(--(calc!$AV$3:$AV$132=TRUE),--(ROW(calc!$AV$3:$AV$132)&gt;ROW(AV111)),--(((calc!$BA$3:$BA$132&gt;BA111)*(calc!$BB$3:$BB$132&lt;BB111)+(calc!$BA$3:$BA$132&lt;BA111)*(calc!$BB$3:$BB$132&gt;BB111))&gt;0)),0)</f>
        <v/>
      </c>
      <c r="BD111" s="5">
        <f>IF(mos_metrics!L110="","",mos_metrics!L110)</f>
        <v/>
      </c>
      <c r="BE111" s="2">
        <f>AND($J111,ISNUMBER(BD111),correlation!$I$31=1)</f>
        <v/>
      </c>
      <c r="BF111" s="5">
        <f>IF(BE111,$F111,"")</f>
        <v/>
      </c>
      <c r="BG111" s="5">
        <f>IF(BE111,BD111*correlation!$J$31,"")</f>
        <v/>
      </c>
      <c r="BH111" s="5">
        <f>IF(AND(BE111,ISNUMBER(correlation!$F$31)),BG111*correlation!$F$31+correlation!$G$31,"")</f>
        <v/>
      </c>
      <c r="BI111" s="5">
        <f>IF(AND(BE111,ISNUMBER(BH111)),(BF111-BH111)^2,"")</f>
        <v/>
      </c>
      <c r="BJ111" s="5">
        <f>IF(BE111,1+SUMPRODUCT(--(calc!$BE$3:$BE$132=TRUE),--(calc!$BF$3:$BF$132&gt;BF111))+(SUMPRODUCT(--(calc!$BE$3:$BE$132=TRUE),--(calc!$BF$3:$BF$132=BF111))-1)/2,"")</f>
        <v/>
      </c>
      <c r="BK111" s="5">
        <f>IF(BE111,1+SUMPRODUCT(--(calc!$BE$3:$BE$132=TRUE),--(calc!$BG$3:$BG$132&gt;BG111))+(SUMPRODUCT(--(calc!$BE$3:$BE$132=TRUE),--(calc!$BG$3:$BG$132=BG111))-1)/2,"")</f>
        <v/>
      </c>
      <c r="BL111" s="5">
        <f>IF(BE111,SUMPRODUCT(--(calc!$BE$3:$BE$132=TRUE),--(ROW(calc!$BE$3:$BE$132)&gt;ROW(BE111)),--(((calc!$BJ$3:$BJ$132&gt;BJ111)*(calc!$BK$3:$BK$132&gt;BK111)+(calc!$BJ$3:$BJ$132&lt;BJ111)*(calc!$BK$3:$BK$132&lt;BK111))&gt;0))-SUMPRODUCT(--(calc!$BE$3:$BE$132=TRUE),--(ROW(calc!$BE$3:$BE$132)&gt;ROW(BE111)),--(((calc!$BJ$3:$BJ$132&gt;BJ111)*(calc!$BK$3:$BK$132&lt;BK111)+(calc!$BJ$3:$BJ$132&lt;BJ111)*(calc!$BK$3:$BK$132&gt;BK111))&gt;0)),0)</f>
        <v/>
      </c>
      <c r="BM111" s="5">
        <f>IF(mos_metrics!M110="","",mos_metrics!M110)</f>
        <v/>
      </c>
      <c r="BN111" s="2">
        <f>AND($J111,ISNUMBER(BM111),correlation!$I$32=1)</f>
        <v/>
      </c>
      <c r="BO111" s="5">
        <f>IF(BN111,$F111,"")</f>
        <v/>
      </c>
      <c r="BP111" s="5">
        <f>IF(BN111,BM111*correlation!$J$32,"")</f>
        <v/>
      </c>
      <c r="BQ111" s="5">
        <f>IF(AND(BN111,ISNUMBER(correlation!$F$32)),BP111*correlation!$F$32+correlation!$G$32,"")</f>
        <v/>
      </c>
      <c r="BR111" s="5">
        <f>IF(AND(BN111,ISNUMBER(BQ111)),(BO111-BQ111)^2,"")</f>
        <v/>
      </c>
      <c r="BS111" s="5">
        <f>IF(BN111,1+SUMPRODUCT(--(calc!$BN$3:$BN$132=TRUE),--(calc!$BO$3:$BO$132&gt;BO111))+(SUMPRODUCT(--(calc!$BN$3:$BN$132=TRUE),--(calc!$BO$3:$BO$132=BO111))-1)/2,"")</f>
        <v/>
      </c>
      <c r="BT111" s="5">
        <f>IF(BN111,1+SUMPRODUCT(--(calc!$BN$3:$BN$132=TRUE),--(calc!$BP$3:$BP$132&gt;BP111))+(SUMPRODUCT(--(calc!$BN$3:$BN$132=TRUE),--(calc!$BP$3:$BP$132=BP111))-1)/2,"")</f>
        <v/>
      </c>
      <c r="BU111" s="5">
        <f>IF(BN111,SUMPRODUCT(--(calc!$BN$3:$BN$132=TRUE),--(ROW(calc!$BN$3:$BN$132)&gt;ROW(BN111)),--(((calc!$BS$3:$BS$132&gt;BS111)*(calc!$BT$3:$BT$132&gt;BT111)+(calc!$BS$3:$BS$132&lt;BS111)*(calc!$BT$3:$BT$132&lt;BT111))&gt;0))-SUMPRODUCT(--(calc!$BN$3:$BN$132=TRUE),--(ROW(calc!$BN$3:$BN$132)&gt;ROW(BN111)),--(((calc!$BS$3:$BS$132&gt;BS111)*(calc!$BT$3:$BT$132&lt;BT111)+(calc!$BS$3:$BS$132&lt;BS111)*(calc!$BT$3:$BT$132&gt;BT111))&gt;0)),0)</f>
        <v/>
      </c>
    </row>
    <row r="112">
      <c r="A112" s="2">
        <f>mos_metrics!A111</f>
        <v/>
      </c>
      <c r="B112" s="2">
        <f>mos_metrics!B111</f>
        <v/>
      </c>
      <c r="C112" s="2">
        <f>mos_metrics!C111</f>
        <v/>
      </c>
      <c r="D112" s="2">
        <f>mos_metrics!D111</f>
        <v/>
      </c>
      <c r="E112" s="2">
        <f>mos_metrics!E111</f>
        <v/>
      </c>
      <c r="F112" s="2">
        <f>mos_metrics!F111</f>
        <v/>
      </c>
      <c r="G112" s="2">
        <f>IF($B112="","",IFERROR(VLOOKUP($B112,correlation!$A$2:$B$12,2,FALSE),1))</f>
        <v/>
      </c>
      <c r="H112" s="2">
        <f>IF($E112="","",IFERROR(VLOOKUP($E112,correlation!$D$2:$E$8,2,FALSE),1))</f>
        <v/>
      </c>
      <c r="I112" s="2">
        <f>ISNUMBER($F112)</f>
        <v/>
      </c>
      <c r="J112" s="2">
        <f>AND($G112=1,$H112=1,$I112)</f>
        <v/>
      </c>
      <c r="K112" s="5">
        <f>IF(mos_metrics!G111="","",mos_metrics!G111)</f>
        <v/>
      </c>
      <c r="L112" s="2">
        <f>AND($J112,ISNUMBER(K112),correlation!$I$26=1)</f>
        <v/>
      </c>
      <c r="M112" s="5">
        <f>IF(L112,$F112,"")</f>
        <v/>
      </c>
      <c r="N112" s="5">
        <f>IF(L112,K112*correlation!$J$26,"")</f>
        <v/>
      </c>
      <c r="O112" s="5">
        <f>IF(AND(L112,ISNUMBER(correlation!$F$26)),N112*correlation!$F$26+correlation!$G$26,"")</f>
        <v/>
      </c>
      <c r="P112" s="5">
        <f>IF(AND(L112,ISNUMBER(O112)),(M112-O112)^2,"")</f>
        <v/>
      </c>
      <c r="Q112" s="5">
        <f>IF(L112,1+SUMPRODUCT(--(calc!$L$3:$L$132=TRUE),--(calc!$M$3:$M$132&gt;M112))+(SUMPRODUCT(--(calc!$L$3:$L$132=TRUE),--(calc!$M$3:$M$132=M112))-1)/2,"")</f>
        <v/>
      </c>
      <c r="R112" s="5">
        <f>IF(L112,1+SUMPRODUCT(--(calc!$L$3:$L$132=TRUE),--(calc!$N$3:$N$132&gt;N112))+(SUMPRODUCT(--(calc!$L$3:$L$132=TRUE),--(calc!$N$3:$N$132=N112))-1)/2,"")</f>
        <v/>
      </c>
      <c r="S112" s="5">
        <f>IF(L112,SUMPRODUCT(--(calc!$L$3:$L$132=TRUE),--(ROW(calc!$L$3:$L$132)&gt;ROW(L112)),--(((calc!$Q$3:$Q$132&gt;Q112)*(calc!$R$3:$R$132&gt;R112)+(calc!$Q$3:$Q$132&lt;Q112)*(calc!$R$3:$R$132&lt;R112))&gt;0))-SUMPRODUCT(--(calc!$L$3:$L$132=TRUE),--(ROW(calc!$L$3:$L$132)&gt;ROW(L112)),--(((calc!$Q$3:$Q$132&gt;Q112)*(calc!$R$3:$R$132&lt;R112)+(calc!$Q$3:$Q$132&lt;Q112)*(calc!$R$3:$R$132&gt;R112))&gt;0)),0)</f>
        <v/>
      </c>
      <c r="T112" s="5">
        <f>IF(mos_metrics!H111="","",mos_metrics!H111)</f>
        <v/>
      </c>
      <c r="U112" s="2">
        <f>AND($J112,ISNUMBER(T112),correlation!$I$27=1)</f>
        <v/>
      </c>
      <c r="V112" s="5">
        <f>IF(U112,$F112,"")</f>
        <v/>
      </c>
      <c r="W112" s="5">
        <f>IF(U112,T112*correlation!$J$27,"")</f>
        <v/>
      </c>
      <c r="X112" s="5">
        <f>IF(AND(U112,ISNUMBER(correlation!$F$27)),W112*correlation!$F$27+correlation!$G$27,"")</f>
        <v/>
      </c>
      <c r="Y112" s="5">
        <f>IF(AND(U112,ISNUMBER(X112)),(V112-X112)^2,"")</f>
        <v/>
      </c>
      <c r="Z112" s="5">
        <f>IF(U112,1+SUMPRODUCT(--(calc!$U$3:$U$132=TRUE),--(calc!$V$3:$V$132&gt;V112))+(SUMPRODUCT(--(calc!$U$3:$U$132=TRUE),--(calc!$V$3:$V$132=V112))-1)/2,"")</f>
        <v/>
      </c>
      <c r="AA112" s="5">
        <f>IF(U112,1+SUMPRODUCT(--(calc!$U$3:$U$132=TRUE),--(calc!$W$3:$W$132&gt;W112))+(SUMPRODUCT(--(calc!$U$3:$U$132=TRUE),--(calc!$W$3:$W$132=W112))-1)/2,"")</f>
        <v/>
      </c>
      <c r="AB112" s="5">
        <f>IF(U112,SUMPRODUCT(--(calc!$U$3:$U$132=TRUE),--(ROW(calc!$U$3:$U$132)&gt;ROW(U112)),--(((calc!$Z$3:$Z$132&gt;Z112)*(calc!$AA$3:$AA$132&gt;AA112)+(calc!$Z$3:$Z$132&lt;Z112)*(calc!$AA$3:$AA$132&lt;AA112))&gt;0))-SUMPRODUCT(--(calc!$U$3:$U$132=TRUE),--(ROW(calc!$U$3:$U$132)&gt;ROW(U112)),--(((calc!$Z$3:$Z$132&gt;Z112)*(calc!$AA$3:$AA$132&lt;AA112)+(calc!$Z$3:$Z$132&lt;Z112)*(calc!$AA$3:$AA$132&gt;AA112))&gt;0)),0)</f>
        <v/>
      </c>
      <c r="AC112" s="5">
        <f>IF(mos_metrics!I111="","",mos_metrics!I111)</f>
        <v/>
      </c>
      <c r="AD112" s="2">
        <f>AND($J112,ISNUMBER(AC112),correlation!$I$28=1)</f>
        <v/>
      </c>
      <c r="AE112" s="5">
        <f>IF(AD112,$F112,"")</f>
        <v/>
      </c>
      <c r="AF112" s="5">
        <f>IF(AD112,AC112*correlation!$J$28,"")</f>
        <v/>
      </c>
      <c r="AG112" s="5">
        <f>IF(AND(AD112,ISNUMBER(correlation!$F$28)),AF112*correlation!$F$28+correlation!$G$28,"")</f>
        <v/>
      </c>
      <c r="AH112" s="5">
        <f>IF(AND(AD112,ISNUMBER(AG112)),(AE112-AG112)^2,"")</f>
        <v/>
      </c>
      <c r="AI112" s="5">
        <f>IF(AD112,1+SUMPRODUCT(--(calc!$AD$3:$AD$132=TRUE),--(calc!$AE$3:$AE$132&gt;AE112))+(SUMPRODUCT(--(calc!$AD$3:$AD$132=TRUE),--(calc!$AE$3:$AE$132=AE112))-1)/2,"")</f>
        <v/>
      </c>
      <c r="AJ112" s="5">
        <f>IF(AD112,1+SUMPRODUCT(--(calc!$AD$3:$AD$132=TRUE),--(calc!$AF$3:$AF$132&gt;AF112))+(SUMPRODUCT(--(calc!$AD$3:$AD$132=TRUE),--(calc!$AF$3:$AF$132=AF112))-1)/2,"")</f>
        <v/>
      </c>
      <c r="AK112" s="5">
        <f>IF(AD112,SUMPRODUCT(--(calc!$AD$3:$AD$132=TRUE),--(ROW(calc!$AD$3:$AD$132)&gt;ROW(AD112)),--(((calc!$AI$3:$AI$132&gt;AI112)*(calc!$AJ$3:$AJ$132&gt;AJ112)+(calc!$AI$3:$AI$132&lt;AI112)*(calc!$AJ$3:$AJ$132&lt;AJ112))&gt;0))-SUMPRODUCT(--(calc!$AD$3:$AD$132=TRUE),--(ROW(calc!$AD$3:$AD$132)&gt;ROW(AD112)),--(((calc!$AI$3:$AI$132&gt;AI112)*(calc!$AJ$3:$AJ$132&lt;AJ112)+(calc!$AI$3:$AI$132&lt;AI112)*(calc!$AJ$3:$AJ$132&gt;AJ112))&gt;0)),0)</f>
        <v/>
      </c>
      <c r="AL112" s="5">
        <f>IF(mos_metrics!J111="","",mos_metrics!J111)</f>
        <v/>
      </c>
      <c r="AM112" s="2">
        <f>AND($J112,ISNUMBER(AL112),correlation!$I$29=1)</f>
        <v/>
      </c>
      <c r="AN112" s="5">
        <f>IF(AM112,$F112,"")</f>
        <v/>
      </c>
      <c r="AO112" s="5">
        <f>IF(AM112,AL112*correlation!$J$29,"")</f>
        <v/>
      </c>
      <c r="AP112" s="5">
        <f>IF(AND(AM112,ISNUMBER(correlation!$F$29)),AO112*correlation!$F$29+correlation!$G$29,"")</f>
        <v/>
      </c>
      <c r="AQ112" s="5">
        <f>IF(AND(AM112,ISNUMBER(AP112)),(AN112-AP112)^2,"")</f>
        <v/>
      </c>
      <c r="AR112" s="5">
        <f>IF(AM112,1+SUMPRODUCT(--(calc!$AM$3:$AM$132=TRUE),--(calc!$AN$3:$AN$132&gt;AN112))+(SUMPRODUCT(--(calc!$AM$3:$AM$132=TRUE),--(calc!$AN$3:$AN$132=AN112))-1)/2,"")</f>
        <v/>
      </c>
      <c r="AS112" s="5">
        <f>IF(AM112,1+SUMPRODUCT(--(calc!$AM$3:$AM$132=TRUE),--(calc!$AO$3:$AO$132&gt;AO112))+(SUMPRODUCT(--(calc!$AM$3:$AM$132=TRUE),--(calc!$AO$3:$AO$132=AO112))-1)/2,"")</f>
        <v/>
      </c>
      <c r="AT112" s="5">
        <f>IF(AM112,SUMPRODUCT(--(calc!$AM$3:$AM$132=TRUE),--(ROW(calc!$AM$3:$AM$132)&gt;ROW(AM112)),--(((calc!$AR$3:$AR$132&gt;AR112)*(calc!$AS$3:$AS$132&gt;AS112)+(calc!$AR$3:$AR$132&lt;AR112)*(calc!$AS$3:$AS$132&lt;AS112))&gt;0))-SUMPRODUCT(--(calc!$AM$3:$AM$132=TRUE),--(ROW(calc!$AM$3:$AM$132)&gt;ROW(AM112)),--(((calc!$AR$3:$AR$132&gt;AR112)*(calc!$AS$3:$AS$132&lt;AS112)+(calc!$AR$3:$AR$132&lt;AR112)*(calc!$AS$3:$AS$132&gt;AS112))&gt;0)),0)</f>
        <v/>
      </c>
      <c r="AU112" s="5">
        <f>IF(mos_metrics!K111="","",mos_metrics!K111)</f>
        <v/>
      </c>
      <c r="AV112" s="2">
        <f>AND($J112,ISNUMBER(AU112),correlation!$I$30=1)</f>
        <v/>
      </c>
      <c r="AW112" s="5">
        <f>IF(AV112,$F112,"")</f>
        <v/>
      </c>
      <c r="AX112" s="5">
        <f>IF(AV112,AU112*correlation!$J$30,"")</f>
        <v/>
      </c>
      <c r="AY112" s="5">
        <f>IF(AND(AV112,ISNUMBER(correlation!$F$30)),AX112*correlation!$F$30+correlation!$G$30,"")</f>
        <v/>
      </c>
      <c r="AZ112" s="5">
        <f>IF(AND(AV112,ISNUMBER(AY112)),(AW112-AY112)^2,"")</f>
        <v/>
      </c>
      <c r="BA112" s="5">
        <f>IF(AV112,1+SUMPRODUCT(--(calc!$AV$3:$AV$132=TRUE),--(calc!$AW$3:$AW$132&gt;AW112))+(SUMPRODUCT(--(calc!$AV$3:$AV$132=TRUE),--(calc!$AW$3:$AW$132=AW112))-1)/2,"")</f>
        <v/>
      </c>
      <c r="BB112" s="5">
        <f>IF(AV112,1+SUMPRODUCT(--(calc!$AV$3:$AV$132=TRUE),--(calc!$AX$3:$AX$132&gt;AX112))+(SUMPRODUCT(--(calc!$AV$3:$AV$132=TRUE),--(calc!$AX$3:$AX$132=AX112))-1)/2,"")</f>
        <v/>
      </c>
      <c r="BC112" s="5">
        <f>IF(AV112,SUMPRODUCT(--(calc!$AV$3:$AV$132=TRUE),--(ROW(calc!$AV$3:$AV$132)&gt;ROW(AV112)),--(((calc!$BA$3:$BA$132&gt;BA112)*(calc!$BB$3:$BB$132&gt;BB112)+(calc!$BA$3:$BA$132&lt;BA112)*(calc!$BB$3:$BB$132&lt;BB112))&gt;0))-SUMPRODUCT(--(calc!$AV$3:$AV$132=TRUE),--(ROW(calc!$AV$3:$AV$132)&gt;ROW(AV112)),--(((calc!$BA$3:$BA$132&gt;BA112)*(calc!$BB$3:$BB$132&lt;BB112)+(calc!$BA$3:$BA$132&lt;BA112)*(calc!$BB$3:$BB$132&gt;BB112))&gt;0)),0)</f>
        <v/>
      </c>
      <c r="BD112" s="5">
        <f>IF(mos_metrics!L111="","",mos_metrics!L111)</f>
        <v/>
      </c>
      <c r="BE112" s="2">
        <f>AND($J112,ISNUMBER(BD112),correlation!$I$31=1)</f>
        <v/>
      </c>
      <c r="BF112" s="5">
        <f>IF(BE112,$F112,"")</f>
        <v/>
      </c>
      <c r="BG112" s="5">
        <f>IF(BE112,BD112*correlation!$J$31,"")</f>
        <v/>
      </c>
      <c r="BH112" s="5">
        <f>IF(AND(BE112,ISNUMBER(correlation!$F$31)),BG112*correlation!$F$31+correlation!$G$31,"")</f>
        <v/>
      </c>
      <c r="BI112" s="5">
        <f>IF(AND(BE112,ISNUMBER(BH112)),(BF112-BH112)^2,"")</f>
        <v/>
      </c>
      <c r="BJ112" s="5">
        <f>IF(BE112,1+SUMPRODUCT(--(calc!$BE$3:$BE$132=TRUE),--(calc!$BF$3:$BF$132&gt;BF112))+(SUMPRODUCT(--(calc!$BE$3:$BE$132=TRUE),--(calc!$BF$3:$BF$132=BF112))-1)/2,"")</f>
        <v/>
      </c>
      <c r="BK112" s="5">
        <f>IF(BE112,1+SUMPRODUCT(--(calc!$BE$3:$BE$132=TRUE),--(calc!$BG$3:$BG$132&gt;BG112))+(SUMPRODUCT(--(calc!$BE$3:$BE$132=TRUE),--(calc!$BG$3:$BG$132=BG112))-1)/2,"")</f>
        <v/>
      </c>
      <c r="BL112" s="5">
        <f>IF(BE112,SUMPRODUCT(--(calc!$BE$3:$BE$132=TRUE),--(ROW(calc!$BE$3:$BE$132)&gt;ROW(BE112)),--(((calc!$BJ$3:$BJ$132&gt;BJ112)*(calc!$BK$3:$BK$132&gt;BK112)+(calc!$BJ$3:$BJ$132&lt;BJ112)*(calc!$BK$3:$BK$132&lt;BK112))&gt;0))-SUMPRODUCT(--(calc!$BE$3:$BE$132=TRUE),--(ROW(calc!$BE$3:$BE$132)&gt;ROW(BE112)),--(((calc!$BJ$3:$BJ$132&gt;BJ112)*(calc!$BK$3:$BK$132&lt;BK112)+(calc!$BJ$3:$BJ$132&lt;BJ112)*(calc!$BK$3:$BK$132&gt;BK112))&gt;0)),0)</f>
        <v/>
      </c>
      <c r="BM112" s="5">
        <f>IF(mos_metrics!M111="","",mos_metrics!M111)</f>
        <v/>
      </c>
      <c r="BN112" s="2">
        <f>AND($J112,ISNUMBER(BM112),correlation!$I$32=1)</f>
        <v/>
      </c>
      <c r="BO112" s="5">
        <f>IF(BN112,$F112,"")</f>
        <v/>
      </c>
      <c r="BP112" s="5">
        <f>IF(BN112,BM112*correlation!$J$32,"")</f>
        <v/>
      </c>
      <c r="BQ112" s="5">
        <f>IF(AND(BN112,ISNUMBER(correlation!$F$32)),BP112*correlation!$F$32+correlation!$G$32,"")</f>
        <v/>
      </c>
      <c r="BR112" s="5">
        <f>IF(AND(BN112,ISNUMBER(BQ112)),(BO112-BQ112)^2,"")</f>
        <v/>
      </c>
      <c r="BS112" s="5">
        <f>IF(BN112,1+SUMPRODUCT(--(calc!$BN$3:$BN$132=TRUE),--(calc!$BO$3:$BO$132&gt;BO112))+(SUMPRODUCT(--(calc!$BN$3:$BN$132=TRUE),--(calc!$BO$3:$BO$132=BO112))-1)/2,"")</f>
        <v/>
      </c>
      <c r="BT112" s="5">
        <f>IF(BN112,1+SUMPRODUCT(--(calc!$BN$3:$BN$132=TRUE),--(calc!$BP$3:$BP$132&gt;BP112))+(SUMPRODUCT(--(calc!$BN$3:$BN$132=TRUE),--(calc!$BP$3:$BP$132=BP112))-1)/2,"")</f>
        <v/>
      </c>
      <c r="BU112" s="5">
        <f>IF(BN112,SUMPRODUCT(--(calc!$BN$3:$BN$132=TRUE),--(ROW(calc!$BN$3:$BN$132)&gt;ROW(BN112)),--(((calc!$BS$3:$BS$132&gt;BS112)*(calc!$BT$3:$BT$132&gt;BT112)+(calc!$BS$3:$BS$132&lt;BS112)*(calc!$BT$3:$BT$132&lt;BT112))&gt;0))-SUMPRODUCT(--(calc!$BN$3:$BN$132=TRUE),--(ROW(calc!$BN$3:$BN$132)&gt;ROW(BN112)),--(((calc!$BS$3:$BS$132&gt;BS112)*(calc!$BT$3:$BT$132&lt;BT112)+(calc!$BS$3:$BS$132&lt;BS112)*(calc!$BT$3:$BT$132&gt;BT112))&gt;0)),0)</f>
        <v/>
      </c>
    </row>
    <row r="113">
      <c r="A113" s="2">
        <f>mos_metrics!A112</f>
        <v/>
      </c>
      <c r="B113" s="2">
        <f>mos_metrics!B112</f>
        <v/>
      </c>
      <c r="C113" s="2">
        <f>mos_metrics!C112</f>
        <v/>
      </c>
      <c r="D113" s="2">
        <f>mos_metrics!D112</f>
        <v/>
      </c>
      <c r="E113" s="2">
        <f>mos_metrics!E112</f>
        <v/>
      </c>
      <c r="F113" s="2">
        <f>mos_metrics!F112</f>
        <v/>
      </c>
      <c r="G113" s="2">
        <f>IF($B113="","",IFERROR(VLOOKUP($B113,correlation!$A$2:$B$12,2,FALSE),1))</f>
        <v/>
      </c>
      <c r="H113" s="2">
        <f>IF($E113="","",IFERROR(VLOOKUP($E113,correlation!$D$2:$E$8,2,FALSE),1))</f>
        <v/>
      </c>
      <c r="I113" s="2">
        <f>ISNUMBER($F113)</f>
        <v/>
      </c>
      <c r="J113" s="2">
        <f>AND($G113=1,$H113=1,$I113)</f>
        <v/>
      </c>
      <c r="K113" s="5">
        <f>IF(mos_metrics!G112="","",mos_metrics!G112)</f>
        <v/>
      </c>
      <c r="L113" s="2">
        <f>AND($J113,ISNUMBER(K113),correlation!$I$26=1)</f>
        <v/>
      </c>
      <c r="M113" s="5">
        <f>IF(L113,$F113,"")</f>
        <v/>
      </c>
      <c r="N113" s="5">
        <f>IF(L113,K113*correlation!$J$26,"")</f>
        <v/>
      </c>
      <c r="O113" s="5">
        <f>IF(AND(L113,ISNUMBER(correlation!$F$26)),N113*correlation!$F$26+correlation!$G$26,"")</f>
        <v/>
      </c>
      <c r="P113" s="5">
        <f>IF(AND(L113,ISNUMBER(O113)),(M113-O113)^2,"")</f>
        <v/>
      </c>
      <c r="Q113" s="5">
        <f>IF(L113,1+SUMPRODUCT(--(calc!$L$3:$L$132=TRUE),--(calc!$M$3:$M$132&gt;M113))+(SUMPRODUCT(--(calc!$L$3:$L$132=TRUE),--(calc!$M$3:$M$132=M113))-1)/2,"")</f>
        <v/>
      </c>
      <c r="R113" s="5">
        <f>IF(L113,1+SUMPRODUCT(--(calc!$L$3:$L$132=TRUE),--(calc!$N$3:$N$132&gt;N113))+(SUMPRODUCT(--(calc!$L$3:$L$132=TRUE),--(calc!$N$3:$N$132=N113))-1)/2,"")</f>
        <v/>
      </c>
      <c r="S113" s="5">
        <f>IF(L113,SUMPRODUCT(--(calc!$L$3:$L$132=TRUE),--(ROW(calc!$L$3:$L$132)&gt;ROW(L113)),--(((calc!$Q$3:$Q$132&gt;Q113)*(calc!$R$3:$R$132&gt;R113)+(calc!$Q$3:$Q$132&lt;Q113)*(calc!$R$3:$R$132&lt;R113))&gt;0))-SUMPRODUCT(--(calc!$L$3:$L$132=TRUE),--(ROW(calc!$L$3:$L$132)&gt;ROW(L113)),--(((calc!$Q$3:$Q$132&gt;Q113)*(calc!$R$3:$R$132&lt;R113)+(calc!$Q$3:$Q$132&lt;Q113)*(calc!$R$3:$R$132&gt;R113))&gt;0)),0)</f>
        <v/>
      </c>
      <c r="T113" s="5">
        <f>IF(mos_metrics!H112="","",mos_metrics!H112)</f>
        <v/>
      </c>
      <c r="U113" s="2">
        <f>AND($J113,ISNUMBER(T113),correlation!$I$27=1)</f>
        <v/>
      </c>
      <c r="V113" s="5">
        <f>IF(U113,$F113,"")</f>
        <v/>
      </c>
      <c r="W113" s="5">
        <f>IF(U113,T113*correlation!$J$27,"")</f>
        <v/>
      </c>
      <c r="X113" s="5">
        <f>IF(AND(U113,ISNUMBER(correlation!$F$27)),W113*correlation!$F$27+correlation!$G$27,"")</f>
        <v/>
      </c>
      <c r="Y113" s="5">
        <f>IF(AND(U113,ISNUMBER(X113)),(V113-X113)^2,"")</f>
        <v/>
      </c>
      <c r="Z113" s="5">
        <f>IF(U113,1+SUMPRODUCT(--(calc!$U$3:$U$132=TRUE),--(calc!$V$3:$V$132&gt;V113))+(SUMPRODUCT(--(calc!$U$3:$U$132=TRUE),--(calc!$V$3:$V$132=V113))-1)/2,"")</f>
        <v/>
      </c>
      <c r="AA113" s="5">
        <f>IF(U113,1+SUMPRODUCT(--(calc!$U$3:$U$132=TRUE),--(calc!$W$3:$W$132&gt;W113))+(SUMPRODUCT(--(calc!$U$3:$U$132=TRUE),--(calc!$W$3:$W$132=W113))-1)/2,"")</f>
        <v/>
      </c>
      <c r="AB113" s="5">
        <f>IF(U113,SUMPRODUCT(--(calc!$U$3:$U$132=TRUE),--(ROW(calc!$U$3:$U$132)&gt;ROW(U113)),--(((calc!$Z$3:$Z$132&gt;Z113)*(calc!$AA$3:$AA$132&gt;AA113)+(calc!$Z$3:$Z$132&lt;Z113)*(calc!$AA$3:$AA$132&lt;AA113))&gt;0))-SUMPRODUCT(--(calc!$U$3:$U$132=TRUE),--(ROW(calc!$U$3:$U$132)&gt;ROW(U113)),--(((calc!$Z$3:$Z$132&gt;Z113)*(calc!$AA$3:$AA$132&lt;AA113)+(calc!$Z$3:$Z$132&lt;Z113)*(calc!$AA$3:$AA$132&gt;AA113))&gt;0)),0)</f>
        <v/>
      </c>
      <c r="AC113" s="5">
        <f>IF(mos_metrics!I112="","",mos_metrics!I112)</f>
        <v/>
      </c>
      <c r="AD113" s="2">
        <f>AND($J113,ISNUMBER(AC113),correlation!$I$28=1)</f>
        <v/>
      </c>
      <c r="AE113" s="5">
        <f>IF(AD113,$F113,"")</f>
        <v/>
      </c>
      <c r="AF113" s="5">
        <f>IF(AD113,AC113*correlation!$J$28,"")</f>
        <v/>
      </c>
      <c r="AG113" s="5">
        <f>IF(AND(AD113,ISNUMBER(correlation!$F$28)),AF113*correlation!$F$28+correlation!$G$28,"")</f>
        <v/>
      </c>
      <c r="AH113" s="5">
        <f>IF(AND(AD113,ISNUMBER(AG113)),(AE113-AG113)^2,"")</f>
        <v/>
      </c>
      <c r="AI113" s="5">
        <f>IF(AD113,1+SUMPRODUCT(--(calc!$AD$3:$AD$132=TRUE),--(calc!$AE$3:$AE$132&gt;AE113))+(SUMPRODUCT(--(calc!$AD$3:$AD$132=TRUE),--(calc!$AE$3:$AE$132=AE113))-1)/2,"")</f>
        <v/>
      </c>
      <c r="AJ113" s="5">
        <f>IF(AD113,1+SUMPRODUCT(--(calc!$AD$3:$AD$132=TRUE),--(calc!$AF$3:$AF$132&gt;AF113))+(SUMPRODUCT(--(calc!$AD$3:$AD$132=TRUE),--(calc!$AF$3:$AF$132=AF113))-1)/2,"")</f>
        <v/>
      </c>
      <c r="AK113" s="5">
        <f>IF(AD113,SUMPRODUCT(--(calc!$AD$3:$AD$132=TRUE),--(ROW(calc!$AD$3:$AD$132)&gt;ROW(AD113)),--(((calc!$AI$3:$AI$132&gt;AI113)*(calc!$AJ$3:$AJ$132&gt;AJ113)+(calc!$AI$3:$AI$132&lt;AI113)*(calc!$AJ$3:$AJ$132&lt;AJ113))&gt;0))-SUMPRODUCT(--(calc!$AD$3:$AD$132=TRUE),--(ROW(calc!$AD$3:$AD$132)&gt;ROW(AD113)),--(((calc!$AI$3:$AI$132&gt;AI113)*(calc!$AJ$3:$AJ$132&lt;AJ113)+(calc!$AI$3:$AI$132&lt;AI113)*(calc!$AJ$3:$AJ$132&gt;AJ113))&gt;0)),0)</f>
        <v/>
      </c>
      <c r="AL113" s="5">
        <f>IF(mos_metrics!J112="","",mos_metrics!J112)</f>
        <v/>
      </c>
      <c r="AM113" s="2">
        <f>AND($J113,ISNUMBER(AL113),correlation!$I$29=1)</f>
        <v/>
      </c>
      <c r="AN113" s="5">
        <f>IF(AM113,$F113,"")</f>
        <v/>
      </c>
      <c r="AO113" s="5">
        <f>IF(AM113,AL113*correlation!$J$29,"")</f>
        <v/>
      </c>
      <c r="AP113" s="5">
        <f>IF(AND(AM113,ISNUMBER(correlation!$F$29)),AO113*correlation!$F$29+correlation!$G$29,"")</f>
        <v/>
      </c>
      <c r="AQ113" s="5">
        <f>IF(AND(AM113,ISNUMBER(AP113)),(AN113-AP113)^2,"")</f>
        <v/>
      </c>
      <c r="AR113" s="5">
        <f>IF(AM113,1+SUMPRODUCT(--(calc!$AM$3:$AM$132=TRUE),--(calc!$AN$3:$AN$132&gt;AN113))+(SUMPRODUCT(--(calc!$AM$3:$AM$132=TRUE),--(calc!$AN$3:$AN$132=AN113))-1)/2,"")</f>
        <v/>
      </c>
      <c r="AS113" s="5">
        <f>IF(AM113,1+SUMPRODUCT(--(calc!$AM$3:$AM$132=TRUE),--(calc!$AO$3:$AO$132&gt;AO113))+(SUMPRODUCT(--(calc!$AM$3:$AM$132=TRUE),--(calc!$AO$3:$AO$132=AO113))-1)/2,"")</f>
        <v/>
      </c>
      <c r="AT113" s="5">
        <f>IF(AM113,SUMPRODUCT(--(calc!$AM$3:$AM$132=TRUE),--(ROW(calc!$AM$3:$AM$132)&gt;ROW(AM113)),--(((calc!$AR$3:$AR$132&gt;AR113)*(calc!$AS$3:$AS$132&gt;AS113)+(calc!$AR$3:$AR$132&lt;AR113)*(calc!$AS$3:$AS$132&lt;AS113))&gt;0))-SUMPRODUCT(--(calc!$AM$3:$AM$132=TRUE),--(ROW(calc!$AM$3:$AM$132)&gt;ROW(AM113)),--(((calc!$AR$3:$AR$132&gt;AR113)*(calc!$AS$3:$AS$132&lt;AS113)+(calc!$AR$3:$AR$132&lt;AR113)*(calc!$AS$3:$AS$132&gt;AS113))&gt;0)),0)</f>
        <v/>
      </c>
      <c r="AU113" s="5">
        <f>IF(mos_metrics!K112="","",mos_metrics!K112)</f>
        <v/>
      </c>
      <c r="AV113" s="2">
        <f>AND($J113,ISNUMBER(AU113),correlation!$I$30=1)</f>
        <v/>
      </c>
      <c r="AW113" s="5">
        <f>IF(AV113,$F113,"")</f>
        <v/>
      </c>
      <c r="AX113" s="5">
        <f>IF(AV113,AU113*correlation!$J$30,"")</f>
        <v/>
      </c>
      <c r="AY113" s="5">
        <f>IF(AND(AV113,ISNUMBER(correlation!$F$30)),AX113*correlation!$F$30+correlation!$G$30,"")</f>
        <v/>
      </c>
      <c r="AZ113" s="5">
        <f>IF(AND(AV113,ISNUMBER(AY113)),(AW113-AY113)^2,"")</f>
        <v/>
      </c>
      <c r="BA113" s="5">
        <f>IF(AV113,1+SUMPRODUCT(--(calc!$AV$3:$AV$132=TRUE),--(calc!$AW$3:$AW$132&gt;AW113))+(SUMPRODUCT(--(calc!$AV$3:$AV$132=TRUE),--(calc!$AW$3:$AW$132=AW113))-1)/2,"")</f>
        <v/>
      </c>
      <c r="BB113" s="5">
        <f>IF(AV113,1+SUMPRODUCT(--(calc!$AV$3:$AV$132=TRUE),--(calc!$AX$3:$AX$132&gt;AX113))+(SUMPRODUCT(--(calc!$AV$3:$AV$132=TRUE),--(calc!$AX$3:$AX$132=AX113))-1)/2,"")</f>
        <v/>
      </c>
      <c r="BC113" s="5">
        <f>IF(AV113,SUMPRODUCT(--(calc!$AV$3:$AV$132=TRUE),--(ROW(calc!$AV$3:$AV$132)&gt;ROW(AV113)),--(((calc!$BA$3:$BA$132&gt;BA113)*(calc!$BB$3:$BB$132&gt;BB113)+(calc!$BA$3:$BA$132&lt;BA113)*(calc!$BB$3:$BB$132&lt;BB113))&gt;0))-SUMPRODUCT(--(calc!$AV$3:$AV$132=TRUE),--(ROW(calc!$AV$3:$AV$132)&gt;ROW(AV113)),--(((calc!$BA$3:$BA$132&gt;BA113)*(calc!$BB$3:$BB$132&lt;BB113)+(calc!$BA$3:$BA$132&lt;BA113)*(calc!$BB$3:$BB$132&gt;BB113))&gt;0)),0)</f>
        <v/>
      </c>
      <c r="BD113" s="5">
        <f>IF(mos_metrics!L112="","",mos_metrics!L112)</f>
        <v/>
      </c>
      <c r="BE113" s="2">
        <f>AND($J113,ISNUMBER(BD113),correlation!$I$31=1)</f>
        <v/>
      </c>
      <c r="BF113" s="5">
        <f>IF(BE113,$F113,"")</f>
        <v/>
      </c>
      <c r="BG113" s="5">
        <f>IF(BE113,BD113*correlation!$J$31,"")</f>
        <v/>
      </c>
      <c r="BH113" s="5">
        <f>IF(AND(BE113,ISNUMBER(correlation!$F$31)),BG113*correlation!$F$31+correlation!$G$31,"")</f>
        <v/>
      </c>
      <c r="BI113" s="5">
        <f>IF(AND(BE113,ISNUMBER(BH113)),(BF113-BH113)^2,"")</f>
        <v/>
      </c>
      <c r="BJ113" s="5">
        <f>IF(BE113,1+SUMPRODUCT(--(calc!$BE$3:$BE$132=TRUE),--(calc!$BF$3:$BF$132&gt;BF113))+(SUMPRODUCT(--(calc!$BE$3:$BE$132=TRUE),--(calc!$BF$3:$BF$132=BF113))-1)/2,"")</f>
        <v/>
      </c>
      <c r="BK113" s="5">
        <f>IF(BE113,1+SUMPRODUCT(--(calc!$BE$3:$BE$132=TRUE),--(calc!$BG$3:$BG$132&gt;BG113))+(SUMPRODUCT(--(calc!$BE$3:$BE$132=TRUE),--(calc!$BG$3:$BG$132=BG113))-1)/2,"")</f>
        <v/>
      </c>
      <c r="BL113" s="5">
        <f>IF(BE113,SUMPRODUCT(--(calc!$BE$3:$BE$132=TRUE),--(ROW(calc!$BE$3:$BE$132)&gt;ROW(BE113)),--(((calc!$BJ$3:$BJ$132&gt;BJ113)*(calc!$BK$3:$BK$132&gt;BK113)+(calc!$BJ$3:$BJ$132&lt;BJ113)*(calc!$BK$3:$BK$132&lt;BK113))&gt;0))-SUMPRODUCT(--(calc!$BE$3:$BE$132=TRUE),--(ROW(calc!$BE$3:$BE$132)&gt;ROW(BE113)),--(((calc!$BJ$3:$BJ$132&gt;BJ113)*(calc!$BK$3:$BK$132&lt;BK113)+(calc!$BJ$3:$BJ$132&lt;BJ113)*(calc!$BK$3:$BK$132&gt;BK113))&gt;0)),0)</f>
        <v/>
      </c>
      <c r="BM113" s="5">
        <f>IF(mos_metrics!M112="","",mos_metrics!M112)</f>
        <v/>
      </c>
      <c r="BN113" s="2">
        <f>AND($J113,ISNUMBER(BM113),correlation!$I$32=1)</f>
        <v/>
      </c>
      <c r="BO113" s="5">
        <f>IF(BN113,$F113,"")</f>
        <v/>
      </c>
      <c r="BP113" s="5">
        <f>IF(BN113,BM113*correlation!$J$32,"")</f>
        <v/>
      </c>
      <c r="BQ113" s="5">
        <f>IF(AND(BN113,ISNUMBER(correlation!$F$32)),BP113*correlation!$F$32+correlation!$G$32,"")</f>
        <v/>
      </c>
      <c r="BR113" s="5">
        <f>IF(AND(BN113,ISNUMBER(BQ113)),(BO113-BQ113)^2,"")</f>
        <v/>
      </c>
      <c r="BS113" s="5">
        <f>IF(BN113,1+SUMPRODUCT(--(calc!$BN$3:$BN$132=TRUE),--(calc!$BO$3:$BO$132&gt;BO113))+(SUMPRODUCT(--(calc!$BN$3:$BN$132=TRUE),--(calc!$BO$3:$BO$132=BO113))-1)/2,"")</f>
        <v/>
      </c>
      <c r="BT113" s="5">
        <f>IF(BN113,1+SUMPRODUCT(--(calc!$BN$3:$BN$132=TRUE),--(calc!$BP$3:$BP$132&gt;BP113))+(SUMPRODUCT(--(calc!$BN$3:$BN$132=TRUE),--(calc!$BP$3:$BP$132=BP113))-1)/2,"")</f>
        <v/>
      </c>
      <c r="BU113" s="5">
        <f>IF(BN113,SUMPRODUCT(--(calc!$BN$3:$BN$132=TRUE),--(ROW(calc!$BN$3:$BN$132)&gt;ROW(BN113)),--(((calc!$BS$3:$BS$132&gt;BS113)*(calc!$BT$3:$BT$132&gt;BT113)+(calc!$BS$3:$BS$132&lt;BS113)*(calc!$BT$3:$BT$132&lt;BT113))&gt;0))-SUMPRODUCT(--(calc!$BN$3:$BN$132=TRUE),--(ROW(calc!$BN$3:$BN$132)&gt;ROW(BN113)),--(((calc!$BS$3:$BS$132&gt;BS113)*(calc!$BT$3:$BT$132&lt;BT113)+(calc!$BS$3:$BS$132&lt;BS113)*(calc!$BT$3:$BT$132&gt;BT113))&gt;0)),0)</f>
        <v/>
      </c>
    </row>
    <row r="114">
      <c r="A114" s="2">
        <f>mos_metrics!A113</f>
        <v/>
      </c>
      <c r="B114" s="2">
        <f>mos_metrics!B113</f>
        <v/>
      </c>
      <c r="C114" s="2">
        <f>mos_metrics!C113</f>
        <v/>
      </c>
      <c r="D114" s="2">
        <f>mos_metrics!D113</f>
        <v/>
      </c>
      <c r="E114" s="2">
        <f>mos_metrics!E113</f>
        <v/>
      </c>
      <c r="F114" s="2">
        <f>mos_metrics!F113</f>
        <v/>
      </c>
      <c r="G114" s="2">
        <f>IF($B114="","",IFERROR(VLOOKUP($B114,correlation!$A$2:$B$12,2,FALSE),1))</f>
        <v/>
      </c>
      <c r="H114" s="2">
        <f>IF($E114="","",IFERROR(VLOOKUP($E114,correlation!$D$2:$E$8,2,FALSE),1))</f>
        <v/>
      </c>
      <c r="I114" s="2">
        <f>ISNUMBER($F114)</f>
        <v/>
      </c>
      <c r="J114" s="2">
        <f>AND($G114=1,$H114=1,$I114)</f>
        <v/>
      </c>
      <c r="K114" s="5">
        <f>IF(mos_metrics!G113="","",mos_metrics!G113)</f>
        <v/>
      </c>
      <c r="L114" s="2">
        <f>AND($J114,ISNUMBER(K114),correlation!$I$26=1)</f>
        <v/>
      </c>
      <c r="M114" s="5">
        <f>IF(L114,$F114,"")</f>
        <v/>
      </c>
      <c r="N114" s="5">
        <f>IF(L114,K114*correlation!$J$26,"")</f>
        <v/>
      </c>
      <c r="O114" s="5">
        <f>IF(AND(L114,ISNUMBER(correlation!$F$26)),N114*correlation!$F$26+correlation!$G$26,"")</f>
        <v/>
      </c>
      <c r="P114" s="5">
        <f>IF(AND(L114,ISNUMBER(O114)),(M114-O114)^2,"")</f>
        <v/>
      </c>
      <c r="Q114" s="5">
        <f>IF(L114,1+SUMPRODUCT(--(calc!$L$3:$L$132=TRUE),--(calc!$M$3:$M$132&gt;M114))+(SUMPRODUCT(--(calc!$L$3:$L$132=TRUE),--(calc!$M$3:$M$132=M114))-1)/2,"")</f>
        <v/>
      </c>
      <c r="R114" s="5">
        <f>IF(L114,1+SUMPRODUCT(--(calc!$L$3:$L$132=TRUE),--(calc!$N$3:$N$132&gt;N114))+(SUMPRODUCT(--(calc!$L$3:$L$132=TRUE),--(calc!$N$3:$N$132=N114))-1)/2,"")</f>
        <v/>
      </c>
      <c r="S114" s="5">
        <f>IF(L114,SUMPRODUCT(--(calc!$L$3:$L$132=TRUE),--(ROW(calc!$L$3:$L$132)&gt;ROW(L114)),--(((calc!$Q$3:$Q$132&gt;Q114)*(calc!$R$3:$R$132&gt;R114)+(calc!$Q$3:$Q$132&lt;Q114)*(calc!$R$3:$R$132&lt;R114))&gt;0))-SUMPRODUCT(--(calc!$L$3:$L$132=TRUE),--(ROW(calc!$L$3:$L$132)&gt;ROW(L114)),--(((calc!$Q$3:$Q$132&gt;Q114)*(calc!$R$3:$R$132&lt;R114)+(calc!$Q$3:$Q$132&lt;Q114)*(calc!$R$3:$R$132&gt;R114))&gt;0)),0)</f>
        <v/>
      </c>
      <c r="T114" s="5">
        <f>IF(mos_metrics!H113="","",mos_metrics!H113)</f>
        <v/>
      </c>
      <c r="U114" s="2">
        <f>AND($J114,ISNUMBER(T114),correlation!$I$27=1)</f>
        <v/>
      </c>
      <c r="V114" s="5">
        <f>IF(U114,$F114,"")</f>
        <v/>
      </c>
      <c r="W114" s="5">
        <f>IF(U114,T114*correlation!$J$27,"")</f>
        <v/>
      </c>
      <c r="X114" s="5">
        <f>IF(AND(U114,ISNUMBER(correlation!$F$27)),W114*correlation!$F$27+correlation!$G$27,"")</f>
        <v/>
      </c>
      <c r="Y114" s="5">
        <f>IF(AND(U114,ISNUMBER(X114)),(V114-X114)^2,"")</f>
        <v/>
      </c>
      <c r="Z114" s="5">
        <f>IF(U114,1+SUMPRODUCT(--(calc!$U$3:$U$132=TRUE),--(calc!$V$3:$V$132&gt;V114))+(SUMPRODUCT(--(calc!$U$3:$U$132=TRUE),--(calc!$V$3:$V$132=V114))-1)/2,"")</f>
        <v/>
      </c>
      <c r="AA114" s="5">
        <f>IF(U114,1+SUMPRODUCT(--(calc!$U$3:$U$132=TRUE),--(calc!$W$3:$W$132&gt;W114))+(SUMPRODUCT(--(calc!$U$3:$U$132=TRUE),--(calc!$W$3:$W$132=W114))-1)/2,"")</f>
        <v/>
      </c>
      <c r="AB114" s="5">
        <f>IF(U114,SUMPRODUCT(--(calc!$U$3:$U$132=TRUE),--(ROW(calc!$U$3:$U$132)&gt;ROW(U114)),--(((calc!$Z$3:$Z$132&gt;Z114)*(calc!$AA$3:$AA$132&gt;AA114)+(calc!$Z$3:$Z$132&lt;Z114)*(calc!$AA$3:$AA$132&lt;AA114))&gt;0))-SUMPRODUCT(--(calc!$U$3:$U$132=TRUE),--(ROW(calc!$U$3:$U$132)&gt;ROW(U114)),--(((calc!$Z$3:$Z$132&gt;Z114)*(calc!$AA$3:$AA$132&lt;AA114)+(calc!$Z$3:$Z$132&lt;Z114)*(calc!$AA$3:$AA$132&gt;AA114))&gt;0)),0)</f>
        <v/>
      </c>
      <c r="AC114" s="5">
        <f>IF(mos_metrics!I113="","",mos_metrics!I113)</f>
        <v/>
      </c>
      <c r="AD114" s="2">
        <f>AND($J114,ISNUMBER(AC114),correlation!$I$28=1)</f>
        <v/>
      </c>
      <c r="AE114" s="5">
        <f>IF(AD114,$F114,"")</f>
        <v/>
      </c>
      <c r="AF114" s="5">
        <f>IF(AD114,AC114*correlation!$J$28,"")</f>
        <v/>
      </c>
      <c r="AG114" s="5">
        <f>IF(AND(AD114,ISNUMBER(correlation!$F$28)),AF114*correlation!$F$28+correlation!$G$28,"")</f>
        <v/>
      </c>
      <c r="AH114" s="5">
        <f>IF(AND(AD114,ISNUMBER(AG114)),(AE114-AG114)^2,"")</f>
        <v/>
      </c>
      <c r="AI114" s="5">
        <f>IF(AD114,1+SUMPRODUCT(--(calc!$AD$3:$AD$132=TRUE),--(calc!$AE$3:$AE$132&gt;AE114))+(SUMPRODUCT(--(calc!$AD$3:$AD$132=TRUE),--(calc!$AE$3:$AE$132=AE114))-1)/2,"")</f>
        <v/>
      </c>
      <c r="AJ114" s="5">
        <f>IF(AD114,1+SUMPRODUCT(--(calc!$AD$3:$AD$132=TRUE),--(calc!$AF$3:$AF$132&gt;AF114))+(SUMPRODUCT(--(calc!$AD$3:$AD$132=TRUE),--(calc!$AF$3:$AF$132=AF114))-1)/2,"")</f>
        <v/>
      </c>
      <c r="AK114" s="5">
        <f>IF(AD114,SUMPRODUCT(--(calc!$AD$3:$AD$132=TRUE),--(ROW(calc!$AD$3:$AD$132)&gt;ROW(AD114)),--(((calc!$AI$3:$AI$132&gt;AI114)*(calc!$AJ$3:$AJ$132&gt;AJ114)+(calc!$AI$3:$AI$132&lt;AI114)*(calc!$AJ$3:$AJ$132&lt;AJ114))&gt;0))-SUMPRODUCT(--(calc!$AD$3:$AD$132=TRUE),--(ROW(calc!$AD$3:$AD$132)&gt;ROW(AD114)),--(((calc!$AI$3:$AI$132&gt;AI114)*(calc!$AJ$3:$AJ$132&lt;AJ114)+(calc!$AI$3:$AI$132&lt;AI114)*(calc!$AJ$3:$AJ$132&gt;AJ114))&gt;0)),0)</f>
        <v/>
      </c>
      <c r="AL114" s="5">
        <f>IF(mos_metrics!J113="","",mos_metrics!J113)</f>
        <v/>
      </c>
      <c r="AM114" s="2">
        <f>AND($J114,ISNUMBER(AL114),correlation!$I$29=1)</f>
        <v/>
      </c>
      <c r="AN114" s="5">
        <f>IF(AM114,$F114,"")</f>
        <v/>
      </c>
      <c r="AO114" s="5">
        <f>IF(AM114,AL114*correlation!$J$29,"")</f>
        <v/>
      </c>
      <c r="AP114" s="5">
        <f>IF(AND(AM114,ISNUMBER(correlation!$F$29)),AO114*correlation!$F$29+correlation!$G$29,"")</f>
        <v/>
      </c>
      <c r="AQ114" s="5">
        <f>IF(AND(AM114,ISNUMBER(AP114)),(AN114-AP114)^2,"")</f>
        <v/>
      </c>
      <c r="AR114" s="5">
        <f>IF(AM114,1+SUMPRODUCT(--(calc!$AM$3:$AM$132=TRUE),--(calc!$AN$3:$AN$132&gt;AN114))+(SUMPRODUCT(--(calc!$AM$3:$AM$132=TRUE),--(calc!$AN$3:$AN$132=AN114))-1)/2,"")</f>
        <v/>
      </c>
      <c r="AS114" s="5">
        <f>IF(AM114,1+SUMPRODUCT(--(calc!$AM$3:$AM$132=TRUE),--(calc!$AO$3:$AO$132&gt;AO114))+(SUMPRODUCT(--(calc!$AM$3:$AM$132=TRUE),--(calc!$AO$3:$AO$132=AO114))-1)/2,"")</f>
        <v/>
      </c>
      <c r="AT114" s="5">
        <f>IF(AM114,SUMPRODUCT(--(calc!$AM$3:$AM$132=TRUE),--(ROW(calc!$AM$3:$AM$132)&gt;ROW(AM114)),--(((calc!$AR$3:$AR$132&gt;AR114)*(calc!$AS$3:$AS$132&gt;AS114)+(calc!$AR$3:$AR$132&lt;AR114)*(calc!$AS$3:$AS$132&lt;AS114))&gt;0))-SUMPRODUCT(--(calc!$AM$3:$AM$132=TRUE),--(ROW(calc!$AM$3:$AM$132)&gt;ROW(AM114)),--(((calc!$AR$3:$AR$132&gt;AR114)*(calc!$AS$3:$AS$132&lt;AS114)+(calc!$AR$3:$AR$132&lt;AR114)*(calc!$AS$3:$AS$132&gt;AS114))&gt;0)),0)</f>
        <v/>
      </c>
      <c r="AU114" s="5">
        <f>IF(mos_metrics!K113="","",mos_metrics!K113)</f>
        <v/>
      </c>
      <c r="AV114" s="2">
        <f>AND($J114,ISNUMBER(AU114),correlation!$I$30=1)</f>
        <v/>
      </c>
      <c r="AW114" s="5">
        <f>IF(AV114,$F114,"")</f>
        <v/>
      </c>
      <c r="AX114" s="5">
        <f>IF(AV114,AU114*correlation!$J$30,"")</f>
        <v/>
      </c>
      <c r="AY114" s="5">
        <f>IF(AND(AV114,ISNUMBER(correlation!$F$30)),AX114*correlation!$F$30+correlation!$G$30,"")</f>
        <v/>
      </c>
      <c r="AZ114" s="5">
        <f>IF(AND(AV114,ISNUMBER(AY114)),(AW114-AY114)^2,"")</f>
        <v/>
      </c>
      <c r="BA114" s="5">
        <f>IF(AV114,1+SUMPRODUCT(--(calc!$AV$3:$AV$132=TRUE),--(calc!$AW$3:$AW$132&gt;AW114))+(SUMPRODUCT(--(calc!$AV$3:$AV$132=TRUE),--(calc!$AW$3:$AW$132=AW114))-1)/2,"")</f>
        <v/>
      </c>
      <c r="BB114" s="5">
        <f>IF(AV114,1+SUMPRODUCT(--(calc!$AV$3:$AV$132=TRUE),--(calc!$AX$3:$AX$132&gt;AX114))+(SUMPRODUCT(--(calc!$AV$3:$AV$132=TRUE),--(calc!$AX$3:$AX$132=AX114))-1)/2,"")</f>
        <v/>
      </c>
      <c r="BC114" s="5">
        <f>IF(AV114,SUMPRODUCT(--(calc!$AV$3:$AV$132=TRUE),--(ROW(calc!$AV$3:$AV$132)&gt;ROW(AV114)),--(((calc!$BA$3:$BA$132&gt;BA114)*(calc!$BB$3:$BB$132&gt;BB114)+(calc!$BA$3:$BA$132&lt;BA114)*(calc!$BB$3:$BB$132&lt;BB114))&gt;0))-SUMPRODUCT(--(calc!$AV$3:$AV$132=TRUE),--(ROW(calc!$AV$3:$AV$132)&gt;ROW(AV114)),--(((calc!$BA$3:$BA$132&gt;BA114)*(calc!$BB$3:$BB$132&lt;BB114)+(calc!$BA$3:$BA$132&lt;BA114)*(calc!$BB$3:$BB$132&gt;BB114))&gt;0)),0)</f>
        <v/>
      </c>
      <c r="BD114" s="5">
        <f>IF(mos_metrics!L113="","",mos_metrics!L113)</f>
        <v/>
      </c>
      <c r="BE114" s="2">
        <f>AND($J114,ISNUMBER(BD114),correlation!$I$31=1)</f>
        <v/>
      </c>
      <c r="BF114" s="5">
        <f>IF(BE114,$F114,"")</f>
        <v/>
      </c>
      <c r="BG114" s="5">
        <f>IF(BE114,BD114*correlation!$J$31,"")</f>
        <v/>
      </c>
      <c r="BH114" s="5">
        <f>IF(AND(BE114,ISNUMBER(correlation!$F$31)),BG114*correlation!$F$31+correlation!$G$31,"")</f>
        <v/>
      </c>
      <c r="BI114" s="5">
        <f>IF(AND(BE114,ISNUMBER(BH114)),(BF114-BH114)^2,"")</f>
        <v/>
      </c>
      <c r="BJ114" s="5">
        <f>IF(BE114,1+SUMPRODUCT(--(calc!$BE$3:$BE$132=TRUE),--(calc!$BF$3:$BF$132&gt;BF114))+(SUMPRODUCT(--(calc!$BE$3:$BE$132=TRUE),--(calc!$BF$3:$BF$132=BF114))-1)/2,"")</f>
        <v/>
      </c>
      <c r="BK114" s="5">
        <f>IF(BE114,1+SUMPRODUCT(--(calc!$BE$3:$BE$132=TRUE),--(calc!$BG$3:$BG$132&gt;BG114))+(SUMPRODUCT(--(calc!$BE$3:$BE$132=TRUE),--(calc!$BG$3:$BG$132=BG114))-1)/2,"")</f>
        <v/>
      </c>
      <c r="BL114" s="5">
        <f>IF(BE114,SUMPRODUCT(--(calc!$BE$3:$BE$132=TRUE),--(ROW(calc!$BE$3:$BE$132)&gt;ROW(BE114)),--(((calc!$BJ$3:$BJ$132&gt;BJ114)*(calc!$BK$3:$BK$132&gt;BK114)+(calc!$BJ$3:$BJ$132&lt;BJ114)*(calc!$BK$3:$BK$132&lt;BK114))&gt;0))-SUMPRODUCT(--(calc!$BE$3:$BE$132=TRUE),--(ROW(calc!$BE$3:$BE$132)&gt;ROW(BE114)),--(((calc!$BJ$3:$BJ$132&gt;BJ114)*(calc!$BK$3:$BK$132&lt;BK114)+(calc!$BJ$3:$BJ$132&lt;BJ114)*(calc!$BK$3:$BK$132&gt;BK114))&gt;0)),0)</f>
        <v/>
      </c>
      <c r="BM114" s="5">
        <f>IF(mos_metrics!M113="","",mos_metrics!M113)</f>
        <v/>
      </c>
      <c r="BN114" s="2">
        <f>AND($J114,ISNUMBER(BM114),correlation!$I$32=1)</f>
        <v/>
      </c>
      <c r="BO114" s="5">
        <f>IF(BN114,$F114,"")</f>
        <v/>
      </c>
      <c r="BP114" s="5">
        <f>IF(BN114,BM114*correlation!$J$32,"")</f>
        <v/>
      </c>
      <c r="BQ114" s="5">
        <f>IF(AND(BN114,ISNUMBER(correlation!$F$32)),BP114*correlation!$F$32+correlation!$G$32,"")</f>
        <v/>
      </c>
      <c r="BR114" s="5">
        <f>IF(AND(BN114,ISNUMBER(BQ114)),(BO114-BQ114)^2,"")</f>
        <v/>
      </c>
      <c r="BS114" s="5">
        <f>IF(BN114,1+SUMPRODUCT(--(calc!$BN$3:$BN$132=TRUE),--(calc!$BO$3:$BO$132&gt;BO114))+(SUMPRODUCT(--(calc!$BN$3:$BN$132=TRUE),--(calc!$BO$3:$BO$132=BO114))-1)/2,"")</f>
        <v/>
      </c>
      <c r="BT114" s="5">
        <f>IF(BN114,1+SUMPRODUCT(--(calc!$BN$3:$BN$132=TRUE),--(calc!$BP$3:$BP$132&gt;BP114))+(SUMPRODUCT(--(calc!$BN$3:$BN$132=TRUE),--(calc!$BP$3:$BP$132=BP114))-1)/2,"")</f>
        <v/>
      </c>
      <c r="BU114" s="5">
        <f>IF(BN114,SUMPRODUCT(--(calc!$BN$3:$BN$132=TRUE),--(ROW(calc!$BN$3:$BN$132)&gt;ROW(BN114)),--(((calc!$BS$3:$BS$132&gt;BS114)*(calc!$BT$3:$BT$132&gt;BT114)+(calc!$BS$3:$BS$132&lt;BS114)*(calc!$BT$3:$BT$132&lt;BT114))&gt;0))-SUMPRODUCT(--(calc!$BN$3:$BN$132=TRUE),--(ROW(calc!$BN$3:$BN$132)&gt;ROW(BN114)),--(((calc!$BS$3:$BS$132&gt;BS114)*(calc!$BT$3:$BT$132&lt;BT114)+(calc!$BS$3:$BS$132&lt;BS114)*(calc!$BT$3:$BT$132&gt;BT114))&gt;0)),0)</f>
        <v/>
      </c>
    </row>
    <row r="115">
      <c r="A115" s="2">
        <f>mos_metrics!A114</f>
        <v/>
      </c>
      <c r="B115" s="2">
        <f>mos_metrics!B114</f>
        <v/>
      </c>
      <c r="C115" s="2">
        <f>mos_metrics!C114</f>
        <v/>
      </c>
      <c r="D115" s="2">
        <f>mos_metrics!D114</f>
        <v/>
      </c>
      <c r="E115" s="2">
        <f>mos_metrics!E114</f>
        <v/>
      </c>
      <c r="F115" s="2">
        <f>mos_metrics!F114</f>
        <v/>
      </c>
      <c r="G115" s="2">
        <f>IF($B115="","",IFERROR(VLOOKUP($B115,correlation!$A$2:$B$12,2,FALSE),1))</f>
        <v/>
      </c>
      <c r="H115" s="2">
        <f>IF($E115="","",IFERROR(VLOOKUP($E115,correlation!$D$2:$E$8,2,FALSE),1))</f>
        <v/>
      </c>
      <c r="I115" s="2">
        <f>ISNUMBER($F115)</f>
        <v/>
      </c>
      <c r="J115" s="2">
        <f>AND($G115=1,$H115=1,$I115)</f>
        <v/>
      </c>
      <c r="K115" s="5">
        <f>IF(mos_metrics!G114="","",mos_metrics!G114)</f>
        <v/>
      </c>
      <c r="L115" s="2">
        <f>AND($J115,ISNUMBER(K115),correlation!$I$26=1)</f>
        <v/>
      </c>
      <c r="M115" s="5">
        <f>IF(L115,$F115,"")</f>
        <v/>
      </c>
      <c r="N115" s="5">
        <f>IF(L115,K115*correlation!$J$26,"")</f>
        <v/>
      </c>
      <c r="O115" s="5">
        <f>IF(AND(L115,ISNUMBER(correlation!$F$26)),N115*correlation!$F$26+correlation!$G$26,"")</f>
        <v/>
      </c>
      <c r="P115" s="5">
        <f>IF(AND(L115,ISNUMBER(O115)),(M115-O115)^2,"")</f>
        <v/>
      </c>
      <c r="Q115" s="5">
        <f>IF(L115,1+SUMPRODUCT(--(calc!$L$3:$L$132=TRUE),--(calc!$M$3:$M$132&gt;M115))+(SUMPRODUCT(--(calc!$L$3:$L$132=TRUE),--(calc!$M$3:$M$132=M115))-1)/2,"")</f>
        <v/>
      </c>
      <c r="R115" s="5">
        <f>IF(L115,1+SUMPRODUCT(--(calc!$L$3:$L$132=TRUE),--(calc!$N$3:$N$132&gt;N115))+(SUMPRODUCT(--(calc!$L$3:$L$132=TRUE),--(calc!$N$3:$N$132=N115))-1)/2,"")</f>
        <v/>
      </c>
      <c r="S115" s="5">
        <f>IF(L115,SUMPRODUCT(--(calc!$L$3:$L$132=TRUE),--(ROW(calc!$L$3:$L$132)&gt;ROW(L115)),--(((calc!$Q$3:$Q$132&gt;Q115)*(calc!$R$3:$R$132&gt;R115)+(calc!$Q$3:$Q$132&lt;Q115)*(calc!$R$3:$R$132&lt;R115))&gt;0))-SUMPRODUCT(--(calc!$L$3:$L$132=TRUE),--(ROW(calc!$L$3:$L$132)&gt;ROW(L115)),--(((calc!$Q$3:$Q$132&gt;Q115)*(calc!$R$3:$R$132&lt;R115)+(calc!$Q$3:$Q$132&lt;Q115)*(calc!$R$3:$R$132&gt;R115))&gt;0)),0)</f>
        <v/>
      </c>
      <c r="T115" s="5">
        <f>IF(mos_metrics!H114="","",mos_metrics!H114)</f>
        <v/>
      </c>
      <c r="U115" s="2">
        <f>AND($J115,ISNUMBER(T115),correlation!$I$27=1)</f>
        <v/>
      </c>
      <c r="V115" s="5">
        <f>IF(U115,$F115,"")</f>
        <v/>
      </c>
      <c r="W115" s="5">
        <f>IF(U115,T115*correlation!$J$27,"")</f>
        <v/>
      </c>
      <c r="X115" s="5">
        <f>IF(AND(U115,ISNUMBER(correlation!$F$27)),W115*correlation!$F$27+correlation!$G$27,"")</f>
        <v/>
      </c>
      <c r="Y115" s="5">
        <f>IF(AND(U115,ISNUMBER(X115)),(V115-X115)^2,"")</f>
        <v/>
      </c>
      <c r="Z115" s="5">
        <f>IF(U115,1+SUMPRODUCT(--(calc!$U$3:$U$132=TRUE),--(calc!$V$3:$V$132&gt;V115))+(SUMPRODUCT(--(calc!$U$3:$U$132=TRUE),--(calc!$V$3:$V$132=V115))-1)/2,"")</f>
        <v/>
      </c>
      <c r="AA115" s="5">
        <f>IF(U115,1+SUMPRODUCT(--(calc!$U$3:$U$132=TRUE),--(calc!$W$3:$W$132&gt;W115))+(SUMPRODUCT(--(calc!$U$3:$U$132=TRUE),--(calc!$W$3:$W$132=W115))-1)/2,"")</f>
        <v/>
      </c>
      <c r="AB115" s="5">
        <f>IF(U115,SUMPRODUCT(--(calc!$U$3:$U$132=TRUE),--(ROW(calc!$U$3:$U$132)&gt;ROW(U115)),--(((calc!$Z$3:$Z$132&gt;Z115)*(calc!$AA$3:$AA$132&gt;AA115)+(calc!$Z$3:$Z$132&lt;Z115)*(calc!$AA$3:$AA$132&lt;AA115))&gt;0))-SUMPRODUCT(--(calc!$U$3:$U$132=TRUE),--(ROW(calc!$U$3:$U$132)&gt;ROW(U115)),--(((calc!$Z$3:$Z$132&gt;Z115)*(calc!$AA$3:$AA$132&lt;AA115)+(calc!$Z$3:$Z$132&lt;Z115)*(calc!$AA$3:$AA$132&gt;AA115))&gt;0)),0)</f>
        <v/>
      </c>
      <c r="AC115" s="5">
        <f>IF(mos_metrics!I114="","",mos_metrics!I114)</f>
        <v/>
      </c>
      <c r="AD115" s="2">
        <f>AND($J115,ISNUMBER(AC115),correlation!$I$28=1)</f>
        <v/>
      </c>
      <c r="AE115" s="5">
        <f>IF(AD115,$F115,"")</f>
        <v/>
      </c>
      <c r="AF115" s="5">
        <f>IF(AD115,AC115*correlation!$J$28,"")</f>
        <v/>
      </c>
      <c r="AG115" s="5">
        <f>IF(AND(AD115,ISNUMBER(correlation!$F$28)),AF115*correlation!$F$28+correlation!$G$28,"")</f>
        <v/>
      </c>
      <c r="AH115" s="5">
        <f>IF(AND(AD115,ISNUMBER(AG115)),(AE115-AG115)^2,"")</f>
        <v/>
      </c>
      <c r="AI115" s="5">
        <f>IF(AD115,1+SUMPRODUCT(--(calc!$AD$3:$AD$132=TRUE),--(calc!$AE$3:$AE$132&gt;AE115))+(SUMPRODUCT(--(calc!$AD$3:$AD$132=TRUE),--(calc!$AE$3:$AE$132=AE115))-1)/2,"")</f>
        <v/>
      </c>
      <c r="AJ115" s="5">
        <f>IF(AD115,1+SUMPRODUCT(--(calc!$AD$3:$AD$132=TRUE),--(calc!$AF$3:$AF$132&gt;AF115))+(SUMPRODUCT(--(calc!$AD$3:$AD$132=TRUE),--(calc!$AF$3:$AF$132=AF115))-1)/2,"")</f>
        <v/>
      </c>
      <c r="AK115" s="5">
        <f>IF(AD115,SUMPRODUCT(--(calc!$AD$3:$AD$132=TRUE),--(ROW(calc!$AD$3:$AD$132)&gt;ROW(AD115)),--(((calc!$AI$3:$AI$132&gt;AI115)*(calc!$AJ$3:$AJ$132&gt;AJ115)+(calc!$AI$3:$AI$132&lt;AI115)*(calc!$AJ$3:$AJ$132&lt;AJ115))&gt;0))-SUMPRODUCT(--(calc!$AD$3:$AD$132=TRUE),--(ROW(calc!$AD$3:$AD$132)&gt;ROW(AD115)),--(((calc!$AI$3:$AI$132&gt;AI115)*(calc!$AJ$3:$AJ$132&lt;AJ115)+(calc!$AI$3:$AI$132&lt;AI115)*(calc!$AJ$3:$AJ$132&gt;AJ115))&gt;0)),0)</f>
        <v/>
      </c>
      <c r="AL115" s="5">
        <f>IF(mos_metrics!J114="","",mos_metrics!J114)</f>
        <v/>
      </c>
      <c r="AM115" s="2">
        <f>AND($J115,ISNUMBER(AL115),correlation!$I$29=1)</f>
        <v/>
      </c>
      <c r="AN115" s="5">
        <f>IF(AM115,$F115,"")</f>
        <v/>
      </c>
      <c r="AO115" s="5">
        <f>IF(AM115,AL115*correlation!$J$29,"")</f>
        <v/>
      </c>
      <c r="AP115" s="5">
        <f>IF(AND(AM115,ISNUMBER(correlation!$F$29)),AO115*correlation!$F$29+correlation!$G$29,"")</f>
        <v/>
      </c>
      <c r="AQ115" s="5">
        <f>IF(AND(AM115,ISNUMBER(AP115)),(AN115-AP115)^2,"")</f>
        <v/>
      </c>
      <c r="AR115" s="5">
        <f>IF(AM115,1+SUMPRODUCT(--(calc!$AM$3:$AM$132=TRUE),--(calc!$AN$3:$AN$132&gt;AN115))+(SUMPRODUCT(--(calc!$AM$3:$AM$132=TRUE),--(calc!$AN$3:$AN$132=AN115))-1)/2,"")</f>
        <v/>
      </c>
      <c r="AS115" s="5">
        <f>IF(AM115,1+SUMPRODUCT(--(calc!$AM$3:$AM$132=TRUE),--(calc!$AO$3:$AO$132&gt;AO115))+(SUMPRODUCT(--(calc!$AM$3:$AM$132=TRUE),--(calc!$AO$3:$AO$132=AO115))-1)/2,"")</f>
        <v/>
      </c>
      <c r="AT115" s="5">
        <f>IF(AM115,SUMPRODUCT(--(calc!$AM$3:$AM$132=TRUE),--(ROW(calc!$AM$3:$AM$132)&gt;ROW(AM115)),--(((calc!$AR$3:$AR$132&gt;AR115)*(calc!$AS$3:$AS$132&gt;AS115)+(calc!$AR$3:$AR$132&lt;AR115)*(calc!$AS$3:$AS$132&lt;AS115))&gt;0))-SUMPRODUCT(--(calc!$AM$3:$AM$132=TRUE),--(ROW(calc!$AM$3:$AM$132)&gt;ROW(AM115)),--(((calc!$AR$3:$AR$132&gt;AR115)*(calc!$AS$3:$AS$132&lt;AS115)+(calc!$AR$3:$AR$132&lt;AR115)*(calc!$AS$3:$AS$132&gt;AS115))&gt;0)),0)</f>
        <v/>
      </c>
      <c r="AU115" s="5">
        <f>IF(mos_metrics!K114="","",mos_metrics!K114)</f>
        <v/>
      </c>
      <c r="AV115" s="2">
        <f>AND($J115,ISNUMBER(AU115),correlation!$I$30=1)</f>
        <v/>
      </c>
      <c r="AW115" s="5">
        <f>IF(AV115,$F115,"")</f>
        <v/>
      </c>
      <c r="AX115" s="5">
        <f>IF(AV115,AU115*correlation!$J$30,"")</f>
        <v/>
      </c>
      <c r="AY115" s="5">
        <f>IF(AND(AV115,ISNUMBER(correlation!$F$30)),AX115*correlation!$F$30+correlation!$G$30,"")</f>
        <v/>
      </c>
      <c r="AZ115" s="5">
        <f>IF(AND(AV115,ISNUMBER(AY115)),(AW115-AY115)^2,"")</f>
        <v/>
      </c>
      <c r="BA115" s="5">
        <f>IF(AV115,1+SUMPRODUCT(--(calc!$AV$3:$AV$132=TRUE),--(calc!$AW$3:$AW$132&gt;AW115))+(SUMPRODUCT(--(calc!$AV$3:$AV$132=TRUE),--(calc!$AW$3:$AW$132=AW115))-1)/2,"")</f>
        <v/>
      </c>
      <c r="BB115" s="5">
        <f>IF(AV115,1+SUMPRODUCT(--(calc!$AV$3:$AV$132=TRUE),--(calc!$AX$3:$AX$132&gt;AX115))+(SUMPRODUCT(--(calc!$AV$3:$AV$132=TRUE),--(calc!$AX$3:$AX$132=AX115))-1)/2,"")</f>
        <v/>
      </c>
      <c r="BC115" s="5">
        <f>IF(AV115,SUMPRODUCT(--(calc!$AV$3:$AV$132=TRUE),--(ROW(calc!$AV$3:$AV$132)&gt;ROW(AV115)),--(((calc!$BA$3:$BA$132&gt;BA115)*(calc!$BB$3:$BB$132&gt;BB115)+(calc!$BA$3:$BA$132&lt;BA115)*(calc!$BB$3:$BB$132&lt;BB115))&gt;0))-SUMPRODUCT(--(calc!$AV$3:$AV$132=TRUE),--(ROW(calc!$AV$3:$AV$132)&gt;ROW(AV115)),--(((calc!$BA$3:$BA$132&gt;BA115)*(calc!$BB$3:$BB$132&lt;BB115)+(calc!$BA$3:$BA$132&lt;BA115)*(calc!$BB$3:$BB$132&gt;BB115))&gt;0)),0)</f>
        <v/>
      </c>
      <c r="BD115" s="5">
        <f>IF(mos_metrics!L114="","",mos_metrics!L114)</f>
        <v/>
      </c>
      <c r="BE115" s="2">
        <f>AND($J115,ISNUMBER(BD115),correlation!$I$31=1)</f>
        <v/>
      </c>
      <c r="BF115" s="5">
        <f>IF(BE115,$F115,"")</f>
        <v/>
      </c>
      <c r="BG115" s="5">
        <f>IF(BE115,BD115*correlation!$J$31,"")</f>
        <v/>
      </c>
      <c r="BH115" s="5">
        <f>IF(AND(BE115,ISNUMBER(correlation!$F$31)),BG115*correlation!$F$31+correlation!$G$31,"")</f>
        <v/>
      </c>
      <c r="BI115" s="5">
        <f>IF(AND(BE115,ISNUMBER(BH115)),(BF115-BH115)^2,"")</f>
        <v/>
      </c>
      <c r="BJ115" s="5">
        <f>IF(BE115,1+SUMPRODUCT(--(calc!$BE$3:$BE$132=TRUE),--(calc!$BF$3:$BF$132&gt;BF115))+(SUMPRODUCT(--(calc!$BE$3:$BE$132=TRUE),--(calc!$BF$3:$BF$132=BF115))-1)/2,"")</f>
        <v/>
      </c>
      <c r="BK115" s="5">
        <f>IF(BE115,1+SUMPRODUCT(--(calc!$BE$3:$BE$132=TRUE),--(calc!$BG$3:$BG$132&gt;BG115))+(SUMPRODUCT(--(calc!$BE$3:$BE$132=TRUE),--(calc!$BG$3:$BG$132=BG115))-1)/2,"")</f>
        <v/>
      </c>
      <c r="BL115" s="5">
        <f>IF(BE115,SUMPRODUCT(--(calc!$BE$3:$BE$132=TRUE),--(ROW(calc!$BE$3:$BE$132)&gt;ROW(BE115)),--(((calc!$BJ$3:$BJ$132&gt;BJ115)*(calc!$BK$3:$BK$132&gt;BK115)+(calc!$BJ$3:$BJ$132&lt;BJ115)*(calc!$BK$3:$BK$132&lt;BK115))&gt;0))-SUMPRODUCT(--(calc!$BE$3:$BE$132=TRUE),--(ROW(calc!$BE$3:$BE$132)&gt;ROW(BE115)),--(((calc!$BJ$3:$BJ$132&gt;BJ115)*(calc!$BK$3:$BK$132&lt;BK115)+(calc!$BJ$3:$BJ$132&lt;BJ115)*(calc!$BK$3:$BK$132&gt;BK115))&gt;0)),0)</f>
        <v/>
      </c>
      <c r="BM115" s="5">
        <f>IF(mos_metrics!M114="","",mos_metrics!M114)</f>
        <v/>
      </c>
      <c r="BN115" s="2">
        <f>AND($J115,ISNUMBER(BM115),correlation!$I$32=1)</f>
        <v/>
      </c>
      <c r="BO115" s="5">
        <f>IF(BN115,$F115,"")</f>
        <v/>
      </c>
      <c r="BP115" s="5">
        <f>IF(BN115,BM115*correlation!$J$32,"")</f>
        <v/>
      </c>
      <c r="BQ115" s="5">
        <f>IF(AND(BN115,ISNUMBER(correlation!$F$32)),BP115*correlation!$F$32+correlation!$G$32,"")</f>
        <v/>
      </c>
      <c r="BR115" s="5">
        <f>IF(AND(BN115,ISNUMBER(BQ115)),(BO115-BQ115)^2,"")</f>
        <v/>
      </c>
      <c r="BS115" s="5">
        <f>IF(BN115,1+SUMPRODUCT(--(calc!$BN$3:$BN$132=TRUE),--(calc!$BO$3:$BO$132&gt;BO115))+(SUMPRODUCT(--(calc!$BN$3:$BN$132=TRUE),--(calc!$BO$3:$BO$132=BO115))-1)/2,"")</f>
        <v/>
      </c>
      <c r="BT115" s="5">
        <f>IF(BN115,1+SUMPRODUCT(--(calc!$BN$3:$BN$132=TRUE),--(calc!$BP$3:$BP$132&gt;BP115))+(SUMPRODUCT(--(calc!$BN$3:$BN$132=TRUE),--(calc!$BP$3:$BP$132=BP115))-1)/2,"")</f>
        <v/>
      </c>
      <c r="BU115" s="5">
        <f>IF(BN115,SUMPRODUCT(--(calc!$BN$3:$BN$132=TRUE),--(ROW(calc!$BN$3:$BN$132)&gt;ROW(BN115)),--(((calc!$BS$3:$BS$132&gt;BS115)*(calc!$BT$3:$BT$132&gt;BT115)+(calc!$BS$3:$BS$132&lt;BS115)*(calc!$BT$3:$BT$132&lt;BT115))&gt;0))-SUMPRODUCT(--(calc!$BN$3:$BN$132=TRUE),--(ROW(calc!$BN$3:$BN$132)&gt;ROW(BN115)),--(((calc!$BS$3:$BS$132&gt;BS115)*(calc!$BT$3:$BT$132&lt;BT115)+(calc!$BS$3:$BS$132&lt;BS115)*(calc!$BT$3:$BT$132&gt;BT115))&gt;0)),0)</f>
        <v/>
      </c>
    </row>
    <row r="116">
      <c r="A116" s="2">
        <f>mos_metrics!A115</f>
        <v/>
      </c>
      <c r="B116" s="2">
        <f>mos_metrics!B115</f>
        <v/>
      </c>
      <c r="C116" s="2">
        <f>mos_metrics!C115</f>
        <v/>
      </c>
      <c r="D116" s="2">
        <f>mos_metrics!D115</f>
        <v/>
      </c>
      <c r="E116" s="2">
        <f>mos_metrics!E115</f>
        <v/>
      </c>
      <c r="F116" s="2">
        <f>mos_metrics!F115</f>
        <v/>
      </c>
      <c r="G116" s="2">
        <f>IF($B116="","",IFERROR(VLOOKUP($B116,correlation!$A$2:$B$12,2,FALSE),1))</f>
        <v/>
      </c>
      <c r="H116" s="2">
        <f>IF($E116="","",IFERROR(VLOOKUP($E116,correlation!$D$2:$E$8,2,FALSE),1))</f>
        <v/>
      </c>
      <c r="I116" s="2">
        <f>ISNUMBER($F116)</f>
        <v/>
      </c>
      <c r="J116" s="2">
        <f>AND($G116=1,$H116=1,$I116)</f>
        <v/>
      </c>
      <c r="K116" s="5">
        <f>IF(mos_metrics!G115="","",mos_metrics!G115)</f>
        <v/>
      </c>
      <c r="L116" s="2">
        <f>AND($J116,ISNUMBER(K116),correlation!$I$26=1)</f>
        <v/>
      </c>
      <c r="M116" s="5">
        <f>IF(L116,$F116,"")</f>
        <v/>
      </c>
      <c r="N116" s="5">
        <f>IF(L116,K116*correlation!$J$26,"")</f>
        <v/>
      </c>
      <c r="O116" s="5">
        <f>IF(AND(L116,ISNUMBER(correlation!$F$26)),N116*correlation!$F$26+correlation!$G$26,"")</f>
        <v/>
      </c>
      <c r="P116" s="5">
        <f>IF(AND(L116,ISNUMBER(O116)),(M116-O116)^2,"")</f>
        <v/>
      </c>
      <c r="Q116" s="5">
        <f>IF(L116,1+SUMPRODUCT(--(calc!$L$3:$L$132=TRUE),--(calc!$M$3:$M$132&gt;M116))+(SUMPRODUCT(--(calc!$L$3:$L$132=TRUE),--(calc!$M$3:$M$132=M116))-1)/2,"")</f>
        <v/>
      </c>
      <c r="R116" s="5">
        <f>IF(L116,1+SUMPRODUCT(--(calc!$L$3:$L$132=TRUE),--(calc!$N$3:$N$132&gt;N116))+(SUMPRODUCT(--(calc!$L$3:$L$132=TRUE),--(calc!$N$3:$N$132=N116))-1)/2,"")</f>
        <v/>
      </c>
      <c r="S116" s="5">
        <f>IF(L116,SUMPRODUCT(--(calc!$L$3:$L$132=TRUE),--(ROW(calc!$L$3:$L$132)&gt;ROW(L116)),--(((calc!$Q$3:$Q$132&gt;Q116)*(calc!$R$3:$R$132&gt;R116)+(calc!$Q$3:$Q$132&lt;Q116)*(calc!$R$3:$R$132&lt;R116))&gt;0))-SUMPRODUCT(--(calc!$L$3:$L$132=TRUE),--(ROW(calc!$L$3:$L$132)&gt;ROW(L116)),--(((calc!$Q$3:$Q$132&gt;Q116)*(calc!$R$3:$R$132&lt;R116)+(calc!$Q$3:$Q$132&lt;Q116)*(calc!$R$3:$R$132&gt;R116))&gt;0)),0)</f>
        <v/>
      </c>
      <c r="T116" s="5">
        <f>IF(mos_metrics!H115="","",mos_metrics!H115)</f>
        <v/>
      </c>
      <c r="U116" s="2">
        <f>AND($J116,ISNUMBER(T116),correlation!$I$27=1)</f>
        <v/>
      </c>
      <c r="V116" s="5">
        <f>IF(U116,$F116,"")</f>
        <v/>
      </c>
      <c r="W116" s="5">
        <f>IF(U116,T116*correlation!$J$27,"")</f>
        <v/>
      </c>
      <c r="X116" s="5">
        <f>IF(AND(U116,ISNUMBER(correlation!$F$27)),W116*correlation!$F$27+correlation!$G$27,"")</f>
        <v/>
      </c>
      <c r="Y116" s="5">
        <f>IF(AND(U116,ISNUMBER(X116)),(V116-X116)^2,"")</f>
        <v/>
      </c>
      <c r="Z116" s="5">
        <f>IF(U116,1+SUMPRODUCT(--(calc!$U$3:$U$132=TRUE),--(calc!$V$3:$V$132&gt;V116))+(SUMPRODUCT(--(calc!$U$3:$U$132=TRUE),--(calc!$V$3:$V$132=V116))-1)/2,"")</f>
        <v/>
      </c>
      <c r="AA116" s="5">
        <f>IF(U116,1+SUMPRODUCT(--(calc!$U$3:$U$132=TRUE),--(calc!$W$3:$W$132&gt;W116))+(SUMPRODUCT(--(calc!$U$3:$U$132=TRUE),--(calc!$W$3:$W$132=W116))-1)/2,"")</f>
        <v/>
      </c>
      <c r="AB116" s="5">
        <f>IF(U116,SUMPRODUCT(--(calc!$U$3:$U$132=TRUE),--(ROW(calc!$U$3:$U$132)&gt;ROW(U116)),--(((calc!$Z$3:$Z$132&gt;Z116)*(calc!$AA$3:$AA$132&gt;AA116)+(calc!$Z$3:$Z$132&lt;Z116)*(calc!$AA$3:$AA$132&lt;AA116))&gt;0))-SUMPRODUCT(--(calc!$U$3:$U$132=TRUE),--(ROW(calc!$U$3:$U$132)&gt;ROW(U116)),--(((calc!$Z$3:$Z$132&gt;Z116)*(calc!$AA$3:$AA$132&lt;AA116)+(calc!$Z$3:$Z$132&lt;Z116)*(calc!$AA$3:$AA$132&gt;AA116))&gt;0)),0)</f>
        <v/>
      </c>
      <c r="AC116" s="5">
        <f>IF(mos_metrics!I115="","",mos_metrics!I115)</f>
        <v/>
      </c>
      <c r="AD116" s="2">
        <f>AND($J116,ISNUMBER(AC116),correlation!$I$28=1)</f>
        <v/>
      </c>
      <c r="AE116" s="5">
        <f>IF(AD116,$F116,"")</f>
        <v/>
      </c>
      <c r="AF116" s="5">
        <f>IF(AD116,AC116*correlation!$J$28,"")</f>
        <v/>
      </c>
      <c r="AG116" s="5">
        <f>IF(AND(AD116,ISNUMBER(correlation!$F$28)),AF116*correlation!$F$28+correlation!$G$28,"")</f>
        <v/>
      </c>
      <c r="AH116" s="5">
        <f>IF(AND(AD116,ISNUMBER(AG116)),(AE116-AG116)^2,"")</f>
        <v/>
      </c>
      <c r="AI116" s="5">
        <f>IF(AD116,1+SUMPRODUCT(--(calc!$AD$3:$AD$132=TRUE),--(calc!$AE$3:$AE$132&gt;AE116))+(SUMPRODUCT(--(calc!$AD$3:$AD$132=TRUE),--(calc!$AE$3:$AE$132=AE116))-1)/2,"")</f>
        <v/>
      </c>
      <c r="AJ116" s="5">
        <f>IF(AD116,1+SUMPRODUCT(--(calc!$AD$3:$AD$132=TRUE),--(calc!$AF$3:$AF$132&gt;AF116))+(SUMPRODUCT(--(calc!$AD$3:$AD$132=TRUE),--(calc!$AF$3:$AF$132=AF116))-1)/2,"")</f>
        <v/>
      </c>
      <c r="AK116" s="5">
        <f>IF(AD116,SUMPRODUCT(--(calc!$AD$3:$AD$132=TRUE),--(ROW(calc!$AD$3:$AD$132)&gt;ROW(AD116)),--(((calc!$AI$3:$AI$132&gt;AI116)*(calc!$AJ$3:$AJ$132&gt;AJ116)+(calc!$AI$3:$AI$132&lt;AI116)*(calc!$AJ$3:$AJ$132&lt;AJ116))&gt;0))-SUMPRODUCT(--(calc!$AD$3:$AD$132=TRUE),--(ROW(calc!$AD$3:$AD$132)&gt;ROW(AD116)),--(((calc!$AI$3:$AI$132&gt;AI116)*(calc!$AJ$3:$AJ$132&lt;AJ116)+(calc!$AI$3:$AI$132&lt;AI116)*(calc!$AJ$3:$AJ$132&gt;AJ116))&gt;0)),0)</f>
        <v/>
      </c>
      <c r="AL116" s="5">
        <f>IF(mos_metrics!J115="","",mos_metrics!J115)</f>
        <v/>
      </c>
      <c r="AM116" s="2">
        <f>AND($J116,ISNUMBER(AL116),correlation!$I$29=1)</f>
        <v/>
      </c>
      <c r="AN116" s="5">
        <f>IF(AM116,$F116,"")</f>
        <v/>
      </c>
      <c r="AO116" s="5">
        <f>IF(AM116,AL116*correlation!$J$29,"")</f>
        <v/>
      </c>
      <c r="AP116" s="5">
        <f>IF(AND(AM116,ISNUMBER(correlation!$F$29)),AO116*correlation!$F$29+correlation!$G$29,"")</f>
        <v/>
      </c>
      <c r="AQ116" s="5">
        <f>IF(AND(AM116,ISNUMBER(AP116)),(AN116-AP116)^2,"")</f>
        <v/>
      </c>
      <c r="AR116" s="5">
        <f>IF(AM116,1+SUMPRODUCT(--(calc!$AM$3:$AM$132=TRUE),--(calc!$AN$3:$AN$132&gt;AN116))+(SUMPRODUCT(--(calc!$AM$3:$AM$132=TRUE),--(calc!$AN$3:$AN$132=AN116))-1)/2,"")</f>
        <v/>
      </c>
      <c r="AS116" s="5">
        <f>IF(AM116,1+SUMPRODUCT(--(calc!$AM$3:$AM$132=TRUE),--(calc!$AO$3:$AO$132&gt;AO116))+(SUMPRODUCT(--(calc!$AM$3:$AM$132=TRUE),--(calc!$AO$3:$AO$132=AO116))-1)/2,"")</f>
        <v/>
      </c>
      <c r="AT116" s="5">
        <f>IF(AM116,SUMPRODUCT(--(calc!$AM$3:$AM$132=TRUE),--(ROW(calc!$AM$3:$AM$132)&gt;ROW(AM116)),--(((calc!$AR$3:$AR$132&gt;AR116)*(calc!$AS$3:$AS$132&gt;AS116)+(calc!$AR$3:$AR$132&lt;AR116)*(calc!$AS$3:$AS$132&lt;AS116))&gt;0))-SUMPRODUCT(--(calc!$AM$3:$AM$132=TRUE),--(ROW(calc!$AM$3:$AM$132)&gt;ROW(AM116)),--(((calc!$AR$3:$AR$132&gt;AR116)*(calc!$AS$3:$AS$132&lt;AS116)+(calc!$AR$3:$AR$132&lt;AR116)*(calc!$AS$3:$AS$132&gt;AS116))&gt;0)),0)</f>
        <v/>
      </c>
      <c r="AU116" s="5">
        <f>IF(mos_metrics!K115="","",mos_metrics!K115)</f>
        <v/>
      </c>
      <c r="AV116" s="2">
        <f>AND($J116,ISNUMBER(AU116),correlation!$I$30=1)</f>
        <v/>
      </c>
      <c r="AW116" s="5">
        <f>IF(AV116,$F116,"")</f>
        <v/>
      </c>
      <c r="AX116" s="5">
        <f>IF(AV116,AU116*correlation!$J$30,"")</f>
        <v/>
      </c>
      <c r="AY116" s="5">
        <f>IF(AND(AV116,ISNUMBER(correlation!$F$30)),AX116*correlation!$F$30+correlation!$G$30,"")</f>
        <v/>
      </c>
      <c r="AZ116" s="5">
        <f>IF(AND(AV116,ISNUMBER(AY116)),(AW116-AY116)^2,"")</f>
        <v/>
      </c>
      <c r="BA116" s="5">
        <f>IF(AV116,1+SUMPRODUCT(--(calc!$AV$3:$AV$132=TRUE),--(calc!$AW$3:$AW$132&gt;AW116))+(SUMPRODUCT(--(calc!$AV$3:$AV$132=TRUE),--(calc!$AW$3:$AW$132=AW116))-1)/2,"")</f>
        <v/>
      </c>
      <c r="BB116" s="5">
        <f>IF(AV116,1+SUMPRODUCT(--(calc!$AV$3:$AV$132=TRUE),--(calc!$AX$3:$AX$132&gt;AX116))+(SUMPRODUCT(--(calc!$AV$3:$AV$132=TRUE),--(calc!$AX$3:$AX$132=AX116))-1)/2,"")</f>
        <v/>
      </c>
      <c r="BC116" s="5">
        <f>IF(AV116,SUMPRODUCT(--(calc!$AV$3:$AV$132=TRUE),--(ROW(calc!$AV$3:$AV$132)&gt;ROW(AV116)),--(((calc!$BA$3:$BA$132&gt;BA116)*(calc!$BB$3:$BB$132&gt;BB116)+(calc!$BA$3:$BA$132&lt;BA116)*(calc!$BB$3:$BB$132&lt;BB116))&gt;0))-SUMPRODUCT(--(calc!$AV$3:$AV$132=TRUE),--(ROW(calc!$AV$3:$AV$132)&gt;ROW(AV116)),--(((calc!$BA$3:$BA$132&gt;BA116)*(calc!$BB$3:$BB$132&lt;BB116)+(calc!$BA$3:$BA$132&lt;BA116)*(calc!$BB$3:$BB$132&gt;BB116))&gt;0)),0)</f>
        <v/>
      </c>
      <c r="BD116" s="5">
        <f>IF(mos_metrics!L115="","",mos_metrics!L115)</f>
        <v/>
      </c>
      <c r="BE116" s="2">
        <f>AND($J116,ISNUMBER(BD116),correlation!$I$31=1)</f>
        <v/>
      </c>
      <c r="BF116" s="5">
        <f>IF(BE116,$F116,"")</f>
        <v/>
      </c>
      <c r="BG116" s="5">
        <f>IF(BE116,BD116*correlation!$J$31,"")</f>
        <v/>
      </c>
      <c r="BH116" s="5">
        <f>IF(AND(BE116,ISNUMBER(correlation!$F$31)),BG116*correlation!$F$31+correlation!$G$31,"")</f>
        <v/>
      </c>
      <c r="BI116" s="5">
        <f>IF(AND(BE116,ISNUMBER(BH116)),(BF116-BH116)^2,"")</f>
        <v/>
      </c>
      <c r="BJ116" s="5">
        <f>IF(BE116,1+SUMPRODUCT(--(calc!$BE$3:$BE$132=TRUE),--(calc!$BF$3:$BF$132&gt;BF116))+(SUMPRODUCT(--(calc!$BE$3:$BE$132=TRUE),--(calc!$BF$3:$BF$132=BF116))-1)/2,"")</f>
        <v/>
      </c>
      <c r="BK116" s="5">
        <f>IF(BE116,1+SUMPRODUCT(--(calc!$BE$3:$BE$132=TRUE),--(calc!$BG$3:$BG$132&gt;BG116))+(SUMPRODUCT(--(calc!$BE$3:$BE$132=TRUE),--(calc!$BG$3:$BG$132=BG116))-1)/2,"")</f>
        <v/>
      </c>
      <c r="BL116" s="5">
        <f>IF(BE116,SUMPRODUCT(--(calc!$BE$3:$BE$132=TRUE),--(ROW(calc!$BE$3:$BE$132)&gt;ROW(BE116)),--(((calc!$BJ$3:$BJ$132&gt;BJ116)*(calc!$BK$3:$BK$132&gt;BK116)+(calc!$BJ$3:$BJ$132&lt;BJ116)*(calc!$BK$3:$BK$132&lt;BK116))&gt;0))-SUMPRODUCT(--(calc!$BE$3:$BE$132=TRUE),--(ROW(calc!$BE$3:$BE$132)&gt;ROW(BE116)),--(((calc!$BJ$3:$BJ$132&gt;BJ116)*(calc!$BK$3:$BK$132&lt;BK116)+(calc!$BJ$3:$BJ$132&lt;BJ116)*(calc!$BK$3:$BK$132&gt;BK116))&gt;0)),0)</f>
        <v/>
      </c>
      <c r="BM116" s="5">
        <f>IF(mos_metrics!M115="","",mos_metrics!M115)</f>
        <v/>
      </c>
      <c r="BN116" s="2">
        <f>AND($J116,ISNUMBER(BM116),correlation!$I$32=1)</f>
        <v/>
      </c>
      <c r="BO116" s="5">
        <f>IF(BN116,$F116,"")</f>
        <v/>
      </c>
      <c r="BP116" s="5">
        <f>IF(BN116,BM116*correlation!$J$32,"")</f>
        <v/>
      </c>
      <c r="BQ116" s="5">
        <f>IF(AND(BN116,ISNUMBER(correlation!$F$32)),BP116*correlation!$F$32+correlation!$G$32,"")</f>
        <v/>
      </c>
      <c r="BR116" s="5">
        <f>IF(AND(BN116,ISNUMBER(BQ116)),(BO116-BQ116)^2,"")</f>
        <v/>
      </c>
      <c r="BS116" s="5">
        <f>IF(BN116,1+SUMPRODUCT(--(calc!$BN$3:$BN$132=TRUE),--(calc!$BO$3:$BO$132&gt;BO116))+(SUMPRODUCT(--(calc!$BN$3:$BN$132=TRUE),--(calc!$BO$3:$BO$132=BO116))-1)/2,"")</f>
        <v/>
      </c>
      <c r="BT116" s="5">
        <f>IF(BN116,1+SUMPRODUCT(--(calc!$BN$3:$BN$132=TRUE),--(calc!$BP$3:$BP$132&gt;BP116))+(SUMPRODUCT(--(calc!$BN$3:$BN$132=TRUE),--(calc!$BP$3:$BP$132=BP116))-1)/2,"")</f>
        <v/>
      </c>
      <c r="BU116" s="5">
        <f>IF(BN116,SUMPRODUCT(--(calc!$BN$3:$BN$132=TRUE),--(ROW(calc!$BN$3:$BN$132)&gt;ROW(BN116)),--(((calc!$BS$3:$BS$132&gt;BS116)*(calc!$BT$3:$BT$132&gt;BT116)+(calc!$BS$3:$BS$132&lt;BS116)*(calc!$BT$3:$BT$132&lt;BT116))&gt;0))-SUMPRODUCT(--(calc!$BN$3:$BN$132=TRUE),--(ROW(calc!$BN$3:$BN$132)&gt;ROW(BN116)),--(((calc!$BS$3:$BS$132&gt;BS116)*(calc!$BT$3:$BT$132&lt;BT116)+(calc!$BS$3:$BS$132&lt;BS116)*(calc!$BT$3:$BT$132&gt;BT116))&gt;0)),0)</f>
        <v/>
      </c>
    </row>
    <row r="117">
      <c r="A117" s="2">
        <f>mos_metrics!A116</f>
        <v/>
      </c>
      <c r="B117" s="2">
        <f>mos_metrics!B116</f>
        <v/>
      </c>
      <c r="C117" s="2">
        <f>mos_metrics!C116</f>
        <v/>
      </c>
      <c r="D117" s="2">
        <f>mos_metrics!D116</f>
        <v/>
      </c>
      <c r="E117" s="2">
        <f>mos_metrics!E116</f>
        <v/>
      </c>
      <c r="F117" s="2">
        <f>mos_metrics!F116</f>
        <v/>
      </c>
      <c r="G117" s="2">
        <f>IF($B117="","",IFERROR(VLOOKUP($B117,correlation!$A$2:$B$12,2,FALSE),1))</f>
        <v/>
      </c>
      <c r="H117" s="2">
        <f>IF($E117="","",IFERROR(VLOOKUP($E117,correlation!$D$2:$E$8,2,FALSE),1))</f>
        <v/>
      </c>
      <c r="I117" s="2">
        <f>ISNUMBER($F117)</f>
        <v/>
      </c>
      <c r="J117" s="2">
        <f>AND($G117=1,$H117=1,$I117)</f>
        <v/>
      </c>
      <c r="K117" s="5">
        <f>IF(mos_metrics!G116="","",mos_metrics!G116)</f>
        <v/>
      </c>
      <c r="L117" s="2">
        <f>AND($J117,ISNUMBER(K117),correlation!$I$26=1)</f>
        <v/>
      </c>
      <c r="M117" s="5">
        <f>IF(L117,$F117,"")</f>
        <v/>
      </c>
      <c r="N117" s="5">
        <f>IF(L117,K117*correlation!$J$26,"")</f>
        <v/>
      </c>
      <c r="O117" s="5">
        <f>IF(AND(L117,ISNUMBER(correlation!$F$26)),N117*correlation!$F$26+correlation!$G$26,"")</f>
        <v/>
      </c>
      <c r="P117" s="5">
        <f>IF(AND(L117,ISNUMBER(O117)),(M117-O117)^2,"")</f>
        <v/>
      </c>
      <c r="Q117" s="5">
        <f>IF(L117,1+SUMPRODUCT(--(calc!$L$3:$L$132=TRUE),--(calc!$M$3:$M$132&gt;M117))+(SUMPRODUCT(--(calc!$L$3:$L$132=TRUE),--(calc!$M$3:$M$132=M117))-1)/2,"")</f>
        <v/>
      </c>
      <c r="R117" s="5">
        <f>IF(L117,1+SUMPRODUCT(--(calc!$L$3:$L$132=TRUE),--(calc!$N$3:$N$132&gt;N117))+(SUMPRODUCT(--(calc!$L$3:$L$132=TRUE),--(calc!$N$3:$N$132=N117))-1)/2,"")</f>
        <v/>
      </c>
      <c r="S117" s="5">
        <f>IF(L117,SUMPRODUCT(--(calc!$L$3:$L$132=TRUE),--(ROW(calc!$L$3:$L$132)&gt;ROW(L117)),--(((calc!$Q$3:$Q$132&gt;Q117)*(calc!$R$3:$R$132&gt;R117)+(calc!$Q$3:$Q$132&lt;Q117)*(calc!$R$3:$R$132&lt;R117))&gt;0))-SUMPRODUCT(--(calc!$L$3:$L$132=TRUE),--(ROW(calc!$L$3:$L$132)&gt;ROW(L117)),--(((calc!$Q$3:$Q$132&gt;Q117)*(calc!$R$3:$R$132&lt;R117)+(calc!$Q$3:$Q$132&lt;Q117)*(calc!$R$3:$R$132&gt;R117))&gt;0)),0)</f>
        <v/>
      </c>
      <c r="T117" s="5">
        <f>IF(mos_metrics!H116="","",mos_metrics!H116)</f>
        <v/>
      </c>
      <c r="U117" s="2">
        <f>AND($J117,ISNUMBER(T117),correlation!$I$27=1)</f>
        <v/>
      </c>
      <c r="V117" s="5">
        <f>IF(U117,$F117,"")</f>
        <v/>
      </c>
      <c r="W117" s="5">
        <f>IF(U117,T117*correlation!$J$27,"")</f>
        <v/>
      </c>
      <c r="X117" s="5">
        <f>IF(AND(U117,ISNUMBER(correlation!$F$27)),W117*correlation!$F$27+correlation!$G$27,"")</f>
        <v/>
      </c>
      <c r="Y117" s="5">
        <f>IF(AND(U117,ISNUMBER(X117)),(V117-X117)^2,"")</f>
        <v/>
      </c>
      <c r="Z117" s="5">
        <f>IF(U117,1+SUMPRODUCT(--(calc!$U$3:$U$132=TRUE),--(calc!$V$3:$V$132&gt;V117))+(SUMPRODUCT(--(calc!$U$3:$U$132=TRUE),--(calc!$V$3:$V$132=V117))-1)/2,"")</f>
        <v/>
      </c>
      <c r="AA117" s="5">
        <f>IF(U117,1+SUMPRODUCT(--(calc!$U$3:$U$132=TRUE),--(calc!$W$3:$W$132&gt;W117))+(SUMPRODUCT(--(calc!$U$3:$U$132=TRUE),--(calc!$W$3:$W$132=W117))-1)/2,"")</f>
        <v/>
      </c>
      <c r="AB117" s="5">
        <f>IF(U117,SUMPRODUCT(--(calc!$U$3:$U$132=TRUE),--(ROW(calc!$U$3:$U$132)&gt;ROW(U117)),--(((calc!$Z$3:$Z$132&gt;Z117)*(calc!$AA$3:$AA$132&gt;AA117)+(calc!$Z$3:$Z$132&lt;Z117)*(calc!$AA$3:$AA$132&lt;AA117))&gt;0))-SUMPRODUCT(--(calc!$U$3:$U$132=TRUE),--(ROW(calc!$U$3:$U$132)&gt;ROW(U117)),--(((calc!$Z$3:$Z$132&gt;Z117)*(calc!$AA$3:$AA$132&lt;AA117)+(calc!$Z$3:$Z$132&lt;Z117)*(calc!$AA$3:$AA$132&gt;AA117))&gt;0)),0)</f>
        <v/>
      </c>
      <c r="AC117" s="5">
        <f>IF(mos_metrics!I116="","",mos_metrics!I116)</f>
        <v/>
      </c>
      <c r="AD117" s="2">
        <f>AND($J117,ISNUMBER(AC117),correlation!$I$28=1)</f>
        <v/>
      </c>
      <c r="AE117" s="5">
        <f>IF(AD117,$F117,"")</f>
        <v/>
      </c>
      <c r="AF117" s="5">
        <f>IF(AD117,AC117*correlation!$J$28,"")</f>
        <v/>
      </c>
      <c r="AG117" s="5">
        <f>IF(AND(AD117,ISNUMBER(correlation!$F$28)),AF117*correlation!$F$28+correlation!$G$28,"")</f>
        <v/>
      </c>
      <c r="AH117" s="5">
        <f>IF(AND(AD117,ISNUMBER(AG117)),(AE117-AG117)^2,"")</f>
        <v/>
      </c>
      <c r="AI117" s="5">
        <f>IF(AD117,1+SUMPRODUCT(--(calc!$AD$3:$AD$132=TRUE),--(calc!$AE$3:$AE$132&gt;AE117))+(SUMPRODUCT(--(calc!$AD$3:$AD$132=TRUE),--(calc!$AE$3:$AE$132=AE117))-1)/2,"")</f>
        <v/>
      </c>
      <c r="AJ117" s="5">
        <f>IF(AD117,1+SUMPRODUCT(--(calc!$AD$3:$AD$132=TRUE),--(calc!$AF$3:$AF$132&gt;AF117))+(SUMPRODUCT(--(calc!$AD$3:$AD$132=TRUE),--(calc!$AF$3:$AF$132=AF117))-1)/2,"")</f>
        <v/>
      </c>
      <c r="AK117" s="5">
        <f>IF(AD117,SUMPRODUCT(--(calc!$AD$3:$AD$132=TRUE),--(ROW(calc!$AD$3:$AD$132)&gt;ROW(AD117)),--(((calc!$AI$3:$AI$132&gt;AI117)*(calc!$AJ$3:$AJ$132&gt;AJ117)+(calc!$AI$3:$AI$132&lt;AI117)*(calc!$AJ$3:$AJ$132&lt;AJ117))&gt;0))-SUMPRODUCT(--(calc!$AD$3:$AD$132=TRUE),--(ROW(calc!$AD$3:$AD$132)&gt;ROW(AD117)),--(((calc!$AI$3:$AI$132&gt;AI117)*(calc!$AJ$3:$AJ$132&lt;AJ117)+(calc!$AI$3:$AI$132&lt;AI117)*(calc!$AJ$3:$AJ$132&gt;AJ117))&gt;0)),0)</f>
        <v/>
      </c>
      <c r="AL117" s="5">
        <f>IF(mos_metrics!J116="","",mos_metrics!J116)</f>
        <v/>
      </c>
      <c r="AM117" s="2">
        <f>AND($J117,ISNUMBER(AL117),correlation!$I$29=1)</f>
        <v/>
      </c>
      <c r="AN117" s="5">
        <f>IF(AM117,$F117,"")</f>
        <v/>
      </c>
      <c r="AO117" s="5">
        <f>IF(AM117,AL117*correlation!$J$29,"")</f>
        <v/>
      </c>
      <c r="AP117" s="5">
        <f>IF(AND(AM117,ISNUMBER(correlation!$F$29)),AO117*correlation!$F$29+correlation!$G$29,"")</f>
        <v/>
      </c>
      <c r="AQ117" s="5">
        <f>IF(AND(AM117,ISNUMBER(AP117)),(AN117-AP117)^2,"")</f>
        <v/>
      </c>
      <c r="AR117" s="5">
        <f>IF(AM117,1+SUMPRODUCT(--(calc!$AM$3:$AM$132=TRUE),--(calc!$AN$3:$AN$132&gt;AN117))+(SUMPRODUCT(--(calc!$AM$3:$AM$132=TRUE),--(calc!$AN$3:$AN$132=AN117))-1)/2,"")</f>
        <v/>
      </c>
      <c r="AS117" s="5">
        <f>IF(AM117,1+SUMPRODUCT(--(calc!$AM$3:$AM$132=TRUE),--(calc!$AO$3:$AO$132&gt;AO117))+(SUMPRODUCT(--(calc!$AM$3:$AM$132=TRUE),--(calc!$AO$3:$AO$132=AO117))-1)/2,"")</f>
        <v/>
      </c>
      <c r="AT117" s="5">
        <f>IF(AM117,SUMPRODUCT(--(calc!$AM$3:$AM$132=TRUE),--(ROW(calc!$AM$3:$AM$132)&gt;ROW(AM117)),--(((calc!$AR$3:$AR$132&gt;AR117)*(calc!$AS$3:$AS$132&gt;AS117)+(calc!$AR$3:$AR$132&lt;AR117)*(calc!$AS$3:$AS$132&lt;AS117))&gt;0))-SUMPRODUCT(--(calc!$AM$3:$AM$132=TRUE),--(ROW(calc!$AM$3:$AM$132)&gt;ROW(AM117)),--(((calc!$AR$3:$AR$132&gt;AR117)*(calc!$AS$3:$AS$132&lt;AS117)+(calc!$AR$3:$AR$132&lt;AR117)*(calc!$AS$3:$AS$132&gt;AS117))&gt;0)),0)</f>
        <v/>
      </c>
      <c r="AU117" s="5">
        <f>IF(mos_metrics!K116="","",mos_metrics!K116)</f>
        <v/>
      </c>
      <c r="AV117" s="2">
        <f>AND($J117,ISNUMBER(AU117),correlation!$I$30=1)</f>
        <v/>
      </c>
      <c r="AW117" s="5">
        <f>IF(AV117,$F117,"")</f>
        <v/>
      </c>
      <c r="AX117" s="5">
        <f>IF(AV117,AU117*correlation!$J$30,"")</f>
        <v/>
      </c>
      <c r="AY117" s="5">
        <f>IF(AND(AV117,ISNUMBER(correlation!$F$30)),AX117*correlation!$F$30+correlation!$G$30,"")</f>
        <v/>
      </c>
      <c r="AZ117" s="5">
        <f>IF(AND(AV117,ISNUMBER(AY117)),(AW117-AY117)^2,"")</f>
        <v/>
      </c>
      <c r="BA117" s="5">
        <f>IF(AV117,1+SUMPRODUCT(--(calc!$AV$3:$AV$132=TRUE),--(calc!$AW$3:$AW$132&gt;AW117))+(SUMPRODUCT(--(calc!$AV$3:$AV$132=TRUE),--(calc!$AW$3:$AW$132=AW117))-1)/2,"")</f>
        <v/>
      </c>
      <c r="BB117" s="5">
        <f>IF(AV117,1+SUMPRODUCT(--(calc!$AV$3:$AV$132=TRUE),--(calc!$AX$3:$AX$132&gt;AX117))+(SUMPRODUCT(--(calc!$AV$3:$AV$132=TRUE),--(calc!$AX$3:$AX$132=AX117))-1)/2,"")</f>
        <v/>
      </c>
      <c r="BC117" s="5">
        <f>IF(AV117,SUMPRODUCT(--(calc!$AV$3:$AV$132=TRUE),--(ROW(calc!$AV$3:$AV$132)&gt;ROW(AV117)),--(((calc!$BA$3:$BA$132&gt;BA117)*(calc!$BB$3:$BB$132&gt;BB117)+(calc!$BA$3:$BA$132&lt;BA117)*(calc!$BB$3:$BB$132&lt;BB117))&gt;0))-SUMPRODUCT(--(calc!$AV$3:$AV$132=TRUE),--(ROW(calc!$AV$3:$AV$132)&gt;ROW(AV117)),--(((calc!$BA$3:$BA$132&gt;BA117)*(calc!$BB$3:$BB$132&lt;BB117)+(calc!$BA$3:$BA$132&lt;BA117)*(calc!$BB$3:$BB$132&gt;BB117))&gt;0)),0)</f>
        <v/>
      </c>
      <c r="BD117" s="5">
        <f>IF(mos_metrics!L116="","",mos_metrics!L116)</f>
        <v/>
      </c>
      <c r="BE117" s="2">
        <f>AND($J117,ISNUMBER(BD117),correlation!$I$31=1)</f>
        <v/>
      </c>
      <c r="BF117" s="5">
        <f>IF(BE117,$F117,"")</f>
        <v/>
      </c>
      <c r="BG117" s="5">
        <f>IF(BE117,BD117*correlation!$J$31,"")</f>
        <v/>
      </c>
      <c r="BH117" s="5">
        <f>IF(AND(BE117,ISNUMBER(correlation!$F$31)),BG117*correlation!$F$31+correlation!$G$31,"")</f>
        <v/>
      </c>
      <c r="BI117" s="5">
        <f>IF(AND(BE117,ISNUMBER(BH117)),(BF117-BH117)^2,"")</f>
        <v/>
      </c>
      <c r="BJ117" s="5">
        <f>IF(BE117,1+SUMPRODUCT(--(calc!$BE$3:$BE$132=TRUE),--(calc!$BF$3:$BF$132&gt;BF117))+(SUMPRODUCT(--(calc!$BE$3:$BE$132=TRUE),--(calc!$BF$3:$BF$132=BF117))-1)/2,"")</f>
        <v/>
      </c>
      <c r="BK117" s="5">
        <f>IF(BE117,1+SUMPRODUCT(--(calc!$BE$3:$BE$132=TRUE),--(calc!$BG$3:$BG$132&gt;BG117))+(SUMPRODUCT(--(calc!$BE$3:$BE$132=TRUE),--(calc!$BG$3:$BG$132=BG117))-1)/2,"")</f>
        <v/>
      </c>
      <c r="BL117" s="5">
        <f>IF(BE117,SUMPRODUCT(--(calc!$BE$3:$BE$132=TRUE),--(ROW(calc!$BE$3:$BE$132)&gt;ROW(BE117)),--(((calc!$BJ$3:$BJ$132&gt;BJ117)*(calc!$BK$3:$BK$132&gt;BK117)+(calc!$BJ$3:$BJ$132&lt;BJ117)*(calc!$BK$3:$BK$132&lt;BK117))&gt;0))-SUMPRODUCT(--(calc!$BE$3:$BE$132=TRUE),--(ROW(calc!$BE$3:$BE$132)&gt;ROW(BE117)),--(((calc!$BJ$3:$BJ$132&gt;BJ117)*(calc!$BK$3:$BK$132&lt;BK117)+(calc!$BJ$3:$BJ$132&lt;BJ117)*(calc!$BK$3:$BK$132&gt;BK117))&gt;0)),0)</f>
        <v/>
      </c>
      <c r="BM117" s="5">
        <f>IF(mos_metrics!M116="","",mos_metrics!M116)</f>
        <v/>
      </c>
      <c r="BN117" s="2">
        <f>AND($J117,ISNUMBER(BM117),correlation!$I$32=1)</f>
        <v/>
      </c>
      <c r="BO117" s="5">
        <f>IF(BN117,$F117,"")</f>
        <v/>
      </c>
      <c r="BP117" s="5">
        <f>IF(BN117,BM117*correlation!$J$32,"")</f>
        <v/>
      </c>
      <c r="BQ117" s="5">
        <f>IF(AND(BN117,ISNUMBER(correlation!$F$32)),BP117*correlation!$F$32+correlation!$G$32,"")</f>
        <v/>
      </c>
      <c r="BR117" s="5">
        <f>IF(AND(BN117,ISNUMBER(BQ117)),(BO117-BQ117)^2,"")</f>
        <v/>
      </c>
      <c r="BS117" s="5">
        <f>IF(BN117,1+SUMPRODUCT(--(calc!$BN$3:$BN$132=TRUE),--(calc!$BO$3:$BO$132&gt;BO117))+(SUMPRODUCT(--(calc!$BN$3:$BN$132=TRUE),--(calc!$BO$3:$BO$132=BO117))-1)/2,"")</f>
        <v/>
      </c>
      <c r="BT117" s="5">
        <f>IF(BN117,1+SUMPRODUCT(--(calc!$BN$3:$BN$132=TRUE),--(calc!$BP$3:$BP$132&gt;BP117))+(SUMPRODUCT(--(calc!$BN$3:$BN$132=TRUE),--(calc!$BP$3:$BP$132=BP117))-1)/2,"")</f>
        <v/>
      </c>
      <c r="BU117" s="5">
        <f>IF(BN117,SUMPRODUCT(--(calc!$BN$3:$BN$132=TRUE),--(ROW(calc!$BN$3:$BN$132)&gt;ROW(BN117)),--(((calc!$BS$3:$BS$132&gt;BS117)*(calc!$BT$3:$BT$132&gt;BT117)+(calc!$BS$3:$BS$132&lt;BS117)*(calc!$BT$3:$BT$132&lt;BT117))&gt;0))-SUMPRODUCT(--(calc!$BN$3:$BN$132=TRUE),--(ROW(calc!$BN$3:$BN$132)&gt;ROW(BN117)),--(((calc!$BS$3:$BS$132&gt;BS117)*(calc!$BT$3:$BT$132&lt;BT117)+(calc!$BS$3:$BS$132&lt;BS117)*(calc!$BT$3:$BT$132&gt;BT117))&gt;0)),0)</f>
        <v/>
      </c>
    </row>
    <row r="118">
      <c r="A118" s="2">
        <f>mos_metrics!A117</f>
        <v/>
      </c>
      <c r="B118" s="2">
        <f>mos_metrics!B117</f>
        <v/>
      </c>
      <c r="C118" s="2">
        <f>mos_metrics!C117</f>
        <v/>
      </c>
      <c r="D118" s="2">
        <f>mos_metrics!D117</f>
        <v/>
      </c>
      <c r="E118" s="2">
        <f>mos_metrics!E117</f>
        <v/>
      </c>
      <c r="F118" s="2">
        <f>mos_metrics!F117</f>
        <v/>
      </c>
      <c r="G118" s="2">
        <f>IF($B118="","",IFERROR(VLOOKUP($B118,correlation!$A$2:$B$12,2,FALSE),1))</f>
        <v/>
      </c>
      <c r="H118" s="2">
        <f>IF($E118="","",IFERROR(VLOOKUP($E118,correlation!$D$2:$E$8,2,FALSE),1))</f>
        <v/>
      </c>
      <c r="I118" s="2">
        <f>ISNUMBER($F118)</f>
        <v/>
      </c>
      <c r="J118" s="2">
        <f>AND($G118=1,$H118=1,$I118)</f>
        <v/>
      </c>
      <c r="K118" s="5">
        <f>IF(mos_metrics!G117="","",mos_metrics!G117)</f>
        <v/>
      </c>
      <c r="L118" s="2">
        <f>AND($J118,ISNUMBER(K118),correlation!$I$26=1)</f>
        <v/>
      </c>
      <c r="M118" s="5">
        <f>IF(L118,$F118,"")</f>
        <v/>
      </c>
      <c r="N118" s="5">
        <f>IF(L118,K118*correlation!$J$26,"")</f>
        <v/>
      </c>
      <c r="O118" s="5">
        <f>IF(AND(L118,ISNUMBER(correlation!$F$26)),N118*correlation!$F$26+correlation!$G$26,"")</f>
        <v/>
      </c>
      <c r="P118" s="5">
        <f>IF(AND(L118,ISNUMBER(O118)),(M118-O118)^2,"")</f>
        <v/>
      </c>
      <c r="Q118" s="5">
        <f>IF(L118,1+SUMPRODUCT(--(calc!$L$3:$L$132=TRUE),--(calc!$M$3:$M$132&gt;M118))+(SUMPRODUCT(--(calc!$L$3:$L$132=TRUE),--(calc!$M$3:$M$132=M118))-1)/2,"")</f>
        <v/>
      </c>
      <c r="R118" s="5">
        <f>IF(L118,1+SUMPRODUCT(--(calc!$L$3:$L$132=TRUE),--(calc!$N$3:$N$132&gt;N118))+(SUMPRODUCT(--(calc!$L$3:$L$132=TRUE),--(calc!$N$3:$N$132=N118))-1)/2,"")</f>
        <v/>
      </c>
      <c r="S118" s="5">
        <f>IF(L118,SUMPRODUCT(--(calc!$L$3:$L$132=TRUE),--(ROW(calc!$L$3:$L$132)&gt;ROW(L118)),--(((calc!$Q$3:$Q$132&gt;Q118)*(calc!$R$3:$R$132&gt;R118)+(calc!$Q$3:$Q$132&lt;Q118)*(calc!$R$3:$R$132&lt;R118))&gt;0))-SUMPRODUCT(--(calc!$L$3:$L$132=TRUE),--(ROW(calc!$L$3:$L$132)&gt;ROW(L118)),--(((calc!$Q$3:$Q$132&gt;Q118)*(calc!$R$3:$R$132&lt;R118)+(calc!$Q$3:$Q$132&lt;Q118)*(calc!$R$3:$R$132&gt;R118))&gt;0)),0)</f>
        <v/>
      </c>
      <c r="T118" s="5">
        <f>IF(mos_metrics!H117="","",mos_metrics!H117)</f>
        <v/>
      </c>
      <c r="U118" s="2">
        <f>AND($J118,ISNUMBER(T118),correlation!$I$27=1)</f>
        <v/>
      </c>
      <c r="V118" s="5">
        <f>IF(U118,$F118,"")</f>
        <v/>
      </c>
      <c r="W118" s="5">
        <f>IF(U118,T118*correlation!$J$27,"")</f>
        <v/>
      </c>
      <c r="X118" s="5">
        <f>IF(AND(U118,ISNUMBER(correlation!$F$27)),W118*correlation!$F$27+correlation!$G$27,"")</f>
        <v/>
      </c>
      <c r="Y118" s="5">
        <f>IF(AND(U118,ISNUMBER(X118)),(V118-X118)^2,"")</f>
        <v/>
      </c>
      <c r="Z118" s="5">
        <f>IF(U118,1+SUMPRODUCT(--(calc!$U$3:$U$132=TRUE),--(calc!$V$3:$V$132&gt;V118))+(SUMPRODUCT(--(calc!$U$3:$U$132=TRUE),--(calc!$V$3:$V$132=V118))-1)/2,"")</f>
        <v/>
      </c>
      <c r="AA118" s="5">
        <f>IF(U118,1+SUMPRODUCT(--(calc!$U$3:$U$132=TRUE),--(calc!$W$3:$W$132&gt;W118))+(SUMPRODUCT(--(calc!$U$3:$U$132=TRUE),--(calc!$W$3:$W$132=W118))-1)/2,"")</f>
        <v/>
      </c>
      <c r="AB118" s="5">
        <f>IF(U118,SUMPRODUCT(--(calc!$U$3:$U$132=TRUE),--(ROW(calc!$U$3:$U$132)&gt;ROW(U118)),--(((calc!$Z$3:$Z$132&gt;Z118)*(calc!$AA$3:$AA$132&gt;AA118)+(calc!$Z$3:$Z$132&lt;Z118)*(calc!$AA$3:$AA$132&lt;AA118))&gt;0))-SUMPRODUCT(--(calc!$U$3:$U$132=TRUE),--(ROW(calc!$U$3:$U$132)&gt;ROW(U118)),--(((calc!$Z$3:$Z$132&gt;Z118)*(calc!$AA$3:$AA$132&lt;AA118)+(calc!$Z$3:$Z$132&lt;Z118)*(calc!$AA$3:$AA$132&gt;AA118))&gt;0)),0)</f>
        <v/>
      </c>
      <c r="AC118" s="5">
        <f>IF(mos_metrics!I117="","",mos_metrics!I117)</f>
        <v/>
      </c>
      <c r="AD118" s="2">
        <f>AND($J118,ISNUMBER(AC118),correlation!$I$28=1)</f>
        <v/>
      </c>
      <c r="AE118" s="5">
        <f>IF(AD118,$F118,"")</f>
        <v/>
      </c>
      <c r="AF118" s="5">
        <f>IF(AD118,AC118*correlation!$J$28,"")</f>
        <v/>
      </c>
      <c r="AG118" s="5">
        <f>IF(AND(AD118,ISNUMBER(correlation!$F$28)),AF118*correlation!$F$28+correlation!$G$28,"")</f>
        <v/>
      </c>
      <c r="AH118" s="5">
        <f>IF(AND(AD118,ISNUMBER(AG118)),(AE118-AG118)^2,"")</f>
        <v/>
      </c>
      <c r="AI118" s="5">
        <f>IF(AD118,1+SUMPRODUCT(--(calc!$AD$3:$AD$132=TRUE),--(calc!$AE$3:$AE$132&gt;AE118))+(SUMPRODUCT(--(calc!$AD$3:$AD$132=TRUE),--(calc!$AE$3:$AE$132=AE118))-1)/2,"")</f>
        <v/>
      </c>
      <c r="AJ118" s="5">
        <f>IF(AD118,1+SUMPRODUCT(--(calc!$AD$3:$AD$132=TRUE),--(calc!$AF$3:$AF$132&gt;AF118))+(SUMPRODUCT(--(calc!$AD$3:$AD$132=TRUE),--(calc!$AF$3:$AF$132=AF118))-1)/2,"")</f>
        <v/>
      </c>
      <c r="AK118" s="5">
        <f>IF(AD118,SUMPRODUCT(--(calc!$AD$3:$AD$132=TRUE),--(ROW(calc!$AD$3:$AD$132)&gt;ROW(AD118)),--(((calc!$AI$3:$AI$132&gt;AI118)*(calc!$AJ$3:$AJ$132&gt;AJ118)+(calc!$AI$3:$AI$132&lt;AI118)*(calc!$AJ$3:$AJ$132&lt;AJ118))&gt;0))-SUMPRODUCT(--(calc!$AD$3:$AD$132=TRUE),--(ROW(calc!$AD$3:$AD$132)&gt;ROW(AD118)),--(((calc!$AI$3:$AI$132&gt;AI118)*(calc!$AJ$3:$AJ$132&lt;AJ118)+(calc!$AI$3:$AI$132&lt;AI118)*(calc!$AJ$3:$AJ$132&gt;AJ118))&gt;0)),0)</f>
        <v/>
      </c>
      <c r="AL118" s="5">
        <f>IF(mos_metrics!J117="","",mos_metrics!J117)</f>
        <v/>
      </c>
      <c r="AM118" s="2">
        <f>AND($J118,ISNUMBER(AL118),correlation!$I$29=1)</f>
        <v/>
      </c>
      <c r="AN118" s="5">
        <f>IF(AM118,$F118,"")</f>
        <v/>
      </c>
      <c r="AO118" s="5">
        <f>IF(AM118,AL118*correlation!$J$29,"")</f>
        <v/>
      </c>
      <c r="AP118" s="5">
        <f>IF(AND(AM118,ISNUMBER(correlation!$F$29)),AO118*correlation!$F$29+correlation!$G$29,"")</f>
        <v/>
      </c>
      <c r="AQ118" s="5">
        <f>IF(AND(AM118,ISNUMBER(AP118)),(AN118-AP118)^2,"")</f>
        <v/>
      </c>
      <c r="AR118" s="5">
        <f>IF(AM118,1+SUMPRODUCT(--(calc!$AM$3:$AM$132=TRUE),--(calc!$AN$3:$AN$132&gt;AN118))+(SUMPRODUCT(--(calc!$AM$3:$AM$132=TRUE),--(calc!$AN$3:$AN$132=AN118))-1)/2,"")</f>
        <v/>
      </c>
      <c r="AS118" s="5">
        <f>IF(AM118,1+SUMPRODUCT(--(calc!$AM$3:$AM$132=TRUE),--(calc!$AO$3:$AO$132&gt;AO118))+(SUMPRODUCT(--(calc!$AM$3:$AM$132=TRUE),--(calc!$AO$3:$AO$132=AO118))-1)/2,"")</f>
        <v/>
      </c>
      <c r="AT118" s="5">
        <f>IF(AM118,SUMPRODUCT(--(calc!$AM$3:$AM$132=TRUE),--(ROW(calc!$AM$3:$AM$132)&gt;ROW(AM118)),--(((calc!$AR$3:$AR$132&gt;AR118)*(calc!$AS$3:$AS$132&gt;AS118)+(calc!$AR$3:$AR$132&lt;AR118)*(calc!$AS$3:$AS$132&lt;AS118))&gt;0))-SUMPRODUCT(--(calc!$AM$3:$AM$132=TRUE),--(ROW(calc!$AM$3:$AM$132)&gt;ROW(AM118)),--(((calc!$AR$3:$AR$132&gt;AR118)*(calc!$AS$3:$AS$132&lt;AS118)+(calc!$AR$3:$AR$132&lt;AR118)*(calc!$AS$3:$AS$132&gt;AS118))&gt;0)),0)</f>
        <v/>
      </c>
      <c r="AU118" s="5">
        <f>IF(mos_metrics!K117="","",mos_metrics!K117)</f>
        <v/>
      </c>
      <c r="AV118" s="2">
        <f>AND($J118,ISNUMBER(AU118),correlation!$I$30=1)</f>
        <v/>
      </c>
      <c r="AW118" s="5">
        <f>IF(AV118,$F118,"")</f>
        <v/>
      </c>
      <c r="AX118" s="5">
        <f>IF(AV118,AU118*correlation!$J$30,"")</f>
        <v/>
      </c>
      <c r="AY118" s="5">
        <f>IF(AND(AV118,ISNUMBER(correlation!$F$30)),AX118*correlation!$F$30+correlation!$G$30,"")</f>
        <v/>
      </c>
      <c r="AZ118" s="5">
        <f>IF(AND(AV118,ISNUMBER(AY118)),(AW118-AY118)^2,"")</f>
        <v/>
      </c>
      <c r="BA118" s="5">
        <f>IF(AV118,1+SUMPRODUCT(--(calc!$AV$3:$AV$132=TRUE),--(calc!$AW$3:$AW$132&gt;AW118))+(SUMPRODUCT(--(calc!$AV$3:$AV$132=TRUE),--(calc!$AW$3:$AW$132=AW118))-1)/2,"")</f>
        <v/>
      </c>
      <c r="BB118" s="5">
        <f>IF(AV118,1+SUMPRODUCT(--(calc!$AV$3:$AV$132=TRUE),--(calc!$AX$3:$AX$132&gt;AX118))+(SUMPRODUCT(--(calc!$AV$3:$AV$132=TRUE),--(calc!$AX$3:$AX$132=AX118))-1)/2,"")</f>
        <v/>
      </c>
      <c r="BC118" s="5">
        <f>IF(AV118,SUMPRODUCT(--(calc!$AV$3:$AV$132=TRUE),--(ROW(calc!$AV$3:$AV$132)&gt;ROW(AV118)),--(((calc!$BA$3:$BA$132&gt;BA118)*(calc!$BB$3:$BB$132&gt;BB118)+(calc!$BA$3:$BA$132&lt;BA118)*(calc!$BB$3:$BB$132&lt;BB118))&gt;0))-SUMPRODUCT(--(calc!$AV$3:$AV$132=TRUE),--(ROW(calc!$AV$3:$AV$132)&gt;ROW(AV118)),--(((calc!$BA$3:$BA$132&gt;BA118)*(calc!$BB$3:$BB$132&lt;BB118)+(calc!$BA$3:$BA$132&lt;BA118)*(calc!$BB$3:$BB$132&gt;BB118))&gt;0)),0)</f>
        <v/>
      </c>
      <c r="BD118" s="5">
        <f>IF(mos_metrics!L117="","",mos_metrics!L117)</f>
        <v/>
      </c>
      <c r="BE118" s="2">
        <f>AND($J118,ISNUMBER(BD118),correlation!$I$31=1)</f>
        <v/>
      </c>
      <c r="BF118" s="5">
        <f>IF(BE118,$F118,"")</f>
        <v/>
      </c>
      <c r="BG118" s="5">
        <f>IF(BE118,BD118*correlation!$J$31,"")</f>
        <v/>
      </c>
      <c r="BH118" s="5">
        <f>IF(AND(BE118,ISNUMBER(correlation!$F$31)),BG118*correlation!$F$31+correlation!$G$31,"")</f>
        <v/>
      </c>
      <c r="BI118" s="5">
        <f>IF(AND(BE118,ISNUMBER(BH118)),(BF118-BH118)^2,"")</f>
        <v/>
      </c>
      <c r="BJ118" s="5">
        <f>IF(BE118,1+SUMPRODUCT(--(calc!$BE$3:$BE$132=TRUE),--(calc!$BF$3:$BF$132&gt;BF118))+(SUMPRODUCT(--(calc!$BE$3:$BE$132=TRUE),--(calc!$BF$3:$BF$132=BF118))-1)/2,"")</f>
        <v/>
      </c>
      <c r="BK118" s="5">
        <f>IF(BE118,1+SUMPRODUCT(--(calc!$BE$3:$BE$132=TRUE),--(calc!$BG$3:$BG$132&gt;BG118))+(SUMPRODUCT(--(calc!$BE$3:$BE$132=TRUE),--(calc!$BG$3:$BG$132=BG118))-1)/2,"")</f>
        <v/>
      </c>
      <c r="BL118" s="5">
        <f>IF(BE118,SUMPRODUCT(--(calc!$BE$3:$BE$132=TRUE),--(ROW(calc!$BE$3:$BE$132)&gt;ROW(BE118)),--(((calc!$BJ$3:$BJ$132&gt;BJ118)*(calc!$BK$3:$BK$132&gt;BK118)+(calc!$BJ$3:$BJ$132&lt;BJ118)*(calc!$BK$3:$BK$132&lt;BK118))&gt;0))-SUMPRODUCT(--(calc!$BE$3:$BE$132=TRUE),--(ROW(calc!$BE$3:$BE$132)&gt;ROW(BE118)),--(((calc!$BJ$3:$BJ$132&gt;BJ118)*(calc!$BK$3:$BK$132&lt;BK118)+(calc!$BJ$3:$BJ$132&lt;BJ118)*(calc!$BK$3:$BK$132&gt;BK118))&gt;0)),0)</f>
        <v/>
      </c>
      <c r="BM118" s="5">
        <f>IF(mos_metrics!M117="","",mos_metrics!M117)</f>
        <v/>
      </c>
      <c r="BN118" s="2">
        <f>AND($J118,ISNUMBER(BM118),correlation!$I$32=1)</f>
        <v/>
      </c>
      <c r="BO118" s="5">
        <f>IF(BN118,$F118,"")</f>
        <v/>
      </c>
      <c r="BP118" s="5">
        <f>IF(BN118,BM118*correlation!$J$32,"")</f>
        <v/>
      </c>
      <c r="BQ118" s="5">
        <f>IF(AND(BN118,ISNUMBER(correlation!$F$32)),BP118*correlation!$F$32+correlation!$G$32,"")</f>
        <v/>
      </c>
      <c r="BR118" s="5">
        <f>IF(AND(BN118,ISNUMBER(BQ118)),(BO118-BQ118)^2,"")</f>
        <v/>
      </c>
      <c r="BS118" s="5">
        <f>IF(BN118,1+SUMPRODUCT(--(calc!$BN$3:$BN$132=TRUE),--(calc!$BO$3:$BO$132&gt;BO118))+(SUMPRODUCT(--(calc!$BN$3:$BN$132=TRUE),--(calc!$BO$3:$BO$132=BO118))-1)/2,"")</f>
        <v/>
      </c>
      <c r="BT118" s="5">
        <f>IF(BN118,1+SUMPRODUCT(--(calc!$BN$3:$BN$132=TRUE),--(calc!$BP$3:$BP$132&gt;BP118))+(SUMPRODUCT(--(calc!$BN$3:$BN$132=TRUE),--(calc!$BP$3:$BP$132=BP118))-1)/2,"")</f>
        <v/>
      </c>
      <c r="BU118" s="5">
        <f>IF(BN118,SUMPRODUCT(--(calc!$BN$3:$BN$132=TRUE),--(ROW(calc!$BN$3:$BN$132)&gt;ROW(BN118)),--(((calc!$BS$3:$BS$132&gt;BS118)*(calc!$BT$3:$BT$132&gt;BT118)+(calc!$BS$3:$BS$132&lt;BS118)*(calc!$BT$3:$BT$132&lt;BT118))&gt;0))-SUMPRODUCT(--(calc!$BN$3:$BN$132=TRUE),--(ROW(calc!$BN$3:$BN$132)&gt;ROW(BN118)),--(((calc!$BS$3:$BS$132&gt;BS118)*(calc!$BT$3:$BT$132&lt;BT118)+(calc!$BS$3:$BS$132&lt;BS118)*(calc!$BT$3:$BT$132&gt;BT118))&gt;0)),0)</f>
        <v/>
      </c>
    </row>
    <row r="119">
      <c r="A119" s="2">
        <f>mos_metrics!A118</f>
        <v/>
      </c>
      <c r="B119" s="2">
        <f>mos_metrics!B118</f>
        <v/>
      </c>
      <c r="C119" s="2">
        <f>mos_metrics!C118</f>
        <v/>
      </c>
      <c r="D119" s="2">
        <f>mos_metrics!D118</f>
        <v/>
      </c>
      <c r="E119" s="2">
        <f>mos_metrics!E118</f>
        <v/>
      </c>
      <c r="F119" s="2">
        <f>mos_metrics!F118</f>
        <v/>
      </c>
      <c r="G119" s="2">
        <f>IF($B119="","",IFERROR(VLOOKUP($B119,correlation!$A$2:$B$12,2,FALSE),1))</f>
        <v/>
      </c>
      <c r="H119" s="2">
        <f>IF($E119="","",IFERROR(VLOOKUP($E119,correlation!$D$2:$E$8,2,FALSE),1))</f>
        <v/>
      </c>
      <c r="I119" s="2">
        <f>ISNUMBER($F119)</f>
        <v/>
      </c>
      <c r="J119" s="2">
        <f>AND($G119=1,$H119=1,$I119)</f>
        <v/>
      </c>
      <c r="K119" s="5">
        <f>IF(mos_metrics!G118="","",mos_metrics!G118)</f>
        <v/>
      </c>
      <c r="L119" s="2">
        <f>AND($J119,ISNUMBER(K119),correlation!$I$26=1)</f>
        <v/>
      </c>
      <c r="M119" s="5">
        <f>IF(L119,$F119,"")</f>
        <v/>
      </c>
      <c r="N119" s="5">
        <f>IF(L119,K119*correlation!$J$26,"")</f>
        <v/>
      </c>
      <c r="O119" s="5">
        <f>IF(AND(L119,ISNUMBER(correlation!$F$26)),N119*correlation!$F$26+correlation!$G$26,"")</f>
        <v/>
      </c>
      <c r="P119" s="5">
        <f>IF(AND(L119,ISNUMBER(O119)),(M119-O119)^2,"")</f>
        <v/>
      </c>
      <c r="Q119" s="5">
        <f>IF(L119,1+SUMPRODUCT(--(calc!$L$3:$L$132=TRUE),--(calc!$M$3:$M$132&gt;M119))+(SUMPRODUCT(--(calc!$L$3:$L$132=TRUE),--(calc!$M$3:$M$132=M119))-1)/2,"")</f>
        <v/>
      </c>
      <c r="R119" s="5">
        <f>IF(L119,1+SUMPRODUCT(--(calc!$L$3:$L$132=TRUE),--(calc!$N$3:$N$132&gt;N119))+(SUMPRODUCT(--(calc!$L$3:$L$132=TRUE),--(calc!$N$3:$N$132=N119))-1)/2,"")</f>
        <v/>
      </c>
      <c r="S119" s="5">
        <f>IF(L119,SUMPRODUCT(--(calc!$L$3:$L$132=TRUE),--(ROW(calc!$L$3:$L$132)&gt;ROW(L119)),--(((calc!$Q$3:$Q$132&gt;Q119)*(calc!$R$3:$R$132&gt;R119)+(calc!$Q$3:$Q$132&lt;Q119)*(calc!$R$3:$R$132&lt;R119))&gt;0))-SUMPRODUCT(--(calc!$L$3:$L$132=TRUE),--(ROW(calc!$L$3:$L$132)&gt;ROW(L119)),--(((calc!$Q$3:$Q$132&gt;Q119)*(calc!$R$3:$R$132&lt;R119)+(calc!$Q$3:$Q$132&lt;Q119)*(calc!$R$3:$R$132&gt;R119))&gt;0)),0)</f>
        <v/>
      </c>
      <c r="T119" s="5">
        <f>IF(mos_metrics!H118="","",mos_metrics!H118)</f>
        <v/>
      </c>
      <c r="U119" s="2">
        <f>AND($J119,ISNUMBER(T119),correlation!$I$27=1)</f>
        <v/>
      </c>
      <c r="V119" s="5">
        <f>IF(U119,$F119,"")</f>
        <v/>
      </c>
      <c r="W119" s="5">
        <f>IF(U119,T119*correlation!$J$27,"")</f>
        <v/>
      </c>
      <c r="X119" s="5">
        <f>IF(AND(U119,ISNUMBER(correlation!$F$27)),W119*correlation!$F$27+correlation!$G$27,"")</f>
        <v/>
      </c>
      <c r="Y119" s="5">
        <f>IF(AND(U119,ISNUMBER(X119)),(V119-X119)^2,"")</f>
        <v/>
      </c>
      <c r="Z119" s="5">
        <f>IF(U119,1+SUMPRODUCT(--(calc!$U$3:$U$132=TRUE),--(calc!$V$3:$V$132&gt;V119))+(SUMPRODUCT(--(calc!$U$3:$U$132=TRUE),--(calc!$V$3:$V$132=V119))-1)/2,"")</f>
        <v/>
      </c>
      <c r="AA119" s="5">
        <f>IF(U119,1+SUMPRODUCT(--(calc!$U$3:$U$132=TRUE),--(calc!$W$3:$W$132&gt;W119))+(SUMPRODUCT(--(calc!$U$3:$U$132=TRUE),--(calc!$W$3:$W$132=W119))-1)/2,"")</f>
        <v/>
      </c>
      <c r="AB119" s="5">
        <f>IF(U119,SUMPRODUCT(--(calc!$U$3:$U$132=TRUE),--(ROW(calc!$U$3:$U$132)&gt;ROW(U119)),--(((calc!$Z$3:$Z$132&gt;Z119)*(calc!$AA$3:$AA$132&gt;AA119)+(calc!$Z$3:$Z$132&lt;Z119)*(calc!$AA$3:$AA$132&lt;AA119))&gt;0))-SUMPRODUCT(--(calc!$U$3:$U$132=TRUE),--(ROW(calc!$U$3:$U$132)&gt;ROW(U119)),--(((calc!$Z$3:$Z$132&gt;Z119)*(calc!$AA$3:$AA$132&lt;AA119)+(calc!$Z$3:$Z$132&lt;Z119)*(calc!$AA$3:$AA$132&gt;AA119))&gt;0)),0)</f>
        <v/>
      </c>
      <c r="AC119" s="5">
        <f>IF(mos_metrics!I118="","",mos_metrics!I118)</f>
        <v/>
      </c>
      <c r="AD119" s="2">
        <f>AND($J119,ISNUMBER(AC119),correlation!$I$28=1)</f>
        <v/>
      </c>
      <c r="AE119" s="5">
        <f>IF(AD119,$F119,"")</f>
        <v/>
      </c>
      <c r="AF119" s="5">
        <f>IF(AD119,AC119*correlation!$J$28,"")</f>
        <v/>
      </c>
      <c r="AG119" s="5">
        <f>IF(AND(AD119,ISNUMBER(correlation!$F$28)),AF119*correlation!$F$28+correlation!$G$28,"")</f>
        <v/>
      </c>
      <c r="AH119" s="5">
        <f>IF(AND(AD119,ISNUMBER(AG119)),(AE119-AG119)^2,"")</f>
        <v/>
      </c>
      <c r="AI119" s="5">
        <f>IF(AD119,1+SUMPRODUCT(--(calc!$AD$3:$AD$132=TRUE),--(calc!$AE$3:$AE$132&gt;AE119))+(SUMPRODUCT(--(calc!$AD$3:$AD$132=TRUE),--(calc!$AE$3:$AE$132=AE119))-1)/2,"")</f>
        <v/>
      </c>
      <c r="AJ119" s="5">
        <f>IF(AD119,1+SUMPRODUCT(--(calc!$AD$3:$AD$132=TRUE),--(calc!$AF$3:$AF$132&gt;AF119))+(SUMPRODUCT(--(calc!$AD$3:$AD$132=TRUE),--(calc!$AF$3:$AF$132=AF119))-1)/2,"")</f>
        <v/>
      </c>
      <c r="AK119" s="5">
        <f>IF(AD119,SUMPRODUCT(--(calc!$AD$3:$AD$132=TRUE),--(ROW(calc!$AD$3:$AD$132)&gt;ROW(AD119)),--(((calc!$AI$3:$AI$132&gt;AI119)*(calc!$AJ$3:$AJ$132&gt;AJ119)+(calc!$AI$3:$AI$132&lt;AI119)*(calc!$AJ$3:$AJ$132&lt;AJ119))&gt;0))-SUMPRODUCT(--(calc!$AD$3:$AD$132=TRUE),--(ROW(calc!$AD$3:$AD$132)&gt;ROW(AD119)),--(((calc!$AI$3:$AI$132&gt;AI119)*(calc!$AJ$3:$AJ$132&lt;AJ119)+(calc!$AI$3:$AI$132&lt;AI119)*(calc!$AJ$3:$AJ$132&gt;AJ119))&gt;0)),0)</f>
        <v/>
      </c>
      <c r="AL119" s="5">
        <f>IF(mos_metrics!J118="","",mos_metrics!J118)</f>
        <v/>
      </c>
      <c r="AM119" s="2">
        <f>AND($J119,ISNUMBER(AL119),correlation!$I$29=1)</f>
        <v/>
      </c>
      <c r="AN119" s="5">
        <f>IF(AM119,$F119,"")</f>
        <v/>
      </c>
      <c r="AO119" s="5">
        <f>IF(AM119,AL119*correlation!$J$29,"")</f>
        <v/>
      </c>
      <c r="AP119" s="5">
        <f>IF(AND(AM119,ISNUMBER(correlation!$F$29)),AO119*correlation!$F$29+correlation!$G$29,"")</f>
        <v/>
      </c>
      <c r="AQ119" s="5">
        <f>IF(AND(AM119,ISNUMBER(AP119)),(AN119-AP119)^2,"")</f>
        <v/>
      </c>
      <c r="AR119" s="5">
        <f>IF(AM119,1+SUMPRODUCT(--(calc!$AM$3:$AM$132=TRUE),--(calc!$AN$3:$AN$132&gt;AN119))+(SUMPRODUCT(--(calc!$AM$3:$AM$132=TRUE),--(calc!$AN$3:$AN$132=AN119))-1)/2,"")</f>
        <v/>
      </c>
      <c r="AS119" s="5">
        <f>IF(AM119,1+SUMPRODUCT(--(calc!$AM$3:$AM$132=TRUE),--(calc!$AO$3:$AO$132&gt;AO119))+(SUMPRODUCT(--(calc!$AM$3:$AM$132=TRUE),--(calc!$AO$3:$AO$132=AO119))-1)/2,"")</f>
        <v/>
      </c>
      <c r="AT119" s="5">
        <f>IF(AM119,SUMPRODUCT(--(calc!$AM$3:$AM$132=TRUE),--(ROW(calc!$AM$3:$AM$132)&gt;ROW(AM119)),--(((calc!$AR$3:$AR$132&gt;AR119)*(calc!$AS$3:$AS$132&gt;AS119)+(calc!$AR$3:$AR$132&lt;AR119)*(calc!$AS$3:$AS$132&lt;AS119))&gt;0))-SUMPRODUCT(--(calc!$AM$3:$AM$132=TRUE),--(ROW(calc!$AM$3:$AM$132)&gt;ROW(AM119)),--(((calc!$AR$3:$AR$132&gt;AR119)*(calc!$AS$3:$AS$132&lt;AS119)+(calc!$AR$3:$AR$132&lt;AR119)*(calc!$AS$3:$AS$132&gt;AS119))&gt;0)),0)</f>
        <v/>
      </c>
      <c r="AU119" s="5">
        <f>IF(mos_metrics!K118="","",mos_metrics!K118)</f>
        <v/>
      </c>
      <c r="AV119" s="2">
        <f>AND($J119,ISNUMBER(AU119),correlation!$I$30=1)</f>
        <v/>
      </c>
      <c r="AW119" s="5">
        <f>IF(AV119,$F119,"")</f>
        <v/>
      </c>
      <c r="AX119" s="5">
        <f>IF(AV119,AU119*correlation!$J$30,"")</f>
        <v/>
      </c>
      <c r="AY119" s="5">
        <f>IF(AND(AV119,ISNUMBER(correlation!$F$30)),AX119*correlation!$F$30+correlation!$G$30,"")</f>
        <v/>
      </c>
      <c r="AZ119" s="5">
        <f>IF(AND(AV119,ISNUMBER(AY119)),(AW119-AY119)^2,"")</f>
        <v/>
      </c>
      <c r="BA119" s="5">
        <f>IF(AV119,1+SUMPRODUCT(--(calc!$AV$3:$AV$132=TRUE),--(calc!$AW$3:$AW$132&gt;AW119))+(SUMPRODUCT(--(calc!$AV$3:$AV$132=TRUE),--(calc!$AW$3:$AW$132=AW119))-1)/2,"")</f>
        <v/>
      </c>
      <c r="BB119" s="5">
        <f>IF(AV119,1+SUMPRODUCT(--(calc!$AV$3:$AV$132=TRUE),--(calc!$AX$3:$AX$132&gt;AX119))+(SUMPRODUCT(--(calc!$AV$3:$AV$132=TRUE),--(calc!$AX$3:$AX$132=AX119))-1)/2,"")</f>
        <v/>
      </c>
      <c r="BC119" s="5">
        <f>IF(AV119,SUMPRODUCT(--(calc!$AV$3:$AV$132=TRUE),--(ROW(calc!$AV$3:$AV$132)&gt;ROW(AV119)),--(((calc!$BA$3:$BA$132&gt;BA119)*(calc!$BB$3:$BB$132&gt;BB119)+(calc!$BA$3:$BA$132&lt;BA119)*(calc!$BB$3:$BB$132&lt;BB119))&gt;0))-SUMPRODUCT(--(calc!$AV$3:$AV$132=TRUE),--(ROW(calc!$AV$3:$AV$132)&gt;ROW(AV119)),--(((calc!$BA$3:$BA$132&gt;BA119)*(calc!$BB$3:$BB$132&lt;BB119)+(calc!$BA$3:$BA$132&lt;BA119)*(calc!$BB$3:$BB$132&gt;BB119))&gt;0)),0)</f>
        <v/>
      </c>
      <c r="BD119" s="5">
        <f>IF(mos_metrics!L118="","",mos_metrics!L118)</f>
        <v/>
      </c>
      <c r="BE119" s="2">
        <f>AND($J119,ISNUMBER(BD119),correlation!$I$31=1)</f>
        <v/>
      </c>
      <c r="BF119" s="5">
        <f>IF(BE119,$F119,"")</f>
        <v/>
      </c>
      <c r="BG119" s="5">
        <f>IF(BE119,BD119*correlation!$J$31,"")</f>
        <v/>
      </c>
      <c r="BH119" s="5">
        <f>IF(AND(BE119,ISNUMBER(correlation!$F$31)),BG119*correlation!$F$31+correlation!$G$31,"")</f>
        <v/>
      </c>
      <c r="BI119" s="5">
        <f>IF(AND(BE119,ISNUMBER(BH119)),(BF119-BH119)^2,"")</f>
        <v/>
      </c>
      <c r="BJ119" s="5">
        <f>IF(BE119,1+SUMPRODUCT(--(calc!$BE$3:$BE$132=TRUE),--(calc!$BF$3:$BF$132&gt;BF119))+(SUMPRODUCT(--(calc!$BE$3:$BE$132=TRUE),--(calc!$BF$3:$BF$132=BF119))-1)/2,"")</f>
        <v/>
      </c>
      <c r="BK119" s="5">
        <f>IF(BE119,1+SUMPRODUCT(--(calc!$BE$3:$BE$132=TRUE),--(calc!$BG$3:$BG$132&gt;BG119))+(SUMPRODUCT(--(calc!$BE$3:$BE$132=TRUE),--(calc!$BG$3:$BG$132=BG119))-1)/2,"")</f>
        <v/>
      </c>
      <c r="BL119" s="5">
        <f>IF(BE119,SUMPRODUCT(--(calc!$BE$3:$BE$132=TRUE),--(ROW(calc!$BE$3:$BE$132)&gt;ROW(BE119)),--(((calc!$BJ$3:$BJ$132&gt;BJ119)*(calc!$BK$3:$BK$132&gt;BK119)+(calc!$BJ$3:$BJ$132&lt;BJ119)*(calc!$BK$3:$BK$132&lt;BK119))&gt;0))-SUMPRODUCT(--(calc!$BE$3:$BE$132=TRUE),--(ROW(calc!$BE$3:$BE$132)&gt;ROW(BE119)),--(((calc!$BJ$3:$BJ$132&gt;BJ119)*(calc!$BK$3:$BK$132&lt;BK119)+(calc!$BJ$3:$BJ$132&lt;BJ119)*(calc!$BK$3:$BK$132&gt;BK119))&gt;0)),0)</f>
        <v/>
      </c>
      <c r="BM119" s="5">
        <f>IF(mos_metrics!M118="","",mos_metrics!M118)</f>
        <v/>
      </c>
      <c r="BN119" s="2">
        <f>AND($J119,ISNUMBER(BM119),correlation!$I$32=1)</f>
        <v/>
      </c>
      <c r="BO119" s="5">
        <f>IF(BN119,$F119,"")</f>
        <v/>
      </c>
      <c r="BP119" s="5">
        <f>IF(BN119,BM119*correlation!$J$32,"")</f>
        <v/>
      </c>
      <c r="BQ119" s="5">
        <f>IF(AND(BN119,ISNUMBER(correlation!$F$32)),BP119*correlation!$F$32+correlation!$G$32,"")</f>
        <v/>
      </c>
      <c r="BR119" s="5">
        <f>IF(AND(BN119,ISNUMBER(BQ119)),(BO119-BQ119)^2,"")</f>
        <v/>
      </c>
      <c r="BS119" s="5">
        <f>IF(BN119,1+SUMPRODUCT(--(calc!$BN$3:$BN$132=TRUE),--(calc!$BO$3:$BO$132&gt;BO119))+(SUMPRODUCT(--(calc!$BN$3:$BN$132=TRUE),--(calc!$BO$3:$BO$132=BO119))-1)/2,"")</f>
        <v/>
      </c>
      <c r="BT119" s="5">
        <f>IF(BN119,1+SUMPRODUCT(--(calc!$BN$3:$BN$132=TRUE),--(calc!$BP$3:$BP$132&gt;BP119))+(SUMPRODUCT(--(calc!$BN$3:$BN$132=TRUE),--(calc!$BP$3:$BP$132=BP119))-1)/2,"")</f>
        <v/>
      </c>
      <c r="BU119" s="5">
        <f>IF(BN119,SUMPRODUCT(--(calc!$BN$3:$BN$132=TRUE),--(ROW(calc!$BN$3:$BN$132)&gt;ROW(BN119)),--(((calc!$BS$3:$BS$132&gt;BS119)*(calc!$BT$3:$BT$132&gt;BT119)+(calc!$BS$3:$BS$132&lt;BS119)*(calc!$BT$3:$BT$132&lt;BT119))&gt;0))-SUMPRODUCT(--(calc!$BN$3:$BN$132=TRUE),--(ROW(calc!$BN$3:$BN$132)&gt;ROW(BN119)),--(((calc!$BS$3:$BS$132&gt;BS119)*(calc!$BT$3:$BT$132&lt;BT119)+(calc!$BS$3:$BS$132&lt;BS119)*(calc!$BT$3:$BT$132&gt;BT119))&gt;0)),0)</f>
        <v/>
      </c>
    </row>
    <row r="120">
      <c r="A120" s="2">
        <f>mos_metrics!A119</f>
        <v/>
      </c>
      <c r="B120" s="2">
        <f>mos_metrics!B119</f>
        <v/>
      </c>
      <c r="C120" s="2">
        <f>mos_metrics!C119</f>
        <v/>
      </c>
      <c r="D120" s="2">
        <f>mos_metrics!D119</f>
        <v/>
      </c>
      <c r="E120" s="2">
        <f>mos_metrics!E119</f>
        <v/>
      </c>
      <c r="F120" s="2">
        <f>mos_metrics!F119</f>
        <v/>
      </c>
      <c r="G120" s="2">
        <f>IF($B120="","",IFERROR(VLOOKUP($B120,correlation!$A$2:$B$12,2,FALSE),1))</f>
        <v/>
      </c>
      <c r="H120" s="2">
        <f>IF($E120="","",IFERROR(VLOOKUP($E120,correlation!$D$2:$E$8,2,FALSE),1))</f>
        <v/>
      </c>
      <c r="I120" s="2">
        <f>ISNUMBER($F120)</f>
        <v/>
      </c>
      <c r="J120" s="2">
        <f>AND($G120=1,$H120=1,$I120)</f>
        <v/>
      </c>
      <c r="K120" s="5">
        <f>IF(mos_metrics!G119="","",mos_metrics!G119)</f>
        <v/>
      </c>
      <c r="L120" s="2">
        <f>AND($J120,ISNUMBER(K120),correlation!$I$26=1)</f>
        <v/>
      </c>
      <c r="M120" s="5">
        <f>IF(L120,$F120,"")</f>
        <v/>
      </c>
      <c r="N120" s="5">
        <f>IF(L120,K120*correlation!$J$26,"")</f>
        <v/>
      </c>
      <c r="O120" s="5">
        <f>IF(AND(L120,ISNUMBER(correlation!$F$26)),N120*correlation!$F$26+correlation!$G$26,"")</f>
        <v/>
      </c>
      <c r="P120" s="5">
        <f>IF(AND(L120,ISNUMBER(O120)),(M120-O120)^2,"")</f>
        <v/>
      </c>
      <c r="Q120" s="5">
        <f>IF(L120,1+SUMPRODUCT(--(calc!$L$3:$L$132=TRUE),--(calc!$M$3:$M$132&gt;M120))+(SUMPRODUCT(--(calc!$L$3:$L$132=TRUE),--(calc!$M$3:$M$132=M120))-1)/2,"")</f>
        <v/>
      </c>
      <c r="R120" s="5">
        <f>IF(L120,1+SUMPRODUCT(--(calc!$L$3:$L$132=TRUE),--(calc!$N$3:$N$132&gt;N120))+(SUMPRODUCT(--(calc!$L$3:$L$132=TRUE),--(calc!$N$3:$N$132=N120))-1)/2,"")</f>
        <v/>
      </c>
      <c r="S120" s="5">
        <f>IF(L120,SUMPRODUCT(--(calc!$L$3:$L$132=TRUE),--(ROW(calc!$L$3:$L$132)&gt;ROW(L120)),--(((calc!$Q$3:$Q$132&gt;Q120)*(calc!$R$3:$R$132&gt;R120)+(calc!$Q$3:$Q$132&lt;Q120)*(calc!$R$3:$R$132&lt;R120))&gt;0))-SUMPRODUCT(--(calc!$L$3:$L$132=TRUE),--(ROW(calc!$L$3:$L$132)&gt;ROW(L120)),--(((calc!$Q$3:$Q$132&gt;Q120)*(calc!$R$3:$R$132&lt;R120)+(calc!$Q$3:$Q$132&lt;Q120)*(calc!$R$3:$R$132&gt;R120))&gt;0)),0)</f>
        <v/>
      </c>
      <c r="T120" s="5">
        <f>IF(mos_metrics!H119="","",mos_metrics!H119)</f>
        <v/>
      </c>
      <c r="U120" s="2">
        <f>AND($J120,ISNUMBER(T120),correlation!$I$27=1)</f>
        <v/>
      </c>
      <c r="V120" s="5">
        <f>IF(U120,$F120,"")</f>
        <v/>
      </c>
      <c r="W120" s="5">
        <f>IF(U120,T120*correlation!$J$27,"")</f>
        <v/>
      </c>
      <c r="X120" s="5">
        <f>IF(AND(U120,ISNUMBER(correlation!$F$27)),W120*correlation!$F$27+correlation!$G$27,"")</f>
        <v/>
      </c>
      <c r="Y120" s="5">
        <f>IF(AND(U120,ISNUMBER(X120)),(V120-X120)^2,"")</f>
        <v/>
      </c>
      <c r="Z120" s="5">
        <f>IF(U120,1+SUMPRODUCT(--(calc!$U$3:$U$132=TRUE),--(calc!$V$3:$V$132&gt;V120))+(SUMPRODUCT(--(calc!$U$3:$U$132=TRUE),--(calc!$V$3:$V$132=V120))-1)/2,"")</f>
        <v/>
      </c>
      <c r="AA120" s="5">
        <f>IF(U120,1+SUMPRODUCT(--(calc!$U$3:$U$132=TRUE),--(calc!$W$3:$W$132&gt;W120))+(SUMPRODUCT(--(calc!$U$3:$U$132=TRUE),--(calc!$W$3:$W$132=W120))-1)/2,"")</f>
        <v/>
      </c>
      <c r="AB120" s="5">
        <f>IF(U120,SUMPRODUCT(--(calc!$U$3:$U$132=TRUE),--(ROW(calc!$U$3:$U$132)&gt;ROW(U120)),--(((calc!$Z$3:$Z$132&gt;Z120)*(calc!$AA$3:$AA$132&gt;AA120)+(calc!$Z$3:$Z$132&lt;Z120)*(calc!$AA$3:$AA$132&lt;AA120))&gt;0))-SUMPRODUCT(--(calc!$U$3:$U$132=TRUE),--(ROW(calc!$U$3:$U$132)&gt;ROW(U120)),--(((calc!$Z$3:$Z$132&gt;Z120)*(calc!$AA$3:$AA$132&lt;AA120)+(calc!$Z$3:$Z$132&lt;Z120)*(calc!$AA$3:$AA$132&gt;AA120))&gt;0)),0)</f>
        <v/>
      </c>
      <c r="AC120" s="5">
        <f>IF(mos_metrics!I119="","",mos_metrics!I119)</f>
        <v/>
      </c>
      <c r="AD120" s="2">
        <f>AND($J120,ISNUMBER(AC120),correlation!$I$28=1)</f>
        <v/>
      </c>
      <c r="AE120" s="5">
        <f>IF(AD120,$F120,"")</f>
        <v/>
      </c>
      <c r="AF120" s="5">
        <f>IF(AD120,AC120*correlation!$J$28,"")</f>
        <v/>
      </c>
      <c r="AG120" s="5">
        <f>IF(AND(AD120,ISNUMBER(correlation!$F$28)),AF120*correlation!$F$28+correlation!$G$28,"")</f>
        <v/>
      </c>
      <c r="AH120" s="5">
        <f>IF(AND(AD120,ISNUMBER(AG120)),(AE120-AG120)^2,"")</f>
        <v/>
      </c>
      <c r="AI120" s="5">
        <f>IF(AD120,1+SUMPRODUCT(--(calc!$AD$3:$AD$132=TRUE),--(calc!$AE$3:$AE$132&gt;AE120))+(SUMPRODUCT(--(calc!$AD$3:$AD$132=TRUE),--(calc!$AE$3:$AE$132=AE120))-1)/2,"")</f>
        <v/>
      </c>
      <c r="AJ120" s="5">
        <f>IF(AD120,1+SUMPRODUCT(--(calc!$AD$3:$AD$132=TRUE),--(calc!$AF$3:$AF$132&gt;AF120))+(SUMPRODUCT(--(calc!$AD$3:$AD$132=TRUE),--(calc!$AF$3:$AF$132=AF120))-1)/2,"")</f>
        <v/>
      </c>
      <c r="AK120" s="5">
        <f>IF(AD120,SUMPRODUCT(--(calc!$AD$3:$AD$132=TRUE),--(ROW(calc!$AD$3:$AD$132)&gt;ROW(AD120)),--(((calc!$AI$3:$AI$132&gt;AI120)*(calc!$AJ$3:$AJ$132&gt;AJ120)+(calc!$AI$3:$AI$132&lt;AI120)*(calc!$AJ$3:$AJ$132&lt;AJ120))&gt;0))-SUMPRODUCT(--(calc!$AD$3:$AD$132=TRUE),--(ROW(calc!$AD$3:$AD$132)&gt;ROW(AD120)),--(((calc!$AI$3:$AI$132&gt;AI120)*(calc!$AJ$3:$AJ$132&lt;AJ120)+(calc!$AI$3:$AI$132&lt;AI120)*(calc!$AJ$3:$AJ$132&gt;AJ120))&gt;0)),0)</f>
        <v/>
      </c>
      <c r="AL120" s="5">
        <f>IF(mos_metrics!J119="","",mos_metrics!J119)</f>
        <v/>
      </c>
      <c r="AM120" s="2">
        <f>AND($J120,ISNUMBER(AL120),correlation!$I$29=1)</f>
        <v/>
      </c>
      <c r="AN120" s="5">
        <f>IF(AM120,$F120,"")</f>
        <v/>
      </c>
      <c r="AO120" s="5">
        <f>IF(AM120,AL120*correlation!$J$29,"")</f>
        <v/>
      </c>
      <c r="AP120" s="5">
        <f>IF(AND(AM120,ISNUMBER(correlation!$F$29)),AO120*correlation!$F$29+correlation!$G$29,"")</f>
        <v/>
      </c>
      <c r="AQ120" s="5">
        <f>IF(AND(AM120,ISNUMBER(AP120)),(AN120-AP120)^2,"")</f>
        <v/>
      </c>
      <c r="AR120" s="5">
        <f>IF(AM120,1+SUMPRODUCT(--(calc!$AM$3:$AM$132=TRUE),--(calc!$AN$3:$AN$132&gt;AN120))+(SUMPRODUCT(--(calc!$AM$3:$AM$132=TRUE),--(calc!$AN$3:$AN$132=AN120))-1)/2,"")</f>
        <v/>
      </c>
      <c r="AS120" s="5">
        <f>IF(AM120,1+SUMPRODUCT(--(calc!$AM$3:$AM$132=TRUE),--(calc!$AO$3:$AO$132&gt;AO120))+(SUMPRODUCT(--(calc!$AM$3:$AM$132=TRUE),--(calc!$AO$3:$AO$132=AO120))-1)/2,"")</f>
        <v/>
      </c>
      <c r="AT120" s="5">
        <f>IF(AM120,SUMPRODUCT(--(calc!$AM$3:$AM$132=TRUE),--(ROW(calc!$AM$3:$AM$132)&gt;ROW(AM120)),--(((calc!$AR$3:$AR$132&gt;AR120)*(calc!$AS$3:$AS$132&gt;AS120)+(calc!$AR$3:$AR$132&lt;AR120)*(calc!$AS$3:$AS$132&lt;AS120))&gt;0))-SUMPRODUCT(--(calc!$AM$3:$AM$132=TRUE),--(ROW(calc!$AM$3:$AM$132)&gt;ROW(AM120)),--(((calc!$AR$3:$AR$132&gt;AR120)*(calc!$AS$3:$AS$132&lt;AS120)+(calc!$AR$3:$AR$132&lt;AR120)*(calc!$AS$3:$AS$132&gt;AS120))&gt;0)),0)</f>
        <v/>
      </c>
      <c r="AU120" s="5">
        <f>IF(mos_metrics!K119="","",mos_metrics!K119)</f>
        <v/>
      </c>
      <c r="AV120" s="2">
        <f>AND($J120,ISNUMBER(AU120),correlation!$I$30=1)</f>
        <v/>
      </c>
      <c r="AW120" s="5">
        <f>IF(AV120,$F120,"")</f>
        <v/>
      </c>
      <c r="AX120" s="5">
        <f>IF(AV120,AU120*correlation!$J$30,"")</f>
        <v/>
      </c>
      <c r="AY120" s="5">
        <f>IF(AND(AV120,ISNUMBER(correlation!$F$30)),AX120*correlation!$F$30+correlation!$G$30,"")</f>
        <v/>
      </c>
      <c r="AZ120" s="5">
        <f>IF(AND(AV120,ISNUMBER(AY120)),(AW120-AY120)^2,"")</f>
        <v/>
      </c>
      <c r="BA120" s="5">
        <f>IF(AV120,1+SUMPRODUCT(--(calc!$AV$3:$AV$132=TRUE),--(calc!$AW$3:$AW$132&gt;AW120))+(SUMPRODUCT(--(calc!$AV$3:$AV$132=TRUE),--(calc!$AW$3:$AW$132=AW120))-1)/2,"")</f>
        <v/>
      </c>
      <c r="BB120" s="5">
        <f>IF(AV120,1+SUMPRODUCT(--(calc!$AV$3:$AV$132=TRUE),--(calc!$AX$3:$AX$132&gt;AX120))+(SUMPRODUCT(--(calc!$AV$3:$AV$132=TRUE),--(calc!$AX$3:$AX$132=AX120))-1)/2,"")</f>
        <v/>
      </c>
      <c r="BC120" s="5">
        <f>IF(AV120,SUMPRODUCT(--(calc!$AV$3:$AV$132=TRUE),--(ROW(calc!$AV$3:$AV$132)&gt;ROW(AV120)),--(((calc!$BA$3:$BA$132&gt;BA120)*(calc!$BB$3:$BB$132&gt;BB120)+(calc!$BA$3:$BA$132&lt;BA120)*(calc!$BB$3:$BB$132&lt;BB120))&gt;0))-SUMPRODUCT(--(calc!$AV$3:$AV$132=TRUE),--(ROW(calc!$AV$3:$AV$132)&gt;ROW(AV120)),--(((calc!$BA$3:$BA$132&gt;BA120)*(calc!$BB$3:$BB$132&lt;BB120)+(calc!$BA$3:$BA$132&lt;BA120)*(calc!$BB$3:$BB$132&gt;BB120))&gt;0)),0)</f>
        <v/>
      </c>
      <c r="BD120" s="5">
        <f>IF(mos_metrics!L119="","",mos_metrics!L119)</f>
        <v/>
      </c>
      <c r="BE120" s="2">
        <f>AND($J120,ISNUMBER(BD120),correlation!$I$31=1)</f>
        <v/>
      </c>
      <c r="BF120" s="5">
        <f>IF(BE120,$F120,"")</f>
        <v/>
      </c>
      <c r="BG120" s="5">
        <f>IF(BE120,BD120*correlation!$J$31,"")</f>
        <v/>
      </c>
      <c r="BH120" s="5">
        <f>IF(AND(BE120,ISNUMBER(correlation!$F$31)),BG120*correlation!$F$31+correlation!$G$31,"")</f>
        <v/>
      </c>
      <c r="BI120" s="5">
        <f>IF(AND(BE120,ISNUMBER(BH120)),(BF120-BH120)^2,"")</f>
        <v/>
      </c>
      <c r="BJ120" s="5">
        <f>IF(BE120,1+SUMPRODUCT(--(calc!$BE$3:$BE$132=TRUE),--(calc!$BF$3:$BF$132&gt;BF120))+(SUMPRODUCT(--(calc!$BE$3:$BE$132=TRUE),--(calc!$BF$3:$BF$132=BF120))-1)/2,"")</f>
        <v/>
      </c>
      <c r="BK120" s="5">
        <f>IF(BE120,1+SUMPRODUCT(--(calc!$BE$3:$BE$132=TRUE),--(calc!$BG$3:$BG$132&gt;BG120))+(SUMPRODUCT(--(calc!$BE$3:$BE$132=TRUE),--(calc!$BG$3:$BG$132=BG120))-1)/2,"")</f>
        <v/>
      </c>
      <c r="BL120" s="5">
        <f>IF(BE120,SUMPRODUCT(--(calc!$BE$3:$BE$132=TRUE),--(ROW(calc!$BE$3:$BE$132)&gt;ROW(BE120)),--(((calc!$BJ$3:$BJ$132&gt;BJ120)*(calc!$BK$3:$BK$132&gt;BK120)+(calc!$BJ$3:$BJ$132&lt;BJ120)*(calc!$BK$3:$BK$132&lt;BK120))&gt;0))-SUMPRODUCT(--(calc!$BE$3:$BE$132=TRUE),--(ROW(calc!$BE$3:$BE$132)&gt;ROW(BE120)),--(((calc!$BJ$3:$BJ$132&gt;BJ120)*(calc!$BK$3:$BK$132&lt;BK120)+(calc!$BJ$3:$BJ$132&lt;BJ120)*(calc!$BK$3:$BK$132&gt;BK120))&gt;0)),0)</f>
        <v/>
      </c>
      <c r="BM120" s="5">
        <f>IF(mos_metrics!M119="","",mos_metrics!M119)</f>
        <v/>
      </c>
      <c r="BN120" s="2">
        <f>AND($J120,ISNUMBER(BM120),correlation!$I$32=1)</f>
        <v/>
      </c>
      <c r="BO120" s="5">
        <f>IF(BN120,$F120,"")</f>
        <v/>
      </c>
      <c r="BP120" s="5">
        <f>IF(BN120,BM120*correlation!$J$32,"")</f>
        <v/>
      </c>
      <c r="BQ120" s="5">
        <f>IF(AND(BN120,ISNUMBER(correlation!$F$32)),BP120*correlation!$F$32+correlation!$G$32,"")</f>
        <v/>
      </c>
      <c r="BR120" s="5">
        <f>IF(AND(BN120,ISNUMBER(BQ120)),(BO120-BQ120)^2,"")</f>
        <v/>
      </c>
      <c r="BS120" s="5">
        <f>IF(BN120,1+SUMPRODUCT(--(calc!$BN$3:$BN$132=TRUE),--(calc!$BO$3:$BO$132&gt;BO120))+(SUMPRODUCT(--(calc!$BN$3:$BN$132=TRUE),--(calc!$BO$3:$BO$132=BO120))-1)/2,"")</f>
        <v/>
      </c>
      <c r="BT120" s="5">
        <f>IF(BN120,1+SUMPRODUCT(--(calc!$BN$3:$BN$132=TRUE),--(calc!$BP$3:$BP$132&gt;BP120))+(SUMPRODUCT(--(calc!$BN$3:$BN$132=TRUE),--(calc!$BP$3:$BP$132=BP120))-1)/2,"")</f>
        <v/>
      </c>
      <c r="BU120" s="5">
        <f>IF(BN120,SUMPRODUCT(--(calc!$BN$3:$BN$132=TRUE),--(ROW(calc!$BN$3:$BN$132)&gt;ROW(BN120)),--(((calc!$BS$3:$BS$132&gt;BS120)*(calc!$BT$3:$BT$132&gt;BT120)+(calc!$BS$3:$BS$132&lt;BS120)*(calc!$BT$3:$BT$132&lt;BT120))&gt;0))-SUMPRODUCT(--(calc!$BN$3:$BN$132=TRUE),--(ROW(calc!$BN$3:$BN$132)&gt;ROW(BN120)),--(((calc!$BS$3:$BS$132&gt;BS120)*(calc!$BT$3:$BT$132&lt;BT120)+(calc!$BS$3:$BS$132&lt;BS120)*(calc!$BT$3:$BT$132&gt;BT120))&gt;0)),0)</f>
        <v/>
      </c>
    </row>
    <row r="121">
      <c r="A121" s="2">
        <f>mos_metrics!A120</f>
        <v/>
      </c>
      <c r="B121" s="2">
        <f>mos_metrics!B120</f>
        <v/>
      </c>
      <c r="C121" s="2">
        <f>mos_metrics!C120</f>
        <v/>
      </c>
      <c r="D121" s="2">
        <f>mos_metrics!D120</f>
        <v/>
      </c>
      <c r="E121" s="2">
        <f>mos_metrics!E120</f>
        <v/>
      </c>
      <c r="F121" s="2">
        <f>mos_metrics!F120</f>
        <v/>
      </c>
      <c r="G121" s="2">
        <f>IF($B121="","",IFERROR(VLOOKUP($B121,correlation!$A$2:$B$12,2,FALSE),1))</f>
        <v/>
      </c>
      <c r="H121" s="2">
        <f>IF($E121="","",IFERROR(VLOOKUP($E121,correlation!$D$2:$E$8,2,FALSE),1))</f>
        <v/>
      </c>
      <c r="I121" s="2">
        <f>ISNUMBER($F121)</f>
        <v/>
      </c>
      <c r="J121" s="2">
        <f>AND($G121=1,$H121=1,$I121)</f>
        <v/>
      </c>
      <c r="K121" s="5">
        <f>IF(mos_metrics!G120="","",mos_metrics!G120)</f>
        <v/>
      </c>
      <c r="L121" s="2">
        <f>AND($J121,ISNUMBER(K121),correlation!$I$26=1)</f>
        <v/>
      </c>
      <c r="M121" s="5">
        <f>IF(L121,$F121,"")</f>
        <v/>
      </c>
      <c r="N121" s="5">
        <f>IF(L121,K121*correlation!$J$26,"")</f>
        <v/>
      </c>
      <c r="O121" s="5">
        <f>IF(AND(L121,ISNUMBER(correlation!$F$26)),N121*correlation!$F$26+correlation!$G$26,"")</f>
        <v/>
      </c>
      <c r="P121" s="5">
        <f>IF(AND(L121,ISNUMBER(O121)),(M121-O121)^2,"")</f>
        <v/>
      </c>
      <c r="Q121" s="5">
        <f>IF(L121,1+SUMPRODUCT(--(calc!$L$3:$L$132=TRUE),--(calc!$M$3:$M$132&gt;M121))+(SUMPRODUCT(--(calc!$L$3:$L$132=TRUE),--(calc!$M$3:$M$132=M121))-1)/2,"")</f>
        <v/>
      </c>
      <c r="R121" s="5">
        <f>IF(L121,1+SUMPRODUCT(--(calc!$L$3:$L$132=TRUE),--(calc!$N$3:$N$132&gt;N121))+(SUMPRODUCT(--(calc!$L$3:$L$132=TRUE),--(calc!$N$3:$N$132=N121))-1)/2,"")</f>
        <v/>
      </c>
      <c r="S121" s="5">
        <f>IF(L121,SUMPRODUCT(--(calc!$L$3:$L$132=TRUE),--(ROW(calc!$L$3:$L$132)&gt;ROW(L121)),--(((calc!$Q$3:$Q$132&gt;Q121)*(calc!$R$3:$R$132&gt;R121)+(calc!$Q$3:$Q$132&lt;Q121)*(calc!$R$3:$R$132&lt;R121))&gt;0))-SUMPRODUCT(--(calc!$L$3:$L$132=TRUE),--(ROW(calc!$L$3:$L$132)&gt;ROW(L121)),--(((calc!$Q$3:$Q$132&gt;Q121)*(calc!$R$3:$R$132&lt;R121)+(calc!$Q$3:$Q$132&lt;Q121)*(calc!$R$3:$R$132&gt;R121))&gt;0)),0)</f>
        <v/>
      </c>
      <c r="T121" s="5">
        <f>IF(mos_metrics!H120="","",mos_metrics!H120)</f>
        <v/>
      </c>
      <c r="U121" s="2">
        <f>AND($J121,ISNUMBER(T121),correlation!$I$27=1)</f>
        <v/>
      </c>
      <c r="V121" s="5">
        <f>IF(U121,$F121,"")</f>
        <v/>
      </c>
      <c r="W121" s="5">
        <f>IF(U121,T121*correlation!$J$27,"")</f>
        <v/>
      </c>
      <c r="X121" s="5">
        <f>IF(AND(U121,ISNUMBER(correlation!$F$27)),W121*correlation!$F$27+correlation!$G$27,"")</f>
        <v/>
      </c>
      <c r="Y121" s="5">
        <f>IF(AND(U121,ISNUMBER(X121)),(V121-X121)^2,"")</f>
        <v/>
      </c>
      <c r="Z121" s="5">
        <f>IF(U121,1+SUMPRODUCT(--(calc!$U$3:$U$132=TRUE),--(calc!$V$3:$V$132&gt;V121))+(SUMPRODUCT(--(calc!$U$3:$U$132=TRUE),--(calc!$V$3:$V$132=V121))-1)/2,"")</f>
        <v/>
      </c>
      <c r="AA121" s="5">
        <f>IF(U121,1+SUMPRODUCT(--(calc!$U$3:$U$132=TRUE),--(calc!$W$3:$W$132&gt;W121))+(SUMPRODUCT(--(calc!$U$3:$U$132=TRUE),--(calc!$W$3:$W$132=W121))-1)/2,"")</f>
        <v/>
      </c>
      <c r="AB121" s="5">
        <f>IF(U121,SUMPRODUCT(--(calc!$U$3:$U$132=TRUE),--(ROW(calc!$U$3:$U$132)&gt;ROW(U121)),--(((calc!$Z$3:$Z$132&gt;Z121)*(calc!$AA$3:$AA$132&gt;AA121)+(calc!$Z$3:$Z$132&lt;Z121)*(calc!$AA$3:$AA$132&lt;AA121))&gt;0))-SUMPRODUCT(--(calc!$U$3:$U$132=TRUE),--(ROW(calc!$U$3:$U$132)&gt;ROW(U121)),--(((calc!$Z$3:$Z$132&gt;Z121)*(calc!$AA$3:$AA$132&lt;AA121)+(calc!$Z$3:$Z$132&lt;Z121)*(calc!$AA$3:$AA$132&gt;AA121))&gt;0)),0)</f>
        <v/>
      </c>
      <c r="AC121" s="5">
        <f>IF(mos_metrics!I120="","",mos_metrics!I120)</f>
        <v/>
      </c>
      <c r="AD121" s="2">
        <f>AND($J121,ISNUMBER(AC121),correlation!$I$28=1)</f>
        <v/>
      </c>
      <c r="AE121" s="5">
        <f>IF(AD121,$F121,"")</f>
        <v/>
      </c>
      <c r="AF121" s="5">
        <f>IF(AD121,AC121*correlation!$J$28,"")</f>
        <v/>
      </c>
      <c r="AG121" s="5">
        <f>IF(AND(AD121,ISNUMBER(correlation!$F$28)),AF121*correlation!$F$28+correlation!$G$28,"")</f>
        <v/>
      </c>
      <c r="AH121" s="5">
        <f>IF(AND(AD121,ISNUMBER(AG121)),(AE121-AG121)^2,"")</f>
        <v/>
      </c>
      <c r="AI121" s="5">
        <f>IF(AD121,1+SUMPRODUCT(--(calc!$AD$3:$AD$132=TRUE),--(calc!$AE$3:$AE$132&gt;AE121))+(SUMPRODUCT(--(calc!$AD$3:$AD$132=TRUE),--(calc!$AE$3:$AE$132=AE121))-1)/2,"")</f>
        <v/>
      </c>
      <c r="AJ121" s="5">
        <f>IF(AD121,1+SUMPRODUCT(--(calc!$AD$3:$AD$132=TRUE),--(calc!$AF$3:$AF$132&gt;AF121))+(SUMPRODUCT(--(calc!$AD$3:$AD$132=TRUE),--(calc!$AF$3:$AF$132=AF121))-1)/2,"")</f>
        <v/>
      </c>
      <c r="AK121" s="5">
        <f>IF(AD121,SUMPRODUCT(--(calc!$AD$3:$AD$132=TRUE),--(ROW(calc!$AD$3:$AD$132)&gt;ROW(AD121)),--(((calc!$AI$3:$AI$132&gt;AI121)*(calc!$AJ$3:$AJ$132&gt;AJ121)+(calc!$AI$3:$AI$132&lt;AI121)*(calc!$AJ$3:$AJ$132&lt;AJ121))&gt;0))-SUMPRODUCT(--(calc!$AD$3:$AD$132=TRUE),--(ROW(calc!$AD$3:$AD$132)&gt;ROW(AD121)),--(((calc!$AI$3:$AI$132&gt;AI121)*(calc!$AJ$3:$AJ$132&lt;AJ121)+(calc!$AI$3:$AI$132&lt;AI121)*(calc!$AJ$3:$AJ$132&gt;AJ121))&gt;0)),0)</f>
        <v/>
      </c>
      <c r="AL121" s="5">
        <f>IF(mos_metrics!J120="","",mos_metrics!J120)</f>
        <v/>
      </c>
      <c r="AM121" s="2">
        <f>AND($J121,ISNUMBER(AL121),correlation!$I$29=1)</f>
        <v/>
      </c>
      <c r="AN121" s="5">
        <f>IF(AM121,$F121,"")</f>
        <v/>
      </c>
      <c r="AO121" s="5">
        <f>IF(AM121,AL121*correlation!$J$29,"")</f>
        <v/>
      </c>
      <c r="AP121" s="5">
        <f>IF(AND(AM121,ISNUMBER(correlation!$F$29)),AO121*correlation!$F$29+correlation!$G$29,"")</f>
        <v/>
      </c>
      <c r="AQ121" s="5">
        <f>IF(AND(AM121,ISNUMBER(AP121)),(AN121-AP121)^2,"")</f>
        <v/>
      </c>
      <c r="AR121" s="5">
        <f>IF(AM121,1+SUMPRODUCT(--(calc!$AM$3:$AM$132=TRUE),--(calc!$AN$3:$AN$132&gt;AN121))+(SUMPRODUCT(--(calc!$AM$3:$AM$132=TRUE),--(calc!$AN$3:$AN$132=AN121))-1)/2,"")</f>
        <v/>
      </c>
      <c r="AS121" s="5">
        <f>IF(AM121,1+SUMPRODUCT(--(calc!$AM$3:$AM$132=TRUE),--(calc!$AO$3:$AO$132&gt;AO121))+(SUMPRODUCT(--(calc!$AM$3:$AM$132=TRUE),--(calc!$AO$3:$AO$132=AO121))-1)/2,"")</f>
        <v/>
      </c>
      <c r="AT121" s="5">
        <f>IF(AM121,SUMPRODUCT(--(calc!$AM$3:$AM$132=TRUE),--(ROW(calc!$AM$3:$AM$132)&gt;ROW(AM121)),--(((calc!$AR$3:$AR$132&gt;AR121)*(calc!$AS$3:$AS$132&gt;AS121)+(calc!$AR$3:$AR$132&lt;AR121)*(calc!$AS$3:$AS$132&lt;AS121))&gt;0))-SUMPRODUCT(--(calc!$AM$3:$AM$132=TRUE),--(ROW(calc!$AM$3:$AM$132)&gt;ROW(AM121)),--(((calc!$AR$3:$AR$132&gt;AR121)*(calc!$AS$3:$AS$132&lt;AS121)+(calc!$AR$3:$AR$132&lt;AR121)*(calc!$AS$3:$AS$132&gt;AS121))&gt;0)),0)</f>
        <v/>
      </c>
      <c r="AU121" s="5">
        <f>IF(mos_metrics!K120="","",mos_metrics!K120)</f>
        <v/>
      </c>
      <c r="AV121" s="2">
        <f>AND($J121,ISNUMBER(AU121),correlation!$I$30=1)</f>
        <v/>
      </c>
      <c r="AW121" s="5">
        <f>IF(AV121,$F121,"")</f>
        <v/>
      </c>
      <c r="AX121" s="5">
        <f>IF(AV121,AU121*correlation!$J$30,"")</f>
        <v/>
      </c>
      <c r="AY121" s="5">
        <f>IF(AND(AV121,ISNUMBER(correlation!$F$30)),AX121*correlation!$F$30+correlation!$G$30,"")</f>
        <v/>
      </c>
      <c r="AZ121" s="5">
        <f>IF(AND(AV121,ISNUMBER(AY121)),(AW121-AY121)^2,"")</f>
        <v/>
      </c>
      <c r="BA121" s="5">
        <f>IF(AV121,1+SUMPRODUCT(--(calc!$AV$3:$AV$132=TRUE),--(calc!$AW$3:$AW$132&gt;AW121))+(SUMPRODUCT(--(calc!$AV$3:$AV$132=TRUE),--(calc!$AW$3:$AW$132=AW121))-1)/2,"")</f>
        <v/>
      </c>
      <c r="BB121" s="5">
        <f>IF(AV121,1+SUMPRODUCT(--(calc!$AV$3:$AV$132=TRUE),--(calc!$AX$3:$AX$132&gt;AX121))+(SUMPRODUCT(--(calc!$AV$3:$AV$132=TRUE),--(calc!$AX$3:$AX$132=AX121))-1)/2,"")</f>
        <v/>
      </c>
      <c r="BC121" s="5">
        <f>IF(AV121,SUMPRODUCT(--(calc!$AV$3:$AV$132=TRUE),--(ROW(calc!$AV$3:$AV$132)&gt;ROW(AV121)),--(((calc!$BA$3:$BA$132&gt;BA121)*(calc!$BB$3:$BB$132&gt;BB121)+(calc!$BA$3:$BA$132&lt;BA121)*(calc!$BB$3:$BB$132&lt;BB121))&gt;0))-SUMPRODUCT(--(calc!$AV$3:$AV$132=TRUE),--(ROW(calc!$AV$3:$AV$132)&gt;ROW(AV121)),--(((calc!$BA$3:$BA$132&gt;BA121)*(calc!$BB$3:$BB$132&lt;BB121)+(calc!$BA$3:$BA$132&lt;BA121)*(calc!$BB$3:$BB$132&gt;BB121))&gt;0)),0)</f>
        <v/>
      </c>
      <c r="BD121" s="5">
        <f>IF(mos_metrics!L120="","",mos_metrics!L120)</f>
        <v/>
      </c>
      <c r="BE121" s="2">
        <f>AND($J121,ISNUMBER(BD121),correlation!$I$31=1)</f>
        <v/>
      </c>
      <c r="BF121" s="5">
        <f>IF(BE121,$F121,"")</f>
        <v/>
      </c>
      <c r="BG121" s="5">
        <f>IF(BE121,BD121*correlation!$J$31,"")</f>
        <v/>
      </c>
      <c r="BH121" s="5">
        <f>IF(AND(BE121,ISNUMBER(correlation!$F$31)),BG121*correlation!$F$31+correlation!$G$31,"")</f>
        <v/>
      </c>
      <c r="BI121" s="5">
        <f>IF(AND(BE121,ISNUMBER(BH121)),(BF121-BH121)^2,"")</f>
        <v/>
      </c>
      <c r="BJ121" s="5">
        <f>IF(BE121,1+SUMPRODUCT(--(calc!$BE$3:$BE$132=TRUE),--(calc!$BF$3:$BF$132&gt;BF121))+(SUMPRODUCT(--(calc!$BE$3:$BE$132=TRUE),--(calc!$BF$3:$BF$132=BF121))-1)/2,"")</f>
        <v/>
      </c>
      <c r="BK121" s="5">
        <f>IF(BE121,1+SUMPRODUCT(--(calc!$BE$3:$BE$132=TRUE),--(calc!$BG$3:$BG$132&gt;BG121))+(SUMPRODUCT(--(calc!$BE$3:$BE$132=TRUE),--(calc!$BG$3:$BG$132=BG121))-1)/2,"")</f>
        <v/>
      </c>
      <c r="BL121" s="5">
        <f>IF(BE121,SUMPRODUCT(--(calc!$BE$3:$BE$132=TRUE),--(ROW(calc!$BE$3:$BE$132)&gt;ROW(BE121)),--(((calc!$BJ$3:$BJ$132&gt;BJ121)*(calc!$BK$3:$BK$132&gt;BK121)+(calc!$BJ$3:$BJ$132&lt;BJ121)*(calc!$BK$3:$BK$132&lt;BK121))&gt;0))-SUMPRODUCT(--(calc!$BE$3:$BE$132=TRUE),--(ROW(calc!$BE$3:$BE$132)&gt;ROW(BE121)),--(((calc!$BJ$3:$BJ$132&gt;BJ121)*(calc!$BK$3:$BK$132&lt;BK121)+(calc!$BJ$3:$BJ$132&lt;BJ121)*(calc!$BK$3:$BK$132&gt;BK121))&gt;0)),0)</f>
        <v/>
      </c>
      <c r="BM121" s="5">
        <f>IF(mos_metrics!M120="","",mos_metrics!M120)</f>
        <v/>
      </c>
      <c r="BN121" s="2">
        <f>AND($J121,ISNUMBER(BM121),correlation!$I$32=1)</f>
        <v/>
      </c>
      <c r="BO121" s="5">
        <f>IF(BN121,$F121,"")</f>
        <v/>
      </c>
      <c r="BP121" s="5">
        <f>IF(BN121,BM121*correlation!$J$32,"")</f>
        <v/>
      </c>
      <c r="BQ121" s="5">
        <f>IF(AND(BN121,ISNUMBER(correlation!$F$32)),BP121*correlation!$F$32+correlation!$G$32,"")</f>
        <v/>
      </c>
      <c r="BR121" s="5">
        <f>IF(AND(BN121,ISNUMBER(BQ121)),(BO121-BQ121)^2,"")</f>
        <v/>
      </c>
      <c r="BS121" s="5">
        <f>IF(BN121,1+SUMPRODUCT(--(calc!$BN$3:$BN$132=TRUE),--(calc!$BO$3:$BO$132&gt;BO121))+(SUMPRODUCT(--(calc!$BN$3:$BN$132=TRUE),--(calc!$BO$3:$BO$132=BO121))-1)/2,"")</f>
        <v/>
      </c>
      <c r="BT121" s="5">
        <f>IF(BN121,1+SUMPRODUCT(--(calc!$BN$3:$BN$132=TRUE),--(calc!$BP$3:$BP$132&gt;BP121))+(SUMPRODUCT(--(calc!$BN$3:$BN$132=TRUE),--(calc!$BP$3:$BP$132=BP121))-1)/2,"")</f>
        <v/>
      </c>
      <c r="BU121" s="5">
        <f>IF(BN121,SUMPRODUCT(--(calc!$BN$3:$BN$132=TRUE),--(ROW(calc!$BN$3:$BN$132)&gt;ROW(BN121)),--(((calc!$BS$3:$BS$132&gt;BS121)*(calc!$BT$3:$BT$132&gt;BT121)+(calc!$BS$3:$BS$132&lt;BS121)*(calc!$BT$3:$BT$132&lt;BT121))&gt;0))-SUMPRODUCT(--(calc!$BN$3:$BN$132=TRUE),--(ROW(calc!$BN$3:$BN$132)&gt;ROW(BN121)),--(((calc!$BS$3:$BS$132&gt;BS121)*(calc!$BT$3:$BT$132&lt;BT121)+(calc!$BS$3:$BS$132&lt;BS121)*(calc!$BT$3:$BT$132&gt;BT121))&gt;0)),0)</f>
        <v/>
      </c>
    </row>
    <row r="122">
      <c r="A122" s="2">
        <f>mos_metrics!A121</f>
        <v/>
      </c>
      <c r="B122" s="2">
        <f>mos_metrics!B121</f>
        <v/>
      </c>
      <c r="C122" s="2">
        <f>mos_metrics!C121</f>
        <v/>
      </c>
      <c r="D122" s="2">
        <f>mos_metrics!D121</f>
        <v/>
      </c>
      <c r="E122" s="2">
        <f>mos_metrics!E121</f>
        <v/>
      </c>
      <c r="F122" s="2">
        <f>mos_metrics!F121</f>
        <v/>
      </c>
      <c r="G122" s="2">
        <f>IF($B122="","",IFERROR(VLOOKUP($B122,correlation!$A$2:$B$12,2,FALSE),1))</f>
        <v/>
      </c>
      <c r="H122" s="2">
        <f>IF($E122="","",IFERROR(VLOOKUP($E122,correlation!$D$2:$E$8,2,FALSE),1))</f>
        <v/>
      </c>
      <c r="I122" s="2">
        <f>ISNUMBER($F122)</f>
        <v/>
      </c>
      <c r="J122" s="2">
        <f>AND($G122=1,$H122=1,$I122)</f>
        <v/>
      </c>
      <c r="K122" s="5">
        <f>IF(mos_metrics!G121="","",mos_metrics!G121)</f>
        <v/>
      </c>
      <c r="L122" s="2">
        <f>AND($J122,ISNUMBER(K122),correlation!$I$26=1)</f>
        <v/>
      </c>
      <c r="M122" s="5">
        <f>IF(L122,$F122,"")</f>
        <v/>
      </c>
      <c r="N122" s="5">
        <f>IF(L122,K122*correlation!$J$26,"")</f>
        <v/>
      </c>
      <c r="O122" s="5">
        <f>IF(AND(L122,ISNUMBER(correlation!$F$26)),N122*correlation!$F$26+correlation!$G$26,"")</f>
        <v/>
      </c>
      <c r="P122" s="5">
        <f>IF(AND(L122,ISNUMBER(O122)),(M122-O122)^2,"")</f>
        <v/>
      </c>
      <c r="Q122" s="5">
        <f>IF(L122,1+SUMPRODUCT(--(calc!$L$3:$L$132=TRUE),--(calc!$M$3:$M$132&gt;M122))+(SUMPRODUCT(--(calc!$L$3:$L$132=TRUE),--(calc!$M$3:$M$132=M122))-1)/2,"")</f>
        <v/>
      </c>
      <c r="R122" s="5">
        <f>IF(L122,1+SUMPRODUCT(--(calc!$L$3:$L$132=TRUE),--(calc!$N$3:$N$132&gt;N122))+(SUMPRODUCT(--(calc!$L$3:$L$132=TRUE),--(calc!$N$3:$N$132=N122))-1)/2,"")</f>
        <v/>
      </c>
      <c r="S122" s="5">
        <f>IF(L122,SUMPRODUCT(--(calc!$L$3:$L$132=TRUE),--(ROW(calc!$L$3:$L$132)&gt;ROW(L122)),--(((calc!$Q$3:$Q$132&gt;Q122)*(calc!$R$3:$R$132&gt;R122)+(calc!$Q$3:$Q$132&lt;Q122)*(calc!$R$3:$R$132&lt;R122))&gt;0))-SUMPRODUCT(--(calc!$L$3:$L$132=TRUE),--(ROW(calc!$L$3:$L$132)&gt;ROW(L122)),--(((calc!$Q$3:$Q$132&gt;Q122)*(calc!$R$3:$R$132&lt;R122)+(calc!$Q$3:$Q$132&lt;Q122)*(calc!$R$3:$R$132&gt;R122))&gt;0)),0)</f>
        <v/>
      </c>
      <c r="T122" s="5">
        <f>IF(mos_metrics!H121="","",mos_metrics!H121)</f>
        <v/>
      </c>
      <c r="U122" s="2">
        <f>AND($J122,ISNUMBER(T122),correlation!$I$27=1)</f>
        <v/>
      </c>
      <c r="V122" s="5">
        <f>IF(U122,$F122,"")</f>
        <v/>
      </c>
      <c r="W122" s="5">
        <f>IF(U122,T122*correlation!$J$27,"")</f>
        <v/>
      </c>
      <c r="X122" s="5">
        <f>IF(AND(U122,ISNUMBER(correlation!$F$27)),W122*correlation!$F$27+correlation!$G$27,"")</f>
        <v/>
      </c>
      <c r="Y122" s="5">
        <f>IF(AND(U122,ISNUMBER(X122)),(V122-X122)^2,"")</f>
        <v/>
      </c>
      <c r="Z122" s="5">
        <f>IF(U122,1+SUMPRODUCT(--(calc!$U$3:$U$132=TRUE),--(calc!$V$3:$V$132&gt;V122))+(SUMPRODUCT(--(calc!$U$3:$U$132=TRUE),--(calc!$V$3:$V$132=V122))-1)/2,"")</f>
        <v/>
      </c>
      <c r="AA122" s="5">
        <f>IF(U122,1+SUMPRODUCT(--(calc!$U$3:$U$132=TRUE),--(calc!$W$3:$W$132&gt;W122))+(SUMPRODUCT(--(calc!$U$3:$U$132=TRUE),--(calc!$W$3:$W$132=W122))-1)/2,"")</f>
        <v/>
      </c>
      <c r="AB122" s="5">
        <f>IF(U122,SUMPRODUCT(--(calc!$U$3:$U$132=TRUE),--(ROW(calc!$U$3:$U$132)&gt;ROW(U122)),--(((calc!$Z$3:$Z$132&gt;Z122)*(calc!$AA$3:$AA$132&gt;AA122)+(calc!$Z$3:$Z$132&lt;Z122)*(calc!$AA$3:$AA$132&lt;AA122))&gt;0))-SUMPRODUCT(--(calc!$U$3:$U$132=TRUE),--(ROW(calc!$U$3:$U$132)&gt;ROW(U122)),--(((calc!$Z$3:$Z$132&gt;Z122)*(calc!$AA$3:$AA$132&lt;AA122)+(calc!$Z$3:$Z$132&lt;Z122)*(calc!$AA$3:$AA$132&gt;AA122))&gt;0)),0)</f>
        <v/>
      </c>
      <c r="AC122" s="5">
        <f>IF(mos_metrics!I121="","",mos_metrics!I121)</f>
        <v/>
      </c>
      <c r="AD122" s="2">
        <f>AND($J122,ISNUMBER(AC122),correlation!$I$28=1)</f>
        <v/>
      </c>
      <c r="AE122" s="5">
        <f>IF(AD122,$F122,"")</f>
        <v/>
      </c>
      <c r="AF122" s="5">
        <f>IF(AD122,AC122*correlation!$J$28,"")</f>
        <v/>
      </c>
      <c r="AG122" s="5">
        <f>IF(AND(AD122,ISNUMBER(correlation!$F$28)),AF122*correlation!$F$28+correlation!$G$28,"")</f>
        <v/>
      </c>
      <c r="AH122" s="5">
        <f>IF(AND(AD122,ISNUMBER(AG122)),(AE122-AG122)^2,"")</f>
        <v/>
      </c>
      <c r="AI122" s="5">
        <f>IF(AD122,1+SUMPRODUCT(--(calc!$AD$3:$AD$132=TRUE),--(calc!$AE$3:$AE$132&gt;AE122))+(SUMPRODUCT(--(calc!$AD$3:$AD$132=TRUE),--(calc!$AE$3:$AE$132=AE122))-1)/2,"")</f>
        <v/>
      </c>
      <c r="AJ122" s="5">
        <f>IF(AD122,1+SUMPRODUCT(--(calc!$AD$3:$AD$132=TRUE),--(calc!$AF$3:$AF$132&gt;AF122))+(SUMPRODUCT(--(calc!$AD$3:$AD$132=TRUE),--(calc!$AF$3:$AF$132=AF122))-1)/2,"")</f>
        <v/>
      </c>
      <c r="AK122" s="5">
        <f>IF(AD122,SUMPRODUCT(--(calc!$AD$3:$AD$132=TRUE),--(ROW(calc!$AD$3:$AD$132)&gt;ROW(AD122)),--(((calc!$AI$3:$AI$132&gt;AI122)*(calc!$AJ$3:$AJ$132&gt;AJ122)+(calc!$AI$3:$AI$132&lt;AI122)*(calc!$AJ$3:$AJ$132&lt;AJ122))&gt;0))-SUMPRODUCT(--(calc!$AD$3:$AD$132=TRUE),--(ROW(calc!$AD$3:$AD$132)&gt;ROW(AD122)),--(((calc!$AI$3:$AI$132&gt;AI122)*(calc!$AJ$3:$AJ$132&lt;AJ122)+(calc!$AI$3:$AI$132&lt;AI122)*(calc!$AJ$3:$AJ$132&gt;AJ122))&gt;0)),0)</f>
        <v/>
      </c>
      <c r="AL122" s="5">
        <f>IF(mos_metrics!J121="","",mos_metrics!J121)</f>
        <v/>
      </c>
      <c r="AM122" s="2">
        <f>AND($J122,ISNUMBER(AL122),correlation!$I$29=1)</f>
        <v/>
      </c>
      <c r="AN122" s="5">
        <f>IF(AM122,$F122,"")</f>
        <v/>
      </c>
      <c r="AO122" s="5">
        <f>IF(AM122,AL122*correlation!$J$29,"")</f>
        <v/>
      </c>
      <c r="AP122" s="5">
        <f>IF(AND(AM122,ISNUMBER(correlation!$F$29)),AO122*correlation!$F$29+correlation!$G$29,"")</f>
        <v/>
      </c>
      <c r="AQ122" s="5">
        <f>IF(AND(AM122,ISNUMBER(AP122)),(AN122-AP122)^2,"")</f>
        <v/>
      </c>
      <c r="AR122" s="5">
        <f>IF(AM122,1+SUMPRODUCT(--(calc!$AM$3:$AM$132=TRUE),--(calc!$AN$3:$AN$132&gt;AN122))+(SUMPRODUCT(--(calc!$AM$3:$AM$132=TRUE),--(calc!$AN$3:$AN$132=AN122))-1)/2,"")</f>
        <v/>
      </c>
      <c r="AS122" s="5">
        <f>IF(AM122,1+SUMPRODUCT(--(calc!$AM$3:$AM$132=TRUE),--(calc!$AO$3:$AO$132&gt;AO122))+(SUMPRODUCT(--(calc!$AM$3:$AM$132=TRUE),--(calc!$AO$3:$AO$132=AO122))-1)/2,"")</f>
        <v/>
      </c>
      <c r="AT122" s="5">
        <f>IF(AM122,SUMPRODUCT(--(calc!$AM$3:$AM$132=TRUE),--(ROW(calc!$AM$3:$AM$132)&gt;ROW(AM122)),--(((calc!$AR$3:$AR$132&gt;AR122)*(calc!$AS$3:$AS$132&gt;AS122)+(calc!$AR$3:$AR$132&lt;AR122)*(calc!$AS$3:$AS$132&lt;AS122))&gt;0))-SUMPRODUCT(--(calc!$AM$3:$AM$132=TRUE),--(ROW(calc!$AM$3:$AM$132)&gt;ROW(AM122)),--(((calc!$AR$3:$AR$132&gt;AR122)*(calc!$AS$3:$AS$132&lt;AS122)+(calc!$AR$3:$AR$132&lt;AR122)*(calc!$AS$3:$AS$132&gt;AS122))&gt;0)),0)</f>
        <v/>
      </c>
      <c r="AU122" s="5">
        <f>IF(mos_metrics!K121="","",mos_metrics!K121)</f>
        <v/>
      </c>
      <c r="AV122" s="2">
        <f>AND($J122,ISNUMBER(AU122),correlation!$I$30=1)</f>
        <v/>
      </c>
      <c r="AW122" s="5">
        <f>IF(AV122,$F122,"")</f>
        <v/>
      </c>
      <c r="AX122" s="5">
        <f>IF(AV122,AU122*correlation!$J$30,"")</f>
        <v/>
      </c>
      <c r="AY122" s="5">
        <f>IF(AND(AV122,ISNUMBER(correlation!$F$30)),AX122*correlation!$F$30+correlation!$G$30,"")</f>
        <v/>
      </c>
      <c r="AZ122" s="5">
        <f>IF(AND(AV122,ISNUMBER(AY122)),(AW122-AY122)^2,"")</f>
        <v/>
      </c>
      <c r="BA122" s="5">
        <f>IF(AV122,1+SUMPRODUCT(--(calc!$AV$3:$AV$132=TRUE),--(calc!$AW$3:$AW$132&gt;AW122))+(SUMPRODUCT(--(calc!$AV$3:$AV$132=TRUE),--(calc!$AW$3:$AW$132=AW122))-1)/2,"")</f>
        <v/>
      </c>
      <c r="BB122" s="5">
        <f>IF(AV122,1+SUMPRODUCT(--(calc!$AV$3:$AV$132=TRUE),--(calc!$AX$3:$AX$132&gt;AX122))+(SUMPRODUCT(--(calc!$AV$3:$AV$132=TRUE),--(calc!$AX$3:$AX$132=AX122))-1)/2,"")</f>
        <v/>
      </c>
      <c r="BC122" s="5">
        <f>IF(AV122,SUMPRODUCT(--(calc!$AV$3:$AV$132=TRUE),--(ROW(calc!$AV$3:$AV$132)&gt;ROW(AV122)),--(((calc!$BA$3:$BA$132&gt;BA122)*(calc!$BB$3:$BB$132&gt;BB122)+(calc!$BA$3:$BA$132&lt;BA122)*(calc!$BB$3:$BB$132&lt;BB122))&gt;0))-SUMPRODUCT(--(calc!$AV$3:$AV$132=TRUE),--(ROW(calc!$AV$3:$AV$132)&gt;ROW(AV122)),--(((calc!$BA$3:$BA$132&gt;BA122)*(calc!$BB$3:$BB$132&lt;BB122)+(calc!$BA$3:$BA$132&lt;BA122)*(calc!$BB$3:$BB$132&gt;BB122))&gt;0)),0)</f>
        <v/>
      </c>
      <c r="BD122" s="5">
        <f>IF(mos_metrics!L121="","",mos_metrics!L121)</f>
        <v/>
      </c>
      <c r="BE122" s="2">
        <f>AND($J122,ISNUMBER(BD122),correlation!$I$31=1)</f>
        <v/>
      </c>
      <c r="BF122" s="5">
        <f>IF(BE122,$F122,"")</f>
        <v/>
      </c>
      <c r="BG122" s="5">
        <f>IF(BE122,BD122*correlation!$J$31,"")</f>
        <v/>
      </c>
      <c r="BH122" s="5">
        <f>IF(AND(BE122,ISNUMBER(correlation!$F$31)),BG122*correlation!$F$31+correlation!$G$31,"")</f>
        <v/>
      </c>
      <c r="BI122" s="5">
        <f>IF(AND(BE122,ISNUMBER(BH122)),(BF122-BH122)^2,"")</f>
        <v/>
      </c>
      <c r="BJ122" s="5">
        <f>IF(BE122,1+SUMPRODUCT(--(calc!$BE$3:$BE$132=TRUE),--(calc!$BF$3:$BF$132&gt;BF122))+(SUMPRODUCT(--(calc!$BE$3:$BE$132=TRUE),--(calc!$BF$3:$BF$132=BF122))-1)/2,"")</f>
        <v/>
      </c>
      <c r="BK122" s="5">
        <f>IF(BE122,1+SUMPRODUCT(--(calc!$BE$3:$BE$132=TRUE),--(calc!$BG$3:$BG$132&gt;BG122))+(SUMPRODUCT(--(calc!$BE$3:$BE$132=TRUE),--(calc!$BG$3:$BG$132=BG122))-1)/2,"")</f>
        <v/>
      </c>
      <c r="BL122" s="5">
        <f>IF(BE122,SUMPRODUCT(--(calc!$BE$3:$BE$132=TRUE),--(ROW(calc!$BE$3:$BE$132)&gt;ROW(BE122)),--(((calc!$BJ$3:$BJ$132&gt;BJ122)*(calc!$BK$3:$BK$132&gt;BK122)+(calc!$BJ$3:$BJ$132&lt;BJ122)*(calc!$BK$3:$BK$132&lt;BK122))&gt;0))-SUMPRODUCT(--(calc!$BE$3:$BE$132=TRUE),--(ROW(calc!$BE$3:$BE$132)&gt;ROW(BE122)),--(((calc!$BJ$3:$BJ$132&gt;BJ122)*(calc!$BK$3:$BK$132&lt;BK122)+(calc!$BJ$3:$BJ$132&lt;BJ122)*(calc!$BK$3:$BK$132&gt;BK122))&gt;0)),0)</f>
        <v/>
      </c>
      <c r="BM122" s="5">
        <f>IF(mos_metrics!M121="","",mos_metrics!M121)</f>
        <v/>
      </c>
      <c r="BN122" s="2">
        <f>AND($J122,ISNUMBER(BM122),correlation!$I$32=1)</f>
        <v/>
      </c>
      <c r="BO122" s="5">
        <f>IF(BN122,$F122,"")</f>
        <v/>
      </c>
      <c r="BP122" s="5">
        <f>IF(BN122,BM122*correlation!$J$32,"")</f>
        <v/>
      </c>
      <c r="BQ122" s="5">
        <f>IF(AND(BN122,ISNUMBER(correlation!$F$32)),BP122*correlation!$F$32+correlation!$G$32,"")</f>
        <v/>
      </c>
      <c r="BR122" s="5">
        <f>IF(AND(BN122,ISNUMBER(BQ122)),(BO122-BQ122)^2,"")</f>
        <v/>
      </c>
      <c r="BS122" s="5">
        <f>IF(BN122,1+SUMPRODUCT(--(calc!$BN$3:$BN$132=TRUE),--(calc!$BO$3:$BO$132&gt;BO122))+(SUMPRODUCT(--(calc!$BN$3:$BN$132=TRUE),--(calc!$BO$3:$BO$132=BO122))-1)/2,"")</f>
        <v/>
      </c>
      <c r="BT122" s="5">
        <f>IF(BN122,1+SUMPRODUCT(--(calc!$BN$3:$BN$132=TRUE),--(calc!$BP$3:$BP$132&gt;BP122))+(SUMPRODUCT(--(calc!$BN$3:$BN$132=TRUE),--(calc!$BP$3:$BP$132=BP122))-1)/2,"")</f>
        <v/>
      </c>
      <c r="BU122" s="5">
        <f>IF(BN122,SUMPRODUCT(--(calc!$BN$3:$BN$132=TRUE),--(ROW(calc!$BN$3:$BN$132)&gt;ROW(BN122)),--(((calc!$BS$3:$BS$132&gt;BS122)*(calc!$BT$3:$BT$132&gt;BT122)+(calc!$BS$3:$BS$132&lt;BS122)*(calc!$BT$3:$BT$132&lt;BT122))&gt;0))-SUMPRODUCT(--(calc!$BN$3:$BN$132=TRUE),--(ROW(calc!$BN$3:$BN$132)&gt;ROW(BN122)),--(((calc!$BS$3:$BS$132&gt;BS122)*(calc!$BT$3:$BT$132&lt;BT122)+(calc!$BS$3:$BS$132&lt;BS122)*(calc!$BT$3:$BT$132&gt;BT122))&gt;0)),0)</f>
        <v/>
      </c>
    </row>
    <row r="123">
      <c r="A123" s="2">
        <f>mos_metrics!A122</f>
        <v/>
      </c>
      <c r="B123" s="2">
        <f>mos_metrics!B122</f>
        <v/>
      </c>
      <c r="C123" s="2">
        <f>mos_metrics!C122</f>
        <v/>
      </c>
      <c r="D123" s="2">
        <f>mos_metrics!D122</f>
        <v/>
      </c>
      <c r="E123" s="2">
        <f>mos_metrics!E122</f>
        <v/>
      </c>
      <c r="F123" s="2">
        <f>mos_metrics!F122</f>
        <v/>
      </c>
      <c r="G123" s="2">
        <f>IF($B123="","",IFERROR(VLOOKUP($B123,correlation!$A$2:$B$12,2,FALSE),1))</f>
        <v/>
      </c>
      <c r="H123" s="2">
        <f>IF($E123="","",IFERROR(VLOOKUP($E123,correlation!$D$2:$E$8,2,FALSE),1))</f>
        <v/>
      </c>
      <c r="I123" s="2">
        <f>ISNUMBER($F123)</f>
        <v/>
      </c>
      <c r="J123" s="2">
        <f>AND($G123=1,$H123=1,$I123)</f>
        <v/>
      </c>
      <c r="K123" s="5">
        <f>IF(mos_metrics!G122="","",mos_metrics!G122)</f>
        <v/>
      </c>
      <c r="L123" s="2">
        <f>AND($J123,ISNUMBER(K123),correlation!$I$26=1)</f>
        <v/>
      </c>
      <c r="M123" s="5">
        <f>IF(L123,$F123,"")</f>
        <v/>
      </c>
      <c r="N123" s="5">
        <f>IF(L123,K123*correlation!$J$26,"")</f>
        <v/>
      </c>
      <c r="O123" s="5">
        <f>IF(AND(L123,ISNUMBER(correlation!$F$26)),N123*correlation!$F$26+correlation!$G$26,"")</f>
        <v/>
      </c>
      <c r="P123" s="5">
        <f>IF(AND(L123,ISNUMBER(O123)),(M123-O123)^2,"")</f>
        <v/>
      </c>
      <c r="Q123" s="5">
        <f>IF(L123,1+SUMPRODUCT(--(calc!$L$3:$L$132=TRUE),--(calc!$M$3:$M$132&gt;M123))+(SUMPRODUCT(--(calc!$L$3:$L$132=TRUE),--(calc!$M$3:$M$132=M123))-1)/2,"")</f>
        <v/>
      </c>
      <c r="R123" s="5">
        <f>IF(L123,1+SUMPRODUCT(--(calc!$L$3:$L$132=TRUE),--(calc!$N$3:$N$132&gt;N123))+(SUMPRODUCT(--(calc!$L$3:$L$132=TRUE),--(calc!$N$3:$N$132=N123))-1)/2,"")</f>
        <v/>
      </c>
      <c r="S123" s="5">
        <f>IF(L123,SUMPRODUCT(--(calc!$L$3:$L$132=TRUE),--(ROW(calc!$L$3:$L$132)&gt;ROW(L123)),--(((calc!$Q$3:$Q$132&gt;Q123)*(calc!$R$3:$R$132&gt;R123)+(calc!$Q$3:$Q$132&lt;Q123)*(calc!$R$3:$R$132&lt;R123))&gt;0))-SUMPRODUCT(--(calc!$L$3:$L$132=TRUE),--(ROW(calc!$L$3:$L$132)&gt;ROW(L123)),--(((calc!$Q$3:$Q$132&gt;Q123)*(calc!$R$3:$R$132&lt;R123)+(calc!$Q$3:$Q$132&lt;Q123)*(calc!$R$3:$R$132&gt;R123))&gt;0)),0)</f>
        <v/>
      </c>
      <c r="T123" s="5">
        <f>IF(mos_metrics!H122="","",mos_metrics!H122)</f>
        <v/>
      </c>
      <c r="U123" s="2">
        <f>AND($J123,ISNUMBER(T123),correlation!$I$27=1)</f>
        <v/>
      </c>
      <c r="V123" s="5">
        <f>IF(U123,$F123,"")</f>
        <v/>
      </c>
      <c r="W123" s="5">
        <f>IF(U123,T123*correlation!$J$27,"")</f>
        <v/>
      </c>
      <c r="X123" s="5">
        <f>IF(AND(U123,ISNUMBER(correlation!$F$27)),W123*correlation!$F$27+correlation!$G$27,"")</f>
        <v/>
      </c>
      <c r="Y123" s="5">
        <f>IF(AND(U123,ISNUMBER(X123)),(V123-X123)^2,"")</f>
        <v/>
      </c>
      <c r="Z123" s="5">
        <f>IF(U123,1+SUMPRODUCT(--(calc!$U$3:$U$132=TRUE),--(calc!$V$3:$V$132&gt;V123))+(SUMPRODUCT(--(calc!$U$3:$U$132=TRUE),--(calc!$V$3:$V$132=V123))-1)/2,"")</f>
        <v/>
      </c>
      <c r="AA123" s="5">
        <f>IF(U123,1+SUMPRODUCT(--(calc!$U$3:$U$132=TRUE),--(calc!$W$3:$W$132&gt;W123))+(SUMPRODUCT(--(calc!$U$3:$U$132=TRUE),--(calc!$W$3:$W$132=W123))-1)/2,"")</f>
        <v/>
      </c>
      <c r="AB123" s="5">
        <f>IF(U123,SUMPRODUCT(--(calc!$U$3:$U$132=TRUE),--(ROW(calc!$U$3:$U$132)&gt;ROW(U123)),--(((calc!$Z$3:$Z$132&gt;Z123)*(calc!$AA$3:$AA$132&gt;AA123)+(calc!$Z$3:$Z$132&lt;Z123)*(calc!$AA$3:$AA$132&lt;AA123))&gt;0))-SUMPRODUCT(--(calc!$U$3:$U$132=TRUE),--(ROW(calc!$U$3:$U$132)&gt;ROW(U123)),--(((calc!$Z$3:$Z$132&gt;Z123)*(calc!$AA$3:$AA$132&lt;AA123)+(calc!$Z$3:$Z$132&lt;Z123)*(calc!$AA$3:$AA$132&gt;AA123))&gt;0)),0)</f>
        <v/>
      </c>
      <c r="AC123" s="5">
        <f>IF(mos_metrics!I122="","",mos_metrics!I122)</f>
        <v/>
      </c>
      <c r="AD123" s="2">
        <f>AND($J123,ISNUMBER(AC123),correlation!$I$28=1)</f>
        <v/>
      </c>
      <c r="AE123" s="5">
        <f>IF(AD123,$F123,"")</f>
        <v/>
      </c>
      <c r="AF123" s="5">
        <f>IF(AD123,AC123*correlation!$J$28,"")</f>
        <v/>
      </c>
      <c r="AG123" s="5">
        <f>IF(AND(AD123,ISNUMBER(correlation!$F$28)),AF123*correlation!$F$28+correlation!$G$28,"")</f>
        <v/>
      </c>
      <c r="AH123" s="5">
        <f>IF(AND(AD123,ISNUMBER(AG123)),(AE123-AG123)^2,"")</f>
        <v/>
      </c>
      <c r="AI123" s="5">
        <f>IF(AD123,1+SUMPRODUCT(--(calc!$AD$3:$AD$132=TRUE),--(calc!$AE$3:$AE$132&gt;AE123))+(SUMPRODUCT(--(calc!$AD$3:$AD$132=TRUE),--(calc!$AE$3:$AE$132=AE123))-1)/2,"")</f>
        <v/>
      </c>
      <c r="AJ123" s="5">
        <f>IF(AD123,1+SUMPRODUCT(--(calc!$AD$3:$AD$132=TRUE),--(calc!$AF$3:$AF$132&gt;AF123))+(SUMPRODUCT(--(calc!$AD$3:$AD$132=TRUE),--(calc!$AF$3:$AF$132=AF123))-1)/2,"")</f>
        <v/>
      </c>
      <c r="AK123" s="5">
        <f>IF(AD123,SUMPRODUCT(--(calc!$AD$3:$AD$132=TRUE),--(ROW(calc!$AD$3:$AD$132)&gt;ROW(AD123)),--(((calc!$AI$3:$AI$132&gt;AI123)*(calc!$AJ$3:$AJ$132&gt;AJ123)+(calc!$AI$3:$AI$132&lt;AI123)*(calc!$AJ$3:$AJ$132&lt;AJ123))&gt;0))-SUMPRODUCT(--(calc!$AD$3:$AD$132=TRUE),--(ROW(calc!$AD$3:$AD$132)&gt;ROW(AD123)),--(((calc!$AI$3:$AI$132&gt;AI123)*(calc!$AJ$3:$AJ$132&lt;AJ123)+(calc!$AI$3:$AI$132&lt;AI123)*(calc!$AJ$3:$AJ$132&gt;AJ123))&gt;0)),0)</f>
        <v/>
      </c>
      <c r="AL123" s="5">
        <f>IF(mos_metrics!J122="","",mos_metrics!J122)</f>
        <v/>
      </c>
      <c r="AM123" s="2">
        <f>AND($J123,ISNUMBER(AL123),correlation!$I$29=1)</f>
        <v/>
      </c>
      <c r="AN123" s="5">
        <f>IF(AM123,$F123,"")</f>
        <v/>
      </c>
      <c r="AO123" s="5">
        <f>IF(AM123,AL123*correlation!$J$29,"")</f>
        <v/>
      </c>
      <c r="AP123" s="5">
        <f>IF(AND(AM123,ISNUMBER(correlation!$F$29)),AO123*correlation!$F$29+correlation!$G$29,"")</f>
        <v/>
      </c>
      <c r="AQ123" s="5">
        <f>IF(AND(AM123,ISNUMBER(AP123)),(AN123-AP123)^2,"")</f>
        <v/>
      </c>
      <c r="AR123" s="5">
        <f>IF(AM123,1+SUMPRODUCT(--(calc!$AM$3:$AM$132=TRUE),--(calc!$AN$3:$AN$132&gt;AN123))+(SUMPRODUCT(--(calc!$AM$3:$AM$132=TRUE),--(calc!$AN$3:$AN$132=AN123))-1)/2,"")</f>
        <v/>
      </c>
      <c r="AS123" s="5">
        <f>IF(AM123,1+SUMPRODUCT(--(calc!$AM$3:$AM$132=TRUE),--(calc!$AO$3:$AO$132&gt;AO123))+(SUMPRODUCT(--(calc!$AM$3:$AM$132=TRUE),--(calc!$AO$3:$AO$132=AO123))-1)/2,"")</f>
        <v/>
      </c>
      <c r="AT123" s="5">
        <f>IF(AM123,SUMPRODUCT(--(calc!$AM$3:$AM$132=TRUE),--(ROW(calc!$AM$3:$AM$132)&gt;ROW(AM123)),--(((calc!$AR$3:$AR$132&gt;AR123)*(calc!$AS$3:$AS$132&gt;AS123)+(calc!$AR$3:$AR$132&lt;AR123)*(calc!$AS$3:$AS$132&lt;AS123))&gt;0))-SUMPRODUCT(--(calc!$AM$3:$AM$132=TRUE),--(ROW(calc!$AM$3:$AM$132)&gt;ROW(AM123)),--(((calc!$AR$3:$AR$132&gt;AR123)*(calc!$AS$3:$AS$132&lt;AS123)+(calc!$AR$3:$AR$132&lt;AR123)*(calc!$AS$3:$AS$132&gt;AS123))&gt;0)),0)</f>
        <v/>
      </c>
      <c r="AU123" s="5">
        <f>IF(mos_metrics!K122="","",mos_metrics!K122)</f>
        <v/>
      </c>
      <c r="AV123" s="2">
        <f>AND($J123,ISNUMBER(AU123),correlation!$I$30=1)</f>
        <v/>
      </c>
      <c r="AW123" s="5">
        <f>IF(AV123,$F123,"")</f>
        <v/>
      </c>
      <c r="AX123" s="5">
        <f>IF(AV123,AU123*correlation!$J$30,"")</f>
        <v/>
      </c>
      <c r="AY123" s="5">
        <f>IF(AND(AV123,ISNUMBER(correlation!$F$30)),AX123*correlation!$F$30+correlation!$G$30,"")</f>
        <v/>
      </c>
      <c r="AZ123" s="5">
        <f>IF(AND(AV123,ISNUMBER(AY123)),(AW123-AY123)^2,"")</f>
        <v/>
      </c>
      <c r="BA123" s="5">
        <f>IF(AV123,1+SUMPRODUCT(--(calc!$AV$3:$AV$132=TRUE),--(calc!$AW$3:$AW$132&gt;AW123))+(SUMPRODUCT(--(calc!$AV$3:$AV$132=TRUE),--(calc!$AW$3:$AW$132=AW123))-1)/2,"")</f>
        <v/>
      </c>
      <c r="BB123" s="5">
        <f>IF(AV123,1+SUMPRODUCT(--(calc!$AV$3:$AV$132=TRUE),--(calc!$AX$3:$AX$132&gt;AX123))+(SUMPRODUCT(--(calc!$AV$3:$AV$132=TRUE),--(calc!$AX$3:$AX$132=AX123))-1)/2,"")</f>
        <v/>
      </c>
      <c r="BC123" s="5">
        <f>IF(AV123,SUMPRODUCT(--(calc!$AV$3:$AV$132=TRUE),--(ROW(calc!$AV$3:$AV$132)&gt;ROW(AV123)),--(((calc!$BA$3:$BA$132&gt;BA123)*(calc!$BB$3:$BB$132&gt;BB123)+(calc!$BA$3:$BA$132&lt;BA123)*(calc!$BB$3:$BB$132&lt;BB123))&gt;0))-SUMPRODUCT(--(calc!$AV$3:$AV$132=TRUE),--(ROW(calc!$AV$3:$AV$132)&gt;ROW(AV123)),--(((calc!$BA$3:$BA$132&gt;BA123)*(calc!$BB$3:$BB$132&lt;BB123)+(calc!$BA$3:$BA$132&lt;BA123)*(calc!$BB$3:$BB$132&gt;BB123))&gt;0)),0)</f>
        <v/>
      </c>
      <c r="BD123" s="5">
        <f>IF(mos_metrics!L122="","",mos_metrics!L122)</f>
        <v/>
      </c>
      <c r="BE123" s="2">
        <f>AND($J123,ISNUMBER(BD123),correlation!$I$31=1)</f>
        <v/>
      </c>
      <c r="BF123" s="5">
        <f>IF(BE123,$F123,"")</f>
        <v/>
      </c>
      <c r="BG123" s="5">
        <f>IF(BE123,BD123*correlation!$J$31,"")</f>
        <v/>
      </c>
      <c r="BH123" s="5">
        <f>IF(AND(BE123,ISNUMBER(correlation!$F$31)),BG123*correlation!$F$31+correlation!$G$31,"")</f>
        <v/>
      </c>
      <c r="BI123" s="5">
        <f>IF(AND(BE123,ISNUMBER(BH123)),(BF123-BH123)^2,"")</f>
        <v/>
      </c>
      <c r="BJ123" s="5">
        <f>IF(BE123,1+SUMPRODUCT(--(calc!$BE$3:$BE$132=TRUE),--(calc!$BF$3:$BF$132&gt;BF123))+(SUMPRODUCT(--(calc!$BE$3:$BE$132=TRUE),--(calc!$BF$3:$BF$132=BF123))-1)/2,"")</f>
        <v/>
      </c>
      <c r="BK123" s="5">
        <f>IF(BE123,1+SUMPRODUCT(--(calc!$BE$3:$BE$132=TRUE),--(calc!$BG$3:$BG$132&gt;BG123))+(SUMPRODUCT(--(calc!$BE$3:$BE$132=TRUE),--(calc!$BG$3:$BG$132=BG123))-1)/2,"")</f>
        <v/>
      </c>
      <c r="BL123" s="5">
        <f>IF(BE123,SUMPRODUCT(--(calc!$BE$3:$BE$132=TRUE),--(ROW(calc!$BE$3:$BE$132)&gt;ROW(BE123)),--(((calc!$BJ$3:$BJ$132&gt;BJ123)*(calc!$BK$3:$BK$132&gt;BK123)+(calc!$BJ$3:$BJ$132&lt;BJ123)*(calc!$BK$3:$BK$132&lt;BK123))&gt;0))-SUMPRODUCT(--(calc!$BE$3:$BE$132=TRUE),--(ROW(calc!$BE$3:$BE$132)&gt;ROW(BE123)),--(((calc!$BJ$3:$BJ$132&gt;BJ123)*(calc!$BK$3:$BK$132&lt;BK123)+(calc!$BJ$3:$BJ$132&lt;BJ123)*(calc!$BK$3:$BK$132&gt;BK123))&gt;0)),0)</f>
        <v/>
      </c>
      <c r="BM123" s="5">
        <f>IF(mos_metrics!M122="","",mos_metrics!M122)</f>
        <v/>
      </c>
      <c r="BN123" s="2">
        <f>AND($J123,ISNUMBER(BM123),correlation!$I$32=1)</f>
        <v/>
      </c>
      <c r="BO123" s="5">
        <f>IF(BN123,$F123,"")</f>
        <v/>
      </c>
      <c r="BP123" s="5">
        <f>IF(BN123,BM123*correlation!$J$32,"")</f>
        <v/>
      </c>
      <c r="BQ123" s="5">
        <f>IF(AND(BN123,ISNUMBER(correlation!$F$32)),BP123*correlation!$F$32+correlation!$G$32,"")</f>
        <v/>
      </c>
      <c r="BR123" s="5">
        <f>IF(AND(BN123,ISNUMBER(BQ123)),(BO123-BQ123)^2,"")</f>
        <v/>
      </c>
      <c r="BS123" s="5">
        <f>IF(BN123,1+SUMPRODUCT(--(calc!$BN$3:$BN$132=TRUE),--(calc!$BO$3:$BO$132&gt;BO123))+(SUMPRODUCT(--(calc!$BN$3:$BN$132=TRUE),--(calc!$BO$3:$BO$132=BO123))-1)/2,"")</f>
        <v/>
      </c>
      <c r="BT123" s="5">
        <f>IF(BN123,1+SUMPRODUCT(--(calc!$BN$3:$BN$132=TRUE),--(calc!$BP$3:$BP$132&gt;BP123))+(SUMPRODUCT(--(calc!$BN$3:$BN$132=TRUE),--(calc!$BP$3:$BP$132=BP123))-1)/2,"")</f>
        <v/>
      </c>
      <c r="BU123" s="5">
        <f>IF(BN123,SUMPRODUCT(--(calc!$BN$3:$BN$132=TRUE),--(ROW(calc!$BN$3:$BN$132)&gt;ROW(BN123)),--(((calc!$BS$3:$BS$132&gt;BS123)*(calc!$BT$3:$BT$132&gt;BT123)+(calc!$BS$3:$BS$132&lt;BS123)*(calc!$BT$3:$BT$132&lt;BT123))&gt;0))-SUMPRODUCT(--(calc!$BN$3:$BN$132=TRUE),--(ROW(calc!$BN$3:$BN$132)&gt;ROW(BN123)),--(((calc!$BS$3:$BS$132&gt;BS123)*(calc!$BT$3:$BT$132&lt;BT123)+(calc!$BS$3:$BS$132&lt;BS123)*(calc!$BT$3:$BT$132&gt;BT123))&gt;0)),0)</f>
        <v/>
      </c>
    </row>
    <row r="124">
      <c r="A124" s="2">
        <f>mos_metrics!A123</f>
        <v/>
      </c>
      <c r="B124" s="2">
        <f>mos_metrics!B123</f>
        <v/>
      </c>
      <c r="C124" s="2">
        <f>mos_metrics!C123</f>
        <v/>
      </c>
      <c r="D124" s="2">
        <f>mos_metrics!D123</f>
        <v/>
      </c>
      <c r="E124" s="2">
        <f>mos_metrics!E123</f>
        <v/>
      </c>
      <c r="F124" s="2">
        <f>mos_metrics!F123</f>
        <v/>
      </c>
      <c r="G124" s="2">
        <f>IF($B124="","",IFERROR(VLOOKUP($B124,correlation!$A$2:$B$12,2,FALSE),1))</f>
        <v/>
      </c>
      <c r="H124" s="2">
        <f>IF($E124="","",IFERROR(VLOOKUP($E124,correlation!$D$2:$E$8,2,FALSE),1))</f>
        <v/>
      </c>
      <c r="I124" s="2">
        <f>ISNUMBER($F124)</f>
        <v/>
      </c>
      <c r="J124" s="2">
        <f>AND($G124=1,$H124=1,$I124)</f>
        <v/>
      </c>
      <c r="K124" s="5">
        <f>IF(mos_metrics!G123="","",mos_metrics!G123)</f>
        <v/>
      </c>
      <c r="L124" s="2">
        <f>AND($J124,ISNUMBER(K124),correlation!$I$26=1)</f>
        <v/>
      </c>
      <c r="M124" s="5">
        <f>IF(L124,$F124,"")</f>
        <v/>
      </c>
      <c r="N124" s="5">
        <f>IF(L124,K124*correlation!$J$26,"")</f>
        <v/>
      </c>
      <c r="O124" s="5">
        <f>IF(AND(L124,ISNUMBER(correlation!$F$26)),N124*correlation!$F$26+correlation!$G$26,"")</f>
        <v/>
      </c>
      <c r="P124" s="5">
        <f>IF(AND(L124,ISNUMBER(O124)),(M124-O124)^2,"")</f>
        <v/>
      </c>
      <c r="Q124" s="5">
        <f>IF(L124,1+SUMPRODUCT(--(calc!$L$3:$L$132=TRUE),--(calc!$M$3:$M$132&gt;M124))+(SUMPRODUCT(--(calc!$L$3:$L$132=TRUE),--(calc!$M$3:$M$132=M124))-1)/2,"")</f>
        <v/>
      </c>
      <c r="R124" s="5">
        <f>IF(L124,1+SUMPRODUCT(--(calc!$L$3:$L$132=TRUE),--(calc!$N$3:$N$132&gt;N124))+(SUMPRODUCT(--(calc!$L$3:$L$132=TRUE),--(calc!$N$3:$N$132=N124))-1)/2,"")</f>
        <v/>
      </c>
      <c r="S124" s="5">
        <f>IF(L124,SUMPRODUCT(--(calc!$L$3:$L$132=TRUE),--(ROW(calc!$L$3:$L$132)&gt;ROW(L124)),--(((calc!$Q$3:$Q$132&gt;Q124)*(calc!$R$3:$R$132&gt;R124)+(calc!$Q$3:$Q$132&lt;Q124)*(calc!$R$3:$R$132&lt;R124))&gt;0))-SUMPRODUCT(--(calc!$L$3:$L$132=TRUE),--(ROW(calc!$L$3:$L$132)&gt;ROW(L124)),--(((calc!$Q$3:$Q$132&gt;Q124)*(calc!$R$3:$R$132&lt;R124)+(calc!$Q$3:$Q$132&lt;Q124)*(calc!$R$3:$R$132&gt;R124))&gt;0)),0)</f>
        <v/>
      </c>
      <c r="T124" s="5">
        <f>IF(mos_metrics!H123="","",mos_metrics!H123)</f>
        <v/>
      </c>
      <c r="U124" s="2">
        <f>AND($J124,ISNUMBER(T124),correlation!$I$27=1)</f>
        <v/>
      </c>
      <c r="V124" s="5">
        <f>IF(U124,$F124,"")</f>
        <v/>
      </c>
      <c r="W124" s="5">
        <f>IF(U124,T124*correlation!$J$27,"")</f>
        <v/>
      </c>
      <c r="X124" s="5">
        <f>IF(AND(U124,ISNUMBER(correlation!$F$27)),W124*correlation!$F$27+correlation!$G$27,"")</f>
        <v/>
      </c>
      <c r="Y124" s="5">
        <f>IF(AND(U124,ISNUMBER(X124)),(V124-X124)^2,"")</f>
        <v/>
      </c>
      <c r="Z124" s="5">
        <f>IF(U124,1+SUMPRODUCT(--(calc!$U$3:$U$132=TRUE),--(calc!$V$3:$V$132&gt;V124))+(SUMPRODUCT(--(calc!$U$3:$U$132=TRUE),--(calc!$V$3:$V$132=V124))-1)/2,"")</f>
        <v/>
      </c>
      <c r="AA124" s="5">
        <f>IF(U124,1+SUMPRODUCT(--(calc!$U$3:$U$132=TRUE),--(calc!$W$3:$W$132&gt;W124))+(SUMPRODUCT(--(calc!$U$3:$U$132=TRUE),--(calc!$W$3:$W$132=W124))-1)/2,"")</f>
        <v/>
      </c>
      <c r="AB124" s="5">
        <f>IF(U124,SUMPRODUCT(--(calc!$U$3:$U$132=TRUE),--(ROW(calc!$U$3:$U$132)&gt;ROW(U124)),--(((calc!$Z$3:$Z$132&gt;Z124)*(calc!$AA$3:$AA$132&gt;AA124)+(calc!$Z$3:$Z$132&lt;Z124)*(calc!$AA$3:$AA$132&lt;AA124))&gt;0))-SUMPRODUCT(--(calc!$U$3:$U$132=TRUE),--(ROW(calc!$U$3:$U$132)&gt;ROW(U124)),--(((calc!$Z$3:$Z$132&gt;Z124)*(calc!$AA$3:$AA$132&lt;AA124)+(calc!$Z$3:$Z$132&lt;Z124)*(calc!$AA$3:$AA$132&gt;AA124))&gt;0)),0)</f>
        <v/>
      </c>
      <c r="AC124" s="5">
        <f>IF(mos_metrics!I123="","",mos_metrics!I123)</f>
        <v/>
      </c>
      <c r="AD124" s="2">
        <f>AND($J124,ISNUMBER(AC124),correlation!$I$28=1)</f>
        <v/>
      </c>
      <c r="AE124" s="5">
        <f>IF(AD124,$F124,"")</f>
        <v/>
      </c>
      <c r="AF124" s="5">
        <f>IF(AD124,AC124*correlation!$J$28,"")</f>
        <v/>
      </c>
      <c r="AG124" s="5">
        <f>IF(AND(AD124,ISNUMBER(correlation!$F$28)),AF124*correlation!$F$28+correlation!$G$28,"")</f>
        <v/>
      </c>
      <c r="AH124" s="5">
        <f>IF(AND(AD124,ISNUMBER(AG124)),(AE124-AG124)^2,"")</f>
        <v/>
      </c>
      <c r="AI124" s="5">
        <f>IF(AD124,1+SUMPRODUCT(--(calc!$AD$3:$AD$132=TRUE),--(calc!$AE$3:$AE$132&gt;AE124))+(SUMPRODUCT(--(calc!$AD$3:$AD$132=TRUE),--(calc!$AE$3:$AE$132=AE124))-1)/2,"")</f>
        <v/>
      </c>
      <c r="AJ124" s="5">
        <f>IF(AD124,1+SUMPRODUCT(--(calc!$AD$3:$AD$132=TRUE),--(calc!$AF$3:$AF$132&gt;AF124))+(SUMPRODUCT(--(calc!$AD$3:$AD$132=TRUE),--(calc!$AF$3:$AF$132=AF124))-1)/2,"")</f>
        <v/>
      </c>
      <c r="AK124" s="5">
        <f>IF(AD124,SUMPRODUCT(--(calc!$AD$3:$AD$132=TRUE),--(ROW(calc!$AD$3:$AD$132)&gt;ROW(AD124)),--(((calc!$AI$3:$AI$132&gt;AI124)*(calc!$AJ$3:$AJ$132&gt;AJ124)+(calc!$AI$3:$AI$132&lt;AI124)*(calc!$AJ$3:$AJ$132&lt;AJ124))&gt;0))-SUMPRODUCT(--(calc!$AD$3:$AD$132=TRUE),--(ROW(calc!$AD$3:$AD$132)&gt;ROW(AD124)),--(((calc!$AI$3:$AI$132&gt;AI124)*(calc!$AJ$3:$AJ$132&lt;AJ124)+(calc!$AI$3:$AI$132&lt;AI124)*(calc!$AJ$3:$AJ$132&gt;AJ124))&gt;0)),0)</f>
        <v/>
      </c>
      <c r="AL124" s="5">
        <f>IF(mos_metrics!J123="","",mos_metrics!J123)</f>
        <v/>
      </c>
      <c r="AM124" s="2">
        <f>AND($J124,ISNUMBER(AL124),correlation!$I$29=1)</f>
        <v/>
      </c>
      <c r="AN124" s="5">
        <f>IF(AM124,$F124,"")</f>
        <v/>
      </c>
      <c r="AO124" s="5">
        <f>IF(AM124,AL124*correlation!$J$29,"")</f>
        <v/>
      </c>
      <c r="AP124" s="5">
        <f>IF(AND(AM124,ISNUMBER(correlation!$F$29)),AO124*correlation!$F$29+correlation!$G$29,"")</f>
        <v/>
      </c>
      <c r="AQ124" s="5">
        <f>IF(AND(AM124,ISNUMBER(AP124)),(AN124-AP124)^2,"")</f>
        <v/>
      </c>
      <c r="AR124" s="5">
        <f>IF(AM124,1+SUMPRODUCT(--(calc!$AM$3:$AM$132=TRUE),--(calc!$AN$3:$AN$132&gt;AN124))+(SUMPRODUCT(--(calc!$AM$3:$AM$132=TRUE),--(calc!$AN$3:$AN$132=AN124))-1)/2,"")</f>
        <v/>
      </c>
      <c r="AS124" s="5">
        <f>IF(AM124,1+SUMPRODUCT(--(calc!$AM$3:$AM$132=TRUE),--(calc!$AO$3:$AO$132&gt;AO124))+(SUMPRODUCT(--(calc!$AM$3:$AM$132=TRUE),--(calc!$AO$3:$AO$132=AO124))-1)/2,"")</f>
        <v/>
      </c>
      <c r="AT124" s="5">
        <f>IF(AM124,SUMPRODUCT(--(calc!$AM$3:$AM$132=TRUE),--(ROW(calc!$AM$3:$AM$132)&gt;ROW(AM124)),--(((calc!$AR$3:$AR$132&gt;AR124)*(calc!$AS$3:$AS$132&gt;AS124)+(calc!$AR$3:$AR$132&lt;AR124)*(calc!$AS$3:$AS$132&lt;AS124))&gt;0))-SUMPRODUCT(--(calc!$AM$3:$AM$132=TRUE),--(ROW(calc!$AM$3:$AM$132)&gt;ROW(AM124)),--(((calc!$AR$3:$AR$132&gt;AR124)*(calc!$AS$3:$AS$132&lt;AS124)+(calc!$AR$3:$AR$132&lt;AR124)*(calc!$AS$3:$AS$132&gt;AS124))&gt;0)),0)</f>
        <v/>
      </c>
      <c r="AU124" s="5">
        <f>IF(mos_metrics!K123="","",mos_metrics!K123)</f>
        <v/>
      </c>
      <c r="AV124" s="2">
        <f>AND($J124,ISNUMBER(AU124),correlation!$I$30=1)</f>
        <v/>
      </c>
      <c r="AW124" s="5">
        <f>IF(AV124,$F124,"")</f>
        <v/>
      </c>
      <c r="AX124" s="5">
        <f>IF(AV124,AU124*correlation!$J$30,"")</f>
        <v/>
      </c>
      <c r="AY124" s="5">
        <f>IF(AND(AV124,ISNUMBER(correlation!$F$30)),AX124*correlation!$F$30+correlation!$G$30,"")</f>
        <v/>
      </c>
      <c r="AZ124" s="5">
        <f>IF(AND(AV124,ISNUMBER(AY124)),(AW124-AY124)^2,"")</f>
        <v/>
      </c>
      <c r="BA124" s="5">
        <f>IF(AV124,1+SUMPRODUCT(--(calc!$AV$3:$AV$132=TRUE),--(calc!$AW$3:$AW$132&gt;AW124))+(SUMPRODUCT(--(calc!$AV$3:$AV$132=TRUE),--(calc!$AW$3:$AW$132=AW124))-1)/2,"")</f>
        <v/>
      </c>
      <c r="BB124" s="5">
        <f>IF(AV124,1+SUMPRODUCT(--(calc!$AV$3:$AV$132=TRUE),--(calc!$AX$3:$AX$132&gt;AX124))+(SUMPRODUCT(--(calc!$AV$3:$AV$132=TRUE),--(calc!$AX$3:$AX$132=AX124))-1)/2,"")</f>
        <v/>
      </c>
      <c r="BC124" s="5">
        <f>IF(AV124,SUMPRODUCT(--(calc!$AV$3:$AV$132=TRUE),--(ROW(calc!$AV$3:$AV$132)&gt;ROW(AV124)),--(((calc!$BA$3:$BA$132&gt;BA124)*(calc!$BB$3:$BB$132&gt;BB124)+(calc!$BA$3:$BA$132&lt;BA124)*(calc!$BB$3:$BB$132&lt;BB124))&gt;0))-SUMPRODUCT(--(calc!$AV$3:$AV$132=TRUE),--(ROW(calc!$AV$3:$AV$132)&gt;ROW(AV124)),--(((calc!$BA$3:$BA$132&gt;BA124)*(calc!$BB$3:$BB$132&lt;BB124)+(calc!$BA$3:$BA$132&lt;BA124)*(calc!$BB$3:$BB$132&gt;BB124))&gt;0)),0)</f>
        <v/>
      </c>
      <c r="BD124" s="5">
        <f>IF(mos_metrics!L123="","",mos_metrics!L123)</f>
        <v/>
      </c>
      <c r="BE124" s="2">
        <f>AND($J124,ISNUMBER(BD124),correlation!$I$31=1)</f>
        <v/>
      </c>
      <c r="BF124" s="5">
        <f>IF(BE124,$F124,"")</f>
        <v/>
      </c>
      <c r="BG124" s="5">
        <f>IF(BE124,BD124*correlation!$J$31,"")</f>
        <v/>
      </c>
      <c r="BH124" s="5">
        <f>IF(AND(BE124,ISNUMBER(correlation!$F$31)),BG124*correlation!$F$31+correlation!$G$31,"")</f>
        <v/>
      </c>
      <c r="BI124" s="5">
        <f>IF(AND(BE124,ISNUMBER(BH124)),(BF124-BH124)^2,"")</f>
        <v/>
      </c>
      <c r="BJ124" s="5">
        <f>IF(BE124,1+SUMPRODUCT(--(calc!$BE$3:$BE$132=TRUE),--(calc!$BF$3:$BF$132&gt;BF124))+(SUMPRODUCT(--(calc!$BE$3:$BE$132=TRUE),--(calc!$BF$3:$BF$132=BF124))-1)/2,"")</f>
        <v/>
      </c>
      <c r="BK124" s="5">
        <f>IF(BE124,1+SUMPRODUCT(--(calc!$BE$3:$BE$132=TRUE),--(calc!$BG$3:$BG$132&gt;BG124))+(SUMPRODUCT(--(calc!$BE$3:$BE$132=TRUE),--(calc!$BG$3:$BG$132=BG124))-1)/2,"")</f>
        <v/>
      </c>
      <c r="BL124" s="5">
        <f>IF(BE124,SUMPRODUCT(--(calc!$BE$3:$BE$132=TRUE),--(ROW(calc!$BE$3:$BE$132)&gt;ROW(BE124)),--(((calc!$BJ$3:$BJ$132&gt;BJ124)*(calc!$BK$3:$BK$132&gt;BK124)+(calc!$BJ$3:$BJ$132&lt;BJ124)*(calc!$BK$3:$BK$132&lt;BK124))&gt;0))-SUMPRODUCT(--(calc!$BE$3:$BE$132=TRUE),--(ROW(calc!$BE$3:$BE$132)&gt;ROW(BE124)),--(((calc!$BJ$3:$BJ$132&gt;BJ124)*(calc!$BK$3:$BK$132&lt;BK124)+(calc!$BJ$3:$BJ$132&lt;BJ124)*(calc!$BK$3:$BK$132&gt;BK124))&gt;0)),0)</f>
        <v/>
      </c>
      <c r="BM124" s="5">
        <f>IF(mos_metrics!M123="","",mos_metrics!M123)</f>
        <v/>
      </c>
      <c r="BN124" s="2">
        <f>AND($J124,ISNUMBER(BM124),correlation!$I$32=1)</f>
        <v/>
      </c>
      <c r="BO124" s="5">
        <f>IF(BN124,$F124,"")</f>
        <v/>
      </c>
      <c r="BP124" s="5">
        <f>IF(BN124,BM124*correlation!$J$32,"")</f>
        <v/>
      </c>
      <c r="BQ124" s="5">
        <f>IF(AND(BN124,ISNUMBER(correlation!$F$32)),BP124*correlation!$F$32+correlation!$G$32,"")</f>
        <v/>
      </c>
      <c r="BR124" s="5">
        <f>IF(AND(BN124,ISNUMBER(BQ124)),(BO124-BQ124)^2,"")</f>
        <v/>
      </c>
      <c r="BS124" s="5">
        <f>IF(BN124,1+SUMPRODUCT(--(calc!$BN$3:$BN$132=TRUE),--(calc!$BO$3:$BO$132&gt;BO124))+(SUMPRODUCT(--(calc!$BN$3:$BN$132=TRUE),--(calc!$BO$3:$BO$132=BO124))-1)/2,"")</f>
        <v/>
      </c>
      <c r="BT124" s="5">
        <f>IF(BN124,1+SUMPRODUCT(--(calc!$BN$3:$BN$132=TRUE),--(calc!$BP$3:$BP$132&gt;BP124))+(SUMPRODUCT(--(calc!$BN$3:$BN$132=TRUE),--(calc!$BP$3:$BP$132=BP124))-1)/2,"")</f>
        <v/>
      </c>
      <c r="BU124" s="5">
        <f>IF(BN124,SUMPRODUCT(--(calc!$BN$3:$BN$132=TRUE),--(ROW(calc!$BN$3:$BN$132)&gt;ROW(BN124)),--(((calc!$BS$3:$BS$132&gt;BS124)*(calc!$BT$3:$BT$132&gt;BT124)+(calc!$BS$3:$BS$132&lt;BS124)*(calc!$BT$3:$BT$132&lt;BT124))&gt;0))-SUMPRODUCT(--(calc!$BN$3:$BN$132=TRUE),--(ROW(calc!$BN$3:$BN$132)&gt;ROW(BN124)),--(((calc!$BS$3:$BS$132&gt;BS124)*(calc!$BT$3:$BT$132&lt;BT124)+(calc!$BS$3:$BS$132&lt;BS124)*(calc!$BT$3:$BT$132&gt;BT124))&gt;0)),0)</f>
        <v/>
      </c>
    </row>
    <row r="125">
      <c r="A125" s="2">
        <f>mos_metrics!A124</f>
        <v/>
      </c>
      <c r="B125" s="2">
        <f>mos_metrics!B124</f>
        <v/>
      </c>
      <c r="C125" s="2">
        <f>mos_metrics!C124</f>
        <v/>
      </c>
      <c r="D125" s="2">
        <f>mos_metrics!D124</f>
        <v/>
      </c>
      <c r="E125" s="2">
        <f>mos_metrics!E124</f>
        <v/>
      </c>
      <c r="F125" s="2">
        <f>mos_metrics!F124</f>
        <v/>
      </c>
      <c r="G125" s="2">
        <f>IF($B125="","",IFERROR(VLOOKUP($B125,correlation!$A$2:$B$12,2,FALSE),1))</f>
        <v/>
      </c>
      <c r="H125" s="2">
        <f>IF($E125="","",IFERROR(VLOOKUP($E125,correlation!$D$2:$E$8,2,FALSE),1))</f>
        <v/>
      </c>
      <c r="I125" s="2">
        <f>ISNUMBER($F125)</f>
        <v/>
      </c>
      <c r="J125" s="2">
        <f>AND($G125=1,$H125=1,$I125)</f>
        <v/>
      </c>
      <c r="K125" s="5">
        <f>IF(mos_metrics!G124="","",mos_metrics!G124)</f>
        <v/>
      </c>
      <c r="L125" s="2">
        <f>AND($J125,ISNUMBER(K125),correlation!$I$26=1)</f>
        <v/>
      </c>
      <c r="M125" s="5">
        <f>IF(L125,$F125,"")</f>
        <v/>
      </c>
      <c r="N125" s="5">
        <f>IF(L125,K125*correlation!$J$26,"")</f>
        <v/>
      </c>
      <c r="O125" s="5">
        <f>IF(AND(L125,ISNUMBER(correlation!$F$26)),N125*correlation!$F$26+correlation!$G$26,"")</f>
        <v/>
      </c>
      <c r="P125" s="5">
        <f>IF(AND(L125,ISNUMBER(O125)),(M125-O125)^2,"")</f>
        <v/>
      </c>
      <c r="Q125" s="5">
        <f>IF(L125,1+SUMPRODUCT(--(calc!$L$3:$L$132=TRUE),--(calc!$M$3:$M$132&gt;M125))+(SUMPRODUCT(--(calc!$L$3:$L$132=TRUE),--(calc!$M$3:$M$132=M125))-1)/2,"")</f>
        <v/>
      </c>
      <c r="R125" s="5">
        <f>IF(L125,1+SUMPRODUCT(--(calc!$L$3:$L$132=TRUE),--(calc!$N$3:$N$132&gt;N125))+(SUMPRODUCT(--(calc!$L$3:$L$132=TRUE),--(calc!$N$3:$N$132=N125))-1)/2,"")</f>
        <v/>
      </c>
      <c r="S125" s="5">
        <f>IF(L125,SUMPRODUCT(--(calc!$L$3:$L$132=TRUE),--(ROW(calc!$L$3:$L$132)&gt;ROW(L125)),--(((calc!$Q$3:$Q$132&gt;Q125)*(calc!$R$3:$R$132&gt;R125)+(calc!$Q$3:$Q$132&lt;Q125)*(calc!$R$3:$R$132&lt;R125))&gt;0))-SUMPRODUCT(--(calc!$L$3:$L$132=TRUE),--(ROW(calc!$L$3:$L$132)&gt;ROW(L125)),--(((calc!$Q$3:$Q$132&gt;Q125)*(calc!$R$3:$R$132&lt;R125)+(calc!$Q$3:$Q$132&lt;Q125)*(calc!$R$3:$R$132&gt;R125))&gt;0)),0)</f>
        <v/>
      </c>
      <c r="T125" s="5">
        <f>IF(mos_metrics!H124="","",mos_metrics!H124)</f>
        <v/>
      </c>
      <c r="U125" s="2">
        <f>AND($J125,ISNUMBER(T125),correlation!$I$27=1)</f>
        <v/>
      </c>
      <c r="V125" s="5">
        <f>IF(U125,$F125,"")</f>
        <v/>
      </c>
      <c r="W125" s="5">
        <f>IF(U125,T125*correlation!$J$27,"")</f>
        <v/>
      </c>
      <c r="X125" s="5">
        <f>IF(AND(U125,ISNUMBER(correlation!$F$27)),W125*correlation!$F$27+correlation!$G$27,"")</f>
        <v/>
      </c>
      <c r="Y125" s="5">
        <f>IF(AND(U125,ISNUMBER(X125)),(V125-X125)^2,"")</f>
        <v/>
      </c>
      <c r="Z125" s="5">
        <f>IF(U125,1+SUMPRODUCT(--(calc!$U$3:$U$132=TRUE),--(calc!$V$3:$V$132&gt;V125))+(SUMPRODUCT(--(calc!$U$3:$U$132=TRUE),--(calc!$V$3:$V$132=V125))-1)/2,"")</f>
        <v/>
      </c>
      <c r="AA125" s="5">
        <f>IF(U125,1+SUMPRODUCT(--(calc!$U$3:$U$132=TRUE),--(calc!$W$3:$W$132&gt;W125))+(SUMPRODUCT(--(calc!$U$3:$U$132=TRUE),--(calc!$W$3:$W$132=W125))-1)/2,"")</f>
        <v/>
      </c>
      <c r="AB125" s="5">
        <f>IF(U125,SUMPRODUCT(--(calc!$U$3:$U$132=TRUE),--(ROW(calc!$U$3:$U$132)&gt;ROW(U125)),--(((calc!$Z$3:$Z$132&gt;Z125)*(calc!$AA$3:$AA$132&gt;AA125)+(calc!$Z$3:$Z$132&lt;Z125)*(calc!$AA$3:$AA$132&lt;AA125))&gt;0))-SUMPRODUCT(--(calc!$U$3:$U$132=TRUE),--(ROW(calc!$U$3:$U$132)&gt;ROW(U125)),--(((calc!$Z$3:$Z$132&gt;Z125)*(calc!$AA$3:$AA$132&lt;AA125)+(calc!$Z$3:$Z$132&lt;Z125)*(calc!$AA$3:$AA$132&gt;AA125))&gt;0)),0)</f>
        <v/>
      </c>
      <c r="AC125" s="5">
        <f>IF(mos_metrics!I124="","",mos_metrics!I124)</f>
        <v/>
      </c>
      <c r="AD125" s="2">
        <f>AND($J125,ISNUMBER(AC125),correlation!$I$28=1)</f>
        <v/>
      </c>
      <c r="AE125" s="5">
        <f>IF(AD125,$F125,"")</f>
        <v/>
      </c>
      <c r="AF125" s="5">
        <f>IF(AD125,AC125*correlation!$J$28,"")</f>
        <v/>
      </c>
      <c r="AG125" s="5">
        <f>IF(AND(AD125,ISNUMBER(correlation!$F$28)),AF125*correlation!$F$28+correlation!$G$28,"")</f>
        <v/>
      </c>
      <c r="AH125" s="5">
        <f>IF(AND(AD125,ISNUMBER(AG125)),(AE125-AG125)^2,"")</f>
        <v/>
      </c>
      <c r="AI125" s="5">
        <f>IF(AD125,1+SUMPRODUCT(--(calc!$AD$3:$AD$132=TRUE),--(calc!$AE$3:$AE$132&gt;AE125))+(SUMPRODUCT(--(calc!$AD$3:$AD$132=TRUE),--(calc!$AE$3:$AE$132=AE125))-1)/2,"")</f>
        <v/>
      </c>
      <c r="AJ125" s="5">
        <f>IF(AD125,1+SUMPRODUCT(--(calc!$AD$3:$AD$132=TRUE),--(calc!$AF$3:$AF$132&gt;AF125))+(SUMPRODUCT(--(calc!$AD$3:$AD$132=TRUE),--(calc!$AF$3:$AF$132=AF125))-1)/2,"")</f>
        <v/>
      </c>
      <c r="AK125" s="5">
        <f>IF(AD125,SUMPRODUCT(--(calc!$AD$3:$AD$132=TRUE),--(ROW(calc!$AD$3:$AD$132)&gt;ROW(AD125)),--(((calc!$AI$3:$AI$132&gt;AI125)*(calc!$AJ$3:$AJ$132&gt;AJ125)+(calc!$AI$3:$AI$132&lt;AI125)*(calc!$AJ$3:$AJ$132&lt;AJ125))&gt;0))-SUMPRODUCT(--(calc!$AD$3:$AD$132=TRUE),--(ROW(calc!$AD$3:$AD$132)&gt;ROW(AD125)),--(((calc!$AI$3:$AI$132&gt;AI125)*(calc!$AJ$3:$AJ$132&lt;AJ125)+(calc!$AI$3:$AI$132&lt;AI125)*(calc!$AJ$3:$AJ$132&gt;AJ125))&gt;0)),0)</f>
        <v/>
      </c>
      <c r="AL125" s="5">
        <f>IF(mos_metrics!J124="","",mos_metrics!J124)</f>
        <v/>
      </c>
      <c r="AM125" s="2">
        <f>AND($J125,ISNUMBER(AL125),correlation!$I$29=1)</f>
        <v/>
      </c>
      <c r="AN125" s="5">
        <f>IF(AM125,$F125,"")</f>
        <v/>
      </c>
      <c r="AO125" s="5">
        <f>IF(AM125,AL125*correlation!$J$29,"")</f>
        <v/>
      </c>
      <c r="AP125" s="5">
        <f>IF(AND(AM125,ISNUMBER(correlation!$F$29)),AO125*correlation!$F$29+correlation!$G$29,"")</f>
        <v/>
      </c>
      <c r="AQ125" s="5">
        <f>IF(AND(AM125,ISNUMBER(AP125)),(AN125-AP125)^2,"")</f>
        <v/>
      </c>
      <c r="AR125" s="5">
        <f>IF(AM125,1+SUMPRODUCT(--(calc!$AM$3:$AM$132=TRUE),--(calc!$AN$3:$AN$132&gt;AN125))+(SUMPRODUCT(--(calc!$AM$3:$AM$132=TRUE),--(calc!$AN$3:$AN$132=AN125))-1)/2,"")</f>
        <v/>
      </c>
      <c r="AS125" s="5">
        <f>IF(AM125,1+SUMPRODUCT(--(calc!$AM$3:$AM$132=TRUE),--(calc!$AO$3:$AO$132&gt;AO125))+(SUMPRODUCT(--(calc!$AM$3:$AM$132=TRUE),--(calc!$AO$3:$AO$132=AO125))-1)/2,"")</f>
        <v/>
      </c>
      <c r="AT125" s="5">
        <f>IF(AM125,SUMPRODUCT(--(calc!$AM$3:$AM$132=TRUE),--(ROW(calc!$AM$3:$AM$132)&gt;ROW(AM125)),--(((calc!$AR$3:$AR$132&gt;AR125)*(calc!$AS$3:$AS$132&gt;AS125)+(calc!$AR$3:$AR$132&lt;AR125)*(calc!$AS$3:$AS$132&lt;AS125))&gt;0))-SUMPRODUCT(--(calc!$AM$3:$AM$132=TRUE),--(ROW(calc!$AM$3:$AM$132)&gt;ROW(AM125)),--(((calc!$AR$3:$AR$132&gt;AR125)*(calc!$AS$3:$AS$132&lt;AS125)+(calc!$AR$3:$AR$132&lt;AR125)*(calc!$AS$3:$AS$132&gt;AS125))&gt;0)),0)</f>
        <v/>
      </c>
      <c r="AU125" s="5">
        <f>IF(mos_metrics!K124="","",mos_metrics!K124)</f>
        <v/>
      </c>
      <c r="AV125" s="2">
        <f>AND($J125,ISNUMBER(AU125),correlation!$I$30=1)</f>
        <v/>
      </c>
      <c r="AW125" s="5">
        <f>IF(AV125,$F125,"")</f>
        <v/>
      </c>
      <c r="AX125" s="5">
        <f>IF(AV125,AU125*correlation!$J$30,"")</f>
        <v/>
      </c>
      <c r="AY125" s="5">
        <f>IF(AND(AV125,ISNUMBER(correlation!$F$30)),AX125*correlation!$F$30+correlation!$G$30,"")</f>
        <v/>
      </c>
      <c r="AZ125" s="5">
        <f>IF(AND(AV125,ISNUMBER(AY125)),(AW125-AY125)^2,"")</f>
        <v/>
      </c>
      <c r="BA125" s="5">
        <f>IF(AV125,1+SUMPRODUCT(--(calc!$AV$3:$AV$132=TRUE),--(calc!$AW$3:$AW$132&gt;AW125))+(SUMPRODUCT(--(calc!$AV$3:$AV$132=TRUE),--(calc!$AW$3:$AW$132=AW125))-1)/2,"")</f>
        <v/>
      </c>
      <c r="BB125" s="5">
        <f>IF(AV125,1+SUMPRODUCT(--(calc!$AV$3:$AV$132=TRUE),--(calc!$AX$3:$AX$132&gt;AX125))+(SUMPRODUCT(--(calc!$AV$3:$AV$132=TRUE),--(calc!$AX$3:$AX$132=AX125))-1)/2,"")</f>
        <v/>
      </c>
      <c r="BC125" s="5">
        <f>IF(AV125,SUMPRODUCT(--(calc!$AV$3:$AV$132=TRUE),--(ROW(calc!$AV$3:$AV$132)&gt;ROW(AV125)),--(((calc!$BA$3:$BA$132&gt;BA125)*(calc!$BB$3:$BB$132&gt;BB125)+(calc!$BA$3:$BA$132&lt;BA125)*(calc!$BB$3:$BB$132&lt;BB125))&gt;0))-SUMPRODUCT(--(calc!$AV$3:$AV$132=TRUE),--(ROW(calc!$AV$3:$AV$132)&gt;ROW(AV125)),--(((calc!$BA$3:$BA$132&gt;BA125)*(calc!$BB$3:$BB$132&lt;BB125)+(calc!$BA$3:$BA$132&lt;BA125)*(calc!$BB$3:$BB$132&gt;BB125))&gt;0)),0)</f>
        <v/>
      </c>
      <c r="BD125" s="5">
        <f>IF(mos_metrics!L124="","",mos_metrics!L124)</f>
        <v/>
      </c>
      <c r="BE125" s="2">
        <f>AND($J125,ISNUMBER(BD125),correlation!$I$31=1)</f>
        <v/>
      </c>
      <c r="BF125" s="5">
        <f>IF(BE125,$F125,"")</f>
        <v/>
      </c>
      <c r="BG125" s="5">
        <f>IF(BE125,BD125*correlation!$J$31,"")</f>
        <v/>
      </c>
      <c r="BH125" s="5">
        <f>IF(AND(BE125,ISNUMBER(correlation!$F$31)),BG125*correlation!$F$31+correlation!$G$31,"")</f>
        <v/>
      </c>
      <c r="BI125" s="5">
        <f>IF(AND(BE125,ISNUMBER(BH125)),(BF125-BH125)^2,"")</f>
        <v/>
      </c>
      <c r="BJ125" s="5">
        <f>IF(BE125,1+SUMPRODUCT(--(calc!$BE$3:$BE$132=TRUE),--(calc!$BF$3:$BF$132&gt;BF125))+(SUMPRODUCT(--(calc!$BE$3:$BE$132=TRUE),--(calc!$BF$3:$BF$132=BF125))-1)/2,"")</f>
        <v/>
      </c>
      <c r="BK125" s="5">
        <f>IF(BE125,1+SUMPRODUCT(--(calc!$BE$3:$BE$132=TRUE),--(calc!$BG$3:$BG$132&gt;BG125))+(SUMPRODUCT(--(calc!$BE$3:$BE$132=TRUE),--(calc!$BG$3:$BG$132=BG125))-1)/2,"")</f>
        <v/>
      </c>
      <c r="BL125" s="5">
        <f>IF(BE125,SUMPRODUCT(--(calc!$BE$3:$BE$132=TRUE),--(ROW(calc!$BE$3:$BE$132)&gt;ROW(BE125)),--(((calc!$BJ$3:$BJ$132&gt;BJ125)*(calc!$BK$3:$BK$132&gt;BK125)+(calc!$BJ$3:$BJ$132&lt;BJ125)*(calc!$BK$3:$BK$132&lt;BK125))&gt;0))-SUMPRODUCT(--(calc!$BE$3:$BE$132=TRUE),--(ROW(calc!$BE$3:$BE$132)&gt;ROW(BE125)),--(((calc!$BJ$3:$BJ$132&gt;BJ125)*(calc!$BK$3:$BK$132&lt;BK125)+(calc!$BJ$3:$BJ$132&lt;BJ125)*(calc!$BK$3:$BK$132&gt;BK125))&gt;0)),0)</f>
        <v/>
      </c>
      <c r="BM125" s="5">
        <f>IF(mos_metrics!M124="","",mos_metrics!M124)</f>
        <v/>
      </c>
      <c r="BN125" s="2">
        <f>AND($J125,ISNUMBER(BM125),correlation!$I$32=1)</f>
        <v/>
      </c>
      <c r="BO125" s="5">
        <f>IF(BN125,$F125,"")</f>
        <v/>
      </c>
      <c r="BP125" s="5">
        <f>IF(BN125,BM125*correlation!$J$32,"")</f>
        <v/>
      </c>
      <c r="BQ125" s="5">
        <f>IF(AND(BN125,ISNUMBER(correlation!$F$32)),BP125*correlation!$F$32+correlation!$G$32,"")</f>
        <v/>
      </c>
      <c r="BR125" s="5">
        <f>IF(AND(BN125,ISNUMBER(BQ125)),(BO125-BQ125)^2,"")</f>
        <v/>
      </c>
      <c r="BS125" s="5">
        <f>IF(BN125,1+SUMPRODUCT(--(calc!$BN$3:$BN$132=TRUE),--(calc!$BO$3:$BO$132&gt;BO125))+(SUMPRODUCT(--(calc!$BN$3:$BN$132=TRUE),--(calc!$BO$3:$BO$132=BO125))-1)/2,"")</f>
        <v/>
      </c>
      <c r="BT125" s="5">
        <f>IF(BN125,1+SUMPRODUCT(--(calc!$BN$3:$BN$132=TRUE),--(calc!$BP$3:$BP$132&gt;BP125))+(SUMPRODUCT(--(calc!$BN$3:$BN$132=TRUE),--(calc!$BP$3:$BP$132=BP125))-1)/2,"")</f>
        <v/>
      </c>
      <c r="BU125" s="5">
        <f>IF(BN125,SUMPRODUCT(--(calc!$BN$3:$BN$132=TRUE),--(ROW(calc!$BN$3:$BN$132)&gt;ROW(BN125)),--(((calc!$BS$3:$BS$132&gt;BS125)*(calc!$BT$3:$BT$132&gt;BT125)+(calc!$BS$3:$BS$132&lt;BS125)*(calc!$BT$3:$BT$132&lt;BT125))&gt;0))-SUMPRODUCT(--(calc!$BN$3:$BN$132=TRUE),--(ROW(calc!$BN$3:$BN$132)&gt;ROW(BN125)),--(((calc!$BS$3:$BS$132&gt;BS125)*(calc!$BT$3:$BT$132&lt;BT125)+(calc!$BS$3:$BS$132&lt;BS125)*(calc!$BT$3:$BT$132&gt;BT125))&gt;0)),0)</f>
        <v/>
      </c>
    </row>
    <row r="126">
      <c r="A126" s="2">
        <f>mos_metrics!A125</f>
        <v/>
      </c>
      <c r="B126" s="2">
        <f>mos_metrics!B125</f>
        <v/>
      </c>
      <c r="C126" s="2">
        <f>mos_metrics!C125</f>
        <v/>
      </c>
      <c r="D126" s="2">
        <f>mos_metrics!D125</f>
        <v/>
      </c>
      <c r="E126" s="2">
        <f>mos_metrics!E125</f>
        <v/>
      </c>
      <c r="F126" s="2">
        <f>mos_metrics!F125</f>
        <v/>
      </c>
      <c r="G126" s="2">
        <f>IF($B126="","",IFERROR(VLOOKUP($B126,correlation!$A$2:$B$12,2,FALSE),1))</f>
        <v/>
      </c>
      <c r="H126" s="2">
        <f>IF($E126="","",IFERROR(VLOOKUP($E126,correlation!$D$2:$E$8,2,FALSE),1))</f>
        <v/>
      </c>
      <c r="I126" s="2">
        <f>ISNUMBER($F126)</f>
        <v/>
      </c>
      <c r="J126" s="2">
        <f>AND($G126=1,$H126=1,$I126)</f>
        <v/>
      </c>
      <c r="K126" s="5">
        <f>IF(mos_metrics!G125="","",mos_metrics!G125)</f>
        <v/>
      </c>
      <c r="L126" s="2">
        <f>AND($J126,ISNUMBER(K126),correlation!$I$26=1)</f>
        <v/>
      </c>
      <c r="M126" s="5">
        <f>IF(L126,$F126,"")</f>
        <v/>
      </c>
      <c r="N126" s="5">
        <f>IF(L126,K126*correlation!$J$26,"")</f>
        <v/>
      </c>
      <c r="O126" s="5">
        <f>IF(AND(L126,ISNUMBER(correlation!$F$26)),N126*correlation!$F$26+correlation!$G$26,"")</f>
        <v/>
      </c>
      <c r="P126" s="5">
        <f>IF(AND(L126,ISNUMBER(O126)),(M126-O126)^2,"")</f>
        <v/>
      </c>
      <c r="Q126" s="5">
        <f>IF(L126,1+SUMPRODUCT(--(calc!$L$3:$L$132=TRUE),--(calc!$M$3:$M$132&gt;M126))+(SUMPRODUCT(--(calc!$L$3:$L$132=TRUE),--(calc!$M$3:$M$132=M126))-1)/2,"")</f>
        <v/>
      </c>
      <c r="R126" s="5">
        <f>IF(L126,1+SUMPRODUCT(--(calc!$L$3:$L$132=TRUE),--(calc!$N$3:$N$132&gt;N126))+(SUMPRODUCT(--(calc!$L$3:$L$132=TRUE),--(calc!$N$3:$N$132=N126))-1)/2,"")</f>
        <v/>
      </c>
      <c r="S126" s="5">
        <f>IF(L126,SUMPRODUCT(--(calc!$L$3:$L$132=TRUE),--(ROW(calc!$L$3:$L$132)&gt;ROW(L126)),--(((calc!$Q$3:$Q$132&gt;Q126)*(calc!$R$3:$R$132&gt;R126)+(calc!$Q$3:$Q$132&lt;Q126)*(calc!$R$3:$R$132&lt;R126))&gt;0))-SUMPRODUCT(--(calc!$L$3:$L$132=TRUE),--(ROW(calc!$L$3:$L$132)&gt;ROW(L126)),--(((calc!$Q$3:$Q$132&gt;Q126)*(calc!$R$3:$R$132&lt;R126)+(calc!$Q$3:$Q$132&lt;Q126)*(calc!$R$3:$R$132&gt;R126))&gt;0)),0)</f>
        <v/>
      </c>
      <c r="T126" s="5">
        <f>IF(mos_metrics!H125="","",mos_metrics!H125)</f>
        <v/>
      </c>
      <c r="U126" s="2">
        <f>AND($J126,ISNUMBER(T126),correlation!$I$27=1)</f>
        <v/>
      </c>
      <c r="V126" s="5">
        <f>IF(U126,$F126,"")</f>
        <v/>
      </c>
      <c r="W126" s="5">
        <f>IF(U126,T126*correlation!$J$27,"")</f>
        <v/>
      </c>
      <c r="X126" s="5">
        <f>IF(AND(U126,ISNUMBER(correlation!$F$27)),W126*correlation!$F$27+correlation!$G$27,"")</f>
        <v/>
      </c>
      <c r="Y126" s="5">
        <f>IF(AND(U126,ISNUMBER(X126)),(V126-X126)^2,"")</f>
        <v/>
      </c>
      <c r="Z126" s="5">
        <f>IF(U126,1+SUMPRODUCT(--(calc!$U$3:$U$132=TRUE),--(calc!$V$3:$V$132&gt;V126))+(SUMPRODUCT(--(calc!$U$3:$U$132=TRUE),--(calc!$V$3:$V$132=V126))-1)/2,"")</f>
        <v/>
      </c>
      <c r="AA126" s="5">
        <f>IF(U126,1+SUMPRODUCT(--(calc!$U$3:$U$132=TRUE),--(calc!$W$3:$W$132&gt;W126))+(SUMPRODUCT(--(calc!$U$3:$U$132=TRUE),--(calc!$W$3:$W$132=W126))-1)/2,"")</f>
        <v/>
      </c>
      <c r="AB126" s="5">
        <f>IF(U126,SUMPRODUCT(--(calc!$U$3:$U$132=TRUE),--(ROW(calc!$U$3:$U$132)&gt;ROW(U126)),--(((calc!$Z$3:$Z$132&gt;Z126)*(calc!$AA$3:$AA$132&gt;AA126)+(calc!$Z$3:$Z$132&lt;Z126)*(calc!$AA$3:$AA$132&lt;AA126))&gt;0))-SUMPRODUCT(--(calc!$U$3:$U$132=TRUE),--(ROW(calc!$U$3:$U$132)&gt;ROW(U126)),--(((calc!$Z$3:$Z$132&gt;Z126)*(calc!$AA$3:$AA$132&lt;AA126)+(calc!$Z$3:$Z$132&lt;Z126)*(calc!$AA$3:$AA$132&gt;AA126))&gt;0)),0)</f>
        <v/>
      </c>
      <c r="AC126" s="5">
        <f>IF(mos_metrics!I125="","",mos_metrics!I125)</f>
        <v/>
      </c>
      <c r="AD126" s="2">
        <f>AND($J126,ISNUMBER(AC126),correlation!$I$28=1)</f>
        <v/>
      </c>
      <c r="AE126" s="5">
        <f>IF(AD126,$F126,"")</f>
        <v/>
      </c>
      <c r="AF126" s="5">
        <f>IF(AD126,AC126*correlation!$J$28,"")</f>
        <v/>
      </c>
      <c r="AG126" s="5">
        <f>IF(AND(AD126,ISNUMBER(correlation!$F$28)),AF126*correlation!$F$28+correlation!$G$28,"")</f>
        <v/>
      </c>
      <c r="AH126" s="5">
        <f>IF(AND(AD126,ISNUMBER(AG126)),(AE126-AG126)^2,"")</f>
        <v/>
      </c>
      <c r="AI126" s="5">
        <f>IF(AD126,1+SUMPRODUCT(--(calc!$AD$3:$AD$132=TRUE),--(calc!$AE$3:$AE$132&gt;AE126))+(SUMPRODUCT(--(calc!$AD$3:$AD$132=TRUE),--(calc!$AE$3:$AE$132=AE126))-1)/2,"")</f>
        <v/>
      </c>
      <c r="AJ126" s="5">
        <f>IF(AD126,1+SUMPRODUCT(--(calc!$AD$3:$AD$132=TRUE),--(calc!$AF$3:$AF$132&gt;AF126))+(SUMPRODUCT(--(calc!$AD$3:$AD$132=TRUE),--(calc!$AF$3:$AF$132=AF126))-1)/2,"")</f>
        <v/>
      </c>
      <c r="AK126" s="5">
        <f>IF(AD126,SUMPRODUCT(--(calc!$AD$3:$AD$132=TRUE),--(ROW(calc!$AD$3:$AD$132)&gt;ROW(AD126)),--(((calc!$AI$3:$AI$132&gt;AI126)*(calc!$AJ$3:$AJ$132&gt;AJ126)+(calc!$AI$3:$AI$132&lt;AI126)*(calc!$AJ$3:$AJ$132&lt;AJ126))&gt;0))-SUMPRODUCT(--(calc!$AD$3:$AD$132=TRUE),--(ROW(calc!$AD$3:$AD$132)&gt;ROW(AD126)),--(((calc!$AI$3:$AI$132&gt;AI126)*(calc!$AJ$3:$AJ$132&lt;AJ126)+(calc!$AI$3:$AI$132&lt;AI126)*(calc!$AJ$3:$AJ$132&gt;AJ126))&gt;0)),0)</f>
        <v/>
      </c>
      <c r="AL126" s="5">
        <f>IF(mos_metrics!J125="","",mos_metrics!J125)</f>
        <v/>
      </c>
      <c r="AM126" s="2">
        <f>AND($J126,ISNUMBER(AL126),correlation!$I$29=1)</f>
        <v/>
      </c>
      <c r="AN126" s="5">
        <f>IF(AM126,$F126,"")</f>
        <v/>
      </c>
      <c r="AO126" s="5">
        <f>IF(AM126,AL126*correlation!$J$29,"")</f>
        <v/>
      </c>
      <c r="AP126" s="5">
        <f>IF(AND(AM126,ISNUMBER(correlation!$F$29)),AO126*correlation!$F$29+correlation!$G$29,"")</f>
        <v/>
      </c>
      <c r="AQ126" s="5">
        <f>IF(AND(AM126,ISNUMBER(AP126)),(AN126-AP126)^2,"")</f>
        <v/>
      </c>
      <c r="AR126" s="5">
        <f>IF(AM126,1+SUMPRODUCT(--(calc!$AM$3:$AM$132=TRUE),--(calc!$AN$3:$AN$132&gt;AN126))+(SUMPRODUCT(--(calc!$AM$3:$AM$132=TRUE),--(calc!$AN$3:$AN$132=AN126))-1)/2,"")</f>
        <v/>
      </c>
      <c r="AS126" s="5">
        <f>IF(AM126,1+SUMPRODUCT(--(calc!$AM$3:$AM$132=TRUE),--(calc!$AO$3:$AO$132&gt;AO126))+(SUMPRODUCT(--(calc!$AM$3:$AM$132=TRUE),--(calc!$AO$3:$AO$132=AO126))-1)/2,"")</f>
        <v/>
      </c>
      <c r="AT126" s="5">
        <f>IF(AM126,SUMPRODUCT(--(calc!$AM$3:$AM$132=TRUE),--(ROW(calc!$AM$3:$AM$132)&gt;ROW(AM126)),--(((calc!$AR$3:$AR$132&gt;AR126)*(calc!$AS$3:$AS$132&gt;AS126)+(calc!$AR$3:$AR$132&lt;AR126)*(calc!$AS$3:$AS$132&lt;AS126))&gt;0))-SUMPRODUCT(--(calc!$AM$3:$AM$132=TRUE),--(ROW(calc!$AM$3:$AM$132)&gt;ROW(AM126)),--(((calc!$AR$3:$AR$132&gt;AR126)*(calc!$AS$3:$AS$132&lt;AS126)+(calc!$AR$3:$AR$132&lt;AR126)*(calc!$AS$3:$AS$132&gt;AS126))&gt;0)),0)</f>
        <v/>
      </c>
      <c r="AU126" s="5">
        <f>IF(mos_metrics!K125="","",mos_metrics!K125)</f>
        <v/>
      </c>
      <c r="AV126" s="2">
        <f>AND($J126,ISNUMBER(AU126),correlation!$I$30=1)</f>
        <v/>
      </c>
      <c r="AW126" s="5">
        <f>IF(AV126,$F126,"")</f>
        <v/>
      </c>
      <c r="AX126" s="5">
        <f>IF(AV126,AU126*correlation!$J$30,"")</f>
        <v/>
      </c>
      <c r="AY126" s="5">
        <f>IF(AND(AV126,ISNUMBER(correlation!$F$30)),AX126*correlation!$F$30+correlation!$G$30,"")</f>
        <v/>
      </c>
      <c r="AZ126" s="5">
        <f>IF(AND(AV126,ISNUMBER(AY126)),(AW126-AY126)^2,"")</f>
        <v/>
      </c>
      <c r="BA126" s="5">
        <f>IF(AV126,1+SUMPRODUCT(--(calc!$AV$3:$AV$132=TRUE),--(calc!$AW$3:$AW$132&gt;AW126))+(SUMPRODUCT(--(calc!$AV$3:$AV$132=TRUE),--(calc!$AW$3:$AW$132=AW126))-1)/2,"")</f>
        <v/>
      </c>
      <c r="BB126" s="5">
        <f>IF(AV126,1+SUMPRODUCT(--(calc!$AV$3:$AV$132=TRUE),--(calc!$AX$3:$AX$132&gt;AX126))+(SUMPRODUCT(--(calc!$AV$3:$AV$132=TRUE),--(calc!$AX$3:$AX$132=AX126))-1)/2,"")</f>
        <v/>
      </c>
      <c r="BC126" s="5">
        <f>IF(AV126,SUMPRODUCT(--(calc!$AV$3:$AV$132=TRUE),--(ROW(calc!$AV$3:$AV$132)&gt;ROW(AV126)),--(((calc!$BA$3:$BA$132&gt;BA126)*(calc!$BB$3:$BB$132&gt;BB126)+(calc!$BA$3:$BA$132&lt;BA126)*(calc!$BB$3:$BB$132&lt;BB126))&gt;0))-SUMPRODUCT(--(calc!$AV$3:$AV$132=TRUE),--(ROW(calc!$AV$3:$AV$132)&gt;ROW(AV126)),--(((calc!$BA$3:$BA$132&gt;BA126)*(calc!$BB$3:$BB$132&lt;BB126)+(calc!$BA$3:$BA$132&lt;BA126)*(calc!$BB$3:$BB$132&gt;BB126))&gt;0)),0)</f>
        <v/>
      </c>
      <c r="BD126" s="5">
        <f>IF(mos_metrics!L125="","",mos_metrics!L125)</f>
        <v/>
      </c>
      <c r="BE126" s="2">
        <f>AND($J126,ISNUMBER(BD126),correlation!$I$31=1)</f>
        <v/>
      </c>
      <c r="BF126" s="5">
        <f>IF(BE126,$F126,"")</f>
        <v/>
      </c>
      <c r="BG126" s="5">
        <f>IF(BE126,BD126*correlation!$J$31,"")</f>
        <v/>
      </c>
      <c r="BH126" s="5">
        <f>IF(AND(BE126,ISNUMBER(correlation!$F$31)),BG126*correlation!$F$31+correlation!$G$31,"")</f>
        <v/>
      </c>
      <c r="BI126" s="5">
        <f>IF(AND(BE126,ISNUMBER(BH126)),(BF126-BH126)^2,"")</f>
        <v/>
      </c>
      <c r="BJ126" s="5">
        <f>IF(BE126,1+SUMPRODUCT(--(calc!$BE$3:$BE$132=TRUE),--(calc!$BF$3:$BF$132&gt;BF126))+(SUMPRODUCT(--(calc!$BE$3:$BE$132=TRUE),--(calc!$BF$3:$BF$132=BF126))-1)/2,"")</f>
        <v/>
      </c>
      <c r="BK126" s="5">
        <f>IF(BE126,1+SUMPRODUCT(--(calc!$BE$3:$BE$132=TRUE),--(calc!$BG$3:$BG$132&gt;BG126))+(SUMPRODUCT(--(calc!$BE$3:$BE$132=TRUE),--(calc!$BG$3:$BG$132=BG126))-1)/2,"")</f>
        <v/>
      </c>
      <c r="BL126" s="5">
        <f>IF(BE126,SUMPRODUCT(--(calc!$BE$3:$BE$132=TRUE),--(ROW(calc!$BE$3:$BE$132)&gt;ROW(BE126)),--(((calc!$BJ$3:$BJ$132&gt;BJ126)*(calc!$BK$3:$BK$132&gt;BK126)+(calc!$BJ$3:$BJ$132&lt;BJ126)*(calc!$BK$3:$BK$132&lt;BK126))&gt;0))-SUMPRODUCT(--(calc!$BE$3:$BE$132=TRUE),--(ROW(calc!$BE$3:$BE$132)&gt;ROW(BE126)),--(((calc!$BJ$3:$BJ$132&gt;BJ126)*(calc!$BK$3:$BK$132&lt;BK126)+(calc!$BJ$3:$BJ$132&lt;BJ126)*(calc!$BK$3:$BK$132&gt;BK126))&gt;0)),0)</f>
        <v/>
      </c>
      <c r="BM126" s="5">
        <f>IF(mos_metrics!M125="","",mos_metrics!M125)</f>
        <v/>
      </c>
      <c r="BN126" s="2">
        <f>AND($J126,ISNUMBER(BM126),correlation!$I$32=1)</f>
        <v/>
      </c>
      <c r="BO126" s="5">
        <f>IF(BN126,$F126,"")</f>
        <v/>
      </c>
      <c r="BP126" s="5">
        <f>IF(BN126,BM126*correlation!$J$32,"")</f>
        <v/>
      </c>
      <c r="BQ126" s="5">
        <f>IF(AND(BN126,ISNUMBER(correlation!$F$32)),BP126*correlation!$F$32+correlation!$G$32,"")</f>
        <v/>
      </c>
      <c r="BR126" s="5">
        <f>IF(AND(BN126,ISNUMBER(BQ126)),(BO126-BQ126)^2,"")</f>
        <v/>
      </c>
      <c r="BS126" s="5">
        <f>IF(BN126,1+SUMPRODUCT(--(calc!$BN$3:$BN$132=TRUE),--(calc!$BO$3:$BO$132&gt;BO126))+(SUMPRODUCT(--(calc!$BN$3:$BN$132=TRUE),--(calc!$BO$3:$BO$132=BO126))-1)/2,"")</f>
        <v/>
      </c>
      <c r="BT126" s="5">
        <f>IF(BN126,1+SUMPRODUCT(--(calc!$BN$3:$BN$132=TRUE),--(calc!$BP$3:$BP$132&gt;BP126))+(SUMPRODUCT(--(calc!$BN$3:$BN$132=TRUE),--(calc!$BP$3:$BP$132=BP126))-1)/2,"")</f>
        <v/>
      </c>
      <c r="BU126" s="5">
        <f>IF(BN126,SUMPRODUCT(--(calc!$BN$3:$BN$132=TRUE),--(ROW(calc!$BN$3:$BN$132)&gt;ROW(BN126)),--(((calc!$BS$3:$BS$132&gt;BS126)*(calc!$BT$3:$BT$132&gt;BT126)+(calc!$BS$3:$BS$132&lt;BS126)*(calc!$BT$3:$BT$132&lt;BT126))&gt;0))-SUMPRODUCT(--(calc!$BN$3:$BN$132=TRUE),--(ROW(calc!$BN$3:$BN$132)&gt;ROW(BN126)),--(((calc!$BS$3:$BS$132&gt;BS126)*(calc!$BT$3:$BT$132&lt;BT126)+(calc!$BS$3:$BS$132&lt;BS126)*(calc!$BT$3:$BT$132&gt;BT126))&gt;0)),0)</f>
        <v/>
      </c>
    </row>
    <row r="127">
      <c r="A127" s="2">
        <f>mos_metrics!A126</f>
        <v/>
      </c>
      <c r="B127" s="2">
        <f>mos_metrics!B126</f>
        <v/>
      </c>
      <c r="C127" s="2">
        <f>mos_metrics!C126</f>
        <v/>
      </c>
      <c r="D127" s="2">
        <f>mos_metrics!D126</f>
        <v/>
      </c>
      <c r="E127" s="2">
        <f>mos_metrics!E126</f>
        <v/>
      </c>
      <c r="F127" s="2">
        <f>mos_metrics!F126</f>
        <v/>
      </c>
      <c r="G127" s="2">
        <f>IF($B127="","",IFERROR(VLOOKUP($B127,correlation!$A$2:$B$12,2,FALSE),1))</f>
        <v/>
      </c>
      <c r="H127" s="2">
        <f>IF($E127="","",IFERROR(VLOOKUP($E127,correlation!$D$2:$E$8,2,FALSE),1))</f>
        <v/>
      </c>
      <c r="I127" s="2">
        <f>ISNUMBER($F127)</f>
        <v/>
      </c>
      <c r="J127" s="2">
        <f>AND($G127=1,$H127=1,$I127)</f>
        <v/>
      </c>
      <c r="K127" s="5">
        <f>IF(mos_metrics!G126="","",mos_metrics!G126)</f>
        <v/>
      </c>
      <c r="L127" s="2">
        <f>AND($J127,ISNUMBER(K127),correlation!$I$26=1)</f>
        <v/>
      </c>
      <c r="M127" s="5">
        <f>IF(L127,$F127,"")</f>
        <v/>
      </c>
      <c r="N127" s="5">
        <f>IF(L127,K127*correlation!$J$26,"")</f>
        <v/>
      </c>
      <c r="O127" s="5">
        <f>IF(AND(L127,ISNUMBER(correlation!$F$26)),N127*correlation!$F$26+correlation!$G$26,"")</f>
        <v/>
      </c>
      <c r="P127" s="5">
        <f>IF(AND(L127,ISNUMBER(O127)),(M127-O127)^2,"")</f>
        <v/>
      </c>
      <c r="Q127" s="5">
        <f>IF(L127,1+SUMPRODUCT(--(calc!$L$3:$L$132=TRUE),--(calc!$M$3:$M$132&gt;M127))+(SUMPRODUCT(--(calc!$L$3:$L$132=TRUE),--(calc!$M$3:$M$132=M127))-1)/2,"")</f>
        <v/>
      </c>
      <c r="R127" s="5">
        <f>IF(L127,1+SUMPRODUCT(--(calc!$L$3:$L$132=TRUE),--(calc!$N$3:$N$132&gt;N127))+(SUMPRODUCT(--(calc!$L$3:$L$132=TRUE),--(calc!$N$3:$N$132=N127))-1)/2,"")</f>
        <v/>
      </c>
      <c r="S127" s="5">
        <f>IF(L127,SUMPRODUCT(--(calc!$L$3:$L$132=TRUE),--(ROW(calc!$L$3:$L$132)&gt;ROW(L127)),--(((calc!$Q$3:$Q$132&gt;Q127)*(calc!$R$3:$R$132&gt;R127)+(calc!$Q$3:$Q$132&lt;Q127)*(calc!$R$3:$R$132&lt;R127))&gt;0))-SUMPRODUCT(--(calc!$L$3:$L$132=TRUE),--(ROW(calc!$L$3:$L$132)&gt;ROW(L127)),--(((calc!$Q$3:$Q$132&gt;Q127)*(calc!$R$3:$R$132&lt;R127)+(calc!$Q$3:$Q$132&lt;Q127)*(calc!$R$3:$R$132&gt;R127))&gt;0)),0)</f>
        <v/>
      </c>
      <c r="T127" s="5">
        <f>IF(mos_metrics!H126="","",mos_metrics!H126)</f>
        <v/>
      </c>
      <c r="U127" s="2">
        <f>AND($J127,ISNUMBER(T127),correlation!$I$27=1)</f>
        <v/>
      </c>
      <c r="V127" s="5">
        <f>IF(U127,$F127,"")</f>
        <v/>
      </c>
      <c r="W127" s="5">
        <f>IF(U127,T127*correlation!$J$27,"")</f>
        <v/>
      </c>
      <c r="X127" s="5">
        <f>IF(AND(U127,ISNUMBER(correlation!$F$27)),W127*correlation!$F$27+correlation!$G$27,"")</f>
        <v/>
      </c>
      <c r="Y127" s="5">
        <f>IF(AND(U127,ISNUMBER(X127)),(V127-X127)^2,"")</f>
        <v/>
      </c>
      <c r="Z127" s="5">
        <f>IF(U127,1+SUMPRODUCT(--(calc!$U$3:$U$132=TRUE),--(calc!$V$3:$V$132&gt;V127))+(SUMPRODUCT(--(calc!$U$3:$U$132=TRUE),--(calc!$V$3:$V$132=V127))-1)/2,"")</f>
        <v/>
      </c>
      <c r="AA127" s="5">
        <f>IF(U127,1+SUMPRODUCT(--(calc!$U$3:$U$132=TRUE),--(calc!$W$3:$W$132&gt;W127))+(SUMPRODUCT(--(calc!$U$3:$U$132=TRUE),--(calc!$W$3:$W$132=W127))-1)/2,"")</f>
        <v/>
      </c>
      <c r="AB127" s="5">
        <f>IF(U127,SUMPRODUCT(--(calc!$U$3:$U$132=TRUE),--(ROW(calc!$U$3:$U$132)&gt;ROW(U127)),--(((calc!$Z$3:$Z$132&gt;Z127)*(calc!$AA$3:$AA$132&gt;AA127)+(calc!$Z$3:$Z$132&lt;Z127)*(calc!$AA$3:$AA$132&lt;AA127))&gt;0))-SUMPRODUCT(--(calc!$U$3:$U$132=TRUE),--(ROW(calc!$U$3:$U$132)&gt;ROW(U127)),--(((calc!$Z$3:$Z$132&gt;Z127)*(calc!$AA$3:$AA$132&lt;AA127)+(calc!$Z$3:$Z$132&lt;Z127)*(calc!$AA$3:$AA$132&gt;AA127))&gt;0)),0)</f>
        <v/>
      </c>
      <c r="AC127" s="5">
        <f>IF(mos_metrics!I126="","",mos_metrics!I126)</f>
        <v/>
      </c>
      <c r="AD127" s="2">
        <f>AND($J127,ISNUMBER(AC127),correlation!$I$28=1)</f>
        <v/>
      </c>
      <c r="AE127" s="5">
        <f>IF(AD127,$F127,"")</f>
        <v/>
      </c>
      <c r="AF127" s="5">
        <f>IF(AD127,AC127*correlation!$J$28,"")</f>
        <v/>
      </c>
      <c r="AG127" s="5">
        <f>IF(AND(AD127,ISNUMBER(correlation!$F$28)),AF127*correlation!$F$28+correlation!$G$28,"")</f>
        <v/>
      </c>
      <c r="AH127" s="5">
        <f>IF(AND(AD127,ISNUMBER(AG127)),(AE127-AG127)^2,"")</f>
        <v/>
      </c>
      <c r="AI127" s="5">
        <f>IF(AD127,1+SUMPRODUCT(--(calc!$AD$3:$AD$132=TRUE),--(calc!$AE$3:$AE$132&gt;AE127))+(SUMPRODUCT(--(calc!$AD$3:$AD$132=TRUE),--(calc!$AE$3:$AE$132=AE127))-1)/2,"")</f>
        <v/>
      </c>
      <c r="AJ127" s="5">
        <f>IF(AD127,1+SUMPRODUCT(--(calc!$AD$3:$AD$132=TRUE),--(calc!$AF$3:$AF$132&gt;AF127))+(SUMPRODUCT(--(calc!$AD$3:$AD$132=TRUE),--(calc!$AF$3:$AF$132=AF127))-1)/2,"")</f>
        <v/>
      </c>
      <c r="AK127" s="5">
        <f>IF(AD127,SUMPRODUCT(--(calc!$AD$3:$AD$132=TRUE),--(ROW(calc!$AD$3:$AD$132)&gt;ROW(AD127)),--(((calc!$AI$3:$AI$132&gt;AI127)*(calc!$AJ$3:$AJ$132&gt;AJ127)+(calc!$AI$3:$AI$132&lt;AI127)*(calc!$AJ$3:$AJ$132&lt;AJ127))&gt;0))-SUMPRODUCT(--(calc!$AD$3:$AD$132=TRUE),--(ROW(calc!$AD$3:$AD$132)&gt;ROW(AD127)),--(((calc!$AI$3:$AI$132&gt;AI127)*(calc!$AJ$3:$AJ$132&lt;AJ127)+(calc!$AI$3:$AI$132&lt;AI127)*(calc!$AJ$3:$AJ$132&gt;AJ127))&gt;0)),0)</f>
        <v/>
      </c>
      <c r="AL127" s="5">
        <f>IF(mos_metrics!J126="","",mos_metrics!J126)</f>
        <v/>
      </c>
      <c r="AM127" s="2">
        <f>AND($J127,ISNUMBER(AL127),correlation!$I$29=1)</f>
        <v/>
      </c>
      <c r="AN127" s="5">
        <f>IF(AM127,$F127,"")</f>
        <v/>
      </c>
      <c r="AO127" s="5">
        <f>IF(AM127,AL127*correlation!$J$29,"")</f>
        <v/>
      </c>
      <c r="AP127" s="5">
        <f>IF(AND(AM127,ISNUMBER(correlation!$F$29)),AO127*correlation!$F$29+correlation!$G$29,"")</f>
        <v/>
      </c>
      <c r="AQ127" s="5">
        <f>IF(AND(AM127,ISNUMBER(AP127)),(AN127-AP127)^2,"")</f>
        <v/>
      </c>
      <c r="AR127" s="5">
        <f>IF(AM127,1+SUMPRODUCT(--(calc!$AM$3:$AM$132=TRUE),--(calc!$AN$3:$AN$132&gt;AN127))+(SUMPRODUCT(--(calc!$AM$3:$AM$132=TRUE),--(calc!$AN$3:$AN$132=AN127))-1)/2,"")</f>
        <v/>
      </c>
      <c r="AS127" s="5">
        <f>IF(AM127,1+SUMPRODUCT(--(calc!$AM$3:$AM$132=TRUE),--(calc!$AO$3:$AO$132&gt;AO127))+(SUMPRODUCT(--(calc!$AM$3:$AM$132=TRUE),--(calc!$AO$3:$AO$132=AO127))-1)/2,"")</f>
        <v/>
      </c>
      <c r="AT127" s="5">
        <f>IF(AM127,SUMPRODUCT(--(calc!$AM$3:$AM$132=TRUE),--(ROW(calc!$AM$3:$AM$132)&gt;ROW(AM127)),--(((calc!$AR$3:$AR$132&gt;AR127)*(calc!$AS$3:$AS$132&gt;AS127)+(calc!$AR$3:$AR$132&lt;AR127)*(calc!$AS$3:$AS$132&lt;AS127))&gt;0))-SUMPRODUCT(--(calc!$AM$3:$AM$132=TRUE),--(ROW(calc!$AM$3:$AM$132)&gt;ROW(AM127)),--(((calc!$AR$3:$AR$132&gt;AR127)*(calc!$AS$3:$AS$132&lt;AS127)+(calc!$AR$3:$AR$132&lt;AR127)*(calc!$AS$3:$AS$132&gt;AS127))&gt;0)),0)</f>
        <v/>
      </c>
      <c r="AU127" s="5">
        <f>IF(mos_metrics!K126="","",mos_metrics!K126)</f>
        <v/>
      </c>
      <c r="AV127" s="2">
        <f>AND($J127,ISNUMBER(AU127),correlation!$I$30=1)</f>
        <v/>
      </c>
      <c r="AW127" s="5">
        <f>IF(AV127,$F127,"")</f>
        <v/>
      </c>
      <c r="AX127" s="5">
        <f>IF(AV127,AU127*correlation!$J$30,"")</f>
        <v/>
      </c>
      <c r="AY127" s="5">
        <f>IF(AND(AV127,ISNUMBER(correlation!$F$30)),AX127*correlation!$F$30+correlation!$G$30,"")</f>
        <v/>
      </c>
      <c r="AZ127" s="5">
        <f>IF(AND(AV127,ISNUMBER(AY127)),(AW127-AY127)^2,"")</f>
        <v/>
      </c>
      <c r="BA127" s="5">
        <f>IF(AV127,1+SUMPRODUCT(--(calc!$AV$3:$AV$132=TRUE),--(calc!$AW$3:$AW$132&gt;AW127))+(SUMPRODUCT(--(calc!$AV$3:$AV$132=TRUE),--(calc!$AW$3:$AW$132=AW127))-1)/2,"")</f>
        <v/>
      </c>
      <c r="BB127" s="5">
        <f>IF(AV127,1+SUMPRODUCT(--(calc!$AV$3:$AV$132=TRUE),--(calc!$AX$3:$AX$132&gt;AX127))+(SUMPRODUCT(--(calc!$AV$3:$AV$132=TRUE),--(calc!$AX$3:$AX$132=AX127))-1)/2,"")</f>
        <v/>
      </c>
      <c r="BC127" s="5">
        <f>IF(AV127,SUMPRODUCT(--(calc!$AV$3:$AV$132=TRUE),--(ROW(calc!$AV$3:$AV$132)&gt;ROW(AV127)),--(((calc!$BA$3:$BA$132&gt;BA127)*(calc!$BB$3:$BB$132&gt;BB127)+(calc!$BA$3:$BA$132&lt;BA127)*(calc!$BB$3:$BB$132&lt;BB127))&gt;0))-SUMPRODUCT(--(calc!$AV$3:$AV$132=TRUE),--(ROW(calc!$AV$3:$AV$132)&gt;ROW(AV127)),--(((calc!$BA$3:$BA$132&gt;BA127)*(calc!$BB$3:$BB$132&lt;BB127)+(calc!$BA$3:$BA$132&lt;BA127)*(calc!$BB$3:$BB$132&gt;BB127))&gt;0)),0)</f>
        <v/>
      </c>
      <c r="BD127" s="5">
        <f>IF(mos_metrics!L126="","",mos_metrics!L126)</f>
        <v/>
      </c>
      <c r="BE127" s="2">
        <f>AND($J127,ISNUMBER(BD127),correlation!$I$31=1)</f>
        <v/>
      </c>
      <c r="BF127" s="5">
        <f>IF(BE127,$F127,"")</f>
        <v/>
      </c>
      <c r="BG127" s="5">
        <f>IF(BE127,BD127*correlation!$J$31,"")</f>
        <v/>
      </c>
      <c r="BH127" s="5">
        <f>IF(AND(BE127,ISNUMBER(correlation!$F$31)),BG127*correlation!$F$31+correlation!$G$31,"")</f>
        <v/>
      </c>
      <c r="BI127" s="5">
        <f>IF(AND(BE127,ISNUMBER(BH127)),(BF127-BH127)^2,"")</f>
        <v/>
      </c>
      <c r="BJ127" s="5">
        <f>IF(BE127,1+SUMPRODUCT(--(calc!$BE$3:$BE$132=TRUE),--(calc!$BF$3:$BF$132&gt;BF127))+(SUMPRODUCT(--(calc!$BE$3:$BE$132=TRUE),--(calc!$BF$3:$BF$132=BF127))-1)/2,"")</f>
        <v/>
      </c>
      <c r="BK127" s="5">
        <f>IF(BE127,1+SUMPRODUCT(--(calc!$BE$3:$BE$132=TRUE),--(calc!$BG$3:$BG$132&gt;BG127))+(SUMPRODUCT(--(calc!$BE$3:$BE$132=TRUE),--(calc!$BG$3:$BG$132=BG127))-1)/2,"")</f>
        <v/>
      </c>
      <c r="BL127" s="5">
        <f>IF(BE127,SUMPRODUCT(--(calc!$BE$3:$BE$132=TRUE),--(ROW(calc!$BE$3:$BE$132)&gt;ROW(BE127)),--(((calc!$BJ$3:$BJ$132&gt;BJ127)*(calc!$BK$3:$BK$132&gt;BK127)+(calc!$BJ$3:$BJ$132&lt;BJ127)*(calc!$BK$3:$BK$132&lt;BK127))&gt;0))-SUMPRODUCT(--(calc!$BE$3:$BE$132=TRUE),--(ROW(calc!$BE$3:$BE$132)&gt;ROW(BE127)),--(((calc!$BJ$3:$BJ$132&gt;BJ127)*(calc!$BK$3:$BK$132&lt;BK127)+(calc!$BJ$3:$BJ$132&lt;BJ127)*(calc!$BK$3:$BK$132&gt;BK127))&gt;0)),0)</f>
        <v/>
      </c>
      <c r="BM127" s="5">
        <f>IF(mos_metrics!M126="","",mos_metrics!M126)</f>
        <v/>
      </c>
      <c r="BN127" s="2">
        <f>AND($J127,ISNUMBER(BM127),correlation!$I$32=1)</f>
        <v/>
      </c>
      <c r="BO127" s="5">
        <f>IF(BN127,$F127,"")</f>
        <v/>
      </c>
      <c r="BP127" s="5">
        <f>IF(BN127,BM127*correlation!$J$32,"")</f>
        <v/>
      </c>
      <c r="BQ127" s="5">
        <f>IF(AND(BN127,ISNUMBER(correlation!$F$32)),BP127*correlation!$F$32+correlation!$G$32,"")</f>
        <v/>
      </c>
      <c r="BR127" s="5">
        <f>IF(AND(BN127,ISNUMBER(BQ127)),(BO127-BQ127)^2,"")</f>
        <v/>
      </c>
      <c r="BS127" s="5">
        <f>IF(BN127,1+SUMPRODUCT(--(calc!$BN$3:$BN$132=TRUE),--(calc!$BO$3:$BO$132&gt;BO127))+(SUMPRODUCT(--(calc!$BN$3:$BN$132=TRUE),--(calc!$BO$3:$BO$132=BO127))-1)/2,"")</f>
        <v/>
      </c>
      <c r="BT127" s="5">
        <f>IF(BN127,1+SUMPRODUCT(--(calc!$BN$3:$BN$132=TRUE),--(calc!$BP$3:$BP$132&gt;BP127))+(SUMPRODUCT(--(calc!$BN$3:$BN$132=TRUE),--(calc!$BP$3:$BP$132=BP127))-1)/2,"")</f>
        <v/>
      </c>
      <c r="BU127" s="5">
        <f>IF(BN127,SUMPRODUCT(--(calc!$BN$3:$BN$132=TRUE),--(ROW(calc!$BN$3:$BN$132)&gt;ROW(BN127)),--(((calc!$BS$3:$BS$132&gt;BS127)*(calc!$BT$3:$BT$132&gt;BT127)+(calc!$BS$3:$BS$132&lt;BS127)*(calc!$BT$3:$BT$132&lt;BT127))&gt;0))-SUMPRODUCT(--(calc!$BN$3:$BN$132=TRUE),--(ROW(calc!$BN$3:$BN$132)&gt;ROW(BN127)),--(((calc!$BS$3:$BS$132&gt;BS127)*(calc!$BT$3:$BT$132&lt;BT127)+(calc!$BS$3:$BS$132&lt;BS127)*(calc!$BT$3:$BT$132&gt;BT127))&gt;0)),0)</f>
        <v/>
      </c>
    </row>
    <row r="128">
      <c r="A128" s="2">
        <f>mos_metrics!A127</f>
        <v/>
      </c>
      <c r="B128" s="2">
        <f>mos_metrics!B127</f>
        <v/>
      </c>
      <c r="C128" s="2">
        <f>mos_metrics!C127</f>
        <v/>
      </c>
      <c r="D128" s="2">
        <f>mos_metrics!D127</f>
        <v/>
      </c>
      <c r="E128" s="2">
        <f>mos_metrics!E127</f>
        <v/>
      </c>
      <c r="F128" s="2">
        <f>mos_metrics!F127</f>
        <v/>
      </c>
      <c r="G128" s="2">
        <f>IF($B128="","",IFERROR(VLOOKUP($B128,correlation!$A$2:$B$12,2,FALSE),1))</f>
        <v/>
      </c>
      <c r="H128" s="2">
        <f>IF($E128="","",IFERROR(VLOOKUP($E128,correlation!$D$2:$E$8,2,FALSE),1))</f>
        <v/>
      </c>
      <c r="I128" s="2">
        <f>ISNUMBER($F128)</f>
        <v/>
      </c>
      <c r="J128" s="2">
        <f>AND($G128=1,$H128=1,$I128)</f>
        <v/>
      </c>
      <c r="K128" s="5">
        <f>IF(mos_metrics!G127="","",mos_metrics!G127)</f>
        <v/>
      </c>
      <c r="L128" s="2">
        <f>AND($J128,ISNUMBER(K128),correlation!$I$26=1)</f>
        <v/>
      </c>
      <c r="M128" s="5">
        <f>IF(L128,$F128,"")</f>
        <v/>
      </c>
      <c r="N128" s="5">
        <f>IF(L128,K128*correlation!$J$26,"")</f>
        <v/>
      </c>
      <c r="O128" s="5">
        <f>IF(AND(L128,ISNUMBER(correlation!$F$26)),N128*correlation!$F$26+correlation!$G$26,"")</f>
        <v/>
      </c>
      <c r="P128" s="5">
        <f>IF(AND(L128,ISNUMBER(O128)),(M128-O128)^2,"")</f>
        <v/>
      </c>
      <c r="Q128" s="5">
        <f>IF(L128,1+SUMPRODUCT(--(calc!$L$3:$L$132=TRUE),--(calc!$M$3:$M$132&gt;M128))+(SUMPRODUCT(--(calc!$L$3:$L$132=TRUE),--(calc!$M$3:$M$132=M128))-1)/2,"")</f>
        <v/>
      </c>
      <c r="R128" s="5">
        <f>IF(L128,1+SUMPRODUCT(--(calc!$L$3:$L$132=TRUE),--(calc!$N$3:$N$132&gt;N128))+(SUMPRODUCT(--(calc!$L$3:$L$132=TRUE),--(calc!$N$3:$N$132=N128))-1)/2,"")</f>
        <v/>
      </c>
      <c r="S128" s="5">
        <f>IF(L128,SUMPRODUCT(--(calc!$L$3:$L$132=TRUE),--(ROW(calc!$L$3:$L$132)&gt;ROW(L128)),--(((calc!$Q$3:$Q$132&gt;Q128)*(calc!$R$3:$R$132&gt;R128)+(calc!$Q$3:$Q$132&lt;Q128)*(calc!$R$3:$R$132&lt;R128))&gt;0))-SUMPRODUCT(--(calc!$L$3:$L$132=TRUE),--(ROW(calc!$L$3:$L$132)&gt;ROW(L128)),--(((calc!$Q$3:$Q$132&gt;Q128)*(calc!$R$3:$R$132&lt;R128)+(calc!$Q$3:$Q$132&lt;Q128)*(calc!$R$3:$R$132&gt;R128))&gt;0)),0)</f>
        <v/>
      </c>
      <c r="T128" s="5">
        <f>IF(mos_metrics!H127="","",mos_metrics!H127)</f>
        <v/>
      </c>
      <c r="U128" s="2">
        <f>AND($J128,ISNUMBER(T128),correlation!$I$27=1)</f>
        <v/>
      </c>
      <c r="V128" s="5">
        <f>IF(U128,$F128,"")</f>
        <v/>
      </c>
      <c r="W128" s="5">
        <f>IF(U128,T128*correlation!$J$27,"")</f>
        <v/>
      </c>
      <c r="X128" s="5">
        <f>IF(AND(U128,ISNUMBER(correlation!$F$27)),W128*correlation!$F$27+correlation!$G$27,"")</f>
        <v/>
      </c>
      <c r="Y128" s="5">
        <f>IF(AND(U128,ISNUMBER(X128)),(V128-X128)^2,"")</f>
        <v/>
      </c>
      <c r="Z128" s="5">
        <f>IF(U128,1+SUMPRODUCT(--(calc!$U$3:$U$132=TRUE),--(calc!$V$3:$V$132&gt;V128))+(SUMPRODUCT(--(calc!$U$3:$U$132=TRUE),--(calc!$V$3:$V$132=V128))-1)/2,"")</f>
        <v/>
      </c>
      <c r="AA128" s="5">
        <f>IF(U128,1+SUMPRODUCT(--(calc!$U$3:$U$132=TRUE),--(calc!$W$3:$W$132&gt;W128))+(SUMPRODUCT(--(calc!$U$3:$U$132=TRUE),--(calc!$W$3:$W$132=W128))-1)/2,"")</f>
        <v/>
      </c>
      <c r="AB128" s="5">
        <f>IF(U128,SUMPRODUCT(--(calc!$U$3:$U$132=TRUE),--(ROW(calc!$U$3:$U$132)&gt;ROW(U128)),--(((calc!$Z$3:$Z$132&gt;Z128)*(calc!$AA$3:$AA$132&gt;AA128)+(calc!$Z$3:$Z$132&lt;Z128)*(calc!$AA$3:$AA$132&lt;AA128))&gt;0))-SUMPRODUCT(--(calc!$U$3:$U$132=TRUE),--(ROW(calc!$U$3:$U$132)&gt;ROW(U128)),--(((calc!$Z$3:$Z$132&gt;Z128)*(calc!$AA$3:$AA$132&lt;AA128)+(calc!$Z$3:$Z$132&lt;Z128)*(calc!$AA$3:$AA$132&gt;AA128))&gt;0)),0)</f>
        <v/>
      </c>
      <c r="AC128" s="5">
        <f>IF(mos_metrics!I127="","",mos_metrics!I127)</f>
        <v/>
      </c>
      <c r="AD128" s="2">
        <f>AND($J128,ISNUMBER(AC128),correlation!$I$28=1)</f>
        <v/>
      </c>
      <c r="AE128" s="5">
        <f>IF(AD128,$F128,"")</f>
        <v/>
      </c>
      <c r="AF128" s="5">
        <f>IF(AD128,AC128*correlation!$J$28,"")</f>
        <v/>
      </c>
      <c r="AG128" s="5">
        <f>IF(AND(AD128,ISNUMBER(correlation!$F$28)),AF128*correlation!$F$28+correlation!$G$28,"")</f>
        <v/>
      </c>
      <c r="AH128" s="5">
        <f>IF(AND(AD128,ISNUMBER(AG128)),(AE128-AG128)^2,"")</f>
        <v/>
      </c>
      <c r="AI128" s="5">
        <f>IF(AD128,1+SUMPRODUCT(--(calc!$AD$3:$AD$132=TRUE),--(calc!$AE$3:$AE$132&gt;AE128))+(SUMPRODUCT(--(calc!$AD$3:$AD$132=TRUE),--(calc!$AE$3:$AE$132=AE128))-1)/2,"")</f>
        <v/>
      </c>
      <c r="AJ128" s="5">
        <f>IF(AD128,1+SUMPRODUCT(--(calc!$AD$3:$AD$132=TRUE),--(calc!$AF$3:$AF$132&gt;AF128))+(SUMPRODUCT(--(calc!$AD$3:$AD$132=TRUE),--(calc!$AF$3:$AF$132=AF128))-1)/2,"")</f>
        <v/>
      </c>
      <c r="AK128" s="5">
        <f>IF(AD128,SUMPRODUCT(--(calc!$AD$3:$AD$132=TRUE),--(ROW(calc!$AD$3:$AD$132)&gt;ROW(AD128)),--(((calc!$AI$3:$AI$132&gt;AI128)*(calc!$AJ$3:$AJ$132&gt;AJ128)+(calc!$AI$3:$AI$132&lt;AI128)*(calc!$AJ$3:$AJ$132&lt;AJ128))&gt;0))-SUMPRODUCT(--(calc!$AD$3:$AD$132=TRUE),--(ROW(calc!$AD$3:$AD$132)&gt;ROW(AD128)),--(((calc!$AI$3:$AI$132&gt;AI128)*(calc!$AJ$3:$AJ$132&lt;AJ128)+(calc!$AI$3:$AI$132&lt;AI128)*(calc!$AJ$3:$AJ$132&gt;AJ128))&gt;0)),0)</f>
        <v/>
      </c>
      <c r="AL128" s="5">
        <f>IF(mos_metrics!J127="","",mos_metrics!J127)</f>
        <v/>
      </c>
      <c r="AM128" s="2">
        <f>AND($J128,ISNUMBER(AL128),correlation!$I$29=1)</f>
        <v/>
      </c>
      <c r="AN128" s="5">
        <f>IF(AM128,$F128,"")</f>
        <v/>
      </c>
      <c r="AO128" s="5">
        <f>IF(AM128,AL128*correlation!$J$29,"")</f>
        <v/>
      </c>
      <c r="AP128" s="5">
        <f>IF(AND(AM128,ISNUMBER(correlation!$F$29)),AO128*correlation!$F$29+correlation!$G$29,"")</f>
        <v/>
      </c>
      <c r="AQ128" s="5">
        <f>IF(AND(AM128,ISNUMBER(AP128)),(AN128-AP128)^2,"")</f>
        <v/>
      </c>
      <c r="AR128" s="5">
        <f>IF(AM128,1+SUMPRODUCT(--(calc!$AM$3:$AM$132=TRUE),--(calc!$AN$3:$AN$132&gt;AN128))+(SUMPRODUCT(--(calc!$AM$3:$AM$132=TRUE),--(calc!$AN$3:$AN$132=AN128))-1)/2,"")</f>
        <v/>
      </c>
      <c r="AS128" s="5">
        <f>IF(AM128,1+SUMPRODUCT(--(calc!$AM$3:$AM$132=TRUE),--(calc!$AO$3:$AO$132&gt;AO128))+(SUMPRODUCT(--(calc!$AM$3:$AM$132=TRUE),--(calc!$AO$3:$AO$132=AO128))-1)/2,"")</f>
        <v/>
      </c>
      <c r="AT128" s="5">
        <f>IF(AM128,SUMPRODUCT(--(calc!$AM$3:$AM$132=TRUE),--(ROW(calc!$AM$3:$AM$132)&gt;ROW(AM128)),--(((calc!$AR$3:$AR$132&gt;AR128)*(calc!$AS$3:$AS$132&gt;AS128)+(calc!$AR$3:$AR$132&lt;AR128)*(calc!$AS$3:$AS$132&lt;AS128))&gt;0))-SUMPRODUCT(--(calc!$AM$3:$AM$132=TRUE),--(ROW(calc!$AM$3:$AM$132)&gt;ROW(AM128)),--(((calc!$AR$3:$AR$132&gt;AR128)*(calc!$AS$3:$AS$132&lt;AS128)+(calc!$AR$3:$AR$132&lt;AR128)*(calc!$AS$3:$AS$132&gt;AS128))&gt;0)),0)</f>
        <v/>
      </c>
      <c r="AU128" s="5">
        <f>IF(mos_metrics!K127="","",mos_metrics!K127)</f>
        <v/>
      </c>
      <c r="AV128" s="2">
        <f>AND($J128,ISNUMBER(AU128),correlation!$I$30=1)</f>
        <v/>
      </c>
      <c r="AW128" s="5">
        <f>IF(AV128,$F128,"")</f>
        <v/>
      </c>
      <c r="AX128" s="5">
        <f>IF(AV128,AU128*correlation!$J$30,"")</f>
        <v/>
      </c>
      <c r="AY128" s="5">
        <f>IF(AND(AV128,ISNUMBER(correlation!$F$30)),AX128*correlation!$F$30+correlation!$G$30,"")</f>
        <v/>
      </c>
      <c r="AZ128" s="5">
        <f>IF(AND(AV128,ISNUMBER(AY128)),(AW128-AY128)^2,"")</f>
        <v/>
      </c>
      <c r="BA128" s="5">
        <f>IF(AV128,1+SUMPRODUCT(--(calc!$AV$3:$AV$132=TRUE),--(calc!$AW$3:$AW$132&gt;AW128))+(SUMPRODUCT(--(calc!$AV$3:$AV$132=TRUE),--(calc!$AW$3:$AW$132=AW128))-1)/2,"")</f>
        <v/>
      </c>
      <c r="BB128" s="5">
        <f>IF(AV128,1+SUMPRODUCT(--(calc!$AV$3:$AV$132=TRUE),--(calc!$AX$3:$AX$132&gt;AX128))+(SUMPRODUCT(--(calc!$AV$3:$AV$132=TRUE),--(calc!$AX$3:$AX$132=AX128))-1)/2,"")</f>
        <v/>
      </c>
      <c r="BC128" s="5">
        <f>IF(AV128,SUMPRODUCT(--(calc!$AV$3:$AV$132=TRUE),--(ROW(calc!$AV$3:$AV$132)&gt;ROW(AV128)),--(((calc!$BA$3:$BA$132&gt;BA128)*(calc!$BB$3:$BB$132&gt;BB128)+(calc!$BA$3:$BA$132&lt;BA128)*(calc!$BB$3:$BB$132&lt;BB128))&gt;0))-SUMPRODUCT(--(calc!$AV$3:$AV$132=TRUE),--(ROW(calc!$AV$3:$AV$132)&gt;ROW(AV128)),--(((calc!$BA$3:$BA$132&gt;BA128)*(calc!$BB$3:$BB$132&lt;BB128)+(calc!$BA$3:$BA$132&lt;BA128)*(calc!$BB$3:$BB$132&gt;BB128))&gt;0)),0)</f>
        <v/>
      </c>
      <c r="BD128" s="5">
        <f>IF(mos_metrics!L127="","",mos_metrics!L127)</f>
        <v/>
      </c>
      <c r="BE128" s="2">
        <f>AND($J128,ISNUMBER(BD128),correlation!$I$31=1)</f>
        <v/>
      </c>
      <c r="BF128" s="5">
        <f>IF(BE128,$F128,"")</f>
        <v/>
      </c>
      <c r="BG128" s="5">
        <f>IF(BE128,BD128*correlation!$J$31,"")</f>
        <v/>
      </c>
      <c r="BH128" s="5">
        <f>IF(AND(BE128,ISNUMBER(correlation!$F$31)),BG128*correlation!$F$31+correlation!$G$31,"")</f>
        <v/>
      </c>
      <c r="BI128" s="5">
        <f>IF(AND(BE128,ISNUMBER(BH128)),(BF128-BH128)^2,"")</f>
        <v/>
      </c>
      <c r="BJ128" s="5">
        <f>IF(BE128,1+SUMPRODUCT(--(calc!$BE$3:$BE$132=TRUE),--(calc!$BF$3:$BF$132&gt;BF128))+(SUMPRODUCT(--(calc!$BE$3:$BE$132=TRUE),--(calc!$BF$3:$BF$132=BF128))-1)/2,"")</f>
        <v/>
      </c>
      <c r="BK128" s="5">
        <f>IF(BE128,1+SUMPRODUCT(--(calc!$BE$3:$BE$132=TRUE),--(calc!$BG$3:$BG$132&gt;BG128))+(SUMPRODUCT(--(calc!$BE$3:$BE$132=TRUE),--(calc!$BG$3:$BG$132=BG128))-1)/2,"")</f>
        <v/>
      </c>
      <c r="BL128" s="5">
        <f>IF(BE128,SUMPRODUCT(--(calc!$BE$3:$BE$132=TRUE),--(ROW(calc!$BE$3:$BE$132)&gt;ROW(BE128)),--(((calc!$BJ$3:$BJ$132&gt;BJ128)*(calc!$BK$3:$BK$132&gt;BK128)+(calc!$BJ$3:$BJ$132&lt;BJ128)*(calc!$BK$3:$BK$132&lt;BK128))&gt;0))-SUMPRODUCT(--(calc!$BE$3:$BE$132=TRUE),--(ROW(calc!$BE$3:$BE$132)&gt;ROW(BE128)),--(((calc!$BJ$3:$BJ$132&gt;BJ128)*(calc!$BK$3:$BK$132&lt;BK128)+(calc!$BJ$3:$BJ$132&lt;BJ128)*(calc!$BK$3:$BK$132&gt;BK128))&gt;0)),0)</f>
        <v/>
      </c>
      <c r="BM128" s="5">
        <f>IF(mos_metrics!M127="","",mos_metrics!M127)</f>
        <v/>
      </c>
      <c r="BN128" s="2">
        <f>AND($J128,ISNUMBER(BM128),correlation!$I$32=1)</f>
        <v/>
      </c>
      <c r="BO128" s="5">
        <f>IF(BN128,$F128,"")</f>
        <v/>
      </c>
      <c r="BP128" s="5">
        <f>IF(BN128,BM128*correlation!$J$32,"")</f>
        <v/>
      </c>
      <c r="BQ128" s="5">
        <f>IF(AND(BN128,ISNUMBER(correlation!$F$32)),BP128*correlation!$F$32+correlation!$G$32,"")</f>
        <v/>
      </c>
      <c r="BR128" s="5">
        <f>IF(AND(BN128,ISNUMBER(BQ128)),(BO128-BQ128)^2,"")</f>
        <v/>
      </c>
      <c r="BS128" s="5">
        <f>IF(BN128,1+SUMPRODUCT(--(calc!$BN$3:$BN$132=TRUE),--(calc!$BO$3:$BO$132&gt;BO128))+(SUMPRODUCT(--(calc!$BN$3:$BN$132=TRUE),--(calc!$BO$3:$BO$132=BO128))-1)/2,"")</f>
        <v/>
      </c>
      <c r="BT128" s="5">
        <f>IF(BN128,1+SUMPRODUCT(--(calc!$BN$3:$BN$132=TRUE),--(calc!$BP$3:$BP$132&gt;BP128))+(SUMPRODUCT(--(calc!$BN$3:$BN$132=TRUE),--(calc!$BP$3:$BP$132=BP128))-1)/2,"")</f>
        <v/>
      </c>
      <c r="BU128" s="5">
        <f>IF(BN128,SUMPRODUCT(--(calc!$BN$3:$BN$132=TRUE),--(ROW(calc!$BN$3:$BN$132)&gt;ROW(BN128)),--(((calc!$BS$3:$BS$132&gt;BS128)*(calc!$BT$3:$BT$132&gt;BT128)+(calc!$BS$3:$BS$132&lt;BS128)*(calc!$BT$3:$BT$132&lt;BT128))&gt;0))-SUMPRODUCT(--(calc!$BN$3:$BN$132=TRUE),--(ROW(calc!$BN$3:$BN$132)&gt;ROW(BN128)),--(((calc!$BS$3:$BS$132&gt;BS128)*(calc!$BT$3:$BT$132&lt;BT128)+(calc!$BS$3:$BS$132&lt;BS128)*(calc!$BT$3:$BT$132&gt;BT128))&gt;0)),0)</f>
        <v/>
      </c>
    </row>
    <row r="129">
      <c r="A129" s="2">
        <f>mos_metrics!A128</f>
        <v/>
      </c>
      <c r="B129" s="2">
        <f>mos_metrics!B128</f>
        <v/>
      </c>
      <c r="C129" s="2">
        <f>mos_metrics!C128</f>
        <v/>
      </c>
      <c r="D129" s="2">
        <f>mos_metrics!D128</f>
        <v/>
      </c>
      <c r="E129" s="2">
        <f>mos_metrics!E128</f>
        <v/>
      </c>
      <c r="F129" s="2">
        <f>mos_metrics!F128</f>
        <v/>
      </c>
      <c r="G129" s="2">
        <f>IF($B129="","",IFERROR(VLOOKUP($B129,correlation!$A$2:$B$12,2,FALSE),1))</f>
        <v/>
      </c>
      <c r="H129" s="2">
        <f>IF($E129="","",IFERROR(VLOOKUP($E129,correlation!$D$2:$E$8,2,FALSE),1))</f>
        <v/>
      </c>
      <c r="I129" s="2">
        <f>ISNUMBER($F129)</f>
        <v/>
      </c>
      <c r="J129" s="2">
        <f>AND($G129=1,$H129=1,$I129)</f>
        <v/>
      </c>
      <c r="K129" s="5">
        <f>IF(mos_metrics!G128="","",mos_metrics!G128)</f>
        <v/>
      </c>
      <c r="L129" s="2">
        <f>AND($J129,ISNUMBER(K129),correlation!$I$26=1)</f>
        <v/>
      </c>
      <c r="M129" s="5">
        <f>IF(L129,$F129,"")</f>
        <v/>
      </c>
      <c r="N129" s="5">
        <f>IF(L129,K129*correlation!$J$26,"")</f>
        <v/>
      </c>
      <c r="O129" s="5">
        <f>IF(AND(L129,ISNUMBER(correlation!$F$26)),N129*correlation!$F$26+correlation!$G$26,"")</f>
        <v/>
      </c>
      <c r="P129" s="5">
        <f>IF(AND(L129,ISNUMBER(O129)),(M129-O129)^2,"")</f>
        <v/>
      </c>
      <c r="Q129" s="5">
        <f>IF(L129,1+SUMPRODUCT(--(calc!$L$3:$L$132=TRUE),--(calc!$M$3:$M$132&gt;M129))+(SUMPRODUCT(--(calc!$L$3:$L$132=TRUE),--(calc!$M$3:$M$132=M129))-1)/2,"")</f>
        <v/>
      </c>
      <c r="R129" s="5">
        <f>IF(L129,1+SUMPRODUCT(--(calc!$L$3:$L$132=TRUE),--(calc!$N$3:$N$132&gt;N129))+(SUMPRODUCT(--(calc!$L$3:$L$132=TRUE),--(calc!$N$3:$N$132=N129))-1)/2,"")</f>
        <v/>
      </c>
      <c r="S129" s="5">
        <f>IF(L129,SUMPRODUCT(--(calc!$L$3:$L$132=TRUE),--(ROW(calc!$L$3:$L$132)&gt;ROW(L129)),--(((calc!$Q$3:$Q$132&gt;Q129)*(calc!$R$3:$R$132&gt;R129)+(calc!$Q$3:$Q$132&lt;Q129)*(calc!$R$3:$R$132&lt;R129))&gt;0))-SUMPRODUCT(--(calc!$L$3:$L$132=TRUE),--(ROW(calc!$L$3:$L$132)&gt;ROW(L129)),--(((calc!$Q$3:$Q$132&gt;Q129)*(calc!$R$3:$R$132&lt;R129)+(calc!$Q$3:$Q$132&lt;Q129)*(calc!$R$3:$R$132&gt;R129))&gt;0)),0)</f>
        <v/>
      </c>
      <c r="T129" s="5">
        <f>IF(mos_metrics!H128="","",mos_metrics!H128)</f>
        <v/>
      </c>
      <c r="U129" s="2">
        <f>AND($J129,ISNUMBER(T129),correlation!$I$27=1)</f>
        <v/>
      </c>
      <c r="V129" s="5">
        <f>IF(U129,$F129,"")</f>
        <v/>
      </c>
      <c r="W129" s="5">
        <f>IF(U129,T129*correlation!$J$27,"")</f>
        <v/>
      </c>
      <c r="X129" s="5">
        <f>IF(AND(U129,ISNUMBER(correlation!$F$27)),W129*correlation!$F$27+correlation!$G$27,"")</f>
        <v/>
      </c>
      <c r="Y129" s="5">
        <f>IF(AND(U129,ISNUMBER(X129)),(V129-X129)^2,"")</f>
        <v/>
      </c>
      <c r="Z129" s="5">
        <f>IF(U129,1+SUMPRODUCT(--(calc!$U$3:$U$132=TRUE),--(calc!$V$3:$V$132&gt;V129))+(SUMPRODUCT(--(calc!$U$3:$U$132=TRUE),--(calc!$V$3:$V$132=V129))-1)/2,"")</f>
        <v/>
      </c>
      <c r="AA129" s="5">
        <f>IF(U129,1+SUMPRODUCT(--(calc!$U$3:$U$132=TRUE),--(calc!$W$3:$W$132&gt;W129))+(SUMPRODUCT(--(calc!$U$3:$U$132=TRUE),--(calc!$W$3:$W$132=W129))-1)/2,"")</f>
        <v/>
      </c>
      <c r="AB129" s="5">
        <f>IF(U129,SUMPRODUCT(--(calc!$U$3:$U$132=TRUE),--(ROW(calc!$U$3:$U$132)&gt;ROW(U129)),--(((calc!$Z$3:$Z$132&gt;Z129)*(calc!$AA$3:$AA$132&gt;AA129)+(calc!$Z$3:$Z$132&lt;Z129)*(calc!$AA$3:$AA$132&lt;AA129))&gt;0))-SUMPRODUCT(--(calc!$U$3:$U$132=TRUE),--(ROW(calc!$U$3:$U$132)&gt;ROW(U129)),--(((calc!$Z$3:$Z$132&gt;Z129)*(calc!$AA$3:$AA$132&lt;AA129)+(calc!$Z$3:$Z$132&lt;Z129)*(calc!$AA$3:$AA$132&gt;AA129))&gt;0)),0)</f>
        <v/>
      </c>
      <c r="AC129" s="5">
        <f>IF(mos_metrics!I128="","",mos_metrics!I128)</f>
        <v/>
      </c>
      <c r="AD129" s="2">
        <f>AND($J129,ISNUMBER(AC129),correlation!$I$28=1)</f>
        <v/>
      </c>
      <c r="AE129" s="5">
        <f>IF(AD129,$F129,"")</f>
        <v/>
      </c>
      <c r="AF129" s="5">
        <f>IF(AD129,AC129*correlation!$J$28,"")</f>
        <v/>
      </c>
      <c r="AG129" s="5">
        <f>IF(AND(AD129,ISNUMBER(correlation!$F$28)),AF129*correlation!$F$28+correlation!$G$28,"")</f>
        <v/>
      </c>
      <c r="AH129" s="5">
        <f>IF(AND(AD129,ISNUMBER(AG129)),(AE129-AG129)^2,"")</f>
        <v/>
      </c>
      <c r="AI129" s="5">
        <f>IF(AD129,1+SUMPRODUCT(--(calc!$AD$3:$AD$132=TRUE),--(calc!$AE$3:$AE$132&gt;AE129))+(SUMPRODUCT(--(calc!$AD$3:$AD$132=TRUE),--(calc!$AE$3:$AE$132=AE129))-1)/2,"")</f>
        <v/>
      </c>
      <c r="AJ129" s="5">
        <f>IF(AD129,1+SUMPRODUCT(--(calc!$AD$3:$AD$132=TRUE),--(calc!$AF$3:$AF$132&gt;AF129))+(SUMPRODUCT(--(calc!$AD$3:$AD$132=TRUE),--(calc!$AF$3:$AF$132=AF129))-1)/2,"")</f>
        <v/>
      </c>
      <c r="AK129" s="5">
        <f>IF(AD129,SUMPRODUCT(--(calc!$AD$3:$AD$132=TRUE),--(ROW(calc!$AD$3:$AD$132)&gt;ROW(AD129)),--(((calc!$AI$3:$AI$132&gt;AI129)*(calc!$AJ$3:$AJ$132&gt;AJ129)+(calc!$AI$3:$AI$132&lt;AI129)*(calc!$AJ$3:$AJ$132&lt;AJ129))&gt;0))-SUMPRODUCT(--(calc!$AD$3:$AD$132=TRUE),--(ROW(calc!$AD$3:$AD$132)&gt;ROW(AD129)),--(((calc!$AI$3:$AI$132&gt;AI129)*(calc!$AJ$3:$AJ$132&lt;AJ129)+(calc!$AI$3:$AI$132&lt;AI129)*(calc!$AJ$3:$AJ$132&gt;AJ129))&gt;0)),0)</f>
        <v/>
      </c>
      <c r="AL129" s="5">
        <f>IF(mos_metrics!J128="","",mos_metrics!J128)</f>
        <v/>
      </c>
      <c r="AM129" s="2">
        <f>AND($J129,ISNUMBER(AL129),correlation!$I$29=1)</f>
        <v/>
      </c>
      <c r="AN129" s="5">
        <f>IF(AM129,$F129,"")</f>
        <v/>
      </c>
      <c r="AO129" s="5">
        <f>IF(AM129,AL129*correlation!$J$29,"")</f>
        <v/>
      </c>
      <c r="AP129" s="5">
        <f>IF(AND(AM129,ISNUMBER(correlation!$F$29)),AO129*correlation!$F$29+correlation!$G$29,"")</f>
        <v/>
      </c>
      <c r="AQ129" s="5">
        <f>IF(AND(AM129,ISNUMBER(AP129)),(AN129-AP129)^2,"")</f>
        <v/>
      </c>
      <c r="AR129" s="5">
        <f>IF(AM129,1+SUMPRODUCT(--(calc!$AM$3:$AM$132=TRUE),--(calc!$AN$3:$AN$132&gt;AN129))+(SUMPRODUCT(--(calc!$AM$3:$AM$132=TRUE),--(calc!$AN$3:$AN$132=AN129))-1)/2,"")</f>
        <v/>
      </c>
      <c r="AS129" s="5">
        <f>IF(AM129,1+SUMPRODUCT(--(calc!$AM$3:$AM$132=TRUE),--(calc!$AO$3:$AO$132&gt;AO129))+(SUMPRODUCT(--(calc!$AM$3:$AM$132=TRUE),--(calc!$AO$3:$AO$132=AO129))-1)/2,"")</f>
        <v/>
      </c>
      <c r="AT129" s="5">
        <f>IF(AM129,SUMPRODUCT(--(calc!$AM$3:$AM$132=TRUE),--(ROW(calc!$AM$3:$AM$132)&gt;ROW(AM129)),--(((calc!$AR$3:$AR$132&gt;AR129)*(calc!$AS$3:$AS$132&gt;AS129)+(calc!$AR$3:$AR$132&lt;AR129)*(calc!$AS$3:$AS$132&lt;AS129))&gt;0))-SUMPRODUCT(--(calc!$AM$3:$AM$132=TRUE),--(ROW(calc!$AM$3:$AM$132)&gt;ROW(AM129)),--(((calc!$AR$3:$AR$132&gt;AR129)*(calc!$AS$3:$AS$132&lt;AS129)+(calc!$AR$3:$AR$132&lt;AR129)*(calc!$AS$3:$AS$132&gt;AS129))&gt;0)),0)</f>
        <v/>
      </c>
      <c r="AU129" s="5">
        <f>IF(mos_metrics!K128="","",mos_metrics!K128)</f>
        <v/>
      </c>
      <c r="AV129" s="2">
        <f>AND($J129,ISNUMBER(AU129),correlation!$I$30=1)</f>
        <v/>
      </c>
      <c r="AW129" s="5">
        <f>IF(AV129,$F129,"")</f>
        <v/>
      </c>
      <c r="AX129" s="5">
        <f>IF(AV129,AU129*correlation!$J$30,"")</f>
        <v/>
      </c>
      <c r="AY129" s="5">
        <f>IF(AND(AV129,ISNUMBER(correlation!$F$30)),AX129*correlation!$F$30+correlation!$G$30,"")</f>
        <v/>
      </c>
      <c r="AZ129" s="5">
        <f>IF(AND(AV129,ISNUMBER(AY129)),(AW129-AY129)^2,"")</f>
        <v/>
      </c>
      <c r="BA129" s="5">
        <f>IF(AV129,1+SUMPRODUCT(--(calc!$AV$3:$AV$132=TRUE),--(calc!$AW$3:$AW$132&gt;AW129))+(SUMPRODUCT(--(calc!$AV$3:$AV$132=TRUE),--(calc!$AW$3:$AW$132=AW129))-1)/2,"")</f>
        <v/>
      </c>
      <c r="BB129" s="5">
        <f>IF(AV129,1+SUMPRODUCT(--(calc!$AV$3:$AV$132=TRUE),--(calc!$AX$3:$AX$132&gt;AX129))+(SUMPRODUCT(--(calc!$AV$3:$AV$132=TRUE),--(calc!$AX$3:$AX$132=AX129))-1)/2,"")</f>
        <v/>
      </c>
      <c r="BC129" s="5">
        <f>IF(AV129,SUMPRODUCT(--(calc!$AV$3:$AV$132=TRUE),--(ROW(calc!$AV$3:$AV$132)&gt;ROW(AV129)),--(((calc!$BA$3:$BA$132&gt;BA129)*(calc!$BB$3:$BB$132&gt;BB129)+(calc!$BA$3:$BA$132&lt;BA129)*(calc!$BB$3:$BB$132&lt;BB129))&gt;0))-SUMPRODUCT(--(calc!$AV$3:$AV$132=TRUE),--(ROW(calc!$AV$3:$AV$132)&gt;ROW(AV129)),--(((calc!$BA$3:$BA$132&gt;BA129)*(calc!$BB$3:$BB$132&lt;BB129)+(calc!$BA$3:$BA$132&lt;BA129)*(calc!$BB$3:$BB$132&gt;BB129))&gt;0)),0)</f>
        <v/>
      </c>
      <c r="BD129" s="5">
        <f>IF(mos_metrics!L128="","",mos_metrics!L128)</f>
        <v/>
      </c>
      <c r="BE129" s="2">
        <f>AND($J129,ISNUMBER(BD129),correlation!$I$31=1)</f>
        <v/>
      </c>
      <c r="BF129" s="5">
        <f>IF(BE129,$F129,"")</f>
        <v/>
      </c>
      <c r="BG129" s="5">
        <f>IF(BE129,BD129*correlation!$J$31,"")</f>
        <v/>
      </c>
      <c r="BH129" s="5">
        <f>IF(AND(BE129,ISNUMBER(correlation!$F$31)),BG129*correlation!$F$31+correlation!$G$31,"")</f>
        <v/>
      </c>
      <c r="BI129" s="5">
        <f>IF(AND(BE129,ISNUMBER(BH129)),(BF129-BH129)^2,"")</f>
        <v/>
      </c>
      <c r="BJ129" s="5">
        <f>IF(BE129,1+SUMPRODUCT(--(calc!$BE$3:$BE$132=TRUE),--(calc!$BF$3:$BF$132&gt;BF129))+(SUMPRODUCT(--(calc!$BE$3:$BE$132=TRUE),--(calc!$BF$3:$BF$132=BF129))-1)/2,"")</f>
        <v/>
      </c>
      <c r="BK129" s="5">
        <f>IF(BE129,1+SUMPRODUCT(--(calc!$BE$3:$BE$132=TRUE),--(calc!$BG$3:$BG$132&gt;BG129))+(SUMPRODUCT(--(calc!$BE$3:$BE$132=TRUE),--(calc!$BG$3:$BG$132=BG129))-1)/2,"")</f>
        <v/>
      </c>
      <c r="BL129" s="5">
        <f>IF(BE129,SUMPRODUCT(--(calc!$BE$3:$BE$132=TRUE),--(ROW(calc!$BE$3:$BE$132)&gt;ROW(BE129)),--(((calc!$BJ$3:$BJ$132&gt;BJ129)*(calc!$BK$3:$BK$132&gt;BK129)+(calc!$BJ$3:$BJ$132&lt;BJ129)*(calc!$BK$3:$BK$132&lt;BK129))&gt;0))-SUMPRODUCT(--(calc!$BE$3:$BE$132=TRUE),--(ROW(calc!$BE$3:$BE$132)&gt;ROW(BE129)),--(((calc!$BJ$3:$BJ$132&gt;BJ129)*(calc!$BK$3:$BK$132&lt;BK129)+(calc!$BJ$3:$BJ$132&lt;BJ129)*(calc!$BK$3:$BK$132&gt;BK129))&gt;0)),0)</f>
        <v/>
      </c>
      <c r="BM129" s="5">
        <f>IF(mos_metrics!M128="","",mos_metrics!M128)</f>
        <v/>
      </c>
      <c r="BN129" s="2">
        <f>AND($J129,ISNUMBER(BM129),correlation!$I$32=1)</f>
        <v/>
      </c>
      <c r="BO129" s="5">
        <f>IF(BN129,$F129,"")</f>
        <v/>
      </c>
      <c r="BP129" s="5">
        <f>IF(BN129,BM129*correlation!$J$32,"")</f>
        <v/>
      </c>
      <c r="BQ129" s="5">
        <f>IF(AND(BN129,ISNUMBER(correlation!$F$32)),BP129*correlation!$F$32+correlation!$G$32,"")</f>
        <v/>
      </c>
      <c r="BR129" s="5">
        <f>IF(AND(BN129,ISNUMBER(BQ129)),(BO129-BQ129)^2,"")</f>
        <v/>
      </c>
      <c r="BS129" s="5">
        <f>IF(BN129,1+SUMPRODUCT(--(calc!$BN$3:$BN$132=TRUE),--(calc!$BO$3:$BO$132&gt;BO129))+(SUMPRODUCT(--(calc!$BN$3:$BN$132=TRUE),--(calc!$BO$3:$BO$132=BO129))-1)/2,"")</f>
        <v/>
      </c>
      <c r="BT129" s="5">
        <f>IF(BN129,1+SUMPRODUCT(--(calc!$BN$3:$BN$132=TRUE),--(calc!$BP$3:$BP$132&gt;BP129))+(SUMPRODUCT(--(calc!$BN$3:$BN$132=TRUE),--(calc!$BP$3:$BP$132=BP129))-1)/2,"")</f>
        <v/>
      </c>
      <c r="BU129" s="5">
        <f>IF(BN129,SUMPRODUCT(--(calc!$BN$3:$BN$132=TRUE),--(ROW(calc!$BN$3:$BN$132)&gt;ROW(BN129)),--(((calc!$BS$3:$BS$132&gt;BS129)*(calc!$BT$3:$BT$132&gt;BT129)+(calc!$BS$3:$BS$132&lt;BS129)*(calc!$BT$3:$BT$132&lt;BT129))&gt;0))-SUMPRODUCT(--(calc!$BN$3:$BN$132=TRUE),--(ROW(calc!$BN$3:$BN$132)&gt;ROW(BN129)),--(((calc!$BS$3:$BS$132&gt;BS129)*(calc!$BT$3:$BT$132&lt;BT129)+(calc!$BS$3:$BS$132&lt;BS129)*(calc!$BT$3:$BT$132&gt;BT129))&gt;0)),0)</f>
        <v/>
      </c>
    </row>
    <row r="130">
      <c r="A130" s="2">
        <f>mos_metrics!A129</f>
        <v/>
      </c>
      <c r="B130" s="2">
        <f>mos_metrics!B129</f>
        <v/>
      </c>
      <c r="C130" s="2">
        <f>mos_metrics!C129</f>
        <v/>
      </c>
      <c r="D130" s="2">
        <f>mos_metrics!D129</f>
        <v/>
      </c>
      <c r="E130" s="2">
        <f>mos_metrics!E129</f>
        <v/>
      </c>
      <c r="F130" s="2">
        <f>mos_metrics!F129</f>
        <v/>
      </c>
      <c r="G130" s="2">
        <f>IF($B130="","",IFERROR(VLOOKUP($B130,correlation!$A$2:$B$12,2,FALSE),1))</f>
        <v/>
      </c>
      <c r="H130" s="2">
        <f>IF($E130="","",IFERROR(VLOOKUP($E130,correlation!$D$2:$E$8,2,FALSE),1))</f>
        <v/>
      </c>
      <c r="I130" s="2">
        <f>ISNUMBER($F130)</f>
        <v/>
      </c>
      <c r="J130" s="2">
        <f>AND($G130=1,$H130=1,$I130)</f>
        <v/>
      </c>
      <c r="K130" s="5">
        <f>IF(mos_metrics!G129="","",mos_metrics!G129)</f>
        <v/>
      </c>
      <c r="L130" s="2">
        <f>AND($J130,ISNUMBER(K130),correlation!$I$26=1)</f>
        <v/>
      </c>
      <c r="M130" s="5">
        <f>IF(L130,$F130,"")</f>
        <v/>
      </c>
      <c r="N130" s="5">
        <f>IF(L130,K130*correlation!$J$26,"")</f>
        <v/>
      </c>
      <c r="O130" s="5">
        <f>IF(AND(L130,ISNUMBER(correlation!$F$26)),N130*correlation!$F$26+correlation!$G$26,"")</f>
        <v/>
      </c>
      <c r="P130" s="5">
        <f>IF(AND(L130,ISNUMBER(O130)),(M130-O130)^2,"")</f>
        <v/>
      </c>
      <c r="Q130" s="5">
        <f>IF(L130,1+SUMPRODUCT(--(calc!$L$3:$L$132=TRUE),--(calc!$M$3:$M$132&gt;M130))+(SUMPRODUCT(--(calc!$L$3:$L$132=TRUE),--(calc!$M$3:$M$132=M130))-1)/2,"")</f>
        <v/>
      </c>
      <c r="R130" s="5">
        <f>IF(L130,1+SUMPRODUCT(--(calc!$L$3:$L$132=TRUE),--(calc!$N$3:$N$132&gt;N130))+(SUMPRODUCT(--(calc!$L$3:$L$132=TRUE),--(calc!$N$3:$N$132=N130))-1)/2,"")</f>
        <v/>
      </c>
      <c r="S130" s="5">
        <f>IF(L130,SUMPRODUCT(--(calc!$L$3:$L$132=TRUE),--(ROW(calc!$L$3:$L$132)&gt;ROW(L130)),--(((calc!$Q$3:$Q$132&gt;Q130)*(calc!$R$3:$R$132&gt;R130)+(calc!$Q$3:$Q$132&lt;Q130)*(calc!$R$3:$R$132&lt;R130))&gt;0))-SUMPRODUCT(--(calc!$L$3:$L$132=TRUE),--(ROW(calc!$L$3:$L$132)&gt;ROW(L130)),--(((calc!$Q$3:$Q$132&gt;Q130)*(calc!$R$3:$R$132&lt;R130)+(calc!$Q$3:$Q$132&lt;Q130)*(calc!$R$3:$R$132&gt;R130))&gt;0)),0)</f>
        <v/>
      </c>
      <c r="T130" s="5">
        <f>IF(mos_metrics!H129="","",mos_metrics!H129)</f>
        <v/>
      </c>
      <c r="U130" s="2">
        <f>AND($J130,ISNUMBER(T130),correlation!$I$27=1)</f>
        <v/>
      </c>
      <c r="V130" s="5">
        <f>IF(U130,$F130,"")</f>
        <v/>
      </c>
      <c r="W130" s="5">
        <f>IF(U130,T130*correlation!$J$27,"")</f>
        <v/>
      </c>
      <c r="X130" s="5">
        <f>IF(AND(U130,ISNUMBER(correlation!$F$27)),W130*correlation!$F$27+correlation!$G$27,"")</f>
        <v/>
      </c>
      <c r="Y130" s="5">
        <f>IF(AND(U130,ISNUMBER(X130)),(V130-X130)^2,"")</f>
        <v/>
      </c>
      <c r="Z130" s="5">
        <f>IF(U130,1+SUMPRODUCT(--(calc!$U$3:$U$132=TRUE),--(calc!$V$3:$V$132&gt;V130))+(SUMPRODUCT(--(calc!$U$3:$U$132=TRUE),--(calc!$V$3:$V$132=V130))-1)/2,"")</f>
        <v/>
      </c>
      <c r="AA130" s="5">
        <f>IF(U130,1+SUMPRODUCT(--(calc!$U$3:$U$132=TRUE),--(calc!$W$3:$W$132&gt;W130))+(SUMPRODUCT(--(calc!$U$3:$U$132=TRUE),--(calc!$W$3:$W$132=W130))-1)/2,"")</f>
        <v/>
      </c>
      <c r="AB130" s="5">
        <f>IF(U130,SUMPRODUCT(--(calc!$U$3:$U$132=TRUE),--(ROW(calc!$U$3:$U$132)&gt;ROW(U130)),--(((calc!$Z$3:$Z$132&gt;Z130)*(calc!$AA$3:$AA$132&gt;AA130)+(calc!$Z$3:$Z$132&lt;Z130)*(calc!$AA$3:$AA$132&lt;AA130))&gt;0))-SUMPRODUCT(--(calc!$U$3:$U$132=TRUE),--(ROW(calc!$U$3:$U$132)&gt;ROW(U130)),--(((calc!$Z$3:$Z$132&gt;Z130)*(calc!$AA$3:$AA$132&lt;AA130)+(calc!$Z$3:$Z$132&lt;Z130)*(calc!$AA$3:$AA$132&gt;AA130))&gt;0)),0)</f>
        <v/>
      </c>
      <c r="AC130" s="5">
        <f>IF(mos_metrics!I129="","",mos_metrics!I129)</f>
        <v/>
      </c>
      <c r="AD130" s="2">
        <f>AND($J130,ISNUMBER(AC130),correlation!$I$28=1)</f>
        <v/>
      </c>
      <c r="AE130" s="5">
        <f>IF(AD130,$F130,"")</f>
        <v/>
      </c>
      <c r="AF130" s="5">
        <f>IF(AD130,AC130*correlation!$J$28,"")</f>
        <v/>
      </c>
      <c r="AG130" s="5">
        <f>IF(AND(AD130,ISNUMBER(correlation!$F$28)),AF130*correlation!$F$28+correlation!$G$28,"")</f>
        <v/>
      </c>
      <c r="AH130" s="5">
        <f>IF(AND(AD130,ISNUMBER(AG130)),(AE130-AG130)^2,"")</f>
        <v/>
      </c>
      <c r="AI130" s="5">
        <f>IF(AD130,1+SUMPRODUCT(--(calc!$AD$3:$AD$132=TRUE),--(calc!$AE$3:$AE$132&gt;AE130))+(SUMPRODUCT(--(calc!$AD$3:$AD$132=TRUE),--(calc!$AE$3:$AE$132=AE130))-1)/2,"")</f>
        <v/>
      </c>
      <c r="AJ130" s="5">
        <f>IF(AD130,1+SUMPRODUCT(--(calc!$AD$3:$AD$132=TRUE),--(calc!$AF$3:$AF$132&gt;AF130))+(SUMPRODUCT(--(calc!$AD$3:$AD$132=TRUE),--(calc!$AF$3:$AF$132=AF130))-1)/2,"")</f>
        <v/>
      </c>
      <c r="AK130" s="5">
        <f>IF(AD130,SUMPRODUCT(--(calc!$AD$3:$AD$132=TRUE),--(ROW(calc!$AD$3:$AD$132)&gt;ROW(AD130)),--(((calc!$AI$3:$AI$132&gt;AI130)*(calc!$AJ$3:$AJ$132&gt;AJ130)+(calc!$AI$3:$AI$132&lt;AI130)*(calc!$AJ$3:$AJ$132&lt;AJ130))&gt;0))-SUMPRODUCT(--(calc!$AD$3:$AD$132=TRUE),--(ROW(calc!$AD$3:$AD$132)&gt;ROW(AD130)),--(((calc!$AI$3:$AI$132&gt;AI130)*(calc!$AJ$3:$AJ$132&lt;AJ130)+(calc!$AI$3:$AI$132&lt;AI130)*(calc!$AJ$3:$AJ$132&gt;AJ130))&gt;0)),0)</f>
        <v/>
      </c>
      <c r="AL130" s="5">
        <f>IF(mos_metrics!J129="","",mos_metrics!J129)</f>
        <v/>
      </c>
      <c r="AM130" s="2">
        <f>AND($J130,ISNUMBER(AL130),correlation!$I$29=1)</f>
        <v/>
      </c>
      <c r="AN130" s="5">
        <f>IF(AM130,$F130,"")</f>
        <v/>
      </c>
      <c r="AO130" s="5">
        <f>IF(AM130,AL130*correlation!$J$29,"")</f>
        <v/>
      </c>
      <c r="AP130" s="5">
        <f>IF(AND(AM130,ISNUMBER(correlation!$F$29)),AO130*correlation!$F$29+correlation!$G$29,"")</f>
        <v/>
      </c>
      <c r="AQ130" s="5">
        <f>IF(AND(AM130,ISNUMBER(AP130)),(AN130-AP130)^2,"")</f>
        <v/>
      </c>
      <c r="AR130" s="5">
        <f>IF(AM130,1+SUMPRODUCT(--(calc!$AM$3:$AM$132=TRUE),--(calc!$AN$3:$AN$132&gt;AN130))+(SUMPRODUCT(--(calc!$AM$3:$AM$132=TRUE),--(calc!$AN$3:$AN$132=AN130))-1)/2,"")</f>
        <v/>
      </c>
      <c r="AS130" s="5">
        <f>IF(AM130,1+SUMPRODUCT(--(calc!$AM$3:$AM$132=TRUE),--(calc!$AO$3:$AO$132&gt;AO130))+(SUMPRODUCT(--(calc!$AM$3:$AM$132=TRUE),--(calc!$AO$3:$AO$132=AO130))-1)/2,"")</f>
        <v/>
      </c>
      <c r="AT130" s="5">
        <f>IF(AM130,SUMPRODUCT(--(calc!$AM$3:$AM$132=TRUE),--(ROW(calc!$AM$3:$AM$132)&gt;ROW(AM130)),--(((calc!$AR$3:$AR$132&gt;AR130)*(calc!$AS$3:$AS$132&gt;AS130)+(calc!$AR$3:$AR$132&lt;AR130)*(calc!$AS$3:$AS$132&lt;AS130))&gt;0))-SUMPRODUCT(--(calc!$AM$3:$AM$132=TRUE),--(ROW(calc!$AM$3:$AM$132)&gt;ROW(AM130)),--(((calc!$AR$3:$AR$132&gt;AR130)*(calc!$AS$3:$AS$132&lt;AS130)+(calc!$AR$3:$AR$132&lt;AR130)*(calc!$AS$3:$AS$132&gt;AS130))&gt;0)),0)</f>
        <v/>
      </c>
      <c r="AU130" s="5">
        <f>IF(mos_metrics!K129="","",mos_metrics!K129)</f>
        <v/>
      </c>
      <c r="AV130" s="2">
        <f>AND($J130,ISNUMBER(AU130),correlation!$I$30=1)</f>
        <v/>
      </c>
      <c r="AW130" s="5">
        <f>IF(AV130,$F130,"")</f>
        <v/>
      </c>
      <c r="AX130" s="5">
        <f>IF(AV130,AU130*correlation!$J$30,"")</f>
        <v/>
      </c>
      <c r="AY130" s="5">
        <f>IF(AND(AV130,ISNUMBER(correlation!$F$30)),AX130*correlation!$F$30+correlation!$G$30,"")</f>
        <v/>
      </c>
      <c r="AZ130" s="5">
        <f>IF(AND(AV130,ISNUMBER(AY130)),(AW130-AY130)^2,"")</f>
        <v/>
      </c>
      <c r="BA130" s="5">
        <f>IF(AV130,1+SUMPRODUCT(--(calc!$AV$3:$AV$132=TRUE),--(calc!$AW$3:$AW$132&gt;AW130))+(SUMPRODUCT(--(calc!$AV$3:$AV$132=TRUE),--(calc!$AW$3:$AW$132=AW130))-1)/2,"")</f>
        <v/>
      </c>
      <c r="BB130" s="5">
        <f>IF(AV130,1+SUMPRODUCT(--(calc!$AV$3:$AV$132=TRUE),--(calc!$AX$3:$AX$132&gt;AX130))+(SUMPRODUCT(--(calc!$AV$3:$AV$132=TRUE),--(calc!$AX$3:$AX$132=AX130))-1)/2,"")</f>
        <v/>
      </c>
      <c r="BC130" s="5">
        <f>IF(AV130,SUMPRODUCT(--(calc!$AV$3:$AV$132=TRUE),--(ROW(calc!$AV$3:$AV$132)&gt;ROW(AV130)),--(((calc!$BA$3:$BA$132&gt;BA130)*(calc!$BB$3:$BB$132&gt;BB130)+(calc!$BA$3:$BA$132&lt;BA130)*(calc!$BB$3:$BB$132&lt;BB130))&gt;0))-SUMPRODUCT(--(calc!$AV$3:$AV$132=TRUE),--(ROW(calc!$AV$3:$AV$132)&gt;ROW(AV130)),--(((calc!$BA$3:$BA$132&gt;BA130)*(calc!$BB$3:$BB$132&lt;BB130)+(calc!$BA$3:$BA$132&lt;BA130)*(calc!$BB$3:$BB$132&gt;BB130))&gt;0)),0)</f>
        <v/>
      </c>
      <c r="BD130" s="5">
        <f>IF(mos_metrics!L129="","",mos_metrics!L129)</f>
        <v/>
      </c>
      <c r="BE130" s="2">
        <f>AND($J130,ISNUMBER(BD130),correlation!$I$31=1)</f>
        <v/>
      </c>
      <c r="BF130" s="5">
        <f>IF(BE130,$F130,"")</f>
        <v/>
      </c>
      <c r="BG130" s="5">
        <f>IF(BE130,BD130*correlation!$J$31,"")</f>
        <v/>
      </c>
      <c r="BH130" s="5">
        <f>IF(AND(BE130,ISNUMBER(correlation!$F$31)),BG130*correlation!$F$31+correlation!$G$31,"")</f>
        <v/>
      </c>
      <c r="BI130" s="5">
        <f>IF(AND(BE130,ISNUMBER(BH130)),(BF130-BH130)^2,"")</f>
        <v/>
      </c>
      <c r="BJ130" s="5">
        <f>IF(BE130,1+SUMPRODUCT(--(calc!$BE$3:$BE$132=TRUE),--(calc!$BF$3:$BF$132&gt;BF130))+(SUMPRODUCT(--(calc!$BE$3:$BE$132=TRUE),--(calc!$BF$3:$BF$132=BF130))-1)/2,"")</f>
        <v/>
      </c>
      <c r="BK130" s="5">
        <f>IF(BE130,1+SUMPRODUCT(--(calc!$BE$3:$BE$132=TRUE),--(calc!$BG$3:$BG$132&gt;BG130))+(SUMPRODUCT(--(calc!$BE$3:$BE$132=TRUE),--(calc!$BG$3:$BG$132=BG130))-1)/2,"")</f>
        <v/>
      </c>
      <c r="BL130" s="5">
        <f>IF(BE130,SUMPRODUCT(--(calc!$BE$3:$BE$132=TRUE),--(ROW(calc!$BE$3:$BE$132)&gt;ROW(BE130)),--(((calc!$BJ$3:$BJ$132&gt;BJ130)*(calc!$BK$3:$BK$132&gt;BK130)+(calc!$BJ$3:$BJ$132&lt;BJ130)*(calc!$BK$3:$BK$132&lt;BK130))&gt;0))-SUMPRODUCT(--(calc!$BE$3:$BE$132=TRUE),--(ROW(calc!$BE$3:$BE$132)&gt;ROW(BE130)),--(((calc!$BJ$3:$BJ$132&gt;BJ130)*(calc!$BK$3:$BK$132&lt;BK130)+(calc!$BJ$3:$BJ$132&lt;BJ130)*(calc!$BK$3:$BK$132&gt;BK130))&gt;0)),0)</f>
        <v/>
      </c>
      <c r="BM130" s="5">
        <f>IF(mos_metrics!M129="","",mos_metrics!M129)</f>
        <v/>
      </c>
      <c r="BN130" s="2">
        <f>AND($J130,ISNUMBER(BM130),correlation!$I$32=1)</f>
        <v/>
      </c>
      <c r="BO130" s="5">
        <f>IF(BN130,$F130,"")</f>
        <v/>
      </c>
      <c r="BP130" s="5">
        <f>IF(BN130,BM130*correlation!$J$32,"")</f>
        <v/>
      </c>
      <c r="BQ130" s="5">
        <f>IF(AND(BN130,ISNUMBER(correlation!$F$32)),BP130*correlation!$F$32+correlation!$G$32,"")</f>
        <v/>
      </c>
      <c r="BR130" s="5">
        <f>IF(AND(BN130,ISNUMBER(BQ130)),(BO130-BQ130)^2,"")</f>
        <v/>
      </c>
      <c r="BS130" s="5">
        <f>IF(BN130,1+SUMPRODUCT(--(calc!$BN$3:$BN$132=TRUE),--(calc!$BO$3:$BO$132&gt;BO130))+(SUMPRODUCT(--(calc!$BN$3:$BN$132=TRUE),--(calc!$BO$3:$BO$132=BO130))-1)/2,"")</f>
        <v/>
      </c>
      <c r="BT130" s="5">
        <f>IF(BN130,1+SUMPRODUCT(--(calc!$BN$3:$BN$132=TRUE),--(calc!$BP$3:$BP$132&gt;BP130))+(SUMPRODUCT(--(calc!$BN$3:$BN$132=TRUE),--(calc!$BP$3:$BP$132=BP130))-1)/2,"")</f>
        <v/>
      </c>
      <c r="BU130" s="5">
        <f>IF(BN130,SUMPRODUCT(--(calc!$BN$3:$BN$132=TRUE),--(ROW(calc!$BN$3:$BN$132)&gt;ROW(BN130)),--(((calc!$BS$3:$BS$132&gt;BS130)*(calc!$BT$3:$BT$132&gt;BT130)+(calc!$BS$3:$BS$132&lt;BS130)*(calc!$BT$3:$BT$132&lt;BT130))&gt;0))-SUMPRODUCT(--(calc!$BN$3:$BN$132=TRUE),--(ROW(calc!$BN$3:$BN$132)&gt;ROW(BN130)),--(((calc!$BS$3:$BS$132&gt;BS130)*(calc!$BT$3:$BT$132&lt;BT130)+(calc!$BS$3:$BS$132&lt;BS130)*(calc!$BT$3:$BT$132&gt;BT130))&gt;0)),0)</f>
        <v/>
      </c>
    </row>
    <row r="131">
      <c r="A131" s="2">
        <f>mos_metrics!A130</f>
        <v/>
      </c>
      <c r="B131" s="2">
        <f>mos_metrics!B130</f>
        <v/>
      </c>
      <c r="C131" s="2">
        <f>mos_metrics!C130</f>
        <v/>
      </c>
      <c r="D131" s="2">
        <f>mos_metrics!D130</f>
        <v/>
      </c>
      <c r="E131" s="2">
        <f>mos_metrics!E130</f>
        <v/>
      </c>
      <c r="F131" s="2">
        <f>mos_metrics!F130</f>
        <v/>
      </c>
      <c r="G131" s="2">
        <f>IF($B131="","",IFERROR(VLOOKUP($B131,correlation!$A$2:$B$12,2,FALSE),1))</f>
        <v/>
      </c>
      <c r="H131" s="2">
        <f>IF($E131="","",IFERROR(VLOOKUP($E131,correlation!$D$2:$E$8,2,FALSE),1))</f>
        <v/>
      </c>
      <c r="I131" s="2">
        <f>ISNUMBER($F131)</f>
        <v/>
      </c>
      <c r="J131" s="2">
        <f>AND($G131=1,$H131=1,$I131)</f>
        <v/>
      </c>
      <c r="K131" s="5">
        <f>IF(mos_metrics!G130="","",mos_metrics!G130)</f>
        <v/>
      </c>
      <c r="L131" s="2">
        <f>AND($J131,ISNUMBER(K131),correlation!$I$26=1)</f>
        <v/>
      </c>
      <c r="M131" s="5">
        <f>IF(L131,$F131,"")</f>
        <v/>
      </c>
      <c r="N131" s="5">
        <f>IF(L131,K131*correlation!$J$26,"")</f>
        <v/>
      </c>
      <c r="O131" s="5">
        <f>IF(AND(L131,ISNUMBER(correlation!$F$26)),N131*correlation!$F$26+correlation!$G$26,"")</f>
        <v/>
      </c>
      <c r="P131" s="5">
        <f>IF(AND(L131,ISNUMBER(O131)),(M131-O131)^2,"")</f>
        <v/>
      </c>
      <c r="Q131" s="5">
        <f>IF(L131,1+SUMPRODUCT(--(calc!$L$3:$L$132=TRUE),--(calc!$M$3:$M$132&gt;M131))+(SUMPRODUCT(--(calc!$L$3:$L$132=TRUE),--(calc!$M$3:$M$132=M131))-1)/2,"")</f>
        <v/>
      </c>
      <c r="R131" s="5">
        <f>IF(L131,1+SUMPRODUCT(--(calc!$L$3:$L$132=TRUE),--(calc!$N$3:$N$132&gt;N131))+(SUMPRODUCT(--(calc!$L$3:$L$132=TRUE),--(calc!$N$3:$N$132=N131))-1)/2,"")</f>
        <v/>
      </c>
      <c r="S131" s="5">
        <f>IF(L131,SUMPRODUCT(--(calc!$L$3:$L$132=TRUE),--(ROW(calc!$L$3:$L$132)&gt;ROW(L131)),--(((calc!$Q$3:$Q$132&gt;Q131)*(calc!$R$3:$R$132&gt;R131)+(calc!$Q$3:$Q$132&lt;Q131)*(calc!$R$3:$R$132&lt;R131))&gt;0))-SUMPRODUCT(--(calc!$L$3:$L$132=TRUE),--(ROW(calc!$L$3:$L$132)&gt;ROW(L131)),--(((calc!$Q$3:$Q$132&gt;Q131)*(calc!$R$3:$R$132&lt;R131)+(calc!$Q$3:$Q$132&lt;Q131)*(calc!$R$3:$R$132&gt;R131))&gt;0)),0)</f>
        <v/>
      </c>
      <c r="T131" s="5">
        <f>IF(mos_metrics!H130="","",mos_metrics!H130)</f>
        <v/>
      </c>
      <c r="U131" s="2">
        <f>AND($J131,ISNUMBER(T131),correlation!$I$27=1)</f>
        <v/>
      </c>
      <c r="V131" s="5">
        <f>IF(U131,$F131,"")</f>
        <v/>
      </c>
      <c r="W131" s="5">
        <f>IF(U131,T131*correlation!$J$27,"")</f>
        <v/>
      </c>
      <c r="X131" s="5">
        <f>IF(AND(U131,ISNUMBER(correlation!$F$27)),W131*correlation!$F$27+correlation!$G$27,"")</f>
        <v/>
      </c>
      <c r="Y131" s="5">
        <f>IF(AND(U131,ISNUMBER(X131)),(V131-X131)^2,"")</f>
        <v/>
      </c>
      <c r="Z131" s="5">
        <f>IF(U131,1+SUMPRODUCT(--(calc!$U$3:$U$132=TRUE),--(calc!$V$3:$V$132&gt;V131))+(SUMPRODUCT(--(calc!$U$3:$U$132=TRUE),--(calc!$V$3:$V$132=V131))-1)/2,"")</f>
        <v/>
      </c>
      <c r="AA131" s="5">
        <f>IF(U131,1+SUMPRODUCT(--(calc!$U$3:$U$132=TRUE),--(calc!$W$3:$W$132&gt;W131))+(SUMPRODUCT(--(calc!$U$3:$U$132=TRUE),--(calc!$W$3:$W$132=W131))-1)/2,"")</f>
        <v/>
      </c>
      <c r="AB131" s="5">
        <f>IF(U131,SUMPRODUCT(--(calc!$U$3:$U$132=TRUE),--(ROW(calc!$U$3:$U$132)&gt;ROW(U131)),--(((calc!$Z$3:$Z$132&gt;Z131)*(calc!$AA$3:$AA$132&gt;AA131)+(calc!$Z$3:$Z$132&lt;Z131)*(calc!$AA$3:$AA$132&lt;AA131))&gt;0))-SUMPRODUCT(--(calc!$U$3:$U$132=TRUE),--(ROW(calc!$U$3:$U$132)&gt;ROW(U131)),--(((calc!$Z$3:$Z$132&gt;Z131)*(calc!$AA$3:$AA$132&lt;AA131)+(calc!$Z$3:$Z$132&lt;Z131)*(calc!$AA$3:$AA$132&gt;AA131))&gt;0)),0)</f>
        <v/>
      </c>
      <c r="AC131" s="5">
        <f>IF(mos_metrics!I130="","",mos_metrics!I130)</f>
        <v/>
      </c>
      <c r="AD131" s="2">
        <f>AND($J131,ISNUMBER(AC131),correlation!$I$28=1)</f>
        <v/>
      </c>
      <c r="AE131" s="5">
        <f>IF(AD131,$F131,"")</f>
        <v/>
      </c>
      <c r="AF131" s="5">
        <f>IF(AD131,AC131*correlation!$J$28,"")</f>
        <v/>
      </c>
      <c r="AG131" s="5">
        <f>IF(AND(AD131,ISNUMBER(correlation!$F$28)),AF131*correlation!$F$28+correlation!$G$28,"")</f>
        <v/>
      </c>
      <c r="AH131" s="5">
        <f>IF(AND(AD131,ISNUMBER(AG131)),(AE131-AG131)^2,"")</f>
        <v/>
      </c>
      <c r="AI131" s="5">
        <f>IF(AD131,1+SUMPRODUCT(--(calc!$AD$3:$AD$132=TRUE),--(calc!$AE$3:$AE$132&gt;AE131))+(SUMPRODUCT(--(calc!$AD$3:$AD$132=TRUE),--(calc!$AE$3:$AE$132=AE131))-1)/2,"")</f>
        <v/>
      </c>
      <c r="AJ131" s="5">
        <f>IF(AD131,1+SUMPRODUCT(--(calc!$AD$3:$AD$132=TRUE),--(calc!$AF$3:$AF$132&gt;AF131))+(SUMPRODUCT(--(calc!$AD$3:$AD$132=TRUE),--(calc!$AF$3:$AF$132=AF131))-1)/2,"")</f>
        <v/>
      </c>
      <c r="AK131" s="5">
        <f>IF(AD131,SUMPRODUCT(--(calc!$AD$3:$AD$132=TRUE),--(ROW(calc!$AD$3:$AD$132)&gt;ROW(AD131)),--(((calc!$AI$3:$AI$132&gt;AI131)*(calc!$AJ$3:$AJ$132&gt;AJ131)+(calc!$AI$3:$AI$132&lt;AI131)*(calc!$AJ$3:$AJ$132&lt;AJ131))&gt;0))-SUMPRODUCT(--(calc!$AD$3:$AD$132=TRUE),--(ROW(calc!$AD$3:$AD$132)&gt;ROW(AD131)),--(((calc!$AI$3:$AI$132&gt;AI131)*(calc!$AJ$3:$AJ$132&lt;AJ131)+(calc!$AI$3:$AI$132&lt;AI131)*(calc!$AJ$3:$AJ$132&gt;AJ131))&gt;0)),0)</f>
        <v/>
      </c>
      <c r="AL131" s="5">
        <f>IF(mos_metrics!J130="","",mos_metrics!J130)</f>
        <v/>
      </c>
      <c r="AM131" s="2">
        <f>AND($J131,ISNUMBER(AL131),correlation!$I$29=1)</f>
        <v/>
      </c>
      <c r="AN131" s="5">
        <f>IF(AM131,$F131,"")</f>
        <v/>
      </c>
      <c r="AO131" s="5">
        <f>IF(AM131,AL131*correlation!$J$29,"")</f>
        <v/>
      </c>
      <c r="AP131" s="5">
        <f>IF(AND(AM131,ISNUMBER(correlation!$F$29)),AO131*correlation!$F$29+correlation!$G$29,"")</f>
        <v/>
      </c>
      <c r="AQ131" s="5">
        <f>IF(AND(AM131,ISNUMBER(AP131)),(AN131-AP131)^2,"")</f>
        <v/>
      </c>
      <c r="AR131" s="5">
        <f>IF(AM131,1+SUMPRODUCT(--(calc!$AM$3:$AM$132=TRUE),--(calc!$AN$3:$AN$132&gt;AN131))+(SUMPRODUCT(--(calc!$AM$3:$AM$132=TRUE),--(calc!$AN$3:$AN$132=AN131))-1)/2,"")</f>
        <v/>
      </c>
      <c r="AS131" s="5">
        <f>IF(AM131,1+SUMPRODUCT(--(calc!$AM$3:$AM$132=TRUE),--(calc!$AO$3:$AO$132&gt;AO131))+(SUMPRODUCT(--(calc!$AM$3:$AM$132=TRUE),--(calc!$AO$3:$AO$132=AO131))-1)/2,"")</f>
        <v/>
      </c>
      <c r="AT131" s="5">
        <f>IF(AM131,SUMPRODUCT(--(calc!$AM$3:$AM$132=TRUE),--(ROW(calc!$AM$3:$AM$132)&gt;ROW(AM131)),--(((calc!$AR$3:$AR$132&gt;AR131)*(calc!$AS$3:$AS$132&gt;AS131)+(calc!$AR$3:$AR$132&lt;AR131)*(calc!$AS$3:$AS$132&lt;AS131))&gt;0))-SUMPRODUCT(--(calc!$AM$3:$AM$132=TRUE),--(ROW(calc!$AM$3:$AM$132)&gt;ROW(AM131)),--(((calc!$AR$3:$AR$132&gt;AR131)*(calc!$AS$3:$AS$132&lt;AS131)+(calc!$AR$3:$AR$132&lt;AR131)*(calc!$AS$3:$AS$132&gt;AS131))&gt;0)),0)</f>
        <v/>
      </c>
      <c r="AU131" s="5">
        <f>IF(mos_metrics!K130="","",mos_metrics!K130)</f>
        <v/>
      </c>
      <c r="AV131" s="2">
        <f>AND($J131,ISNUMBER(AU131),correlation!$I$30=1)</f>
        <v/>
      </c>
      <c r="AW131" s="5">
        <f>IF(AV131,$F131,"")</f>
        <v/>
      </c>
      <c r="AX131" s="5">
        <f>IF(AV131,AU131*correlation!$J$30,"")</f>
        <v/>
      </c>
      <c r="AY131" s="5">
        <f>IF(AND(AV131,ISNUMBER(correlation!$F$30)),AX131*correlation!$F$30+correlation!$G$30,"")</f>
        <v/>
      </c>
      <c r="AZ131" s="5">
        <f>IF(AND(AV131,ISNUMBER(AY131)),(AW131-AY131)^2,"")</f>
        <v/>
      </c>
      <c r="BA131" s="5">
        <f>IF(AV131,1+SUMPRODUCT(--(calc!$AV$3:$AV$132=TRUE),--(calc!$AW$3:$AW$132&gt;AW131))+(SUMPRODUCT(--(calc!$AV$3:$AV$132=TRUE),--(calc!$AW$3:$AW$132=AW131))-1)/2,"")</f>
        <v/>
      </c>
      <c r="BB131" s="5">
        <f>IF(AV131,1+SUMPRODUCT(--(calc!$AV$3:$AV$132=TRUE),--(calc!$AX$3:$AX$132&gt;AX131))+(SUMPRODUCT(--(calc!$AV$3:$AV$132=TRUE),--(calc!$AX$3:$AX$132=AX131))-1)/2,"")</f>
        <v/>
      </c>
      <c r="BC131" s="5">
        <f>IF(AV131,SUMPRODUCT(--(calc!$AV$3:$AV$132=TRUE),--(ROW(calc!$AV$3:$AV$132)&gt;ROW(AV131)),--(((calc!$BA$3:$BA$132&gt;BA131)*(calc!$BB$3:$BB$132&gt;BB131)+(calc!$BA$3:$BA$132&lt;BA131)*(calc!$BB$3:$BB$132&lt;BB131))&gt;0))-SUMPRODUCT(--(calc!$AV$3:$AV$132=TRUE),--(ROW(calc!$AV$3:$AV$132)&gt;ROW(AV131)),--(((calc!$BA$3:$BA$132&gt;BA131)*(calc!$BB$3:$BB$132&lt;BB131)+(calc!$BA$3:$BA$132&lt;BA131)*(calc!$BB$3:$BB$132&gt;BB131))&gt;0)),0)</f>
        <v/>
      </c>
      <c r="BD131" s="5">
        <f>IF(mos_metrics!L130="","",mos_metrics!L130)</f>
        <v/>
      </c>
      <c r="BE131" s="2">
        <f>AND($J131,ISNUMBER(BD131),correlation!$I$31=1)</f>
        <v/>
      </c>
      <c r="BF131" s="5">
        <f>IF(BE131,$F131,"")</f>
        <v/>
      </c>
      <c r="BG131" s="5">
        <f>IF(BE131,BD131*correlation!$J$31,"")</f>
        <v/>
      </c>
      <c r="BH131" s="5">
        <f>IF(AND(BE131,ISNUMBER(correlation!$F$31)),BG131*correlation!$F$31+correlation!$G$31,"")</f>
        <v/>
      </c>
      <c r="BI131" s="5">
        <f>IF(AND(BE131,ISNUMBER(BH131)),(BF131-BH131)^2,"")</f>
        <v/>
      </c>
      <c r="BJ131" s="5">
        <f>IF(BE131,1+SUMPRODUCT(--(calc!$BE$3:$BE$132=TRUE),--(calc!$BF$3:$BF$132&gt;BF131))+(SUMPRODUCT(--(calc!$BE$3:$BE$132=TRUE),--(calc!$BF$3:$BF$132=BF131))-1)/2,"")</f>
        <v/>
      </c>
      <c r="BK131" s="5">
        <f>IF(BE131,1+SUMPRODUCT(--(calc!$BE$3:$BE$132=TRUE),--(calc!$BG$3:$BG$132&gt;BG131))+(SUMPRODUCT(--(calc!$BE$3:$BE$132=TRUE),--(calc!$BG$3:$BG$132=BG131))-1)/2,"")</f>
        <v/>
      </c>
      <c r="BL131" s="5">
        <f>IF(BE131,SUMPRODUCT(--(calc!$BE$3:$BE$132=TRUE),--(ROW(calc!$BE$3:$BE$132)&gt;ROW(BE131)),--(((calc!$BJ$3:$BJ$132&gt;BJ131)*(calc!$BK$3:$BK$132&gt;BK131)+(calc!$BJ$3:$BJ$132&lt;BJ131)*(calc!$BK$3:$BK$132&lt;BK131))&gt;0))-SUMPRODUCT(--(calc!$BE$3:$BE$132=TRUE),--(ROW(calc!$BE$3:$BE$132)&gt;ROW(BE131)),--(((calc!$BJ$3:$BJ$132&gt;BJ131)*(calc!$BK$3:$BK$132&lt;BK131)+(calc!$BJ$3:$BJ$132&lt;BJ131)*(calc!$BK$3:$BK$132&gt;BK131))&gt;0)),0)</f>
        <v/>
      </c>
      <c r="BM131" s="5">
        <f>IF(mos_metrics!M130="","",mos_metrics!M130)</f>
        <v/>
      </c>
      <c r="BN131" s="2">
        <f>AND($J131,ISNUMBER(BM131),correlation!$I$32=1)</f>
        <v/>
      </c>
      <c r="BO131" s="5">
        <f>IF(BN131,$F131,"")</f>
        <v/>
      </c>
      <c r="BP131" s="5">
        <f>IF(BN131,BM131*correlation!$J$32,"")</f>
        <v/>
      </c>
      <c r="BQ131" s="5">
        <f>IF(AND(BN131,ISNUMBER(correlation!$F$32)),BP131*correlation!$F$32+correlation!$G$32,"")</f>
        <v/>
      </c>
      <c r="BR131" s="5">
        <f>IF(AND(BN131,ISNUMBER(BQ131)),(BO131-BQ131)^2,"")</f>
        <v/>
      </c>
      <c r="BS131" s="5">
        <f>IF(BN131,1+SUMPRODUCT(--(calc!$BN$3:$BN$132=TRUE),--(calc!$BO$3:$BO$132&gt;BO131))+(SUMPRODUCT(--(calc!$BN$3:$BN$132=TRUE),--(calc!$BO$3:$BO$132=BO131))-1)/2,"")</f>
        <v/>
      </c>
      <c r="BT131" s="5">
        <f>IF(BN131,1+SUMPRODUCT(--(calc!$BN$3:$BN$132=TRUE),--(calc!$BP$3:$BP$132&gt;BP131))+(SUMPRODUCT(--(calc!$BN$3:$BN$132=TRUE),--(calc!$BP$3:$BP$132=BP131))-1)/2,"")</f>
        <v/>
      </c>
      <c r="BU131" s="5">
        <f>IF(BN131,SUMPRODUCT(--(calc!$BN$3:$BN$132=TRUE),--(ROW(calc!$BN$3:$BN$132)&gt;ROW(BN131)),--(((calc!$BS$3:$BS$132&gt;BS131)*(calc!$BT$3:$BT$132&gt;BT131)+(calc!$BS$3:$BS$132&lt;BS131)*(calc!$BT$3:$BT$132&lt;BT131))&gt;0))-SUMPRODUCT(--(calc!$BN$3:$BN$132=TRUE),--(ROW(calc!$BN$3:$BN$132)&gt;ROW(BN131)),--(((calc!$BS$3:$BS$132&gt;BS131)*(calc!$BT$3:$BT$132&lt;BT131)+(calc!$BS$3:$BS$132&lt;BS131)*(calc!$BT$3:$BT$132&gt;BT131))&gt;0)),0)</f>
        <v/>
      </c>
    </row>
    <row r="132">
      <c r="A132" s="2">
        <f>mos_metrics!A131</f>
        <v/>
      </c>
      <c r="B132" s="2">
        <f>mos_metrics!B131</f>
        <v/>
      </c>
      <c r="C132" s="2">
        <f>mos_metrics!C131</f>
        <v/>
      </c>
      <c r="D132" s="2">
        <f>mos_metrics!D131</f>
        <v/>
      </c>
      <c r="E132" s="2">
        <f>mos_metrics!E131</f>
        <v/>
      </c>
      <c r="F132" s="2">
        <f>mos_metrics!F131</f>
        <v/>
      </c>
      <c r="G132" s="2">
        <f>IF($B132="","",IFERROR(VLOOKUP($B132,correlation!$A$2:$B$12,2,FALSE),1))</f>
        <v/>
      </c>
      <c r="H132" s="2">
        <f>IF($E132="","",IFERROR(VLOOKUP($E132,correlation!$D$2:$E$8,2,FALSE),1))</f>
        <v/>
      </c>
      <c r="I132" s="2">
        <f>ISNUMBER($F132)</f>
        <v/>
      </c>
      <c r="J132" s="2">
        <f>AND($G132=1,$H132=1,$I132)</f>
        <v/>
      </c>
      <c r="K132" s="5">
        <f>IF(mos_metrics!G131="","",mos_metrics!G131)</f>
        <v/>
      </c>
      <c r="L132" s="2">
        <f>AND($J132,ISNUMBER(K132),correlation!$I$26=1)</f>
        <v/>
      </c>
      <c r="M132" s="5">
        <f>IF(L132,$F132,"")</f>
        <v/>
      </c>
      <c r="N132" s="5">
        <f>IF(L132,K132*correlation!$J$26,"")</f>
        <v/>
      </c>
      <c r="O132" s="5">
        <f>IF(AND(L132,ISNUMBER(correlation!$F$26)),N132*correlation!$F$26+correlation!$G$26,"")</f>
        <v/>
      </c>
      <c r="P132" s="5">
        <f>IF(AND(L132,ISNUMBER(O132)),(M132-O132)^2,"")</f>
        <v/>
      </c>
      <c r="Q132" s="5">
        <f>IF(L132,1+SUMPRODUCT(--(calc!$L$3:$L$132=TRUE),--(calc!$M$3:$M$132&gt;M132))+(SUMPRODUCT(--(calc!$L$3:$L$132=TRUE),--(calc!$M$3:$M$132=M132))-1)/2,"")</f>
        <v/>
      </c>
      <c r="R132" s="5">
        <f>IF(L132,1+SUMPRODUCT(--(calc!$L$3:$L$132=TRUE),--(calc!$N$3:$N$132&gt;N132))+(SUMPRODUCT(--(calc!$L$3:$L$132=TRUE),--(calc!$N$3:$N$132=N132))-1)/2,"")</f>
        <v/>
      </c>
      <c r="S132" s="5">
        <f>IF(L132,SUMPRODUCT(--(calc!$L$3:$L$132=TRUE),--(ROW(calc!$L$3:$L$132)&gt;ROW(L132)),--(((calc!$Q$3:$Q$132&gt;Q132)*(calc!$R$3:$R$132&gt;R132)+(calc!$Q$3:$Q$132&lt;Q132)*(calc!$R$3:$R$132&lt;R132))&gt;0))-SUMPRODUCT(--(calc!$L$3:$L$132=TRUE),--(ROW(calc!$L$3:$L$132)&gt;ROW(L132)),--(((calc!$Q$3:$Q$132&gt;Q132)*(calc!$R$3:$R$132&lt;R132)+(calc!$Q$3:$Q$132&lt;Q132)*(calc!$R$3:$R$132&gt;R132))&gt;0)),0)</f>
        <v/>
      </c>
      <c r="T132" s="5">
        <f>IF(mos_metrics!H131="","",mos_metrics!H131)</f>
        <v/>
      </c>
      <c r="U132" s="2">
        <f>AND($J132,ISNUMBER(T132),correlation!$I$27=1)</f>
        <v/>
      </c>
      <c r="V132" s="5">
        <f>IF(U132,$F132,"")</f>
        <v/>
      </c>
      <c r="W132" s="5">
        <f>IF(U132,T132*correlation!$J$27,"")</f>
        <v/>
      </c>
      <c r="X132" s="5">
        <f>IF(AND(U132,ISNUMBER(correlation!$F$27)),W132*correlation!$F$27+correlation!$G$27,"")</f>
        <v/>
      </c>
      <c r="Y132" s="5">
        <f>IF(AND(U132,ISNUMBER(X132)),(V132-X132)^2,"")</f>
        <v/>
      </c>
      <c r="Z132" s="5">
        <f>IF(U132,1+SUMPRODUCT(--(calc!$U$3:$U$132=TRUE),--(calc!$V$3:$V$132&gt;V132))+(SUMPRODUCT(--(calc!$U$3:$U$132=TRUE),--(calc!$V$3:$V$132=V132))-1)/2,"")</f>
        <v/>
      </c>
      <c r="AA132" s="5">
        <f>IF(U132,1+SUMPRODUCT(--(calc!$U$3:$U$132=TRUE),--(calc!$W$3:$W$132&gt;W132))+(SUMPRODUCT(--(calc!$U$3:$U$132=TRUE),--(calc!$W$3:$W$132=W132))-1)/2,"")</f>
        <v/>
      </c>
      <c r="AB132" s="5">
        <f>IF(U132,SUMPRODUCT(--(calc!$U$3:$U$132=TRUE),--(ROW(calc!$U$3:$U$132)&gt;ROW(U132)),--(((calc!$Z$3:$Z$132&gt;Z132)*(calc!$AA$3:$AA$132&gt;AA132)+(calc!$Z$3:$Z$132&lt;Z132)*(calc!$AA$3:$AA$132&lt;AA132))&gt;0))-SUMPRODUCT(--(calc!$U$3:$U$132=TRUE),--(ROW(calc!$U$3:$U$132)&gt;ROW(U132)),--(((calc!$Z$3:$Z$132&gt;Z132)*(calc!$AA$3:$AA$132&lt;AA132)+(calc!$Z$3:$Z$132&lt;Z132)*(calc!$AA$3:$AA$132&gt;AA132))&gt;0)),0)</f>
        <v/>
      </c>
      <c r="AC132" s="5">
        <f>IF(mos_metrics!I131="","",mos_metrics!I131)</f>
        <v/>
      </c>
      <c r="AD132" s="2">
        <f>AND($J132,ISNUMBER(AC132),correlation!$I$28=1)</f>
        <v/>
      </c>
      <c r="AE132" s="5">
        <f>IF(AD132,$F132,"")</f>
        <v/>
      </c>
      <c r="AF132" s="5">
        <f>IF(AD132,AC132*correlation!$J$28,"")</f>
        <v/>
      </c>
      <c r="AG132" s="5">
        <f>IF(AND(AD132,ISNUMBER(correlation!$F$28)),AF132*correlation!$F$28+correlation!$G$28,"")</f>
        <v/>
      </c>
      <c r="AH132" s="5">
        <f>IF(AND(AD132,ISNUMBER(AG132)),(AE132-AG132)^2,"")</f>
        <v/>
      </c>
      <c r="AI132" s="5">
        <f>IF(AD132,1+SUMPRODUCT(--(calc!$AD$3:$AD$132=TRUE),--(calc!$AE$3:$AE$132&gt;AE132))+(SUMPRODUCT(--(calc!$AD$3:$AD$132=TRUE),--(calc!$AE$3:$AE$132=AE132))-1)/2,"")</f>
        <v/>
      </c>
      <c r="AJ132" s="5">
        <f>IF(AD132,1+SUMPRODUCT(--(calc!$AD$3:$AD$132=TRUE),--(calc!$AF$3:$AF$132&gt;AF132))+(SUMPRODUCT(--(calc!$AD$3:$AD$132=TRUE),--(calc!$AF$3:$AF$132=AF132))-1)/2,"")</f>
        <v/>
      </c>
      <c r="AK132" s="5">
        <f>IF(AD132,SUMPRODUCT(--(calc!$AD$3:$AD$132=TRUE),--(ROW(calc!$AD$3:$AD$132)&gt;ROW(AD132)),--(((calc!$AI$3:$AI$132&gt;AI132)*(calc!$AJ$3:$AJ$132&gt;AJ132)+(calc!$AI$3:$AI$132&lt;AI132)*(calc!$AJ$3:$AJ$132&lt;AJ132))&gt;0))-SUMPRODUCT(--(calc!$AD$3:$AD$132=TRUE),--(ROW(calc!$AD$3:$AD$132)&gt;ROW(AD132)),--(((calc!$AI$3:$AI$132&gt;AI132)*(calc!$AJ$3:$AJ$132&lt;AJ132)+(calc!$AI$3:$AI$132&lt;AI132)*(calc!$AJ$3:$AJ$132&gt;AJ132))&gt;0)),0)</f>
        <v/>
      </c>
      <c r="AL132" s="5">
        <f>IF(mos_metrics!J131="","",mos_metrics!J131)</f>
        <v/>
      </c>
      <c r="AM132" s="2">
        <f>AND($J132,ISNUMBER(AL132),correlation!$I$29=1)</f>
        <v/>
      </c>
      <c r="AN132" s="5">
        <f>IF(AM132,$F132,"")</f>
        <v/>
      </c>
      <c r="AO132" s="5">
        <f>IF(AM132,AL132*correlation!$J$29,"")</f>
        <v/>
      </c>
      <c r="AP132" s="5">
        <f>IF(AND(AM132,ISNUMBER(correlation!$F$29)),AO132*correlation!$F$29+correlation!$G$29,"")</f>
        <v/>
      </c>
      <c r="AQ132" s="5">
        <f>IF(AND(AM132,ISNUMBER(AP132)),(AN132-AP132)^2,"")</f>
        <v/>
      </c>
      <c r="AR132" s="5">
        <f>IF(AM132,1+SUMPRODUCT(--(calc!$AM$3:$AM$132=TRUE),--(calc!$AN$3:$AN$132&gt;AN132))+(SUMPRODUCT(--(calc!$AM$3:$AM$132=TRUE),--(calc!$AN$3:$AN$132=AN132))-1)/2,"")</f>
        <v/>
      </c>
      <c r="AS132" s="5">
        <f>IF(AM132,1+SUMPRODUCT(--(calc!$AM$3:$AM$132=TRUE),--(calc!$AO$3:$AO$132&gt;AO132))+(SUMPRODUCT(--(calc!$AM$3:$AM$132=TRUE),--(calc!$AO$3:$AO$132=AO132))-1)/2,"")</f>
        <v/>
      </c>
      <c r="AT132" s="5">
        <f>IF(AM132,SUMPRODUCT(--(calc!$AM$3:$AM$132=TRUE),--(ROW(calc!$AM$3:$AM$132)&gt;ROW(AM132)),--(((calc!$AR$3:$AR$132&gt;AR132)*(calc!$AS$3:$AS$132&gt;AS132)+(calc!$AR$3:$AR$132&lt;AR132)*(calc!$AS$3:$AS$132&lt;AS132))&gt;0))-SUMPRODUCT(--(calc!$AM$3:$AM$132=TRUE),--(ROW(calc!$AM$3:$AM$132)&gt;ROW(AM132)),--(((calc!$AR$3:$AR$132&gt;AR132)*(calc!$AS$3:$AS$132&lt;AS132)+(calc!$AR$3:$AR$132&lt;AR132)*(calc!$AS$3:$AS$132&gt;AS132))&gt;0)),0)</f>
        <v/>
      </c>
      <c r="AU132" s="5">
        <f>IF(mos_metrics!K131="","",mos_metrics!K131)</f>
        <v/>
      </c>
      <c r="AV132" s="2">
        <f>AND($J132,ISNUMBER(AU132),correlation!$I$30=1)</f>
        <v/>
      </c>
      <c r="AW132" s="5">
        <f>IF(AV132,$F132,"")</f>
        <v/>
      </c>
      <c r="AX132" s="5">
        <f>IF(AV132,AU132*correlation!$J$30,"")</f>
        <v/>
      </c>
      <c r="AY132" s="5">
        <f>IF(AND(AV132,ISNUMBER(correlation!$F$30)),AX132*correlation!$F$30+correlation!$G$30,"")</f>
        <v/>
      </c>
      <c r="AZ132" s="5">
        <f>IF(AND(AV132,ISNUMBER(AY132)),(AW132-AY132)^2,"")</f>
        <v/>
      </c>
      <c r="BA132" s="5">
        <f>IF(AV132,1+SUMPRODUCT(--(calc!$AV$3:$AV$132=TRUE),--(calc!$AW$3:$AW$132&gt;AW132))+(SUMPRODUCT(--(calc!$AV$3:$AV$132=TRUE),--(calc!$AW$3:$AW$132=AW132))-1)/2,"")</f>
        <v/>
      </c>
      <c r="BB132" s="5">
        <f>IF(AV132,1+SUMPRODUCT(--(calc!$AV$3:$AV$132=TRUE),--(calc!$AX$3:$AX$132&gt;AX132))+(SUMPRODUCT(--(calc!$AV$3:$AV$132=TRUE),--(calc!$AX$3:$AX$132=AX132))-1)/2,"")</f>
        <v/>
      </c>
      <c r="BC132" s="5">
        <f>IF(AV132,SUMPRODUCT(--(calc!$AV$3:$AV$132=TRUE),--(ROW(calc!$AV$3:$AV$132)&gt;ROW(AV132)),--(((calc!$BA$3:$BA$132&gt;BA132)*(calc!$BB$3:$BB$132&gt;BB132)+(calc!$BA$3:$BA$132&lt;BA132)*(calc!$BB$3:$BB$132&lt;BB132))&gt;0))-SUMPRODUCT(--(calc!$AV$3:$AV$132=TRUE),--(ROW(calc!$AV$3:$AV$132)&gt;ROW(AV132)),--(((calc!$BA$3:$BA$132&gt;BA132)*(calc!$BB$3:$BB$132&lt;BB132)+(calc!$BA$3:$BA$132&lt;BA132)*(calc!$BB$3:$BB$132&gt;BB132))&gt;0)),0)</f>
        <v/>
      </c>
      <c r="BD132" s="5">
        <f>IF(mos_metrics!L131="","",mos_metrics!L131)</f>
        <v/>
      </c>
      <c r="BE132" s="2">
        <f>AND($J132,ISNUMBER(BD132),correlation!$I$31=1)</f>
        <v/>
      </c>
      <c r="BF132" s="5">
        <f>IF(BE132,$F132,"")</f>
        <v/>
      </c>
      <c r="BG132" s="5">
        <f>IF(BE132,BD132*correlation!$J$31,"")</f>
        <v/>
      </c>
      <c r="BH132" s="5">
        <f>IF(AND(BE132,ISNUMBER(correlation!$F$31)),BG132*correlation!$F$31+correlation!$G$31,"")</f>
        <v/>
      </c>
      <c r="BI132" s="5">
        <f>IF(AND(BE132,ISNUMBER(BH132)),(BF132-BH132)^2,"")</f>
        <v/>
      </c>
      <c r="BJ132" s="5">
        <f>IF(BE132,1+SUMPRODUCT(--(calc!$BE$3:$BE$132=TRUE),--(calc!$BF$3:$BF$132&gt;BF132))+(SUMPRODUCT(--(calc!$BE$3:$BE$132=TRUE),--(calc!$BF$3:$BF$132=BF132))-1)/2,"")</f>
        <v/>
      </c>
      <c r="BK132" s="5">
        <f>IF(BE132,1+SUMPRODUCT(--(calc!$BE$3:$BE$132=TRUE),--(calc!$BG$3:$BG$132&gt;BG132))+(SUMPRODUCT(--(calc!$BE$3:$BE$132=TRUE),--(calc!$BG$3:$BG$132=BG132))-1)/2,"")</f>
        <v/>
      </c>
      <c r="BL132" s="5">
        <f>IF(BE132,SUMPRODUCT(--(calc!$BE$3:$BE$132=TRUE),--(ROW(calc!$BE$3:$BE$132)&gt;ROW(BE132)),--(((calc!$BJ$3:$BJ$132&gt;BJ132)*(calc!$BK$3:$BK$132&gt;BK132)+(calc!$BJ$3:$BJ$132&lt;BJ132)*(calc!$BK$3:$BK$132&lt;BK132))&gt;0))-SUMPRODUCT(--(calc!$BE$3:$BE$132=TRUE),--(ROW(calc!$BE$3:$BE$132)&gt;ROW(BE132)),--(((calc!$BJ$3:$BJ$132&gt;BJ132)*(calc!$BK$3:$BK$132&lt;BK132)+(calc!$BJ$3:$BJ$132&lt;BJ132)*(calc!$BK$3:$BK$132&gt;BK132))&gt;0)),0)</f>
        <v/>
      </c>
      <c r="BM132" s="5">
        <f>IF(mos_metrics!M131="","",mos_metrics!M131)</f>
        <v/>
      </c>
      <c r="BN132" s="2">
        <f>AND($J132,ISNUMBER(BM132),correlation!$I$32=1)</f>
        <v/>
      </c>
      <c r="BO132" s="5">
        <f>IF(BN132,$F132,"")</f>
        <v/>
      </c>
      <c r="BP132" s="5">
        <f>IF(BN132,BM132*correlation!$J$32,"")</f>
        <v/>
      </c>
      <c r="BQ132" s="5">
        <f>IF(AND(BN132,ISNUMBER(correlation!$F$32)),BP132*correlation!$F$32+correlation!$G$32,"")</f>
        <v/>
      </c>
      <c r="BR132" s="5">
        <f>IF(AND(BN132,ISNUMBER(BQ132)),(BO132-BQ132)^2,"")</f>
        <v/>
      </c>
      <c r="BS132" s="5">
        <f>IF(BN132,1+SUMPRODUCT(--(calc!$BN$3:$BN$132=TRUE),--(calc!$BO$3:$BO$132&gt;BO132))+(SUMPRODUCT(--(calc!$BN$3:$BN$132=TRUE),--(calc!$BO$3:$BO$132=BO132))-1)/2,"")</f>
        <v/>
      </c>
      <c r="BT132" s="5">
        <f>IF(BN132,1+SUMPRODUCT(--(calc!$BN$3:$BN$132=TRUE),--(calc!$BP$3:$BP$132&gt;BP132))+(SUMPRODUCT(--(calc!$BN$3:$BN$132=TRUE),--(calc!$BP$3:$BP$132=BP132))-1)/2,"")</f>
        <v/>
      </c>
      <c r="BU132" s="5">
        <f>IF(BN132,SUMPRODUCT(--(calc!$BN$3:$BN$132=TRUE),--(ROW(calc!$BN$3:$BN$132)&gt;ROW(BN132)),--(((calc!$BS$3:$BS$132&gt;BS132)*(calc!$BT$3:$BT$132&gt;BT132)+(calc!$BS$3:$BS$132&lt;BS132)*(calc!$BT$3:$BT$132&lt;BT132))&gt;0))-SUMPRODUCT(--(calc!$BN$3:$BN$132=TRUE),--(ROW(calc!$BN$3:$BN$132)&gt;ROW(BN132)),--(((calc!$BS$3:$BS$132&gt;BS132)*(calc!$BT$3:$BT$132&lt;BT132)+(calc!$BS$3:$BS$132&lt;BS132)*(calc!$BT$3:$BT$132&gt;BT132))&gt;0)),0)</f>
        <v/>
      </c>
    </row>
    <row r="133">
      <c r="A133" s="2">
        <f>mos_metrics!A132</f>
        <v/>
      </c>
      <c r="B133" s="2">
        <f>mos_metrics!B132</f>
        <v/>
      </c>
      <c r="C133" s="2">
        <f>mos_metrics!C132</f>
        <v/>
      </c>
      <c r="D133" s="2">
        <f>mos_metrics!D132</f>
        <v/>
      </c>
      <c r="E133" s="2">
        <f>mos_metrics!E132</f>
        <v/>
      </c>
      <c r="F133" s="2">
        <f>mos_metrics!F132</f>
        <v/>
      </c>
      <c r="G133" s="2">
        <f>IF($B133="","",IFERROR(VLOOKUP($B133,correlation!$A$2:$B$12,2,FALSE),1))</f>
        <v/>
      </c>
      <c r="H133" s="2">
        <f>IF($E133="","",IFERROR(VLOOKUP($E133,correlation!$D$2:$E$8,2,FALSE),1))</f>
        <v/>
      </c>
      <c r="I133" s="2">
        <f>ISNUMBER($F133)</f>
        <v/>
      </c>
      <c r="J133" s="2">
        <f>AND($G133=1,$H133=1,$I133)</f>
        <v/>
      </c>
      <c r="K133" s="5">
        <f>IF(mos_metrics!G132="","",mos_metrics!G132)</f>
        <v/>
      </c>
      <c r="L133" s="2">
        <f>AND($J133,ISNUMBER(K133),correlation!$I$26=1)</f>
        <v/>
      </c>
      <c r="M133" s="5">
        <f>IF(L133,$F133,"")</f>
        <v/>
      </c>
      <c r="N133" s="5">
        <f>IF(L133,K133*correlation!$J$26,"")</f>
        <v/>
      </c>
      <c r="O133" s="5">
        <f>IF(AND(L133,ISNUMBER(correlation!$F$26)),N133*correlation!$F$26+correlation!$G$26,"")</f>
        <v/>
      </c>
      <c r="P133" s="5">
        <f>IF(AND(L133,ISNUMBER(O133)),(M133-O133)^2,"")</f>
        <v/>
      </c>
      <c r="Q133" s="5">
        <f>IF(L133,1+SUMPRODUCT(--(calc!$L$3:$L$132=TRUE),--(calc!$M$3:$M$132&gt;M133))+(SUMPRODUCT(--(calc!$L$3:$L$132=TRUE),--(calc!$M$3:$M$132=M133))-1)/2,"")</f>
        <v/>
      </c>
      <c r="R133" s="5">
        <f>IF(L133,1+SUMPRODUCT(--(calc!$L$3:$L$132=TRUE),--(calc!$N$3:$N$132&gt;N133))+(SUMPRODUCT(--(calc!$L$3:$L$132=TRUE),--(calc!$N$3:$N$132=N133))-1)/2,"")</f>
        <v/>
      </c>
      <c r="S133" s="5">
        <f>IF(L133,SUMPRODUCT(--(calc!$L$3:$L$132=TRUE),--(ROW(calc!$L$3:$L$132)&gt;ROW(L133)),--(((calc!$Q$3:$Q$132&gt;Q133)*(calc!$R$3:$R$132&gt;R133)+(calc!$Q$3:$Q$132&lt;Q133)*(calc!$R$3:$R$132&lt;R133))&gt;0))-SUMPRODUCT(--(calc!$L$3:$L$132=TRUE),--(ROW(calc!$L$3:$L$132)&gt;ROW(L133)),--(((calc!$Q$3:$Q$132&gt;Q133)*(calc!$R$3:$R$132&lt;R133)+(calc!$Q$3:$Q$132&lt;Q133)*(calc!$R$3:$R$132&gt;R133))&gt;0)),0)</f>
        <v/>
      </c>
      <c r="T133" s="5">
        <f>IF(mos_metrics!H132="","",mos_metrics!H132)</f>
        <v/>
      </c>
      <c r="U133" s="2">
        <f>AND($J133,ISNUMBER(T133),correlation!$I$27=1)</f>
        <v/>
      </c>
      <c r="V133" s="5">
        <f>IF(U133,$F133,"")</f>
        <v/>
      </c>
      <c r="W133" s="5">
        <f>IF(U133,T133*correlation!$J$27,"")</f>
        <v/>
      </c>
      <c r="X133" s="5">
        <f>IF(AND(U133,ISNUMBER(correlation!$F$27)),W133*correlation!$F$27+correlation!$G$27,"")</f>
        <v/>
      </c>
      <c r="Y133" s="5">
        <f>IF(AND(U133,ISNUMBER(X133)),(V133-X133)^2,"")</f>
        <v/>
      </c>
      <c r="Z133" s="5">
        <f>IF(U133,1+SUMPRODUCT(--(calc!$U$3:$U$132=TRUE),--(calc!$V$3:$V$132&gt;V133))+(SUMPRODUCT(--(calc!$U$3:$U$132=TRUE),--(calc!$V$3:$V$132=V133))-1)/2,"")</f>
        <v/>
      </c>
      <c r="AA133" s="5">
        <f>IF(U133,1+SUMPRODUCT(--(calc!$U$3:$U$132=TRUE),--(calc!$W$3:$W$132&gt;W133))+(SUMPRODUCT(--(calc!$U$3:$U$132=TRUE),--(calc!$W$3:$W$132=W133))-1)/2,"")</f>
        <v/>
      </c>
      <c r="AB133" s="5">
        <f>IF(U133,SUMPRODUCT(--(calc!$U$3:$U$132=TRUE),--(ROW(calc!$U$3:$U$132)&gt;ROW(U133)),--(((calc!$Z$3:$Z$132&gt;Z133)*(calc!$AA$3:$AA$132&gt;AA133)+(calc!$Z$3:$Z$132&lt;Z133)*(calc!$AA$3:$AA$132&lt;AA133))&gt;0))-SUMPRODUCT(--(calc!$U$3:$U$132=TRUE),--(ROW(calc!$U$3:$U$132)&gt;ROW(U133)),--(((calc!$Z$3:$Z$132&gt;Z133)*(calc!$AA$3:$AA$132&lt;AA133)+(calc!$Z$3:$Z$132&lt;Z133)*(calc!$AA$3:$AA$132&gt;AA133))&gt;0)),0)</f>
        <v/>
      </c>
      <c r="AC133" s="5">
        <f>IF(mos_metrics!I132="","",mos_metrics!I132)</f>
        <v/>
      </c>
      <c r="AD133" s="2">
        <f>AND($J133,ISNUMBER(AC133),correlation!$I$28=1)</f>
        <v/>
      </c>
      <c r="AE133" s="5">
        <f>IF(AD133,$F133,"")</f>
        <v/>
      </c>
      <c r="AF133" s="5">
        <f>IF(AD133,AC133*correlation!$J$28,"")</f>
        <v/>
      </c>
      <c r="AG133" s="5">
        <f>IF(AND(AD133,ISNUMBER(correlation!$F$28)),AF133*correlation!$F$28+correlation!$G$28,"")</f>
        <v/>
      </c>
      <c r="AH133" s="5">
        <f>IF(AND(AD133,ISNUMBER(AG133)),(AE133-AG133)^2,"")</f>
        <v/>
      </c>
      <c r="AI133" s="5">
        <f>IF(AD133,1+SUMPRODUCT(--(calc!$AD$3:$AD$132=TRUE),--(calc!$AE$3:$AE$132&gt;AE133))+(SUMPRODUCT(--(calc!$AD$3:$AD$132=TRUE),--(calc!$AE$3:$AE$132=AE133))-1)/2,"")</f>
        <v/>
      </c>
      <c r="AJ133" s="5">
        <f>IF(AD133,1+SUMPRODUCT(--(calc!$AD$3:$AD$132=TRUE),--(calc!$AF$3:$AF$132&gt;AF133))+(SUMPRODUCT(--(calc!$AD$3:$AD$132=TRUE),--(calc!$AF$3:$AF$132=AF133))-1)/2,"")</f>
        <v/>
      </c>
      <c r="AK133" s="5">
        <f>IF(AD133,SUMPRODUCT(--(calc!$AD$3:$AD$132=TRUE),--(ROW(calc!$AD$3:$AD$132)&gt;ROW(AD133)),--(((calc!$AI$3:$AI$132&gt;AI133)*(calc!$AJ$3:$AJ$132&gt;AJ133)+(calc!$AI$3:$AI$132&lt;AI133)*(calc!$AJ$3:$AJ$132&lt;AJ133))&gt;0))-SUMPRODUCT(--(calc!$AD$3:$AD$132=TRUE),--(ROW(calc!$AD$3:$AD$132)&gt;ROW(AD133)),--(((calc!$AI$3:$AI$132&gt;AI133)*(calc!$AJ$3:$AJ$132&lt;AJ133)+(calc!$AI$3:$AI$132&lt;AI133)*(calc!$AJ$3:$AJ$132&gt;AJ133))&gt;0)),0)</f>
        <v/>
      </c>
      <c r="AL133" s="5">
        <f>IF(mos_metrics!J132="","",mos_metrics!J132)</f>
        <v/>
      </c>
      <c r="AM133" s="2">
        <f>AND($J133,ISNUMBER(AL133),correlation!$I$29=1)</f>
        <v/>
      </c>
      <c r="AN133" s="5">
        <f>IF(AM133,$F133,"")</f>
        <v/>
      </c>
      <c r="AO133" s="5">
        <f>IF(AM133,AL133*correlation!$J$29,"")</f>
        <v/>
      </c>
      <c r="AP133" s="5">
        <f>IF(AND(AM133,ISNUMBER(correlation!$F$29)),AO133*correlation!$F$29+correlation!$G$29,"")</f>
        <v/>
      </c>
      <c r="AQ133" s="5">
        <f>IF(AND(AM133,ISNUMBER(AP133)),(AN133-AP133)^2,"")</f>
        <v/>
      </c>
      <c r="AR133" s="5">
        <f>IF(AM133,1+SUMPRODUCT(--(calc!$AM$3:$AM$132=TRUE),--(calc!$AN$3:$AN$132&gt;AN133))+(SUMPRODUCT(--(calc!$AM$3:$AM$132=TRUE),--(calc!$AN$3:$AN$132=AN133))-1)/2,"")</f>
        <v/>
      </c>
      <c r="AS133" s="5">
        <f>IF(AM133,1+SUMPRODUCT(--(calc!$AM$3:$AM$132=TRUE),--(calc!$AO$3:$AO$132&gt;AO133))+(SUMPRODUCT(--(calc!$AM$3:$AM$132=TRUE),--(calc!$AO$3:$AO$132=AO133))-1)/2,"")</f>
        <v/>
      </c>
      <c r="AT133" s="5">
        <f>IF(AM133,SUMPRODUCT(--(calc!$AM$3:$AM$132=TRUE),--(ROW(calc!$AM$3:$AM$132)&gt;ROW(AM133)),--(((calc!$AR$3:$AR$132&gt;AR133)*(calc!$AS$3:$AS$132&gt;AS133)+(calc!$AR$3:$AR$132&lt;AR133)*(calc!$AS$3:$AS$132&lt;AS133))&gt;0))-SUMPRODUCT(--(calc!$AM$3:$AM$132=TRUE),--(ROW(calc!$AM$3:$AM$132)&gt;ROW(AM133)),--(((calc!$AR$3:$AR$132&gt;AR133)*(calc!$AS$3:$AS$132&lt;AS133)+(calc!$AR$3:$AR$132&lt;AR133)*(calc!$AS$3:$AS$132&gt;AS133))&gt;0)),0)</f>
        <v/>
      </c>
      <c r="AU133" s="5">
        <f>IF(mos_metrics!K132="","",mos_metrics!K132)</f>
        <v/>
      </c>
      <c r="AV133" s="2">
        <f>AND($J133,ISNUMBER(AU133),correlation!$I$30=1)</f>
        <v/>
      </c>
      <c r="AW133" s="5">
        <f>IF(AV133,$F133,"")</f>
        <v/>
      </c>
      <c r="AX133" s="5">
        <f>IF(AV133,AU133*correlation!$J$30,"")</f>
        <v/>
      </c>
      <c r="AY133" s="5">
        <f>IF(AND(AV133,ISNUMBER(correlation!$F$30)),AX133*correlation!$F$30+correlation!$G$30,"")</f>
        <v/>
      </c>
      <c r="AZ133" s="5">
        <f>IF(AND(AV133,ISNUMBER(AY133)),(AW133-AY133)^2,"")</f>
        <v/>
      </c>
      <c r="BA133" s="5">
        <f>IF(AV133,1+SUMPRODUCT(--(calc!$AV$3:$AV$132=TRUE),--(calc!$AW$3:$AW$132&gt;AW133))+(SUMPRODUCT(--(calc!$AV$3:$AV$132=TRUE),--(calc!$AW$3:$AW$132=AW133))-1)/2,"")</f>
        <v/>
      </c>
      <c r="BB133" s="5">
        <f>IF(AV133,1+SUMPRODUCT(--(calc!$AV$3:$AV$132=TRUE),--(calc!$AX$3:$AX$132&gt;AX133))+(SUMPRODUCT(--(calc!$AV$3:$AV$132=TRUE),--(calc!$AX$3:$AX$132=AX133))-1)/2,"")</f>
        <v/>
      </c>
      <c r="BC133" s="5">
        <f>IF(AV133,SUMPRODUCT(--(calc!$AV$3:$AV$132=TRUE),--(ROW(calc!$AV$3:$AV$132)&gt;ROW(AV133)),--(((calc!$BA$3:$BA$132&gt;BA133)*(calc!$BB$3:$BB$132&gt;BB133)+(calc!$BA$3:$BA$132&lt;BA133)*(calc!$BB$3:$BB$132&lt;BB133))&gt;0))-SUMPRODUCT(--(calc!$AV$3:$AV$132=TRUE),--(ROW(calc!$AV$3:$AV$132)&gt;ROW(AV133)),--(((calc!$BA$3:$BA$132&gt;BA133)*(calc!$BB$3:$BB$132&lt;BB133)+(calc!$BA$3:$BA$132&lt;BA133)*(calc!$BB$3:$BB$132&gt;BB133))&gt;0)),0)</f>
        <v/>
      </c>
      <c r="BD133" s="5">
        <f>IF(mos_metrics!L132="","",mos_metrics!L132)</f>
        <v/>
      </c>
      <c r="BE133" s="2">
        <f>AND($J133,ISNUMBER(BD133),correlation!$I$31=1)</f>
        <v/>
      </c>
      <c r="BF133" s="5">
        <f>IF(BE133,$F133,"")</f>
        <v/>
      </c>
      <c r="BG133" s="5">
        <f>IF(BE133,BD133*correlation!$J$31,"")</f>
        <v/>
      </c>
      <c r="BH133" s="5">
        <f>IF(AND(BE133,ISNUMBER(correlation!$F$31)),BG133*correlation!$F$31+correlation!$G$31,"")</f>
        <v/>
      </c>
      <c r="BI133" s="5">
        <f>IF(AND(BE133,ISNUMBER(BH133)),(BF133-BH133)^2,"")</f>
        <v/>
      </c>
      <c r="BJ133" s="5">
        <f>IF(BE133,1+SUMPRODUCT(--(calc!$BE$3:$BE$132=TRUE),--(calc!$BF$3:$BF$132&gt;BF133))+(SUMPRODUCT(--(calc!$BE$3:$BE$132=TRUE),--(calc!$BF$3:$BF$132=BF133))-1)/2,"")</f>
        <v/>
      </c>
      <c r="BK133" s="5">
        <f>IF(BE133,1+SUMPRODUCT(--(calc!$BE$3:$BE$132=TRUE),--(calc!$BG$3:$BG$132&gt;BG133))+(SUMPRODUCT(--(calc!$BE$3:$BE$132=TRUE),--(calc!$BG$3:$BG$132=BG133))-1)/2,"")</f>
        <v/>
      </c>
      <c r="BL133" s="5">
        <f>IF(BE133,SUMPRODUCT(--(calc!$BE$3:$BE$132=TRUE),--(ROW(calc!$BE$3:$BE$132)&gt;ROW(BE133)),--(((calc!$BJ$3:$BJ$132&gt;BJ133)*(calc!$BK$3:$BK$132&gt;BK133)+(calc!$BJ$3:$BJ$132&lt;BJ133)*(calc!$BK$3:$BK$132&lt;BK133))&gt;0))-SUMPRODUCT(--(calc!$BE$3:$BE$132=TRUE),--(ROW(calc!$BE$3:$BE$132)&gt;ROW(BE133)),--(((calc!$BJ$3:$BJ$132&gt;BJ133)*(calc!$BK$3:$BK$132&lt;BK133)+(calc!$BJ$3:$BJ$132&lt;BJ133)*(calc!$BK$3:$BK$132&gt;BK133))&gt;0)),0)</f>
        <v/>
      </c>
      <c r="BM133" s="5">
        <f>IF(mos_metrics!M132="","",mos_metrics!M132)</f>
        <v/>
      </c>
      <c r="BN133" s="2">
        <f>AND($J133,ISNUMBER(BM133),correlation!$I$32=1)</f>
        <v/>
      </c>
      <c r="BO133" s="5">
        <f>IF(BN133,$F133,"")</f>
        <v/>
      </c>
      <c r="BP133" s="5">
        <f>IF(BN133,BM133*correlation!$J$32,"")</f>
        <v/>
      </c>
      <c r="BQ133" s="5">
        <f>IF(AND(BN133,ISNUMBER(correlation!$F$32)),BP133*correlation!$F$32+correlation!$G$32,"")</f>
        <v/>
      </c>
      <c r="BR133" s="5">
        <f>IF(AND(BN133,ISNUMBER(BQ133)),(BO133-BQ133)^2,"")</f>
        <v/>
      </c>
      <c r="BS133" s="5">
        <f>IF(BN133,1+SUMPRODUCT(--(calc!$BN$3:$BN$132=TRUE),--(calc!$BO$3:$BO$132&gt;BO133))+(SUMPRODUCT(--(calc!$BN$3:$BN$132=TRUE),--(calc!$BO$3:$BO$132=BO133))-1)/2,"")</f>
        <v/>
      </c>
      <c r="BT133" s="5">
        <f>IF(BN133,1+SUMPRODUCT(--(calc!$BN$3:$BN$132=TRUE),--(calc!$BP$3:$BP$132&gt;BP133))+(SUMPRODUCT(--(calc!$BN$3:$BN$132=TRUE),--(calc!$BP$3:$BP$132=BP133))-1)/2,"")</f>
        <v/>
      </c>
      <c r="BU133" s="5">
        <f>IF(BN133,SUMPRODUCT(--(calc!$BN$3:$BN$132=TRUE),--(ROW(calc!$BN$3:$BN$132)&gt;ROW(BN133)),--(((calc!$BS$3:$BS$132&gt;BS133)*(calc!$BT$3:$BT$132&gt;BT133)+(calc!$BS$3:$BS$132&lt;BS133)*(calc!$BT$3:$BT$132&lt;BT133))&gt;0))-SUMPRODUCT(--(calc!$BN$3:$BN$132=TRUE),--(ROW(calc!$BN$3:$BN$132)&gt;ROW(BN133)),--(((calc!$BS$3:$BS$132&gt;BS133)*(calc!$BT$3:$BT$132&lt;BT133)+(calc!$BS$3:$BS$132&lt;BS133)*(calc!$BT$3:$BT$132&gt;BT133))&gt;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2"/>
  <sheetViews>
    <sheetView workbookViewId="0">
      <selection activeCell="A1" sqref="A1"/>
    </sheetView>
  </sheetViews>
  <sheetFormatPr baseColWidth="8" defaultRowHeight="15"/>
  <cols>
    <col width="34" customWidth="1" min="1" max="1"/>
    <col width="30" customWidth="1" min="2" max="2"/>
    <col width="12" customWidth="1" min="4" max="4"/>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KEY</t>
        </is>
      </c>
      <c r="B1" s="1" t="inlineStr">
        <is>
          <t>ref_name</t>
        </is>
      </c>
      <c r="C1" s="1" t="inlineStr">
        <is>
          <t>dis_name</t>
        </is>
      </c>
      <c r="D1" s="1" t="inlineStr">
        <is>
          <t>trc</t>
        </is>
      </c>
      <c r="E1" s="1" t="inlineStr">
        <is>
          <t>codec</t>
        </is>
      </c>
      <c r="F1" s="1" t="inlineStr">
        <is>
          <t>MOS</t>
        </is>
      </c>
      <c r="G1" s="1" t="inlineStr">
        <is>
          <t>PSNR_avg</t>
        </is>
      </c>
      <c r="H1" s="1" t="inlineStr">
        <is>
          <t>ColorVideoVDP</t>
        </is>
      </c>
      <c r="I1" s="1" t="inlineStr">
        <is>
          <t>VMAF</t>
        </is>
      </c>
      <c r="J1" s="1" t="inlineStr">
        <is>
          <t>WTPSNR</t>
        </is>
      </c>
      <c r="K1" s="1" t="inlineStr">
        <is>
          <t>DeltaE</t>
        </is>
      </c>
      <c r="L1" s="1" t="inlineStr">
        <is>
          <t>PSNR_L0100</t>
        </is>
      </c>
      <c r="M1" s="1" t="inlineStr">
        <is>
          <t>FDIM</t>
        </is>
      </c>
    </row>
    <row r="2">
      <c r="A2" s="2" t="inlineStr">
        <is>
          <t>Buildings2.mp4|Buildings2_AVS3_QP40.mp4|HLG|AVS</t>
        </is>
      </c>
      <c r="B2" s="2" t="inlineStr">
        <is>
          <t>Buildings2.mp4</t>
        </is>
      </c>
      <c r="C2" s="2" t="inlineStr">
        <is>
          <t>Buildings2_AVS3_QP40.mp4</t>
        </is>
      </c>
      <c r="D2" s="2" t="inlineStr">
        <is>
          <t>HLG</t>
        </is>
      </c>
      <c r="E2" s="2" t="inlineStr">
        <is>
          <t>AVS</t>
        </is>
      </c>
      <c r="F2" s="5" t="n">
        <v>4.27434684843998</v>
      </c>
      <c r="G2" s="5" t="n">
        <v>43.858879</v>
      </c>
      <c r="H2" s="5" t="n">
        <v>9.083189011</v>
      </c>
      <c r="I2" s="5" t="n">
        <v>91.045407</v>
      </c>
      <c r="J2" s="5" t="n">
        <v>132.696</v>
      </c>
      <c r="K2" s="5" t="n">
        <v>25.961</v>
      </c>
      <c r="L2" s="5" t="n">
        <v>27.233</v>
      </c>
      <c r="M2" s="5" t="n">
        <v>4.325621871761145</v>
      </c>
    </row>
    <row r="3">
      <c r="A3" s="2" t="inlineStr">
        <is>
          <t>Buildings2.mp4|Buildings2_DCVC-RT_QP0.mp4|HLG|DCVC-RT</t>
        </is>
      </c>
      <c r="B3" s="2" t="inlineStr">
        <is>
          <t>Buildings2.mp4</t>
        </is>
      </c>
      <c r="C3" s="2" t="inlineStr">
        <is>
          <t>Buildings2_DCVC-RT_QP0.mp4</t>
        </is>
      </c>
      <c r="D3" s="2" t="inlineStr">
        <is>
          <t>HLG</t>
        </is>
      </c>
      <c r="E3" s="2" t="inlineStr">
        <is>
          <t>DCVC-RT</t>
        </is>
      </c>
      <c r="F3" s="5" t="n">
        <v>1.9985727228431</v>
      </c>
      <c r="G3" s="5" t="n">
        <v>39.014969</v>
      </c>
      <c r="H3" s="5" t="n">
        <v>6.524819374</v>
      </c>
      <c r="I3" s="5" t="n">
        <v>69.51295</v>
      </c>
      <c r="J3" s="5" t="n">
        <v>117.192</v>
      </c>
      <c r="K3" s="5" t="n">
        <v>23.321</v>
      </c>
      <c r="L3" s="5" t="n">
        <v>23.862</v>
      </c>
      <c r="M3" s="5" t="n">
        <v>2.683484263798557</v>
      </c>
    </row>
    <row r="4">
      <c r="A4" s="2" t="inlineStr">
        <is>
          <t>Buildings2.mp4|Buildings2_DCVC-RT_QP10.mp4|HLG|DCVC-RT</t>
        </is>
      </c>
      <c r="B4" s="2" t="inlineStr">
        <is>
          <t>Buildings2.mp4</t>
        </is>
      </c>
      <c r="C4" s="2" t="inlineStr">
        <is>
          <t>Buildings2_DCVC-RT_QP10.mp4</t>
        </is>
      </c>
      <c r="D4" s="2" t="inlineStr">
        <is>
          <t>HLG</t>
        </is>
      </c>
      <c r="E4" s="2" t="inlineStr">
        <is>
          <t>DCVC-RT</t>
        </is>
      </c>
      <c r="F4" s="5" t="n">
        <v>3.37201877779931</v>
      </c>
      <c r="G4" s="5" t="n">
        <v>41.751657</v>
      </c>
      <c r="H4" s="5" t="n">
        <v>7.885238171</v>
      </c>
      <c r="I4" s="5" t="n">
        <v>80.89346500000001</v>
      </c>
      <c r="J4" s="5" t="n">
        <v>126.061</v>
      </c>
      <c r="K4" s="5" t="n">
        <v>24.785</v>
      </c>
      <c r="L4" s="5" t="n">
        <v>25.46</v>
      </c>
      <c r="M4" s="5" t="n">
        <v>3.554032665756409</v>
      </c>
    </row>
    <row r="5">
      <c r="A5" s="2" t="inlineStr">
        <is>
          <t>Buildings2.mp4|Buildings2_DCVC-RT_QP21.mp4|HLG|DCVC-RT</t>
        </is>
      </c>
      <c r="B5" s="2" t="inlineStr">
        <is>
          <t>Buildings2.mp4</t>
        </is>
      </c>
      <c r="C5" s="2" t="inlineStr">
        <is>
          <t>Buildings2_DCVC-RT_QP21.mp4</t>
        </is>
      </c>
      <c r="D5" s="2" t="inlineStr">
        <is>
          <t>HLG</t>
        </is>
      </c>
      <c r="E5" s="2" t="inlineStr">
        <is>
          <t>DCVC-RT</t>
        </is>
      </c>
      <c r="F5" s="5" t="n">
        <v>3.3933242291695</v>
      </c>
      <c r="G5" s="5" t="n">
        <v>43.087609</v>
      </c>
      <c r="H5" s="5" t="n">
        <v>8.494235038999999</v>
      </c>
      <c r="I5" s="5" t="n">
        <v>85.242065</v>
      </c>
      <c r="J5" s="5" t="n">
        <v>130.162</v>
      </c>
      <c r="K5" s="5" t="n">
        <v>25.498</v>
      </c>
      <c r="L5" s="5" t="n">
        <v>26.245</v>
      </c>
      <c r="M5" s="5" t="n">
        <v>3.910271054504799</v>
      </c>
    </row>
    <row r="6">
      <c r="A6" s="2" t="inlineStr">
        <is>
          <t>Buildings2.mp4|Buildings2_DCVC-RT_QP42.mp4|HLG|DCVC-RT</t>
        </is>
      </c>
      <c r="B6" s="2" t="inlineStr">
        <is>
          <t>Buildings2.mp4</t>
        </is>
      </c>
      <c r="C6" s="2" t="inlineStr">
        <is>
          <t>Buildings2_DCVC-RT_QP42.mp4</t>
        </is>
      </c>
      <c r="D6" s="2" t="inlineStr">
        <is>
          <t>HLG</t>
        </is>
      </c>
      <c r="E6" s="2" t="inlineStr">
        <is>
          <t>DCVC-RT</t>
        </is>
      </c>
      <c r="F6" s="5" t="n">
        <v>4.31249268161427</v>
      </c>
      <c r="G6" s="5" t="n">
        <v>45.439723</v>
      </c>
      <c r="H6" s="5" t="n">
        <v>9.325073242</v>
      </c>
      <c r="I6" s="5" t="n">
        <v>92.569858</v>
      </c>
      <c r="J6" s="5" t="n">
        <v>137.509</v>
      </c>
      <c r="K6" s="5" t="n">
        <v>26.749</v>
      </c>
      <c r="L6" s="5" t="n">
        <v>27.703</v>
      </c>
      <c r="M6" s="5" t="n">
        <v>4.428198536230658</v>
      </c>
    </row>
    <row r="7">
      <c r="A7" s="2" t="inlineStr">
        <is>
          <t>Buildings2.mp4|Buildings2_EEM_QP0.mp4|HLG|EEM</t>
        </is>
      </c>
      <c r="B7" s="2" t="inlineStr">
        <is>
          <t>Buildings2.mp4</t>
        </is>
      </c>
      <c r="C7" s="2" t="inlineStr">
        <is>
          <t>Buildings2_EEM_QP0.mp4</t>
        </is>
      </c>
      <c r="D7" s="2" t="inlineStr">
        <is>
          <t>HLG</t>
        </is>
      </c>
      <c r="E7" s="2" t="inlineStr">
        <is>
          <t>EEM</t>
        </is>
      </c>
      <c r="F7" s="5" t="n">
        <v>2.89963013519865</v>
      </c>
      <c r="G7" s="5" t="n">
        <v>45.379253</v>
      </c>
      <c r="H7" s="5" t="n">
        <v>9.482898712000001</v>
      </c>
      <c r="I7" s="5" t="n">
        <v>94.22166300000001</v>
      </c>
      <c r="J7" s="5" t="n">
        <v>136.558</v>
      </c>
      <c r="K7" s="5" t="n">
        <v>26.475</v>
      </c>
      <c r="L7" s="5" t="n">
        <v>27.717</v>
      </c>
      <c r="M7" s="5" t="n">
        <v>4.500574259118903</v>
      </c>
    </row>
    <row r="8">
      <c r="A8" s="2" t="inlineStr">
        <is>
          <t>Buildings2.mp4|Buildings2_EEM_QP1.mp4|HLG|EEM</t>
        </is>
      </c>
      <c r="B8" s="2" t="inlineStr">
        <is>
          <t>Buildings2.mp4</t>
        </is>
      </c>
      <c r="C8" s="2" t="inlineStr">
        <is>
          <t>Buildings2_EEM_QP1.mp4</t>
        </is>
      </c>
      <c r="D8" s="2" t="inlineStr">
        <is>
          <t>HLG</t>
        </is>
      </c>
      <c r="E8" s="2" t="inlineStr">
        <is>
          <t>EEM</t>
        </is>
      </c>
      <c r="F8" s="5" t="n">
        <v>3.15657163183344</v>
      </c>
      <c r="G8" s="5" t="n">
        <v>43.142963</v>
      </c>
      <c r="H8" s="5" t="n">
        <v>9.085945129000001</v>
      </c>
      <c r="I8" s="5" t="n">
        <v>90.69909699999999</v>
      </c>
      <c r="J8" s="5" t="n">
        <v>129.969</v>
      </c>
      <c r="K8" s="5" t="n">
        <v>25.707</v>
      </c>
      <c r="L8" s="5" t="n">
        <v>26.875</v>
      </c>
      <c r="M8" s="5" t="n">
        <v>4.298541344288018</v>
      </c>
    </row>
    <row r="9">
      <c r="A9" s="2" t="inlineStr">
        <is>
          <t>Buildings2.mp4|Buildings2_EEM_QP2.mp4|HLG|EEM</t>
        </is>
      </c>
      <c r="B9" s="2" t="inlineStr">
        <is>
          <t>Buildings2.mp4</t>
        </is>
      </c>
      <c r="C9" s="2" t="inlineStr">
        <is>
          <t>Buildings2_EEM_QP2.mp4</t>
        </is>
      </c>
      <c r="D9" s="2" t="inlineStr">
        <is>
          <t>HLG</t>
        </is>
      </c>
      <c r="E9" s="2" t="inlineStr">
        <is>
          <t>EEM</t>
        </is>
      </c>
      <c r="F9" s="5" t="n">
        <v>3.10187422498218</v>
      </c>
      <c r="G9" s="5" t="n">
        <v>42.303602</v>
      </c>
      <c r="H9" s="5" t="n">
        <v>8.762863159</v>
      </c>
      <c r="I9" s="5" t="n">
        <v>88.506851</v>
      </c>
      <c r="J9" s="5" t="n">
        <v>127.126</v>
      </c>
      <c r="K9" s="5" t="n">
        <v>25.176</v>
      </c>
      <c r="L9" s="5" t="n">
        <v>26.372</v>
      </c>
      <c r="M9" s="5" t="n">
        <v>4.08837480819456</v>
      </c>
    </row>
    <row r="10">
      <c r="A10" s="2" t="inlineStr">
        <is>
          <t>Buildings2.mp4|Buildings2_EEM_QP3.mp4|HLG|EEM</t>
        </is>
      </c>
      <c r="B10" s="2" t="inlineStr">
        <is>
          <t>Buildings2.mp4</t>
        </is>
      </c>
      <c r="C10" s="2" t="inlineStr">
        <is>
          <t>Buildings2_EEM_QP3.mp4</t>
        </is>
      </c>
      <c r="D10" s="2" t="inlineStr">
        <is>
          <t>HLG</t>
        </is>
      </c>
      <c r="E10" s="2" t="inlineStr">
        <is>
          <t>EEM</t>
        </is>
      </c>
      <c r="F10" s="5" t="n">
        <v>1.4165338847122</v>
      </c>
      <c r="G10" s="5" t="n">
        <v>40.005582</v>
      </c>
      <c r="H10" s="5" t="n">
        <v>7.597327232</v>
      </c>
      <c r="I10" s="5" t="n">
        <v>79.12266099999999</v>
      </c>
      <c r="J10" s="5" t="n">
        <v>119.486</v>
      </c>
      <c r="K10" s="5" t="n">
        <v>23.64</v>
      </c>
      <c r="L10" s="5" t="n">
        <v>24.792</v>
      </c>
      <c r="M10" s="5" t="n">
        <v>3.308203477580195</v>
      </c>
    </row>
    <row r="11">
      <c r="A11" s="2" t="inlineStr">
        <is>
          <t>Buildings2.mp4|Buildings2_LTM_QP21_2910.mp4|HLG|LTM</t>
        </is>
      </c>
      <c r="B11" s="2" t="inlineStr">
        <is>
          <t>Buildings2.mp4</t>
        </is>
      </c>
      <c r="C11" s="2" t="inlineStr">
        <is>
          <t>Buildings2_LTM_QP21_2910.mp4</t>
        </is>
      </c>
      <c r="D11" s="2" t="inlineStr">
        <is>
          <t>HLG</t>
        </is>
      </c>
      <c r="E11" s="2" t="inlineStr">
        <is>
          <t>LTM</t>
        </is>
      </c>
      <c r="F11" s="5" t="n">
        <v>4.4798032917245</v>
      </c>
      <c r="G11" s="5" t="n">
        <v>45.31473</v>
      </c>
      <c r="H11" s="5" t="n">
        <v>9.510499954</v>
      </c>
      <c r="I11" s="5" t="n">
        <v>95.74893400000001</v>
      </c>
      <c r="J11" s="5" t="n">
        <v>136.825</v>
      </c>
      <c r="K11" s="5" t="n">
        <v>26.752</v>
      </c>
      <c r="L11" s="5" t="n">
        <v>27.775</v>
      </c>
      <c r="M11" s="5" t="n">
        <v>4.485052577057268</v>
      </c>
    </row>
    <row r="12">
      <c r="A12" s="2" t="inlineStr">
        <is>
          <t>Buildings2.mp4|Buildings2_LTM_QP38_4059.mp4|HLG|LTM</t>
        </is>
      </c>
      <c r="B12" s="2" t="inlineStr">
        <is>
          <t>Buildings2.mp4</t>
        </is>
      </c>
      <c r="C12" s="2" t="inlineStr">
        <is>
          <t>Buildings2_LTM_QP38_4059.mp4</t>
        </is>
      </c>
      <c r="D12" s="2" t="inlineStr">
        <is>
          <t>HLG</t>
        </is>
      </c>
      <c r="E12" s="2" t="inlineStr">
        <is>
          <t>LTM</t>
        </is>
      </c>
      <c r="F12" s="5" t="n">
        <v>3.59863005937736</v>
      </c>
      <c r="G12" s="5" t="n">
        <v>40.332432</v>
      </c>
      <c r="H12" s="5" t="n">
        <v>7.322671413</v>
      </c>
      <c r="I12" s="5" t="n">
        <v>77.958108</v>
      </c>
      <c r="J12" s="5" t="n">
        <v>121.487</v>
      </c>
      <c r="K12" s="5" t="n">
        <v>24.092</v>
      </c>
      <c r="L12" s="5" t="n">
        <v>24.884</v>
      </c>
      <c r="M12" s="5" t="n">
        <v>3.176220784145838</v>
      </c>
    </row>
    <row r="13">
      <c r="A13" s="2" t="inlineStr">
        <is>
          <t>Buildings2.mp4|Buildings2_NNVC_QP27.mp4|HLG|NNVC</t>
        </is>
      </c>
      <c r="B13" s="2" t="inlineStr">
        <is>
          <t>Buildings2.mp4</t>
        </is>
      </c>
      <c r="C13" s="2" t="inlineStr">
        <is>
          <t>Buildings2_NNVC_QP27.mp4</t>
        </is>
      </c>
      <c r="D13" s="2" t="inlineStr">
        <is>
          <t>HLG</t>
        </is>
      </c>
      <c r="E13" s="2" t="inlineStr">
        <is>
          <t>NNVC</t>
        </is>
      </c>
      <c r="F13" s="5" t="n">
        <v>4.31517201058109</v>
      </c>
      <c r="G13" s="5" t="n">
        <v>45.946026</v>
      </c>
      <c r="H13" s="5" t="n">
        <v>9.591906548000001</v>
      </c>
      <c r="I13" s="5" t="n">
        <v>95.124691</v>
      </c>
      <c r="J13" s="5" t="n">
        <v>138.96</v>
      </c>
      <c r="K13" s="5" t="n">
        <v>27.064</v>
      </c>
      <c r="L13" s="5" t="n">
        <v>28.533</v>
      </c>
      <c r="M13" s="5" t="n">
        <v>4.556887574401847</v>
      </c>
    </row>
    <row r="14">
      <c r="A14" s="2" t="inlineStr">
        <is>
          <t>Buildings2.mp4|Buildings2_NNVC_QP42.mp4|HLG|NNVC</t>
        </is>
      </c>
      <c r="B14" s="2" t="inlineStr">
        <is>
          <t>Buildings2.mp4</t>
        </is>
      </c>
      <c r="C14" s="2" t="inlineStr">
        <is>
          <t>Buildings2_NNVC_QP42.mp4</t>
        </is>
      </c>
      <c r="D14" s="2" t="inlineStr">
        <is>
          <t>HLG</t>
        </is>
      </c>
      <c r="E14" s="2" t="inlineStr">
        <is>
          <t>NNVC</t>
        </is>
      </c>
      <c r="F14" s="5" t="n">
        <v>4.07848714063805</v>
      </c>
      <c r="G14" s="5" t="n">
        <v>41.285803</v>
      </c>
      <c r="H14" s="5" t="n">
        <v>7.801228523</v>
      </c>
      <c r="I14" s="5" t="n">
        <v>81.56269500000001</v>
      </c>
      <c r="J14" s="5" t="n">
        <v>124.222</v>
      </c>
      <c r="K14" s="5" t="n">
        <v>24.519</v>
      </c>
      <c r="L14" s="5" t="n">
        <v>25.515</v>
      </c>
      <c r="M14" s="5" t="n">
        <v>3.629660192401585</v>
      </c>
    </row>
    <row r="15">
      <c r="A15" s="2" t="inlineStr">
        <is>
          <t>Buildings2.mp4|Buildings2_VTM_QP37.mp4|HLG|VTM</t>
        </is>
      </c>
      <c r="B15" s="2" t="inlineStr">
        <is>
          <t>Buildings2.mp4</t>
        </is>
      </c>
      <c r="C15" s="2" t="inlineStr">
        <is>
          <t>Buildings2_VTM_QP37.mp4</t>
        </is>
      </c>
      <c r="D15" s="2" t="inlineStr">
        <is>
          <t>HLG</t>
        </is>
      </c>
      <c r="E15" s="2" t="inlineStr">
        <is>
          <t>VTM</t>
        </is>
      </c>
      <c r="F15" s="5" t="n">
        <v>4.16013720828973</v>
      </c>
      <c r="G15" s="5" t="n">
        <v>42.865832</v>
      </c>
      <c r="H15" s="5" t="n">
        <v>8.725816727</v>
      </c>
      <c r="I15" s="5" t="n">
        <v>88.321074</v>
      </c>
      <c r="J15" s="5" t="n">
        <v>129.317</v>
      </c>
      <c r="K15" s="5" t="n">
        <v>25.414</v>
      </c>
      <c r="L15" s="5" t="n">
        <v>26.623</v>
      </c>
      <c r="M15" s="5" t="n">
        <v>4.132526000732996</v>
      </c>
    </row>
    <row r="16">
      <c r="A16" s="2" t="inlineStr">
        <is>
          <t>Buildings2.mp4|Buildings2_VTM_QP42.mp4|HLG|VTM</t>
        </is>
      </c>
      <c r="B16" s="2" t="inlineStr">
        <is>
          <t>Buildings2.mp4</t>
        </is>
      </c>
      <c r="C16" s="2" t="inlineStr">
        <is>
          <t>Buildings2_VTM_QP42.mp4</t>
        </is>
      </c>
      <c r="D16" s="2" t="inlineStr">
        <is>
          <t>HLG</t>
        </is>
      </c>
      <c r="E16" s="2" t="inlineStr">
        <is>
          <t>VTM</t>
        </is>
      </c>
      <c r="F16" s="5" t="n">
        <v>3.53273584725197</v>
      </c>
      <c r="G16" s="5" t="n">
        <v>41.356893</v>
      </c>
      <c r="H16" s="5" t="n">
        <v>7.774809837</v>
      </c>
      <c r="I16" s="5" t="n">
        <v>81.306423</v>
      </c>
      <c r="J16" s="5" t="n">
        <v>124.551</v>
      </c>
      <c r="K16" s="5" t="n">
        <v>24.548</v>
      </c>
      <c r="L16" s="5" t="n">
        <v>25.423</v>
      </c>
      <c r="M16" s="5" t="n">
        <v>3.513600927854073</v>
      </c>
    </row>
    <row r="17">
      <c r="A17" s="2" t="inlineStr">
        <is>
          <t>Buildings2.mp4|Buildings2_VTM_QP47.mp4|HLG|VTM</t>
        </is>
      </c>
      <c r="B17" s="2" t="inlineStr">
        <is>
          <t>Buildings2.mp4</t>
        </is>
      </c>
      <c r="C17" s="2" t="inlineStr">
        <is>
          <t>Buildings2_VTM_QP47.mp4</t>
        </is>
      </c>
      <c r="D17" s="2" t="inlineStr">
        <is>
          <t>HLG</t>
        </is>
      </c>
      <c r="E17" s="2" t="inlineStr">
        <is>
          <t>VTM</t>
        </is>
      </c>
      <c r="F17" s="5" t="n">
        <v>3.3655101084063</v>
      </c>
      <c r="G17" s="5" t="n">
        <v>39.673283</v>
      </c>
      <c r="H17" s="5" t="n">
        <v>6.387880325</v>
      </c>
      <c r="I17" s="5" t="n">
        <v>69.977137</v>
      </c>
      <c r="J17" s="5" t="n">
        <v>119.159</v>
      </c>
      <c r="K17" s="5" t="n">
        <v>23.526</v>
      </c>
      <c r="L17" s="5" t="n">
        <v>24.074</v>
      </c>
      <c r="M17" s="5" t="n">
        <v>2.623873070661449</v>
      </c>
    </row>
    <row r="18">
      <c r="A18" s="2" t="inlineStr">
        <is>
          <t>Chimera13_1000nit.mp4|Chimera13_1000nit_QP27_3316.mp4|PQ|LTM</t>
        </is>
      </c>
      <c r="B18" s="2" t="inlineStr">
        <is>
          <t>Chimera13_1000nit.mp4</t>
        </is>
      </c>
      <c r="C18" s="2" t="inlineStr">
        <is>
          <t>Chimera13_1000nit_QP27_3316.mp4</t>
        </is>
      </c>
      <c r="D18" s="2" t="inlineStr">
        <is>
          <t>PQ</t>
        </is>
      </c>
      <c r="E18" s="2" t="inlineStr">
        <is>
          <t>LTM</t>
        </is>
      </c>
      <c r="F18" s="5" t="n">
        <v>4.37838033250394</v>
      </c>
      <c r="G18" s="5" t="n">
        <v>46.772213</v>
      </c>
      <c r="H18" s="5" t="n">
        <v>9.184913634999999</v>
      </c>
      <c r="I18" s="5" t="n">
        <v>92.570939</v>
      </c>
      <c r="J18" s="5" t="n">
        <v>145.181</v>
      </c>
      <c r="K18" s="5" t="n">
        <v>34.966</v>
      </c>
      <c r="L18" s="5" t="n">
        <v>38.554</v>
      </c>
      <c r="M18" s="5" t="n">
        <v>3.94526909957801</v>
      </c>
    </row>
    <row r="19">
      <c r="A19" s="2" t="inlineStr">
        <is>
          <t>Chimera13_1000nit.mp4|Chimera13_1000nit_QP37_3991.mp4|PQ|LTM</t>
        </is>
      </c>
      <c r="B19" s="2" t="inlineStr">
        <is>
          <t>Chimera13_1000nit.mp4</t>
        </is>
      </c>
      <c r="C19" s="2" t="inlineStr">
        <is>
          <t>Chimera13_1000nit_QP37_3991.mp4</t>
        </is>
      </c>
      <c r="D19" s="2" t="inlineStr">
        <is>
          <t>PQ</t>
        </is>
      </c>
      <c r="E19" s="2" t="inlineStr">
        <is>
          <t>LTM</t>
        </is>
      </c>
      <c r="F19" s="5" t="n">
        <v>2.69049861117563</v>
      </c>
      <c r="G19" s="5" t="n">
        <v>43.679641</v>
      </c>
      <c r="H19" s="5" t="n">
        <v>7.997937202</v>
      </c>
      <c r="I19" s="5" t="n">
        <v>74.539348</v>
      </c>
      <c r="J19" s="5" t="n">
        <v>135.549</v>
      </c>
      <c r="K19" s="5" t="n">
        <v>33.719</v>
      </c>
      <c r="L19" s="5" t="n">
        <v>35.874</v>
      </c>
      <c r="M19" s="5" t="n">
        <v>2.623034756020234</v>
      </c>
    </row>
    <row r="20">
      <c r="A20" s="2" t="inlineStr">
        <is>
          <t>Chimera13_1000nit.mp4|Chimera13_1000nit_VTM_QP37.mp4|PQ|VTM</t>
        </is>
      </c>
      <c r="B20" s="2" t="inlineStr">
        <is>
          <t>Chimera13_1000nit.mp4</t>
        </is>
      </c>
      <c r="C20" s="2" t="inlineStr">
        <is>
          <t>Chimera13_1000nit_VTM_QP37.mp4</t>
        </is>
      </c>
      <c r="D20" s="2" t="inlineStr">
        <is>
          <t>PQ</t>
        </is>
      </c>
      <c r="E20" s="2" t="inlineStr">
        <is>
          <t>VTM</t>
        </is>
      </c>
      <c r="F20" s="5" t="n">
        <v>3.78631980877576</v>
      </c>
      <c r="G20" s="5" t="n">
        <v>45.895474</v>
      </c>
      <c r="H20" s="5" t="n">
        <v>8.71900177</v>
      </c>
      <c r="I20" s="5" t="n">
        <v>84.0633</v>
      </c>
      <c r="J20" s="5" t="n">
        <v>142.502</v>
      </c>
      <c r="K20" s="5" t="n">
        <v>34.657</v>
      </c>
      <c r="L20" s="5" t="n">
        <v>37.306</v>
      </c>
      <c r="M20" s="5" t="n">
        <v>3.366427663133367</v>
      </c>
    </row>
    <row r="21">
      <c r="A21" s="2" t="inlineStr">
        <is>
          <t>Chimera2_1000nit.mp4|Chimera2_1000nit_AVS3_r2.mp4|PQ|AVS</t>
        </is>
      </c>
      <c r="B21" s="2" t="inlineStr">
        <is>
          <t>Chimera2_1000nit.mp4</t>
        </is>
      </c>
      <c r="C21" s="2" t="inlineStr">
        <is>
          <t>Chimera2_1000nit_AVS3_r2.mp4</t>
        </is>
      </c>
      <c r="D21" s="2" t="inlineStr">
        <is>
          <t>PQ</t>
        </is>
      </c>
      <c r="E21" s="2" t="inlineStr">
        <is>
          <t>AVS</t>
        </is>
      </c>
      <c r="F21" s="5" t="n">
        <v>4.63846605571173</v>
      </c>
      <c r="G21" s="5" t="n">
        <v>47.453599</v>
      </c>
      <c r="H21" s="5" t="n">
        <v>9.333167076000001</v>
      </c>
      <c r="I21" s="5" t="n">
        <v>91.393559</v>
      </c>
      <c r="J21" s="5" t="n">
        <v>145.904</v>
      </c>
      <c r="K21" s="5" t="n">
        <v>34.536</v>
      </c>
      <c r="L21" s="5" t="n">
        <v>36.978</v>
      </c>
      <c r="M21" s="5" t="n">
        <v>4.387184774849755</v>
      </c>
    </row>
    <row r="22">
      <c r="A22" s="2" t="inlineStr">
        <is>
          <t>Chimera2_1000nit.mp4|Chimera2_1000nit_AVS3_r4.mp4|PQ|AVS</t>
        </is>
      </c>
      <c r="B22" s="2" t="inlineStr">
        <is>
          <t>Chimera2_1000nit.mp4</t>
        </is>
      </c>
      <c r="C22" s="2" t="inlineStr">
        <is>
          <t>Chimera2_1000nit_AVS3_r4.mp4</t>
        </is>
      </c>
      <c r="D22" s="2" t="inlineStr">
        <is>
          <t>PQ</t>
        </is>
      </c>
      <c r="E22" s="2" t="inlineStr">
        <is>
          <t>AVS</t>
        </is>
      </c>
      <c r="F22" s="5" t="n">
        <v>3.40283304538127</v>
      </c>
      <c r="G22" s="5" t="n">
        <v>45.395753</v>
      </c>
      <c r="H22" s="5" t="n">
        <v>8.209489822</v>
      </c>
      <c r="I22" s="5" t="n">
        <v>81.09377600000001</v>
      </c>
      <c r="J22" s="5" t="n">
        <v>139.694</v>
      </c>
      <c r="K22" s="5" t="n">
        <v>33.72</v>
      </c>
      <c r="L22" s="5" t="n">
        <v>35.694</v>
      </c>
      <c r="M22" s="5" t="n">
        <v>3.573150199052763</v>
      </c>
    </row>
    <row r="23">
      <c r="A23" s="2" t="inlineStr">
        <is>
          <t>Chimera2_1000nit.mp4|Chimera2_1000nit_EEM_r4.mp4|PQ|EEM</t>
        </is>
      </c>
      <c r="B23" s="2" t="inlineStr">
        <is>
          <t>Chimera2_1000nit.mp4</t>
        </is>
      </c>
      <c r="C23" s="2" t="inlineStr">
        <is>
          <t>Chimera2_1000nit_EEM_r4.mp4</t>
        </is>
      </c>
      <c r="D23" s="2" t="inlineStr">
        <is>
          <t>PQ</t>
        </is>
      </c>
      <c r="E23" s="2" t="inlineStr">
        <is>
          <t>EEM</t>
        </is>
      </c>
      <c r="F23" s="5" t="n">
        <v>1.05366928791093</v>
      </c>
      <c r="G23" s="5" t="n">
        <v>42.354796</v>
      </c>
      <c r="H23" s="5" t="n">
        <v>5.994519234</v>
      </c>
      <c r="I23" s="5" t="n">
        <v>66.820245</v>
      </c>
      <c r="J23" s="5" t="n">
        <v>130.001</v>
      </c>
      <c r="K23" s="5" t="n">
        <v>32.287</v>
      </c>
      <c r="L23" s="5" t="n">
        <v>34.261</v>
      </c>
      <c r="M23" s="5" t="n">
        <v>2.253382551336333</v>
      </c>
    </row>
    <row r="24">
      <c r="A24" s="2" t="inlineStr">
        <is>
          <t>Chimera2_1000nit.mp4|Chimera2_1000nit_LTM_r1.mp4|PQ|LTM</t>
        </is>
      </c>
      <c r="B24" s="2" t="inlineStr">
        <is>
          <t>Chimera2_1000nit.mp4</t>
        </is>
      </c>
      <c r="C24" s="2" t="inlineStr">
        <is>
          <t>Chimera2_1000nit_LTM_r1.mp4</t>
        </is>
      </c>
      <c r="D24" s="2" t="inlineStr">
        <is>
          <t>PQ</t>
        </is>
      </c>
      <c r="E24" s="2" t="inlineStr">
        <is>
          <t>LTM</t>
        </is>
      </c>
      <c r="F24" s="5" t="n">
        <v>4.61489441101384</v>
      </c>
      <c r="G24" s="5" t="n">
        <v>47.355332</v>
      </c>
      <c r="H24" s="5" t="n">
        <v>9.54268074</v>
      </c>
      <c r="I24" s="5" t="n">
        <v>95.05654800000001</v>
      </c>
      <c r="J24" s="5" t="n">
        <v>145.517</v>
      </c>
      <c r="K24" s="5" t="n">
        <v>34.546</v>
      </c>
      <c r="L24" s="5" t="n">
        <v>36.999</v>
      </c>
      <c r="M24" s="5" t="n">
        <v>4.489047756721907</v>
      </c>
    </row>
    <row r="25">
      <c r="A25" s="2" t="inlineStr">
        <is>
          <t>Chimera2_1000nit.mp4|Chimera2_1000nit_LTM_r2.mp4|PQ|LTM</t>
        </is>
      </c>
      <c r="B25" s="2" t="inlineStr">
        <is>
          <t>Chimera2_1000nit.mp4</t>
        </is>
      </c>
      <c r="C25" s="2" t="inlineStr">
        <is>
          <t>Chimera2_1000nit_LTM_r2.mp4</t>
        </is>
      </c>
      <c r="D25" s="2" t="inlineStr">
        <is>
          <t>PQ</t>
        </is>
      </c>
      <c r="E25" s="2" t="inlineStr">
        <is>
          <t>LTM</t>
        </is>
      </c>
      <c r="F25" s="5" t="n">
        <v>4.58990056624459</v>
      </c>
      <c r="G25" s="5" t="n">
        <v>46.37195</v>
      </c>
      <c r="H25" s="5" t="n">
        <v>9.215644835999999</v>
      </c>
      <c r="I25" s="5" t="n">
        <v>90.813086</v>
      </c>
      <c r="J25" s="5" t="n">
        <v>142.691</v>
      </c>
      <c r="K25" s="5" t="n">
        <v>34.196</v>
      </c>
      <c r="L25" s="5" t="n">
        <v>36.443</v>
      </c>
      <c r="M25" s="5" t="n">
        <v>4.223771067743845</v>
      </c>
    </row>
    <row r="26">
      <c r="A26" s="2" t="inlineStr">
        <is>
          <t>Chimera2_1000nit.mp4|Chimera2_1000nit_LTM_r3.mp4|PQ|LTM</t>
        </is>
      </c>
      <c r="B26" s="2" t="inlineStr">
        <is>
          <t>Chimera2_1000nit.mp4</t>
        </is>
      </c>
      <c r="C26" s="2" t="inlineStr">
        <is>
          <t>Chimera2_1000nit_LTM_r3.mp4</t>
        </is>
      </c>
      <c r="D26" s="2" t="inlineStr">
        <is>
          <t>PQ</t>
        </is>
      </c>
      <c r="E26" s="2" t="inlineStr">
        <is>
          <t>LTM</t>
        </is>
      </c>
      <c r="F26" s="5" t="n">
        <v>3.64455901612822</v>
      </c>
      <c r="G26" s="5" t="n">
        <v>45.388834</v>
      </c>
      <c r="H26" s="5" t="n">
        <v>8.425534248</v>
      </c>
      <c r="I26" s="5" t="n">
        <v>83.20537299999999</v>
      </c>
      <c r="J26" s="5" t="n">
        <v>139.863</v>
      </c>
      <c r="K26" s="5" t="n">
        <v>33.84</v>
      </c>
      <c r="L26" s="5" t="n">
        <v>35.722</v>
      </c>
      <c r="M26" s="5" t="n">
        <v>3.626652805692276</v>
      </c>
    </row>
    <row r="27">
      <c r="A27" s="2" t="inlineStr">
        <is>
          <t>Chimera2_1000nit.mp4|Chimera2_1000nit_LTM_r4.mp4|PQ|LTM</t>
        </is>
      </c>
      <c r="B27" s="2" t="inlineStr">
        <is>
          <t>Chimera2_1000nit.mp4</t>
        </is>
      </c>
      <c r="C27" s="2" t="inlineStr">
        <is>
          <t>Chimera2_1000nit_LTM_r4.mp4</t>
        </is>
      </c>
      <c r="D27" s="2" t="inlineStr">
        <is>
          <t>PQ</t>
        </is>
      </c>
      <c r="E27" s="2" t="inlineStr">
        <is>
          <t>LTM</t>
        </is>
      </c>
      <c r="F27" s="5" t="n">
        <v>2.54188804674748</v>
      </c>
      <c r="G27" s="5" t="n">
        <v>44.447074</v>
      </c>
      <c r="H27" s="5" t="n">
        <v>7.149656296</v>
      </c>
      <c r="I27" s="5" t="n">
        <v>73.975272</v>
      </c>
      <c r="J27" s="5" t="n">
        <v>137.065</v>
      </c>
      <c r="K27" s="5" t="n">
        <v>33.465</v>
      </c>
      <c r="L27" s="5" t="n">
        <v>35.021</v>
      </c>
      <c r="M27" s="5" t="n">
        <v>2.816312662473968</v>
      </c>
    </row>
    <row r="28">
      <c r="A28" s="2" t="inlineStr">
        <is>
          <t>Chimera3_1000nit.mp4|Chimera3_1000nit_AVS3_r3.mp4|PQ|AVS</t>
        </is>
      </c>
      <c r="B28" s="2" t="inlineStr">
        <is>
          <t>Chimera3_1000nit.mp4</t>
        </is>
      </c>
      <c r="C28" s="2" t="inlineStr">
        <is>
          <t>Chimera3_1000nit_AVS3_r3.mp4</t>
        </is>
      </c>
      <c r="D28" s="2" t="inlineStr">
        <is>
          <t>PQ</t>
        </is>
      </c>
      <c r="E28" s="2" t="inlineStr">
        <is>
          <t>AVS</t>
        </is>
      </c>
      <c r="F28" s="5" t="n">
        <v>4.33286896922132</v>
      </c>
      <c r="G28" s="5" t="n">
        <v>41.554221</v>
      </c>
      <c r="H28" s="5" t="n">
        <v>7.281311989</v>
      </c>
      <c r="I28" s="5" t="n">
        <v>84.1027</v>
      </c>
      <c r="J28" s="5" t="n">
        <v>126.437</v>
      </c>
      <c r="K28" s="5" t="n">
        <v>30.798</v>
      </c>
      <c r="L28" s="5" t="n">
        <v>33.098</v>
      </c>
      <c r="M28" s="5" t="n">
        <v>3.741936406670391</v>
      </c>
    </row>
    <row r="29">
      <c r="A29" s="2" t="inlineStr">
        <is>
          <t>Chimera3_1000nit.mp4|Chimera3_1000nit_EEM_r4.mp4|PQ|EEM</t>
        </is>
      </c>
      <c r="B29" s="2" t="inlineStr">
        <is>
          <t>Chimera3_1000nit.mp4</t>
        </is>
      </c>
      <c r="C29" s="2" t="inlineStr">
        <is>
          <t>Chimera3_1000nit_EEM_r4.mp4</t>
        </is>
      </c>
      <c r="D29" s="2" t="inlineStr">
        <is>
          <t>PQ</t>
        </is>
      </c>
      <c r="E29" s="2" t="inlineStr">
        <is>
          <t>EEM</t>
        </is>
      </c>
      <c r="F29" s="5" t="n">
        <v>1.02571706422412</v>
      </c>
      <c r="G29" s="5" t="n">
        <v>37.890342</v>
      </c>
      <c r="H29" s="5" t="n">
        <v>3.802795887</v>
      </c>
      <c r="I29" s="5" t="n">
        <v>53.002857</v>
      </c>
      <c r="J29" s="5" t="n">
        <v>115.605</v>
      </c>
      <c r="K29" s="5" t="n">
        <v>29.29</v>
      </c>
      <c r="L29" s="5" t="n">
        <v>30.63</v>
      </c>
      <c r="M29" s="5" t="n">
        <v>1.729283935841488</v>
      </c>
    </row>
    <row r="30">
      <c r="A30" s="2" t="inlineStr">
        <is>
          <t>Chimera3_1000nit.mp4|Chimera3_1000nit_LTM_r1.mp4|PQ|LTM</t>
        </is>
      </c>
      <c r="B30" s="2" t="inlineStr">
        <is>
          <t>Chimera3_1000nit.mp4</t>
        </is>
      </c>
      <c r="C30" s="2" t="inlineStr">
        <is>
          <t>Chimera3_1000nit_LTM_r1.mp4</t>
        </is>
      </c>
      <c r="D30" s="2" t="inlineStr">
        <is>
          <t>PQ</t>
        </is>
      </c>
      <c r="E30" s="2" t="inlineStr">
        <is>
          <t>LTM</t>
        </is>
      </c>
      <c r="F30" s="5" t="n">
        <v>4.86770968947345</v>
      </c>
      <c r="G30" s="5" t="n">
        <v>43.368188</v>
      </c>
      <c r="H30" s="5" t="n">
        <v>9.346733092999999</v>
      </c>
      <c r="I30" s="5" t="n">
        <v>99.08453900000001</v>
      </c>
      <c r="J30" s="5" t="n">
        <v>132.641</v>
      </c>
      <c r="K30" s="5" t="n">
        <v>31.458</v>
      </c>
      <c r="L30" s="5" t="n">
        <v>35.091</v>
      </c>
      <c r="M30" s="5" t="n">
        <v>4.467537609322588</v>
      </c>
    </row>
    <row r="31">
      <c r="A31" s="2" t="inlineStr">
        <is>
          <t>Chimera4_1000nit.mp4|Chimera4_1000nit_AVS3_r1.mp4|PQ|AVS</t>
        </is>
      </c>
      <c r="B31" s="2" t="inlineStr">
        <is>
          <t>Chimera4_1000nit.mp4</t>
        </is>
      </c>
      <c r="C31" s="2" t="inlineStr">
        <is>
          <t>Chimera4_1000nit_AVS3_r1.mp4</t>
        </is>
      </c>
      <c r="D31" s="2" t="inlineStr">
        <is>
          <t>PQ</t>
        </is>
      </c>
      <c r="E31" s="2" t="inlineStr">
        <is>
          <t>AVS</t>
        </is>
      </c>
      <c r="F31" s="5" t="n">
        <v>4.5425480948305</v>
      </c>
      <c r="G31" s="5" t="n">
        <v>46.987503</v>
      </c>
      <c r="H31" s="5" t="n">
        <v>9.575781822</v>
      </c>
      <c r="I31" s="5" t="n">
        <v>93.654546</v>
      </c>
      <c r="J31" s="5" t="n">
        <v>146.979</v>
      </c>
      <c r="K31" s="5" t="n">
        <v>34.644</v>
      </c>
      <c r="L31" s="5" t="n">
        <v>38.076</v>
      </c>
      <c r="M31" s="5" t="n">
        <v>4.527738884780065</v>
      </c>
    </row>
    <row r="32">
      <c r="A32" s="2" t="inlineStr">
        <is>
          <t>Chimera4_1000nit.mp4|Chimera4_1000nit_AVS3_r2.mp4|PQ|AVS</t>
        </is>
      </c>
      <c r="B32" s="2" t="inlineStr">
        <is>
          <t>Chimera4_1000nit.mp4</t>
        </is>
      </c>
      <c r="C32" s="2" t="inlineStr">
        <is>
          <t>Chimera4_1000nit_AVS3_r2.mp4</t>
        </is>
      </c>
      <c r="D32" s="2" t="inlineStr">
        <is>
          <t>PQ</t>
        </is>
      </c>
      <c r="E32" s="2" t="inlineStr">
        <is>
          <t>AVS</t>
        </is>
      </c>
      <c r="F32" s="5" t="n">
        <v>4.63007555080392</v>
      </c>
      <c r="G32" s="5" t="n">
        <v>46.244556</v>
      </c>
      <c r="H32" s="5" t="n">
        <v>9.355440140000001</v>
      </c>
      <c r="I32" s="5" t="n">
        <v>91.772182</v>
      </c>
      <c r="J32" s="5" t="n">
        <v>144.704</v>
      </c>
      <c r="K32" s="5" t="n">
        <v>34.31</v>
      </c>
      <c r="L32" s="5" t="n">
        <v>37.576</v>
      </c>
      <c r="M32" s="5" t="n">
        <v>4.427312485332616</v>
      </c>
    </row>
    <row r="33">
      <c r="A33" s="2" t="inlineStr">
        <is>
          <t>Chimera4_1000nit.mp4|Chimera4_1000nit_AVS3_r4.mp4|PQ|AVS</t>
        </is>
      </c>
      <c r="B33" s="2" t="inlineStr">
        <is>
          <t>Chimera4_1000nit.mp4</t>
        </is>
      </c>
      <c r="C33" s="2" t="inlineStr">
        <is>
          <t>Chimera4_1000nit_AVS3_r4.mp4</t>
        </is>
      </c>
      <c r="D33" s="2" t="inlineStr">
        <is>
          <t>PQ</t>
        </is>
      </c>
      <c r="E33" s="2" t="inlineStr">
        <is>
          <t>AVS</t>
        </is>
      </c>
      <c r="F33" s="5" t="n">
        <v>2.97227591799701</v>
      </c>
      <c r="G33" s="5" t="n">
        <v>43.390672</v>
      </c>
      <c r="H33" s="5" t="n">
        <v>7.873085976</v>
      </c>
      <c r="I33" s="5" t="n">
        <v>79.90333099999999</v>
      </c>
      <c r="J33" s="5" t="n">
        <v>135.981</v>
      </c>
      <c r="K33" s="5" t="n">
        <v>33.01</v>
      </c>
      <c r="L33" s="5" t="n">
        <v>35.761</v>
      </c>
      <c r="M33" s="5" t="n">
        <v>3.580809680158256</v>
      </c>
    </row>
    <row r="34">
      <c r="A34" s="2" t="inlineStr">
        <is>
          <t>Chimera4_1000nit.mp4|Chimera4_1000nit_AlphaVC-P_r4.mp4|PQ|AlphaVC-P</t>
        </is>
      </c>
      <c r="B34" s="2" t="inlineStr">
        <is>
          <t>Chimera4_1000nit.mp4</t>
        </is>
      </c>
      <c r="C34" s="2" t="inlineStr">
        <is>
          <t>Chimera4_1000nit_AlphaVC-P_r4.mp4</t>
        </is>
      </c>
      <c r="D34" s="2" t="inlineStr">
        <is>
          <t>PQ</t>
        </is>
      </c>
      <c r="E34" s="2" t="inlineStr">
        <is>
          <t>AlphaVC-P</t>
        </is>
      </c>
      <c r="F34" s="5" t="n">
        <v>1.47137225328766</v>
      </c>
      <c r="G34" s="5" t="n">
        <v>39.316289</v>
      </c>
      <c r="H34" s="5" t="n">
        <v>5.663580894</v>
      </c>
      <c r="I34" s="5" t="n">
        <v>51.031188</v>
      </c>
      <c r="J34" s="5" t="n">
        <v>123.392</v>
      </c>
      <c r="K34" s="5" t="n">
        <v>31.113</v>
      </c>
      <c r="L34" s="5" t="n">
        <v>33.468</v>
      </c>
      <c r="M34" s="5" t="n">
        <v>2.238406968801102</v>
      </c>
    </row>
    <row r="35">
      <c r="A35" s="2" t="inlineStr">
        <is>
          <t>Chimera4_1000nit.mp4|Chimera4_1000nit_LTM_r1.mp4|PQ|LTM</t>
        </is>
      </c>
      <c r="B35" s="2" t="inlineStr">
        <is>
          <t>Chimera4_1000nit.mp4</t>
        </is>
      </c>
      <c r="C35" s="2" t="inlineStr">
        <is>
          <t>Chimera4_1000nit_LTM_r1.mp4</t>
        </is>
      </c>
      <c r="D35" s="2" t="inlineStr">
        <is>
          <t>PQ</t>
        </is>
      </c>
      <c r="E35" s="2" t="inlineStr">
        <is>
          <t>LTM</t>
        </is>
      </c>
      <c r="F35" s="5" t="n">
        <v>4.3048074421145</v>
      </c>
      <c r="G35" s="5" t="n">
        <v>46.151735</v>
      </c>
      <c r="H35" s="5" t="n">
        <v>9.581027985</v>
      </c>
      <c r="I35" s="5" t="n">
        <v>94.488158</v>
      </c>
      <c r="J35" s="5" t="n">
        <v>144.526</v>
      </c>
      <c r="K35" s="5" t="n">
        <v>34.258</v>
      </c>
      <c r="L35" s="5" t="n">
        <v>37.865</v>
      </c>
      <c r="M35" s="5" t="n">
        <v>4.521822792428937</v>
      </c>
    </row>
    <row r="36">
      <c r="A36" s="2" t="inlineStr">
        <is>
          <t>Chimera4_1000nit.mp4|Chimera4_1000nit_NNVC_r1.mp4|PQ|NNVC</t>
        </is>
      </c>
      <c r="B36" s="2" t="inlineStr">
        <is>
          <t>Chimera4_1000nit.mp4</t>
        </is>
      </c>
      <c r="C36" s="2" t="inlineStr">
        <is>
          <t>Chimera4_1000nit_NNVC_r1.mp4</t>
        </is>
      </c>
      <c r="D36" s="2" t="inlineStr">
        <is>
          <t>PQ</t>
        </is>
      </c>
      <c r="E36" s="2" t="inlineStr">
        <is>
          <t>NNVC</t>
        </is>
      </c>
      <c r="F36" s="5" t="n">
        <v>4.83543012570114</v>
      </c>
      <c r="G36" s="5" t="n">
        <v>48.716348</v>
      </c>
      <c r="H36" s="5" t="n">
        <v>9.837999344</v>
      </c>
      <c r="I36" s="5" t="n">
        <v>97.159369</v>
      </c>
      <c r="J36" s="5" t="n">
        <v>152.166</v>
      </c>
      <c r="K36" s="5" t="n">
        <v>35.361</v>
      </c>
      <c r="L36" s="5" t="n">
        <v>39.23</v>
      </c>
      <c r="M36" s="5" t="n">
        <v>4.660038510568064</v>
      </c>
    </row>
    <row r="37">
      <c r="A37" s="2" t="inlineStr">
        <is>
          <t>Chimera4_1000nit.mp4|Chimera4_1000nit_NNVC_r4.mp4|PQ|NNVC</t>
        </is>
      </c>
      <c r="B37" s="2" t="inlineStr">
        <is>
          <t>Chimera4_1000nit.mp4</t>
        </is>
      </c>
      <c r="C37" s="2" t="inlineStr">
        <is>
          <t>Chimera4_1000nit_NNVC_r4.mp4</t>
        </is>
      </c>
      <c r="D37" s="2" t="inlineStr">
        <is>
          <t>PQ</t>
        </is>
      </c>
      <c r="E37" s="2" t="inlineStr">
        <is>
          <t>NNVC</t>
        </is>
      </c>
      <c r="F37" s="5" t="n">
        <v>2.17517983066297</v>
      </c>
      <c r="G37" s="5" t="n">
        <v>41.214567</v>
      </c>
      <c r="H37" s="5" t="n">
        <v>6.510064125</v>
      </c>
      <c r="I37" s="5" t="n">
        <v>68.866147</v>
      </c>
      <c r="J37" s="5" t="n">
        <v>129.293</v>
      </c>
      <c r="K37" s="5" t="n">
        <v>31.925</v>
      </c>
      <c r="L37" s="5" t="n">
        <v>34.791</v>
      </c>
      <c r="M37" s="5" t="n">
        <v>2.697196416572357</v>
      </c>
    </row>
    <row r="38">
      <c r="A38" s="2" t="inlineStr">
        <is>
          <t>Chimera4_1000nit.mp4|Chimera4_1000nit_VTM_QP40.mp4|PQ|VTM</t>
        </is>
      </c>
      <c r="B38" s="2" t="inlineStr">
        <is>
          <t>Chimera4_1000nit.mp4</t>
        </is>
      </c>
      <c r="C38" s="2" t="inlineStr">
        <is>
          <t>Chimera4_1000nit_VTM_QP40.mp4</t>
        </is>
      </c>
      <c r="D38" s="2" t="inlineStr">
        <is>
          <t>PQ</t>
        </is>
      </c>
      <c r="E38" s="2" t="inlineStr">
        <is>
          <t>VTM</t>
        </is>
      </c>
      <c r="F38" s="5" t="n">
        <v>2.43677685335388</v>
      </c>
      <c r="G38" s="5" t="n">
        <v>42.255915</v>
      </c>
      <c r="H38" s="5" t="n">
        <v>6.527133942</v>
      </c>
      <c r="I38" s="5" t="n">
        <v>68.008836</v>
      </c>
      <c r="J38" s="5" t="n">
        <v>132.879</v>
      </c>
      <c r="K38" s="5" t="n">
        <v>32.639</v>
      </c>
      <c r="L38" s="5" t="n">
        <v>34.79</v>
      </c>
      <c r="M38" s="5" t="n">
        <v>2.762058398394691</v>
      </c>
    </row>
    <row r="39">
      <c r="A39" s="2" t="inlineStr">
        <is>
          <t>Coffee1.mp4|Coffee1_AVS3_QP36.mp4|HLG|AVS</t>
        </is>
      </c>
      <c r="B39" s="2" t="inlineStr">
        <is>
          <t>Coffee1.mp4</t>
        </is>
      </c>
      <c r="C39" s="2" t="inlineStr">
        <is>
          <t>Coffee1_AVS3_QP36.mp4</t>
        </is>
      </c>
      <c r="D39" s="2" t="inlineStr">
        <is>
          <t>HLG</t>
        </is>
      </c>
      <c r="E39" s="2" t="inlineStr">
        <is>
          <t>AVS</t>
        </is>
      </c>
      <c r="F39" s="5" t="n">
        <v>4.17561600894405</v>
      </c>
      <c r="G39" s="5" t="n">
        <v>46.802546</v>
      </c>
      <c r="H39" s="5" t="n">
        <v>9.074188231999999</v>
      </c>
      <c r="I39" s="5" t="n">
        <v>92.52067700000001</v>
      </c>
      <c r="J39" s="5" t="n">
        <v>136.333</v>
      </c>
      <c r="K39" s="5" t="n">
        <v>25.549</v>
      </c>
      <c r="L39" s="5" t="n">
        <v>26.99</v>
      </c>
      <c r="M39" s="5" t="n">
        <v>4.417352264854921</v>
      </c>
    </row>
    <row r="40">
      <c r="A40" s="2" t="inlineStr">
        <is>
          <t>Coffee1.mp4|Coffee1_AVS3_QP40.mp4|HLG|AVS</t>
        </is>
      </c>
      <c r="B40" s="2" t="inlineStr">
        <is>
          <t>Coffee1.mp4</t>
        </is>
      </c>
      <c r="C40" s="2" t="inlineStr">
        <is>
          <t>Coffee1_AVS3_QP40.mp4</t>
        </is>
      </c>
      <c r="D40" s="2" t="inlineStr">
        <is>
          <t>HLG</t>
        </is>
      </c>
      <c r="E40" s="2" t="inlineStr">
        <is>
          <t>AVS</t>
        </is>
      </c>
      <c r="F40" s="5" t="n">
        <v>3.62013542563149</v>
      </c>
      <c r="G40" s="5" t="n">
        <v>45.883301</v>
      </c>
      <c r="H40" s="5" t="n">
        <v>8.787168503</v>
      </c>
      <c r="I40" s="5" t="n">
        <v>89.973341</v>
      </c>
      <c r="J40" s="5" t="n">
        <v>133.389</v>
      </c>
      <c r="K40" s="5" t="n">
        <v>25.155</v>
      </c>
      <c r="L40" s="5" t="n">
        <v>26.521</v>
      </c>
      <c r="M40" s="5" t="n">
        <v>4.228289539040265</v>
      </c>
    </row>
    <row r="41">
      <c r="A41" s="2" t="inlineStr">
        <is>
          <t>Coffee1.mp4|Coffee1_AVS3_QP44.mp4|HLG|AVS</t>
        </is>
      </c>
      <c r="B41" s="2" t="inlineStr">
        <is>
          <t>Coffee1.mp4</t>
        </is>
      </c>
      <c r="C41" s="2" t="inlineStr">
        <is>
          <t>Coffee1_AVS3_QP44.mp4</t>
        </is>
      </c>
      <c r="D41" s="2" t="inlineStr">
        <is>
          <t>HLG</t>
        </is>
      </c>
      <c r="E41" s="2" t="inlineStr">
        <is>
          <t>AVS</t>
        </is>
      </c>
      <c r="F41" s="5" t="n">
        <v>2.88084542865066</v>
      </c>
      <c r="G41" s="5" t="n">
        <v>44.914708</v>
      </c>
      <c r="H41" s="5" t="n">
        <v>8.407365799000001</v>
      </c>
      <c r="I41" s="5" t="n">
        <v>86.409364</v>
      </c>
      <c r="J41" s="5" t="n">
        <v>130.27</v>
      </c>
      <c r="K41" s="5" t="n">
        <v>24.731</v>
      </c>
      <c r="L41" s="5" t="n">
        <v>25.949</v>
      </c>
      <c r="M41" s="5" t="n">
        <v>3.935198669227139</v>
      </c>
    </row>
    <row r="42">
      <c r="A42" s="2" t="inlineStr">
        <is>
          <t>Coffee1.mp4|Coffee1_AVS3_QP48.mp4|HLG|AVS</t>
        </is>
      </c>
      <c r="B42" s="2" t="inlineStr">
        <is>
          <t>Coffee1.mp4</t>
        </is>
      </c>
      <c r="C42" s="2" t="inlineStr">
        <is>
          <t>Coffee1_AVS3_QP48.mp4</t>
        </is>
      </c>
      <c r="D42" s="2" t="inlineStr">
        <is>
          <t>HLG</t>
        </is>
      </c>
      <c r="E42" s="2" t="inlineStr">
        <is>
          <t>AVS</t>
        </is>
      </c>
      <c r="F42" s="5" t="n">
        <v>2.31336540951683</v>
      </c>
      <c r="G42" s="5" t="n">
        <v>43.982661</v>
      </c>
      <c r="H42" s="5" t="n">
        <v>7.982594967</v>
      </c>
      <c r="I42" s="5" t="n">
        <v>82.19865</v>
      </c>
      <c r="J42" s="5" t="n">
        <v>127.277</v>
      </c>
      <c r="K42" s="5" t="n">
        <v>24.299</v>
      </c>
      <c r="L42" s="5" t="n">
        <v>25.347</v>
      </c>
      <c r="M42" s="5" t="n">
        <v>3.561940574912312</v>
      </c>
    </row>
    <row r="43">
      <c r="A43" s="2" t="inlineStr">
        <is>
          <t>Coffee1.mp4|Coffee1_AlphaVC-P_QP2.mp4|HLG|AlphaVC-P</t>
        </is>
      </c>
      <c r="B43" s="2" t="inlineStr">
        <is>
          <t>Coffee1.mp4</t>
        </is>
      </c>
      <c r="C43" s="2" t="inlineStr">
        <is>
          <t>Coffee1_AlphaVC-P_QP2.mp4</t>
        </is>
      </c>
      <c r="D43" s="2" t="inlineStr">
        <is>
          <t>HLG</t>
        </is>
      </c>
      <c r="E43" s="2" t="inlineStr">
        <is>
          <t>AlphaVC-P</t>
        </is>
      </c>
      <c r="F43" s="5" t="n">
        <v>4.2658393632504</v>
      </c>
      <c r="G43" s="5" t="n">
        <v>44.146986</v>
      </c>
      <c r="H43" s="5" t="n">
        <v>8.496375084</v>
      </c>
      <c r="I43" s="5" t="n">
        <v>82.38720499999999</v>
      </c>
      <c r="J43" s="5" t="n">
        <v>127.953</v>
      </c>
      <c r="K43" s="5" t="n">
        <v>24.067</v>
      </c>
      <c r="L43" s="5" t="n">
        <v>25.46</v>
      </c>
      <c r="M43" s="5" t="n">
        <v>4.219608158059663</v>
      </c>
    </row>
    <row r="44">
      <c r="A44" s="2" t="inlineStr">
        <is>
          <t>Coffee1.mp4|Coffee1_AlphaVC-P_QP3.mp4|HLG|AlphaVC-P</t>
        </is>
      </c>
      <c r="B44" s="2" t="inlineStr">
        <is>
          <t>Coffee1.mp4</t>
        </is>
      </c>
      <c r="C44" s="2" t="inlineStr">
        <is>
          <t>Coffee1_AlphaVC-P_QP3.mp4</t>
        </is>
      </c>
      <c r="D44" s="2" t="inlineStr">
        <is>
          <t>HLG</t>
        </is>
      </c>
      <c r="E44" s="2" t="inlineStr">
        <is>
          <t>AlphaVC-P</t>
        </is>
      </c>
      <c r="F44" s="5" t="n">
        <v>4.13737113836225</v>
      </c>
      <c r="G44" s="5" t="n">
        <v>42.924228</v>
      </c>
      <c r="H44" s="5" t="n">
        <v>8.048154831</v>
      </c>
      <c r="I44" s="5" t="n">
        <v>75.172561</v>
      </c>
      <c r="J44" s="5" t="n">
        <v>123.9</v>
      </c>
      <c r="K44" s="5" t="n">
        <v>23.628</v>
      </c>
      <c r="L44" s="5" t="n">
        <v>24.763</v>
      </c>
      <c r="M44" s="5" t="n">
        <v>3.79230066054392</v>
      </c>
    </row>
    <row r="45">
      <c r="A45" s="2" t="inlineStr">
        <is>
          <t>Coffee1.mp4|Coffee1_AlphaVC-P_QP4.mp4|HLG|AlphaVC-P</t>
        </is>
      </c>
      <c r="B45" s="2" t="inlineStr">
        <is>
          <t>Coffee1.mp4</t>
        </is>
      </c>
      <c r="C45" s="2" t="inlineStr">
        <is>
          <t>Coffee1_AlphaVC-P_QP4.mp4</t>
        </is>
      </c>
      <c r="D45" s="2" t="inlineStr">
        <is>
          <t>HLG</t>
        </is>
      </c>
      <c r="E45" s="2" t="inlineStr">
        <is>
          <t>AlphaVC-P</t>
        </is>
      </c>
      <c r="F45" s="5" t="n">
        <v>3.17235050053826</v>
      </c>
      <c r="G45" s="5" t="n">
        <v>41.653774</v>
      </c>
      <c r="H45" s="5" t="n">
        <v>7.418505669</v>
      </c>
      <c r="I45" s="5" t="n">
        <v>67.696714</v>
      </c>
      <c r="J45" s="5" t="n">
        <v>119.895</v>
      </c>
      <c r="K45" s="5" t="n">
        <v>23.153</v>
      </c>
      <c r="L45" s="5" t="n">
        <v>24.009</v>
      </c>
      <c r="M45" s="5" t="n">
        <v>3.242482198878172</v>
      </c>
    </row>
    <row r="46">
      <c r="A46" s="2" t="inlineStr">
        <is>
          <t>Coffee1.mp4|Coffee1_DCVC-RT_QP0.mp4|HLG|DCVC-RT</t>
        </is>
      </c>
      <c r="B46" s="2" t="inlineStr">
        <is>
          <t>Coffee1.mp4</t>
        </is>
      </c>
      <c r="C46" s="2" t="inlineStr">
        <is>
          <t>Coffee1_DCVC-RT_QP0.mp4</t>
        </is>
      </c>
      <c r="D46" s="2" t="inlineStr">
        <is>
          <t>HLG</t>
        </is>
      </c>
      <c r="E46" s="2" t="inlineStr">
        <is>
          <t>DCVC-RT</t>
        </is>
      </c>
      <c r="F46" s="5" t="n">
        <v>1.25143633249324</v>
      </c>
      <c r="G46" s="5" t="n">
        <v>41.142149</v>
      </c>
      <c r="H46" s="5" t="n">
        <v>5.896537781</v>
      </c>
      <c r="I46" s="5" t="n">
        <v>62.166574</v>
      </c>
      <c r="J46" s="5" t="n">
        <v>118.138</v>
      </c>
      <c r="K46" s="5" t="n">
        <v>22.762</v>
      </c>
      <c r="L46" s="5" t="n">
        <v>23.047</v>
      </c>
      <c r="M46" s="5" t="n">
        <v>2.118338433447565</v>
      </c>
    </row>
    <row r="47">
      <c r="A47" s="2" t="inlineStr">
        <is>
          <t>Coffee1.mp4|Coffee1_DCVC-RT_QP21.mp4|HLG|DCVC-RT</t>
        </is>
      </c>
      <c r="B47" s="2" t="inlineStr">
        <is>
          <t>Coffee1.mp4</t>
        </is>
      </c>
      <c r="C47" s="2" t="inlineStr">
        <is>
          <t>Coffee1_DCVC-RT_QP21.mp4</t>
        </is>
      </c>
      <c r="D47" s="2" t="inlineStr">
        <is>
          <t>HLG</t>
        </is>
      </c>
      <c r="E47" s="2" t="inlineStr">
        <is>
          <t>DCVC-RT</t>
        </is>
      </c>
      <c r="F47" s="5" t="n">
        <v>3.53291958957001</v>
      </c>
      <c r="G47" s="5" t="n">
        <v>45.332871</v>
      </c>
      <c r="H47" s="5" t="n">
        <v>7.814442158</v>
      </c>
      <c r="I47" s="5" t="n">
        <v>81.67497299999999</v>
      </c>
      <c r="J47" s="5" t="n">
        <v>131.525</v>
      </c>
      <c r="K47" s="5" t="n">
        <v>24.837</v>
      </c>
      <c r="L47" s="5" t="n">
        <v>25.29</v>
      </c>
      <c r="M47" s="5" t="n">
        <v>3.476401389200832</v>
      </c>
    </row>
    <row r="48">
      <c r="A48" s="2" t="inlineStr">
        <is>
          <t>Coffee1.mp4|Coffee1_DCVC-RT_QP27.mp4|HLG|DCVC-RT</t>
        </is>
      </c>
      <c r="B48" s="2" t="inlineStr">
        <is>
          <t>Coffee1.mp4</t>
        </is>
      </c>
      <c r="C48" s="2" t="inlineStr">
        <is>
          <t>Coffee1_DCVC-RT_QP27.mp4</t>
        </is>
      </c>
      <c r="D48" s="2" t="inlineStr">
        <is>
          <t>HLG</t>
        </is>
      </c>
      <c r="E48" s="2" t="inlineStr">
        <is>
          <t>DCVC-RT</t>
        </is>
      </c>
      <c r="F48" s="5" t="n">
        <v>3.73630994770174</v>
      </c>
      <c r="G48" s="5" t="n">
        <v>46.479464</v>
      </c>
      <c r="H48" s="5" t="n">
        <v>8.382642746</v>
      </c>
      <c r="I48" s="5" t="n">
        <v>86.667509</v>
      </c>
      <c r="J48" s="5" t="n">
        <v>135.156</v>
      </c>
      <c r="K48" s="5" t="n">
        <v>25.327</v>
      </c>
      <c r="L48" s="5" t="n">
        <v>25.976</v>
      </c>
      <c r="M48" s="5" t="n">
        <v>3.908292546623437</v>
      </c>
    </row>
    <row r="49">
      <c r="A49" s="2" t="inlineStr">
        <is>
          <t>Coffee1.mp4|Coffee1_DCVC-RT_QP42.mp4|HLG|DCVC-RT</t>
        </is>
      </c>
      <c r="B49" s="2" t="inlineStr">
        <is>
          <t>Coffee1.mp4</t>
        </is>
      </c>
      <c r="C49" s="2" t="inlineStr">
        <is>
          <t>Coffee1_DCVC-RT_QP42.mp4</t>
        </is>
      </c>
      <c r="D49" s="2" t="inlineStr">
        <is>
          <t>HLG</t>
        </is>
      </c>
      <c r="E49" s="2" t="inlineStr">
        <is>
          <t>DCVC-RT</t>
        </is>
      </c>
      <c r="F49" s="5" t="n">
        <v>4.15502991991491</v>
      </c>
      <c r="G49" s="5" t="n">
        <v>47.886701</v>
      </c>
      <c r="H49" s="5" t="n">
        <v>8.929956435999999</v>
      </c>
      <c r="I49" s="5" t="n">
        <v>92.120052</v>
      </c>
      <c r="J49" s="5" t="n">
        <v>139.625</v>
      </c>
      <c r="K49" s="5" t="n">
        <v>25.923</v>
      </c>
      <c r="L49" s="5" t="n">
        <v>26.821</v>
      </c>
      <c r="M49" s="5" t="n">
        <v>4.344866150577628</v>
      </c>
    </row>
    <row r="50">
      <c r="A50" s="2" t="inlineStr">
        <is>
          <t>Coffee1.mp4|Coffee1_EEM_QP0.mp4|HLG|EEM</t>
        </is>
      </c>
      <c r="B50" s="2" t="inlineStr">
        <is>
          <t>Coffee1.mp4</t>
        </is>
      </c>
      <c r="C50" s="2" t="inlineStr">
        <is>
          <t>Coffee1_EEM_QP0.mp4</t>
        </is>
      </c>
      <c r="D50" s="2" t="inlineStr">
        <is>
          <t>HLG</t>
        </is>
      </c>
      <c r="E50" s="2" t="inlineStr">
        <is>
          <t>EEM</t>
        </is>
      </c>
      <c r="F50" s="5" t="n">
        <v>4.24798615371296</v>
      </c>
      <c r="G50" s="5" t="n">
        <v>47.562972</v>
      </c>
      <c r="H50" s="5" t="n">
        <v>9.208536148</v>
      </c>
      <c r="I50" s="5" t="n">
        <v>94.868841</v>
      </c>
      <c r="J50" s="5" t="n">
        <v>138.436</v>
      </c>
      <c r="K50" s="5" t="n">
        <v>25.316</v>
      </c>
      <c r="L50" s="5" t="n">
        <v>27.126</v>
      </c>
      <c r="M50" s="5" t="n">
        <v>4.51430700132306</v>
      </c>
    </row>
    <row r="51">
      <c r="A51" s="2" t="inlineStr">
        <is>
          <t>Coffee1.mp4|Coffee1_EEM_QP2.mp4|HLG|EEM</t>
        </is>
      </c>
      <c r="B51" s="2" t="inlineStr">
        <is>
          <t>Coffee1.mp4</t>
        </is>
      </c>
      <c r="C51" s="2" t="inlineStr">
        <is>
          <t>Coffee1_EEM_QP2.mp4</t>
        </is>
      </c>
      <c r="D51" s="2" t="inlineStr">
        <is>
          <t>HLG</t>
        </is>
      </c>
      <c r="E51" s="2" t="inlineStr">
        <is>
          <t>EEM</t>
        </is>
      </c>
      <c r="F51" s="5" t="n">
        <v>3.41068438720262</v>
      </c>
      <c r="G51" s="5" t="n">
        <v>45.115548</v>
      </c>
      <c r="H51" s="5" t="n">
        <v>8.379281998</v>
      </c>
      <c r="I51" s="5" t="n">
        <v>87.071989</v>
      </c>
      <c r="J51" s="5" t="n">
        <v>130.847</v>
      </c>
      <c r="K51" s="5" t="n">
        <v>24.408</v>
      </c>
      <c r="L51" s="5" t="n">
        <v>25.822</v>
      </c>
      <c r="M51" s="5" t="n">
        <v>3.947802207939993</v>
      </c>
    </row>
    <row r="52">
      <c r="A52" s="2" t="inlineStr">
        <is>
          <t>Coffee1.mp4|Coffee1_EEM_QP3.mp4|HLG|EEM</t>
        </is>
      </c>
      <c r="B52" s="2" t="inlineStr">
        <is>
          <t>Coffee1.mp4</t>
        </is>
      </c>
      <c r="C52" s="2" t="inlineStr">
        <is>
          <t>Coffee1_EEM_QP3.mp4</t>
        </is>
      </c>
      <c r="D52" s="2" t="inlineStr">
        <is>
          <t>HLG</t>
        </is>
      </c>
      <c r="E52" s="2" t="inlineStr">
        <is>
          <t>EEM</t>
        </is>
      </c>
      <c r="F52" s="5" t="n">
        <v>2.20336449622787</v>
      </c>
      <c r="G52" s="5" t="n">
        <v>41.961038</v>
      </c>
      <c r="H52" s="5" t="n">
        <v>7.31251049</v>
      </c>
      <c r="I52" s="5" t="n">
        <v>77.25686399999999</v>
      </c>
      <c r="J52" s="5" t="n">
        <v>120.485</v>
      </c>
      <c r="K52" s="5" t="n">
        <v>22.306</v>
      </c>
      <c r="L52" s="5" t="n">
        <v>24.536</v>
      </c>
      <c r="M52" s="5" t="n">
        <v>3.094197687086666</v>
      </c>
    </row>
    <row r="53">
      <c r="A53" s="2" t="inlineStr">
        <is>
          <t>Coffee1.mp4|Coffee1_LTM_QP21_2910.mp4|HLG|LTM</t>
        </is>
      </c>
      <c r="B53" s="2" t="inlineStr">
        <is>
          <t>Coffee1.mp4</t>
        </is>
      </c>
      <c r="C53" s="2" t="inlineStr">
        <is>
          <t>Coffee1_LTM_QP21_2910.mp4</t>
        </is>
      </c>
      <c r="D53" s="2" t="inlineStr">
        <is>
          <t>HLG</t>
        </is>
      </c>
      <c r="E53" s="2" t="inlineStr">
        <is>
          <t>LTM</t>
        </is>
      </c>
      <c r="F53" s="5" t="n">
        <v>4.81611903297773</v>
      </c>
      <c r="G53" s="5" t="n">
        <v>47.658149</v>
      </c>
      <c r="H53" s="5" t="n">
        <v>9.336665154</v>
      </c>
      <c r="I53" s="5" t="n">
        <v>95.98255</v>
      </c>
      <c r="J53" s="5" t="n">
        <v>138.836</v>
      </c>
      <c r="K53" s="5" t="n">
        <v>26.022</v>
      </c>
      <c r="L53" s="5" t="n">
        <v>27.066</v>
      </c>
      <c r="M53" s="5" t="n">
        <v>4.527515164191815</v>
      </c>
    </row>
    <row r="54">
      <c r="A54" s="2" t="inlineStr">
        <is>
          <t>Coffee1.mp4|Coffee1_LTM_QP38_4059.mp4|HLG|LTM</t>
        </is>
      </c>
      <c r="B54" s="2" t="inlineStr">
        <is>
          <t>Coffee1.mp4</t>
        </is>
      </c>
      <c r="C54" s="2" t="inlineStr">
        <is>
          <t>Coffee1_LTM_QP38_4059.mp4</t>
        </is>
      </c>
      <c r="D54" s="2" t="inlineStr">
        <is>
          <t>HLG</t>
        </is>
      </c>
      <c r="E54" s="2" t="inlineStr">
        <is>
          <t>LTM</t>
        </is>
      </c>
      <c r="F54" s="5" t="n">
        <v>2.46683805967817</v>
      </c>
      <c r="G54" s="5" t="n">
        <v>42.598782</v>
      </c>
      <c r="H54" s="5" t="n">
        <v>7.423305035</v>
      </c>
      <c r="I54" s="5" t="n">
        <v>76.17149499999999</v>
      </c>
      <c r="J54" s="5" t="n">
        <v>122.783</v>
      </c>
      <c r="K54" s="5" t="n">
        <v>23.734</v>
      </c>
      <c r="L54" s="5" t="n">
        <v>24.511</v>
      </c>
      <c r="M54" s="5" t="n">
        <v>3.003390351399013</v>
      </c>
    </row>
    <row r="55">
      <c r="A55" s="2" t="inlineStr">
        <is>
          <t>Coffee1.mp4|Coffee1_NNVC_QP27.mp4|HLG|NNVC</t>
        </is>
      </c>
      <c r="B55" s="2" t="inlineStr">
        <is>
          <t>Coffee1.mp4</t>
        </is>
      </c>
      <c r="C55" s="2" t="inlineStr">
        <is>
          <t>Coffee1_NNVC_QP27.mp4</t>
        </is>
      </c>
      <c r="D55" s="2" t="inlineStr">
        <is>
          <t>HLG</t>
        </is>
      </c>
      <c r="E55" s="2" t="inlineStr">
        <is>
          <t>NNVC</t>
        </is>
      </c>
      <c r="F55" s="5" t="n">
        <v>4.25750058901321</v>
      </c>
      <c r="G55" s="5" t="n">
        <v>48.231613</v>
      </c>
      <c r="H55" s="5" t="n">
        <v>9.404182434000001</v>
      </c>
      <c r="I55" s="5" t="n">
        <v>95.776005</v>
      </c>
      <c r="J55" s="5" t="n">
        <v>141.019</v>
      </c>
      <c r="K55" s="5" t="n">
        <v>26.231</v>
      </c>
      <c r="L55" s="5" t="n">
        <v>27.696</v>
      </c>
      <c r="M55" s="5" t="n">
        <v>4.579686993937832</v>
      </c>
    </row>
    <row r="56">
      <c r="A56" s="2" t="inlineStr">
        <is>
          <t>Coffee1.mp4|Coffee1_NNVC_QP42.mp4|HLG|NNVC</t>
        </is>
      </c>
      <c r="B56" s="2" t="inlineStr">
        <is>
          <t>Coffee1.mp4</t>
        </is>
      </c>
      <c r="C56" s="2" t="inlineStr">
        <is>
          <t>Coffee1_NNVC_QP42.mp4</t>
        </is>
      </c>
      <c r="D56" s="2" t="inlineStr">
        <is>
          <t>HLG</t>
        </is>
      </c>
      <c r="E56" s="2" t="inlineStr">
        <is>
          <t>NNVC</t>
        </is>
      </c>
      <c r="F56" s="5" t="n">
        <v>4.34784308720465</v>
      </c>
      <c r="G56" s="5" t="n">
        <v>43.691981</v>
      </c>
      <c r="H56" s="5" t="n">
        <v>7.917476654</v>
      </c>
      <c r="I56" s="5" t="n">
        <v>81.08973</v>
      </c>
      <c r="J56" s="5" t="n">
        <v>126.399</v>
      </c>
      <c r="K56" s="5" t="n">
        <v>24.128</v>
      </c>
      <c r="L56" s="5" t="n">
        <v>25.304</v>
      </c>
      <c r="M56" s="5" t="n">
        <v>3.48594285895343</v>
      </c>
    </row>
    <row r="57">
      <c r="A57" s="2" t="inlineStr">
        <is>
          <t>Coffee1.mp4|Coffee1_VTM_QP32.mp4|HLG|VTM</t>
        </is>
      </c>
      <c r="B57" s="2" t="inlineStr">
        <is>
          <t>Coffee1.mp4</t>
        </is>
      </c>
      <c r="C57" s="2" t="inlineStr">
        <is>
          <t>Coffee1_VTM_QP32.mp4</t>
        </is>
      </c>
      <c r="D57" s="2" t="inlineStr">
        <is>
          <t>HLG</t>
        </is>
      </c>
      <c r="E57" s="2" t="inlineStr">
        <is>
          <t>VTM</t>
        </is>
      </c>
      <c r="F57" s="5" t="n">
        <v>3.24094537903807</v>
      </c>
      <c r="G57" s="5" t="n">
        <v>46.505942</v>
      </c>
      <c r="H57" s="5" t="n">
        <v>8.954666138</v>
      </c>
      <c r="I57" s="5" t="n">
        <v>91.395661</v>
      </c>
      <c r="J57" s="5" t="n">
        <v>135.327</v>
      </c>
      <c r="K57" s="5" t="n">
        <v>25.368</v>
      </c>
      <c r="L57" s="5" t="n">
        <v>26.819</v>
      </c>
      <c r="M57" s="5" t="n">
        <v>4.325931361845766</v>
      </c>
    </row>
    <row r="58">
      <c r="A58" s="2" t="inlineStr">
        <is>
          <t>Coffee1.mp4|Coffee1_VTM_QP35.mp4|HLG|VTM</t>
        </is>
      </c>
      <c r="B58" s="2" t="inlineStr">
        <is>
          <t>Coffee1.mp4</t>
        </is>
      </c>
      <c r="C58" s="2" t="inlineStr">
        <is>
          <t>Coffee1_VTM_QP35.mp4</t>
        </is>
      </c>
      <c r="D58" s="2" t="inlineStr">
        <is>
          <t>HLG</t>
        </is>
      </c>
      <c r="E58" s="2" t="inlineStr">
        <is>
          <t>VTM</t>
        </is>
      </c>
      <c r="F58" s="5" t="n">
        <v>4.68262986920481</v>
      </c>
      <c r="G58" s="5" t="n">
        <v>45.655488</v>
      </c>
      <c r="H58" s="5" t="n">
        <v>8.647539138999999</v>
      </c>
      <c r="I58" s="5" t="n">
        <v>88.527218</v>
      </c>
      <c r="J58" s="5" t="n">
        <v>132.529</v>
      </c>
      <c r="K58" s="5" t="n">
        <v>24.978</v>
      </c>
      <c r="L58" s="5" t="n">
        <v>26.333</v>
      </c>
      <c r="M58" s="5" t="n">
        <v>4.102304206448038</v>
      </c>
    </row>
    <row r="59">
      <c r="A59" s="2" t="inlineStr">
        <is>
          <t>Coffee1.mp4|Coffee1_VTM_QP42.mp4|HLG|VTM</t>
        </is>
      </c>
      <c r="B59" s="2" t="inlineStr">
        <is>
          <t>Coffee1.mp4</t>
        </is>
      </c>
      <c r="C59" s="2" t="inlineStr">
        <is>
          <t>Coffee1_VTM_QP42.mp4</t>
        </is>
      </c>
      <c r="D59" s="2" t="inlineStr">
        <is>
          <t>HLG</t>
        </is>
      </c>
      <c r="E59" s="2" t="inlineStr">
        <is>
          <t>VTM</t>
        </is>
      </c>
      <c r="F59" s="5" t="n">
        <v>1.97059099988545</v>
      </c>
      <c r="G59" s="5" t="n">
        <v>43.507666</v>
      </c>
      <c r="H59" s="5" t="n">
        <v>7.664162636</v>
      </c>
      <c r="I59" s="5" t="n">
        <v>78.89337999999999</v>
      </c>
      <c r="J59" s="5" t="n">
        <v>125.621</v>
      </c>
      <c r="K59" s="5" t="n">
        <v>23.956</v>
      </c>
      <c r="L59" s="5" t="n">
        <v>24.963</v>
      </c>
      <c r="M59" s="5" t="n">
        <v>3.262785867881639</v>
      </c>
    </row>
    <row r="60">
      <c r="A60" s="2" t="inlineStr">
        <is>
          <t>DroneShowEnding.mp4|DroneShowEnding_AVS3_QP44.mp4|HLG|AVS</t>
        </is>
      </c>
      <c r="B60" s="2" t="inlineStr">
        <is>
          <t>DroneShowEnding.mp4</t>
        </is>
      </c>
      <c r="C60" s="2" t="inlineStr">
        <is>
          <t>DroneShowEnding_AVS3_QP44.mp4</t>
        </is>
      </c>
      <c r="D60" s="2" t="inlineStr">
        <is>
          <t>HLG</t>
        </is>
      </c>
      <c r="E60" s="2" t="inlineStr">
        <is>
          <t>AVS</t>
        </is>
      </c>
      <c r="F60" s="5" t="n">
        <v>4.27192177115317</v>
      </c>
      <c r="G60" s="5" t="n">
        <v>41.181033</v>
      </c>
      <c r="H60" s="5" t="n">
        <v>8.983678818</v>
      </c>
      <c r="I60" s="5" t="n">
        <v>90.489262</v>
      </c>
      <c r="J60" s="5" t="n">
        <v>123.899</v>
      </c>
      <c r="K60" s="5" t="n">
        <v>25.207</v>
      </c>
      <c r="L60" s="5" t="n">
        <v>27.578</v>
      </c>
      <c r="M60" s="5" t="n">
        <v>4.157822612074449</v>
      </c>
    </row>
    <row r="61">
      <c r="A61" s="2" t="inlineStr">
        <is>
          <t>DroneShowEnding.mp4|DroneShowEnding_AlphaVC-P_QP3.mp4|HLG|AlphaVC-P</t>
        </is>
      </c>
      <c r="B61" s="2" t="inlineStr">
        <is>
          <t>DroneShowEnding.mp4</t>
        </is>
      </c>
      <c r="C61" s="2" t="inlineStr">
        <is>
          <t>DroneShowEnding_AlphaVC-P_QP3.mp4</t>
        </is>
      </c>
      <c r="D61" s="2" t="inlineStr">
        <is>
          <t>HLG</t>
        </is>
      </c>
      <c r="E61" s="2" t="inlineStr">
        <is>
          <t>AlphaVC-P</t>
        </is>
      </c>
      <c r="F61" s="5" t="n">
        <v>3.54933447415104</v>
      </c>
      <c r="G61" s="5" t="n">
        <v>37.713264</v>
      </c>
      <c r="H61" s="5" t="n">
        <v>8.116976738</v>
      </c>
      <c r="I61" s="5" t="n">
        <v>73.9828</v>
      </c>
      <c r="J61" s="5" t="n">
        <v>111.541</v>
      </c>
      <c r="K61" s="5" t="n">
        <v>23.95</v>
      </c>
      <c r="L61" s="5" t="n">
        <v>25.601</v>
      </c>
      <c r="M61" s="5" t="n">
        <v>3.6093076062396</v>
      </c>
    </row>
    <row r="62">
      <c r="A62" s="2" t="inlineStr">
        <is>
          <t>DroneShowEnding.mp4|DroneShowEnding_AlphaVC-P_QP4.mp4|HLG|AlphaVC-P</t>
        </is>
      </c>
      <c r="B62" s="2" t="inlineStr">
        <is>
          <t>DroneShowEnding.mp4</t>
        </is>
      </c>
      <c r="C62" s="2" t="inlineStr">
        <is>
          <t>DroneShowEnding_AlphaVC-P_QP4.mp4</t>
        </is>
      </c>
      <c r="D62" s="2" t="inlineStr">
        <is>
          <t>HLG</t>
        </is>
      </c>
      <c r="E62" s="2" t="inlineStr">
        <is>
          <t>AlphaVC-P</t>
        </is>
      </c>
      <c r="F62" s="5" t="n">
        <v>2.91989351428789</v>
      </c>
      <c r="G62" s="5" t="n">
        <v>36.272935</v>
      </c>
      <c r="H62" s="5" t="n">
        <v>7.465361118</v>
      </c>
      <c r="I62" s="5" t="n">
        <v>65.65000000000001</v>
      </c>
      <c r="J62" s="5" t="n">
        <v>107.036</v>
      </c>
      <c r="K62" s="5" t="n">
        <v>23.365</v>
      </c>
      <c r="L62" s="5" t="n">
        <v>24.871</v>
      </c>
      <c r="M62" s="5" t="n">
        <v>3.034825590034033</v>
      </c>
    </row>
    <row r="63">
      <c r="A63" s="2" t="inlineStr">
        <is>
          <t>DroneShowEnding.mp4|DroneShowEnding_AlphaVC-P_QP5.mp4|HLG|AlphaVC-P</t>
        </is>
      </c>
      <c r="B63" s="2" t="inlineStr">
        <is>
          <t>DroneShowEnding.mp4</t>
        </is>
      </c>
      <c r="C63" s="2" t="inlineStr">
        <is>
          <t>DroneShowEnding_AlphaVC-P_QP5.mp4</t>
        </is>
      </c>
      <c r="D63" s="2" t="inlineStr">
        <is>
          <t>HLG</t>
        </is>
      </c>
      <c r="E63" s="2" t="inlineStr">
        <is>
          <t>AlphaVC-P</t>
        </is>
      </c>
      <c r="F63" s="5" t="n">
        <v>2.08696901016522</v>
      </c>
      <c r="G63" s="5" t="n">
        <v>34.889529</v>
      </c>
      <c r="H63" s="5" t="n">
        <v>6.460947037</v>
      </c>
      <c r="I63" s="5" t="n">
        <v>55.633734</v>
      </c>
      <c r="J63" s="5" t="n">
        <v>102.7</v>
      </c>
      <c r="K63" s="5" t="n">
        <v>22.745</v>
      </c>
      <c r="L63" s="5" t="n">
        <v>24.092</v>
      </c>
      <c r="M63" s="5" t="n">
        <v>2.466021824834525</v>
      </c>
    </row>
    <row r="64">
      <c r="A64" s="2" t="inlineStr">
        <is>
          <t>DroneShowEnding.mp4|DroneShowEnding_DCVC-RT_QP6.mp4|HLG|DCVC-RT</t>
        </is>
      </c>
      <c r="B64" s="2" t="inlineStr">
        <is>
          <t>DroneShowEnding.mp4</t>
        </is>
      </c>
      <c r="C64" s="2" t="inlineStr">
        <is>
          <t>DroneShowEnding_DCVC-RT_QP6.mp4</t>
        </is>
      </c>
      <c r="D64" s="2" t="inlineStr">
        <is>
          <t>HLG</t>
        </is>
      </c>
      <c r="E64" s="2" t="inlineStr">
        <is>
          <t>DCVC-RT</t>
        </is>
      </c>
      <c r="F64" s="5" t="n">
        <v>3.2594438360845</v>
      </c>
      <c r="G64" s="5" t="n">
        <v>38.423459</v>
      </c>
      <c r="H64" s="5" t="n">
        <v>7.827782631</v>
      </c>
      <c r="I64" s="5" t="n">
        <v>77.79510000000001</v>
      </c>
      <c r="J64" s="5" t="n">
        <v>114.476</v>
      </c>
      <c r="K64" s="5" t="n">
        <v>24.047</v>
      </c>
      <c r="L64" s="5" t="n">
        <v>25.737</v>
      </c>
      <c r="M64" s="5" t="n">
        <v>3.140801352377496</v>
      </c>
    </row>
    <row r="65">
      <c r="A65" s="2" t="inlineStr">
        <is>
          <t>DroneShowEnding.mp4|DroneShowEnding_DCVC_QP0.mp4|HLG|DCVC-RT</t>
        </is>
      </c>
      <c r="B65" s="2" t="inlineStr">
        <is>
          <t>DroneShowEnding.mp4</t>
        </is>
      </c>
      <c r="C65" s="2" t="inlineStr">
        <is>
          <t>DroneShowEnding_DCVC_QP0.mp4</t>
        </is>
      </c>
      <c r="D65" s="2" t="inlineStr">
        <is>
          <t>HLG</t>
        </is>
      </c>
      <c r="E65" s="2" t="inlineStr">
        <is>
          <t>DCVC-RT</t>
        </is>
      </c>
      <c r="F65" s="5" t="n">
        <v>2.00344423067331</v>
      </c>
      <c r="G65" s="5" t="n">
        <v>36.231764</v>
      </c>
      <c r="H65" s="5" t="n">
        <v>5.479002953</v>
      </c>
      <c r="I65" s="5" t="n">
        <v>64.675094</v>
      </c>
      <c r="J65" s="5" t="n">
        <v>107.049</v>
      </c>
      <c r="K65" s="5" t="n">
        <v>23.115</v>
      </c>
      <c r="L65" s="5" t="n">
        <v>24.638</v>
      </c>
      <c r="M65" s="5" t="n">
        <v>2.361825441888308</v>
      </c>
    </row>
    <row r="66">
      <c r="A66" s="2" t="inlineStr">
        <is>
          <t>DroneShowEnding.mp4|DroneShowEnding_DCVC_QP13.mp4|HLG|DCVC-RT</t>
        </is>
      </c>
      <c r="B66" s="2" t="inlineStr">
        <is>
          <t>DroneShowEnding.mp4</t>
        </is>
      </c>
      <c r="C66" s="2" t="inlineStr">
        <is>
          <t>DroneShowEnding_DCVC_QP13.mp4</t>
        </is>
      </c>
      <c r="D66" s="2" t="inlineStr">
        <is>
          <t>HLG</t>
        </is>
      </c>
      <c r="E66" s="2" t="inlineStr">
        <is>
          <t>DCVC-RT</t>
        </is>
      </c>
      <c r="F66" s="5" t="n">
        <v>3.52682654125751</v>
      </c>
      <c r="G66" s="5" t="n">
        <v>38.960279</v>
      </c>
      <c r="H66" s="5" t="n">
        <v>7.802976131</v>
      </c>
      <c r="I66" s="5" t="n">
        <v>80.201521</v>
      </c>
      <c r="J66" s="5" t="n">
        <v>115.98</v>
      </c>
      <c r="K66" s="5" t="n">
        <v>24.551</v>
      </c>
      <c r="L66" s="5" t="n">
        <v>26.077</v>
      </c>
      <c r="M66" s="5" t="n">
        <v>3.342852706203114</v>
      </c>
    </row>
    <row r="67">
      <c r="A67" s="2" t="inlineStr">
        <is>
          <t>DroneShowEnding.mp4|DroneShowEnding_DCVC_QP25.mp4|HLG|DCVC-RT</t>
        </is>
      </c>
      <c r="B67" s="2" t="inlineStr">
        <is>
          <t>DroneShowEnding.mp4</t>
        </is>
      </c>
      <c r="C67" s="2" t="inlineStr">
        <is>
          <t>DroneShowEnding_DCVC_QP25.mp4</t>
        </is>
      </c>
      <c r="D67" s="2" t="inlineStr">
        <is>
          <t>HLG</t>
        </is>
      </c>
      <c r="E67" s="2" t="inlineStr">
        <is>
          <t>DCVC-RT</t>
        </is>
      </c>
      <c r="F67" s="5" t="n">
        <v>4.2567843867263</v>
      </c>
      <c r="G67" s="5" t="n">
        <v>41.210041</v>
      </c>
      <c r="H67" s="5" t="n">
        <v>8.814455032</v>
      </c>
      <c r="I67" s="5" t="n">
        <v>88.586558</v>
      </c>
      <c r="J67" s="5" t="n">
        <v>123.329</v>
      </c>
      <c r="K67" s="5" t="n">
        <v>25.55</v>
      </c>
      <c r="L67" s="5" t="n">
        <v>27.163</v>
      </c>
      <c r="M67" s="5" t="n">
        <v>3.968744417511053</v>
      </c>
    </row>
    <row r="68">
      <c r="A68" s="2" t="inlineStr">
        <is>
          <t>DroneShowEnding.mp4|DroneShowEnding_DCVC_QP38.mp4|HLG|DCVC-RT</t>
        </is>
      </c>
      <c r="B68" s="2" t="inlineStr">
        <is>
          <t>DroneShowEnding.mp4</t>
        </is>
      </c>
      <c r="C68" s="2" t="inlineStr">
        <is>
          <t>DroneShowEnding_DCVC_QP38.mp4</t>
        </is>
      </c>
      <c r="D68" s="2" t="inlineStr">
        <is>
          <t>HLG</t>
        </is>
      </c>
      <c r="E68" s="2" t="inlineStr">
        <is>
          <t>DCVC-RT</t>
        </is>
      </c>
      <c r="F68" s="5" t="n">
        <v>4.38464837291445</v>
      </c>
      <c r="G68" s="5" t="n">
        <v>43.226072</v>
      </c>
      <c r="H68" s="5" t="n">
        <v>9.316417694</v>
      </c>
      <c r="I68" s="5" t="n">
        <v>93.835747</v>
      </c>
      <c r="J68" s="5" t="n">
        <v>129.569</v>
      </c>
      <c r="K68" s="5" t="n">
        <v>26.281</v>
      </c>
      <c r="L68" s="5" t="n">
        <v>28.131</v>
      </c>
      <c r="M68" s="5" t="n">
        <v>4.376782416815171</v>
      </c>
    </row>
    <row r="69">
      <c r="A69" s="2" t="inlineStr">
        <is>
          <t>DroneShowEnding.mp4|DroneShowEnding_EEM_QP2.mp4|HLG|EEM</t>
        </is>
      </c>
      <c r="B69" s="2" t="inlineStr">
        <is>
          <t>DroneShowEnding.mp4</t>
        </is>
      </c>
      <c r="C69" s="2" t="inlineStr">
        <is>
          <t>DroneShowEnding_EEM_QP2.mp4</t>
        </is>
      </c>
      <c r="D69" s="2" t="inlineStr">
        <is>
          <t>HLG</t>
        </is>
      </c>
      <c r="E69" s="2" t="inlineStr">
        <is>
          <t>EEM</t>
        </is>
      </c>
      <c r="F69" s="5" t="n">
        <v>3.43694923462716</v>
      </c>
      <c r="G69" s="5" t="n">
        <v>41.222608</v>
      </c>
      <c r="H69" s="5" t="n">
        <v>8.961534500000001</v>
      </c>
      <c r="I69" s="5" t="n">
        <v>90.975669</v>
      </c>
      <c r="J69" s="5" t="n">
        <v>123.448</v>
      </c>
      <c r="K69" s="5" t="n">
        <v>24.799</v>
      </c>
      <c r="L69" s="5" t="n">
        <v>27.422</v>
      </c>
      <c r="M69" s="5" t="n">
        <v>4.098185298202853</v>
      </c>
    </row>
    <row r="70">
      <c r="A70" s="2" t="inlineStr">
        <is>
          <t>DroneShowEnding.mp4|DroneShowEnding_EEM_QP3.mp4|HLG|EEM</t>
        </is>
      </c>
      <c r="B70" s="2" t="inlineStr">
        <is>
          <t>DroneShowEnding.mp4</t>
        </is>
      </c>
      <c r="C70" s="2" t="inlineStr">
        <is>
          <t>DroneShowEnding_EEM_QP3.mp4</t>
        </is>
      </c>
      <c r="D70" s="2" t="inlineStr">
        <is>
          <t>HLG</t>
        </is>
      </c>
      <c r="E70" s="2" t="inlineStr">
        <is>
          <t>EEM</t>
        </is>
      </c>
      <c r="F70" s="5" t="n">
        <v>2.52008659144645</v>
      </c>
      <c r="G70" s="5" t="n">
        <v>38.385301</v>
      </c>
      <c r="H70" s="5" t="n">
        <v>8.039055824</v>
      </c>
      <c r="I70" s="5" t="n">
        <v>81.38931599999999</v>
      </c>
      <c r="J70" s="5" t="n">
        <v>114.806</v>
      </c>
      <c r="K70" s="5" t="n">
        <v>22.946</v>
      </c>
      <c r="L70" s="5" t="n">
        <v>26.068</v>
      </c>
      <c r="M70" s="5" t="n">
        <v>3.295197882375663</v>
      </c>
    </row>
    <row r="71">
      <c r="A71" s="2" t="inlineStr">
        <is>
          <t>DroneShowEnding.mp4|DroneShowEnding_NNVC_QP42.mp4|HLG|NNVC</t>
        </is>
      </c>
      <c r="B71" s="2" t="inlineStr">
        <is>
          <t>DroneShowEnding.mp4</t>
        </is>
      </c>
      <c r="C71" s="2" t="inlineStr">
        <is>
          <t>DroneShowEnding_NNVC_QP42.mp4</t>
        </is>
      </c>
      <c r="D71" s="2" t="inlineStr">
        <is>
          <t>HLG</t>
        </is>
      </c>
      <c r="E71" s="2" t="inlineStr">
        <is>
          <t>NNVC</t>
        </is>
      </c>
      <c r="F71" s="5" t="n">
        <v>3.8148839982003</v>
      </c>
      <c r="G71" s="5" t="n">
        <v>39.719325</v>
      </c>
      <c r="H71" s="5" t="n">
        <v>8.489815712</v>
      </c>
      <c r="I71" s="5" t="n">
        <v>85.863418</v>
      </c>
      <c r="J71" s="5" t="n">
        <v>119.391</v>
      </c>
      <c r="K71" s="5" t="n">
        <v>24.469</v>
      </c>
      <c r="L71" s="5" t="n">
        <v>26.915</v>
      </c>
      <c r="M71" s="5" t="n">
        <v>3.703002937352426</v>
      </c>
    </row>
    <row r="72">
      <c r="A72" s="2" t="inlineStr">
        <is>
          <t>DroneShowEnding.mp4|DroneShowEnding_QP35_3856.mp4|HLG|LTM</t>
        </is>
      </c>
      <c r="B72" s="2" t="inlineStr">
        <is>
          <t>DroneShowEnding.mp4</t>
        </is>
      </c>
      <c r="C72" s="2" t="inlineStr">
        <is>
          <t>DroneShowEnding_QP35_3856.mp4</t>
        </is>
      </c>
      <c r="D72" s="2" t="inlineStr">
        <is>
          <t>HLG</t>
        </is>
      </c>
      <c r="E72" s="2" t="inlineStr">
        <is>
          <t>LTM</t>
        </is>
      </c>
      <c r="F72" s="5" t="n">
        <v>3.96881606879358</v>
      </c>
      <c r="G72" s="5" t="n">
        <v>38.455548</v>
      </c>
      <c r="H72" s="5" t="n">
        <v>8.385605812</v>
      </c>
      <c r="I72" s="5" t="n">
        <v>84.38404800000001</v>
      </c>
      <c r="J72" s="5" t="n">
        <v>114.416</v>
      </c>
      <c r="K72" s="5" t="n">
        <v>24.128</v>
      </c>
      <c r="L72" s="5" t="n">
        <v>25.941</v>
      </c>
      <c r="M72" s="5" t="n">
        <v>3.564912144374571</v>
      </c>
    </row>
    <row r="73">
      <c r="A73" s="2" t="inlineStr">
        <is>
          <t>DroneShowEnding.mp4|DroneShowEnding_QP37_3991.mp4|HLG|LTM</t>
        </is>
      </c>
      <c r="B73" s="2" t="inlineStr">
        <is>
          <t>DroneShowEnding.mp4</t>
        </is>
      </c>
      <c r="C73" s="2" t="inlineStr">
        <is>
          <t>DroneShowEnding_QP37_3991.mp4</t>
        </is>
      </c>
      <c r="D73" s="2" t="inlineStr">
        <is>
          <t>HLG</t>
        </is>
      </c>
      <c r="E73" s="2" t="inlineStr">
        <is>
          <t>LTM</t>
        </is>
      </c>
      <c r="F73" s="5" t="n">
        <v>3.62997698188764</v>
      </c>
      <c r="G73" s="5" t="n">
        <v>37.896007</v>
      </c>
      <c r="H73" s="5" t="n">
        <v>8.111128807</v>
      </c>
      <c r="I73" s="5" t="n">
        <v>81.22326099999999</v>
      </c>
      <c r="J73" s="5" t="n">
        <v>112.747</v>
      </c>
      <c r="K73" s="5" t="n">
        <v>23.901</v>
      </c>
      <c r="L73" s="5" t="n">
        <v>25.655</v>
      </c>
      <c r="M73" s="5" t="n">
        <v>3.330611514374321</v>
      </c>
    </row>
    <row r="74">
      <c r="A74" s="2" t="inlineStr">
        <is>
          <t>DroneShowEnding.mp4|DroneShowEnding_QP42_4329.mp4|HLG|LTM</t>
        </is>
      </c>
      <c r="B74" s="2" t="inlineStr">
        <is>
          <t>DroneShowEnding.mp4</t>
        </is>
      </c>
      <c r="C74" s="2" t="inlineStr">
        <is>
          <t>DroneShowEnding_QP42_4329.mp4</t>
        </is>
      </c>
      <c r="D74" s="2" t="inlineStr">
        <is>
          <t>HLG</t>
        </is>
      </c>
      <c r="E74" s="2" t="inlineStr">
        <is>
          <t>LTM</t>
        </is>
      </c>
      <c r="F74" s="5" t="n">
        <v>3.15573774216825</v>
      </c>
      <c r="G74" s="5" t="n">
        <v>36.348016</v>
      </c>
      <c r="H74" s="5" t="n">
        <v>7.207993031</v>
      </c>
      <c r="I74" s="5" t="n">
        <v>71.74420000000001</v>
      </c>
      <c r="J74" s="5" t="n">
        <v>108.089</v>
      </c>
      <c r="K74" s="5" t="n">
        <v>23.177</v>
      </c>
      <c r="L74" s="5" t="n">
        <v>24.839</v>
      </c>
      <c r="M74" s="5" t="n">
        <v>2.68248081517892</v>
      </c>
    </row>
    <row r="75">
      <c r="A75" s="2" t="inlineStr">
        <is>
          <t>DroneShowEnding.mp4|DroneShowEnding_QP47_4667.mp4|HLG|LTM</t>
        </is>
      </c>
      <c r="B75" s="2" t="inlineStr">
        <is>
          <t>DroneShowEnding.mp4</t>
        </is>
      </c>
      <c r="C75" s="2" t="inlineStr">
        <is>
          <t>DroneShowEnding_QP47_4667.mp4</t>
        </is>
      </c>
      <c r="D75" s="2" t="inlineStr">
        <is>
          <t>HLG</t>
        </is>
      </c>
      <c r="E75" s="2" t="inlineStr">
        <is>
          <t>LTM</t>
        </is>
      </c>
      <c r="F75" s="5" t="n">
        <v>1.77659762509376</v>
      </c>
      <c r="G75" s="5" t="n">
        <v>34.784293</v>
      </c>
      <c r="H75" s="5" t="n">
        <v>6.060864449</v>
      </c>
      <c r="I75" s="5" t="n">
        <v>59.273708</v>
      </c>
      <c r="J75" s="5" t="n">
        <v>102.989</v>
      </c>
      <c r="K75" s="5" t="n">
        <v>22.455</v>
      </c>
      <c r="L75" s="5" t="n">
        <v>23.846</v>
      </c>
      <c r="M75" s="5" t="n">
        <v>2.02258477137969</v>
      </c>
    </row>
    <row r="76">
      <c r="A76" s="2" t="inlineStr">
        <is>
          <t>DroneShowEnding.mp4|DroneShowEnding_VTM_QP37.mp4|HLG|VTM</t>
        </is>
      </c>
      <c r="B76" s="2" t="inlineStr">
        <is>
          <t>DroneShowEnding.mp4</t>
        </is>
      </c>
      <c r="C76" s="2" t="inlineStr">
        <is>
          <t>DroneShowEnding_VTM_QP37.mp4</t>
        </is>
      </c>
      <c r="D76" s="2" t="inlineStr">
        <is>
          <t>HLG</t>
        </is>
      </c>
      <c r="E76" s="2" t="inlineStr">
        <is>
          <t>VTM</t>
        </is>
      </c>
      <c r="F76" s="5" t="n">
        <v>4.4142928978762</v>
      </c>
      <c r="G76" s="5" t="n">
        <v>41.452813</v>
      </c>
      <c r="H76" s="5" t="n">
        <v>9.023470879</v>
      </c>
      <c r="I76" s="5" t="n">
        <v>90.80573</v>
      </c>
      <c r="J76" s="5" t="n">
        <v>124.169</v>
      </c>
      <c r="K76" s="5" t="n">
        <v>25.185</v>
      </c>
      <c r="L76" s="5" t="n">
        <v>27.673</v>
      </c>
      <c r="M76" s="5" t="n">
        <v>4.192367812788747</v>
      </c>
    </row>
    <row r="77">
      <c r="A77" s="2" t="inlineStr">
        <is>
          <t>DroneShowEnding.mp4|DroneShowEnding_VTM_QP42.mp4|HLG|VTM</t>
        </is>
      </c>
      <c r="B77" s="2" t="inlineStr">
        <is>
          <t>DroneShowEnding.mp4</t>
        </is>
      </c>
      <c r="C77" s="2" t="inlineStr">
        <is>
          <t>DroneShowEnding_VTM_QP42.mp4</t>
        </is>
      </c>
      <c r="D77" s="2" t="inlineStr">
        <is>
          <t>HLG</t>
        </is>
      </c>
      <c r="E77" s="2" t="inlineStr">
        <is>
          <t>VTM</t>
        </is>
      </c>
      <c r="F77" s="5" t="n">
        <v>4.05483419161868</v>
      </c>
      <c r="G77" s="5" t="n">
        <v>39.6207</v>
      </c>
      <c r="H77" s="5" t="n">
        <v>8.487054825</v>
      </c>
      <c r="I77" s="5" t="n">
        <v>84.875581</v>
      </c>
      <c r="J77" s="5" t="n">
        <v>118.434</v>
      </c>
      <c r="K77" s="5" t="n">
        <v>24.4</v>
      </c>
      <c r="L77" s="5" t="n">
        <v>26.683</v>
      </c>
      <c r="M77" s="5" t="n">
        <v>3.682033146498529</v>
      </c>
    </row>
    <row r="78">
      <c r="A78" s="2" t="inlineStr">
        <is>
          <t>DroneShowEnding.mp4|DroneShowEnding_VTM_QP47.mp4|HLG|VTM</t>
        </is>
      </c>
      <c r="B78" s="2" t="inlineStr">
        <is>
          <t>DroneShowEnding.mp4</t>
        </is>
      </c>
      <c r="C78" s="2" t="inlineStr">
        <is>
          <t>DroneShowEnding_VTM_QP47.mp4</t>
        </is>
      </c>
      <c r="D78" s="2" t="inlineStr">
        <is>
          <t>HLG</t>
        </is>
      </c>
      <c r="E78" s="2" t="inlineStr">
        <is>
          <t>VTM</t>
        </is>
      </c>
      <c r="F78" s="5" t="n">
        <v>2.94925667517241</v>
      </c>
      <c r="G78" s="5" t="n">
        <v>37.61268</v>
      </c>
      <c r="H78" s="5" t="n">
        <v>7.624698639</v>
      </c>
      <c r="I78" s="5" t="n">
        <v>75.61273</v>
      </c>
      <c r="J78" s="5" t="n">
        <v>112.007</v>
      </c>
      <c r="K78" s="5" t="n">
        <v>23.415</v>
      </c>
      <c r="L78" s="5" t="n">
        <v>25.527</v>
      </c>
      <c r="M78" s="5" t="n">
        <v>2.945046382261679</v>
      </c>
    </row>
    <row r="79">
      <c r="A79" s="2" t="inlineStr">
        <is>
          <t>Fountain2.mp4|Fountain2_AVS3_QP36.mp4|HLG|AVS</t>
        </is>
      </c>
      <c r="B79" s="2" t="inlineStr">
        <is>
          <t>Fountain2.mp4</t>
        </is>
      </c>
      <c r="C79" s="2" t="inlineStr">
        <is>
          <t>Fountain2_AVS3_QP36.mp4</t>
        </is>
      </c>
      <c r="D79" s="2" t="inlineStr">
        <is>
          <t>HLG</t>
        </is>
      </c>
      <c r="E79" s="2" t="inlineStr">
        <is>
          <t>AVS</t>
        </is>
      </c>
      <c r="F79" s="5" t="n">
        <v>4.43835097508886</v>
      </c>
      <c r="G79" s="5" t="n">
        <v>40.650513</v>
      </c>
      <c r="H79" s="5" t="n">
        <v>8.673137665</v>
      </c>
      <c r="I79" s="5" t="n">
        <v>90.356808</v>
      </c>
      <c r="J79" s="5" t="n">
        <v>120.121</v>
      </c>
      <c r="K79" s="5" t="n">
        <v>24.341</v>
      </c>
      <c r="L79" s="5" t="n">
        <v>25.434</v>
      </c>
      <c r="M79" s="5" t="n">
        <v>4.374539215625203</v>
      </c>
    </row>
    <row r="80">
      <c r="A80" s="2" t="inlineStr">
        <is>
          <t>Fountain2.mp4|Fountain2_AVS3_QP44.mp4|HLG|AVS</t>
        </is>
      </c>
      <c r="B80" s="2" t="inlineStr">
        <is>
          <t>Fountain2.mp4</t>
        </is>
      </c>
      <c r="C80" s="2" t="inlineStr">
        <is>
          <t>Fountain2_AVS3_QP44.mp4</t>
        </is>
      </c>
      <c r="D80" s="2" t="inlineStr">
        <is>
          <t>HLG</t>
        </is>
      </c>
      <c r="E80" s="2" t="inlineStr">
        <is>
          <t>AVS</t>
        </is>
      </c>
      <c r="F80" s="5" t="n">
        <v>3.75714264141976</v>
      </c>
      <c r="G80" s="5" t="n">
        <v>38.757789</v>
      </c>
      <c r="H80" s="5" t="n">
        <v>7.789851665</v>
      </c>
      <c r="I80" s="5" t="n">
        <v>81.45898</v>
      </c>
      <c r="J80" s="5" t="n">
        <v>114.002</v>
      </c>
      <c r="K80" s="5" t="n">
        <v>23.443</v>
      </c>
      <c r="L80" s="5" t="n">
        <v>24.228</v>
      </c>
      <c r="M80" s="5" t="n">
        <v>3.803042441679742</v>
      </c>
    </row>
    <row r="81">
      <c r="A81" s="2" t="inlineStr">
        <is>
          <t>Fountain2.mp4|Fountain2_AVS3_QP48.mp4|HLG|AVS</t>
        </is>
      </c>
      <c r="B81" s="2" t="inlineStr">
        <is>
          <t>Fountain2.mp4</t>
        </is>
      </c>
      <c r="C81" s="2" t="inlineStr">
        <is>
          <t>Fountain2_AVS3_QP48.mp4</t>
        </is>
      </c>
      <c r="D81" s="2" t="inlineStr">
        <is>
          <t>HLG</t>
        </is>
      </c>
      <c r="E81" s="2" t="inlineStr">
        <is>
          <t>AVS</t>
        </is>
      </c>
      <c r="F81" s="5" t="n">
        <v>3.16770645348316</v>
      </c>
      <c r="G81" s="5" t="n">
        <v>38.010334</v>
      </c>
      <c r="H81" s="5" t="n">
        <v>7.287242889</v>
      </c>
      <c r="I81" s="5" t="n">
        <v>77.169714</v>
      </c>
      <c r="J81" s="5" t="n">
        <v>111.512</v>
      </c>
      <c r="K81" s="5" t="n">
        <v>23.082</v>
      </c>
      <c r="L81" s="5" t="n">
        <v>23.727</v>
      </c>
      <c r="M81" s="5" t="n">
        <v>3.441109320949089</v>
      </c>
    </row>
    <row r="82">
      <c r="A82" s="2" t="inlineStr">
        <is>
          <t>Fountain2.mp4|Fountain2_AlphaVC-P_QP0.mp4|HLG|AlphaVC-P</t>
        </is>
      </c>
      <c r="B82" s="2" t="inlineStr">
        <is>
          <t>Fountain2.mp4</t>
        </is>
      </c>
      <c r="C82" s="2" t="inlineStr">
        <is>
          <t>Fountain2_AlphaVC-P_QP0.mp4</t>
        </is>
      </c>
      <c r="D82" s="2" t="inlineStr">
        <is>
          <t>HLG</t>
        </is>
      </c>
      <c r="E82" s="2" t="inlineStr">
        <is>
          <t>AlphaVC-P</t>
        </is>
      </c>
      <c r="F82" s="5" t="n">
        <v>4.41338191469793</v>
      </c>
      <c r="G82" s="5" t="n">
        <v>39.063239</v>
      </c>
      <c r="H82" s="5" t="n">
        <v>8.261378288</v>
      </c>
      <c r="I82" s="5" t="n">
        <v>82.96438000000001</v>
      </c>
      <c r="J82" s="5" t="n">
        <v>114.752</v>
      </c>
      <c r="K82" s="5" t="n">
        <v>23.56</v>
      </c>
      <c r="L82" s="5" t="n">
        <v>24.318</v>
      </c>
      <c r="M82" s="5" t="n">
        <v>4.230078923340484</v>
      </c>
    </row>
    <row r="83">
      <c r="A83" s="2" t="inlineStr">
        <is>
          <t>Fountain2.mp4|Fountain2_AlphaVC-P_QP2.mp4|HLG|AlphaVC-P</t>
        </is>
      </c>
      <c r="B83" s="2" t="inlineStr">
        <is>
          <t>Fountain2.mp4</t>
        </is>
      </c>
      <c r="C83" s="2" t="inlineStr">
        <is>
          <t>Fountain2_AlphaVC-P_QP2.mp4</t>
        </is>
      </c>
      <c r="D83" s="2" t="inlineStr">
        <is>
          <t>HLG</t>
        </is>
      </c>
      <c r="E83" s="2" t="inlineStr">
        <is>
          <t>AlphaVC-P</t>
        </is>
      </c>
      <c r="F83" s="5" t="n">
        <v>3.99981163157859</v>
      </c>
      <c r="G83" s="5" t="n">
        <v>37.387502</v>
      </c>
      <c r="H83" s="5" t="n">
        <v>7.408699989</v>
      </c>
      <c r="I83" s="5" t="n">
        <v>75.838573</v>
      </c>
      <c r="J83" s="5" t="n">
        <v>109.526</v>
      </c>
      <c r="K83" s="5" t="n">
        <v>22.857</v>
      </c>
      <c r="L83" s="5" t="n">
        <v>23.49</v>
      </c>
      <c r="M83" s="5" t="n">
        <v>3.794898590336877</v>
      </c>
    </row>
    <row r="84">
      <c r="A84" s="2" t="inlineStr">
        <is>
          <t>Fountain2.mp4|Fountain2_AlphaVC-P_QP3.mp4|HLG|AlphaVC-P</t>
        </is>
      </c>
      <c r="B84" s="2" t="inlineStr">
        <is>
          <t>Fountain2.mp4</t>
        </is>
      </c>
      <c r="C84" s="2" t="inlineStr">
        <is>
          <t>Fountain2_AlphaVC-P_QP3.mp4</t>
        </is>
      </c>
      <c r="D84" s="2" t="inlineStr">
        <is>
          <t>HLG</t>
        </is>
      </c>
      <c r="E84" s="2" t="inlineStr">
        <is>
          <t>AlphaVC-P</t>
        </is>
      </c>
      <c r="F84" s="5" t="n">
        <v>3.37141815696406</v>
      </c>
      <c r="G84" s="5" t="n">
        <v>35.706208</v>
      </c>
      <c r="H84" s="5" t="n">
        <v>6.851491928</v>
      </c>
      <c r="I84" s="5" t="n">
        <v>69.748102</v>
      </c>
      <c r="J84" s="5" t="n">
        <v>104.405</v>
      </c>
      <c r="K84" s="5" t="n">
        <v>22.283</v>
      </c>
      <c r="L84" s="5" t="n">
        <v>22.935</v>
      </c>
      <c r="M84" s="5" t="n">
        <v>3.419020084313052</v>
      </c>
    </row>
    <row r="85">
      <c r="A85" s="2" t="inlineStr">
        <is>
          <t>Fountain2.mp4|Fountain2_AlphaVC-P_QP4.mp4|HLG|AlphaVC-P</t>
        </is>
      </c>
      <c r="B85" s="2" t="inlineStr">
        <is>
          <t>Fountain2.mp4</t>
        </is>
      </c>
      <c r="C85" s="2" t="inlineStr">
        <is>
          <t>Fountain2_AlphaVC-P_QP4.mp4</t>
        </is>
      </c>
      <c r="D85" s="2" t="inlineStr">
        <is>
          <t>HLG</t>
        </is>
      </c>
      <c r="E85" s="2" t="inlineStr">
        <is>
          <t>AlphaVC-P</t>
        </is>
      </c>
      <c r="F85" s="5" t="n">
        <v>2.65472452410521</v>
      </c>
      <c r="G85" s="5" t="n">
        <v>34.385153</v>
      </c>
      <c r="H85" s="5" t="n">
        <v>6.180604935</v>
      </c>
      <c r="I85" s="5" t="n">
        <v>64.22870899999999</v>
      </c>
      <c r="J85" s="5" t="n">
        <v>100.144</v>
      </c>
      <c r="K85" s="5" t="n">
        <v>21.76</v>
      </c>
      <c r="L85" s="5" t="n">
        <v>22.382</v>
      </c>
      <c r="M85" s="5" t="n">
        <v>2.973630936555728</v>
      </c>
    </row>
    <row r="86">
      <c r="A86" s="2" t="inlineStr">
        <is>
          <t>Fountain2.mp4|Fountain2_AlphaVC-P_QP5.mp4|HLG|AlphaVC-P</t>
        </is>
      </c>
      <c r="B86" s="2" t="inlineStr">
        <is>
          <t>Fountain2.mp4</t>
        </is>
      </c>
      <c r="C86" s="2" t="inlineStr">
        <is>
          <t>Fountain2_AlphaVC-P_QP5.mp4</t>
        </is>
      </c>
      <c r="D86" s="2" t="inlineStr">
        <is>
          <t>HLG</t>
        </is>
      </c>
      <c r="E86" s="2" t="inlineStr">
        <is>
          <t>AlphaVC-P</t>
        </is>
      </c>
      <c r="F86" s="5" t="n">
        <v>1.4961670329585</v>
      </c>
      <c r="G86" s="5" t="n">
        <v>33.311197</v>
      </c>
      <c r="H86" s="5" t="n">
        <v>5.31763792</v>
      </c>
      <c r="I86" s="5" t="n">
        <v>57.982217</v>
      </c>
      <c r="J86" s="5" t="n">
        <v>96.622</v>
      </c>
      <c r="K86" s="5" t="n">
        <v>21.23</v>
      </c>
      <c r="L86" s="5" t="n">
        <v>21.769</v>
      </c>
      <c r="M86" s="5" t="n">
        <v>2.526158115235548</v>
      </c>
    </row>
    <row r="87">
      <c r="A87" s="2" t="inlineStr">
        <is>
          <t>Fountain2.mp4|Fountain2_DCVC-RT_QP0.mp4|HLG|DCVC-RT</t>
        </is>
      </c>
      <c r="B87" s="2" t="inlineStr">
        <is>
          <t>Fountain2.mp4</t>
        </is>
      </c>
      <c r="C87" s="2" t="inlineStr">
        <is>
          <t>Fountain2_DCVC-RT_QP0.mp4</t>
        </is>
      </c>
      <c r="D87" s="2" t="inlineStr">
        <is>
          <t>HLG</t>
        </is>
      </c>
      <c r="E87" s="2" t="inlineStr">
        <is>
          <t>DCVC-RT</t>
        </is>
      </c>
      <c r="F87" s="5" t="n">
        <v>1.48728624778445</v>
      </c>
      <c r="G87" s="5" t="n">
        <v>35.847063</v>
      </c>
      <c r="H87" s="5" t="n">
        <v>5.320960045</v>
      </c>
      <c r="I87" s="5" t="n">
        <v>64.184585</v>
      </c>
      <c r="J87" s="5" t="n">
        <v>104.101</v>
      </c>
      <c r="K87" s="5" t="n">
        <v>21.91</v>
      </c>
      <c r="L87" s="5" t="n">
        <v>22.122</v>
      </c>
      <c r="M87" s="5" t="n">
        <v>2.339980686821691</v>
      </c>
    </row>
    <row r="88">
      <c r="A88" s="2" t="inlineStr">
        <is>
          <t>Fountain2.mp4|Fountain2_DCVC-RT_QP21.mp4|HLG|DCVC-RT</t>
        </is>
      </c>
      <c r="B88" s="2" t="inlineStr">
        <is>
          <t>Fountain2.mp4</t>
        </is>
      </c>
      <c r="C88" s="2" t="inlineStr">
        <is>
          <t>Fountain2_DCVC-RT_QP21.mp4</t>
        </is>
      </c>
      <c r="D88" s="2" t="inlineStr">
        <is>
          <t>HLG</t>
        </is>
      </c>
      <c r="E88" s="2" t="inlineStr">
        <is>
          <t>DCVC-RT</t>
        </is>
      </c>
      <c r="F88" s="5" t="n">
        <v>2.68925867452925</v>
      </c>
      <c r="G88" s="5" t="n">
        <v>38.562583</v>
      </c>
      <c r="H88" s="5" t="n">
        <v>7.092010021</v>
      </c>
      <c r="I88" s="5" t="n">
        <v>76.75500099999999</v>
      </c>
      <c r="J88" s="5" t="n">
        <v>113.011</v>
      </c>
      <c r="K88" s="5" t="n">
        <v>23.361</v>
      </c>
      <c r="L88" s="5" t="n">
        <v>23.642</v>
      </c>
      <c r="M88" s="5" t="n">
        <v>3.333250137203029</v>
      </c>
    </row>
    <row r="89">
      <c r="A89" s="2" t="inlineStr">
        <is>
          <t>Fountain2.mp4|Fountain2_DCVC-RT_QP30.mp4|HLG|DCVC-RT</t>
        </is>
      </c>
      <c r="B89" s="2" t="inlineStr">
        <is>
          <t>Fountain2.mp4</t>
        </is>
      </c>
      <c r="C89" s="2" t="inlineStr">
        <is>
          <t>Fountain2_DCVC-RT_QP30.mp4</t>
        </is>
      </c>
      <c r="D89" s="2" t="inlineStr">
        <is>
          <t>HLG</t>
        </is>
      </c>
      <c r="E89" s="2" t="inlineStr">
        <is>
          <t>DCVC-RT</t>
        </is>
      </c>
      <c r="F89" s="5" t="n">
        <v>3.69878945663023</v>
      </c>
      <c r="G89" s="5" t="n">
        <v>39.738397</v>
      </c>
      <c r="H89" s="5" t="n">
        <v>7.748726845</v>
      </c>
      <c r="I89" s="5" t="n">
        <v>82.112161</v>
      </c>
      <c r="J89" s="5" t="n">
        <v>116.945</v>
      </c>
      <c r="K89" s="5" t="n">
        <v>23.926</v>
      </c>
      <c r="L89" s="5" t="n">
        <v>24.261</v>
      </c>
      <c r="M89" s="5" t="n">
        <v>3.783411332258215</v>
      </c>
    </row>
    <row r="90">
      <c r="A90" s="2" t="inlineStr">
        <is>
          <t>Fountain2.mp4|Fountain2_DCVC-RT_QP42.mp4|HLG|DCVC-RT</t>
        </is>
      </c>
      <c r="B90" s="2" t="inlineStr">
        <is>
          <t>Fountain2.mp4</t>
        </is>
      </c>
      <c r="C90" s="2" t="inlineStr">
        <is>
          <t>Fountain2_DCVC-RT_QP42.mp4</t>
        </is>
      </c>
      <c r="D90" s="2" t="inlineStr">
        <is>
          <t>HLG</t>
        </is>
      </c>
      <c r="E90" s="2" t="inlineStr">
        <is>
          <t>DCVC-RT</t>
        </is>
      </c>
      <c r="F90" s="5" t="n">
        <v>4.35622542658927</v>
      </c>
      <c r="G90" s="5" t="n">
        <v>41.052484</v>
      </c>
      <c r="H90" s="5" t="n">
        <v>8.427776336999999</v>
      </c>
      <c r="I90" s="5" t="n">
        <v>88.344308</v>
      </c>
      <c r="J90" s="5" t="n">
        <v>121.285</v>
      </c>
      <c r="K90" s="5" t="n">
        <v>24.538</v>
      </c>
      <c r="L90" s="5" t="n">
        <v>25.049</v>
      </c>
      <c r="M90" s="5" t="n">
        <v>4.235051169638961</v>
      </c>
    </row>
    <row r="91">
      <c r="A91" s="2" t="inlineStr">
        <is>
          <t>Fountain2.mp4|Fountain2_EEM_QP0.mp4|HLG|EEM</t>
        </is>
      </c>
      <c r="B91" s="2" t="inlineStr">
        <is>
          <t>Fountain2.mp4</t>
        </is>
      </c>
      <c r="C91" s="2" t="inlineStr">
        <is>
          <t>Fountain2_EEM_QP0.mp4</t>
        </is>
      </c>
      <c r="D91" s="2" t="inlineStr">
        <is>
          <t>HLG</t>
        </is>
      </c>
      <c r="E91" s="2" t="inlineStr">
        <is>
          <t>EEM</t>
        </is>
      </c>
      <c r="F91" s="5" t="n">
        <v>4.25410160389292</v>
      </c>
      <c r="G91" s="5" t="n">
        <v>41.561016</v>
      </c>
      <c r="H91" s="5" t="n">
        <v>8.787393570000001</v>
      </c>
      <c r="I91" s="5" t="n">
        <v>93.37251999999999</v>
      </c>
      <c r="J91" s="5" t="n">
        <v>122.528</v>
      </c>
      <c r="K91" s="5" t="n">
        <v>24.577</v>
      </c>
      <c r="L91" s="5" t="n">
        <v>25.739</v>
      </c>
      <c r="M91" s="5" t="n">
        <v>4.47703615009438</v>
      </c>
    </row>
    <row r="92">
      <c r="A92" s="2" t="inlineStr">
        <is>
          <t>Fountain2.mp4|Fountain2_EEM_QP1.mp4|HLG|EEM</t>
        </is>
      </c>
      <c r="B92" s="2" t="inlineStr">
        <is>
          <t>Fountain2.mp4</t>
        </is>
      </c>
      <c r="C92" s="2" t="inlineStr">
        <is>
          <t>Fountain2_EEM_QP1.mp4</t>
        </is>
      </c>
      <c r="D92" s="2" t="inlineStr">
        <is>
          <t>HLG</t>
        </is>
      </c>
      <c r="E92" s="2" t="inlineStr">
        <is>
          <t>EEM</t>
        </is>
      </c>
      <c r="F92" s="5" t="n">
        <v>2.92835389166098</v>
      </c>
      <c r="G92" s="5" t="n">
        <v>39.721817</v>
      </c>
      <c r="H92" s="5" t="n">
        <v>8.045480727999999</v>
      </c>
      <c r="I92" s="5" t="n">
        <v>86.30606299999999</v>
      </c>
      <c r="J92" s="5" t="n">
        <v>116.695</v>
      </c>
      <c r="K92" s="5" t="n">
        <v>23.763</v>
      </c>
      <c r="L92" s="5" t="n">
        <v>24.659</v>
      </c>
      <c r="M92" s="5" t="n">
        <v>4.05689673130311</v>
      </c>
    </row>
    <row r="93">
      <c r="A93" s="2" t="inlineStr">
        <is>
          <t>Fountain2.mp4|Fountain2_EEM_QP2.mp4|HLG|EEM</t>
        </is>
      </c>
      <c r="B93" s="2" t="inlineStr">
        <is>
          <t>Fountain2.mp4</t>
        </is>
      </c>
      <c r="C93" s="2" t="inlineStr">
        <is>
          <t>Fountain2_EEM_QP2.mp4</t>
        </is>
      </c>
      <c r="D93" s="2" t="inlineStr">
        <is>
          <t>HLG</t>
        </is>
      </c>
      <c r="E93" s="2" t="inlineStr">
        <is>
          <t>EEM</t>
        </is>
      </c>
      <c r="F93" s="5" t="n">
        <v>2.80762839167725</v>
      </c>
      <c r="G93" s="5" t="n">
        <v>38.814588</v>
      </c>
      <c r="H93" s="5" t="n">
        <v>7.59725666</v>
      </c>
      <c r="I93" s="5" t="n">
        <v>82.134011</v>
      </c>
      <c r="J93" s="5" t="n">
        <v>113.781</v>
      </c>
      <c r="K93" s="5" t="n">
        <v>23.333</v>
      </c>
      <c r="L93" s="5" t="n">
        <v>24.163</v>
      </c>
      <c r="M93" s="5" t="n">
        <v>3.750197990350605</v>
      </c>
    </row>
    <row r="94">
      <c r="A94" s="2" t="inlineStr">
        <is>
          <t>Fountain2.mp4|Fountain2_EEM_QP3.mp4|HLG|EEM</t>
        </is>
      </c>
      <c r="B94" s="2" t="inlineStr">
        <is>
          <t>Fountain2.mp4</t>
        </is>
      </c>
      <c r="C94" s="2" t="inlineStr">
        <is>
          <t>Fountain2_EEM_QP3.mp4</t>
        </is>
      </c>
      <c r="D94" s="2" t="inlineStr">
        <is>
          <t>HLG</t>
        </is>
      </c>
      <c r="E94" s="2" t="inlineStr">
        <is>
          <t>EEM</t>
        </is>
      </c>
      <c r="F94" s="5" t="n">
        <v>1.77564068656239</v>
      </c>
      <c r="G94" s="5" t="n">
        <v>36.915761</v>
      </c>
      <c r="H94" s="5" t="n">
        <v>6.534666538</v>
      </c>
      <c r="I94" s="5" t="n">
        <v>72.71804299999999</v>
      </c>
      <c r="J94" s="5" t="n">
        <v>107.705</v>
      </c>
      <c r="K94" s="5" t="n">
        <v>22.256</v>
      </c>
      <c r="L94" s="5" t="n">
        <v>23.139</v>
      </c>
      <c r="M94" s="5" t="n">
        <v>2.963282805272825</v>
      </c>
    </row>
    <row r="95">
      <c r="A95" s="2" t="inlineStr">
        <is>
          <t>Fountain2.mp4|Fountain2_LTM_QP21_2910.mp4|HLG|LTM</t>
        </is>
      </c>
      <c r="B95" s="2" t="inlineStr">
        <is>
          <t>Fountain2.mp4</t>
        </is>
      </c>
      <c r="C95" s="2" t="inlineStr">
        <is>
          <t>Fountain2_LTM_QP21_2910.mp4</t>
        </is>
      </c>
      <c r="D95" s="2" t="inlineStr">
        <is>
          <t>HLG</t>
        </is>
      </c>
      <c r="E95" s="2" t="inlineStr">
        <is>
          <t>LTM</t>
        </is>
      </c>
      <c r="F95" s="5" t="n">
        <v>4.36633462538849</v>
      </c>
      <c r="G95" s="5" t="n">
        <v>40.401142</v>
      </c>
      <c r="H95" s="5" t="n">
        <v>8.95098114</v>
      </c>
      <c r="I95" s="5" t="n">
        <v>94.863415</v>
      </c>
      <c r="J95" s="5" t="n">
        <v>118.677</v>
      </c>
      <c r="K95" s="5" t="n">
        <v>24.446</v>
      </c>
      <c r="L95" s="5" t="n">
        <v>25.09</v>
      </c>
      <c r="M95" s="5" t="n">
        <v>4.42786280215628</v>
      </c>
    </row>
    <row r="96">
      <c r="A96" s="2" t="inlineStr">
        <is>
          <t>Fountain2.mp4|Fountain2_LTM_QP38_4059.mp4|HLG|LTM</t>
        </is>
      </c>
      <c r="B96" s="2" t="inlineStr">
        <is>
          <t>Fountain2.mp4</t>
        </is>
      </c>
      <c r="C96" s="2" t="inlineStr">
        <is>
          <t>Fountain2_LTM_QP38_4059.mp4</t>
        </is>
      </c>
      <c r="D96" s="2" t="inlineStr">
        <is>
          <t>HLG</t>
        </is>
      </c>
      <c r="E96" s="2" t="inlineStr">
        <is>
          <t>LTM</t>
        </is>
      </c>
      <c r="F96" s="5" t="n">
        <v>2.63310426022891</v>
      </c>
      <c r="G96" s="5" t="n">
        <v>36.43989</v>
      </c>
      <c r="H96" s="5" t="n">
        <v>6.493473053</v>
      </c>
      <c r="I96" s="5" t="n">
        <v>70.713488</v>
      </c>
      <c r="J96" s="5" t="n">
        <v>106.033</v>
      </c>
      <c r="K96" s="5" t="n">
        <v>22.376</v>
      </c>
      <c r="L96" s="5" t="n">
        <v>22.765</v>
      </c>
      <c r="M96" s="5" t="n">
        <v>2.774707645147032</v>
      </c>
    </row>
    <row r="97">
      <c r="A97" s="2" t="inlineStr">
        <is>
          <t>Fountain2.mp4|Fountain2_NNVC_QP32.mp4|HLG|NNVC</t>
        </is>
      </c>
      <c r="B97" s="2" t="inlineStr">
        <is>
          <t>Fountain2.mp4</t>
        </is>
      </c>
      <c r="C97" s="2" t="inlineStr">
        <is>
          <t>Fountain2_NNVC_QP32.mp4</t>
        </is>
      </c>
      <c r="D97" s="2" t="inlineStr">
        <is>
          <t>HLG</t>
        </is>
      </c>
      <c r="E97" s="2" t="inlineStr">
        <is>
          <t>NNVC</t>
        </is>
      </c>
      <c r="F97" s="5" t="n">
        <v>4.2253150836542</v>
      </c>
      <c r="G97" s="5" t="n">
        <v>40.470508</v>
      </c>
      <c r="H97" s="5" t="n">
        <v>8.614900588999999</v>
      </c>
      <c r="I97" s="5" t="n">
        <v>89.588853</v>
      </c>
      <c r="J97" s="5" t="n">
        <v>119.733</v>
      </c>
      <c r="K97" s="5" t="n">
        <v>24.264</v>
      </c>
      <c r="L97" s="5" t="n">
        <v>25.355</v>
      </c>
      <c r="M97" s="5" t="n">
        <v>4.316477274145525</v>
      </c>
    </row>
    <row r="98">
      <c r="A98" s="2" t="inlineStr">
        <is>
          <t>Fountain2.mp4|Fountain2_NNVC_QP42.mp4|HLG|NNVC</t>
        </is>
      </c>
      <c r="B98" s="2" t="inlineStr">
        <is>
          <t>Fountain2.mp4</t>
        </is>
      </c>
      <c r="C98" s="2" t="inlineStr">
        <is>
          <t>Fountain2_NNVC_QP42.mp4</t>
        </is>
      </c>
      <c r="D98" s="2" t="inlineStr">
        <is>
          <t>HLG</t>
        </is>
      </c>
      <c r="E98" s="2" t="inlineStr">
        <is>
          <t>NNVC</t>
        </is>
      </c>
      <c r="F98" s="5" t="n">
        <v>2.73399985631658</v>
      </c>
      <c r="G98" s="5" t="n">
        <v>37.668356</v>
      </c>
      <c r="H98" s="5" t="n">
        <v>7.117192268</v>
      </c>
      <c r="I98" s="5" t="n">
        <v>75.892865</v>
      </c>
      <c r="J98" s="5" t="n">
        <v>110.37</v>
      </c>
      <c r="K98" s="5" t="n">
        <v>22.95</v>
      </c>
      <c r="L98" s="5" t="n">
        <v>23.637</v>
      </c>
      <c r="M98" s="5" t="n">
        <v>3.2973624380805</v>
      </c>
    </row>
    <row r="99">
      <c r="A99" s="2" t="inlineStr">
        <is>
          <t>Fountain2.mp4|Fountain2_VTM_QP35.mp4|HLG|VTM</t>
        </is>
      </c>
      <c r="B99" s="2" t="inlineStr">
        <is>
          <t>Fountain2.mp4</t>
        </is>
      </c>
      <c r="C99" s="2" t="inlineStr">
        <is>
          <t>Fountain2_VTM_QP35.mp4</t>
        </is>
      </c>
      <c r="D99" s="2" t="inlineStr">
        <is>
          <t>HLG</t>
        </is>
      </c>
      <c r="E99" s="2" t="inlineStr">
        <is>
          <t>VTM</t>
        </is>
      </c>
      <c r="F99" s="5" t="n">
        <v>3.74179167348415</v>
      </c>
      <c r="G99" s="5" t="n">
        <v>39.393933</v>
      </c>
      <c r="H99" s="5" t="n">
        <v>8.075760840999999</v>
      </c>
      <c r="I99" s="5" t="n">
        <v>84.35278</v>
      </c>
      <c r="J99" s="5" t="n">
        <v>115.93</v>
      </c>
      <c r="K99" s="5" t="n">
        <v>23.742</v>
      </c>
      <c r="L99" s="5" t="n">
        <v>24.586</v>
      </c>
      <c r="M99" s="5" t="n">
        <v>4.005983966417446</v>
      </c>
    </row>
    <row r="100">
      <c r="A100" s="2" t="inlineStr">
        <is>
          <t>Fountain2.mp4|Fountain2_VTM_QP37.mp4|HLG|VTM</t>
        </is>
      </c>
      <c r="B100" s="2" t="inlineStr">
        <is>
          <t>Fountain2.mp4</t>
        </is>
      </c>
      <c r="C100" s="2" t="inlineStr">
        <is>
          <t>Fountain2_VTM_QP37.mp4</t>
        </is>
      </c>
      <c r="D100" s="2" t="inlineStr">
        <is>
          <t>HLG</t>
        </is>
      </c>
      <c r="E100" s="2" t="inlineStr">
        <is>
          <t>VTM</t>
        </is>
      </c>
      <c r="F100" s="5" t="n">
        <v>3.53760557437404</v>
      </c>
      <c r="G100" s="5" t="n">
        <v>38.854567</v>
      </c>
      <c r="H100" s="5" t="n">
        <v>7.76452446</v>
      </c>
      <c r="I100" s="5" t="n">
        <v>81.51926400000001</v>
      </c>
      <c r="J100" s="5" t="n">
        <v>114.058</v>
      </c>
      <c r="K100" s="5" t="n">
        <v>23.5</v>
      </c>
      <c r="L100" s="5" t="n">
        <v>24.238</v>
      </c>
      <c r="M100" s="5" t="n">
        <v>3.789191516910617</v>
      </c>
    </row>
    <row r="101">
      <c r="A101" s="2" t="inlineStr">
        <is>
          <t>Fountain2.mp4|Fountain2_VTM_QP42.mp4|HLG|VTM</t>
        </is>
      </c>
      <c r="B101" s="2" t="inlineStr">
        <is>
          <t>Fountain2.mp4</t>
        </is>
      </c>
      <c r="C101" s="2" t="inlineStr">
        <is>
          <t>Fountain2_VTM_QP42.mp4</t>
        </is>
      </c>
      <c r="D101" s="2" t="inlineStr">
        <is>
          <t>HLG</t>
        </is>
      </c>
      <c r="E101" s="2" t="inlineStr">
        <is>
          <t>VTM</t>
        </is>
      </c>
      <c r="F101" s="5" t="n">
        <v>2.96173416635573</v>
      </c>
      <c r="G101" s="5" t="n">
        <v>37.574577</v>
      </c>
      <c r="H101" s="5" t="n">
        <v>6.932803154</v>
      </c>
      <c r="I101" s="5" t="n">
        <v>74.70095999999999</v>
      </c>
      <c r="J101" s="5" t="n">
        <v>109.796</v>
      </c>
      <c r="K101" s="5" t="n">
        <v>22.871</v>
      </c>
      <c r="L101" s="5" t="n">
        <v>23.442</v>
      </c>
      <c r="M101" s="5" t="n">
        <v>3.20051655422731</v>
      </c>
    </row>
    <row r="102">
      <c r="A102" s="2" t="inlineStr">
        <is>
          <t>Fountain2.mp4|Fountain2_VTM_QP47.mp4|HLG|VTM</t>
        </is>
      </c>
      <c r="B102" s="2" t="inlineStr">
        <is>
          <t>Fountain2.mp4</t>
        </is>
      </c>
      <c r="C102" s="2" t="inlineStr">
        <is>
          <t>Fountain2_VTM_QP47.mp4</t>
        </is>
      </c>
      <c r="D102" s="2" t="inlineStr">
        <is>
          <t>HLG</t>
        </is>
      </c>
      <c r="E102" s="2" t="inlineStr">
        <is>
          <t>VTM</t>
        </is>
      </c>
      <c r="F102" s="5" t="n">
        <v>1.90596036667397</v>
      </c>
      <c r="G102" s="5" t="n">
        <v>36.281177</v>
      </c>
      <c r="H102" s="5" t="n">
        <v>5.968911648</v>
      </c>
      <c r="I102" s="5" t="n">
        <v>67.539773</v>
      </c>
      <c r="J102" s="5" t="n">
        <v>105.519</v>
      </c>
      <c r="K102" s="5" t="n">
        <v>22.183</v>
      </c>
      <c r="L102" s="5" t="n">
        <v>22.619</v>
      </c>
      <c r="M102" s="5" t="n">
        <v>2.584000168158579</v>
      </c>
    </row>
    <row r="103">
      <c r="A103" s="2" t="inlineStr">
        <is>
          <t>Smithy1_1000nit.mp4|Smithy1_1000nit_AlphaVC-P_r1.mp4|PQ|AlphaVC-P</t>
        </is>
      </c>
      <c r="B103" s="2" t="inlineStr">
        <is>
          <t>Smithy1_1000nit.mp4</t>
        </is>
      </c>
      <c r="C103" s="2" t="inlineStr">
        <is>
          <t>Smithy1_1000nit_AlphaVC-P_r1.mp4</t>
        </is>
      </c>
      <c r="D103" s="2" t="inlineStr">
        <is>
          <t>PQ</t>
        </is>
      </c>
      <c r="E103" s="2" t="inlineStr">
        <is>
          <t>AlphaVC-P</t>
        </is>
      </c>
      <c r="F103" s="5" t="n">
        <v>4.46436827764282</v>
      </c>
      <c r="G103" s="5" t="n">
        <v>41.63329</v>
      </c>
      <c r="H103" s="5" t="n">
        <v>8.163751602</v>
      </c>
      <c r="I103" s="5" t="n">
        <v>80.791337</v>
      </c>
      <c r="J103" s="5" t="n">
        <v>124.735</v>
      </c>
      <c r="K103" s="5" t="n">
        <v>32.823</v>
      </c>
      <c r="L103" s="5" t="n">
        <v>33.596</v>
      </c>
      <c r="M103" s="5" t="n">
        <v>4.318937404872811</v>
      </c>
    </row>
    <row r="104">
      <c r="A104" s="2" t="inlineStr">
        <is>
          <t>Smithy1_1000nit.mp4|Smithy1_1000nit_AlphaVC-P_r2.mp4|PQ|AlphaVC-P</t>
        </is>
      </c>
      <c r="B104" s="2" t="inlineStr">
        <is>
          <t>Smithy1_1000nit.mp4</t>
        </is>
      </c>
      <c r="C104" s="2" t="inlineStr">
        <is>
          <t>Smithy1_1000nit_AlphaVC-P_r2.mp4</t>
        </is>
      </c>
      <c r="D104" s="2" t="inlineStr">
        <is>
          <t>PQ</t>
        </is>
      </c>
      <c r="E104" s="2" t="inlineStr">
        <is>
          <t>AlphaVC-P</t>
        </is>
      </c>
      <c r="F104" s="5" t="n">
        <v>4.05290180749772</v>
      </c>
      <c r="G104" s="5" t="n">
        <v>40.627843</v>
      </c>
      <c r="H104" s="5" t="n">
        <v>7.52087307</v>
      </c>
      <c r="I104" s="5" t="n">
        <v>74.69623900000001</v>
      </c>
      <c r="J104" s="5" t="n">
        <v>121.612</v>
      </c>
      <c r="K104" s="5" t="n">
        <v>32.336</v>
      </c>
      <c r="L104" s="5" t="n">
        <v>32.868</v>
      </c>
      <c r="M104" s="5" t="n">
        <v>4.055596834861708</v>
      </c>
    </row>
    <row r="105">
      <c r="A105" s="2" t="inlineStr">
        <is>
          <t>Smithy1_1000nit.mp4|Smithy1_1000nit_EEM_r1.mp4|PQ|EEM</t>
        </is>
      </c>
      <c r="B105" s="2" t="inlineStr">
        <is>
          <t>Smithy1_1000nit.mp4</t>
        </is>
      </c>
      <c r="C105" s="2" t="inlineStr">
        <is>
          <t>Smithy1_1000nit_EEM_r1.mp4</t>
        </is>
      </c>
      <c r="D105" s="2" t="inlineStr">
        <is>
          <t>PQ</t>
        </is>
      </c>
      <c r="E105" s="2" t="inlineStr">
        <is>
          <t>EEM</t>
        </is>
      </c>
      <c r="F105" s="5" t="n">
        <v>4.77177597042527</v>
      </c>
      <c r="G105" s="5" t="n">
        <v>43.557838</v>
      </c>
      <c r="H105" s="5" t="n">
        <v>8.768549919</v>
      </c>
      <c r="I105" s="5" t="n">
        <v>92.700295</v>
      </c>
      <c r="J105" s="5" t="n">
        <v>131.518</v>
      </c>
      <c r="K105" s="5" t="n">
        <v>33.439</v>
      </c>
      <c r="L105" s="5" t="n">
        <v>35.171</v>
      </c>
      <c r="M105" s="5" t="n">
        <v>4.485847337873842</v>
      </c>
    </row>
    <row r="106">
      <c r="A106" s="2" t="inlineStr">
        <is>
          <t>Smithy1_1000nit.mp4|Smithy1_1000nit_NNVC_r2.mp4|PQ|NNVC</t>
        </is>
      </c>
      <c r="B106" s="2" t="inlineStr">
        <is>
          <t>Smithy1_1000nit.mp4</t>
        </is>
      </c>
      <c r="C106" s="2" t="inlineStr">
        <is>
          <t>Smithy1_1000nit_NNVC_r2.mp4</t>
        </is>
      </c>
      <c r="D106" s="2" t="inlineStr">
        <is>
          <t>PQ</t>
        </is>
      </c>
      <c r="E106" s="2" t="inlineStr">
        <is>
          <t>NNVC</t>
        </is>
      </c>
      <c r="F106" s="5" t="n">
        <v>4.86784191695039</v>
      </c>
      <c r="G106" s="5" t="n">
        <v>45.301973</v>
      </c>
      <c r="H106" s="5" t="n">
        <v>9.297836304</v>
      </c>
      <c r="I106" s="5" t="n">
        <v>94.368385</v>
      </c>
      <c r="J106" s="5" t="n">
        <v>136.417</v>
      </c>
      <c r="K106" s="5" t="n">
        <v>34.448</v>
      </c>
      <c r="L106" s="5" t="n">
        <v>36.37</v>
      </c>
      <c r="M106" s="5" t="n">
        <v>4.6230303117981</v>
      </c>
    </row>
    <row r="107">
      <c r="A107" s="2" t="inlineStr">
        <is>
          <t>Smithy1_1000nit.mp4|Smithy1_1000nit_VTM_r1.mp4|PQ|VTM</t>
        </is>
      </c>
      <c r="B107" s="2" t="inlineStr">
        <is>
          <t>Smithy1_1000nit.mp4</t>
        </is>
      </c>
      <c r="C107" s="2" t="inlineStr">
        <is>
          <t>Smithy1_1000nit_VTM_r1.mp4</t>
        </is>
      </c>
      <c r="D107" s="2" t="inlineStr">
        <is>
          <t>PQ</t>
        </is>
      </c>
      <c r="E107" s="2" t="inlineStr">
        <is>
          <t>VTM</t>
        </is>
      </c>
      <c r="F107" s="5" t="n">
        <v>4.57397869019796</v>
      </c>
      <c r="G107" s="5" t="n">
        <v>43.635122</v>
      </c>
      <c r="H107" s="5" t="n">
        <v>8.131238937000001</v>
      </c>
      <c r="I107" s="5" t="n">
        <v>87.79395700000001</v>
      </c>
      <c r="J107" s="5" t="n">
        <v>132.182</v>
      </c>
      <c r="K107" s="5" t="n">
        <v>33.501</v>
      </c>
      <c r="L107" s="5" t="n">
        <v>34.338</v>
      </c>
      <c r="M107" s="5" t="n">
        <v>4.258704633481223</v>
      </c>
    </row>
    <row r="108">
      <c r="A108" s="2" t="inlineStr">
        <is>
          <t>Sparks2_1000nit.mp4|Sparks2_1000nit_AVS3_r2.mp4|PQ|AVS</t>
        </is>
      </c>
      <c r="B108" s="2" t="inlineStr">
        <is>
          <t>Sparks2_1000nit.mp4</t>
        </is>
      </c>
      <c r="C108" s="2" t="inlineStr">
        <is>
          <t>Sparks2_1000nit_AVS3_r2.mp4</t>
        </is>
      </c>
      <c r="D108" s="2" t="inlineStr">
        <is>
          <t>PQ</t>
        </is>
      </c>
      <c r="E108" s="2" t="inlineStr">
        <is>
          <t>AVS</t>
        </is>
      </c>
      <c r="F108" s="5" t="n">
        <v>4.32695274696592</v>
      </c>
      <c r="G108" s="5" t="n">
        <v>44.264591</v>
      </c>
      <c r="H108" s="5" t="n">
        <v>9.138961792</v>
      </c>
      <c r="I108" s="5" t="n">
        <v>88.433521</v>
      </c>
      <c r="J108" s="5" t="n">
        <v>140.092</v>
      </c>
      <c r="K108" s="5" t="n">
        <v>34.417</v>
      </c>
      <c r="L108" s="5" t="n">
        <v>38.536</v>
      </c>
      <c r="M108" s="5" t="n">
        <v>4.228643893619433</v>
      </c>
    </row>
    <row r="109">
      <c r="A109" s="2" t="inlineStr">
        <is>
          <t>Sparks2_1000nit.mp4|Sparks2_1000nit_AVS3_r3.mp4|PQ|AVS</t>
        </is>
      </c>
      <c r="B109" s="2" t="inlineStr">
        <is>
          <t>Sparks2_1000nit.mp4</t>
        </is>
      </c>
      <c r="C109" s="2" t="inlineStr">
        <is>
          <t>Sparks2_1000nit_AVS3_r3.mp4</t>
        </is>
      </c>
      <c r="D109" s="2" t="inlineStr">
        <is>
          <t>PQ</t>
        </is>
      </c>
      <c r="E109" s="2" t="inlineStr">
        <is>
          <t>AVS</t>
        </is>
      </c>
      <c r="F109" s="5" t="n">
        <v>4.33615453018827</v>
      </c>
      <c r="G109" s="5" t="n">
        <v>43.606257</v>
      </c>
      <c r="H109" s="5" t="n">
        <v>8.728802680999999</v>
      </c>
      <c r="I109" s="5" t="n">
        <v>83.88251</v>
      </c>
      <c r="J109" s="5" t="n">
        <v>137.829</v>
      </c>
      <c r="K109" s="5" t="n">
        <v>34.095</v>
      </c>
      <c r="L109" s="5" t="n">
        <v>38.026</v>
      </c>
      <c r="M109" s="5" t="n">
        <v>3.919968945517797</v>
      </c>
    </row>
    <row r="110">
      <c r="A110" s="2" t="inlineStr">
        <is>
          <t>Sparks2_1000nit.mp4|Sparks2_1000nit_AlphaVC-P_r2.mp4|PQ|AlphaVC-P</t>
        </is>
      </c>
      <c r="B110" s="2" t="inlineStr">
        <is>
          <t>Sparks2_1000nit.mp4</t>
        </is>
      </c>
      <c r="C110" s="2" t="inlineStr">
        <is>
          <t>Sparks2_1000nit_AlphaVC-P_r2.mp4</t>
        </is>
      </c>
      <c r="D110" s="2" t="inlineStr">
        <is>
          <t>PQ</t>
        </is>
      </c>
      <c r="E110" s="2" t="inlineStr">
        <is>
          <t>AlphaVC-P</t>
        </is>
      </c>
      <c r="F110" s="5" t="n">
        <v>4.32236762004397</v>
      </c>
      <c r="G110" s="5" t="n">
        <v>42.05102</v>
      </c>
      <c r="H110" s="5" t="n">
        <v>8.312346458</v>
      </c>
      <c r="I110" s="5" t="n">
        <v>73.991176</v>
      </c>
      <c r="J110" s="5" t="n">
        <v>132.898</v>
      </c>
      <c r="K110" s="5" t="n">
        <v>33.359</v>
      </c>
      <c r="L110" s="5" t="n">
        <v>37.113</v>
      </c>
      <c r="M110" s="5" t="n">
        <v>3.782724322347936</v>
      </c>
    </row>
    <row r="111">
      <c r="A111" s="2" t="inlineStr">
        <is>
          <t>Sparks2_1000nit.mp4|Sparks2_1000nit_LTM_r4.mp4|PQ|LTM</t>
        </is>
      </c>
      <c r="B111" s="2" t="inlineStr">
        <is>
          <t>Sparks2_1000nit.mp4</t>
        </is>
      </c>
      <c r="C111" s="2" t="inlineStr">
        <is>
          <t>Sparks2_1000nit_LTM_r4.mp4</t>
        </is>
      </c>
      <c r="D111" s="2" t="inlineStr">
        <is>
          <t>PQ</t>
        </is>
      </c>
      <c r="E111" s="2" t="inlineStr">
        <is>
          <t>LTM</t>
        </is>
      </c>
      <c r="F111" s="5" t="n">
        <v>2.00049238856732</v>
      </c>
      <c r="G111" s="5" t="n">
        <v>40.435442</v>
      </c>
      <c r="H111" s="5" t="n">
        <v>5.724495411</v>
      </c>
      <c r="I111" s="5" t="n">
        <v>53.659698</v>
      </c>
      <c r="J111" s="5" t="n">
        <v>127.638</v>
      </c>
      <c r="K111" s="5" t="n">
        <v>32.689</v>
      </c>
      <c r="L111" s="5" t="n">
        <v>35.308</v>
      </c>
      <c r="M111" s="5" t="n">
        <v>1.873422182825125</v>
      </c>
    </row>
    <row r="112">
      <c r="A112" s="2" t="inlineStr">
        <is>
          <t>Sparks2_1000nit.mp4|Sparks2_1000nit_NNVC_QP37.mp4|PQ|NNVC</t>
        </is>
      </c>
      <c r="B112" s="2" t="inlineStr">
        <is>
          <t>Sparks2_1000nit.mp4</t>
        </is>
      </c>
      <c r="C112" s="2" t="inlineStr">
        <is>
          <t>Sparks2_1000nit_NNVC_QP37.mp4</t>
        </is>
      </c>
      <c r="D112" s="2" t="inlineStr">
        <is>
          <t>PQ</t>
        </is>
      </c>
      <c r="E112" s="2" t="inlineStr">
        <is>
          <t>NNVC</t>
        </is>
      </c>
      <c r="F112" s="5" t="n">
        <v>3.45564211667046</v>
      </c>
      <c r="G112" s="5" t="n">
        <v>41.953019</v>
      </c>
      <c r="H112" s="5" t="n">
        <v>7.697444916</v>
      </c>
      <c r="I112" s="5" t="n">
        <v>74.39140399999999</v>
      </c>
      <c r="J112" s="5" t="n">
        <v>132.236</v>
      </c>
      <c r="K112" s="5" t="n">
        <v>33.11</v>
      </c>
      <c r="L112" s="5" t="n">
        <v>37.05</v>
      </c>
      <c r="M112" s="5" t="n">
        <v>3.049796750666922</v>
      </c>
    </row>
    <row r="113">
      <c r="A113" s="2" t="inlineStr">
        <is>
          <t>Sparks2_1000nit.mp4|Sparks2_1000nit_NNVC_r4.mp4|PQ|NNVC</t>
        </is>
      </c>
      <c r="B113" s="2" t="inlineStr">
        <is>
          <t>Sparks2_1000nit.mp4</t>
        </is>
      </c>
      <c r="C113" s="2" t="inlineStr">
        <is>
          <t>Sparks2_1000nit_NNVC_r4.mp4</t>
        </is>
      </c>
      <c r="D113" s="2" t="inlineStr">
        <is>
          <t>PQ</t>
        </is>
      </c>
      <c r="E113" s="2" t="inlineStr">
        <is>
          <t>NNVC</t>
        </is>
      </c>
      <c r="F113" s="5" t="n">
        <v>2.52678023953345</v>
      </c>
      <c r="G113" s="5" t="n">
        <v>40.661223</v>
      </c>
      <c r="H113" s="5" t="n">
        <v>6.555659294</v>
      </c>
      <c r="I113" s="5" t="n">
        <v>62.424422</v>
      </c>
      <c r="J113" s="5" t="n">
        <v>128.03</v>
      </c>
      <c r="K113" s="5" t="n">
        <v>32.512</v>
      </c>
      <c r="L113" s="5" t="n">
        <v>36.058</v>
      </c>
      <c r="M113" s="5" t="n">
        <v>2.240400854024745</v>
      </c>
    </row>
    <row r="114">
      <c r="A114" s="2" t="inlineStr">
        <is>
          <t>Sparks2_1000nit.mp4|Sparks2_1000nit_VTM_r4.mp4|PQ|VTM</t>
        </is>
      </c>
      <c r="B114" s="2" t="inlineStr">
        <is>
          <t>Sparks2_1000nit.mp4</t>
        </is>
      </c>
      <c r="C114" s="2" t="inlineStr">
        <is>
          <t>Sparks2_1000nit_VTM_r4.mp4</t>
        </is>
      </c>
      <c r="D114" s="2" t="inlineStr">
        <is>
          <t>PQ</t>
        </is>
      </c>
      <c r="E114" s="2" t="inlineStr">
        <is>
          <t>VTM</t>
        </is>
      </c>
      <c r="F114" s="5" t="n">
        <v>2.14770130834862</v>
      </c>
      <c r="G114" s="5" t="n">
        <v>41.122799</v>
      </c>
      <c r="H114" s="5" t="n">
        <v>6.177017689</v>
      </c>
      <c r="I114" s="5" t="n">
        <v>56.317993</v>
      </c>
      <c r="J114" s="5" t="n">
        <v>129.927</v>
      </c>
      <c r="K114" s="5" t="n">
        <v>33.027</v>
      </c>
      <c r="L114" s="5" t="n">
        <v>35.584</v>
      </c>
      <c r="M114" s="5" t="n">
        <v>2.016555028831558</v>
      </c>
    </row>
    <row r="115">
      <c r="A115" s="2" t="inlineStr">
        <is>
          <t>TeaStall.mp4|TeaStall_AVS3_QP44.mp4|HLG|AVS</t>
        </is>
      </c>
      <c r="B115" s="2" t="inlineStr">
        <is>
          <t>TeaStall.mp4</t>
        </is>
      </c>
      <c r="C115" s="2" t="inlineStr">
        <is>
          <t>TeaStall_AVS3_QP44.mp4</t>
        </is>
      </c>
      <c r="D115" s="2" t="inlineStr">
        <is>
          <t>HLG</t>
        </is>
      </c>
      <c r="E115" s="2" t="inlineStr">
        <is>
          <t>AVS</t>
        </is>
      </c>
      <c r="F115" s="5" t="n">
        <v>4.52904911187746</v>
      </c>
      <c r="G115" s="5" t="n">
        <v>41.750899</v>
      </c>
      <c r="H115" s="5" t="n">
        <v>9.024389267</v>
      </c>
      <c r="I115" s="5" t="n">
        <v>88.849332</v>
      </c>
      <c r="J115" s="5" t="n">
        <v>123.145</v>
      </c>
      <c r="K115" s="5" t="n">
        <v>24.251</v>
      </c>
      <c r="L115" s="5" t="n">
        <v>26.38</v>
      </c>
      <c r="M115" s="5" t="n">
        <v>4.040366078883251</v>
      </c>
    </row>
    <row r="116">
      <c r="A116" s="2" t="inlineStr">
        <is>
          <t>TeaStall.mp4|TeaStall_AVS3_QP48.mp4|HLG|AVS</t>
        </is>
      </c>
      <c r="B116" s="2" t="inlineStr">
        <is>
          <t>TeaStall.mp4</t>
        </is>
      </c>
      <c r="C116" s="2" t="inlineStr">
        <is>
          <t>TeaStall_AVS3_QP48.mp4</t>
        </is>
      </c>
      <c r="D116" s="2" t="inlineStr">
        <is>
          <t>HLG</t>
        </is>
      </c>
      <c r="E116" s="2" t="inlineStr">
        <is>
          <t>AVS</t>
        </is>
      </c>
      <c r="F116" s="5" t="n">
        <v>3.85046322900622</v>
      </c>
      <c r="G116" s="5" t="n">
        <v>40.849603</v>
      </c>
      <c r="H116" s="5" t="n">
        <v>8.681983947999999</v>
      </c>
      <c r="I116" s="5" t="n">
        <v>85.345007</v>
      </c>
      <c r="J116" s="5" t="n">
        <v>120.198</v>
      </c>
      <c r="K116" s="5" t="n">
        <v>23.812</v>
      </c>
      <c r="L116" s="5" t="n">
        <v>25.829</v>
      </c>
      <c r="M116" s="5" t="n">
        <v>3.717176661623127</v>
      </c>
    </row>
    <row r="117">
      <c r="A117" s="2" t="inlineStr">
        <is>
          <t>TeaStall.mp4|TeaStall_AlphaVC-P_QP1.mp4|HLG|AlphaVC-P</t>
        </is>
      </c>
      <c r="B117" s="2" t="inlineStr">
        <is>
          <t>TeaStall.mp4</t>
        </is>
      </c>
      <c r="C117" s="2" t="inlineStr">
        <is>
          <t>TeaStall_AlphaVC-P_QP1.mp4</t>
        </is>
      </c>
      <c r="D117" s="2" t="inlineStr">
        <is>
          <t>HLG</t>
        </is>
      </c>
      <c r="E117" s="2" t="inlineStr">
        <is>
          <t>AlphaVC-P</t>
        </is>
      </c>
      <c r="F117" s="5" t="n">
        <v>4.53830270017689</v>
      </c>
      <c r="G117" s="5" t="n">
        <v>42.104941</v>
      </c>
      <c r="H117" s="5" t="n">
        <v>9.158909798</v>
      </c>
      <c r="I117" s="5" t="n">
        <v>86.960736</v>
      </c>
      <c r="J117" s="5" t="n">
        <v>123.596</v>
      </c>
      <c r="K117" s="5" t="n">
        <v>24.351</v>
      </c>
      <c r="L117" s="5" t="n">
        <v>26.159</v>
      </c>
      <c r="M117" s="5" t="n">
        <v>4.350519494402649</v>
      </c>
    </row>
    <row r="118">
      <c r="A118" s="2" t="inlineStr">
        <is>
          <t>TeaStall.mp4|TeaStall_AlphaVC-P_QP3.mp4|HLG|AlphaVC-P</t>
        </is>
      </c>
      <c r="B118" s="2" t="inlineStr">
        <is>
          <t>TeaStall.mp4</t>
        </is>
      </c>
      <c r="C118" s="2" t="inlineStr">
        <is>
          <t>TeaStall_AlphaVC-P_QP3.mp4</t>
        </is>
      </c>
      <c r="D118" s="2" t="inlineStr">
        <is>
          <t>HLG</t>
        </is>
      </c>
      <c r="E118" s="2" t="inlineStr">
        <is>
          <t>AlphaVC-P</t>
        </is>
      </c>
      <c r="F118" s="5" t="n">
        <v>3.91948929030716</v>
      </c>
      <c r="G118" s="5" t="n">
        <v>40.128552</v>
      </c>
      <c r="H118" s="5" t="n">
        <v>8.500827789000001</v>
      </c>
      <c r="I118" s="5" t="n">
        <v>78.173511</v>
      </c>
      <c r="J118" s="5" t="n">
        <v>117.227</v>
      </c>
      <c r="K118" s="5" t="n">
        <v>23.627</v>
      </c>
      <c r="L118" s="5" t="n">
        <v>25.149</v>
      </c>
      <c r="M118" s="5" t="n">
        <v>3.87394429280788</v>
      </c>
    </row>
    <row r="119">
      <c r="A119" s="2" t="inlineStr">
        <is>
          <t>TeaStall.mp4|TeaStall_AlphaVC-P_QP4.mp4|HLG|AlphaVC-P</t>
        </is>
      </c>
      <c r="B119" s="2" t="inlineStr">
        <is>
          <t>TeaStall.mp4</t>
        </is>
      </c>
      <c r="C119" s="2" t="inlineStr">
        <is>
          <t>TeaStall_AlphaVC-P_QP4.mp4</t>
        </is>
      </c>
      <c r="D119" s="2" t="inlineStr">
        <is>
          <t>HLG</t>
        </is>
      </c>
      <c r="E119" s="2" t="inlineStr">
        <is>
          <t>AlphaVC-P</t>
        </is>
      </c>
      <c r="F119" s="5" t="n">
        <v>3.18946211240489</v>
      </c>
      <c r="G119" s="5" t="n">
        <v>38.781396</v>
      </c>
      <c r="H119" s="5" t="n">
        <v>7.923625946</v>
      </c>
      <c r="I119" s="5" t="n">
        <v>71.269198</v>
      </c>
      <c r="J119" s="5" t="n">
        <v>112.895</v>
      </c>
      <c r="K119" s="5" t="n">
        <v>23.141</v>
      </c>
      <c r="L119" s="5" t="n">
        <v>24.456</v>
      </c>
      <c r="M119" s="5" t="n">
        <v>3.32918915911746</v>
      </c>
    </row>
    <row r="120">
      <c r="A120" s="2" t="inlineStr">
        <is>
          <t>TeaStall.mp4|TeaStall_AlphaVC-P_QP5.mp4|HLG|AlphaVC-P</t>
        </is>
      </c>
      <c r="B120" s="2" t="inlineStr">
        <is>
          <t>TeaStall.mp4</t>
        </is>
      </c>
      <c r="C120" s="2" t="inlineStr">
        <is>
          <t>TeaStall_AlphaVC-P_QP5.mp4</t>
        </is>
      </c>
      <c r="D120" s="2" t="inlineStr">
        <is>
          <t>HLG</t>
        </is>
      </c>
      <c r="E120" s="2" t="inlineStr">
        <is>
          <t>AlphaVC-P</t>
        </is>
      </c>
      <c r="F120" s="5" t="n">
        <v>2.37104563567701</v>
      </c>
      <c r="G120" s="5" t="n">
        <v>37.229046</v>
      </c>
      <c r="H120" s="5" t="n">
        <v>7.171319008</v>
      </c>
      <c r="I120" s="5" t="n">
        <v>63.190245</v>
      </c>
      <c r="J120" s="5" t="n">
        <v>108.01</v>
      </c>
      <c r="K120" s="5" t="n">
        <v>22.536</v>
      </c>
      <c r="L120" s="5" t="n">
        <v>23.655</v>
      </c>
      <c r="M120" s="5" t="n">
        <v>2.665277201861281</v>
      </c>
    </row>
    <row r="121">
      <c r="A121" s="2" t="inlineStr">
        <is>
          <t>TeaStall.mp4|TeaStall_DCVC-RT_QP13.mp4|HLG|DCVC-RT</t>
        </is>
      </c>
      <c r="B121" s="2" t="inlineStr">
        <is>
          <t>TeaStall.mp4</t>
        </is>
      </c>
      <c r="C121" s="2" t="inlineStr">
        <is>
          <t>TeaStall_DCVC-RT_QP13.mp4</t>
        </is>
      </c>
      <c r="D121" s="2" t="inlineStr">
        <is>
          <t>HLG</t>
        </is>
      </c>
      <c r="E121" s="2" t="inlineStr">
        <is>
          <t>DCVC-RT</t>
        </is>
      </c>
      <c r="F121" s="5" t="n">
        <v>3.92457233462901</v>
      </c>
      <c r="G121" s="5" t="n">
        <v>41.671167</v>
      </c>
      <c r="H121" s="5" t="n">
        <v>8.503487587</v>
      </c>
      <c r="I121" s="5" t="n">
        <v>82.936007</v>
      </c>
      <c r="J121" s="5" t="n">
        <v>122.513</v>
      </c>
      <c r="K121" s="5" t="n">
        <v>24.304</v>
      </c>
      <c r="L121" s="5" t="n">
        <v>25.52</v>
      </c>
      <c r="M121" s="5" t="n">
        <v>3.591723499468317</v>
      </c>
    </row>
    <row r="122">
      <c r="A122" s="2" t="inlineStr">
        <is>
          <t>TeaStall.mp4|TeaStall_DCVC-RT_QP21.mp4|HLG|DCVC-RT</t>
        </is>
      </c>
      <c r="B122" s="2" t="inlineStr">
        <is>
          <t>TeaStall.mp4</t>
        </is>
      </c>
      <c r="C122" s="2" t="inlineStr">
        <is>
          <t>TeaStall_DCVC-RT_QP21.mp4</t>
        </is>
      </c>
      <c r="D122" s="2" t="inlineStr">
        <is>
          <t>HLG</t>
        </is>
      </c>
      <c r="E122" s="2" t="inlineStr">
        <is>
          <t>DCVC-RT</t>
        </is>
      </c>
      <c r="F122" s="5" t="n">
        <v>4.36268406742094</v>
      </c>
      <c r="G122" s="5" t="n">
        <v>42.671249</v>
      </c>
      <c r="H122" s="5" t="n">
        <v>8.898484229999999</v>
      </c>
      <c r="I122" s="5" t="n">
        <v>87.19972300000001</v>
      </c>
      <c r="J122" s="5" t="n">
        <v>125.776</v>
      </c>
      <c r="K122" s="5" t="n">
        <v>24.753</v>
      </c>
      <c r="L122" s="5" t="n">
        <v>26.129</v>
      </c>
      <c r="M122" s="5" t="n">
        <v>3.955642099707405</v>
      </c>
    </row>
    <row r="123">
      <c r="A123" s="2" t="inlineStr">
        <is>
          <t>TeaStall.mp4|TeaStall_EEM_QP0.mp4|HLG|EEM</t>
        </is>
      </c>
      <c r="B123" s="2" t="inlineStr">
        <is>
          <t>TeaStall.mp4</t>
        </is>
      </c>
      <c r="C123" s="2" t="inlineStr">
        <is>
          <t>TeaStall_EEM_QP0.mp4</t>
        </is>
      </c>
      <c r="D123" s="2" t="inlineStr">
        <is>
          <t>HLG</t>
        </is>
      </c>
      <c r="E123" s="2" t="inlineStr">
        <is>
          <t>EEM</t>
        </is>
      </c>
      <c r="F123" s="5" t="n">
        <v>4.24652215759272</v>
      </c>
      <c r="G123" s="5" t="n">
        <v>44.577098</v>
      </c>
      <c r="H123" s="5" t="n">
        <v>9.549899100999999</v>
      </c>
      <c r="I123" s="5" t="n">
        <v>95.174874</v>
      </c>
      <c r="J123" s="5" t="n">
        <v>132.191</v>
      </c>
      <c r="K123" s="5" t="n">
        <v>25.3</v>
      </c>
      <c r="L123" s="5" t="n">
        <v>27.441</v>
      </c>
      <c r="M123" s="5" t="n">
        <v>4.473712968805529</v>
      </c>
    </row>
    <row r="124">
      <c r="A124" s="2" t="inlineStr">
        <is>
          <t>TeaStall.mp4|TeaStall_EEM_QP1.mp4|HLG|EEM</t>
        </is>
      </c>
      <c r="B124" s="2" t="inlineStr">
        <is>
          <t>TeaStall.mp4</t>
        </is>
      </c>
      <c r="C124" s="2" t="inlineStr">
        <is>
          <t>TeaStall_EEM_QP1.mp4</t>
        </is>
      </c>
      <c r="D124" s="2" t="inlineStr">
        <is>
          <t>HLG</t>
        </is>
      </c>
      <c r="E124" s="2" t="inlineStr">
        <is>
          <t>EEM</t>
        </is>
      </c>
      <c r="F124" s="5" t="n">
        <v>3.82192956992059</v>
      </c>
      <c r="G124" s="5" t="n">
        <v>43.193355</v>
      </c>
      <c r="H124" s="5" t="n">
        <v>9.281154633</v>
      </c>
      <c r="I124" s="5" t="n">
        <v>91.5795</v>
      </c>
      <c r="J124" s="5" t="n">
        <v>127.705</v>
      </c>
      <c r="K124" s="5" t="n">
        <v>24.817</v>
      </c>
      <c r="L124" s="5" t="n">
        <v>26.719</v>
      </c>
      <c r="M124" s="5" t="n">
        <v>4.271538446652437</v>
      </c>
    </row>
    <row r="125">
      <c r="A125" s="2" t="inlineStr">
        <is>
          <t>TeaStall.mp4|TeaStall_EEM_QP2.mp4|HLG|EEM</t>
        </is>
      </c>
      <c r="B125" s="2" t="inlineStr">
        <is>
          <t>TeaStall.mp4</t>
        </is>
      </c>
      <c r="C125" s="2" t="inlineStr">
        <is>
          <t>TeaStall_EEM_QP2.mp4</t>
        </is>
      </c>
      <c r="D125" s="2" t="inlineStr">
        <is>
          <t>HLG</t>
        </is>
      </c>
      <c r="E125" s="2" t="inlineStr">
        <is>
          <t>EEM</t>
        </is>
      </c>
      <c r="F125" s="5" t="n">
        <v>3.88833978692842</v>
      </c>
      <c r="G125" s="5" t="n">
        <v>42.362758</v>
      </c>
      <c r="H125" s="5" t="n">
        <v>9.058818817000001</v>
      </c>
      <c r="I125" s="5" t="n">
        <v>89.17832900000001</v>
      </c>
      <c r="J125" s="5" t="n">
        <v>124.975</v>
      </c>
      <c r="K125" s="5" t="n">
        <v>24.41</v>
      </c>
      <c r="L125" s="5" t="n">
        <v>26.289</v>
      </c>
      <c r="M125" s="5" t="n">
        <v>4.089659205186841</v>
      </c>
    </row>
    <row r="126">
      <c r="A126" s="2" t="inlineStr">
        <is>
          <t>TeaStall.mp4|TeaStall_EEM_QP3.mp4|HLG|EEM</t>
        </is>
      </c>
      <c r="B126" s="2" t="inlineStr">
        <is>
          <t>TeaStall.mp4</t>
        </is>
      </c>
      <c r="C126" s="2" t="inlineStr">
        <is>
          <t>TeaStall_EEM_QP3.mp4</t>
        </is>
      </c>
      <c r="D126" s="2" t="inlineStr">
        <is>
          <t>HLG</t>
        </is>
      </c>
      <c r="E126" s="2" t="inlineStr">
        <is>
          <t>EEM</t>
        </is>
      </c>
      <c r="F126" s="5" t="n">
        <v>2.47564990523463</v>
      </c>
      <c r="G126" s="5" t="n">
        <v>40.059229</v>
      </c>
      <c r="H126" s="5" t="n">
        <v>8.274987221</v>
      </c>
      <c r="I126" s="5" t="n">
        <v>81.193617</v>
      </c>
      <c r="J126" s="5" t="n">
        <v>117.466</v>
      </c>
      <c r="K126" s="5" t="n">
        <v>22.911</v>
      </c>
      <c r="L126" s="5" t="n">
        <v>25.137</v>
      </c>
      <c r="M126" s="5" t="n">
        <v>3.329220132936423</v>
      </c>
    </row>
    <row r="127">
      <c r="A127" s="2" t="inlineStr">
        <is>
          <t>TeaStall.mp4|TeaStall_LTM_QP25_3180.mp4|HLG|LTM</t>
        </is>
      </c>
      <c r="B127" s="2" t="inlineStr">
        <is>
          <t>TeaStall.mp4</t>
        </is>
      </c>
      <c r="C127" s="2" t="inlineStr">
        <is>
          <t>TeaStall_LTM_QP25_3180.mp4</t>
        </is>
      </c>
      <c r="D127" s="2" t="inlineStr">
        <is>
          <t>HLG</t>
        </is>
      </c>
      <c r="E127" s="2" t="inlineStr">
        <is>
          <t>LTM</t>
        </is>
      </c>
      <c r="F127" s="5" t="n">
        <v>4.07711537487229</v>
      </c>
      <c r="G127" s="5" t="n">
        <v>42.941171</v>
      </c>
      <c r="H127" s="5" t="n">
        <v>9.371251106000001</v>
      </c>
      <c r="I127" s="5" t="n">
        <v>93.47073399999999</v>
      </c>
      <c r="J127" s="5" t="n">
        <v>126.483</v>
      </c>
      <c r="K127" s="5" t="n">
        <v>24.964</v>
      </c>
      <c r="L127" s="5" t="n">
        <v>26.587</v>
      </c>
      <c r="M127" s="5" t="n">
        <v>4.224713473146572</v>
      </c>
    </row>
    <row r="128">
      <c r="A128" s="2" t="inlineStr">
        <is>
          <t>TeaStall.mp4|TeaStall_LTM_QP38_4059.mp4|HLG|LTM</t>
        </is>
      </c>
      <c r="B128" s="2" t="inlineStr">
        <is>
          <t>TeaStall.mp4</t>
        </is>
      </c>
      <c r="C128" s="2" t="inlineStr">
        <is>
          <t>TeaStall_LTM_QP38_4059.mp4</t>
        </is>
      </c>
      <c r="D128" s="2" t="inlineStr">
        <is>
          <t>HLG</t>
        </is>
      </c>
      <c r="E128" s="2" t="inlineStr">
        <is>
          <t>LTM</t>
        </is>
      </c>
      <c r="F128" s="5" t="n">
        <v>3.53145813417402</v>
      </c>
      <c r="G128" s="5" t="n">
        <v>39.437982</v>
      </c>
      <c r="H128" s="5" t="n">
        <v>8.067668915</v>
      </c>
      <c r="I128" s="5" t="n">
        <v>79.03138199999999</v>
      </c>
      <c r="J128" s="5" t="n">
        <v>115.32</v>
      </c>
      <c r="K128" s="5" t="n">
        <v>23.353</v>
      </c>
      <c r="L128" s="5" t="n">
        <v>24.832</v>
      </c>
      <c r="M128" s="5" t="n">
        <v>3.073739150760856</v>
      </c>
    </row>
    <row r="129">
      <c r="A129" s="2" t="inlineStr">
        <is>
          <t>TeaStall.mp4|TeaStall_NNVC_QP42.mp4|HLG|NNVC</t>
        </is>
      </c>
      <c r="B129" s="2" t="inlineStr">
        <is>
          <t>TeaStall.mp4</t>
        </is>
      </c>
      <c r="C129" s="2" t="inlineStr">
        <is>
          <t>TeaStall_NNVC_QP42.mp4</t>
        </is>
      </c>
      <c r="D129" s="2" t="inlineStr">
        <is>
          <t>HLG</t>
        </is>
      </c>
      <c r="E129" s="2" t="inlineStr">
        <is>
          <t>NNVC</t>
        </is>
      </c>
      <c r="F129" s="5" t="n">
        <v>4.26203203142764</v>
      </c>
      <c r="G129" s="5" t="n">
        <v>40.975516</v>
      </c>
      <c r="H129" s="5" t="n">
        <v>8.548898697</v>
      </c>
      <c r="I129" s="5" t="n">
        <v>84.07970400000001</v>
      </c>
      <c r="J129" s="5" t="n">
        <v>120.6</v>
      </c>
      <c r="K129" s="5" t="n">
        <v>23.943</v>
      </c>
      <c r="L129" s="5" t="n">
        <v>25.758</v>
      </c>
      <c r="M129" s="5" t="n">
        <v>3.595985517154907</v>
      </c>
    </row>
    <row r="130">
      <c r="A130" s="2" t="inlineStr">
        <is>
          <t>TeaStall.mp4|TeaStall_VTM_QP37.mp4|HLG|VTM</t>
        </is>
      </c>
      <c r="B130" s="2" t="inlineStr">
        <is>
          <t>TeaStall.mp4</t>
        </is>
      </c>
      <c r="C130" s="2" t="inlineStr">
        <is>
          <t>TeaStall_VTM_QP37.mp4</t>
        </is>
      </c>
      <c r="D130" s="2" t="inlineStr">
        <is>
          <t>HLG</t>
        </is>
      </c>
      <c r="E130" s="2" t="inlineStr">
        <is>
          <t>VTM</t>
        </is>
      </c>
      <c r="F130" s="5" t="n">
        <v>4.54679242700269</v>
      </c>
      <c r="G130" s="5" t="n">
        <v>42.161981</v>
      </c>
      <c r="H130" s="5" t="n">
        <v>9.023680687000001</v>
      </c>
      <c r="I130" s="5" t="n">
        <v>88.72560300000001</v>
      </c>
      <c r="J130" s="5" t="n">
        <v>124.354</v>
      </c>
      <c r="K130" s="5" t="n">
        <v>24.493</v>
      </c>
      <c r="L130" s="5" t="n">
        <v>26.409</v>
      </c>
      <c r="M130" s="5" t="n">
        <v>4.032996300802957</v>
      </c>
    </row>
    <row r="131">
      <c r="A131" s="2" t="inlineStr">
        <is>
          <t>TeaStall.mp4|TeaStall_VTM_QP42.mp4|HLG|VTM</t>
        </is>
      </c>
      <c r="B131" s="2" t="inlineStr">
        <is>
          <t>TeaStall.mp4</t>
        </is>
      </c>
      <c r="C131" s="2" t="inlineStr">
        <is>
          <t>TeaStall_VTM_QP42.mp4</t>
        </is>
      </c>
      <c r="D131" s="2" t="inlineStr">
        <is>
          <t>HLG</t>
        </is>
      </c>
      <c r="E131" s="2" t="inlineStr">
        <is>
          <t>VTM</t>
        </is>
      </c>
      <c r="F131" s="5" t="n">
        <v>3.75572255994427</v>
      </c>
      <c r="G131" s="5" t="n">
        <v>40.771242</v>
      </c>
      <c r="H131" s="5" t="n">
        <v>8.417258263000001</v>
      </c>
      <c r="I131" s="5" t="n">
        <v>82.5073</v>
      </c>
      <c r="J131" s="5" t="n">
        <v>119.77</v>
      </c>
      <c r="K131" s="5" t="n">
        <v>23.856</v>
      </c>
      <c r="L131" s="5" t="n">
        <v>25.475</v>
      </c>
      <c r="M131" s="5" t="n">
        <v>3.472629805516168</v>
      </c>
    </row>
    <row r="132">
      <c r="A132" s="2" t="inlineStr">
        <is>
          <t>TeaStall.mp4|TeaStall_VTM_QP47.mp4|HLG|VTM</t>
        </is>
      </c>
      <c r="B132" s="2" t="inlineStr">
        <is>
          <t>TeaStall.mp4</t>
        </is>
      </c>
      <c r="C132" s="2" t="inlineStr">
        <is>
          <t>TeaStall_VTM_QP47.mp4</t>
        </is>
      </c>
      <c r="D132" s="2" t="inlineStr">
        <is>
          <t>HLG</t>
        </is>
      </c>
      <c r="E132" s="2" t="inlineStr">
        <is>
          <t>VTM</t>
        </is>
      </c>
      <c r="F132" s="5" t="n">
        <v>2.4009155853185</v>
      </c>
      <c r="G132" s="5" t="n">
        <v>39.085416</v>
      </c>
      <c r="H132" s="5" t="n">
        <v>7.477513313</v>
      </c>
      <c r="I132" s="5" t="n">
        <v>72.92165199999999</v>
      </c>
      <c r="J132" s="5" t="n">
        <v>114.365</v>
      </c>
      <c r="K132" s="5" t="n">
        <v>23.068</v>
      </c>
      <c r="L132" s="5" t="n">
        <v>24.307</v>
      </c>
      <c r="M132" s="5" t="n">
        <v>2.674741072369235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5" customWidth="1" min="1" max="1"/>
    <col width="60" customWidth="1" min="2" max="2"/>
  </cols>
  <sheetData>
    <row r="1">
      <c r="A1" s="1" t="inlineStr">
        <is>
          <t>MOS-objective metric correlation workbook v0.2 (6 baseline FR operators)</t>
        </is>
      </c>
    </row>
    <row r="2">
      <c r="A2" s="2" t="inlineStr">
        <is>
          <t>用于HDR-VQA验证集，共 131 行视频、6 列客观模型（PSNR、ColorVideoVDP、VMAF、wPSNR、DeltaE、PSNRL100）。</t>
        </is>
      </c>
    </row>
    <row r="4">
      <c r="A4" s="2" t="inlineStr">
        <is>
          <t>用法</t>
        </is>
      </c>
      <c r="B4" s="2" t="inlineStr">
        <is>
          <t xml:space="preserve">将模型预测分数贴进Sheet "mos_metrics"的对应列里, 则Sheet "correlation"会自动计算该模型分数列与MOS列的相关性 </t>
        </is>
      </c>
    </row>
    <row r="5">
      <c r="B5" s="2" t="inlineStr">
        <is>
          <t>Sheet "calc" 是用于计算的中间结果表，无需修改</t>
        </is>
      </c>
    </row>
    <row r="7">
      <c r="A7" s="2" t="inlineStr">
        <is>
          <t>表格计算方式</t>
        </is>
      </c>
      <c r="B7" s="2" t="inlineStr">
        <is>
          <t>Sheet "correlation"中的ref_name和codec控制用于选择使用哪些源序列和编码器对应的视频序列参与相关性计算，将其值设为1则代表参与计算，全为1则代表使用全部序列计算</t>
        </is>
      </c>
    </row>
    <row r="8">
      <c r="B8" s="2" t="inlineStr">
        <is>
          <t>PLCC 和 RMSE计算前仅做一次线性拟合， Slope和Intercept是拟合参数。</t>
        </is>
      </c>
    </row>
    <row r="9">
      <c r="B9" s="2" t="inlineStr">
        <is>
          <t>Direction列代表客观模型分数与MOS分数的方向是否一致，值为1代表分数越大质量越好（与MOS含义一致），值为-1则相反（DeltaE为-1）。</t>
        </is>
      </c>
    </row>
    <row r="11">
      <c r="A11" s="2" t="inlineStr">
        <is>
          <t>包含的模型列:</t>
        </is>
      </c>
      <c r="B11" s="2" t="inlineStr">
        <is>
          <t>PSNR_avg, ColorVideoVDP, VMAF, WTPSNR, DeltaE, PSNR_L0100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2026-07-21T12:52:19Z</dcterms:created>
  <dcterms:modified xmlns:dcterms="http://purl.org/dc/terms/" xmlns:xsi="http://www.w3.org/2001/XMLSchema-instance" xsi:type="dcterms:W3CDTF">2026-07-29T16:10:51Z</dcterms:modified>
</cp:coreProperties>
</file>