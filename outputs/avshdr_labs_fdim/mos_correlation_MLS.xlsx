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lation" sheetId="1" state="visible" r:id="rId1"/>
    <sheet xmlns:r="http://schemas.openxmlformats.org/officeDocument/2006/relationships" name="calc" sheetId="2" state="visible" r:id="rId2"/>
    <sheet xmlns:r="http://schemas.openxmlformats.org/officeDocument/2006/relationships" name="mos_metrics" sheetId="3" state="visible" r:id="rId3"/>
    <sheet xmlns:r="http://schemas.openxmlformats.org/officeDocument/2006/relationships" name="README"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Times New Roman"/>
      <b val="1"/>
      <color rgb="FFFFFFFF"/>
      <sz val="11"/>
    </font>
    <font>
      <name val="Times New Roman"/>
      <sz val="11"/>
    </font>
    <font>
      <name val="Times New Roman"/>
      <b val="1"/>
      <sz val="11"/>
    </font>
  </fonts>
  <fills count="5">
    <fill>
      <patternFill/>
    </fill>
    <fill>
      <patternFill patternType="gray125"/>
    </fill>
    <fill>
      <patternFill patternType="solid">
        <fgColor rgb="FF24415F"/>
      </patternFill>
    </fill>
    <fill>
      <patternFill patternType="solid">
        <fgColor rgb="FFD9EAF7"/>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3" fillId="4"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28" customWidth="1" min="1" max="1"/>
    <col width="12" customWidth="1" min="2" max="2"/>
    <col width="14" customWidth="1" min="5" max="5"/>
    <col width="15.9" customWidth="1" min="8" max="8"/>
    <col width="7.9" customWidth="1" min="9" max="9"/>
    <col width="10.6" customWidth="1" min="10" max="10"/>
    <col width="8.9" customWidth="1" min="11" max="11"/>
  </cols>
  <sheetData>
    <row r="1">
      <c r="A1" s="1" t="inlineStr">
        <is>
          <t>ref_name</t>
        </is>
      </c>
      <c r="B1" s="1" t="inlineStr">
        <is>
          <t>Use</t>
        </is>
      </c>
      <c r="D1" s="1" t="inlineStr">
        <is>
          <t>codec</t>
        </is>
      </c>
      <c r="E1" s="1" t="inlineStr">
        <is>
          <t>Use</t>
        </is>
      </c>
    </row>
    <row r="2">
      <c r="A2" s="2" t="inlineStr">
        <is>
          <t>Chimera13_1000nit.mp4</t>
        </is>
      </c>
      <c r="B2" s="2" t="n">
        <v>1</v>
      </c>
      <c r="D2" s="2" t="inlineStr">
        <is>
          <t>AVS</t>
        </is>
      </c>
      <c r="E2" s="2" t="n">
        <v>1</v>
      </c>
    </row>
    <row r="3">
      <c r="A3" s="2" t="inlineStr">
        <is>
          <t>Chimera4_1000nit.mp4</t>
        </is>
      </c>
      <c r="B3" s="2" t="n">
        <v>1</v>
      </c>
      <c r="D3" s="2" t="inlineStr">
        <is>
          <t>AlphaVC-P</t>
        </is>
      </c>
      <c r="E3" s="2" t="n">
        <v>1</v>
      </c>
    </row>
    <row r="4">
      <c r="A4" s="2" t="inlineStr">
        <is>
          <t>FlyingBirds.mp4</t>
        </is>
      </c>
      <c r="B4" s="2" t="n">
        <v>1</v>
      </c>
      <c r="D4" s="2" t="inlineStr">
        <is>
          <t>DCVC-RT</t>
        </is>
      </c>
      <c r="E4" s="2" t="n">
        <v>1</v>
      </c>
    </row>
    <row r="5">
      <c r="A5" s="2" t="inlineStr">
        <is>
          <t>Smithy1_1000nit.mp4</t>
        </is>
      </c>
      <c r="B5" s="2" t="n">
        <v>1</v>
      </c>
      <c r="D5" s="2" t="inlineStr">
        <is>
          <t>EEM</t>
        </is>
      </c>
      <c r="E5" s="2" t="n">
        <v>1</v>
      </c>
    </row>
    <row r="6">
      <c r="A6" s="2" t="inlineStr">
        <is>
          <t>Sparks2_1000nit.mp4</t>
        </is>
      </c>
      <c r="B6" s="2" t="n">
        <v>1</v>
      </c>
      <c r="D6" s="2" t="inlineStr">
        <is>
          <t>LTM</t>
        </is>
      </c>
      <c r="E6" s="2" t="n">
        <v>1</v>
      </c>
    </row>
    <row r="7">
      <c r="D7" s="2" t="inlineStr">
        <is>
          <t>NNVC</t>
        </is>
      </c>
      <c r="E7" s="2" t="n">
        <v>1</v>
      </c>
    </row>
    <row r="8">
      <c r="D8" s="2" t="inlineStr">
        <is>
          <t>VTM</t>
        </is>
      </c>
      <c r="E8" s="2" t="n">
        <v>1</v>
      </c>
    </row>
    <row r="18">
      <c r="A18" s="3" t="inlineStr">
        <is>
          <t>Statistics</t>
        </is>
      </c>
      <c r="B18" s="3" t="inlineStr">
        <is>
          <t>Value</t>
        </is>
      </c>
    </row>
    <row r="19">
      <c r="A19" s="2" t="inlineStr">
        <is>
          <t># videos</t>
        </is>
      </c>
      <c r="B19" s="2" t="n">
        <v>66</v>
      </c>
    </row>
    <row r="20">
      <c r="A20" s="2" t="inlineStr">
        <is>
          <t># metrics</t>
        </is>
      </c>
      <c r="B20" s="2" t="n">
        <v>6</v>
      </c>
    </row>
    <row r="21">
      <c r="A21" s="2" t="inlineStr">
        <is>
          <t># rows with MOS</t>
        </is>
      </c>
      <c r="B21" s="2">
        <f>COUNT(mos_metrics!$F$2:$F$67)</f>
        <v/>
      </c>
    </row>
    <row r="22">
      <c r="A22" s="2" t="inlineStr">
        <is>
          <t># rows included by controls</t>
        </is>
      </c>
      <c r="B22" s="2">
        <f>SUMPRODUCT(--(calc!$J$3:$J$67=TRUE))</f>
        <v/>
      </c>
    </row>
    <row r="23">
      <c r="A23" s="2" t="inlineStr">
        <is>
          <t># source metric columns</t>
        </is>
      </c>
      <c r="B23" s="2" t="n">
        <v>6</v>
      </c>
    </row>
    <row r="25">
      <c r="A25" s="4" t="inlineStr">
        <is>
          <t>Metric</t>
        </is>
      </c>
      <c r="B25" s="4" t="inlineStr">
        <is>
          <t>PLCC</t>
        </is>
      </c>
      <c r="C25" s="4" t="inlineStr">
        <is>
          <t>SROCC</t>
        </is>
      </c>
      <c r="D25" s="4" t="inlineStr">
        <is>
          <t>KROCC</t>
        </is>
      </c>
      <c r="E25" s="4" t="inlineStr">
        <is>
          <t>RMSE</t>
        </is>
      </c>
      <c r="F25" s="4" t="inlineStr">
        <is>
          <t>Slope</t>
        </is>
      </c>
      <c r="G25" s="4" t="inlineStr">
        <is>
          <t>Intercept</t>
        </is>
      </c>
      <c r="H25" s="4" t="inlineStr">
        <is>
          <t>Nonblank source</t>
        </is>
      </c>
      <c r="I25" s="4" t="inlineStr">
        <is>
          <t>Use</t>
        </is>
      </c>
      <c r="J25" s="4" t="inlineStr">
        <is>
          <t>Direction</t>
        </is>
      </c>
      <c r="K25" s="4" t="inlineStr">
        <is>
          <t>N</t>
        </is>
      </c>
    </row>
    <row r="26">
      <c r="A26" s="2">
        <f>mos_metrics!G$1</f>
        <v/>
      </c>
      <c r="B26" s="5">
        <f>IF($K26&gt;=2,IFERROR(CORREL(calc!$M$3:$M$67,calc!$O$3:$O$67),""),"")</f>
        <v/>
      </c>
      <c r="C26" s="5">
        <f>IF($K26&gt;=2,IFERROR(CORREL(calc!$Q$3:$Q$67,calc!$R$3:$R$67),""),"")</f>
        <v/>
      </c>
      <c r="D26" s="5">
        <f>IF($K26&gt;=2,IFERROR(SUM(calc!$S$3:$S$67)/SQRT((($K26*($K26-1)/2)-(SUMPRODUCT(--(calc!$L$3:$L$67=TRUE),COUNTIF(calc!$Q$3:$Q$67,calc!$Q$3:$Q$67)-1)/2))*(($K26*($K26-1)/2)-(SUMPRODUCT(--(calc!$L$3:$L$67=TRUE),COUNTIF(calc!$R$3:$R$67,calc!$R$3:$R$67)-1)/2))),""),"")</f>
        <v/>
      </c>
      <c r="E26" s="5">
        <f>IF($K26&gt;=2,IFERROR(SQRT(SUM(calc!$P$3:$P$67)/$K26),""),"")</f>
        <v/>
      </c>
      <c r="F26" s="5">
        <f>IF($K26&gt;=2,IFERROR(SLOPE(calc!$M$3:$M$67,calc!$N$3:$N$67),""),"")</f>
        <v/>
      </c>
      <c r="G26" s="5">
        <f>IF($K26&gt;=2,IFERROR(INTERCEPT(calc!$M$3:$M$67,calc!$N$3:$N$67),""),"")</f>
        <v/>
      </c>
      <c r="H26" s="2">
        <f>COUNT(mos_metrics!G$2:G$67)</f>
        <v/>
      </c>
      <c r="I26" s="2">
        <f>IF($A26&lt;&gt;"",1,"")</f>
        <v/>
      </c>
      <c r="J26" s="2">
        <f>IF($A26="DeltaE",-1,1)</f>
        <v/>
      </c>
      <c r="K26" s="2">
        <f>SUMPRODUCT(--(calc!$L$3:$L$67=TRUE))</f>
        <v/>
      </c>
    </row>
    <row r="27">
      <c r="A27" s="2">
        <f>mos_metrics!H$1</f>
        <v/>
      </c>
      <c r="B27" s="5">
        <f>IF($K27&gt;=2,IFERROR(CORREL(calc!$V$3:$V$67,calc!$X$3:$X$67),""),"")</f>
        <v/>
      </c>
      <c r="C27" s="5">
        <f>IF($K27&gt;=2,IFERROR(CORREL(calc!$Z$3:$Z$67,calc!$AA$3:$AA$67),""),"")</f>
        <v/>
      </c>
      <c r="D27" s="5">
        <f>IF($K27&gt;=2,IFERROR(SUM(calc!$AB$3:$AB$67)/SQRT((($K27*($K27-1)/2)-(SUMPRODUCT(--(calc!$U$3:$U$67=TRUE),COUNTIF(calc!$Z$3:$Z$67,calc!$Z$3:$Z$67)-1)/2))*(($K27*($K27-1)/2)-(SUMPRODUCT(--(calc!$U$3:$U$67=TRUE),COUNTIF(calc!$AA$3:$AA$67,calc!$AA$3:$AA$67)-1)/2))),""),"")</f>
        <v/>
      </c>
      <c r="E27" s="5">
        <f>IF($K27&gt;=2,IFERROR(SQRT(SUM(calc!$Y$3:$Y$67)/$K27),""),"")</f>
        <v/>
      </c>
      <c r="F27" s="5">
        <f>IF($K27&gt;=2,IFERROR(SLOPE(calc!$V$3:$V$67,calc!$W$3:$W$67),""),"")</f>
        <v/>
      </c>
      <c r="G27" s="5">
        <f>IF($K27&gt;=2,IFERROR(INTERCEPT(calc!$V$3:$V$67,calc!$W$3:$W$67),""),"")</f>
        <v/>
      </c>
      <c r="H27" s="2">
        <f>COUNT(mos_metrics!H$2:H$67)</f>
        <v/>
      </c>
      <c r="I27" s="2">
        <f>IF($A27&lt;&gt;"",1,"")</f>
        <v/>
      </c>
      <c r="J27" s="2">
        <f>IF($A27="DeltaE",-1,1)</f>
        <v/>
      </c>
      <c r="K27" s="2">
        <f>SUMPRODUCT(--(calc!$U$3:$U$67=TRUE))</f>
        <v/>
      </c>
    </row>
    <row r="28">
      <c r="A28" s="2">
        <f>mos_metrics!I$1</f>
        <v/>
      </c>
      <c r="B28" s="5">
        <f>IF($K28&gt;=2,IFERROR(CORREL(calc!$AE$3:$AE$67,calc!$AG$3:$AG$67),""),"")</f>
        <v/>
      </c>
      <c r="C28" s="5">
        <f>IF($K28&gt;=2,IFERROR(CORREL(calc!$AI$3:$AI$67,calc!$AJ$3:$AJ$67),""),"")</f>
        <v/>
      </c>
      <c r="D28" s="5">
        <f>IF($K28&gt;=2,IFERROR(SUM(calc!$AK$3:$AK$67)/SQRT((($K28*($K28-1)/2)-(SUMPRODUCT(--(calc!$AD$3:$AD$67=TRUE),COUNTIF(calc!$AI$3:$AI$67,calc!$AI$3:$AI$67)-1)/2))*(($K28*($K28-1)/2)-(SUMPRODUCT(--(calc!$AD$3:$AD$67=TRUE),COUNTIF(calc!$AJ$3:$AJ$67,calc!$AJ$3:$AJ$67)-1)/2))),""),"")</f>
        <v/>
      </c>
      <c r="E28" s="5">
        <f>IF($K28&gt;=2,IFERROR(SQRT(SUM(calc!$AH$3:$AH$67)/$K28),""),"")</f>
        <v/>
      </c>
      <c r="F28" s="5">
        <f>IF($K28&gt;=2,IFERROR(SLOPE(calc!$AE$3:$AE$67,calc!$AF$3:$AF$67),""),"")</f>
        <v/>
      </c>
      <c r="G28" s="5">
        <f>IF($K28&gt;=2,IFERROR(INTERCEPT(calc!$AE$3:$AE$67,calc!$AF$3:$AF$67),""),"")</f>
        <v/>
      </c>
      <c r="H28" s="2">
        <f>COUNT(mos_metrics!I$2:I$67)</f>
        <v/>
      </c>
      <c r="I28" s="2">
        <f>IF($A28&lt;&gt;"",1,"")</f>
        <v/>
      </c>
      <c r="J28" s="2">
        <f>IF($A28="DeltaE",-1,1)</f>
        <v/>
      </c>
      <c r="K28" s="2">
        <f>SUMPRODUCT(--(calc!$AD$3:$AD$67=TRUE))</f>
        <v/>
      </c>
    </row>
    <row r="29">
      <c r="A29" s="2">
        <f>mos_metrics!J$1</f>
        <v/>
      </c>
      <c r="B29" s="5">
        <f>IF($K29&gt;=2,IFERROR(CORREL(calc!$AN$3:$AN$67,calc!$AP$3:$AP$67),""),"")</f>
        <v/>
      </c>
      <c r="C29" s="5">
        <f>IF($K29&gt;=2,IFERROR(CORREL(calc!$AR$3:$AR$67,calc!$AS$3:$AS$67),""),"")</f>
        <v/>
      </c>
      <c r="D29" s="5">
        <f>IF($K29&gt;=2,IFERROR(SUM(calc!$AT$3:$AT$67)/SQRT((($K29*($K29-1)/2)-(SUMPRODUCT(--(calc!$AM$3:$AM$67=TRUE),COUNTIF(calc!$AR$3:$AR$67,calc!$AR$3:$AR$67)-1)/2))*(($K29*($K29-1)/2)-(SUMPRODUCT(--(calc!$AM$3:$AM$67=TRUE),COUNTIF(calc!$AS$3:$AS$67,calc!$AS$3:$AS$67)-1)/2))),""),"")</f>
        <v/>
      </c>
      <c r="E29" s="5">
        <f>IF($K29&gt;=2,IFERROR(SQRT(SUM(calc!$AQ$3:$AQ$67)/$K29),""),"")</f>
        <v/>
      </c>
      <c r="F29" s="5">
        <f>IF($K29&gt;=2,IFERROR(SLOPE(calc!$AN$3:$AN$67,calc!$AO$3:$AO$67),""),"")</f>
        <v/>
      </c>
      <c r="G29" s="5">
        <f>IF($K29&gt;=2,IFERROR(INTERCEPT(calc!$AN$3:$AN$67,calc!$AO$3:$AO$67),""),"")</f>
        <v/>
      </c>
      <c r="H29" s="2">
        <f>COUNT(mos_metrics!J$2:J$67)</f>
        <v/>
      </c>
      <c r="I29" s="2">
        <f>IF($A29&lt;&gt;"",1,"")</f>
        <v/>
      </c>
      <c r="J29" s="2">
        <f>IF($A29="DeltaE",-1,1)</f>
        <v/>
      </c>
      <c r="K29" s="2">
        <f>SUMPRODUCT(--(calc!$AM$3:$AM$67=TRUE))</f>
        <v/>
      </c>
    </row>
    <row r="30">
      <c r="A30" s="2">
        <f>mos_metrics!K$1</f>
        <v/>
      </c>
      <c r="B30" s="5">
        <f>IF($K30&gt;=2,IFERROR(CORREL(calc!$AW$3:$AW$67,calc!$AY$3:$AY$67),""),"")</f>
        <v/>
      </c>
      <c r="C30" s="5">
        <f>IF($K30&gt;=2,IFERROR(CORREL(calc!$BA$3:$BA$67,calc!$BB$3:$BB$67),""),"")</f>
        <v/>
      </c>
      <c r="D30" s="5">
        <f>IF($K30&gt;=2,IFERROR(SUM(calc!$BC$3:$BC$67)/SQRT((($K30*($K30-1)/2)-(SUMPRODUCT(--(calc!$AV$3:$AV$67=TRUE),COUNTIF(calc!$BA$3:$BA$67,calc!$BA$3:$BA$67)-1)/2))*(($K30*($K30-1)/2)-(SUMPRODUCT(--(calc!$AV$3:$AV$67=TRUE),COUNTIF(calc!$BB$3:$BB$67,calc!$BB$3:$BB$67)-1)/2))),""),"")</f>
        <v/>
      </c>
      <c r="E30" s="5">
        <f>IF($K30&gt;=2,IFERROR(SQRT(SUM(calc!$AZ$3:$AZ$67)/$K30),""),"")</f>
        <v/>
      </c>
      <c r="F30" s="5">
        <f>IF($K30&gt;=2,IFERROR(SLOPE(calc!$AW$3:$AW$67,calc!$AX$3:$AX$67),""),"")</f>
        <v/>
      </c>
      <c r="G30" s="5">
        <f>IF($K30&gt;=2,IFERROR(INTERCEPT(calc!$AW$3:$AW$67,calc!$AX$3:$AX$67),""),"")</f>
        <v/>
      </c>
      <c r="H30" s="2">
        <f>COUNT(mos_metrics!K$2:K$67)</f>
        <v/>
      </c>
      <c r="I30" s="2">
        <f>IF($A30&lt;&gt;"",1,"")</f>
        <v/>
      </c>
      <c r="J30" s="2">
        <f>IF($A30="DeltaE",-1,1)</f>
        <v/>
      </c>
      <c r="K30" s="2">
        <f>SUMPRODUCT(--(calc!$AV$3:$AV$67=TRUE))</f>
        <v/>
      </c>
    </row>
    <row r="31">
      <c r="A31" s="2">
        <f>mos_metrics!L$1</f>
        <v/>
      </c>
      <c r="B31" s="5">
        <f>IF($K31&gt;=2,IFERROR(CORREL(calc!$BF$3:$BF$67,calc!$BH$3:$BH$67),""),"")</f>
        <v/>
      </c>
      <c r="C31" s="5">
        <f>IF($K31&gt;=2,IFERROR(CORREL(calc!$BJ$3:$BJ$67,calc!$BK$3:$BK$67),""),"")</f>
        <v/>
      </c>
      <c r="D31" s="5">
        <f>IF($K31&gt;=2,IFERROR(SUM(calc!$BL$3:$BL$67)/SQRT((($K31*($K31-1)/2)-(SUMPRODUCT(--(calc!$BE$3:$BE$67=TRUE),COUNTIF(calc!$BJ$3:$BJ$67,calc!$BJ$3:$BJ$67)-1)/2))*(($K31*($K31-1)/2)-(SUMPRODUCT(--(calc!$BE$3:$BE$67=TRUE),COUNTIF(calc!$BK$3:$BK$67,calc!$BK$3:$BK$67)-1)/2))),""),"")</f>
        <v/>
      </c>
      <c r="E31" s="5">
        <f>IF($K31&gt;=2,IFERROR(SQRT(SUM(calc!$BI$3:$BI$67)/$K31),""),"")</f>
        <v/>
      </c>
      <c r="F31" s="5">
        <f>IF($K31&gt;=2,IFERROR(SLOPE(calc!$BF$3:$BF$67,calc!$BG$3:$BG$67),""),"")</f>
        <v/>
      </c>
      <c r="G31" s="5">
        <f>IF($K31&gt;=2,IFERROR(INTERCEPT(calc!$BF$3:$BF$67,calc!$BG$3:$BG$67),""),"")</f>
        <v/>
      </c>
      <c r="H31" s="2">
        <f>COUNT(mos_metrics!L$2:L$67)</f>
        <v/>
      </c>
      <c r="I31" s="2">
        <f>IF($A31&lt;&gt;"",1,"")</f>
        <v/>
      </c>
      <c r="J31" s="2">
        <f>IF($A31="DeltaE",-1,1)</f>
        <v/>
      </c>
      <c r="K31" s="2">
        <f>SUMPRODUCT(--(calc!$BE$3:$BE$67=TRUE))</f>
        <v/>
      </c>
    </row>
    <row r="32">
      <c r="A32" s="2">
        <f>mos_metrics!M$1</f>
        <v/>
      </c>
      <c r="B32" s="5">
        <f>IF($K32&gt;=2,IFERROR(CORREL(calc!$BO$3:$BO$67,calc!$BQ$3:$BQ$67),""),"")</f>
        <v/>
      </c>
      <c r="C32" s="5">
        <f>IF($K32&gt;=2,IFERROR(CORREL(calc!$BS$3:$BS$67,calc!$BT$3:$BT$67),""),"")</f>
        <v/>
      </c>
      <c r="D32" s="5">
        <f>IF($K32&gt;=2,IFERROR(SUM(calc!$BU$3:$BU$67)/SQRT((($K32*($K32-1)/2)-(SUMPRODUCT(--(calc!$BN$3:$BN$67=TRUE),COUNTIF(calc!$BS$3:$BS$67,calc!$BS$3:$BS$67)-1)/2))*(($K32*($K32-1)/2)-(SUMPRODUCT(--(calc!$BN$3:$BN$67=TRUE),COUNTIF(calc!$BT$3:$BT$67,calc!$BT$3:$BT$67)-1)/2))),""),"")</f>
        <v/>
      </c>
      <c r="E32" s="5">
        <f>IF($K32&gt;=2,IFERROR(SQRT(SUM(calc!$BR$3:$BR$67)/$K32),""),"")</f>
        <v/>
      </c>
      <c r="F32" s="5">
        <f>IF($K32&gt;=2,IFERROR(SLOPE(calc!$BO$3:$BO$67,calc!$BP$3:$BP$67),""),"")</f>
        <v/>
      </c>
      <c r="G32" s="5">
        <f>IF($K32&gt;=2,IFERROR(INTERCEPT(calc!$BO$3:$BO$67,calc!$BP$3:$BP$67),""),"")</f>
        <v/>
      </c>
      <c r="H32" s="2">
        <f>COUNT(mos_metrics!M$2:M$67)</f>
        <v/>
      </c>
      <c r="I32" s="2">
        <f>IF($A32&lt;&gt;"",1,"")</f>
        <v/>
      </c>
      <c r="J32" s="2">
        <f>IF($A32="DeltaE",-1,1)</f>
        <v/>
      </c>
      <c r="K32" s="2">
        <f>SUMPRODUCT(--(calc!$BN$3:$BN$67=TRUE))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8"/>
  <sheetViews>
    <sheetView workbookViewId="0">
      <selection activeCell="A1" sqref="A1"/>
    </sheetView>
  </sheetViews>
  <sheetFormatPr baseColWidth="8" defaultRowHeight="15"/>
  <cols>
    <col width="36" customWidth="1" min="1" max="1"/>
    <col width="24" customWidth="1" min="2" max="2"/>
    <col width="11" customWidth="1" min="4" max="4"/>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s>
  <sheetData>
    <row r="1">
      <c r="A1" s="1" t="inlineStr">
        <is>
          <t>Source / MOS</t>
        </is>
      </c>
      <c r="G1" s="1" t="inlineStr">
        <is>
          <t>Selection flags</t>
        </is>
      </c>
      <c r="K1" s="1" t="inlineStr">
        <is>
          <t>PSNR_avg_score</t>
        </is>
      </c>
      <c r="T1" s="1" t="inlineStr">
        <is>
          <t>ColorVideoVDP_score</t>
        </is>
      </c>
      <c r="AC1" s="1" t="inlineStr">
        <is>
          <t>VMAF_score</t>
        </is>
      </c>
      <c r="AL1" s="1" t="inlineStr">
        <is>
          <t>WTPSNR_score</t>
        </is>
      </c>
      <c r="AU1" s="1" t="inlineStr">
        <is>
          <t>DeltaE_score</t>
        </is>
      </c>
      <c r="BD1" s="1" t="inlineStr">
        <is>
          <t>PSNR_L0100_score</t>
        </is>
      </c>
      <c r="BM1" s="1" t="inlineStr">
        <is>
          <t>FDIM_score</t>
        </is>
      </c>
    </row>
    <row r="2">
      <c r="A2" s="1" t="inlineStr">
        <is>
          <t>KEY</t>
        </is>
      </c>
      <c r="B2" s="1" t="inlineStr">
        <is>
          <t>ref_name</t>
        </is>
      </c>
      <c r="C2" s="1" t="inlineStr">
        <is>
          <t>dis_name</t>
        </is>
      </c>
      <c r="D2" s="1" t="inlineStr">
        <is>
          <t>trc</t>
        </is>
      </c>
      <c r="E2" s="1" t="inlineStr">
        <is>
          <t>codec</t>
        </is>
      </c>
      <c r="F2" s="1" t="inlineStr">
        <is>
          <t>MOS</t>
        </is>
      </c>
      <c r="G2" s="1" t="inlineStr">
        <is>
          <t>ShowSeq</t>
        </is>
      </c>
      <c r="H2" s="1" t="inlineStr">
        <is>
          <t>ShowCodec</t>
        </is>
      </c>
      <c r="I2" s="1" t="inlineStr">
        <is>
          <t>ValidMOS</t>
        </is>
      </c>
      <c r="J2" s="1" t="inlineStr">
        <is>
          <t>UseBase</t>
        </is>
      </c>
      <c r="K2" s="1" t="inlineStr">
        <is>
          <t>raw</t>
        </is>
      </c>
      <c r="L2" s="1" t="inlineStr">
        <is>
          <t>valid</t>
        </is>
      </c>
      <c r="M2" s="1" t="inlineStr">
        <is>
          <t>mos_used</t>
        </is>
      </c>
      <c r="N2" s="1" t="inlineStr">
        <is>
          <t>score</t>
        </is>
      </c>
      <c r="O2" s="1" t="inlineStr">
        <is>
          <t>fit</t>
        </is>
      </c>
      <c r="P2" s="1" t="inlineStr">
        <is>
          <t>sq_error</t>
        </is>
      </c>
      <c r="Q2" s="1" t="inlineStr">
        <is>
          <t>mos_rank</t>
        </is>
      </c>
      <c r="R2" s="1" t="inlineStr">
        <is>
          <t>score_rank</t>
        </is>
      </c>
      <c r="S2" s="1" t="inlineStr">
        <is>
          <t>kendall_num</t>
        </is>
      </c>
      <c r="T2" s="1" t="inlineStr">
        <is>
          <t>raw</t>
        </is>
      </c>
      <c r="U2" s="1" t="inlineStr">
        <is>
          <t>valid</t>
        </is>
      </c>
      <c r="V2" s="1" t="inlineStr">
        <is>
          <t>mos_used</t>
        </is>
      </c>
      <c r="W2" s="1" t="inlineStr">
        <is>
          <t>score</t>
        </is>
      </c>
      <c r="X2" s="1" t="inlineStr">
        <is>
          <t>fit</t>
        </is>
      </c>
      <c r="Y2" s="1" t="inlineStr">
        <is>
          <t>sq_error</t>
        </is>
      </c>
      <c r="Z2" s="1" t="inlineStr">
        <is>
          <t>mos_rank</t>
        </is>
      </c>
      <c r="AA2" s="1" t="inlineStr">
        <is>
          <t>score_rank</t>
        </is>
      </c>
      <c r="AB2" s="1" t="inlineStr">
        <is>
          <t>kendall_num</t>
        </is>
      </c>
      <c r="AC2" s="1" t="inlineStr">
        <is>
          <t>raw</t>
        </is>
      </c>
      <c r="AD2" s="1" t="inlineStr">
        <is>
          <t>valid</t>
        </is>
      </c>
      <c r="AE2" s="1" t="inlineStr">
        <is>
          <t>mos_used</t>
        </is>
      </c>
      <c r="AF2" s="1" t="inlineStr">
        <is>
          <t>score</t>
        </is>
      </c>
      <c r="AG2" s="1" t="inlineStr">
        <is>
          <t>fit</t>
        </is>
      </c>
      <c r="AH2" s="1" t="inlineStr">
        <is>
          <t>sq_error</t>
        </is>
      </c>
      <c r="AI2" s="1" t="inlineStr">
        <is>
          <t>mos_rank</t>
        </is>
      </c>
      <c r="AJ2" s="1" t="inlineStr">
        <is>
          <t>score_rank</t>
        </is>
      </c>
      <c r="AK2" s="1" t="inlineStr">
        <is>
          <t>kendall_num</t>
        </is>
      </c>
      <c r="AL2" s="1" t="inlineStr">
        <is>
          <t>raw</t>
        </is>
      </c>
      <c r="AM2" s="1" t="inlineStr">
        <is>
          <t>valid</t>
        </is>
      </c>
      <c r="AN2" s="1" t="inlineStr">
        <is>
          <t>mos_used</t>
        </is>
      </c>
      <c r="AO2" s="1" t="inlineStr">
        <is>
          <t>score</t>
        </is>
      </c>
      <c r="AP2" s="1" t="inlineStr">
        <is>
          <t>fit</t>
        </is>
      </c>
      <c r="AQ2" s="1" t="inlineStr">
        <is>
          <t>sq_error</t>
        </is>
      </c>
      <c r="AR2" s="1" t="inlineStr">
        <is>
          <t>mos_rank</t>
        </is>
      </c>
      <c r="AS2" s="1" t="inlineStr">
        <is>
          <t>score_rank</t>
        </is>
      </c>
      <c r="AT2" s="1" t="inlineStr">
        <is>
          <t>kendall_num</t>
        </is>
      </c>
      <c r="AU2" s="1" t="inlineStr">
        <is>
          <t>raw</t>
        </is>
      </c>
      <c r="AV2" s="1" t="inlineStr">
        <is>
          <t>valid</t>
        </is>
      </c>
      <c r="AW2" s="1" t="inlineStr">
        <is>
          <t>mos_used</t>
        </is>
      </c>
      <c r="AX2" s="1" t="inlineStr">
        <is>
          <t>score</t>
        </is>
      </c>
      <c r="AY2" s="1" t="inlineStr">
        <is>
          <t>fit</t>
        </is>
      </c>
      <c r="AZ2" s="1" t="inlineStr">
        <is>
          <t>sq_error</t>
        </is>
      </c>
      <c r="BA2" s="1" t="inlineStr">
        <is>
          <t>mos_rank</t>
        </is>
      </c>
      <c r="BB2" s="1" t="inlineStr">
        <is>
          <t>score_rank</t>
        </is>
      </c>
      <c r="BC2" s="1" t="inlineStr">
        <is>
          <t>kendall_num</t>
        </is>
      </c>
      <c r="BD2" s="1" t="inlineStr">
        <is>
          <t>raw</t>
        </is>
      </c>
      <c r="BE2" s="1" t="inlineStr">
        <is>
          <t>valid</t>
        </is>
      </c>
      <c r="BF2" s="1" t="inlineStr">
        <is>
          <t>mos_used</t>
        </is>
      </c>
      <c r="BG2" s="1" t="inlineStr">
        <is>
          <t>score</t>
        </is>
      </c>
      <c r="BH2" s="1" t="inlineStr">
        <is>
          <t>fit</t>
        </is>
      </c>
      <c r="BI2" s="1" t="inlineStr">
        <is>
          <t>sq_error</t>
        </is>
      </c>
      <c r="BJ2" s="1" t="inlineStr">
        <is>
          <t>mos_rank</t>
        </is>
      </c>
      <c r="BK2" s="1" t="inlineStr">
        <is>
          <t>score_rank</t>
        </is>
      </c>
      <c r="BL2" s="1" t="inlineStr">
        <is>
          <t>kendall_num</t>
        </is>
      </c>
      <c r="BM2" s="1" t="inlineStr">
        <is>
          <t>raw</t>
        </is>
      </c>
      <c r="BN2" s="1" t="inlineStr">
        <is>
          <t>valid</t>
        </is>
      </c>
      <c r="BO2" s="1" t="inlineStr">
        <is>
          <t>mos_used</t>
        </is>
      </c>
      <c r="BP2" s="1" t="inlineStr">
        <is>
          <t>score</t>
        </is>
      </c>
      <c r="BQ2" s="1" t="inlineStr">
        <is>
          <t>fit</t>
        </is>
      </c>
      <c r="BR2" s="1" t="inlineStr">
        <is>
          <t>sq_error</t>
        </is>
      </c>
      <c r="BS2" s="1" t="inlineStr">
        <is>
          <t>mos_rank</t>
        </is>
      </c>
      <c r="BT2" s="1" t="inlineStr">
        <is>
          <t>score_rank</t>
        </is>
      </c>
      <c r="BU2" s="1" t="inlineStr">
        <is>
          <t>kendall_num</t>
        </is>
      </c>
    </row>
    <row r="3">
      <c r="A3" s="2">
        <f>mos_metrics!A2</f>
        <v/>
      </c>
      <c r="B3" s="2">
        <f>mos_metrics!B2</f>
        <v/>
      </c>
      <c r="C3" s="2">
        <f>mos_metrics!C2</f>
        <v/>
      </c>
      <c r="D3" s="2">
        <f>mos_metrics!D2</f>
        <v/>
      </c>
      <c r="E3" s="2">
        <f>mos_metrics!E2</f>
        <v/>
      </c>
      <c r="F3" s="2">
        <f>mos_metrics!F2</f>
        <v/>
      </c>
      <c r="G3" s="2">
        <f>IF($B3="","",IFERROR(VLOOKUP($B3,correlation!$A$2:$B$6,2,FALSE),1))</f>
        <v/>
      </c>
      <c r="H3" s="2">
        <f>IF($E3="","",IFERROR(VLOOKUP($E3,correlation!$D$2:$E$8,2,FALSE),1))</f>
        <v/>
      </c>
      <c r="I3" s="2">
        <f>ISNUMBER($F3)</f>
        <v/>
      </c>
      <c r="J3" s="2">
        <f>AND($G3=1,$H3=1,$I3)</f>
        <v/>
      </c>
      <c r="K3" s="5">
        <f>IF(mos_metrics!G2="","",mos_metrics!G2)</f>
        <v/>
      </c>
      <c r="L3" s="2">
        <f>AND($J3,ISNUMBER(K3),correlation!$I$26=1)</f>
        <v/>
      </c>
      <c r="M3" s="5">
        <f>IF(L3,$F3,"")</f>
        <v/>
      </c>
      <c r="N3" s="5">
        <f>IF(L3,K3*correlation!$J$26,"")</f>
        <v/>
      </c>
      <c r="O3" s="5">
        <f>IF(AND(L3,ISNUMBER(correlation!$F$26)),N3*correlation!$F$26+correlation!$G$26,"")</f>
        <v/>
      </c>
      <c r="P3" s="5">
        <f>IF(AND(L3,ISNUMBER(O3)),(M3-O3)^2,"")</f>
        <v/>
      </c>
      <c r="Q3" s="5">
        <f>IF(L3,1+SUMPRODUCT(--(calc!$L$3:$L$67=TRUE),--(calc!$M$3:$M$67&gt;M3))+(SUMPRODUCT(--(calc!$L$3:$L$67=TRUE),--(calc!$M$3:$M$67=M3))-1)/2,"")</f>
        <v/>
      </c>
      <c r="R3" s="5">
        <f>IF(L3,1+SUMPRODUCT(--(calc!$L$3:$L$67=TRUE),--(calc!$N$3:$N$67&gt;N3))+(SUMPRODUCT(--(calc!$L$3:$L$67=TRUE),--(calc!$N$3:$N$67=N3))-1)/2,"")</f>
        <v/>
      </c>
      <c r="S3" s="5">
        <f>IF(L3,SUMPRODUCT(--(calc!$L$3:$L$67=TRUE),--(ROW(calc!$L$3:$L$67)&gt;ROW(L3)),--(((calc!$Q$3:$Q$67&gt;Q3)*(calc!$R$3:$R$67&gt;R3)+(calc!$Q$3:$Q$67&lt;Q3)*(calc!$R$3:$R$67&lt;R3))&gt;0))-SUMPRODUCT(--(calc!$L$3:$L$67=TRUE),--(ROW(calc!$L$3:$L$67)&gt;ROW(L3)),--(((calc!$Q$3:$Q$67&gt;Q3)*(calc!$R$3:$R$67&lt;R3)+(calc!$Q$3:$Q$67&lt;Q3)*(calc!$R$3:$R$67&gt;R3))&gt;0)),0)</f>
        <v/>
      </c>
      <c r="T3" s="5">
        <f>IF(mos_metrics!H2="","",mos_metrics!H2)</f>
        <v/>
      </c>
      <c r="U3" s="2">
        <f>AND($J3,ISNUMBER(T3),correlation!$I$27=1)</f>
        <v/>
      </c>
      <c r="V3" s="5">
        <f>IF(U3,$F3,"")</f>
        <v/>
      </c>
      <c r="W3" s="5">
        <f>IF(U3,T3*correlation!$J$27,"")</f>
        <v/>
      </c>
      <c r="X3" s="5">
        <f>IF(AND(U3,ISNUMBER(correlation!$F$27)),W3*correlation!$F$27+correlation!$G$27,"")</f>
        <v/>
      </c>
      <c r="Y3" s="5">
        <f>IF(AND(U3,ISNUMBER(X3)),(V3-X3)^2,"")</f>
        <v/>
      </c>
      <c r="Z3" s="5">
        <f>IF(U3,1+SUMPRODUCT(--(calc!$U$3:$U$67=TRUE),--(calc!$V$3:$V$67&gt;V3))+(SUMPRODUCT(--(calc!$U$3:$U$67=TRUE),--(calc!$V$3:$V$67=V3))-1)/2,"")</f>
        <v/>
      </c>
      <c r="AA3" s="5">
        <f>IF(U3,1+SUMPRODUCT(--(calc!$U$3:$U$67=TRUE),--(calc!$W$3:$W$67&gt;W3))+(SUMPRODUCT(--(calc!$U$3:$U$67=TRUE),--(calc!$W$3:$W$67=W3))-1)/2,"")</f>
        <v/>
      </c>
      <c r="AB3" s="5">
        <f>IF(U3,SUMPRODUCT(--(calc!$U$3:$U$67=TRUE),--(ROW(calc!$U$3:$U$67)&gt;ROW(U3)),--(((calc!$Z$3:$Z$67&gt;Z3)*(calc!$AA$3:$AA$67&gt;AA3)+(calc!$Z$3:$Z$67&lt;Z3)*(calc!$AA$3:$AA$67&lt;AA3))&gt;0))-SUMPRODUCT(--(calc!$U$3:$U$67=TRUE),--(ROW(calc!$U$3:$U$67)&gt;ROW(U3)),--(((calc!$Z$3:$Z$67&gt;Z3)*(calc!$AA$3:$AA$67&lt;AA3)+(calc!$Z$3:$Z$67&lt;Z3)*(calc!$AA$3:$AA$67&gt;AA3))&gt;0)),0)</f>
        <v/>
      </c>
      <c r="AC3" s="5">
        <f>IF(mos_metrics!I2="","",mos_metrics!I2)</f>
        <v/>
      </c>
      <c r="AD3" s="2">
        <f>AND($J3,ISNUMBER(AC3),correlation!$I$28=1)</f>
        <v/>
      </c>
      <c r="AE3" s="5">
        <f>IF(AD3,$F3,"")</f>
        <v/>
      </c>
      <c r="AF3" s="5">
        <f>IF(AD3,AC3*correlation!$J$28,"")</f>
        <v/>
      </c>
      <c r="AG3" s="5">
        <f>IF(AND(AD3,ISNUMBER(correlation!$F$28)),AF3*correlation!$F$28+correlation!$G$28,"")</f>
        <v/>
      </c>
      <c r="AH3" s="5">
        <f>IF(AND(AD3,ISNUMBER(AG3)),(AE3-AG3)^2,"")</f>
        <v/>
      </c>
      <c r="AI3" s="5">
        <f>IF(AD3,1+SUMPRODUCT(--(calc!$AD$3:$AD$67=TRUE),--(calc!$AE$3:$AE$67&gt;AE3))+(SUMPRODUCT(--(calc!$AD$3:$AD$67=TRUE),--(calc!$AE$3:$AE$67=AE3))-1)/2,"")</f>
        <v/>
      </c>
      <c r="AJ3" s="5">
        <f>IF(AD3,1+SUMPRODUCT(--(calc!$AD$3:$AD$67=TRUE),--(calc!$AF$3:$AF$67&gt;AF3))+(SUMPRODUCT(--(calc!$AD$3:$AD$67=TRUE),--(calc!$AF$3:$AF$67=AF3))-1)/2,"")</f>
        <v/>
      </c>
      <c r="AK3" s="5">
        <f>IF(AD3,SUMPRODUCT(--(calc!$AD$3:$AD$67=TRUE),--(ROW(calc!$AD$3:$AD$67)&gt;ROW(AD3)),--(((calc!$AI$3:$AI$67&gt;AI3)*(calc!$AJ$3:$AJ$67&gt;AJ3)+(calc!$AI$3:$AI$67&lt;AI3)*(calc!$AJ$3:$AJ$67&lt;AJ3))&gt;0))-SUMPRODUCT(--(calc!$AD$3:$AD$67=TRUE),--(ROW(calc!$AD$3:$AD$67)&gt;ROW(AD3)),--(((calc!$AI$3:$AI$67&gt;AI3)*(calc!$AJ$3:$AJ$67&lt;AJ3)+(calc!$AI$3:$AI$67&lt;AI3)*(calc!$AJ$3:$AJ$67&gt;AJ3))&gt;0)),0)</f>
        <v/>
      </c>
      <c r="AL3" s="5">
        <f>IF(mos_metrics!J2="","",mos_metrics!J2)</f>
        <v/>
      </c>
      <c r="AM3" s="2">
        <f>AND($J3,ISNUMBER(AL3),correlation!$I$29=1)</f>
        <v/>
      </c>
      <c r="AN3" s="5">
        <f>IF(AM3,$F3,"")</f>
        <v/>
      </c>
      <c r="AO3" s="5">
        <f>IF(AM3,AL3*correlation!$J$29,"")</f>
        <v/>
      </c>
      <c r="AP3" s="5">
        <f>IF(AND(AM3,ISNUMBER(correlation!$F$29)),AO3*correlation!$F$29+correlation!$G$29,"")</f>
        <v/>
      </c>
      <c r="AQ3" s="5">
        <f>IF(AND(AM3,ISNUMBER(AP3)),(AN3-AP3)^2,"")</f>
        <v/>
      </c>
      <c r="AR3" s="5">
        <f>IF(AM3,1+SUMPRODUCT(--(calc!$AM$3:$AM$67=TRUE),--(calc!$AN$3:$AN$67&gt;AN3))+(SUMPRODUCT(--(calc!$AM$3:$AM$67=TRUE),--(calc!$AN$3:$AN$67=AN3))-1)/2,"")</f>
        <v/>
      </c>
      <c r="AS3" s="5">
        <f>IF(AM3,1+SUMPRODUCT(--(calc!$AM$3:$AM$67=TRUE),--(calc!$AO$3:$AO$67&gt;AO3))+(SUMPRODUCT(--(calc!$AM$3:$AM$67=TRUE),--(calc!$AO$3:$AO$67=AO3))-1)/2,"")</f>
        <v/>
      </c>
      <c r="AT3" s="5">
        <f>IF(AM3,SUMPRODUCT(--(calc!$AM$3:$AM$67=TRUE),--(ROW(calc!$AM$3:$AM$67)&gt;ROW(AM3)),--(((calc!$AR$3:$AR$67&gt;AR3)*(calc!$AS$3:$AS$67&gt;AS3)+(calc!$AR$3:$AR$67&lt;AR3)*(calc!$AS$3:$AS$67&lt;AS3))&gt;0))-SUMPRODUCT(--(calc!$AM$3:$AM$67=TRUE),--(ROW(calc!$AM$3:$AM$67)&gt;ROW(AM3)),--(((calc!$AR$3:$AR$67&gt;AR3)*(calc!$AS$3:$AS$67&lt;AS3)+(calc!$AR$3:$AR$67&lt;AR3)*(calc!$AS$3:$AS$67&gt;AS3))&gt;0)),0)</f>
        <v/>
      </c>
      <c r="AU3" s="5">
        <f>IF(mos_metrics!K2="","",mos_metrics!K2)</f>
        <v/>
      </c>
      <c r="AV3" s="2">
        <f>AND($J3,ISNUMBER(AU3),correlation!$I$30=1)</f>
        <v/>
      </c>
      <c r="AW3" s="5">
        <f>IF(AV3,$F3,"")</f>
        <v/>
      </c>
      <c r="AX3" s="5">
        <f>IF(AV3,AU3*correlation!$J$30,"")</f>
        <v/>
      </c>
      <c r="AY3" s="5">
        <f>IF(AND(AV3,ISNUMBER(correlation!$F$30)),AX3*correlation!$F$30+correlation!$G$30,"")</f>
        <v/>
      </c>
      <c r="AZ3" s="5">
        <f>IF(AND(AV3,ISNUMBER(AY3)),(AW3-AY3)^2,"")</f>
        <v/>
      </c>
      <c r="BA3" s="5">
        <f>IF(AV3,1+SUMPRODUCT(--(calc!$AV$3:$AV$67=TRUE),--(calc!$AW$3:$AW$67&gt;AW3))+(SUMPRODUCT(--(calc!$AV$3:$AV$67=TRUE),--(calc!$AW$3:$AW$67=AW3))-1)/2,"")</f>
        <v/>
      </c>
      <c r="BB3" s="5">
        <f>IF(AV3,1+SUMPRODUCT(--(calc!$AV$3:$AV$67=TRUE),--(calc!$AX$3:$AX$67&gt;AX3))+(SUMPRODUCT(--(calc!$AV$3:$AV$67=TRUE),--(calc!$AX$3:$AX$67=AX3))-1)/2,"")</f>
        <v/>
      </c>
      <c r="BC3" s="5">
        <f>IF(AV3,SUMPRODUCT(--(calc!$AV$3:$AV$67=TRUE),--(ROW(calc!$AV$3:$AV$67)&gt;ROW(AV3)),--(((calc!$BA$3:$BA$67&gt;BA3)*(calc!$BB$3:$BB$67&gt;BB3)+(calc!$BA$3:$BA$67&lt;BA3)*(calc!$BB$3:$BB$67&lt;BB3))&gt;0))-SUMPRODUCT(--(calc!$AV$3:$AV$67=TRUE),--(ROW(calc!$AV$3:$AV$67)&gt;ROW(AV3)),--(((calc!$BA$3:$BA$67&gt;BA3)*(calc!$BB$3:$BB$67&lt;BB3)+(calc!$BA$3:$BA$67&lt;BA3)*(calc!$BB$3:$BB$67&gt;BB3))&gt;0)),0)</f>
        <v/>
      </c>
      <c r="BD3" s="5">
        <f>IF(mos_metrics!L2="","",mos_metrics!L2)</f>
        <v/>
      </c>
      <c r="BE3" s="2">
        <f>AND($J3,ISNUMBER(BD3),correlation!$I$31=1)</f>
        <v/>
      </c>
      <c r="BF3" s="5">
        <f>IF(BE3,$F3,"")</f>
        <v/>
      </c>
      <c r="BG3" s="5">
        <f>IF(BE3,BD3*correlation!$J$31,"")</f>
        <v/>
      </c>
      <c r="BH3" s="5">
        <f>IF(AND(BE3,ISNUMBER(correlation!$F$31)),BG3*correlation!$F$31+correlation!$G$31,"")</f>
        <v/>
      </c>
      <c r="BI3" s="5">
        <f>IF(AND(BE3,ISNUMBER(BH3)),(BF3-BH3)^2,"")</f>
        <v/>
      </c>
      <c r="BJ3" s="5">
        <f>IF(BE3,1+SUMPRODUCT(--(calc!$BE$3:$BE$67=TRUE),--(calc!$BF$3:$BF$67&gt;BF3))+(SUMPRODUCT(--(calc!$BE$3:$BE$67=TRUE),--(calc!$BF$3:$BF$67=BF3))-1)/2,"")</f>
        <v/>
      </c>
      <c r="BK3" s="5">
        <f>IF(BE3,1+SUMPRODUCT(--(calc!$BE$3:$BE$67=TRUE),--(calc!$BG$3:$BG$67&gt;BG3))+(SUMPRODUCT(--(calc!$BE$3:$BE$67=TRUE),--(calc!$BG$3:$BG$67=BG3))-1)/2,"")</f>
        <v/>
      </c>
      <c r="BL3" s="5">
        <f>IF(BE3,SUMPRODUCT(--(calc!$BE$3:$BE$67=TRUE),--(ROW(calc!$BE$3:$BE$67)&gt;ROW(BE3)),--(((calc!$BJ$3:$BJ$67&gt;BJ3)*(calc!$BK$3:$BK$67&gt;BK3)+(calc!$BJ$3:$BJ$67&lt;BJ3)*(calc!$BK$3:$BK$67&lt;BK3))&gt;0))-SUMPRODUCT(--(calc!$BE$3:$BE$67=TRUE),--(ROW(calc!$BE$3:$BE$67)&gt;ROW(BE3)),--(((calc!$BJ$3:$BJ$67&gt;BJ3)*(calc!$BK$3:$BK$67&lt;BK3)+(calc!$BJ$3:$BJ$67&lt;BJ3)*(calc!$BK$3:$BK$67&gt;BK3))&gt;0)),0)</f>
        <v/>
      </c>
      <c r="BM3" s="5">
        <f>IF(mos_metrics!M2="","",mos_metrics!M2)</f>
        <v/>
      </c>
      <c r="BN3" s="2">
        <f>AND($J3,ISNUMBER(BM3),correlation!$I$32=1)</f>
        <v/>
      </c>
      <c r="BO3" s="5">
        <f>IF(BN3,$F3,"")</f>
        <v/>
      </c>
      <c r="BP3" s="5">
        <f>IF(BN3,BM3*correlation!$J$32,"")</f>
        <v/>
      </c>
      <c r="BQ3" s="5">
        <f>IF(AND(BN3,ISNUMBER(correlation!$F$32)),BP3*correlation!$F$32+correlation!$G$32,"")</f>
        <v/>
      </c>
      <c r="BR3" s="5">
        <f>IF(AND(BN3,ISNUMBER(BQ3)),(BO3-BQ3)^2,"")</f>
        <v/>
      </c>
      <c r="BS3" s="5">
        <f>IF(BN3,1+SUMPRODUCT(--(calc!$BN$3:$BN$67=TRUE),--(calc!$BO$3:$BO$67&gt;BO3))+(SUMPRODUCT(--(calc!$BN$3:$BN$67=TRUE),--(calc!$BO$3:$BO$67=BO3))-1)/2,"")</f>
        <v/>
      </c>
      <c r="BT3" s="5">
        <f>IF(BN3,1+SUMPRODUCT(--(calc!$BN$3:$BN$67=TRUE),--(calc!$BP$3:$BP$67&gt;BP3))+(SUMPRODUCT(--(calc!$BN$3:$BN$67=TRUE),--(calc!$BP$3:$BP$67=BP3))-1)/2,"")</f>
        <v/>
      </c>
      <c r="BU3" s="5">
        <f>IF(BN3,SUMPRODUCT(--(calc!$BN$3:$BN$67=TRUE),--(ROW(calc!$BN$3:$BN$67)&gt;ROW(BN3)),--(((calc!$BS$3:$BS$67&gt;BS3)*(calc!$BT$3:$BT$67&gt;BT3)+(calc!$BS$3:$BS$67&lt;BS3)*(calc!$BT$3:$BT$67&lt;BT3))&gt;0))-SUMPRODUCT(--(calc!$BN$3:$BN$67=TRUE),--(ROW(calc!$BN$3:$BN$67)&gt;ROW(BN3)),--(((calc!$BS$3:$BS$67&gt;BS3)*(calc!$BT$3:$BT$67&lt;BT3)+(calc!$BS$3:$BS$67&lt;BS3)*(calc!$BT$3:$BT$67&gt;BT3))&gt;0)),0)</f>
        <v/>
      </c>
    </row>
    <row r="4">
      <c r="A4" s="2">
        <f>mos_metrics!A3</f>
        <v/>
      </c>
      <c r="B4" s="2">
        <f>mos_metrics!B3</f>
        <v/>
      </c>
      <c r="C4" s="2">
        <f>mos_metrics!C3</f>
        <v/>
      </c>
      <c r="D4" s="2">
        <f>mos_metrics!D3</f>
        <v/>
      </c>
      <c r="E4" s="2">
        <f>mos_metrics!E3</f>
        <v/>
      </c>
      <c r="F4" s="2">
        <f>mos_metrics!F3</f>
        <v/>
      </c>
      <c r="G4" s="2">
        <f>IF($B4="","",IFERROR(VLOOKUP($B4,correlation!$A$2:$B$6,2,FALSE),1))</f>
        <v/>
      </c>
      <c r="H4" s="2">
        <f>IF($E4="","",IFERROR(VLOOKUP($E4,correlation!$D$2:$E$8,2,FALSE),1))</f>
        <v/>
      </c>
      <c r="I4" s="2">
        <f>ISNUMBER($F4)</f>
        <v/>
      </c>
      <c r="J4" s="2">
        <f>AND($G4=1,$H4=1,$I4)</f>
        <v/>
      </c>
      <c r="K4" s="5">
        <f>IF(mos_metrics!G3="","",mos_metrics!G3)</f>
        <v/>
      </c>
      <c r="L4" s="2">
        <f>AND($J4,ISNUMBER(K4),correlation!$I$26=1)</f>
        <v/>
      </c>
      <c r="M4" s="5">
        <f>IF(L4,$F4,"")</f>
        <v/>
      </c>
      <c r="N4" s="5">
        <f>IF(L4,K4*correlation!$J$26,"")</f>
        <v/>
      </c>
      <c r="O4" s="5">
        <f>IF(AND(L4,ISNUMBER(correlation!$F$26)),N4*correlation!$F$26+correlation!$G$26,"")</f>
        <v/>
      </c>
      <c r="P4" s="5">
        <f>IF(AND(L4,ISNUMBER(O4)),(M4-O4)^2,"")</f>
        <v/>
      </c>
      <c r="Q4" s="5">
        <f>IF(L4,1+SUMPRODUCT(--(calc!$L$3:$L$67=TRUE),--(calc!$M$3:$M$67&gt;M4))+(SUMPRODUCT(--(calc!$L$3:$L$67=TRUE),--(calc!$M$3:$M$67=M4))-1)/2,"")</f>
        <v/>
      </c>
      <c r="R4" s="5">
        <f>IF(L4,1+SUMPRODUCT(--(calc!$L$3:$L$67=TRUE),--(calc!$N$3:$N$67&gt;N4))+(SUMPRODUCT(--(calc!$L$3:$L$67=TRUE),--(calc!$N$3:$N$67=N4))-1)/2,"")</f>
        <v/>
      </c>
      <c r="S4" s="5">
        <f>IF(L4,SUMPRODUCT(--(calc!$L$3:$L$67=TRUE),--(ROW(calc!$L$3:$L$67)&gt;ROW(L4)),--(((calc!$Q$3:$Q$67&gt;Q4)*(calc!$R$3:$R$67&gt;R4)+(calc!$Q$3:$Q$67&lt;Q4)*(calc!$R$3:$R$67&lt;R4))&gt;0))-SUMPRODUCT(--(calc!$L$3:$L$67=TRUE),--(ROW(calc!$L$3:$L$67)&gt;ROW(L4)),--(((calc!$Q$3:$Q$67&gt;Q4)*(calc!$R$3:$R$67&lt;R4)+(calc!$Q$3:$Q$67&lt;Q4)*(calc!$R$3:$R$67&gt;R4))&gt;0)),0)</f>
        <v/>
      </c>
      <c r="T4" s="5">
        <f>IF(mos_metrics!H3="","",mos_metrics!H3)</f>
        <v/>
      </c>
      <c r="U4" s="2">
        <f>AND($J4,ISNUMBER(T4),correlation!$I$27=1)</f>
        <v/>
      </c>
      <c r="V4" s="5">
        <f>IF(U4,$F4,"")</f>
        <v/>
      </c>
      <c r="W4" s="5">
        <f>IF(U4,T4*correlation!$J$27,"")</f>
        <v/>
      </c>
      <c r="X4" s="5">
        <f>IF(AND(U4,ISNUMBER(correlation!$F$27)),W4*correlation!$F$27+correlation!$G$27,"")</f>
        <v/>
      </c>
      <c r="Y4" s="5">
        <f>IF(AND(U4,ISNUMBER(X4)),(V4-X4)^2,"")</f>
        <v/>
      </c>
      <c r="Z4" s="5">
        <f>IF(U4,1+SUMPRODUCT(--(calc!$U$3:$U$67=TRUE),--(calc!$V$3:$V$67&gt;V4))+(SUMPRODUCT(--(calc!$U$3:$U$67=TRUE),--(calc!$V$3:$V$67=V4))-1)/2,"")</f>
        <v/>
      </c>
      <c r="AA4" s="5">
        <f>IF(U4,1+SUMPRODUCT(--(calc!$U$3:$U$67=TRUE),--(calc!$W$3:$W$67&gt;W4))+(SUMPRODUCT(--(calc!$U$3:$U$67=TRUE),--(calc!$W$3:$W$67=W4))-1)/2,"")</f>
        <v/>
      </c>
      <c r="AB4" s="5">
        <f>IF(U4,SUMPRODUCT(--(calc!$U$3:$U$67=TRUE),--(ROW(calc!$U$3:$U$67)&gt;ROW(U4)),--(((calc!$Z$3:$Z$67&gt;Z4)*(calc!$AA$3:$AA$67&gt;AA4)+(calc!$Z$3:$Z$67&lt;Z4)*(calc!$AA$3:$AA$67&lt;AA4))&gt;0))-SUMPRODUCT(--(calc!$U$3:$U$67=TRUE),--(ROW(calc!$U$3:$U$67)&gt;ROW(U4)),--(((calc!$Z$3:$Z$67&gt;Z4)*(calc!$AA$3:$AA$67&lt;AA4)+(calc!$Z$3:$Z$67&lt;Z4)*(calc!$AA$3:$AA$67&gt;AA4))&gt;0)),0)</f>
        <v/>
      </c>
      <c r="AC4" s="5">
        <f>IF(mos_metrics!I3="","",mos_metrics!I3)</f>
        <v/>
      </c>
      <c r="AD4" s="2">
        <f>AND($J4,ISNUMBER(AC4),correlation!$I$28=1)</f>
        <v/>
      </c>
      <c r="AE4" s="5">
        <f>IF(AD4,$F4,"")</f>
        <v/>
      </c>
      <c r="AF4" s="5">
        <f>IF(AD4,AC4*correlation!$J$28,"")</f>
        <v/>
      </c>
      <c r="AG4" s="5">
        <f>IF(AND(AD4,ISNUMBER(correlation!$F$28)),AF4*correlation!$F$28+correlation!$G$28,"")</f>
        <v/>
      </c>
      <c r="AH4" s="5">
        <f>IF(AND(AD4,ISNUMBER(AG4)),(AE4-AG4)^2,"")</f>
        <v/>
      </c>
      <c r="AI4" s="5">
        <f>IF(AD4,1+SUMPRODUCT(--(calc!$AD$3:$AD$67=TRUE),--(calc!$AE$3:$AE$67&gt;AE4))+(SUMPRODUCT(--(calc!$AD$3:$AD$67=TRUE),--(calc!$AE$3:$AE$67=AE4))-1)/2,"")</f>
        <v/>
      </c>
      <c r="AJ4" s="5">
        <f>IF(AD4,1+SUMPRODUCT(--(calc!$AD$3:$AD$67=TRUE),--(calc!$AF$3:$AF$67&gt;AF4))+(SUMPRODUCT(--(calc!$AD$3:$AD$67=TRUE),--(calc!$AF$3:$AF$67=AF4))-1)/2,"")</f>
        <v/>
      </c>
      <c r="AK4" s="5">
        <f>IF(AD4,SUMPRODUCT(--(calc!$AD$3:$AD$67=TRUE),--(ROW(calc!$AD$3:$AD$67)&gt;ROW(AD4)),--(((calc!$AI$3:$AI$67&gt;AI4)*(calc!$AJ$3:$AJ$67&gt;AJ4)+(calc!$AI$3:$AI$67&lt;AI4)*(calc!$AJ$3:$AJ$67&lt;AJ4))&gt;0))-SUMPRODUCT(--(calc!$AD$3:$AD$67=TRUE),--(ROW(calc!$AD$3:$AD$67)&gt;ROW(AD4)),--(((calc!$AI$3:$AI$67&gt;AI4)*(calc!$AJ$3:$AJ$67&lt;AJ4)+(calc!$AI$3:$AI$67&lt;AI4)*(calc!$AJ$3:$AJ$67&gt;AJ4))&gt;0)),0)</f>
        <v/>
      </c>
      <c r="AL4" s="5">
        <f>IF(mos_metrics!J3="","",mos_metrics!J3)</f>
        <v/>
      </c>
      <c r="AM4" s="2">
        <f>AND($J4,ISNUMBER(AL4),correlation!$I$29=1)</f>
        <v/>
      </c>
      <c r="AN4" s="5">
        <f>IF(AM4,$F4,"")</f>
        <v/>
      </c>
      <c r="AO4" s="5">
        <f>IF(AM4,AL4*correlation!$J$29,"")</f>
        <v/>
      </c>
      <c r="AP4" s="5">
        <f>IF(AND(AM4,ISNUMBER(correlation!$F$29)),AO4*correlation!$F$29+correlation!$G$29,"")</f>
        <v/>
      </c>
      <c r="AQ4" s="5">
        <f>IF(AND(AM4,ISNUMBER(AP4)),(AN4-AP4)^2,"")</f>
        <v/>
      </c>
      <c r="AR4" s="5">
        <f>IF(AM4,1+SUMPRODUCT(--(calc!$AM$3:$AM$67=TRUE),--(calc!$AN$3:$AN$67&gt;AN4))+(SUMPRODUCT(--(calc!$AM$3:$AM$67=TRUE),--(calc!$AN$3:$AN$67=AN4))-1)/2,"")</f>
        <v/>
      </c>
      <c r="AS4" s="5">
        <f>IF(AM4,1+SUMPRODUCT(--(calc!$AM$3:$AM$67=TRUE),--(calc!$AO$3:$AO$67&gt;AO4))+(SUMPRODUCT(--(calc!$AM$3:$AM$67=TRUE),--(calc!$AO$3:$AO$67=AO4))-1)/2,"")</f>
        <v/>
      </c>
      <c r="AT4" s="5">
        <f>IF(AM4,SUMPRODUCT(--(calc!$AM$3:$AM$67=TRUE),--(ROW(calc!$AM$3:$AM$67)&gt;ROW(AM4)),--(((calc!$AR$3:$AR$67&gt;AR4)*(calc!$AS$3:$AS$67&gt;AS4)+(calc!$AR$3:$AR$67&lt;AR4)*(calc!$AS$3:$AS$67&lt;AS4))&gt;0))-SUMPRODUCT(--(calc!$AM$3:$AM$67=TRUE),--(ROW(calc!$AM$3:$AM$67)&gt;ROW(AM4)),--(((calc!$AR$3:$AR$67&gt;AR4)*(calc!$AS$3:$AS$67&lt;AS4)+(calc!$AR$3:$AR$67&lt;AR4)*(calc!$AS$3:$AS$67&gt;AS4))&gt;0)),0)</f>
        <v/>
      </c>
      <c r="AU4" s="5">
        <f>IF(mos_metrics!K3="","",mos_metrics!K3)</f>
        <v/>
      </c>
      <c r="AV4" s="2">
        <f>AND($J4,ISNUMBER(AU4),correlation!$I$30=1)</f>
        <v/>
      </c>
      <c r="AW4" s="5">
        <f>IF(AV4,$F4,"")</f>
        <v/>
      </c>
      <c r="AX4" s="5">
        <f>IF(AV4,AU4*correlation!$J$30,"")</f>
        <v/>
      </c>
      <c r="AY4" s="5">
        <f>IF(AND(AV4,ISNUMBER(correlation!$F$30)),AX4*correlation!$F$30+correlation!$G$30,"")</f>
        <v/>
      </c>
      <c r="AZ4" s="5">
        <f>IF(AND(AV4,ISNUMBER(AY4)),(AW4-AY4)^2,"")</f>
        <v/>
      </c>
      <c r="BA4" s="5">
        <f>IF(AV4,1+SUMPRODUCT(--(calc!$AV$3:$AV$67=TRUE),--(calc!$AW$3:$AW$67&gt;AW4))+(SUMPRODUCT(--(calc!$AV$3:$AV$67=TRUE),--(calc!$AW$3:$AW$67=AW4))-1)/2,"")</f>
        <v/>
      </c>
      <c r="BB4" s="5">
        <f>IF(AV4,1+SUMPRODUCT(--(calc!$AV$3:$AV$67=TRUE),--(calc!$AX$3:$AX$67&gt;AX4))+(SUMPRODUCT(--(calc!$AV$3:$AV$67=TRUE),--(calc!$AX$3:$AX$67=AX4))-1)/2,"")</f>
        <v/>
      </c>
      <c r="BC4" s="5">
        <f>IF(AV4,SUMPRODUCT(--(calc!$AV$3:$AV$67=TRUE),--(ROW(calc!$AV$3:$AV$67)&gt;ROW(AV4)),--(((calc!$BA$3:$BA$67&gt;BA4)*(calc!$BB$3:$BB$67&gt;BB4)+(calc!$BA$3:$BA$67&lt;BA4)*(calc!$BB$3:$BB$67&lt;BB4))&gt;0))-SUMPRODUCT(--(calc!$AV$3:$AV$67=TRUE),--(ROW(calc!$AV$3:$AV$67)&gt;ROW(AV4)),--(((calc!$BA$3:$BA$67&gt;BA4)*(calc!$BB$3:$BB$67&lt;BB4)+(calc!$BA$3:$BA$67&lt;BA4)*(calc!$BB$3:$BB$67&gt;BB4))&gt;0)),0)</f>
        <v/>
      </c>
      <c r="BD4" s="5">
        <f>IF(mos_metrics!L3="","",mos_metrics!L3)</f>
        <v/>
      </c>
      <c r="BE4" s="2">
        <f>AND($J4,ISNUMBER(BD4),correlation!$I$31=1)</f>
        <v/>
      </c>
      <c r="BF4" s="5">
        <f>IF(BE4,$F4,"")</f>
        <v/>
      </c>
      <c r="BG4" s="5">
        <f>IF(BE4,BD4*correlation!$J$31,"")</f>
        <v/>
      </c>
      <c r="BH4" s="5">
        <f>IF(AND(BE4,ISNUMBER(correlation!$F$31)),BG4*correlation!$F$31+correlation!$G$31,"")</f>
        <v/>
      </c>
      <c r="BI4" s="5">
        <f>IF(AND(BE4,ISNUMBER(BH4)),(BF4-BH4)^2,"")</f>
        <v/>
      </c>
      <c r="BJ4" s="5">
        <f>IF(BE4,1+SUMPRODUCT(--(calc!$BE$3:$BE$67=TRUE),--(calc!$BF$3:$BF$67&gt;BF4))+(SUMPRODUCT(--(calc!$BE$3:$BE$67=TRUE),--(calc!$BF$3:$BF$67=BF4))-1)/2,"")</f>
        <v/>
      </c>
      <c r="BK4" s="5">
        <f>IF(BE4,1+SUMPRODUCT(--(calc!$BE$3:$BE$67=TRUE),--(calc!$BG$3:$BG$67&gt;BG4))+(SUMPRODUCT(--(calc!$BE$3:$BE$67=TRUE),--(calc!$BG$3:$BG$67=BG4))-1)/2,"")</f>
        <v/>
      </c>
      <c r="BL4" s="5">
        <f>IF(BE4,SUMPRODUCT(--(calc!$BE$3:$BE$67=TRUE),--(ROW(calc!$BE$3:$BE$67)&gt;ROW(BE4)),--(((calc!$BJ$3:$BJ$67&gt;BJ4)*(calc!$BK$3:$BK$67&gt;BK4)+(calc!$BJ$3:$BJ$67&lt;BJ4)*(calc!$BK$3:$BK$67&lt;BK4))&gt;0))-SUMPRODUCT(--(calc!$BE$3:$BE$67=TRUE),--(ROW(calc!$BE$3:$BE$67)&gt;ROW(BE4)),--(((calc!$BJ$3:$BJ$67&gt;BJ4)*(calc!$BK$3:$BK$67&lt;BK4)+(calc!$BJ$3:$BJ$67&lt;BJ4)*(calc!$BK$3:$BK$67&gt;BK4))&gt;0)),0)</f>
        <v/>
      </c>
      <c r="BM4" s="5">
        <f>IF(mos_metrics!M3="","",mos_metrics!M3)</f>
        <v/>
      </c>
      <c r="BN4" s="2">
        <f>AND($J4,ISNUMBER(BM4),correlation!$I$32=1)</f>
        <v/>
      </c>
      <c r="BO4" s="5">
        <f>IF(BN4,$F4,"")</f>
        <v/>
      </c>
      <c r="BP4" s="5">
        <f>IF(BN4,BM4*correlation!$J$32,"")</f>
        <v/>
      </c>
      <c r="BQ4" s="5">
        <f>IF(AND(BN4,ISNUMBER(correlation!$F$32)),BP4*correlation!$F$32+correlation!$G$32,"")</f>
        <v/>
      </c>
      <c r="BR4" s="5">
        <f>IF(AND(BN4,ISNUMBER(BQ4)),(BO4-BQ4)^2,"")</f>
        <v/>
      </c>
      <c r="BS4" s="5">
        <f>IF(BN4,1+SUMPRODUCT(--(calc!$BN$3:$BN$67=TRUE),--(calc!$BO$3:$BO$67&gt;BO4))+(SUMPRODUCT(--(calc!$BN$3:$BN$67=TRUE),--(calc!$BO$3:$BO$67=BO4))-1)/2,"")</f>
        <v/>
      </c>
      <c r="BT4" s="5">
        <f>IF(BN4,1+SUMPRODUCT(--(calc!$BN$3:$BN$67=TRUE),--(calc!$BP$3:$BP$67&gt;BP4))+(SUMPRODUCT(--(calc!$BN$3:$BN$67=TRUE),--(calc!$BP$3:$BP$67=BP4))-1)/2,"")</f>
        <v/>
      </c>
      <c r="BU4" s="5">
        <f>IF(BN4,SUMPRODUCT(--(calc!$BN$3:$BN$67=TRUE),--(ROW(calc!$BN$3:$BN$67)&gt;ROW(BN4)),--(((calc!$BS$3:$BS$67&gt;BS4)*(calc!$BT$3:$BT$67&gt;BT4)+(calc!$BS$3:$BS$67&lt;BS4)*(calc!$BT$3:$BT$67&lt;BT4))&gt;0))-SUMPRODUCT(--(calc!$BN$3:$BN$67=TRUE),--(ROW(calc!$BN$3:$BN$67)&gt;ROW(BN4)),--(((calc!$BS$3:$BS$67&gt;BS4)*(calc!$BT$3:$BT$67&lt;BT4)+(calc!$BS$3:$BS$67&lt;BS4)*(calc!$BT$3:$BT$67&gt;BT4))&gt;0)),0)</f>
        <v/>
      </c>
    </row>
    <row r="5">
      <c r="A5" s="2">
        <f>mos_metrics!A4</f>
        <v/>
      </c>
      <c r="B5" s="2">
        <f>mos_metrics!B4</f>
        <v/>
      </c>
      <c r="C5" s="2">
        <f>mos_metrics!C4</f>
        <v/>
      </c>
      <c r="D5" s="2">
        <f>mos_metrics!D4</f>
        <v/>
      </c>
      <c r="E5" s="2">
        <f>mos_metrics!E4</f>
        <v/>
      </c>
      <c r="F5" s="2">
        <f>mos_metrics!F4</f>
        <v/>
      </c>
      <c r="G5" s="2">
        <f>IF($B5="","",IFERROR(VLOOKUP($B5,correlation!$A$2:$B$6,2,FALSE),1))</f>
        <v/>
      </c>
      <c r="H5" s="2">
        <f>IF($E5="","",IFERROR(VLOOKUP($E5,correlation!$D$2:$E$8,2,FALSE),1))</f>
        <v/>
      </c>
      <c r="I5" s="2">
        <f>ISNUMBER($F5)</f>
        <v/>
      </c>
      <c r="J5" s="2">
        <f>AND($G5=1,$H5=1,$I5)</f>
        <v/>
      </c>
      <c r="K5" s="5">
        <f>IF(mos_metrics!G4="","",mos_metrics!G4)</f>
        <v/>
      </c>
      <c r="L5" s="2">
        <f>AND($J5,ISNUMBER(K5),correlation!$I$26=1)</f>
        <v/>
      </c>
      <c r="M5" s="5">
        <f>IF(L5,$F5,"")</f>
        <v/>
      </c>
      <c r="N5" s="5">
        <f>IF(L5,K5*correlation!$J$26,"")</f>
        <v/>
      </c>
      <c r="O5" s="5">
        <f>IF(AND(L5,ISNUMBER(correlation!$F$26)),N5*correlation!$F$26+correlation!$G$26,"")</f>
        <v/>
      </c>
      <c r="P5" s="5">
        <f>IF(AND(L5,ISNUMBER(O5)),(M5-O5)^2,"")</f>
        <v/>
      </c>
      <c r="Q5" s="5">
        <f>IF(L5,1+SUMPRODUCT(--(calc!$L$3:$L$67=TRUE),--(calc!$M$3:$M$67&gt;M5))+(SUMPRODUCT(--(calc!$L$3:$L$67=TRUE),--(calc!$M$3:$M$67=M5))-1)/2,"")</f>
        <v/>
      </c>
      <c r="R5" s="5">
        <f>IF(L5,1+SUMPRODUCT(--(calc!$L$3:$L$67=TRUE),--(calc!$N$3:$N$67&gt;N5))+(SUMPRODUCT(--(calc!$L$3:$L$67=TRUE),--(calc!$N$3:$N$67=N5))-1)/2,"")</f>
        <v/>
      </c>
      <c r="S5" s="5">
        <f>IF(L5,SUMPRODUCT(--(calc!$L$3:$L$67=TRUE),--(ROW(calc!$L$3:$L$67)&gt;ROW(L5)),--(((calc!$Q$3:$Q$67&gt;Q5)*(calc!$R$3:$R$67&gt;R5)+(calc!$Q$3:$Q$67&lt;Q5)*(calc!$R$3:$R$67&lt;R5))&gt;0))-SUMPRODUCT(--(calc!$L$3:$L$67=TRUE),--(ROW(calc!$L$3:$L$67)&gt;ROW(L5)),--(((calc!$Q$3:$Q$67&gt;Q5)*(calc!$R$3:$R$67&lt;R5)+(calc!$Q$3:$Q$67&lt;Q5)*(calc!$R$3:$R$67&gt;R5))&gt;0)),0)</f>
        <v/>
      </c>
      <c r="T5" s="5">
        <f>IF(mos_metrics!H4="","",mos_metrics!H4)</f>
        <v/>
      </c>
      <c r="U5" s="2">
        <f>AND($J5,ISNUMBER(T5),correlation!$I$27=1)</f>
        <v/>
      </c>
      <c r="V5" s="5">
        <f>IF(U5,$F5,"")</f>
        <v/>
      </c>
      <c r="W5" s="5">
        <f>IF(U5,T5*correlation!$J$27,"")</f>
        <v/>
      </c>
      <c r="X5" s="5">
        <f>IF(AND(U5,ISNUMBER(correlation!$F$27)),W5*correlation!$F$27+correlation!$G$27,"")</f>
        <v/>
      </c>
      <c r="Y5" s="5">
        <f>IF(AND(U5,ISNUMBER(X5)),(V5-X5)^2,"")</f>
        <v/>
      </c>
      <c r="Z5" s="5">
        <f>IF(U5,1+SUMPRODUCT(--(calc!$U$3:$U$67=TRUE),--(calc!$V$3:$V$67&gt;V5))+(SUMPRODUCT(--(calc!$U$3:$U$67=TRUE),--(calc!$V$3:$V$67=V5))-1)/2,"")</f>
        <v/>
      </c>
      <c r="AA5" s="5">
        <f>IF(U5,1+SUMPRODUCT(--(calc!$U$3:$U$67=TRUE),--(calc!$W$3:$W$67&gt;W5))+(SUMPRODUCT(--(calc!$U$3:$U$67=TRUE),--(calc!$W$3:$W$67=W5))-1)/2,"")</f>
        <v/>
      </c>
      <c r="AB5" s="5">
        <f>IF(U5,SUMPRODUCT(--(calc!$U$3:$U$67=TRUE),--(ROW(calc!$U$3:$U$67)&gt;ROW(U5)),--(((calc!$Z$3:$Z$67&gt;Z5)*(calc!$AA$3:$AA$67&gt;AA5)+(calc!$Z$3:$Z$67&lt;Z5)*(calc!$AA$3:$AA$67&lt;AA5))&gt;0))-SUMPRODUCT(--(calc!$U$3:$U$67=TRUE),--(ROW(calc!$U$3:$U$67)&gt;ROW(U5)),--(((calc!$Z$3:$Z$67&gt;Z5)*(calc!$AA$3:$AA$67&lt;AA5)+(calc!$Z$3:$Z$67&lt;Z5)*(calc!$AA$3:$AA$67&gt;AA5))&gt;0)),0)</f>
        <v/>
      </c>
      <c r="AC5" s="5">
        <f>IF(mos_metrics!I4="","",mos_metrics!I4)</f>
        <v/>
      </c>
      <c r="AD5" s="2">
        <f>AND($J5,ISNUMBER(AC5),correlation!$I$28=1)</f>
        <v/>
      </c>
      <c r="AE5" s="5">
        <f>IF(AD5,$F5,"")</f>
        <v/>
      </c>
      <c r="AF5" s="5">
        <f>IF(AD5,AC5*correlation!$J$28,"")</f>
        <v/>
      </c>
      <c r="AG5" s="5">
        <f>IF(AND(AD5,ISNUMBER(correlation!$F$28)),AF5*correlation!$F$28+correlation!$G$28,"")</f>
        <v/>
      </c>
      <c r="AH5" s="5">
        <f>IF(AND(AD5,ISNUMBER(AG5)),(AE5-AG5)^2,"")</f>
        <v/>
      </c>
      <c r="AI5" s="5">
        <f>IF(AD5,1+SUMPRODUCT(--(calc!$AD$3:$AD$67=TRUE),--(calc!$AE$3:$AE$67&gt;AE5))+(SUMPRODUCT(--(calc!$AD$3:$AD$67=TRUE),--(calc!$AE$3:$AE$67=AE5))-1)/2,"")</f>
        <v/>
      </c>
      <c r="AJ5" s="5">
        <f>IF(AD5,1+SUMPRODUCT(--(calc!$AD$3:$AD$67=TRUE),--(calc!$AF$3:$AF$67&gt;AF5))+(SUMPRODUCT(--(calc!$AD$3:$AD$67=TRUE),--(calc!$AF$3:$AF$67=AF5))-1)/2,"")</f>
        <v/>
      </c>
      <c r="AK5" s="5">
        <f>IF(AD5,SUMPRODUCT(--(calc!$AD$3:$AD$67=TRUE),--(ROW(calc!$AD$3:$AD$67)&gt;ROW(AD5)),--(((calc!$AI$3:$AI$67&gt;AI5)*(calc!$AJ$3:$AJ$67&gt;AJ5)+(calc!$AI$3:$AI$67&lt;AI5)*(calc!$AJ$3:$AJ$67&lt;AJ5))&gt;0))-SUMPRODUCT(--(calc!$AD$3:$AD$67=TRUE),--(ROW(calc!$AD$3:$AD$67)&gt;ROW(AD5)),--(((calc!$AI$3:$AI$67&gt;AI5)*(calc!$AJ$3:$AJ$67&lt;AJ5)+(calc!$AI$3:$AI$67&lt;AI5)*(calc!$AJ$3:$AJ$67&gt;AJ5))&gt;0)),0)</f>
        <v/>
      </c>
      <c r="AL5" s="5">
        <f>IF(mos_metrics!J4="","",mos_metrics!J4)</f>
        <v/>
      </c>
      <c r="AM5" s="2">
        <f>AND($J5,ISNUMBER(AL5),correlation!$I$29=1)</f>
        <v/>
      </c>
      <c r="AN5" s="5">
        <f>IF(AM5,$F5,"")</f>
        <v/>
      </c>
      <c r="AO5" s="5">
        <f>IF(AM5,AL5*correlation!$J$29,"")</f>
        <v/>
      </c>
      <c r="AP5" s="5">
        <f>IF(AND(AM5,ISNUMBER(correlation!$F$29)),AO5*correlation!$F$29+correlation!$G$29,"")</f>
        <v/>
      </c>
      <c r="AQ5" s="5">
        <f>IF(AND(AM5,ISNUMBER(AP5)),(AN5-AP5)^2,"")</f>
        <v/>
      </c>
      <c r="AR5" s="5">
        <f>IF(AM5,1+SUMPRODUCT(--(calc!$AM$3:$AM$67=TRUE),--(calc!$AN$3:$AN$67&gt;AN5))+(SUMPRODUCT(--(calc!$AM$3:$AM$67=TRUE),--(calc!$AN$3:$AN$67=AN5))-1)/2,"")</f>
        <v/>
      </c>
      <c r="AS5" s="5">
        <f>IF(AM5,1+SUMPRODUCT(--(calc!$AM$3:$AM$67=TRUE),--(calc!$AO$3:$AO$67&gt;AO5))+(SUMPRODUCT(--(calc!$AM$3:$AM$67=TRUE),--(calc!$AO$3:$AO$67=AO5))-1)/2,"")</f>
        <v/>
      </c>
      <c r="AT5" s="5">
        <f>IF(AM5,SUMPRODUCT(--(calc!$AM$3:$AM$67=TRUE),--(ROW(calc!$AM$3:$AM$67)&gt;ROW(AM5)),--(((calc!$AR$3:$AR$67&gt;AR5)*(calc!$AS$3:$AS$67&gt;AS5)+(calc!$AR$3:$AR$67&lt;AR5)*(calc!$AS$3:$AS$67&lt;AS5))&gt;0))-SUMPRODUCT(--(calc!$AM$3:$AM$67=TRUE),--(ROW(calc!$AM$3:$AM$67)&gt;ROW(AM5)),--(((calc!$AR$3:$AR$67&gt;AR5)*(calc!$AS$3:$AS$67&lt;AS5)+(calc!$AR$3:$AR$67&lt;AR5)*(calc!$AS$3:$AS$67&gt;AS5))&gt;0)),0)</f>
        <v/>
      </c>
      <c r="AU5" s="5">
        <f>IF(mos_metrics!K4="","",mos_metrics!K4)</f>
        <v/>
      </c>
      <c r="AV5" s="2">
        <f>AND($J5,ISNUMBER(AU5),correlation!$I$30=1)</f>
        <v/>
      </c>
      <c r="AW5" s="5">
        <f>IF(AV5,$F5,"")</f>
        <v/>
      </c>
      <c r="AX5" s="5">
        <f>IF(AV5,AU5*correlation!$J$30,"")</f>
        <v/>
      </c>
      <c r="AY5" s="5">
        <f>IF(AND(AV5,ISNUMBER(correlation!$F$30)),AX5*correlation!$F$30+correlation!$G$30,"")</f>
        <v/>
      </c>
      <c r="AZ5" s="5">
        <f>IF(AND(AV5,ISNUMBER(AY5)),(AW5-AY5)^2,"")</f>
        <v/>
      </c>
      <c r="BA5" s="5">
        <f>IF(AV5,1+SUMPRODUCT(--(calc!$AV$3:$AV$67=TRUE),--(calc!$AW$3:$AW$67&gt;AW5))+(SUMPRODUCT(--(calc!$AV$3:$AV$67=TRUE),--(calc!$AW$3:$AW$67=AW5))-1)/2,"")</f>
        <v/>
      </c>
      <c r="BB5" s="5">
        <f>IF(AV5,1+SUMPRODUCT(--(calc!$AV$3:$AV$67=TRUE),--(calc!$AX$3:$AX$67&gt;AX5))+(SUMPRODUCT(--(calc!$AV$3:$AV$67=TRUE),--(calc!$AX$3:$AX$67=AX5))-1)/2,"")</f>
        <v/>
      </c>
      <c r="BC5" s="5">
        <f>IF(AV5,SUMPRODUCT(--(calc!$AV$3:$AV$67=TRUE),--(ROW(calc!$AV$3:$AV$67)&gt;ROW(AV5)),--(((calc!$BA$3:$BA$67&gt;BA5)*(calc!$BB$3:$BB$67&gt;BB5)+(calc!$BA$3:$BA$67&lt;BA5)*(calc!$BB$3:$BB$67&lt;BB5))&gt;0))-SUMPRODUCT(--(calc!$AV$3:$AV$67=TRUE),--(ROW(calc!$AV$3:$AV$67)&gt;ROW(AV5)),--(((calc!$BA$3:$BA$67&gt;BA5)*(calc!$BB$3:$BB$67&lt;BB5)+(calc!$BA$3:$BA$67&lt;BA5)*(calc!$BB$3:$BB$67&gt;BB5))&gt;0)),0)</f>
        <v/>
      </c>
      <c r="BD5" s="5">
        <f>IF(mos_metrics!L4="","",mos_metrics!L4)</f>
        <v/>
      </c>
      <c r="BE5" s="2">
        <f>AND($J5,ISNUMBER(BD5),correlation!$I$31=1)</f>
        <v/>
      </c>
      <c r="BF5" s="5">
        <f>IF(BE5,$F5,"")</f>
        <v/>
      </c>
      <c r="BG5" s="5">
        <f>IF(BE5,BD5*correlation!$J$31,"")</f>
        <v/>
      </c>
      <c r="BH5" s="5">
        <f>IF(AND(BE5,ISNUMBER(correlation!$F$31)),BG5*correlation!$F$31+correlation!$G$31,"")</f>
        <v/>
      </c>
      <c r="BI5" s="5">
        <f>IF(AND(BE5,ISNUMBER(BH5)),(BF5-BH5)^2,"")</f>
        <v/>
      </c>
      <c r="BJ5" s="5">
        <f>IF(BE5,1+SUMPRODUCT(--(calc!$BE$3:$BE$67=TRUE),--(calc!$BF$3:$BF$67&gt;BF5))+(SUMPRODUCT(--(calc!$BE$3:$BE$67=TRUE),--(calc!$BF$3:$BF$67=BF5))-1)/2,"")</f>
        <v/>
      </c>
      <c r="BK5" s="5">
        <f>IF(BE5,1+SUMPRODUCT(--(calc!$BE$3:$BE$67=TRUE),--(calc!$BG$3:$BG$67&gt;BG5))+(SUMPRODUCT(--(calc!$BE$3:$BE$67=TRUE),--(calc!$BG$3:$BG$67=BG5))-1)/2,"")</f>
        <v/>
      </c>
      <c r="BL5" s="5">
        <f>IF(BE5,SUMPRODUCT(--(calc!$BE$3:$BE$67=TRUE),--(ROW(calc!$BE$3:$BE$67)&gt;ROW(BE5)),--(((calc!$BJ$3:$BJ$67&gt;BJ5)*(calc!$BK$3:$BK$67&gt;BK5)+(calc!$BJ$3:$BJ$67&lt;BJ5)*(calc!$BK$3:$BK$67&lt;BK5))&gt;0))-SUMPRODUCT(--(calc!$BE$3:$BE$67=TRUE),--(ROW(calc!$BE$3:$BE$67)&gt;ROW(BE5)),--(((calc!$BJ$3:$BJ$67&gt;BJ5)*(calc!$BK$3:$BK$67&lt;BK5)+(calc!$BJ$3:$BJ$67&lt;BJ5)*(calc!$BK$3:$BK$67&gt;BK5))&gt;0)),0)</f>
        <v/>
      </c>
      <c r="BM5" s="5">
        <f>IF(mos_metrics!M4="","",mos_metrics!M4)</f>
        <v/>
      </c>
      <c r="BN5" s="2">
        <f>AND($J5,ISNUMBER(BM5),correlation!$I$32=1)</f>
        <v/>
      </c>
      <c r="BO5" s="5">
        <f>IF(BN5,$F5,"")</f>
        <v/>
      </c>
      <c r="BP5" s="5">
        <f>IF(BN5,BM5*correlation!$J$32,"")</f>
        <v/>
      </c>
      <c r="BQ5" s="5">
        <f>IF(AND(BN5,ISNUMBER(correlation!$F$32)),BP5*correlation!$F$32+correlation!$G$32,"")</f>
        <v/>
      </c>
      <c r="BR5" s="5">
        <f>IF(AND(BN5,ISNUMBER(BQ5)),(BO5-BQ5)^2,"")</f>
        <v/>
      </c>
      <c r="BS5" s="5">
        <f>IF(BN5,1+SUMPRODUCT(--(calc!$BN$3:$BN$67=TRUE),--(calc!$BO$3:$BO$67&gt;BO5))+(SUMPRODUCT(--(calc!$BN$3:$BN$67=TRUE),--(calc!$BO$3:$BO$67=BO5))-1)/2,"")</f>
        <v/>
      </c>
      <c r="BT5" s="5">
        <f>IF(BN5,1+SUMPRODUCT(--(calc!$BN$3:$BN$67=TRUE),--(calc!$BP$3:$BP$67&gt;BP5))+(SUMPRODUCT(--(calc!$BN$3:$BN$67=TRUE),--(calc!$BP$3:$BP$67=BP5))-1)/2,"")</f>
        <v/>
      </c>
      <c r="BU5" s="5">
        <f>IF(BN5,SUMPRODUCT(--(calc!$BN$3:$BN$67=TRUE),--(ROW(calc!$BN$3:$BN$67)&gt;ROW(BN5)),--(((calc!$BS$3:$BS$67&gt;BS5)*(calc!$BT$3:$BT$67&gt;BT5)+(calc!$BS$3:$BS$67&lt;BS5)*(calc!$BT$3:$BT$67&lt;BT5))&gt;0))-SUMPRODUCT(--(calc!$BN$3:$BN$67=TRUE),--(ROW(calc!$BN$3:$BN$67)&gt;ROW(BN5)),--(((calc!$BS$3:$BS$67&gt;BS5)*(calc!$BT$3:$BT$67&lt;BT5)+(calc!$BS$3:$BS$67&lt;BS5)*(calc!$BT$3:$BT$67&gt;BT5))&gt;0)),0)</f>
        <v/>
      </c>
    </row>
    <row r="6">
      <c r="A6" s="2">
        <f>mos_metrics!A5</f>
        <v/>
      </c>
      <c r="B6" s="2">
        <f>mos_metrics!B5</f>
        <v/>
      </c>
      <c r="C6" s="2">
        <f>mos_metrics!C5</f>
        <v/>
      </c>
      <c r="D6" s="2">
        <f>mos_metrics!D5</f>
        <v/>
      </c>
      <c r="E6" s="2">
        <f>mos_metrics!E5</f>
        <v/>
      </c>
      <c r="F6" s="2">
        <f>mos_metrics!F5</f>
        <v/>
      </c>
      <c r="G6" s="2">
        <f>IF($B6="","",IFERROR(VLOOKUP($B6,correlation!$A$2:$B$6,2,FALSE),1))</f>
        <v/>
      </c>
      <c r="H6" s="2">
        <f>IF($E6="","",IFERROR(VLOOKUP($E6,correlation!$D$2:$E$8,2,FALSE),1))</f>
        <v/>
      </c>
      <c r="I6" s="2">
        <f>ISNUMBER($F6)</f>
        <v/>
      </c>
      <c r="J6" s="2">
        <f>AND($G6=1,$H6=1,$I6)</f>
        <v/>
      </c>
      <c r="K6" s="5">
        <f>IF(mos_metrics!G5="","",mos_metrics!G5)</f>
        <v/>
      </c>
      <c r="L6" s="2">
        <f>AND($J6,ISNUMBER(K6),correlation!$I$26=1)</f>
        <v/>
      </c>
      <c r="M6" s="5">
        <f>IF(L6,$F6,"")</f>
        <v/>
      </c>
      <c r="N6" s="5">
        <f>IF(L6,K6*correlation!$J$26,"")</f>
        <v/>
      </c>
      <c r="O6" s="5">
        <f>IF(AND(L6,ISNUMBER(correlation!$F$26)),N6*correlation!$F$26+correlation!$G$26,"")</f>
        <v/>
      </c>
      <c r="P6" s="5">
        <f>IF(AND(L6,ISNUMBER(O6)),(M6-O6)^2,"")</f>
        <v/>
      </c>
      <c r="Q6" s="5">
        <f>IF(L6,1+SUMPRODUCT(--(calc!$L$3:$L$67=TRUE),--(calc!$M$3:$M$67&gt;M6))+(SUMPRODUCT(--(calc!$L$3:$L$67=TRUE),--(calc!$M$3:$M$67=M6))-1)/2,"")</f>
        <v/>
      </c>
      <c r="R6" s="5">
        <f>IF(L6,1+SUMPRODUCT(--(calc!$L$3:$L$67=TRUE),--(calc!$N$3:$N$67&gt;N6))+(SUMPRODUCT(--(calc!$L$3:$L$67=TRUE),--(calc!$N$3:$N$67=N6))-1)/2,"")</f>
        <v/>
      </c>
      <c r="S6" s="5">
        <f>IF(L6,SUMPRODUCT(--(calc!$L$3:$L$67=TRUE),--(ROW(calc!$L$3:$L$67)&gt;ROW(L6)),--(((calc!$Q$3:$Q$67&gt;Q6)*(calc!$R$3:$R$67&gt;R6)+(calc!$Q$3:$Q$67&lt;Q6)*(calc!$R$3:$R$67&lt;R6))&gt;0))-SUMPRODUCT(--(calc!$L$3:$L$67=TRUE),--(ROW(calc!$L$3:$L$67)&gt;ROW(L6)),--(((calc!$Q$3:$Q$67&gt;Q6)*(calc!$R$3:$R$67&lt;R6)+(calc!$Q$3:$Q$67&lt;Q6)*(calc!$R$3:$R$67&gt;R6))&gt;0)),0)</f>
        <v/>
      </c>
      <c r="T6" s="5">
        <f>IF(mos_metrics!H5="","",mos_metrics!H5)</f>
        <v/>
      </c>
      <c r="U6" s="2">
        <f>AND($J6,ISNUMBER(T6),correlation!$I$27=1)</f>
        <v/>
      </c>
      <c r="V6" s="5">
        <f>IF(U6,$F6,"")</f>
        <v/>
      </c>
      <c r="W6" s="5">
        <f>IF(U6,T6*correlation!$J$27,"")</f>
        <v/>
      </c>
      <c r="X6" s="5">
        <f>IF(AND(U6,ISNUMBER(correlation!$F$27)),W6*correlation!$F$27+correlation!$G$27,"")</f>
        <v/>
      </c>
      <c r="Y6" s="5">
        <f>IF(AND(U6,ISNUMBER(X6)),(V6-X6)^2,"")</f>
        <v/>
      </c>
      <c r="Z6" s="5">
        <f>IF(U6,1+SUMPRODUCT(--(calc!$U$3:$U$67=TRUE),--(calc!$V$3:$V$67&gt;V6))+(SUMPRODUCT(--(calc!$U$3:$U$67=TRUE),--(calc!$V$3:$V$67=V6))-1)/2,"")</f>
        <v/>
      </c>
      <c r="AA6" s="5">
        <f>IF(U6,1+SUMPRODUCT(--(calc!$U$3:$U$67=TRUE),--(calc!$W$3:$W$67&gt;W6))+(SUMPRODUCT(--(calc!$U$3:$U$67=TRUE),--(calc!$W$3:$W$67=W6))-1)/2,"")</f>
        <v/>
      </c>
      <c r="AB6" s="5">
        <f>IF(U6,SUMPRODUCT(--(calc!$U$3:$U$67=TRUE),--(ROW(calc!$U$3:$U$67)&gt;ROW(U6)),--(((calc!$Z$3:$Z$67&gt;Z6)*(calc!$AA$3:$AA$67&gt;AA6)+(calc!$Z$3:$Z$67&lt;Z6)*(calc!$AA$3:$AA$67&lt;AA6))&gt;0))-SUMPRODUCT(--(calc!$U$3:$U$67=TRUE),--(ROW(calc!$U$3:$U$67)&gt;ROW(U6)),--(((calc!$Z$3:$Z$67&gt;Z6)*(calc!$AA$3:$AA$67&lt;AA6)+(calc!$Z$3:$Z$67&lt;Z6)*(calc!$AA$3:$AA$67&gt;AA6))&gt;0)),0)</f>
        <v/>
      </c>
      <c r="AC6" s="5">
        <f>IF(mos_metrics!I5="","",mos_metrics!I5)</f>
        <v/>
      </c>
      <c r="AD6" s="2">
        <f>AND($J6,ISNUMBER(AC6),correlation!$I$28=1)</f>
        <v/>
      </c>
      <c r="AE6" s="5">
        <f>IF(AD6,$F6,"")</f>
        <v/>
      </c>
      <c r="AF6" s="5">
        <f>IF(AD6,AC6*correlation!$J$28,"")</f>
        <v/>
      </c>
      <c r="AG6" s="5">
        <f>IF(AND(AD6,ISNUMBER(correlation!$F$28)),AF6*correlation!$F$28+correlation!$G$28,"")</f>
        <v/>
      </c>
      <c r="AH6" s="5">
        <f>IF(AND(AD6,ISNUMBER(AG6)),(AE6-AG6)^2,"")</f>
        <v/>
      </c>
      <c r="AI6" s="5">
        <f>IF(AD6,1+SUMPRODUCT(--(calc!$AD$3:$AD$67=TRUE),--(calc!$AE$3:$AE$67&gt;AE6))+(SUMPRODUCT(--(calc!$AD$3:$AD$67=TRUE),--(calc!$AE$3:$AE$67=AE6))-1)/2,"")</f>
        <v/>
      </c>
      <c r="AJ6" s="5">
        <f>IF(AD6,1+SUMPRODUCT(--(calc!$AD$3:$AD$67=TRUE),--(calc!$AF$3:$AF$67&gt;AF6))+(SUMPRODUCT(--(calc!$AD$3:$AD$67=TRUE),--(calc!$AF$3:$AF$67=AF6))-1)/2,"")</f>
        <v/>
      </c>
      <c r="AK6" s="5">
        <f>IF(AD6,SUMPRODUCT(--(calc!$AD$3:$AD$67=TRUE),--(ROW(calc!$AD$3:$AD$67)&gt;ROW(AD6)),--(((calc!$AI$3:$AI$67&gt;AI6)*(calc!$AJ$3:$AJ$67&gt;AJ6)+(calc!$AI$3:$AI$67&lt;AI6)*(calc!$AJ$3:$AJ$67&lt;AJ6))&gt;0))-SUMPRODUCT(--(calc!$AD$3:$AD$67=TRUE),--(ROW(calc!$AD$3:$AD$67)&gt;ROW(AD6)),--(((calc!$AI$3:$AI$67&gt;AI6)*(calc!$AJ$3:$AJ$67&lt;AJ6)+(calc!$AI$3:$AI$67&lt;AI6)*(calc!$AJ$3:$AJ$67&gt;AJ6))&gt;0)),0)</f>
        <v/>
      </c>
      <c r="AL6" s="5">
        <f>IF(mos_metrics!J5="","",mos_metrics!J5)</f>
        <v/>
      </c>
      <c r="AM6" s="2">
        <f>AND($J6,ISNUMBER(AL6),correlation!$I$29=1)</f>
        <v/>
      </c>
      <c r="AN6" s="5">
        <f>IF(AM6,$F6,"")</f>
        <v/>
      </c>
      <c r="AO6" s="5">
        <f>IF(AM6,AL6*correlation!$J$29,"")</f>
        <v/>
      </c>
      <c r="AP6" s="5">
        <f>IF(AND(AM6,ISNUMBER(correlation!$F$29)),AO6*correlation!$F$29+correlation!$G$29,"")</f>
        <v/>
      </c>
      <c r="AQ6" s="5">
        <f>IF(AND(AM6,ISNUMBER(AP6)),(AN6-AP6)^2,"")</f>
        <v/>
      </c>
      <c r="AR6" s="5">
        <f>IF(AM6,1+SUMPRODUCT(--(calc!$AM$3:$AM$67=TRUE),--(calc!$AN$3:$AN$67&gt;AN6))+(SUMPRODUCT(--(calc!$AM$3:$AM$67=TRUE),--(calc!$AN$3:$AN$67=AN6))-1)/2,"")</f>
        <v/>
      </c>
      <c r="AS6" s="5">
        <f>IF(AM6,1+SUMPRODUCT(--(calc!$AM$3:$AM$67=TRUE),--(calc!$AO$3:$AO$67&gt;AO6))+(SUMPRODUCT(--(calc!$AM$3:$AM$67=TRUE),--(calc!$AO$3:$AO$67=AO6))-1)/2,"")</f>
        <v/>
      </c>
      <c r="AT6" s="5">
        <f>IF(AM6,SUMPRODUCT(--(calc!$AM$3:$AM$67=TRUE),--(ROW(calc!$AM$3:$AM$67)&gt;ROW(AM6)),--(((calc!$AR$3:$AR$67&gt;AR6)*(calc!$AS$3:$AS$67&gt;AS6)+(calc!$AR$3:$AR$67&lt;AR6)*(calc!$AS$3:$AS$67&lt;AS6))&gt;0))-SUMPRODUCT(--(calc!$AM$3:$AM$67=TRUE),--(ROW(calc!$AM$3:$AM$67)&gt;ROW(AM6)),--(((calc!$AR$3:$AR$67&gt;AR6)*(calc!$AS$3:$AS$67&lt;AS6)+(calc!$AR$3:$AR$67&lt;AR6)*(calc!$AS$3:$AS$67&gt;AS6))&gt;0)),0)</f>
        <v/>
      </c>
      <c r="AU6" s="5">
        <f>IF(mos_metrics!K5="","",mos_metrics!K5)</f>
        <v/>
      </c>
      <c r="AV6" s="2">
        <f>AND($J6,ISNUMBER(AU6),correlation!$I$30=1)</f>
        <v/>
      </c>
      <c r="AW6" s="5">
        <f>IF(AV6,$F6,"")</f>
        <v/>
      </c>
      <c r="AX6" s="5">
        <f>IF(AV6,AU6*correlation!$J$30,"")</f>
        <v/>
      </c>
      <c r="AY6" s="5">
        <f>IF(AND(AV6,ISNUMBER(correlation!$F$30)),AX6*correlation!$F$30+correlation!$G$30,"")</f>
        <v/>
      </c>
      <c r="AZ6" s="5">
        <f>IF(AND(AV6,ISNUMBER(AY6)),(AW6-AY6)^2,"")</f>
        <v/>
      </c>
      <c r="BA6" s="5">
        <f>IF(AV6,1+SUMPRODUCT(--(calc!$AV$3:$AV$67=TRUE),--(calc!$AW$3:$AW$67&gt;AW6))+(SUMPRODUCT(--(calc!$AV$3:$AV$67=TRUE),--(calc!$AW$3:$AW$67=AW6))-1)/2,"")</f>
        <v/>
      </c>
      <c r="BB6" s="5">
        <f>IF(AV6,1+SUMPRODUCT(--(calc!$AV$3:$AV$67=TRUE),--(calc!$AX$3:$AX$67&gt;AX6))+(SUMPRODUCT(--(calc!$AV$3:$AV$67=TRUE),--(calc!$AX$3:$AX$67=AX6))-1)/2,"")</f>
        <v/>
      </c>
      <c r="BC6" s="5">
        <f>IF(AV6,SUMPRODUCT(--(calc!$AV$3:$AV$67=TRUE),--(ROW(calc!$AV$3:$AV$67)&gt;ROW(AV6)),--(((calc!$BA$3:$BA$67&gt;BA6)*(calc!$BB$3:$BB$67&gt;BB6)+(calc!$BA$3:$BA$67&lt;BA6)*(calc!$BB$3:$BB$67&lt;BB6))&gt;0))-SUMPRODUCT(--(calc!$AV$3:$AV$67=TRUE),--(ROW(calc!$AV$3:$AV$67)&gt;ROW(AV6)),--(((calc!$BA$3:$BA$67&gt;BA6)*(calc!$BB$3:$BB$67&lt;BB6)+(calc!$BA$3:$BA$67&lt;BA6)*(calc!$BB$3:$BB$67&gt;BB6))&gt;0)),0)</f>
        <v/>
      </c>
      <c r="BD6" s="5">
        <f>IF(mos_metrics!L5="","",mos_metrics!L5)</f>
        <v/>
      </c>
      <c r="BE6" s="2">
        <f>AND($J6,ISNUMBER(BD6),correlation!$I$31=1)</f>
        <v/>
      </c>
      <c r="BF6" s="5">
        <f>IF(BE6,$F6,"")</f>
        <v/>
      </c>
      <c r="BG6" s="5">
        <f>IF(BE6,BD6*correlation!$J$31,"")</f>
        <v/>
      </c>
      <c r="BH6" s="5">
        <f>IF(AND(BE6,ISNUMBER(correlation!$F$31)),BG6*correlation!$F$31+correlation!$G$31,"")</f>
        <v/>
      </c>
      <c r="BI6" s="5">
        <f>IF(AND(BE6,ISNUMBER(BH6)),(BF6-BH6)^2,"")</f>
        <v/>
      </c>
      <c r="BJ6" s="5">
        <f>IF(BE6,1+SUMPRODUCT(--(calc!$BE$3:$BE$67=TRUE),--(calc!$BF$3:$BF$67&gt;BF6))+(SUMPRODUCT(--(calc!$BE$3:$BE$67=TRUE),--(calc!$BF$3:$BF$67=BF6))-1)/2,"")</f>
        <v/>
      </c>
      <c r="BK6" s="5">
        <f>IF(BE6,1+SUMPRODUCT(--(calc!$BE$3:$BE$67=TRUE),--(calc!$BG$3:$BG$67&gt;BG6))+(SUMPRODUCT(--(calc!$BE$3:$BE$67=TRUE),--(calc!$BG$3:$BG$67=BG6))-1)/2,"")</f>
        <v/>
      </c>
      <c r="BL6" s="5">
        <f>IF(BE6,SUMPRODUCT(--(calc!$BE$3:$BE$67=TRUE),--(ROW(calc!$BE$3:$BE$67)&gt;ROW(BE6)),--(((calc!$BJ$3:$BJ$67&gt;BJ6)*(calc!$BK$3:$BK$67&gt;BK6)+(calc!$BJ$3:$BJ$67&lt;BJ6)*(calc!$BK$3:$BK$67&lt;BK6))&gt;0))-SUMPRODUCT(--(calc!$BE$3:$BE$67=TRUE),--(ROW(calc!$BE$3:$BE$67)&gt;ROW(BE6)),--(((calc!$BJ$3:$BJ$67&gt;BJ6)*(calc!$BK$3:$BK$67&lt;BK6)+(calc!$BJ$3:$BJ$67&lt;BJ6)*(calc!$BK$3:$BK$67&gt;BK6))&gt;0)),0)</f>
        <v/>
      </c>
      <c r="BM6" s="5">
        <f>IF(mos_metrics!M5="","",mos_metrics!M5)</f>
        <v/>
      </c>
      <c r="BN6" s="2">
        <f>AND($J6,ISNUMBER(BM6),correlation!$I$32=1)</f>
        <v/>
      </c>
      <c r="BO6" s="5">
        <f>IF(BN6,$F6,"")</f>
        <v/>
      </c>
      <c r="BP6" s="5">
        <f>IF(BN6,BM6*correlation!$J$32,"")</f>
        <v/>
      </c>
      <c r="BQ6" s="5">
        <f>IF(AND(BN6,ISNUMBER(correlation!$F$32)),BP6*correlation!$F$32+correlation!$G$32,"")</f>
        <v/>
      </c>
      <c r="BR6" s="5">
        <f>IF(AND(BN6,ISNUMBER(BQ6)),(BO6-BQ6)^2,"")</f>
        <v/>
      </c>
      <c r="BS6" s="5">
        <f>IF(BN6,1+SUMPRODUCT(--(calc!$BN$3:$BN$67=TRUE),--(calc!$BO$3:$BO$67&gt;BO6))+(SUMPRODUCT(--(calc!$BN$3:$BN$67=TRUE),--(calc!$BO$3:$BO$67=BO6))-1)/2,"")</f>
        <v/>
      </c>
      <c r="BT6" s="5">
        <f>IF(BN6,1+SUMPRODUCT(--(calc!$BN$3:$BN$67=TRUE),--(calc!$BP$3:$BP$67&gt;BP6))+(SUMPRODUCT(--(calc!$BN$3:$BN$67=TRUE),--(calc!$BP$3:$BP$67=BP6))-1)/2,"")</f>
        <v/>
      </c>
      <c r="BU6" s="5">
        <f>IF(BN6,SUMPRODUCT(--(calc!$BN$3:$BN$67=TRUE),--(ROW(calc!$BN$3:$BN$67)&gt;ROW(BN6)),--(((calc!$BS$3:$BS$67&gt;BS6)*(calc!$BT$3:$BT$67&gt;BT6)+(calc!$BS$3:$BS$67&lt;BS6)*(calc!$BT$3:$BT$67&lt;BT6))&gt;0))-SUMPRODUCT(--(calc!$BN$3:$BN$67=TRUE),--(ROW(calc!$BN$3:$BN$67)&gt;ROW(BN6)),--(((calc!$BS$3:$BS$67&gt;BS6)*(calc!$BT$3:$BT$67&lt;BT6)+(calc!$BS$3:$BS$67&lt;BS6)*(calc!$BT$3:$BT$67&gt;BT6))&gt;0)),0)</f>
        <v/>
      </c>
    </row>
    <row r="7">
      <c r="A7" s="2">
        <f>mos_metrics!A6</f>
        <v/>
      </c>
      <c r="B7" s="2">
        <f>mos_metrics!B6</f>
        <v/>
      </c>
      <c r="C7" s="2">
        <f>mos_metrics!C6</f>
        <v/>
      </c>
      <c r="D7" s="2">
        <f>mos_metrics!D6</f>
        <v/>
      </c>
      <c r="E7" s="2">
        <f>mos_metrics!E6</f>
        <v/>
      </c>
      <c r="F7" s="2">
        <f>mos_metrics!F6</f>
        <v/>
      </c>
      <c r="G7" s="2">
        <f>IF($B7="","",IFERROR(VLOOKUP($B7,correlation!$A$2:$B$6,2,FALSE),1))</f>
        <v/>
      </c>
      <c r="H7" s="2">
        <f>IF($E7="","",IFERROR(VLOOKUP($E7,correlation!$D$2:$E$8,2,FALSE),1))</f>
        <v/>
      </c>
      <c r="I7" s="2">
        <f>ISNUMBER($F7)</f>
        <v/>
      </c>
      <c r="J7" s="2">
        <f>AND($G7=1,$H7=1,$I7)</f>
        <v/>
      </c>
      <c r="K7" s="5">
        <f>IF(mos_metrics!G6="","",mos_metrics!G6)</f>
        <v/>
      </c>
      <c r="L7" s="2">
        <f>AND($J7,ISNUMBER(K7),correlation!$I$26=1)</f>
        <v/>
      </c>
      <c r="M7" s="5">
        <f>IF(L7,$F7,"")</f>
        <v/>
      </c>
      <c r="N7" s="5">
        <f>IF(L7,K7*correlation!$J$26,"")</f>
        <v/>
      </c>
      <c r="O7" s="5">
        <f>IF(AND(L7,ISNUMBER(correlation!$F$26)),N7*correlation!$F$26+correlation!$G$26,"")</f>
        <v/>
      </c>
      <c r="P7" s="5">
        <f>IF(AND(L7,ISNUMBER(O7)),(M7-O7)^2,"")</f>
        <v/>
      </c>
      <c r="Q7" s="5">
        <f>IF(L7,1+SUMPRODUCT(--(calc!$L$3:$L$67=TRUE),--(calc!$M$3:$M$67&gt;M7))+(SUMPRODUCT(--(calc!$L$3:$L$67=TRUE),--(calc!$M$3:$M$67=M7))-1)/2,"")</f>
        <v/>
      </c>
      <c r="R7" s="5">
        <f>IF(L7,1+SUMPRODUCT(--(calc!$L$3:$L$67=TRUE),--(calc!$N$3:$N$67&gt;N7))+(SUMPRODUCT(--(calc!$L$3:$L$67=TRUE),--(calc!$N$3:$N$67=N7))-1)/2,"")</f>
        <v/>
      </c>
      <c r="S7" s="5">
        <f>IF(L7,SUMPRODUCT(--(calc!$L$3:$L$67=TRUE),--(ROW(calc!$L$3:$L$67)&gt;ROW(L7)),--(((calc!$Q$3:$Q$67&gt;Q7)*(calc!$R$3:$R$67&gt;R7)+(calc!$Q$3:$Q$67&lt;Q7)*(calc!$R$3:$R$67&lt;R7))&gt;0))-SUMPRODUCT(--(calc!$L$3:$L$67=TRUE),--(ROW(calc!$L$3:$L$67)&gt;ROW(L7)),--(((calc!$Q$3:$Q$67&gt;Q7)*(calc!$R$3:$R$67&lt;R7)+(calc!$Q$3:$Q$67&lt;Q7)*(calc!$R$3:$R$67&gt;R7))&gt;0)),0)</f>
        <v/>
      </c>
      <c r="T7" s="5">
        <f>IF(mos_metrics!H6="","",mos_metrics!H6)</f>
        <v/>
      </c>
      <c r="U7" s="2">
        <f>AND($J7,ISNUMBER(T7),correlation!$I$27=1)</f>
        <v/>
      </c>
      <c r="V7" s="5">
        <f>IF(U7,$F7,"")</f>
        <v/>
      </c>
      <c r="W7" s="5">
        <f>IF(U7,T7*correlation!$J$27,"")</f>
        <v/>
      </c>
      <c r="X7" s="5">
        <f>IF(AND(U7,ISNUMBER(correlation!$F$27)),W7*correlation!$F$27+correlation!$G$27,"")</f>
        <v/>
      </c>
      <c r="Y7" s="5">
        <f>IF(AND(U7,ISNUMBER(X7)),(V7-X7)^2,"")</f>
        <v/>
      </c>
      <c r="Z7" s="5">
        <f>IF(U7,1+SUMPRODUCT(--(calc!$U$3:$U$67=TRUE),--(calc!$V$3:$V$67&gt;V7))+(SUMPRODUCT(--(calc!$U$3:$U$67=TRUE),--(calc!$V$3:$V$67=V7))-1)/2,"")</f>
        <v/>
      </c>
      <c r="AA7" s="5">
        <f>IF(U7,1+SUMPRODUCT(--(calc!$U$3:$U$67=TRUE),--(calc!$W$3:$W$67&gt;W7))+(SUMPRODUCT(--(calc!$U$3:$U$67=TRUE),--(calc!$W$3:$W$67=W7))-1)/2,"")</f>
        <v/>
      </c>
      <c r="AB7" s="5">
        <f>IF(U7,SUMPRODUCT(--(calc!$U$3:$U$67=TRUE),--(ROW(calc!$U$3:$U$67)&gt;ROW(U7)),--(((calc!$Z$3:$Z$67&gt;Z7)*(calc!$AA$3:$AA$67&gt;AA7)+(calc!$Z$3:$Z$67&lt;Z7)*(calc!$AA$3:$AA$67&lt;AA7))&gt;0))-SUMPRODUCT(--(calc!$U$3:$U$67=TRUE),--(ROW(calc!$U$3:$U$67)&gt;ROW(U7)),--(((calc!$Z$3:$Z$67&gt;Z7)*(calc!$AA$3:$AA$67&lt;AA7)+(calc!$Z$3:$Z$67&lt;Z7)*(calc!$AA$3:$AA$67&gt;AA7))&gt;0)),0)</f>
        <v/>
      </c>
      <c r="AC7" s="5">
        <f>IF(mos_metrics!I6="","",mos_metrics!I6)</f>
        <v/>
      </c>
      <c r="AD7" s="2">
        <f>AND($J7,ISNUMBER(AC7),correlation!$I$28=1)</f>
        <v/>
      </c>
      <c r="AE7" s="5">
        <f>IF(AD7,$F7,"")</f>
        <v/>
      </c>
      <c r="AF7" s="5">
        <f>IF(AD7,AC7*correlation!$J$28,"")</f>
        <v/>
      </c>
      <c r="AG7" s="5">
        <f>IF(AND(AD7,ISNUMBER(correlation!$F$28)),AF7*correlation!$F$28+correlation!$G$28,"")</f>
        <v/>
      </c>
      <c r="AH7" s="5">
        <f>IF(AND(AD7,ISNUMBER(AG7)),(AE7-AG7)^2,"")</f>
        <v/>
      </c>
      <c r="AI7" s="5">
        <f>IF(AD7,1+SUMPRODUCT(--(calc!$AD$3:$AD$67=TRUE),--(calc!$AE$3:$AE$67&gt;AE7))+(SUMPRODUCT(--(calc!$AD$3:$AD$67=TRUE),--(calc!$AE$3:$AE$67=AE7))-1)/2,"")</f>
        <v/>
      </c>
      <c r="AJ7" s="5">
        <f>IF(AD7,1+SUMPRODUCT(--(calc!$AD$3:$AD$67=TRUE),--(calc!$AF$3:$AF$67&gt;AF7))+(SUMPRODUCT(--(calc!$AD$3:$AD$67=TRUE),--(calc!$AF$3:$AF$67=AF7))-1)/2,"")</f>
        <v/>
      </c>
      <c r="AK7" s="5">
        <f>IF(AD7,SUMPRODUCT(--(calc!$AD$3:$AD$67=TRUE),--(ROW(calc!$AD$3:$AD$67)&gt;ROW(AD7)),--(((calc!$AI$3:$AI$67&gt;AI7)*(calc!$AJ$3:$AJ$67&gt;AJ7)+(calc!$AI$3:$AI$67&lt;AI7)*(calc!$AJ$3:$AJ$67&lt;AJ7))&gt;0))-SUMPRODUCT(--(calc!$AD$3:$AD$67=TRUE),--(ROW(calc!$AD$3:$AD$67)&gt;ROW(AD7)),--(((calc!$AI$3:$AI$67&gt;AI7)*(calc!$AJ$3:$AJ$67&lt;AJ7)+(calc!$AI$3:$AI$67&lt;AI7)*(calc!$AJ$3:$AJ$67&gt;AJ7))&gt;0)),0)</f>
        <v/>
      </c>
      <c r="AL7" s="5">
        <f>IF(mos_metrics!J6="","",mos_metrics!J6)</f>
        <v/>
      </c>
      <c r="AM7" s="2">
        <f>AND($J7,ISNUMBER(AL7),correlation!$I$29=1)</f>
        <v/>
      </c>
      <c r="AN7" s="5">
        <f>IF(AM7,$F7,"")</f>
        <v/>
      </c>
      <c r="AO7" s="5">
        <f>IF(AM7,AL7*correlation!$J$29,"")</f>
        <v/>
      </c>
      <c r="AP7" s="5">
        <f>IF(AND(AM7,ISNUMBER(correlation!$F$29)),AO7*correlation!$F$29+correlation!$G$29,"")</f>
        <v/>
      </c>
      <c r="AQ7" s="5">
        <f>IF(AND(AM7,ISNUMBER(AP7)),(AN7-AP7)^2,"")</f>
        <v/>
      </c>
      <c r="AR7" s="5">
        <f>IF(AM7,1+SUMPRODUCT(--(calc!$AM$3:$AM$67=TRUE),--(calc!$AN$3:$AN$67&gt;AN7))+(SUMPRODUCT(--(calc!$AM$3:$AM$67=TRUE),--(calc!$AN$3:$AN$67=AN7))-1)/2,"")</f>
        <v/>
      </c>
      <c r="AS7" s="5">
        <f>IF(AM7,1+SUMPRODUCT(--(calc!$AM$3:$AM$67=TRUE),--(calc!$AO$3:$AO$67&gt;AO7))+(SUMPRODUCT(--(calc!$AM$3:$AM$67=TRUE),--(calc!$AO$3:$AO$67=AO7))-1)/2,"")</f>
        <v/>
      </c>
      <c r="AT7" s="5">
        <f>IF(AM7,SUMPRODUCT(--(calc!$AM$3:$AM$67=TRUE),--(ROW(calc!$AM$3:$AM$67)&gt;ROW(AM7)),--(((calc!$AR$3:$AR$67&gt;AR7)*(calc!$AS$3:$AS$67&gt;AS7)+(calc!$AR$3:$AR$67&lt;AR7)*(calc!$AS$3:$AS$67&lt;AS7))&gt;0))-SUMPRODUCT(--(calc!$AM$3:$AM$67=TRUE),--(ROW(calc!$AM$3:$AM$67)&gt;ROW(AM7)),--(((calc!$AR$3:$AR$67&gt;AR7)*(calc!$AS$3:$AS$67&lt;AS7)+(calc!$AR$3:$AR$67&lt;AR7)*(calc!$AS$3:$AS$67&gt;AS7))&gt;0)),0)</f>
        <v/>
      </c>
      <c r="AU7" s="5">
        <f>IF(mos_metrics!K6="","",mos_metrics!K6)</f>
        <v/>
      </c>
      <c r="AV7" s="2">
        <f>AND($J7,ISNUMBER(AU7),correlation!$I$30=1)</f>
        <v/>
      </c>
      <c r="AW7" s="5">
        <f>IF(AV7,$F7,"")</f>
        <v/>
      </c>
      <c r="AX7" s="5">
        <f>IF(AV7,AU7*correlation!$J$30,"")</f>
        <v/>
      </c>
      <c r="AY7" s="5">
        <f>IF(AND(AV7,ISNUMBER(correlation!$F$30)),AX7*correlation!$F$30+correlation!$G$30,"")</f>
        <v/>
      </c>
      <c r="AZ7" s="5">
        <f>IF(AND(AV7,ISNUMBER(AY7)),(AW7-AY7)^2,"")</f>
        <v/>
      </c>
      <c r="BA7" s="5">
        <f>IF(AV7,1+SUMPRODUCT(--(calc!$AV$3:$AV$67=TRUE),--(calc!$AW$3:$AW$67&gt;AW7))+(SUMPRODUCT(--(calc!$AV$3:$AV$67=TRUE),--(calc!$AW$3:$AW$67=AW7))-1)/2,"")</f>
        <v/>
      </c>
      <c r="BB7" s="5">
        <f>IF(AV7,1+SUMPRODUCT(--(calc!$AV$3:$AV$67=TRUE),--(calc!$AX$3:$AX$67&gt;AX7))+(SUMPRODUCT(--(calc!$AV$3:$AV$67=TRUE),--(calc!$AX$3:$AX$67=AX7))-1)/2,"")</f>
        <v/>
      </c>
      <c r="BC7" s="5">
        <f>IF(AV7,SUMPRODUCT(--(calc!$AV$3:$AV$67=TRUE),--(ROW(calc!$AV$3:$AV$67)&gt;ROW(AV7)),--(((calc!$BA$3:$BA$67&gt;BA7)*(calc!$BB$3:$BB$67&gt;BB7)+(calc!$BA$3:$BA$67&lt;BA7)*(calc!$BB$3:$BB$67&lt;BB7))&gt;0))-SUMPRODUCT(--(calc!$AV$3:$AV$67=TRUE),--(ROW(calc!$AV$3:$AV$67)&gt;ROW(AV7)),--(((calc!$BA$3:$BA$67&gt;BA7)*(calc!$BB$3:$BB$67&lt;BB7)+(calc!$BA$3:$BA$67&lt;BA7)*(calc!$BB$3:$BB$67&gt;BB7))&gt;0)),0)</f>
        <v/>
      </c>
      <c r="BD7" s="5">
        <f>IF(mos_metrics!L6="","",mos_metrics!L6)</f>
        <v/>
      </c>
      <c r="BE7" s="2">
        <f>AND($J7,ISNUMBER(BD7),correlation!$I$31=1)</f>
        <v/>
      </c>
      <c r="BF7" s="5">
        <f>IF(BE7,$F7,"")</f>
        <v/>
      </c>
      <c r="BG7" s="5">
        <f>IF(BE7,BD7*correlation!$J$31,"")</f>
        <v/>
      </c>
      <c r="BH7" s="5">
        <f>IF(AND(BE7,ISNUMBER(correlation!$F$31)),BG7*correlation!$F$31+correlation!$G$31,"")</f>
        <v/>
      </c>
      <c r="BI7" s="5">
        <f>IF(AND(BE7,ISNUMBER(BH7)),(BF7-BH7)^2,"")</f>
        <v/>
      </c>
      <c r="BJ7" s="5">
        <f>IF(BE7,1+SUMPRODUCT(--(calc!$BE$3:$BE$67=TRUE),--(calc!$BF$3:$BF$67&gt;BF7))+(SUMPRODUCT(--(calc!$BE$3:$BE$67=TRUE),--(calc!$BF$3:$BF$67=BF7))-1)/2,"")</f>
        <v/>
      </c>
      <c r="BK7" s="5">
        <f>IF(BE7,1+SUMPRODUCT(--(calc!$BE$3:$BE$67=TRUE),--(calc!$BG$3:$BG$67&gt;BG7))+(SUMPRODUCT(--(calc!$BE$3:$BE$67=TRUE),--(calc!$BG$3:$BG$67=BG7))-1)/2,"")</f>
        <v/>
      </c>
      <c r="BL7" s="5">
        <f>IF(BE7,SUMPRODUCT(--(calc!$BE$3:$BE$67=TRUE),--(ROW(calc!$BE$3:$BE$67)&gt;ROW(BE7)),--(((calc!$BJ$3:$BJ$67&gt;BJ7)*(calc!$BK$3:$BK$67&gt;BK7)+(calc!$BJ$3:$BJ$67&lt;BJ7)*(calc!$BK$3:$BK$67&lt;BK7))&gt;0))-SUMPRODUCT(--(calc!$BE$3:$BE$67=TRUE),--(ROW(calc!$BE$3:$BE$67)&gt;ROW(BE7)),--(((calc!$BJ$3:$BJ$67&gt;BJ7)*(calc!$BK$3:$BK$67&lt;BK7)+(calc!$BJ$3:$BJ$67&lt;BJ7)*(calc!$BK$3:$BK$67&gt;BK7))&gt;0)),0)</f>
        <v/>
      </c>
      <c r="BM7" s="5">
        <f>IF(mos_metrics!M6="","",mos_metrics!M6)</f>
        <v/>
      </c>
      <c r="BN7" s="2">
        <f>AND($J7,ISNUMBER(BM7),correlation!$I$32=1)</f>
        <v/>
      </c>
      <c r="BO7" s="5">
        <f>IF(BN7,$F7,"")</f>
        <v/>
      </c>
      <c r="BP7" s="5">
        <f>IF(BN7,BM7*correlation!$J$32,"")</f>
        <v/>
      </c>
      <c r="BQ7" s="5">
        <f>IF(AND(BN7,ISNUMBER(correlation!$F$32)),BP7*correlation!$F$32+correlation!$G$32,"")</f>
        <v/>
      </c>
      <c r="BR7" s="5">
        <f>IF(AND(BN7,ISNUMBER(BQ7)),(BO7-BQ7)^2,"")</f>
        <v/>
      </c>
      <c r="BS7" s="5">
        <f>IF(BN7,1+SUMPRODUCT(--(calc!$BN$3:$BN$67=TRUE),--(calc!$BO$3:$BO$67&gt;BO7))+(SUMPRODUCT(--(calc!$BN$3:$BN$67=TRUE),--(calc!$BO$3:$BO$67=BO7))-1)/2,"")</f>
        <v/>
      </c>
      <c r="BT7" s="5">
        <f>IF(BN7,1+SUMPRODUCT(--(calc!$BN$3:$BN$67=TRUE),--(calc!$BP$3:$BP$67&gt;BP7))+(SUMPRODUCT(--(calc!$BN$3:$BN$67=TRUE),--(calc!$BP$3:$BP$67=BP7))-1)/2,"")</f>
        <v/>
      </c>
      <c r="BU7" s="5">
        <f>IF(BN7,SUMPRODUCT(--(calc!$BN$3:$BN$67=TRUE),--(ROW(calc!$BN$3:$BN$67)&gt;ROW(BN7)),--(((calc!$BS$3:$BS$67&gt;BS7)*(calc!$BT$3:$BT$67&gt;BT7)+(calc!$BS$3:$BS$67&lt;BS7)*(calc!$BT$3:$BT$67&lt;BT7))&gt;0))-SUMPRODUCT(--(calc!$BN$3:$BN$67=TRUE),--(ROW(calc!$BN$3:$BN$67)&gt;ROW(BN7)),--(((calc!$BS$3:$BS$67&gt;BS7)*(calc!$BT$3:$BT$67&lt;BT7)+(calc!$BS$3:$BS$67&lt;BS7)*(calc!$BT$3:$BT$67&gt;BT7))&gt;0)),0)</f>
        <v/>
      </c>
    </row>
    <row r="8">
      <c r="A8" s="2">
        <f>mos_metrics!A7</f>
        <v/>
      </c>
      <c r="B8" s="2">
        <f>mos_metrics!B7</f>
        <v/>
      </c>
      <c r="C8" s="2">
        <f>mos_metrics!C7</f>
        <v/>
      </c>
      <c r="D8" s="2">
        <f>mos_metrics!D7</f>
        <v/>
      </c>
      <c r="E8" s="2">
        <f>mos_metrics!E7</f>
        <v/>
      </c>
      <c r="F8" s="2">
        <f>mos_metrics!F7</f>
        <v/>
      </c>
      <c r="G8" s="2">
        <f>IF($B8="","",IFERROR(VLOOKUP($B8,correlation!$A$2:$B$6,2,FALSE),1))</f>
        <v/>
      </c>
      <c r="H8" s="2">
        <f>IF($E8="","",IFERROR(VLOOKUP($E8,correlation!$D$2:$E$8,2,FALSE),1))</f>
        <v/>
      </c>
      <c r="I8" s="2">
        <f>ISNUMBER($F8)</f>
        <v/>
      </c>
      <c r="J8" s="2">
        <f>AND($G8=1,$H8=1,$I8)</f>
        <v/>
      </c>
      <c r="K8" s="5">
        <f>IF(mos_metrics!G7="","",mos_metrics!G7)</f>
        <v/>
      </c>
      <c r="L8" s="2">
        <f>AND($J8,ISNUMBER(K8),correlation!$I$26=1)</f>
        <v/>
      </c>
      <c r="M8" s="5">
        <f>IF(L8,$F8,"")</f>
        <v/>
      </c>
      <c r="N8" s="5">
        <f>IF(L8,K8*correlation!$J$26,"")</f>
        <v/>
      </c>
      <c r="O8" s="5">
        <f>IF(AND(L8,ISNUMBER(correlation!$F$26)),N8*correlation!$F$26+correlation!$G$26,"")</f>
        <v/>
      </c>
      <c r="P8" s="5">
        <f>IF(AND(L8,ISNUMBER(O8)),(M8-O8)^2,"")</f>
        <v/>
      </c>
      <c r="Q8" s="5">
        <f>IF(L8,1+SUMPRODUCT(--(calc!$L$3:$L$67=TRUE),--(calc!$M$3:$M$67&gt;M8))+(SUMPRODUCT(--(calc!$L$3:$L$67=TRUE),--(calc!$M$3:$M$67=M8))-1)/2,"")</f>
        <v/>
      </c>
      <c r="R8" s="5">
        <f>IF(L8,1+SUMPRODUCT(--(calc!$L$3:$L$67=TRUE),--(calc!$N$3:$N$67&gt;N8))+(SUMPRODUCT(--(calc!$L$3:$L$67=TRUE),--(calc!$N$3:$N$67=N8))-1)/2,"")</f>
        <v/>
      </c>
      <c r="S8" s="5">
        <f>IF(L8,SUMPRODUCT(--(calc!$L$3:$L$67=TRUE),--(ROW(calc!$L$3:$L$67)&gt;ROW(L8)),--(((calc!$Q$3:$Q$67&gt;Q8)*(calc!$R$3:$R$67&gt;R8)+(calc!$Q$3:$Q$67&lt;Q8)*(calc!$R$3:$R$67&lt;R8))&gt;0))-SUMPRODUCT(--(calc!$L$3:$L$67=TRUE),--(ROW(calc!$L$3:$L$67)&gt;ROW(L8)),--(((calc!$Q$3:$Q$67&gt;Q8)*(calc!$R$3:$R$67&lt;R8)+(calc!$Q$3:$Q$67&lt;Q8)*(calc!$R$3:$R$67&gt;R8))&gt;0)),0)</f>
        <v/>
      </c>
      <c r="T8" s="5">
        <f>IF(mos_metrics!H7="","",mos_metrics!H7)</f>
        <v/>
      </c>
      <c r="U8" s="2">
        <f>AND($J8,ISNUMBER(T8),correlation!$I$27=1)</f>
        <v/>
      </c>
      <c r="V8" s="5">
        <f>IF(U8,$F8,"")</f>
        <v/>
      </c>
      <c r="W8" s="5">
        <f>IF(U8,T8*correlation!$J$27,"")</f>
        <v/>
      </c>
      <c r="X8" s="5">
        <f>IF(AND(U8,ISNUMBER(correlation!$F$27)),W8*correlation!$F$27+correlation!$G$27,"")</f>
        <v/>
      </c>
      <c r="Y8" s="5">
        <f>IF(AND(U8,ISNUMBER(X8)),(V8-X8)^2,"")</f>
        <v/>
      </c>
      <c r="Z8" s="5">
        <f>IF(U8,1+SUMPRODUCT(--(calc!$U$3:$U$67=TRUE),--(calc!$V$3:$V$67&gt;V8))+(SUMPRODUCT(--(calc!$U$3:$U$67=TRUE),--(calc!$V$3:$V$67=V8))-1)/2,"")</f>
        <v/>
      </c>
      <c r="AA8" s="5">
        <f>IF(U8,1+SUMPRODUCT(--(calc!$U$3:$U$67=TRUE),--(calc!$W$3:$W$67&gt;W8))+(SUMPRODUCT(--(calc!$U$3:$U$67=TRUE),--(calc!$W$3:$W$67=W8))-1)/2,"")</f>
        <v/>
      </c>
      <c r="AB8" s="5">
        <f>IF(U8,SUMPRODUCT(--(calc!$U$3:$U$67=TRUE),--(ROW(calc!$U$3:$U$67)&gt;ROW(U8)),--(((calc!$Z$3:$Z$67&gt;Z8)*(calc!$AA$3:$AA$67&gt;AA8)+(calc!$Z$3:$Z$67&lt;Z8)*(calc!$AA$3:$AA$67&lt;AA8))&gt;0))-SUMPRODUCT(--(calc!$U$3:$U$67=TRUE),--(ROW(calc!$U$3:$U$67)&gt;ROW(U8)),--(((calc!$Z$3:$Z$67&gt;Z8)*(calc!$AA$3:$AA$67&lt;AA8)+(calc!$Z$3:$Z$67&lt;Z8)*(calc!$AA$3:$AA$67&gt;AA8))&gt;0)),0)</f>
        <v/>
      </c>
      <c r="AC8" s="5">
        <f>IF(mos_metrics!I7="","",mos_metrics!I7)</f>
        <v/>
      </c>
      <c r="AD8" s="2">
        <f>AND($J8,ISNUMBER(AC8),correlation!$I$28=1)</f>
        <v/>
      </c>
      <c r="AE8" s="5">
        <f>IF(AD8,$F8,"")</f>
        <v/>
      </c>
      <c r="AF8" s="5">
        <f>IF(AD8,AC8*correlation!$J$28,"")</f>
        <v/>
      </c>
      <c r="AG8" s="5">
        <f>IF(AND(AD8,ISNUMBER(correlation!$F$28)),AF8*correlation!$F$28+correlation!$G$28,"")</f>
        <v/>
      </c>
      <c r="AH8" s="5">
        <f>IF(AND(AD8,ISNUMBER(AG8)),(AE8-AG8)^2,"")</f>
        <v/>
      </c>
      <c r="AI8" s="5">
        <f>IF(AD8,1+SUMPRODUCT(--(calc!$AD$3:$AD$67=TRUE),--(calc!$AE$3:$AE$67&gt;AE8))+(SUMPRODUCT(--(calc!$AD$3:$AD$67=TRUE),--(calc!$AE$3:$AE$67=AE8))-1)/2,"")</f>
        <v/>
      </c>
      <c r="AJ8" s="5">
        <f>IF(AD8,1+SUMPRODUCT(--(calc!$AD$3:$AD$67=TRUE),--(calc!$AF$3:$AF$67&gt;AF8))+(SUMPRODUCT(--(calc!$AD$3:$AD$67=TRUE),--(calc!$AF$3:$AF$67=AF8))-1)/2,"")</f>
        <v/>
      </c>
      <c r="AK8" s="5">
        <f>IF(AD8,SUMPRODUCT(--(calc!$AD$3:$AD$67=TRUE),--(ROW(calc!$AD$3:$AD$67)&gt;ROW(AD8)),--(((calc!$AI$3:$AI$67&gt;AI8)*(calc!$AJ$3:$AJ$67&gt;AJ8)+(calc!$AI$3:$AI$67&lt;AI8)*(calc!$AJ$3:$AJ$67&lt;AJ8))&gt;0))-SUMPRODUCT(--(calc!$AD$3:$AD$67=TRUE),--(ROW(calc!$AD$3:$AD$67)&gt;ROW(AD8)),--(((calc!$AI$3:$AI$67&gt;AI8)*(calc!$AJ$3:$AJ$67&lt;AJ8)+(calc!$AI$3:$AI$67&lt;AI8)*(calc!$AJ$3:$AJ$67&gt;AJ8))&gt;0)),0)</f>
        <v/>
      </c>
      <c r="AL8" s="5">
        <f>IF(mos_metrics!J7="","",mos_metrics!J7)</f>
        <v/>
      </c>
      <c r="AM8" s="2">
        <f>AND($J8,ISNUMBER(AL8),correlation!$I$29=1)</f>
        <v/>
      </c>
      <c r="AN8" s="5">
        <f>IF(AM8,$F8,"")</f>
        <v/>
      </c>
      <c r="AO8" s="5">
        <f>IF(AM8,AL8*correlation!$J$29,"")</f>
        <v/>
      </c>
      <c r="AP8" s="5">
        <f>IF(AND(AM8,ISNUMBER(correlation!$F$29)),AO8*correlation!$F$29+correlation!$G$29,"")</f>
        <v/>
      </c>
      <c r="AQ8" s="5">
        <f>IF(AND(AM8,ISNUMBER(AP8)),(AN8-AP8)^2,"")</f>
        <v/>
      </c>
      <c r="AR8" s="5">
        <f>IF(AM8,1+SUMPRODUCT(--(calc!$AM$3:$AM$67=TRUE),--(calc!$AN$3:$AN$67&gt;AN8))+(SUMPRODUCT(--(calc!$AM$3:$AM$67=TRUE),--(calc!$AN$3:$AN$67=AN8))-1)/2,"")</f>
        <v/>
      </c>
      <c r="AS8" s="5">
        <f>IF(AM8,1+SUMPRODUCT(--(calc!$AM$3:$AM$67=TRUE),--(calc!$AO$3:$AO$67&gt;AO8))+(SUMPRODUCT(--(calc!$AM$3:$AM$67=TRUE),--(calc!$AO$3:$AO$67=AO8))-1)/2,"")</f>
        <v/>
      </c>
      <c r="AT8" s="5">
        <f>IF(AM8,SUMPRODUCT(--(calc!$AM$3:$AM$67=TRUE),--(ROW(calc!$AM$3:$AM$67)&gt;ROW(AM8)),--(((calc!$AR$3:$AR$67&gt;AR8)*(calc!$AS$3:$AS$67&gt;AS8)+(calc!$AR$3:$AR$67&lt;AR8)*(calc!$AS$3:$AS$67&lt;AS8))&gt;0))-SUMPRODUCT(--(calc!$AM$3:$AM$67=TRUE),--(ROW(calc!$AM$3:$AM$67)&gt;ROW(AM8)),--(((calc!$AR$3:$AR$67&gt;AR8)*(calc!$AS$3:$AS$67&lt;AS8)+(calc!$AR$3:$AR$67&lt;AR8)*(calc!$AS$3:$AS$67&gt;AS8))&gt;0)),0)</f>
        <v/>
      </c>
      <c r="AU8" s="5">
        <f>IF(mos_metrics!K7="","",mos_metrics!K7)</f>
        <v/>
      </c>
      <c r="AV8" s="2">
        <f>AND($J8,ISNUMBER(AU8),correlation!$I$30=1)</f>
        <v/>
      </c>
      <c r="AW8" s="5">
        <f>IF(AV8,$F8,"")</f>
        <v/>
      </c>
      <c r="AX8" s="5">
        <f>IF(AV8,AU8*correlation!$J$30,"")</f>
        <v/>
      </c>
      <c r="AY8" s="5">
        <f>IF(AND(AV8,ISNUMBER(correlation!$F$30)),AX8*correlation!$F$30+correlation!$G$30,"")</f>
        <v/>
      </c>
      <c r="AZ8" s="5">
        <f>IF(AND(AV8,ISNUMBER(AY8)),(AW8-AY8)^2,"")</f>
        <v/>
      </c>
      <c r="BA8" s="5">
        <f>IF(AV8,1+SUMPRODUCT(--(calc!$AV$3:$AV$67=TRUE),--(calc!$AW$3:$AW$67&gt;AW8))+(SUMPRODUCT(--(calc!$AV$3:$AV$67=TRUE),--(calc!$AW$3:$AW$67=AW8))-1)/2,"")</f>
        <v/>
      </c>
      <c r="BB8" s="5">
        <f>IF(AV8,1+SUMPRODUCT(--(calc!$AV$3:$AV$67=TRUE),--(calc!$AX$3:$AX$67&gt;AX8))+(SUMPRODUCT(--(calc!$AV$3:$AV$67=TRUE),--(calc!$AX$3:$AX$67=AX8))-1)/2,"")</f>
        <v/>
      </c>
      <c r="BC8" s="5">
        <f>IF(AV8,SUMPRODUCT(--(calc!$AV$3:$AV$67=TRUE),--(ROW(calc!$AV$3:$AV$67)&gt;ROW(AV8)),--(((calc!$BA$3:$BA$67&gt;BA8)*(calc!$BB$3:$BB$67&gt;BB8)+(calc!$BA$3:$BA$67&lt;BA8)*(calc!$BB$3:$BB$67&lt;BB8))&gt;0))-SUMPRODUCT(--(calc!$AV$3:$AV$67=TRUE),--(ROW(calc!$AV$3:$AV$67)&gt;ROW(AV8)),--(((calc!$BA$3:$BA$67&gt;BA8)*(calc!$BB$3:$BB$67&lt;BB8)+(calc!$BA$3:$BA$67&lt;BA8)*(calc!$BB$3:$BB$67&gt;BB8))&gt;0)),0)</f>
        <v/>
      </c>
      <c r="BD8" s="5">
        <f>IF(mos_metrics!L7="","",mos_metrics!L7)</f>
        <v/>
      </c>
      <c r="BE8" s="2">
        <f>AND($J8,ISNUMBER(BD8),correlation!$I$31=1)</f>
        <v/>
      </c>
      <c r="BF8" s="5">
        <f>IF(BE8,$F8,"")</f>
        <v/>
      </c>
      <c r="BG8" s="5">
        <f>IF(BE8,BD8*correlation!$J$31,"")</f>
        <v/>
      </c>
      <c r="BH8" s="5">
        <f>IF(AND(BE8,ISNUMBER(correlation!$F$31)),BG8*correlation!$F$31+correlation!$G$31,"")</f>
        <v/>
      </c>
      <c r="BI8" s="5">
        <f>IF(AND(BE8,ISNUMBER(BH8)),(BF8-BH8)^2,"")</f>
        <v/>
      </c>
      <c r="BJ8" s="5">
        <f>IF(BE8,1+SUMPRODUCT(--(calc!$BE$3:$BE$67=TRUE),--(calc!$BF$3:$BF$67&gt;BF8))+(SUMPRODUCT(--(calc!$BE$3:$BE$67=TRUE),--(calc!$BF$3:$BF$67=BF8))-1)/2,"")</f>
        <v/>
      </c>
      <c r="BK8" s="5">
        <f>IF(BE8,1+SUMPRODUCT(--(calc!$BE$3:$BE$67=TRUE),--(calc!$BG$3:$BG$67&gt;BG8))+(SUMPRODUCT(--(calc!$BE$3:$BE$67=TRUE),--(calc!$BG$3:$BG$67=BG8))-1)/2,"")</f>
        <v/>
      </c>
      <c r="BL8" s="5">
        <f>IF(BE8,SUMPRODUCT(--(calc!$BE$3:$BE$67=TRUE),--(ROW(calc!$BE$3:$BE$67)&gt;ROW(BE8)),--(((calc!$BJ$3:$BJ$67&gt;BJ8)*(calc!$BK$3:$BK$67&gt;BK8)+(calc!$BJ$3:$BJ$67&lt;BJ8)*(calc!$BK$3:$BK$67&lt;BK8))&gt;0))-SUMPRODUCT(--(calc!$BE$3:$BE$67=TRUE),--(ROW(calc!$BE$3:$BE$67)&gt;ROW(BE8)),--(((calc!$BJ$3:$BJ$67&gt;BJ8)*(calc!$BK$3:$BK$67&lt;BK8)+(calc!$BJ$3:$BJ$67&lt;BJ8)*(calc!$BK$3:$BK$67&gt;BK8))&gt;0)),0)</f>
        <v/>
      </c>
      <c r="BM8" s="5">
        <f>IF(mos_metrics!M7="","",mos_metrics!M7)</f>
        <v/>
      </c>
      <c r="BN8" s="2">
        <f>AND($J8,ISNUMBER(BM8),correlation!$I$32=1)</f>
        <v/>
      </c>
      <c r="BO8" s="5">
        <f>IF(BN8,$F8,"")</f>
        <v/>
      </c>
      <c r="BP8" s="5">
        <f>IF(BN8,BM8*correlation!$J$32,"")</f>
        <v/>
      </c>
      <c r="BQ8" s="5">
        <f>IF(AND(BN8,ISNUMBER(correlation!$F$32)),BP8*correlation!$F$32+correlation!$G$32,"")</f>
        <v/>
      </c>
      <c r="BR8" s="5">
        <f>IF(AND(BN8,ISNUMBER(BQ8)),(BO8-BQ8)^2,"")</f>
        <v/>
      </c>
      <c r="BS8" s="5">
        <f>IF(BN8,1+SUMPRODUCT(--(calc!$BN$3:$BN$67=TRUE),--(calc!$BO$3:$BO$67&gt;BO8))+(SUMPRODUCT(--(calc!$BN$3:$BN$67=TRUE),--(calc!$BO$3:$BO$67=BO8))-1)/2,"")</f>
        <v/>
      </c>
      <c r="BT8" s="5">
        <f>IF(BN8,1+SUMPRODUCT(--(calc!$BN$3:$BN$67=TRUE),--(calc!$BP$3:$BP$67&gt;BP8))+(SUMPRODUCT(--(calc!$BN$3:$BN$67=TRUE),--(calc!$BP$3:$BP$67=BP8))-1)/2,"")</f>
        <v/>
      </c>
      <c r="BU8" s="5">
        <f>IF(BN8,SUMPRODUCT(--(calc!$BN$3:$BN$67=TRUE),--(ROW(calc!$BN$3:$BN$67)&gt;ROW(BN8)),--(((calc!$BS$3:$BS$67&gt;BS8)*(calc!$BT$3:$BT$67&gt;BT8)+(calc!$BS$3:$BS$67&lt;BS8)*(calc!$BT$3:$BT$67&lt;BT8))&gt;0))-SUMPRODUCT(--(calc!$BN$3:$BN$67=TRUE),--(ROW(calc!$BN$3:$BN$67)&gt;ROW(BN8)),--(((calc!$BS$3:$BS$67&gt;BS8)*(calc!$BT$3:$BT$67&lt;BT8)+(calc!$BS$3:$BS$67&lt;BS8)*(calc!$BT$3:$BT$67&gt;BT8))&gt;0)),0)</f>
        <v/>
      </c>
    </row>
    <row r="9">
      <c r="A9" s="2">
        <f>mos_metrics!A8</f>
        <v/>
      </c>
      <c r="B9" s="2">
        <f>mos_metrics!B8</f>
        <v/>
      </c>
      <c r="C9" s="2">
        <f>mos_metrics!C8</f>
        <v/>
      </c>
      <c r="D9" s="2">
        <f>mos_metrics!D8</f>
        <v/>
      </c>
      <c r="E9" s="2">
        <f>mos_metrics!E8</f>
        <v/>
      </c>
      <c r="F9" s="2">
        <f>mos_metrics!F8</f>
        <v/>
      </c>
      <c r="G9" s="2">
        <f>IF($B9="","",IFERROR(VLOOKUP($B9,correlation!$A$2:$B$6,2,FALSE),1))</f>
        <v/>
      </c>
      <c r="H9" s="2">
        <f>IF($E9="","",IFERROR(VLOOKUP($E9,correlation!$D$2:$E$8,2,FALSE),1))</f>
        <v/>
      </c>
      <c r="I9" s="2">
        <f>ISNUMBER($F9)</f>
        <v/>
      </c>
      <c r="J9" s="2">
        <f>AND($G9=1,$H9=1,$I9)</f>
        <v/>
      </c>
      <c r="K9" s="5">
        <f>IF(mos_metrics!G8="","",mos_metrics!G8)</f>
        <v/>
      </c>
      <c r="L9" s="2">
        <f>AND($J9,ISNUMBER(K9),correlation!$I$26=1)</f>
        <v/>
      </c>
      <c r="M9" s="5">
        <f>IF(L9,$F9,"")</f>
        <v/>
      </c>
      <c r="N9" s="5">
        <f>IF(L9,K9*correlation!$J$26,"")</f>
        <v/>
      </c>
      <c r="O9" s="5">
        <f>IF(AND(L9,ISNUMBER(correlation!$F$26)),N9*correlation!$F$26+correlation!$G$26,"")</f>
        <v/>
      </c>
      <c r="P9" s="5">
        <f>IF(AND(L9,ISNUMBER(O9)),(M9-O9)^2,"")</f>
        <v/>
      </c>
      <c r="Q9" s="5">
        <f>IF(L9,1+SUMPRODUCT(--(calc!$L$3:$L$67=TRUE),--(calc!$M$3:$M$67&gt;M9))+(SUMPRODUCT(--(calc!$L$3:$L$67=TRUE),--(calc!$M$3:$M$67=M9))-1)/2,"")</f>
        <v/>
      </c>
      <c r="R9" s="5">
        <f>IF(L9,1+SUMPRODUCT(--(calc!$L$3:$L$67=TRUE),--(calc!$N$3:$N$67&gt;N9))+(SUMPRODUCT(--(calc!$L$3:$L$67=TRUE),--(calc!$N$3:$N$67=N9))-1)/2,"")</f>
        <v/>
      </c>
      <c r="S9" s="5">
        <f>IF(L9,SUMPRODUCT(--(calc!$L$3:$L$67=TRUE),--(ROW(calc!$L$3:$L$67)&gt;ROW(L9)),--(((calc!$Q$3:$Q$67&gt;Q9)*(calc!$R$3:$R$67&gt;R9)+(calc!$Q$3:$Q$67&lt;Q9)*(calc!$R$3:$R$67&lt;R9))&gt;0))-SUMPRODUCT(--(calc!$L$3:$L$67=TRUE),--(ROW(calc!$L$3:$L$67)&gt;ROW(L9)),--(((calc!$Q$3:$Q$67&gt;Q9)*(calc!$R$3:$R$67&lt;R9)+(calc!$Q$3:$Q$67&lt;Q9)*(calc!$R$3:$R$67&gt;R9))&gt;0)),0)</f>
        <v/>
      </c>
      <c r="T9" s="5">
        <f>IF(mos_metrics!H8="","",mos_metrics!H8)</f>
        <v/>
      </c>
      <c r="U9" s="2">
        <f>AND($J9,ISNUMBER(T9),correlation!$I$27=1)</f>
        <v/>
      </c>
      <c r="V9" s="5">
        <f>IF(U9,$F9,"")</f>
        <v/>
      </c>
      <c r="W9" s="5">
        <f>IF(U9,T9*correlation!$J$27,"")</f>
        <v/>
      </c>
      <c r="X9" s="5">
        <f>IF(AND(U9,ISNUMBER(correlation!$F$27)),W9*correlation!$F$27+correlation!$G$27,"")</f>
        <v/>
      </c>
      <c r="Y9" s="5">
        <f>IF(AND(U9,ISNUMBER(X9)),(V9-X9)^2,"")</f>
        <v/>
      </c>
      <c r="Z9" s="5">
        <f>IF(U9,1+SUMPRODUCT(--(calc!$U$3:$U$67=TRUE),--(calc!$V$3:$V$67&gt;V9))+(SUMPRODUCT(--(calc!$U$3:$U$67=TRUE),--(calc!$V$3:$V$67=V9))-1)/2,"")</f>
        <v/>
      </c>
      <c r="AA9" s="5">
        <f>IF(U9,1+SUMPRODUCT(--(calc!$U$3:$U$67=TRUE),--(calc!$W$3:$W$67&gt;W9))+(SUMPRODUCT(--(calc!$U$3:$U$67=TRUE),--(calc!$W$3:$W$67=W9))-1)/2,"")</f>
        <v/>
      </c>
      <c r="AB9" s="5">
        <f>IF(U9,SUMPRODUCT(--(calc!$U$3:$U$67=TRUE),--(ROW(calc!$U$3:$U$67)&gt;ROW(U9)),--(((calc!$Z$3:$Z$67&gt;Z9)*(calc!$AA$3:$AA$67&gt;AA9)+(calc!$Z$3:$Z$67&lt;Z9)*(calc!$AA$3:$AA$67&lt;AA9))&gt;0))-SUMPRODUCT(--(calc!$U$3:$U$67=TRUE),--(ROW(calc!$U$3:$U$67)&gt;ROW(U9)),--(((calc!$Z$3:$Z$67&gt;Z9)*(calc!$AA$3:$AA$67&lt;AA9)+(calc!$Z$3:$Z$67&lt;Z9)*(calc!$AA$3:$AA$67&gt;AA9))&gt;0)),0)</f>
        <v/>
      </c>
      <c r="AC9" s="5">
        <f>IF(mos_metrics!I8="","",mos_metrics!I8)</f>
        <v/>
      </c>
      <c r="AD9" s="2">
        <f>AND($J9,ISNUMBER(AC9),correlation!$I$28=1)</f>
        <v/>
      </c>
      <c r="AE9" s="5">
        <f>IF(AD9,$F9,"")</f>
        <v/>
      </c>
      <c r="AF9" s="5">
        <f>IF(AD9,AC9*correlation!$J$28,"")</f>
        <v/>
      </c>
      <c r="AG9" s="5">
        <f>IF(AND(AD9,ISNUMBER(correlation!$F$28)),AF9*correlation!$F$28+correlation!$G$28,"")</f>
        <v/>
      </c>
      <c r="AH9" s="5">
        <f>IF(AND(AD9,ISNUMBER(AG9)),(AE9-AG9)^2,"")</f>
        <v/>
      </c>
      <c r="AI9" s="5">
        <f>IF(AD9,1+SUMPRODUCT(--(calc!$AD$3:$AD$67=TRUE),--(calc!$AE$3:$AE$67&gt;AE9))+(SUMPRODUCT(--(calc!$AD$3:$AD$67=TRUE),--(calc!$AE$3:$AE$67=AE9))-1)/2,"")</f>
        <v/>
      </c>
      <c r="AJ9" s="5">
        <f>IF(AD9,1+SUMPRODUCT(--(calc!$AD$3:$AD$67=TRUE),--(calc!$AF$3:$AF$67&gt;AF9))+(SUMPRODUCT(--(calc!$AD$3:$AD$67=TRUE),--(calc!$AF$3:$AF$67=AF9))-1)/2,"")</f>
        <v/>
      </c>
      <c r="AK9" s="5">
        <f>IF(AD9,SUMPRODUCT(--(calc!$AD$3:$AD$67=TRUE),--(ROW(calc!$AD$3:$AD$67)&gt;ROW(AD9)),--(((calc!$AI$3:$AI$67&gt;AI9)*(calc!$AJ$3:$AJ$67&gt;AJ9)+(calc!$AI$3:$AI$67&lt;AI9)*(calc!$AJ$3:$AJ$67&lt;AJ9))&gt;0))-SUMPRODUCT(--(calc!$AD$3:$AD$67=TRUE),--(ROW(calc!$AD$3:$AD$67)&gt;ROW(AD9)),--(((calc!$AI$3:$AI$67&gt;AI9)*(calc!$AJ$3:$AJ$67&lt;AJ9)+(calc!$AI$3:$AI$67&lt;AI9)*(calc!$AJ$3:$AJ$67&gt;AJ9))&gt;0)),0)</f>
        <v/>
      </c>
      <c r="AL9" s="5">
        <f>IF(mos_metrics!J8="","",mos_metrics!J8)</f>
        <v/>
      </c>
      <c r="AM9" s="2">
        <f>AND($J9,ISNUMBER(AL9),correlation!$I$29=1)</f>
        <v/>
      </c>
      <c r="AN9" s="5">
        <f>IF(AM9,$F9,"")</f>
        <v/>
      </c>
      <c r="AO9" s="5">
        <f>IF(AM9,AL9*correlation!$J$29,"")</f>
        <v/>
      </c>
      <c r="AP9" s="5">
        <f>IF(AND(AM9,ISNUMBER(correlation!$F$29)),AO9*correlation!$F$29+correlation!$G$29,"")</f>
        <v/>
      </c>
      <c r="AQ9" s="5">
        <f>IF(AND(AM9,ISNUMBER(AP9)),(AN9-AP9)^2,"")</f>
        <v/>
      </c>
      <c r="AR9" s="5">
        <f>IF(AM9,1+SUMPRODUCT(--(calc!$AM$3:$AM$67=TRUE),--(calc!$AN$3:$AN$67&gt;AN9))+(SUMPRODUCT(--(calc!$AM$3:$AM$67=TRUE),--(calc!$AN$3:$AN$67=AN9))-1)/2,"")</f>
        <v/>
      </c>
      <c r="AS9" s="5">
        <f>IF(AM9,1+SUMPRODUCT(--(calc!$AM$3:$AM$67=TRUE),--(calc!$AO$3:$AO$67&gt;AO9))+(SUMPRODUCT(--(calc!$AM$3:$AM$67=TRUE),--(calc!$AO$3:$AO$67=AO9))-1)/2,"")</f>
        <v/>
      </c>
      <c r="AT9" s="5">
        <f>IF(AM9,SUMPRODUCT(--(calc!$AM$3:$AM$67=TRUE),--(ROW(calc!$AM$3:$AM$67)&gt;ROW(AM9)),--(((calc!$AR$3:$AR$67&gt;AR9)*(calc!$AS$3:$AS$67&gt;AS9)+(calc!$AR$3:$AR$67&lt;AR9)*(calc!$AS$3:$AS$67&lt;AS9))&gt;0))-SUMPRODUCT(--(calc!$AM$3:$AM$67=TRUE),--(ROW(calc!$AM$3:$AM$67)&gt;ROW(AM9)),--(((calc!$AR$3:$AR$67&gt;AR9)*(calc!$AS$3:$AS$67&lt;AS9)+(calc!$AR$3:$AR$67&lt;AR9)*(calc!$AS$3:$AS$67&gt;AS9))&gt;0)),0)</f>
        <v/>
      </c>
      <c r="AU9" s="5">
        <f>IF(mos_metrics!K8="","",mos_metrics!K8)</f>
        <v/>
      </c>
      <c r="AV9" s="2">
        <f>AND($J9,ISNUMBER(AU9),correlation!$I$30=1)</f>
        <v/>
      </c>
      <c r="AW9" s="5">
        <f>IF(AV9,$F9,"")</f>
        <v/>
      </c>
      <c r="AX9" s="5">
        <f>IF(AV9,AU9*correlation!$J$30,"")</f>
        <v/>
      </c>
      <c r="AY9" s="5">
        <f>IF(AND(AV9,ISNUMBER(correlation!$F$30)),AX9*correlation!$F$30+correlation!$G$30,"")</f>
        <v/>
      </c>
      <c r="AZ9" s="5">
        <f>IF(AND(AV9,ISNUMBER(AY9)),(AW9-AY9)^2,"")</f>
        <v/>
      </c>
      <c r="BA9" s="5">
        <f>IF(AV9,1+SUMPRODUCT(--(calc!$AV$3:$AV$67=TRUE),--(calc!$AW$3:$AW$67&gt;AW9))+(SUMPRODUCT(--(calc!$AV$3:$AV$67=TRUE),--(calc!$AW$3:$AW$67=AW9))-1)/2,"")</f>
        <v/>
      </c>
      <c r="BB9" s="5">
        <f>IF(AV9,1+SUMPRODUCT(--(calc!$AV$3:$AV$67=TRUE),--(calc!$AX$3:$AX$67&gt;AX9))+(SUMPRODUCT(--(calc!$AV$3:$AV$67=TRUE),--(calc!$AX$3:$AX$67=AX9))-1)/2,"")</f>
        <v/>
      </c>
      <c r="BC9" s="5">
        <f>IF(AV9,SUMPRODUCT(--(calc!$AV$3:$AV$67=TRUE),--(ROW(calc!$AV$3:$AV$67)&gt;ROW(AV9)),--(((calc!$BA$3:$BA$67&gt;BA9)*(calc!$BB$3:$BB$67&gt;BB9)+(calc!$BA$3:$BA$67&lt;BA9)*(calc!$BB$3:$BB$67&lt;BB9))&gt;0))-SUMPRODUCT(--(calc!$AV$3:$AV$67=TRUE),--(ROW(calc!$AV$3:$AV$67)&gt;ROW(AV9)),--(((calc!$BA$3:$BA$67&gt;BA9)*(calc!$BB$3:$BB$67&lt;BB9)+(calc!$BA$3:$BA$67&lt;BA9)*(calc!$BB$3:$BB$67&gt;BB9))&gt;0)),0)</f>
        <v/>
      </c>
      <c r="BD9" s="5">
        <f>IF(mos_metrics!L8="","",mos_metrics!L8)</f>
        <v/>
      </c>
      <c r="BE9" s="2">
        <f>AND($J9,ISNUMBER(BD9),correlation!$I$31=1)</f>
        <v/>
      </c>
      <c r="BF9" s="5">
        <f>IF(BE9,$F9,"")</f>
        <v/>
      </c>
      <c r="BG9" s="5">
        <f>IF(BE9,BD9*correlation!$J$31,"")</f>
        <v/>
      </c>
      <c r="BH9" s="5">
        <f>IF(AND(BE9,ISNUMBER(correlation!$F$31)),BG9*correlation!$F$31+correlation!$G$31,"")</f>
        <v/>
      </c>
      <c r="BI9" s="5">
        <f>IF(AND(BE9,ISNUMBER(BH9)),(BF9-BH9)^2,"")</f>
        <v/>
      </c>
      <c r="BJ9" s="5">
        <f>IF(BE9,1+SUMPRODUCT(--(calc!$BE$3:$BE$67=TRUE),--(calc!$BF$3:$BF$67&gt;BF9))+(SUMPRODUCT(--(calc!$BE$3:$BE$67=TRUE),--(calc!$BF$3:$BF$67=BF9))-1)/2,"")</f>
        <v/>
      </c>
      <c r="BK9" s="5">
        <f>IF(BE9,1+SUMPRODUCT(--(calc!$BE$3:$BE$67=TRUE),--(calc!$BG$3:$BG$67&gt;BG9))+(SUMPRODUCT(--(calc!$BE$3:$BE$67=TRUE),--(calc!$BG$3:$BG$67=BG9))-1)/2,"")</f>
        <v/>
      </c>
      <c r="BL9" s="5">
        <f>IF(BE9,SUMPRODUCT(--(calc!$BE$3:$BE$67=TRUE),--(ROW(calc!$BE$3:$BE$67)&gt;ROW(BE9)),--(((calc!$BJ$3:$BJ$67&gt;BJ9)*(calc!$BK$3:$BK$67&gt;BK9)+(calc!$BJ$3:$BJ$67&lt;BJ9)*(calc!$BK$3:$BK$67&lt;BK9))&gt;0))-SUMPRODUCT(--(calc!$BE$3:$BE$67=TRUE),--(ROW(calc!$BE$3:$BE$67)&gt;ROW(BE9)),--(((calc!$BJ$3:$BJ$67&gt;BJ9)*(calc!$BK$3:$BK$67&lt;BK9)+(calc!$BJ$3:$BJ$67&lt;BJ9)*(calc!$BK$3:$BK$67&gt;BK9))&gt;0)),0)</f>
        <v/>
      </c>
      <c r="BM9" s="5">
        <f>IF(mos_metrics!M8="","",mos_metrics!M8)</f>
        <v/>
      </c>
      <c r="BN9" s="2">
        <f>AND($J9,ISNUMBER(BM9),correlation!$I$32=1)</f>
        <v/>
      </c>
      <c r="BO9" s="5">
        <f>IF(BN9,$F9,"")</f>
        <v/>
      </c>
      <c r="BP9" s="5">
        <f>IF(BN9,BM9*correlation!$J$32,"")</f>
        <v/>
      </c>
      <c r="BQ9" s="5">
        <f>IF(AND(BN9,ISNUMBER(correlation!$F$32)),BP9*correlation!$F$32+correlation!$G$32,"")</f>
        <v/>
      </c>
      <c r="BR9" s="5">
        <f>IF(AND(BN9,ISNUMBER(BQ9)),(BO9-BQ9)^2,"")</f>
        <v/>
      </c>
      <c r="BS9" s="5">
        <f>IF(BN9,1+SUMPRODUCT(--(calc!$BN$3:$BN$67=TRUE),--(calc!$BO$3:$BO$67&gt;BO9))+(SUMPRODUCT(--(calc!$BN$3:$BN$67=TRUE),--(calc!$BO$3:$BO$67=BO9))-1)/2,"")</f>
        <v/>
      </c>
      <c r="BT9" s="5">
        <f>IF(BN9,1+SUMPRODUCT(--(calc!$BN$3:$BN$67=TRUE),--(calc!$BP$3:$BP$67&gt;BP9))+(SUMPRODUCT(--(calc!$BN$3:$BN$67=TRUE),--(calc!$BP$3:$BP$67=BP9))-1)/2,"")</f>
        <v/>
      </c>
      <c r="BU9" s="5">
        <f>IF(BN9,SUMPRODUCT(--(calc!$BN$3:$BN$67=TRUE),--(ROW(calc!$BN$3:$BN$67)&gt;ROW(BN9)),--(((calc!$BS$3:$BS$67&gt;BS9)*(calc!$BT$3:$BT$67&gt;BT9)+(calc!$BS$3:$BS$67&lt;BS9)*(calc!$BT$3:$BT$67&lt;BT9))&gt;0))-SUMPRODUCT(--(calc!$BN$3:$BN$67=TRUE),--(ROW(calc!$BN$3:$BN$67)&gt;ROW(BN9)),--(((calc!$BS$3:$BS$67&gt;BS9)*(calc!$BT$3:$BT$67&lt;BT9)+(calc!$BS$3:$BS$67&lt;BS9)*(calc!$BT$3:$BT$67&gt;BT9))&gt;0)),0)</f>
        <v/>
      </c>
    </row>
    <row r="10">
      <c r="A10" s="2">
        <f>mos_metrics!A9</f>
        <v/>
      </c>
      <c r="B10" s="2">
        <f>mos_metrics!B9</f>
        <v/>
      </c>
      <c r="C10" s="2">
        <f>mos_metrics!C9</f>
        <v/>
      </c>
      <c r="D10" s="2">
        <f>mos_metrics!D9</f>
        <v/>
      </c>
      <c r="E10" s="2">
        <f>mos_metrics!E9</f>
        <v/>
      </c>
      <c r="F10" s="2">
        <f>mos_metrics!F9</f>
        <v/>
      </c>
      <c r="G10" s="2">
        <f>IF($B10="","",IFERROR(VLOOKUP($B10,correlation!$A$2:$B$6,2,FALSE),1))</f>
        <v/>
      </c>
      <c r="H10" s="2">
        <f>IF($E10="","",IFERROR(VLOOKUP($E10,correlation!$D$2:$E$8,2,FALSE),1))</f>
        <v/>
      </c>
      <c r="I10" s="2">
        <f>ISNUMBER($F10)</f>
        <v/>
      </c>
      <c r="J10" s="2">
        <f>AND($G10=1,$H10=1,$I10)</f>
        <v/>
      </c>
      <c r="K10" s="5">
        <f>IF(mos_metrics!G9="","",mos_metrics!G9)</f>
        <v/>
      </c>
      <c r="L10" s="2">
        <f>AND($J10,ISNUMBER(K10),correlation!$I$26=1)</f>
        <v/>
      </c>
      <c r="M10" s="5">
        <f>IF(L10,$F10,"")</f>
        <v/>
      </c>
      <c r="N10" s="5">
        <f>IF(L10,K10*correlation!$J$26,"")</f>
        <v/>
      </c>
      <c r="O10" s="5">
        <f>IF(AND(L10,ISNUMBER(correlation!$F$26)),N10*correlation!$F$26+correlation!$G$26,"")</f>
        <v/>
      </c>
      <c r="P10" s="5">
        <f>IF(AND(L10,ISNUMBER(O10)),(M10-O10)^2,"")</f>
        <v/>
      </c>
      <c r="Q10" s="5">
        <f>IF(L10,1+SUMPRODUCT(--(calc!$L$3:$L$67=TRUE),--(calc!$M$3:$M$67&gt;M10))+(SUMPRODUCT(--(calc!$L$3:$L$67=TRUE),--(calc!$M$3:$M$67=M10))-1)/2,"")</f>
        <v/>
      </c>
      <c r="R10" s="5">
        <f>IF(L10,1+SUMPRODUCT(--(calc!$L$3:$L$67=TRUE),--(calc!$N$3:$N$67&gt;N10))+(SUMPRODUCT(--(calc!$L$3:$L$67=TRUE),--(calc!$N$3:$N$67=N10))-1)/2,"")</f>
        <v/>
      </c>
      <c r="S10" s="5">
        <f>IF(L10,SUMPRODUCT(--(calc!$L$3:$L$67=TRUE),--(ROW(calc!$L$3:$L$67)&gt;ROW(L10)),--(((calc!$Q$3:$Q$67&gt;Q10)*(calc!$R$3:$R$67&gt;R10)+(calc!$Q$3:$Q$67&lt;Q10)*(calc!$R$3:$R$67&lt;R10))&gt;0))-SUMPRODUCT(--(calc!$L$3:$L$67=TRUE),--(ROW(calc!$L$3:$L$67)&gt;ROW(L10)),--(((calc!$Q$3:$Q$67&gt;Q10)*(calc!$R$3:$R$67&lt;R10)+(calc!$Q$3:$Q$67&lt;Q10)*(calc!$R$3:$R$67&gt;R10))&gt;0)),0)</f>
        <v/>
      </c>
      <c r="T10" s="5">
        <f>IF(mos_metrics!H9="","",mos_metrics!H9)</f>
        <v/>
      </c>
      <c r="U10" s="2">
        <f>AND($J10,ISNUMBER(T10),correlation!$I$27=1)</f>
        <v/>
      </c>
      <c r="V10" s="5">
        <f>IF(U10,$F10,"")</f>
        <v/>
      </c>
      <c r="W10" s="5">
        <f>IF(U10,T10*correlation!$J$27,"")</f>
        <v/>
      </c>
      <c r="X10" s="5">
        <f>IF(AND(U10,ISNUMBER(correlation!$F$27)),W10*correlation!$F$27+correlation!$G$27,"")</f>
        <v/>
      </c>
      <c r="Y10" s="5">
        <f>IF(AND(U10,ISNUMBER(X10)),(V10-X10)^2,"")</f>
        <v/>
      </c>
      <c r="Z10" s="5">
        <f>IF(U10,1+SUMPRODUCT(--(calc!$U$3:$U$67=TRUE),--(calc!$V$3:$V$67&gt;V10))+(SUMPRODUCT(--(calc!$U$3:$U$67=TRUE),--(calc!$V$3:$V$67=V10))-1)/2,"")</f>
        <v/>
      </c>
      <c r="AA10" s="5">
        <f>IF(U10,1+SUMPRODUCT(--(calc!$U$3:$U$67=TRUE),--(calc!$W$3:$W$67&gt;W10))+(SUMPRODUCT(--(calc!$U$3:$U$67=TRUE),--(calc!$W$3:$W$67=W10))-1)/2,"")</f>
        <v/>
      </c>
      <c r="AB10" s="5">
        <f>IF(U10,SUMPRODUCT(--(calc!$U$3:$U$67=TRUE),--(ROW(calc!$U$3:$U$67)&gt;ROW(U10)),--(((calc!$Z$3:$Z$67&gt;Z10)*(calc!$AA$3:$AA$67&gt;AA10)+(calc!$Z$3:$Z$67&lt;Z10)*(calc!$AA$3:$AA$67&lt;AA10))&gt;0))-SUMPRODUCT(--(calc!$U$3:$U$67=TRUE),--(ROW(calc!$U$3:$U$67)&gt;ROW(U10)),--(((calc!$Z$3:$Z$67&gt;Z10)*(calc!$AA$3:$AA$67&lt;AA10)+(calc!$Z$3:$Z$67&lt;Z10)*(calc!$AA$3:$AA$67&gt;AA10))&gt;0)),0)</f>
        <v/>
      </c>
      <c r="AC10" s="5">
        <f>IF(mos_metrics!I9="","",mos_metrics!I9)</f>
        <v/>
      </c>
      <c r="AD10" s="2">
        <f>AND($J10,ISNUMBER(AC10),correlation!$I$28=1)</f>
        <v/>
      </c>
      <c r="AE10" s="5">
        <f>IF(AD10,$F10,"")</f>
        <v/>
      </c>
      <c r="AF10" s="5">
        <f>IF(AD10,AC10*correlation!$J$28,"")</f>
        <v/>
      </c>
      <c r="AG10" s="5">
        <f>IF(AND(AD10,ISNUMBER(correlation!$F$28)),AF10*correlation!$F$28+correlation!$G$28,"")</f>
        <v/>
      </c>
      <c r="AH10" s="5">
        <f>IF(AND(AD10,ISNUMBER(AG10)),(AE10-AG10)^2,"")</f>
        <v/>
      </c>
      <c r="AI10" s="5">
        <f>IF(AD10,1+SUMPRODUCT(--(calc!$AD$3:$AD$67=TRUE),--(calc!$AE$3:$AE$67&gt;AE10))+(SUMPRODUCT(--(calc!$AD$3:$AD$67=TRUE),--(calc!$AE$3:$AE$67=AE10))-1)/2,"")</f>
        <v/>
      </c>
      <c r="AJ10" s="5">
        <f>IF(AD10,1+SUMPRODUCT(--(calc!$AD$3:$AD$67=TRUE),--(calc!$AF$3:$AF$67&gt;AF10))+(SUMPRODUCT(--(calc!$AD$3:$AD$67=TRUE),--(calc!$AF$3:$AF$67=AF10))-1)/2,"")</f>
        <v/>
      </c>
      <c r="AK10" s="5">
        <f>IF(AD10,SUMPRODUCT(--(calc!$AD$3:$AD$67=TRUE),--(ROW(calc!$AD$3:$AD$67)&gt;ROW(AD10)),--(((calc!$AI$3:$AI$67&gt;AI10)*(calc!$AJ$3:$AJ$67&gt;AJ10)+(calc!$AI$3:$AI$67&lt;AI10)*(calc!$AJ$3:$AJ$67&lt;AJ10))&gt;0))-SUMPRODUCT(--(calc!$AD$3:$AD$67=TRUE),--(ROW(calc!$AD$3:$AD$67)&gt;ROW(AD10)),--(((calc!$AI$3:$AI$67&gt;AI10)*(calc!$AJ$3:$AJ$67&lt;AJ10)+(calc!$AI$3:$AI$67&lt;AI10)*(calc!$AJ$3:$AJ$67&gt;AJ10))&gt;0)),0)</f>
        <v/>
      </c>
      <c r="AL10" s="5">
        <f>IF(mos_metrics!J9="","",mos_metrics!J9)</f>
        <v/>
      </c>
      <c r="AM10" s="2">
        <f>AND($J10,ISNUMBER(AL10),correlation!$I$29=1)</f>
        <v/>
      </c>
      <c r="AN10" s="5">
        <f>IF(AM10,$F10,"")</f>
        <v/>
      </c>
      <c r="AO10" s="5">
        <f>IF(AM10,AL10*correlation!$J$29,"")</f>
        <v/>
      </c>
      <c r="AP10" s="5">
        <f>IF(AND(AM10,ISNUMBER(correlation!$F$29)),AO10*correlation!$F$29+correlation!$G$29,"")</f>
        <v/>
      </c>
      <c r="AQ10" s="5">
        <f>IF(AND(AM10,ISNUMBER(AP10)),(AN10-AP10)^2,"")</f>
        <v/>
      </c>
      <c r="AR10" s="5">
        <f>IF(AM10,1+SUMPRODUCT(--(calc!$AM$3:$AM$67=TRUE),--(calc!$AN$3:$AN$67&gt;AN10))+(SUMPRODUCT(--(calc!$AM$3:$AM$67=TRUE),--(calc!$AN$3:$AN$67=AN10))-1)/2,"")</f>
        <v/>
      </c>
      <c r="AS10" s="5">
        <f>IF(AM10,1+SUMPRODUCT(--(calc!$AM$3:$AM$67=TRUE),--(calc!$AO$3:$AO$67&gt;AO10))+(SUMPRODUCT(--(calc!$AM$3:$AM$67=TRUE),--(calc!$AO$3:$AO$67=AO10))-1)/2,"")</f>
        <v/>
      </c>
      <c r="AT10" s="5">
        <f>IF(AM10,SUMPRODUCT(--(calc!$AM$3:$AM$67=TRUE),--(ROW(calc!$AM$3:$AM$67)&gt;ROW(AM10)),--(((calc!$AR$3:$AR$67&gt;AR10)*(calc!$AS$3:$AS$67&gt;AS10)+(calc!$AR$3:$AR$67&lt;AR10)*(calc!$AS$3:$AS$67&lt;AS10))&gt;0))-SUMPRODUCT(--(calc!$AM$3:$AM$67=TRUE),--(ROW(calc!$AM$3:$AM$67)&gt;ROW(AM10)),--(((calc!$AR$3:$AR$67&gt;AR10)*(calc!$AS$3:$AS$67&lt;AS10)+(calc!$AR$3:$AR$67&lt;AR10)*(calc!$AS$3:$AS$67&gt;AS10))&gt;0)),0)</f>
        <v/>
      </c>
      <c r="AU10" s="5">
        <f>IF(mos_metrics!K9="","",mos_metrics!K9)</f>
        <v/>
      </c>
      <c r="AV10" s="2">
        <f>AND($J10,ISNUMBER(AU10),correlation!$I$30=1)</f>
        <v/>
      </c>
      <c r="AW10" s="5">
        <f>IF(AV10,$F10,"")</f>
        <v/>
      </c>
      <c r="AX10" s="5">
        <f>IF(AV10,AU10*correlation!$J$30,"")</f>
        <v/>
      </c>
      <c r="AY10" s="5">
        <f>IF(AND(AV10,ISNUMBER(correlation!$F$30)),AX10*correlation!$F$30+correlation!$G$30,"")</f>
        <v/>
      </c>
      <c r="AZ10" s="5">
        <f>IF(AND(AV10,ISNUMBER(AY10)),(AW10-AY10)^2,"")</f>
        <v/>
      </c>
      <c r="BA10" s="5">
        <f>IF(AV10,1+SUMPRODUCT(--(calc!$AV$3:$AV$67=TRUE),--(calc!$AW$3:$AW$67&gt;AW10))+(SUMPRODUCT(--(calc!$AV$3:$AV$67=TRUE),--(calc!$AW$3:$AW$67=AW10))-1)/2,"")</f>
        <v/>
      </c>
      <c r="BB10" s="5">
        <f>IF(AV10,1+SUMPRODUCT(--(calc!$AV$3:$AV$67=TRUE),--(calc!$AX$3:$AX$67&gt;AX10))+(SUMPRODUCT(--(calc!$AV$3:$AV$67=TRUE),--(calc!$AX$3:$AX$67=AX10))-1)/2,"")</f>
        <v/>
      </c>
      <c r="BC10" s="5">
        <f>IF(AV10,SUMPRODUCT(--(calc!$AV$3:$AV$67=TRUE),--(ROW(calc!$AV$3:$AV$67)&gt;ROW(AV10)),--(((calc!$BA$3:$BA$67&gt;BA10)*(calc!$BB$3:$BB$67&gt;BB10)+(calc!$BA$3:$BA$67&lt;BA10)*(calc!$BB$3:$BB$67&lt;BB10))&gt;0))-SUMPRODUCT(--(calc!$AV$3:$AV$67=TRUE),--(ROW(calc!$AV$3:$AV$67)&gt;ROW(AV10)),--(((calc!$BA$3:$BA$67&gt;BA10)*(calc!$BB$3:$BB$67&lt;BB10)+(calc!$BA$3:$BA$67&lt;BA10)*(calc!$BB$3:$BB$67&gt;BB10))&gt;0)),0)</f>
        <v/>
      </c>
      <c r="BD10" s="5">
        <f>IF(mos_metrics!L9="","",mos_metrics!L9)</f>
        <v/>
      </c>
      <c r="BE10" s="2">
        <f>AND($J10,ISNUMBER(BD10),correlation!$I$31=1)</f>
        <v/>
      </c>
      <c r="BF10" s="5">
        <f>IF(BE10,$F10,"")</f>
        <v/>
      </c>
      <c r="BG10" s="5">
        <f>IF(BE10,BD10*correlation!$J$31,"")</f>
        <v/>
      </c>
      <c r="BH10" s="5">
        <f>IF(AND(BE10,ISNUMBER(correlation!$F$31)),BG10*correlation!$F$31+correlation!$G$31,"")</f>
        <v/>
      </c>
      <c r="BI10" s="5">
        <f>IF(AND(BE10,ISNUMBER(BH10)),(BF10-BH10)^2,"")</f>
        <v/>
      </c>
      <c r="BJ10" s="5">
        <f>IF(BE10,1+SUMPRODUCT(--(calc!$BE$3:$BE$67=TRUE),--(calc!$BF$3:$BF$67&gt;BF10))+(SUMPRODUCT(--(calc!$BE$3:$BE$67=TRUE),--(calc!$BF$3:$BF$67=BF10))-1)/2,"")</f>
        <v/>
      </c>
      <c r="BK10" s="5">
        <f>IF(BE10,1+SUMPRODUCT(--(calc!$BE$3:$BE$67=TRUE),--(calc!$BG$3:$BG$67&gt;BG10))+(SUMPRODUCT(--(calc!$BE$3:$BE$67=TRUE),--(calc!$BG$3:$BG$67=BG10))-1)/2,"")</f>
        <v/>
      </c>
      <c r="BL10" s="5">
        <f>IF(BE10,SUMPRODUCT(--(calc!$BE$3:$BE$67=TRUE),--(ROW(calc!$BE$3:$BE$67)&gt;ROW(BE10)),--(((calc!$BJ$3:$BJ$67&gt;BJ10)*(calc!$BK$3:$BK$67&gt;BK10)+(calc!$BJ$3:$BJ$67&lt;BJ10)*(calc!$BK$3:$BK$67&lt;BK10))&gt;0))-SUMPRODUCT(--(calc!$BE$3:$BE$67=TRUE),--(ROW(calc!$BE$3:$BE$67)&gt;ROW(BE10)),--(((calc!$BJ$3:$BJ$67&gt;BJ10)*(calc!$BK$3:$BK$67&lt;BK10)+(calc!$BJ$3:$BJ$67&lt;BJ10)*(calc!$BK$3:$BK$67&gt;BK10))&gt;0)),0)</f>
        <v/>
      </c>
      <c r="BM10" s="5">
        <f>IF(mos_metrics!M9="","",mos_metrics!M9)</f>
        <v/>
      </c>
      <c r="BN10" s="2">
        <f>AND($J10,ISNUMBER(BM10),correlation!$I$32=1)</f>
        <v/>
      </c>
      <c r="BO10" s="5">
        <f>IF(BN10,$F10,"")</f>
        <v/>
      </c>
      <c r="BP10" s="5">
        <f>IF(BN10,BM10*correlation!$J$32,"")</f>
        <v/>
      </c>
      <c r="BQ10" s="5">
        <f>IF(AND(BN10,ISNUMBER(correlation!$F$32)),BP10*correlation!$F$32+correlation!$G$32,"")</f>
        <v/>
      </c>
      <c r="BR10" s="5">
        <f>IF(AND(BN10,ISNUMBER(BQ10)),(BO10-BQ10)^2,"")</f>
        <v/>
      </c>
      <c r="BS10" s="5">
        <f>IF(BN10,1+SUMPRODUCT(--(calc!$BN$3:$BN$67=TRUE),--(calc!$BO$3:$BO$67&gt;BO10))+(SUMPRODUCT(--(calc!$BN$3:$BN$67=TRUE),--(calc!$BO$3:$BO$67=BO10))-1)/2,"")</f>
        <v/>
      </c>
      <c r="BT10" s="5">
        <f>IF(BN10,1+SUMPRODUCT(--(calc!$BN$3:$BN$67=TRUE),--(calc!$BP$3:$BP$67&gt;BP10))+(SUMPRODUCT(--(calc!$BN$3:$BN$67=TRUE),--(calc!$BP$3:$BP$67=BP10))-1)/2,"")</f>
        <v/>
      </c>
      <c r="BU10" s="5">
        <f>IF(BN10,SUMPRODUCT(--(calc!$BN$3:$BN$67=TRUE),--(ROW(calc!$BN$3:$BN$67)&gt;ROW(BN10)),--(((calc!$BS$3:$BS$67&gt;BS10)*(calc!$BT$3:$BT$67&gt;BT10)+(calc!$BS$3:$BS$67&lt;BS10)*(calc!$BT$3:$BT$67&lt;BT10))&gt;0))-SUMPRODUCT(--(calc!$BN$3:$BN$67=TRUE),--(ROW(calc!$BN$3:$BN$67)&gt;ROW(BN10)),--(((calc!$BS$3:$BS$67&gt;BS10)*(calc!$BT$3:$BT$67&lt;BT10)+(calc!$BS$3:$BS$67&lt;BS10)*(calc!$BT$3:$BT$67&gt;BT10))&gt;0)),0)</f>
        <v/>
      </c>
    </row>
    <row r="11">
      <c r="A11" s="2">
        <f>mos_metrics!A10</f>
        <v/>
      </c>
      <c r="B11" s="2">
        <f>mos_metrics!B10</f>
        <v/>
      </c>
      <c r="C11" s="2">
        <f>mos_metrics!C10</f>
        <v/>
      </c>
      <c r="D11" s="2">
        <f>mos_metrics!D10</f>
        <v/>
      </c>
      <c r="E11" s="2">
        <f>mos_metrics!E10</f>
        <v/>
      </c>
      <c r="F11" s="2">
        <f>mos_metrics!F10</f>
        <v/>
      </c>
      <c r="G11" s="2">
        <f>IF($B11="","",IFERROR(VLOOKUP($B11,correlation!$A$2:$B$6,2,FALSE),1))</f>
        <v/>
      </c>
      <c r="H11" s="2">
        <f>IF($E11="","",IFERROR(VLOOKUP($E11,correlation!$D$2:$E$8,2,FALSE),1))</f>
        <v/>
      </c>
      <c r="I11" s="2">
        <f>ISNUMBER($F11)</f>
        <v/>
      </c>
      <c r="J11" s="2">
        <f>AND($G11=1,$H11=1,$I11)</f>
        <v/>
      </c>
      <c r="K11" s="5">
        <f>IF(mos_metrics!G10="","",mos_metrics!G10)</f>
        <v/>
      </c>
      <c r="L11" s="2">
        <f>AND($J11,ISNUMBER(K11),correlation!$I$26=1)</f>
        <v/>
      </c>
      <c r="M11" s="5">
        <f>IF(L11,$F11,"")</f>
        <v/>
      </c>
      <c r="N11" s="5">
        <f>IF(L11,K11*correlation!$J$26,"")</f>
        <v/>
      </c>
      <c r="O11" s="5">
        <f>IF(AND(L11,ISNUMBER(correlation!$F$26)),N11*correlation!$F$26+correlation!$G$26,"")</f>
        <v/>
      </c>
      <c r="P11" s="5">
        <f>IF(AND(L11,ISNUMBER(O11)),(M11-O11)^2,"")</f>
        <v/>
      </c>
      <c r="Q11" s="5">
        <f>IF(L11,1+SUMPRODUCT(--(calc!$L$3:$L$67=TRUE),--(calc!$M$3:$M$67&gt;M11))+(SUMPRODUCT(--(calc!$L$3:$L$67=TRUE),--(calc!$M$3:$M$67=M11))-1)/2,"")</f>
        <v/>
      </c>
      <c r="R11" s="5">
        <f>IF(L11,1+SUMPRODUCT(--(calc!$L$3:$L$67=TRUE),--(calc!$N$3:$N$67&gt;N11))+(SUMPRODUCT(--(calc!$L$3:$L$67=TRUE),--(calc!$N$3:$N$67=N11))-1)/2,"")</f>
        <v/>
      </c>
      <c r="S11" s="5">
        <f>IF(L11,SUMPRODUCT(--(calc!$L$3:$L$67=TRUE),--(ROW(calc!$L$3:$L$67)&gt;ROW(L11)),--(((calc!$Q$3:$Q$67&gt;Q11)*(calc!$R$3:$R$67&gt;R11)+(calc!$Q$3:$Q$67&lt;Q11)*(calc!$R$3:$R$67&lt;R11))&gt;0))-SUMPRODUCT(--(calc!$L$3:$L$67=TRUE),--(ROW(calc!$L$3:$L$67)&gt;ROW(L11)),--(((calc!$Q$3:$Q$67&gt;Q11)*(calc!$R$3:$R$67&lt;R11)+(calc!$Q$3:$Q$67&lt;Q11)*(calc!$R$3:$R$67&gt;R11))&gt;0)),0)</f>
        <v/>
      </c>
      <c r="T11" s="5">
        <f>IF(mos_metrics!H10="","",mos_metrics!H10)</f>
        <v/>
      </c>
      <c r="U11" s="2">
        <f>AND($J11,ISNUMBER(T11),correlation!$I$27=1)</f>
        <v/>
      </c>
      <c r="V11" s="5">
        <f>IF(U11,$F11,"")</f>
        <v/>
      </c>
      <c r="W11" s="5">
        <f>IF(U11,T11*correlation!$J$27,"")</f>
        <v/>
      </c>
      <c r="X11" s="5">
        <f>IF(AND(U11,ISNUMBER(correlation!$F$27)),W11*correlation!$F$27+correlation!$G$27,"")</f>
        <v/>
      </c>
      <c r="Y11" s="5">
        <f>IF(AND(U11,ISNUMBER(X11)),(V11-X11)^2,"")</f>
        <v/>
      </c>
      <c r="Z11" s="5">
        <f>IF(U11,1+SUMPRODUCT(--(calc!$U$3:$U$67=TRUE),--(calc!$V$3:$V$67&gt;V11))+(SUMPRODUCT(--(calc!$U$3:$U$67=TRUE),--(calc!$V$3:$V$67=V11))-1)/2,"")</f>
        <v/>
      </c>
      <c r="AA11" s="5">
        <f>IF(U11,1+SUMPRODUCT(--(calc!$U$3:$U$67=TRUE),--(calc!$W$3:$W$67&gt;W11))+(SUMPRODUCT(--(calc!$U$3:$U$67=TRUE),--(calc!$W$3:$W$67=W11))-1)/2,"")</f>
        <v/>
      </c>
      <c r="AB11" s="5">
        <f>IF(U11,SUMPRODUCT(--(calc!$U$3:$U$67=TRUE),--(ROW(calc!$U$3:$U$67)&gt;ROW(U11)),--(((calc!$Z$3:$Z$67&gt;Z11)*(calc!$AA$3:$AA$67&gt;AA11)+(calc!$Z$3:$Z$67&lt;Z11)*(calc!$AA$3:$AA$67&lt;AA11))&gt;0))-SUMPRODUCT(--(calc!$U$3:$U$67=TRUE),--(ROW(calc!$U$3:$U$67)&gt;ROW(U11)),--(((calc!$Z$3:$Z$67&gt;Z11)*(calc!$AA$3:$AA$67&lt;AA11)+(calc!$Z$3:$Z$67&lt;Z11)*(calc!$AA$3:$AA$67&gt;AA11))&gt;0)),0)</f>
        <v/>
      </c>
      <c r="AC11" s="5">
        <f>IF(mos_metrics!I10="","",mos_metrics!I10)</f>
        <v/>
      </c>
      <c r="AD11" s="2">
        <f>AND($J11,ISNUMBER(AC11),correlation!$I$28=1)</f>
        <v/>
      </c>
      <c r="AE11" s="5">
        <f>IF(AD11,$F11,"")</f>
        <v/>
      </c>
      <c r="AF11" s="5">
        <f>IF(AD11,AC11*correlation!$J$28,"")</f>
        <v/>
      </c>
      <c r="AG11" s="5">
        <f>IF(AND(AD11,ISNUMBER(correlation!$F$28)),AF11*correlation!$F$28+correlation!$G$28,"")</f>
        <v/>
      </c>
      <c r="AH11" s="5">
        <f>IF(AND(AD11,ISNUMBER(AG11)),(AE11-AG11)^2,"")</f>
        <v/>
      </c>
      <c r="AI11" s="5">
        <f>IF(AD11,1+SUMPRODUCT(--(calc!$AD$3:$AD$67=TRUE),--(calc!$AE$3:$AE$67&gt;AE11))+(SUMPRODUCT(--(calc!$AD$3:$AD$67=TRUE),--(calc!$AE$3:$AE$67=AE11))-1)/2,"")</f>
        <v/>
      </c>
      <c r="AJ11" s="5">
        <f>IF(AD11,1+SUMPRODUCT(--(calc!$AD$3:$AD$67=TRUE),--(calc!$AF$3:$AF$67&gt;AF11))+(SUMPRODUCT(--(calc!$AD$3:$AD$67=TRUE),--(calc!$AF$3:$AF$67=AF11))-1)/2,"")</f>
        <v/>
      </c>
      <c r="AK11" s="5">
        <f>IF(AD11,SUMPRODUCT(--(calc!$AD$3:$AD$67=TRUE),--(ROW(calc!$AD$3:$AD$67)&gt;ROW(AD11)),--(((calc!$AI$3:$AI$67&gt;AI11)*(calc!$AJ$3:$AJ$67&gt;AJ11)+(calc!$AI$3:$AI$67&lt;AI11)*(calc!$AJ$3:$AJ$67&lt;AJ11))&gt;0))-SUMPRODUCT(--(calc!$AD$3:$AD$67=TRUE),--(ROW(calc!$AD$3:$AD$67)&gt;ROW(AD11)),--(((calc!$AI$3:$AI$67&gt;AI11)*(calc!$AJ$3:$AJ$67&lt;AJ11)+(calc!$AI$3:$AI$67&lt;AI11)*(calc!$AJ$3:$AJ$67&gt;AJ11))&gt;0)),0)</f>
        <v/>
      </c>
      <c r="AL11" s="5">
        <f>IF(mos_metrics!J10="","",mos_metrics!J10)</f>
        <v/>
      </c>
      <c r="AM11" s="2">
        <f>AND($J11,ISNUMBER(AL11),correlation!$I$29=1)</f>
        <v/>
      </c>
      <c r="AN11" s="5">
        <f>IF(AM11,$F11,"")</f>
        <v/>
      </c>
      <c r="AO11" s="5">
        <f>IF(AM11,AL11*correlation!$J$29,"")</f>
        <v/>
      </c>
      <c r="AP11" s="5">
        <f>IF(AND(AM11,ISNUMBER(correlation!$F$29)),AO11*correlation!$F$29+correlation!$G$29,"")</f>
        <v/>
      </c>
      <c r="AQ11" s="5">
        <f>IF(AND(AM11,ISNUMBER(AP11)),(AN11-AP11)^2,"")</f>
        <v/>
      </c>
      <c r="AR11" s="5">
        <f>IF(AM11,1+SUMPRODUCT(--(calc!$AM$3:$AM$67=TRUE),--(calc!$AN$3:$AN$67&gt;AN11))+(SUMPRODUCT(--(calc!$AM$3:$AM$67=TRUE),--(calc!$AN$3:$AN$67=AN11))-1)/2,"")</f>
        <v/>
      </c>
      <c r="AS11" s="5">
        <f>IF(AM11,1+SUMPRODUCT(--(calc!$AM$3:$AM$67=TRUE),--(calc!$AO$3:$AO$67&gt;AO11))+(SUMPRODUCT(--(calc!$AM$3:$AM$67=TRUE),--(calc!$AO$3:$AO$67=AO11))-1)/2,"")</f>
        <v/>
      </c>
      <c r="AT11" s="5">
        <f>IF(AM11,SUMPRODUCT(--(calc!$AM$3:$AM$67=TRUE),--(ROW(calc!$AM$3:$AM$67)&gt;ROW(AM11)),--(((calc!$AR$3:$AR$67&gt;AR11)*(calc!$AS$3:$AS$67&gt;AS11)+(calc!$AR$3:$AR$67&lt;AR11)*(calc!$AS$3:$AS$67&lt;AS11))&gt;0))-SUMPRODUCT(--(calc!$AM$3:$AM$67=TRUE),--(ROW(calc!$AM$3:$AM$67)&gt;ROW(AM11)),--(((calc!$AR$3:$AR$67&gt;AR11)*(calc!$AS$3:$AS$67&lt;AS11)+(calc!$AR$3:$AR$67&lt;AR11)*(calc!$AS$3:$AS$67&gt;AS11))&gt;0)),0)</f>
        <v/>
      </c>
      <c r="AU11" s="5">
        <f>IF(mos_metrics!K10="","",mos_metrics!K10)</f>
        <v/>
      </c>
      <c r="AV11" s="2">
        <f>AND($J11,ISNUMBER(AU11),correlation!$I$30=1)</f>
        <v/>
      </c>
      <c r="AW11" s="5">
        <f>IF(AV11,$F11,"")</f>
        <v/>
      </c>
      <c r="AX11" s="5">
        <f>IF(AV11,AU11*correlation!$J$30,"")</f>
        <v/>
      </c>
      <c r="AY11" s="5">
        <f>IF(AND(AV11,ISNUMBER(correlation!$F$30)),AX11*correlation!$F$30+correlation!$G$30,"")</f>
        <v/>
      </c>
      <c r="AZ11" s="5">
        <f>IF(AND(AV11,ISNUMBER(AY11)),(AW11-AY11)^2,"")</f>
        <v/>
      </c>
      <c r="BA11" s="5">
        <f>IF(AV11,1+SUMPRODUCT(--(calc!$AV$3:$AV$67=TRUE),--(calc!$AW$3:$AW$67&gt;AW11))+(SUMPRODUCT(--(calc!$AV$3:$AV$67=TRUE),--(calc!$AW$3:$AW$67=AW11))-1)/2,"")</f>
        <v/>
      </c>
      <c r="BB11" s="5">
        <f>IF(AV11,1+SUMPRODUCT(--(calc!$AV$3:$AV$67=TRUE),--(calc!$AX$3:$AX$67&gt;AX11))+(SUMPRODUCT(--(calc!$AV$3:$AV$67=TRUE),--(calc!$AX$3:$AX$67=AX11))-1)/2,"")</f>
        <v/>
      </c>
      <c r="BC11" s="5">
        <f>IF(AV11,SUMPRODUCT(--(calc!$AV$3:$AV$67=TRUE),--(ROW(calc!$AV$3:$AV$67)&gt;ROW(AV11)),--(((calc!$BA$3:$BA$67&gt;BA11)*(calc!$BB$3:$BB$67&gt;BB11)+(calc!$BA$3:$BA$67&lt;BA11)*(calc!$BB$3:$BB$67&lt;BB11))&gt;0))-SUMPRODUCT(--(calc!$AV$3:$AV$67=TRUE),--(ROW(calc!$AV$3:$AV$67)&gt;ROW(AV11)),--(((calc!$BA$3:$BA$67&gt;BA11)*(calc!$BB$3:$BB$67&lt;BB11)+(calc!$BA$3:$BA$67&lt;BA11)*(calc!$BB$3:$BB$67&gt;BB11))&gt;0)),0)</f>
        <v/>
      </c>
      <c r="BD11" s="5">
        <f>IF(mos_metrics!L10="","",mos_metrics!L10)</f>
        <v/>
      </c>
      <c r="BE11" s="2">
        <f>AND($J11,ISNUMBER(BD11),correlation!$I$31=1)</f>
        <v/>
      </c>
      <c r="BF11" s="5">
        <f>IF(BE11,$F11,"")</f>
        <v/>
      </c>
      <c r="BG11" s="5">
        <f>IF(BE11,BD11*correlation!$J$31,"")</f>
        <v/>
      </c>
      <c r="BH11" s="5">
        <f>IF(AND(BE11,ISNUMBER(correlation!$F$31)),BG11*correlation!$F$31+correlation!$G$31,"")</f>
        <v/>
      </c>
      <c r="BI11" s="5">
        <f>IF(AND(BE11,ISNUMBER(BH11)),(BF11-BH11)^2,"")</f>
        <v/>
      </c>
      <c r="BJ11" s="5">
        <f>IF(BE11,1+SUMPRODUCT(--(calc!$BE$3:$BE$67=TRUE),--(calc!$BF$3:$BF$67&gt;BF11))+(SUMPRODUCT(--(calc!$BE$3:$BE$67=TRUE),--(calc!$BF$3:$BF$67=BF11))-1)/2,"")</f>
        <v/>
      </c>
      <c r="BK11" s="5">
        <f>IF(BE11,1+SUMPRODUCT(--(calc!$BE$3:$BE$67=TRUE),--(calc!$BG$3:$BG$67&gt;BG11))+(SUMPRODUCT(--(calc!$BE$3:$BE$67=TRUE),--(calc!$BG$3:$BG$67=BG11))-1)/2,"")</f>
        <v/>
      </c>
      <c r="BL11" s="5">
        <f>IF(BE11,SUMPRODUCT(--(calc!$BE$3:$BE$67=TRUE),--(ROW(calc!$BE$3:$BE$67)&gt;ROW(BE11)),--(((calc!$BJ$3:$BJ$67&gt;BJ11)*(calc!$BK$3:$BK$67&gt;BK11)+(calc!$BJ$3:$BJ$67&lt;BJ11)*(calc!$BK$3:$BK$67&lt;BK11))&gt;0))-SUMPRODUCT(--(calc!$BE$3:$BE$67=TRUE),--(ROW(calc!$BE$3:$BE$67)&gt;ROW(BE11)),--(((calc!$BJ$3:$BJ$67&gt;BJ11)*(calc!$BK$3:$BK$67&lt;BK11)+(calc!$BJ$3:$BJ$67&lt;BJ11)*(calc!$BK$3:$BK$67&gt;BK11))&gt;0)),0)</f>
        <v/>
      </c>
      <c r="BM11" s="5">
        <f>IF(mos_metrics!M10="","",mos_metrics!M10)</f>
        <v/>
      </c>
      <c r="BN11" s="2">
        <f>AND($J11,ISNUMBER(BM11),correlation!$I$32=1)</f>
        <v/>
      </c>
      <c r="BO11" s="5">
        <f>IF(BN11,$F11,"")</f>
        <v/>
      </c>
      <c r="BP11" s="5">
        <f>IF(BN11,BM11*correlation!$J$32,"")</f>
        <v/>
      </c>
      <c r="BQ11" s="5">
        <f>IF(AND(BN11,ISNUMBER(correlation!$F$32)),BP11*correlation!$F$32+correlation!$G$32,"")</f>
        <v/>
      </c>
      <c r="BR11" s="5">
        <f>IF(AND(BN11,ISNUMBER(BQ11)),(BO11-BQ11)^2,"")</f>
        <v/>
      </c>
      <c r="BS11" s="5">
        <f>IF(BN11,1+SUMPRODUCT(--(calc!$BN$3:$BN$67=TRUE),--(calc!$BO$3:$BO$67&gt;BO11))+(SUMPRODUCT(--(calc!$BN$3:$BN$67=TRUE),--(calc!$BO$3:$BO$67=BO11))-1)/2,"")</f>
        <v/>
      </c>
      <c r="BT11" s="5">
        <f>IF(BN11,1+SUMPRODUCT(--(calc!$BN$3:$BN$67=TRUE),--(calc!$BP$3:$BP$67&gt;BP11))+(SUMPRODUCT(--(calc!$BN$3:$BN$67=TRUE),--(calc!$BP$3:$BP$67=BP11))-1)/2,"")</f>
        <v/>
      </c>
      <c r="BU11" s="5">
        <f>IF(BN11,SUMPRODUCT(--(calc!$BN$3:$BN$67=TRUE),--(ROW(calc!$BN$3:$BN$67)&gt;ROW(BN11)),--(((calc!$BS$3:$BS$67&gt;BS11)*(calc!$BT$3:$BT$67&gt;BT11)+(calc!$BS$3:$BS$67&lt;BS11)*(calc!$BT$3:$BT$67&lt;BT11))&gt;0))-SUMPRODUCT(--(calc!$BN$3:$BN$67=TRUE),--(ROW(calc!$BN$3:$BN$67)&gt;ROW(BN11)),--(((calc!$BS$3:$BS$67&gt;BS11)*(calc!$BT$3:$BT$67&lt;BT11)+(calc!$BS$3:$BS$67&lt;BS11)*(calc!$BT$3:$BT$67&gt;BT11))&gt;0)),0)</f>
        <v/>
      </c>
    </row>
    <row r="12">
      <c r="A12" s="2">
        <f>mos_metrics!A11</f>
        <v/>
      </c>
      <c r="B12" s="2">
        <f>mos_metrics!B11</f>
        <v/>
      </c>
      <c r="C12" s="2">
        <f>mos_metrics!C11</f>
        <v/>
      </c>
      <c r="D12" s="2">
        <f>mos_metrics!D11</f>
        <v/>
      </c>
      <c r="E12" s="2">
        <f>mos_metrics!E11</f>
        <v/>
      </c>
      <c r="F12" s="2">
        <f>mos_metrics!F11</f>
        <v/>
      </c>
      <c r="G12" s="2">
        <f>IF($B12="","",IFERROR(VLOOKUP($B12,correlation!$A$2:$B$6,2,FALSE),1))</f>
        <v/>
      </c>
      <c r="H12" s="2">
        <f>IF($E12="","",IFERROR(VLOOKUP($E12,correlation!$D$2:$E$8,2,FALSE),1))</f>
        <v/>
      </c>
      <c r="I12" s="2">
        <f>ISNUMBER($F12)</f>
        <v/>
      </c>
      <c r="J12" s="2">
        <f>AND($G12=1,$H12=1,$I12)</f>
        <v/>
      </c>
      <c r="K12" s="5">
        <f>IF(mos_metrics!G11="","",mos_metrics!G11)</f>
        <v/>
      </c>
      <c r="L12" s="2">
        <f>AND($J12,ISNUMBER(K12),correlation!$I$26=1)</f>
        <v/>
      </c>
      <c r="M12" s="5">
        <f>IF(L12,$F12,"")</f>
        <v/>
      </c>
      <c r="N12" s="5">
        <f>IF(L12,K12*correlation!$J$26,"")</f>
        <v/>
      </c>
      <c r="O12" s="5">
        <f>IF(AND(L12,ISNUMBER(correlation!$F$26)),N12*correlation!$F$26+correlation!$G$26,"")</f>
        <v/>
      </c>
      <c r="P12" s="5">
        <f>IF(AND(L12,ISNUMBER(O12)),(M12-O12)^2,"")</f>
        <v/>
      </c>
      <c r="Q12" s="5">
        <f>IF(L12,1+SUMPRODUCT(--(calc!$L$3:$L$67=TRUE),--(calc!$M$3:$M$67&gt;M12))+(SUMPRODUCT(--(calc!$L$3:$L$67=TRUE),--(calc!$M$3:$M$67=M12))-1)/2,"")</f>
        <v/>
      </c>
      <c r="R12" s="5">
        <f>IF(L12,1+SUMPRODUCT(--(calc!$L$3:$L$67=TRUE),--(calc!$N$3:$N$67&gt;N12))+(SUMPRODUCT(--(calc!$L$3:$L$67=TRUE),--(calc!$N$3:$N$67=N12))-1)/2,"")</f>
        <v/>
      </c>
      <c r="S12" s="5">
        <f>IF(L12,SUMPRODUCT(--(calc!$L$3:$L$67=TRUE),--(ROW(calc!$L$3:$L$67)&gt;ROW(L12)),--(((calc!$Q$3:$Q$67&gt;Q12)*(calc!$R$3:$R$67&gt;R12)+(calc!$Q$3:$Q$67&lt;Q12)*(calc!$R$3:$R$67&lt;R12))&gt;0))-SUMPRODUCT(--(calc!$L$3:$L$67=TRUE),--(ROW(calc!$L$3:$L$67)&gt;ROW(L12)),--(((calc!$Q$3:$Q$67&gt;Q12)*(calc!$R$3:$R$67&lt;R12)+(calc!$Q$3:$Q$67&lt;Q12)*(calc!$R$3:$R$67&gt;R12))&gt;0)),0)</f>
        <v/>
      </c>
      <c r="T12" s="5">
        <f>IF(mos_metrics!H11="","",mos_metrics!H11)</f>
        <v/>
      </c>
      <c r="U12" s="2">
        <f>AND($J12,ISNUMBER(T12),correlation!$I$27=1)</f>
        <v/>
      </c>
      <c r="V12" s="5">
        <f>IF(U12,$F12,"")</f>
        <v/>
      </c>
      <c r="W12" s="5">
        <f>IF(U12,T12*correlation!$J$27,"")</f>
        <v/>
      </c>
      <c r="X12" s="5">
        <f>IF(AND(U12,ISNUMBER(correlation!$F$27)),W12*correlation!$F$27+correlation!$G$27,"")</f>
        <v/>
      </c>
      <c r="Y12" s="5">
        <f>IF(AND(U12,ISNUMBER(X12)),(V12-X12)^2,"")</f>
        <v/>
      </c>
      <c r="Z12" s="5">
        <f>IF(U12,1+SUMPRODUCT(--(calc!$U$3:$U$67=TRUE),--(calc!$V$3:$V$67&gt;V12))+(SUMPRODUCT(--(calc!$U$3:$U$67=TRUE),--(calc!$V$3:$V$67=V12))-1)/2,"")</f>
        <v/>
      </c>
      <c r="AA12" s="5">
        <f>IF(U12,1+SUMPRODUCT(--(calc!$U$3:$U$67=TRUE),--(calc!$W$3:$W$67&gt;W12))+(SUMPRODUCT(--(calc!$U$3:$U$67=TRUE),--(calc!$W$3:$W$67=W12))-1)/2,"")</f>
        <v/>
      </c>
      <c r="AB12" s="5">
        <f>IF(U12,SUMPRODUCT(--(calc!$U$3:$U$67=TRUE),--(ROW(calc!$U$3:$U$67)&gt;ROW(U12)),--(((calc!$Z$3:$Z$67&gt;Z12)*(calc!$AA$3:$AA$67&gt;AA12)+(calc!$Z$3:$Z$67&lt;Z12)*(calc!$AA$3:$AA$67&lt;AA12))&gt;0))-SUMPRODUCT(--(calc!$U$3:$U$67=TRUE),--(ROW(calc!$U$3:$U$67)&gt;ROW(U12)),--(((calc!$Z$3:$Z$67&gt;Z12)*(calc!$AA$3:$AA$67&lt;AA12)+(calc!$Z$3:$Z$67&lt;Z12)*(calc!$AA$3:$AA$67&gt;AA12))&gt;0)),0)</f>
        <v/>
      </c>
      <c r="AC12" s="5">
        <f>IF(mos_metrics!I11="","",mos_metrics!I11)</f>
        <v/>
      </c>
      <c r="AD12" s="2">
        <f>AND($J12,ISNUMBER(AC12),correlation!$I$28=1)</f>
        <v/>
      </c>
      <c r="AE12" s="5">
        <f>IF(AD12,$F12,"")</f>
        <v/>
      </c>
      <c r="AF12" s="5">
        <f>IF(AD12,AC12*correlation!$J$28,"")</f>
        <v/>
      </c>
      <c r="AG12" s="5">
        <f>IF(AND(AD12,ISNUMBER(correlation!$F$28)),AF12*correlation!$F$28+correlation!$G$28,"")</f>
        <v/>
      </c>
      <c r="AH12" s="5">
        <f>IF(AND(AD12,ISNUMBER(AG12)),(AE12-AG12)^2,"")</f>
        <v/>
      </c>
      <c r="AI12" s="5">
        <f>IF(AD12,1+SUMPRODUCT(--(calc!$AD$3:$AD$67=TRUE),--(calc!$AE$3:$AE$67&gt;AE12))+(SUMPRODUCT(--(calc!$AD$3:$AD$67=TRUE),--(calc!$AE$3:$AE$67=AE12))-1)/2,"")</f>
        <v/>
      </c>
      <c r="AJ12" s="5">
        <f>IF(AD12,1+SUMPRODUCT(--(calc!$AD$3:$AD$67=TRUE),--(calc!$AF$3:$AF$67&gt;AF12))+(SUMPRODUCT(--(calc!$AD$3:$AD$67=TRUE),--(calc!$AF$3:$AF$67=AF12))-1)/2,"")</f>
        <v/>
      </c>
      <c r="AK12" s="5">
        <f>IF(AD12,SUMPRODUCT(--(calc!$AD$3:$AD$67=TRUE),--(ROW(calc!$AD$3:$AD$67)&gt;ROW(AD12)),--(((calc!$AI$3:$AI$67&gt;AI12)*(calc!$AJ$3:$AJ$67&gt;AJ12)+(calc!$AI$3:$AI$67&lt;AI12)*(calc!$AJ$3:$AJ$67&lt;AJ12))&gt;0))-SUMPRODUCT(--(calc!$AD$3:$AD$67=TRUE),--(ROW(calc!$AD$3:$AD$67)&gt;ROW(AD12)),--(((calc!$AI$3:$AI$67&gt;AI12)*(calc!$AJ$3:$AJ$67&lt;AJ12)+(calc!$AI$3:$AI$67&lt;AI12)*(calc!$AJ$3:$AJ$67&gt;AJ12))&gt;0)),0)</f>
        <v/>
      </c>
      <c r="AL12" s="5">
        <f>IF(mos_metrics!J11="","",mos_metrics!J11)</f>
        <v/>
      </c>
      <c r="AM12" s="2">
        <f>AND($J12,ISNUMBER(AL12),correlation!$I$29=1)</f>
        <v/>
      </c>
      <c r="AN12" s="5">
        <f>IF(AM12,$F12,"")</f>
        <v/>
      </c>
      <c r="AO12" s="5">
        <f>IF(AM12,AL12*correlation!$J$29,"")</f>
        <v/>
      </c>
      <c r="AP12" s="5">
        <f>IF(AND(AM12,ISNUMBER(correlation!$F$29)),AO12*correlation!$F$29+correlation!$G$29,"")</f>
        <v/>
      </c>
      <c r="AQ12" s="5">
        <f>IF(AND(AM12,ISNUMBER(AP12)),(AN12-AP12)^2,"")</f>
        <v/>
      </c>
      <c r="AR12" s="5">
        <f>IF(AM12,1+SUMPRODUCT(--(calc!$AM$3:$AM$67=TRUE),--(calc!$AN$3:$AN$67&gt;AN12))+(SUMPRODUCT(--(calc!$AM$3:$AM$67=TRUE),--(calc!$AN$3:$AN$67=AN12))-1)/2,"")</f>
        <v/>
      </c>
      <c r="AS12" s="5">
        <f>IF(AM12,1+SUMPRODUCT(--(calc!$AM$3:$AM$67=TRUE),--(calc!$AO$3:$AO$67&gt;AO12))+(SUMPRODUCT(--(calc!$AM$3:$AM$67=TRUE),--(calc!$AO$3:$AO$67=AO12))-1)/2,"")</f>
        <v/>
      </c>
      <c r="AT12" s="5">
        <f>IF(AM12,SUMPRODUCT(--(calc!$AM$3:$AM$67=TRUE),--(ROW(calc!$AM$3:$AM$67)&gt;ROW(AM12)),--(((calc!$AR$3:$AR$67&gt;AR12)*(calc!$AS$3:$AS$67&gt;AS12)+(calc!$AR$3:$AR$67&lt;AR12)*(calc!$AS$3:$AS$67&lt;AS12))&gt;0))-SUMPRODUCT(--(calc!$AM$3:$AM$67=TRUE),--(ROW(calc!$AM$3:$AM$67)&gt;ROW(AM12)),--(((calc!$AR$3:$AR$67&gt;AR12)*(calc!$AS$3:$AS$67&lt;AS12)+(calc!$AR$3:$AR$67&lt;AR12)*(calc!$AS$3:$AS$67&gt;AS12))&gt;0)),0)</f>
        <v/>
      </c>
      <c r="AU12" s="5">
        <f>IF(mos_metrics!K11="","",mos_metrics!K11)</f>
        <v/>
      </c>
      <c r="AV12" s="2">
        <f>AND($J12,ISNUMBER(AU12),correlation!$I$30=1)</f>
        <v/>
      </c>
      <c r="AW12" s="5">
        <f>IF(AV12,$F12,"")</f>
        <v/>
      </c>
      <c r="AX12" s="5">
        <f>IF(AV12,AU12*correlation!$J$30,"")</f>
        <v/>
      </c>
      <c r="AY12" s="5">
        <f>IF(AND(AV12,ISNUMBER(correlation!$F$30)),AX12*correlation!$F$30+correlation!$G$30,"")</f>
        <v/>
      </c>
      <c r="AZ12" s="5">
        <f>IF(AND(AV12,ISNUMBER(AY12)),(AW12-AY12)^2,"")</f>
        <v/>
      </c>
      <c r="BA12" s="5">
        <f>IF(AV12,1+SUMPRODUCT(--(calc!$AV$3:$AV$67=TRUE),--(calc!$AW$3:$AW$67&gt;AW12))+(SUMPRODUCT(--(calc!$AV$3:$AV$67=TRUE),--(calc!$AW$3:$AW$67=AW12))-1)/2,"")</f>
        <v/>
      </c>
      <c r="BB12" s="5">
        <f>IF(AV12,1+SUMPRODUCT(--(calc!$AV$3:$AV$67=TRUE),--(calc!$AX$3:$AX$67&gt;AX12))+(SUMPRODUCT(--(calc!$AV$3:$AV$67=TRUE),--(calc!$AX$3:$AX$67=AX12))-1)/2,"")</f>
        <v/>
      </c>
      <c r="BC12" s="5">
        <f>IF(AV12,SUMPRODUCT(--(calc!$AV$3:$AV$67=TRUE),--(ROW(calc!$AV$3:$AV$67)&gt;ROW(AV12)),--(((calc!$BA$3:$BA$67&gt;BA12)*(calc!$BB$3:$BB$67&gt;BB12)+(calc!$BA$3:$BA$67&lt;BA12)*(calc!$BB$3:$BB$67&lt;BB12))&gt;0))-SUMPRODUCT(--(calc!$AV$3:$AV$67=TRUE),--(ROW(calc!$AV$3:$AV$67)&gt;ROW(AV12)),--(((calc!$BA$3:$BA$67&gt;BA12)*(calc!$BB$3:$BB$67&lt;BB12)+(calc!$BA$3:$BA$67&lt;BA12)*(calc!$BB$3:$BB$67&gt;BB12))&gt;0)),0)</f>
        <v/>
      </c>
      <c r="BD12" s="5">
        <f>IF(mos_metrics!L11="","",mos_metrics!L11)</f>
        <v/>
      </c>
      <c r="BE12" s="2">
        <f>AND($J12,ISNUMBER(BD12),correlation!$I$31=1)</f>
        <v/>
      </c>
      <c r="BF12" s="5">
        <f>IF(BE12,$F12,"")</f>
        <v/>
      </c>
      <c r="BG12" s="5">
        <f>IF(BE12,BD12*correlation!$J$31,"")</f>
        <v/>
      </c>
      <c r="BH12" s="5">
        <f>IF(AND(BE12,ISNUMBER(correlation!$F$31)),BG12*correlation!$F$31+correlation!$G$31,"")</f>
        <v/>
      </c>
      <c r="BI12" s="5">
        <f>IF(AND(BE12,ISNUMBER(BH12)),(BF12-BH12)^2,"")</f>
        <v/>
      </c>
      <c r="BJ12" s="5">
        <f>IF(BE12,1+SUMPRODUCT(--(calc!$BE$3:$BE$67=TRUE),--(calc!$BF$3:$BF$67&gt;BF12))+(SUMPRODUCT(--(calc!$BE$3:$BE$67=TRUE),--(calc!$BF$3:$BF$67=BF12))-1)/2,"")</f>
        <v/>
      </c>
      <c r="BK12" s="5">
        <f>IF(BE12,1+SUMPRODUCT(--(calc!$BE$3:$BE$67=TRUE),--(calc!$BG$3:$BG$67&gt;BG12))+(SUMPRODUCT(--(calc!$BE$3:$BE$67=TRUE),--(calc!$BG$3:$BG$67=BG12))-1)/2,"")</f>
        <v/>
      </c>
      <c r="BL12" s="5">
        <f>IF(BE12,SUMPRODUCT(--(calc!$BE$3:$BE$67=TRUE),--(ROW(calc!$BE$3:$BE$67)&gt;ROW(BE12)),--(((calc!$BJ$3:$BJ$67&gt;BJ12)*(calc!$BK$3:$BK$67&gt;BK12)+(calc!$BJ$3:$BJ$67&lt;BJ12)*(calc!$BK$3:$BK$67&lt;BK12))&gt;0))-SUMPRODUCT(--(calc!$BE$3:$BE$67=TRUE),--(ROW(calc!$BE$3:$BE$67)&gt;ROW(BE12)),--(((calc!$BJ$3:$BJ$67&gt;BJ12)*(calc!$BK$3:$BK$67&lt;BK12)+(calc!$BJ$3:$BJ$67&lt;BJ12)*(calc!$BK$3:$BK$67&gt;BK12))&gt;0)),0)</f>
        <v/>
      </c>
      <c r="BM12" s="5">
        <f>IF(mos_metrics!M11="","",mos_metrics!M11)</f>
        <v/>
      </c>
      <c r="BN12" s="2">
        <f>AND($J12,ISNUMBER(BM12),correlation!$I$32=1)</f>
        <v/>
      </c>
      <c r="BO12" s="5">
        <f>IF(BN12,$F12,"")</f>
        <v/>
      </c>
      <c r="BP12" s="5">
        <f>IF(BN12,BM12*correlation!$J$32,"")</f>
        <v/>
      </c>
      <c r="BQ12" s="5">
        <f>IF(AND(BN12,ISNUMBER(correlation!$F$32)),BP12*correlation!$F$32+correlation!$G$32,"")</f>
        <v/>
      </c>
      <c r="BR12" s="5">
        <f>IF(AND(BN12,ISNUMBER(BQ12)),(BO12-BQ12)^2,"")</f>
        <v/>
      </c>
      <c r="BS12" s="5">
        <f>IF(BN12,1+SUMPRODUCT(--(calc!$BN$3:$BN$67=TRUE),--(calc!$BO$3:$BO$67&gt;BO12))+(SUMPRODUCT(--(calc!$BN$3:$BN$67=TRUE),--(calc!$BO$3:$BO$67=BO12))-1)/2,"")</f>
        <v/>
      </c>
      <c r="BT12" s="5">
        <f>IF(BN12,1+SUMPRODUCT(--(calc!$BN$3:$BN$67=TRUE),--(calc!$BP$3:$BP$67&gt;BP12))+(SUMPRODUCT(--(calc!$BN$3:$BN$67=TRUE),--(calc!$BP$3:$BP$67=BP12))-1)/2,"")</f>
        <v/>
      </c>
      <c r="BU12" s="5">
        <f>IF(BN12,SUMPRODUCT(--(calc!$BN$3:$BN$67=TRUE),--(ROW(calc!$BN$3:$BN$67)&gt;ROW(BN12)),--(((calc!$BS$3:$BS$67&gt;BS12)*(calc!$BT$3:$BT$67&gt;BT12)+(calc!$BS$3:$BS$67&lt;BS12)*(calc!$BT$3:$BT$67&lt;BT12))&gt;0))-SUMPRODUCT(--(calc!$BN$3:$BN$67=TRUE),--(ROW(calc!$BN$3:$BN$67)&gt;ROW(BN12)),--(((calc!$BS$3:$BS$67&gt;BS12)*(calc!$BT$3:$BT$67&lt;BT12)+(calc!$BS$3:$BS$67&lt;BS12)*(calc!$BT$3:$BT$67&gt;BT12))&gt;0)),0)</f>
        <v/>
      </c>
    </row>
    <row r="13">
      <c r="A13" s="2">
        <f>mos_metrics!A12</f>
        <v/>
      </c>
      <c r="B13" s="2">
        <f>mos_metrics!B12</f>
        <v/>
      </c>
      <c r="C13" s="2">
        <f>mos_metrics!C12</f>
        <v/>
      </c>
      <c r="D13" s="2">
        <f>mos_metrics!D12</f>
        <v/>
      </c>
      <c r="E13" s="2">
        <f>mos_metrics!E12</f>
        <v/>
      </c>
      <c r="F13" s="2">
        <f>mos_metrics!F12</f>
        <v/>
      </c>
      <c r="G13" s="2">
        <f>IF($B13="","",IFERROR(VLOOKUP($B13,correlation!$A$2:$B$6,2,FALSE),1))</f>
        <v/>
      </c>
      <c r="H13" s="2">
        <f>IF($E13="","",IFERROR(VLOOKUP($E13,correlation!$D$2:$E$8,2,FALSE),1))</f>
        <v/>
      </c>
      <c r="I13" s="2">
        <f>ISNUMBER($F13)</f>
        <v/>
      </c>
      <c r="J13" s="2">
        <f>AND($G13=1,$H13=1,$I13)</f>
        <v/>
      </c>
      <c r="K13" s="5">
        <f>IF(mos_metrics!G12="","",mos_metrics!G12)</f>
        <v/>
      </c>
      <c r="L13" s="2">
        <f>AND($J13,ISNUMBER(K13),correlation!$I$26=1)</f>
        <v/>
      </c>
      <c r="M13" s="5">
        <f>IF(L13,$F13,"")</f>
        <v/>
      </c>
      <c r="N13" s="5">
        <f>IF(L13,K13*correlation!$J$26,"")</f>
        <v/>
      </c>
      <c r="O13" s="5">
        <f>IF(AND(L13,ISNUMBER(correlation!$F$26)),N13*correlation!$F$26+correlation!$G$26,"")</f>
        <v/>
      </c>
      <c r="P13" s="5">
        <f>IF(AND(L13,ISNUMBER(O13)),(M13-O13)^2,"")</f>
        <v/>
      </c>
      <c r="Q13" s="5">
        <f>IF(L13,1+SUMPRODUCT(--(calc!$L$3:$L$67=TRUE),--(calc!$M$3:$M$67&gt;M13))+(SUMPRODUCT(--(calc!$L$3:$L$67=TRUE),--(calc!$M$3:$M$67=M13))-1)/2,"")</f>
        <v/>
      </c>
      <c r="R13" s="5">
        <f>IF(L13,1+SUMPRODUCT(--(calc!$L$3:$L$67=TRUE),--(calc!$N$3:$N$67&gt;N13))+(SUMPRODUCT(--(calc!$L$3:$L$67=TRUE),--(calc!$N$3:$N$67=N13))-1)/2,"")</f>
        <v/>
      </c>
      <c r="S13" s="5">
        <f>IF(L13,SUMPRODUCT(--(calc!$L$3:$L$67=TRUE),--(ROW(calc!$L$3:$L$67)&gt;ROW(L13)),--(((calc!$Q$3:$Q$67&gt;Q13)*(calc!$R$3:$R$67&gt;R13)+(calc!$Q$3:$Q$67&lt;Q13)*(calc!$R$3:$R$67&lt;R13))&gt;0))-SUMPRODUCT(--(calc!$L$3:$L$67=TRUE),--(ROW(calc!$L$3:$L$67)&gt;ROW(L13)),--(((calc!$Q$3:$Q$67&gt;Q13)*(calc!$R$3:$R$67&lt;R13)+(calc!$Q$3:$Q$67&lt;Q13)*(calc!$R$3:$R$67&gt;R13))&gt;0)),0)</f>
        <v/>
      </c>
      <c r="T13" s="5">
        <f>IF(mos_metrics!H12="","",mos_metrics!H12)</f>
        <v/>
      </c>
      <c r="U13" s="2">
        <f>AND($J13,ISNUMBER(T13),correlation!$I$27=1)</f>
        <v/>
      </c>
      <c r="V13" s="5">
        <f>IF(U13,$F13,"")</f>
        <v/>
      </c>
      <c r="W13" s="5">
        <f>IF(U13,T13*correlation!$J$27,"")</f>
        <v/>
      </c>
      <c r="X13" s="5">
        <f>IF(AND(U13,ISNUMBER(correlation!$F$27)),W13*correlation!$F$27+correlation!$G$27,"")</f>
        <v/>
      </c>
      <c r="Y13" s="5">
        <f>IF(AND(U13,ISNUMBER(X13)),(V13-X13)^2,"")</f>
        <v/>
      </c>
      <c r="Z13" s="5">
        <f>IF(U13,1+SUMPRODUCT(--(calc!$U$3:$U$67=TRUE),--(calc!$V$3:$V$67&gt;V13))+(SUMPRODUCT(--(calc!$U$3:$U$67=TRUE),--(calc!$V$3:$V$67=V13))-1)/2,"")</f>
        <v/>
      </c>
      <c r="AA13" s="5">
        <f>IF(U13,1+SUMPRODUCT(--(calc!$U$3:$U$67=TRUE),--(calc!$W$3:$W$67&gt;W13))+(SUMPRODUCT(--(calc!$U$3:$U$67=TRUE),--(calc!$W$3:$W$67=W13))-1)/2,"")</f>
        <v/>
      </c>
      <c r="AB13" s="5">
        <f>IF(U13,SUMPRODUCT(--(calc!$U$3:$U$67=TRUE),--(ROW(calc!$U$3:$U$67)&gt;ROW(U13)),--(((calc!$Z$3:$Z$67&gt;Z13)*(calc!$AA$3:$AA$67&gt;AA13)+(calc!$Z$3:$Z$67&lt;Z13)*(calc!$AA$3:$AA$67&lt;AA13))&gt;0))-SUMPRODUCT(--(calc!$U$3:$U$67=TRUE),--(ROW(calc!$U$3:$U$67)&gt;ROW(U13)),--(((calc!$Z$3:$Z$67&gt;Z13)*(calc!$AA$3:$AA$67&lt;AA13)+(calc!$Z$3:$Z$67&lt;Z13)*(calc!$AA$3:$AA$67&gt;AA13))&gt;0)),0)</f>
        <v/>
      </c>
      <c r="AC13" s="5">
        <f>IF(mos_metrics!I12="","",mos_metrics!I12)</f>
        <v/>
      </c>
      <c r="AD13" s="2">
        <f>AND($J13,ISNUMBER(AC13),correlation!$I$28=1)</f>
        <v/>
      </c>
      <c r="AE13" s="5">
        <f>IF(AD13,$F13,"")</f>
        <v/>
      </c>
      <c r="AF13" s="5">
        <f>IF(AD13,AC13*correlation!$J$28,"")</f>
        <v/>
      </c>
      <c r="AG13" s="5">
        <f>IF(AND(AD13,ISNUMBER(correlation!$F$28)),AF13*correlation!$F$28+correlation!$G$28,"")</f>
        <v/>
      </c>
      <c r="AH13" s="5">
        <f>IF(AND(AD13,ISNUMBER(AG13)),(AE13-AG13)^2,"")</f>
        <v/>
      </c>
      <c r="AI13" s="5">
        <f>IF(AD13,1+SUMPRODUCT(--(calc!$AD$3:$AD$67=TRUE),--(calc!$AE$3:$AE$67&gt;AE13))+(SUMPRODUCT(--(calc!$AD$3:$AD$67=TRUE),--(calc!$AE$3:$AE$67=AE13))-1)/2,"")</f>
        <v/>
      </c>
      <c r="AJ13" s="5">
        <f>IF(AD13,1+SUMPRODUCT(--(calc!$AD$3:$AD$67=TRUE),--(calc!$AF$3:$AF$67&gt;AF13))+(SUMPRODUCT(--(calc!$AD$3:$AD$67=TRUE),--(calc!$AF$3:$AF$67=AF13))-1)/2,"")</f>
        <v/>
      </c>
      <c r="AK13" s="5">
        <f>IF(AD13,SUMPRODUCT(--(calc!$AD$3:$AD$67=TRUE),--(ROW(calc!$AD$3:$AD$67)&gt;ROW(AD13)),--(((calc!$AI$3:$AI$67&gt;AI13)*(calc!$AJ$3:$AJ$67&gt;AJ13)+(calc!$AI$3:$AI$67&lt;AI13)*(calc!$AJ$3:$AJ$67&lt;AJ13))&gt;0))-SUMPRODUCT(--(calc!$AD$3:$AD$67=TRUE),--(ROW(calc!$AD$3:$AD$67)&gt;ROW(AD13)),--(((calc!$AI$3:$AI$67&gt;AI13)*(calc!$AJ$3:$AJ$67&lt;AJ13)+(calc!$AI$3:$AI$67&lt;AI13)*(calc!$AJ$3:$AJ$67&gt;AJ13))&gt;0)),0)</f>
        <v/>
      </c>
      <c r="AL13" s="5">
        <f>IF(mos_metrics!J12="","",mos_metrics!J12)</f>
        <v/>
      </c>
      <c r="AM13" s="2">
        <f>AND($J13,ISNUMBER(AL13),correlation!$I$29=1)</f>
        <v/>
      </c>
      <c r="AN13" s="5">
        <f>IF(AM13,$F13,"")</f>
        <v/>
      </c>
      <c r="AO13" s="5">
        <f>IF(AM13,AL13*correlation!$J$29,"")</f>
        <v/>
      </c>
      <c r="AP13" s="5">
        <f>IF(AND(AM13,ISNUMBER(correlation!$F$29)),AO13*correlation!$F$29+correlation!$G$29,"")</f>
        <v/>
      </c>
      <c r="AQ13" s="5">
        <f>IF(AND(AM13,ISNUMBER(AP13)),(AN13-AP13)^2,"")</f>
        <v/>
      </c>
      <c r="AR13" s="5">
        <f>IF(AM13,1+SUMPRODUCT(--(calc!$AM$3:$AM$67=TRUE),--(calc!$AN$3:$AN$67&gt;AN13))+(SUMPRODUCT(--(calc!$AM$3:$AM$67=TRUE),--(calc!$AN$3:$AN$67=AN13))-1)/2,"")</f>
        <v/>
      </c>
      <c r="AS13" s="5">
        <f>IF(AM13,1+SUMPRODUCT(--(calc!$AM$3:$AM$67=TRUE),--(calc!$AO$3:$AO$67&gt;AO13))+(SUMPRODUCT(--(calc!$AM$3:$AM$67=TRUE),--(calc!$AO$3:$AO$67=AO13))-1)/2,"")</f>
        <v/>
      </c>
      <c r="AT13" s="5">
        <f>IF(AM13,SUMPRODUCT(--(calc!$AM$3:$AM$67=TRUE),--(ROW(calc!$AM$3:$AM$67)&gt;ROW(AM13)),--(((calc!$AR$3:$AR$67&gt;AR13)*(calc!$AS$3:$AS$67&gt;AS13)+(calc!$AR$3:$AR$67&lt;AR13)*(calc!$AS$3:$AS$67&lt;AS13))&gt;0))-SUMPRODUCT(--(calc!$AM$3:$AM$67=TRUE),--(ROW(calc!$AM$3:$AM$67)&gt;ROW(AM13)),--(((calc!$AR$3:$AR$67&gt;AR13)*(calc!$AS$3:$AS$67&lt;AS13)+(calc!$AR$3:$AR$67&lt;AR13)*(calc!$AS$3:$AS$67&gt;AS13))&gt;0)),0)</f>
        <v/>
      </c>
      <c r="AU13" s="5">
        <f>IF(mos_metrics!K12="","",mos_metrics!K12)</f>
        <v/>
      </c>
      <c r="AV13" s="2">
        <f>AND($J13,ISNUMBER(AU13),correlation!$I$30=1)</f>
        <v/>
      </c>
      <c r="AW13" s="5">
        <f>IF(AV13,$F13,"")</f>
        <v/>
      </c>
      <c r="AX13" s="5">
        <f>IF(AV13,AU13*correlation!$J$30,"")</f>
        <v/>
      </c>
      <c r="AY13" s="5">
        <f>IF(AND(AV13,ISNUMBER(correlation!$F$30)),AX13*correlation!$F$30+correlation!$G$30,"")</f>
        <v/>
      </c>
      <c r="AZ13" s="5">
        <f>IF(AND(AV13,ISNUMBER(AY13)),(AW13-AY13)^2,"")</f>
        <v/>
      </c>
      <c r="BA13" s="5">
        <f>IF(AV13,1+SUMPRODUCT(--(calc!$AV$3:$AV$67=TRUE),--(calc!$AW$3:$AW$67&gt;AW13))+(SUMPRODUCT(--(calc!$AV$3:$AV$67=TRUE),--(calc!$AW$3:$AW$67=AW13))-1)/2,"")</f>
        <v/>
      </c>
      <c r="BB13" s="5">
        <f>IF(AV13,1+SUMPRODUCT(--(calc!$AV$3:$AV$67=TRUE),--(calc!$AX$3:$AX$67&gt;AX13))+(SUMPRODUCT(--(calc!$AV$3:$AV$67=TRUE),--(calc!$AX$3:$AX$67=AX13))-1)/2,"")</f>
        <v/>
      </c>
      <c r="BC13" s="5">
        <f>IF(AV13,SUMPRODUCT(--(calc!$AV$3:$AV$67=TRUE),--(ROW(calc!$AV$3:$AV$67)&gt;ROW(AV13)),--(((calc!$BA$3:$BA$67&gt;BA13)*(calc!$BB$3:$BB$67&gt;BB13)+(calc!$BA$3:$BA$67&lt;BA13)*(calc!$BB$3:$BB$67&lt;BB13))&gt;0))-SUMPRODUCT(--(calc!$AV$3:$AV$67=TRUE),--(ROW(calc!$AV$3:$AV$67)&gt;ROW(AV13)),--(((calc!$BA$3:$BA$67&gt;BA13)*(calc!$BB$3:$BB$67&lt;BB13)+(calc!$BA$3:$BA$67&lt;BA13)*(calc!$BB$3:$BB$67&gt;BB13))&gt;0)),0)</f>
        <v/>
      </c>
      <c r="BD13" s="5">
        <f>IF(mos_metrics!L12="","",mos_metrics!L12)</f>
        <v/>
      </c>
      <c r="BE13" s="2">
        <f>AND($J13,ISNUMBER(BD13),correlation!$I$31=1)</f>
        <v/>
      </c>
      <c r="BF13" s="5">
        <f>IF(BE13,$F13,"")</f>
        <v/>
      </c>
      <c r="BG13" s="5">
        <f>IF(BE13,BD13*correlation!$J$31,"")</f>
        <v/>
      </c>
      <c r="BH13" s="5">
        <f>IF(AND(BE13,ISNUMBER(correlation!$F$31)),BG13*correlation!$F$31+correlation!$G$31,"")</f>
        <v/>
      </c>
      <c r="BI13" s="5">
        <f>IF(AND(BE13,ISNUMBER(BH13)),(BF13-BH13)^2,"")</f>
        <v/>
      </c>
      <c r="BJ13" s="5">
        <f>IF(BE13,1+SUMPRODUCT(--(calc!$BE$3:$BE$67=TRUE),--(calc!$BF$3:$BF$67&gt;BF13))+(SUMPRODUCT(--(calc!$BE$3:$BE$67=TRUE),--(calc!$BF$3:$BF$67=BF13))-1)/2,"")</f>
        <v/>
      </c>
      <c r="BK13" s="5">
        <f>IF(BE13,1+SUMPRODUCT(--(calc!$BE$3:$BE$67=TRUE),--(calc!$BG$3:$BG$67&gt;BG13))+(SUMPRODUCT(--(calc!$BE$3:$BE$67=TRUE),--(calc!$BG$3:$BG$67=BG13))-1)/2,"")</f>
        <v/>
      </c>
      <c r="BL13" s="5">
        <f>IF(BE13,SUMPRODUCT(--(calc!$BE$3:$BE$67=TRUE),--(ROW(calc!$BE$3:$BE$67)&gt;ROW(BE13)),--(((calc!$BJ$3:$BJ$67&gt;BJ13)*(calc!$BK$3:$BK$67&gt;BK13)+(calc!$BJ$3:$BJ$67&lt;BJ13)*(calc!$BK$3:$BK$67&lt;BK13))&gt;0))-SUMPRODUCT(--(calc!$BE$3:$BE$67=TRUE),--(ROW(calc!$BE$3:$BE$67)&gt;ROW(BE13)),--(((calc!$BJ$3:$BJ$67&gt;BJ13)*(calc!$BK$3:$BK$67&lt;BK13)+(calc!$BJ$3:$BJ$67&lt;BJ13)*(calc!$BK$3:$BK$67&gt;BK13))&gt;0)),0)</f>
        <v/>
      </c>
      <c r="BM13" s="5">
        <f>IF(mos_metrics!M12="","",mos_metrics!M12)</f>
        <v/>
      </c>
      <c r="BN13" s="2">
        <f>AND($J13,ISNUMBER(BM13),correlation!$I$32=1)</f>
        <v/>
      </c>
      <c r="BO13" s="5">
        <f>IF(BN13,$F13,"")</f>
        <v/>
      </c>
      <c r="BP13" s="5">
        <f>IF(BN13,BM13*correlation!$J$32,"")</f>
        <v/>
      </c>
      <c r="BQ13" s="5">
        <f>IF(AND(BN13,ISNUMBER(correlation!$F$32)),BP13*correlation!$F$32+correlation!$G$32,"")</f>
        <v/>
      </c>
      <c r="BR13" s="5">
        <f>IF(AND(BN13,ISNUMBER(BQ13)),(BO13-BQ13)^2,"")</f>
        <v/>
      </c>
      <c r="BS13" s="5">
        <f>IF(BN13,1+SUMPRODUCT(--(calc!$BN$3:$BN$67=TRUE),--(calc!$BO$3:$BO$67&gt;BO13))+(SUMPRODUCT(--(calc!$BN$3:$BN$67=TRUE),--(calc!$BO$3:$BO$67=BO13))-1)/2,"")</f>
        <v/>
      </c>
      <c r="BT13" s="5">
        <f>IF(BN13,1+SUMPRODUCT(--(calc!$BN$3:$BN$67=TRUE),--(calc!$BP$3:$BP$67&gt;BP13))+(SUMPRODUCT(--(calc!$BN$3:$BN$67=TRUE),--(calc!$BP$3:$BP$67=BP13))-1)/2,"")</f>
        <v/>
      </c>
      <c r="BU13" s="5">
        <f>IF(BN13,SUMPRODUCT(--(calc!$BN$3:$BN$67=TRUE),--(ROW(calc!$BN$3:$BN$67)&gt;ROW(BN13)),--(((calc!$BS$3:$BS$67&gt;BS13)*(calc!$BT$3:$BT$67&gt;BT13)+(calc!$BS$3:$BS$67&lt;BS13)*(calc!$BT$3:$BT$67&lt;BT13))&gt;0))-SUMPRODUCT(--(calc!$BN$3:$BN$67=TRUE),--(ROW(calc!$BN$3:$BN$67)&gt;ROW(BN13)),--(((calc!$BS$3:$BS$67&gt;BS13)*(calc!$BT$3:$BT$67&lt;BT13)+(calc!$BS$3:$BS$67&lt;BS13)*(calc!$BT$3:$BT$67&gt;BT13))&gt;0)),0)</f>
        <v/>
      </c>
    </row>
    <row r="14">
      <c r="A14" s="2">
        <f>mos_metrics!A13</f>
        <v/>
      </c>
      <c r="B14" s="2">
        <f>mos_metrics!B13</f>
        <v/>
      </c>
      <c r="C14" s="2">
        <f>mos_metrics!C13</f>
        <v/>
      </c>
      <c r="D14" s="2">
        <f>mos_metrics!D13</f>
        <v/>
      </c>
      <c r="E14" s="2">
        <f>mos_metrics!E13</f>
        <v/>
      </c>
      <c r="F14" s="2">
        <f>mos_metrics!F13</f>
        <v/>
      </c>
      <c r="G14" s="2">
        <f>IF($B14="","",IFERROR(VLOOKUP($B14,correlation!$A$2:$B$6,2,FALSE),1))</f>
        <v/>
      </c>
      <c r="H14" s="2">
        <f>IF($E14="","",IFERROR(VLOOKUP($E14,correlation!$D$2:$E$8,2,FALSE),1))</f>
        <v/>
      </c>
      <c r="I14" s="2">
        <f>ISNUMBER($F14)</f>
        <v/>
      </c>
      <c r="J14" s="2">
        <f>AND($G14=1,$H14=1,$I14)</f>
        <v/>
      </c>
      <c r="K14" s="5">
        <f>IF(mos_metrics!G13="","",mos_metrics!G13)</f>
        <v/>
      </c>
      <c r="L14" s="2">
        <f>AND($J14,ISNUMBER(K14),correlation!$I$26=1)</f>
        <v/>
      </c>
      <c r="M14" s="5">
        <f>IF(L14,$F14,"")</f>
        <v/>
      </c>
      <c r="N14" s="5">
        <f>IF(L14,K14*correlation!$J$26,"")</f>
        <v/>
      </c>
      <c r="O14" s="5">
        <f>IF(AND(L14,ISNUMBER(correlation!$F$26)),N14*correlation!$F$26+correlation!$G$26,"")</f>
        <v/>
      </c>
      <c r="P14" s="5">
        <f>IF(AND(L14,ISNUMBER(O14)),(M14-O14)^2,"")</f>
        <v/>
      </c>
      <c r="Q14" s="5">
        <f>IF(L14,1+SUMPRODUCT(--(calc!$L$3:$L$67=TRUE),--(calc!$M$3:$M$67&gt;M14))+(SUMPRODUCT(--(calc!$L$3:$L$67=TRUE),--(calc!$M$3:$M$67=M14))-1)/2,"")</f>
        <v/>
      </c>
      <c r="R14" s="5">
        <f>IF(L14,1+SUMPRODUCT(--(calc!$L$3:$L$67=TRUE),--(calc!$N$3:$N$67&gt;N14))+(SUMPRODUCT(--(calc!$L$3:$L$67=TRUE),--(calc!$N$3:$N$67=N14))-1)/2,"")</f>
        <v/>
      </c>
      <c r="S14" s="5">
        <f>IF(L14,SUMPRODUCT(--(calc!$L$3:$L$67=TRUE),--(ROW(calc!$L$3:$L$67)&gt;ROW(L14)),--(((calc!$Q$3:$Q$67&gt;Q14)*(calc!$R$3:$R$67&gt;R14)+(calc!$Q$3:$Q$67&lt;Q14)*(calc!$R$3:$R$67&lt;R14))&gt;0))-SUMPRODUCT(--(calc!$L$3:$L$67=TRUE),--(ROW(calc!$L$3:$L$67)&gt;ROW(L14)),--(((calc!$Q$3:$Q$67&gt;Q14)*(calc!$R$3:$R$67&lt;R14)+(calc!$Q$3:$Q$67&lt;Q14)*(calc!$R$3:$R$67&gt;R14))&gt;0)),0)</f>
        <v/>
      </c>
      <c r="T14" s="5">
        <f>IF(mos_metrics!H13="","",mos_metrics!H13)</f>
        <v/>
      </c>
      <c r="U14" s="2">
        <f>AND($J14,ISNUMBER(T14),correlation!$I$27=1)</f>
        <v/>
      </c>
      <c r="V14" s="5">
        <f>IF(U14,$F14,"")</f>
        <v/>
      </c>
      <c r="W14" s="5">
        <f>IF(U14,T14*correlation!$J$27,"")</f>
        <v/>
      </c>
      <c r="X14" s="5">
        <f>IF(AND(U14,ISNUMBER(correlation!$F$27)),W14*correlation!$F$27+correlation!$G$27,"")</f>
        <v/>
      </c>
      <c r="Y14" s="5">
        <f>IF(AND(U14,ISNUMBER(X14)),(V14-X14)^2,"")</f>
        <v/>
      </c>
      <c r="Z14" s="5">
        <f>IF(U14,1+SUMPRODUCT(--(calc!$U$3:$U$67=TRUE),--(calc!$V$3:$V$67&gt;V14))+(SUMPRODUCT(--(calc!$U$3:$U$67=TRUE),--(calc!$V$3:$V$67=V14))-1)/2,"")</f>
        <v/>
      </c>
      <c r="AA14" s="5">
        <f>IF(U14,1+SUMPRODUCT(--(calc!$U$3:$U$67=TRUE),--(calc!$W$3:$W$67&gt;W14))+(SUMPRODUCT(--(calc!$U$3:$U$67=TRUE),--(calc!$W$3:$W$67=W14))-1)/2,"")</f>
        <v/>
      </c>
      <c r="AB14" s="5">
        <f>IF(U14,SUMPRODUCT(--(calc!$U$3:$U$67=TRUE),--(ROW(calc!$U$3:$U$67)&gt;ROW(U14)),--(((calc!$Z$3:$Z$67&gt;Z14)*(calc!$AA$3:$AA$67&gt;AA14)+(calc!$Z$3:$Z$67&lt;Z14)*(calc!$AA$3:$AA$67&lt;AA14))&gt;0))-SUMPRODUCT(--(calc!$U$3:$U$67=TRUE),--(ROW(calc!$U$3:$U$67)&gt;ROW(U14)),--(((calc!$Z$3:$Z$67&gt;Z14)*(calc!$AA$3:$AA$67&lt;AA14)+(calc!$Z$3:$Z$67&lt;Z14)*(calc!$AA$3:$AA$67&gt;AA14))&gt;0)),0)</f>
        <v/>
      </c>
      <c r="AC14" s="5">
        <f>IF(mos_metrics!I13="","",mos_metrics!I13)</f>
        <v/>
      </c>
      <c r="AD14" s="2">
        <f>AND($J14,ISNUMBER(AC14),correlation!$I$28=1)</f>
        <v/>
      </c>
      <c r="AE14" s="5">
        <f>IF(AD14,$F14,"")</f>
        <v/>
      </c>
      <c r="AF14" s="5">
        <f>IF(AD14,AC14*correlation!$J$28,"")</f>
        <v/>
      </c>
      <c r="AG14" s="5">
        <f>IF(AND(AD14,ISNUMBER(correlation!$F$28)),AF14*correlation!$F$28+correlation!$G$28,"")</f>
        <v/>
      </c>
      <c r="AH14" s="5">
        <f>IF(AND(AD14,ISNUMBER(AG14)),(AE14-AG14)^2,"")</f>
        <v/>
      </c>
      <c r="AI14" s="5">
        <f>IF(AD14,1+SUMPRODUCT(--(calc!$AD$3:$AD$67=TRUE),--(calc!$AE$3:$AE$67&gt;AE14))+(SUMPRODUCT(--(calc!$AD$3:$AD$67=TRUE),--(calc!$AE$3:$AE$67=AE14))-1)/2,"")</f>
        <v/>
      </c>
      <c r="AJ14" s="5">
        <f>IF(AD14,1+SUMPRODUCT(--(calc!$AD$3:$AD$67=TRUE),--(calc!$AF$3:$AF$67&gt;AF14))+(SUMPRODUCT(--(calc!$AD$3:$AD$67=TRUE),--(calc!$AF$3:$AF$67=AF14))-1)/2,"")</f>
        <v/>
      </c>
      <c r="AK14" s="5">
        <f>IF(AD14,SUMPRODUCT(--(calc!$AD$3:$AD$67=TRUE),--(ROW(calc!$AD$3:$AD$67)&gt;ROW(AD14)),--(((calc!$AI$3:$AI$67&gt;AI14)*(calc!$AJ$3:$AJ$67&gt;AJ14)+(calc!$AI$3:$AI$67&lt;AI14)*(calc!$AJ$3:$AJ$67&lt;AJ14))&gt;0))-SUMPRODUCT(--(calc!$AD$3:$AD$67=TRUE),--(ROW(calc!$AD$3:$AD$67)&gt;ROW(AD14)),--(((calc!$AI$3:$AI$67&gt;AI14)*(calc!$AJ$3:$AJ$67&lt;AJ14)+(calc!$AI$3:$AI$67&lt;AI14)*(calc!$AJ$3:$AJ$67&gt;AJ14))&gt;0)),0)</f>
        <v/>
      </c>
      <c r="AL14" s="5">
        <f>IF(mos_metrics!J13="","",mos_metrics!J13)</f>
        <v/>
      </c>
      <c r="AM14" s="2">
        <f>AND($J14,ISNUMBER(AL14),correlation!$I$29=1)</f>
        <v/>
      </c>
      <c r="AN14" s="5">
        <f>IF(AM14,$F14,"")</f>
        <v/>
      </c>
      <c r="AO14" s="5">
        <f>IF(AM14,AL14*correlation!$J$29,"")</f>
        <v/>
      </c>
      <c r="AP14" s="5">
        <f>IF(AND(AM14,ISNUMBER(correlation!$F$29)),AO14*correlation!$F$29+correlation!$G$29,"")</f>
        <v/>
      </c>
      <c r="AQ14" s="5">
        <f>IF(AND(AM14,ISNUMBER(AP14)),(AN14-AP14)^2,"")</f>
        <v/>
      </c>
      <c r="AR14" s="5">
        <f>IF(AM14,1+SUMPRODUCT(--(calc!$AM$3:$AM$67=TRUE),--(calc!$AN$3:$AN$67&gt;AN14))+(SUMPRODUCT(--(calc!$AM$3:$AM$67=TRUE),--(calc!$AN$3:$AN$67=AN14))-1)/2,"")</f>
        <v/>
      </c>
      <c r="AS14" s="5">
        <f>IF(AM14,1+SUMPRODUCT(--(calc!$AM$3:$AM$67=TRUE),--(calc!$AO$3:$AO$67&gt;AO14))+(SUMPRODUCT(--(calc!$AM$3:$AM$67=TRUE),--(calc!$AO$3:$AO$67=AO14))-1)/2,"")</f>
        <v/>
      </c>
      <c r="AT14" s="5">
        <f>IF(AM14,SUMPRODUCT(--(calc!$AM$3:$AM$67=TRUE),--(ROW(calc!$AM$3:$AM$67)&gt;ROW(AM14)),--(((calc!$AR$3:$AR$67&gt;AR14)*(calc!$AS$3:$AS$67&gt;AS14)+(calc!$AR$3:$AR$67&lt;AR14)*(calc!$AS$3:$AS$67&lt;AS14))&gt;0))-SUMPRODUCT(--(calc!$AM$3:$AM$67=TRUE),--(ROW(calc!$AM$3:$AM$67)&gt;ROW(AM14)),--(((calc!$AR$3:$AR$67&gt;AR14)*(calc!$AS$3:$AS$67&lt;AS14)+(calc!$AR$3:$AR$67&lt;AR14)*(calc!$AS$3:$AS$67&gt;AS14))&gt;0)),0)</f>
        <v/>
      </c>
      <c r="AU14" s="5">
        <f>IF(mos_metrics!K13="","",mos_metrics!K13)</f>
        <v/>
      </c>
      <c r="AV14" s="2">
        <f>AND($J14,ISNUMBER(AU14),correlation!$I$30=1)</f>
        <v/>
      </c>
      <c r="AW14" s="5">
        <f>IF(AV14,$F14,"")</f>
        <v/>
      </c>
      <c r="AX14" s="5">
        <f>IF(AV14,AU14*correlation!$J$30,"")</f>
        <v/>
      </c>
      <c r="AY14" s="5">
        <f>IF(AND(AV14,ISNUMBER(correlation!$F$30)),AX14*correlation!$F$30+correlation!$G$30,"")</f>
        <v/>
      </c>
      <c r="AZ14" s="5">
        <f>IF(AND(AV14,ISNUMBER(AY14)),(AW14-AY14)^2,"")</f>
        <v/>
      </c>
      <c r="BA14" s="5">
        <f>IF(AV14,1+SUMPRODUCT(--(calc!$AV$3:$AV$67=TRUE),--(calc!$AW$3:$AW$67&gt;AW14))+(SUMPRODUCT(--(calc!$AV$3:$AV$67=TRUE),--(calc!$AW$3:$AW$67=AW14))-1)/2,"")</f>
        <v/>
      </c>
      <c r="BB14" s="5">
        <f>IF(AV14,1+SUMPRODUCT(--(calc!$AV$3:$AV$67=TRUE),--(calc!$AX$3:$AX$67&gt;AX14))+(SUMPRODUCT(--(calc!$AV$3:$AV$67=TRUE),--(calc!$AX$3:$AX$67=AX14))-1)/2,"")</f>
        <v/>
      </c>
      <c r="BC14" s="5">
        <f>IF(AV14,SUMPRODUCT(--(calc!$AV$3:$AV$67=TRUE),--(ROW(calc!$AV$3:$AV$67)&gt;ROW(AV14)),--(((calc!$BA$3:$BA$67&gt;BA14)*(calc!$BB$3:$BB$67&gt;BB14)+(calc!$BA$3:$BA$67&lt;BA14)*(calc!$BB$3:$BB$67&lt;BB14))&gt;0))-SUMPRODUCT(--(calc!$AV$3:$AV$67=TRUE),--(ROW(calc!$AV$3:$AV$67)&gt;ROW(AV14)),--(((calc!$BA$3:$BA$67&gt;BA14)*(calc!$BB$3:$BB$67&lt;BB14)+(calc!$BA$3:$BA$67&lt;BA14)*(calc!$BB$3:$BB$67&gt;BB14))&gt;0)),0)</f>
        <v/>
      </c>
      <c r="BD14" s="5">
        <f>IF(mos_metrics!L13="","",mos_metrics!L13)</f>
        <v/>
      </c>
      <c r="BE14" s="2">
        <f>AND($J14,ISNUMBER(BD14),correlation!$I$31=1)</f>
        <v/>
      </c>
      <c r="BF14" s="5">
        <f>IF(BE14,$F14,"")</f>
        <v/>
      </c>
      <c r="BG14" s="5">
        <f>IF(BE14,BD14*correlation!$J$31,"")</f>
        <v/>
      </c>
      <c r="BH14" s="5">
        <f>IF(AND(BE14,ISNUMBER(correlation!$F$31)),BG14*correlation!$F$31+correlation!$G$31,"")</f>
        <v/>
      </c>
      <c r="BI14" s="5">
        <f>IF(AND(BE14,ISNUMBER(BH14)),(BF14-BH14)^2,"")</f>
        <v/>
      </c>
      <c r="BJ14" s="5">
        <f>IF(BE14,1+SUMPRODUCT(--(calc!$BE$3:$BE$67=TRUE),--(calc!$BF$3:$BF$67&gt;BF14))+(SUMPRODUCT(--(calc!$BE$3:$BE$67=TRUE),--(calc!$BF$3:$BF$67=BF14))-1)/2,"")</f>
        <v/>
      </c>
      <c r="BK14" s="5">
        <f>IF(BE14,1+SUMPRODUCT(--(calc!$BE$3:$BE$67=TRUE),--(calc!$BG$3:$BG$67&gt;BG14))+(SUMPRODUCT(--(calc!$BE$3:$BE$67=TRUE),--(calc!$BG$3:$BG$67=BG14))-1)/2,"")</f>
        <v/>
      </c>
      <c r="BL14" s="5">
        <f>IF(BE14,SUMPRODUCT(--(calc!$BE$3:$BE$67=TRUE),--(ROW(calc!$BE$3:$BE$67)&gt;ROW(BE14)),--(((calc!$BJ$3:$BJ$67&gt;BJ14)*(calc!$BK$3:$BK$67&gt;BK14)+(calc!$BJ$3:$BJ$67&lt;BJ14)*(calc!$BK$3:$BK$67&lt;BK14))&gt;0))-SUMPRODUCT(--(calc!$BE$3:$BE$67=TRUE),--(ROW(calc!$BE$3:$BE$67)&gt;ROW(BE14)),--(((calc!$BJ$3:$BJ$67&gt;BJ14)*(calc!$BK$3:$BK$67&lt;BK14)+(calc!$BJ$3:$BJ$67&lt;BJ14)*(calc!$BK$3:$BK$67&gt;BK14))&gt;0)),0)</f>
        <v/>
      </c>
      <c r="BM14" s="5">
        <f>IF(mos_metrics!M13="","",mos_metrics!M13)</f>
        <v/>
      </c>
      <c r="BN14" s="2">
        <f>AND($J14,ISNUMBER(BM14),correlation!$I$32=1)</f>
        <v/>
      </c>
      <c r="BO14" s="5">
        <f>IF(BN14,$F14,"")</f>
        <v/>
      </c>
      <c r="BP14" s="5">
        <f>IF(BN14,BM14*correlation!$J$32,"")</f>
        <v/>
      </c>
      <c r="BQ14" s="5">
        <f>IF(AND(BN14,ISNUMBER(correlation!$F$32)),BP14*correlation!$F$32+correlation!$G$32,"")</f>
        <v/>
      </c>
      <c r="BR14" s="5">
        <f>IF(AND(BN14,ISNUMBER(BQ14)),(BO14-BQ14)^2,"")</f>
        <v/>
      </c>
      <c r="BS14" s="5">
        <f>IF(BN14,1+SUMPRODUCT(--(calc!$BN$3:$BN$67=TRUE),--(calc!$BO$3:$BO$67&gt;BO14))+(SUMPRODUCT(--(calc!$BN$3:$BN$67=TRUE),--(calc!$BO$3:$BO$67=BO14))-1)/2,"")</f>
        <v/>
      </c>
      <c r="BT14" s="5">
        <f>IF(BN14,1+SUMPRODUCT(--(calc!$BN$3:$BN$67=TRUE),--(calc!$BP$3:$BP$67&gt;BP14))+(SUMPRODUCT(--(calc!$BN$3:$BN$67=TRUE),--(calc!$BP$3:$BP$67=BP14))-1)/2,"")</f>
        <v/>
      </c>
      <c r="BU14" s="5">
        <f>IF(BN14,SUMPRODUCT(--(calc!$BN$3:$BN$67=TRUE),--(ROW(calc!$BN$3:$BN$67)&gt;ROW(BN14)),--(((calc!$BS$3:$BS$67&gt;BS14)*(calc!$BT$3:$BT$67&gt;BT14)+(calc!$BS$3:$BS$67&lt;BS14)*(calc!$BT$3:$BT$67&lt;BT14))&gt;0))-SUMPRODUCT(--(calc!$BN$3:$BN$67=TRUE),--(ROW(calc!$BN$3:$BN$67)&gt;ROW(BN14)),--(((calc!$BS$3:$BS$67&gt;BS14)*(calc!$BT$3:$BT$67&lt;BT14)+(calc!$BS$3:$BS$67&lt;BS14)*(calc!$BT$3:$BT$67&gt;BT14))&gt;0)),0)</f>
        <v/>
      </c>
    </row>
    <row r="15">
      <c r="A15" s="2">
        <f>mos_metrics!A14</f>
        <v/>
      </c>
      <c r="B15" s="2">
        <f>mos_metrics!B14</f>
        <v/>
      </c>
      <c r="C15" s="2">
        <f>mos_metrics!C14</f>
        <v/>
      </c>
      <c r="D15" s="2">
        <f>mos_metrics!D14</f>
        <v/>
      </c>
      <c r="E15" s="2">
        <f>mos_metrics!E14</f>
        <v/>
      </c>
      <c r="F15" s="2">
        <f>mos_metrics!F14</f>
        <v/>
      </c>
      <c r="G15" s="2">
        <f>IF($B15="","",IFERROR(VLOOKUP($B15,correlation!$A$2:$B$6,2,FALSE),1))</f>
        <v/>
      </c>
      <c r="H15" s="2">
        <f>IF($E15="","",IFERROR(VLOOKUP($E15,correlation!$D$2:$E$8,2,FALSE),1))</f>
        <v/>
      </c>
      <c r="I15" s="2">
        <f>ISNUMBER($F15)</f>
        <v/>
      </c>
      <c r="J15" s="2">
        <f>AND($G15=1,$H15=1,$I15)</f>
        <v/>
      </c>
      <c r="K15" s="5">
        <f>IF(mos_metrics!G14="","",mos_metrics!G14)</f>
        <v/>
      </c>
      <c r="L15" s="2">
        <f>AND($J15,ISNUMBER(K15),correlation!$I$26=1)</f>
        <v/>
      </c>
      <c r="M15" s="5">
        <f>IF(L15,$F15,"")</f>
        <v/>
      </c>
      <c r="N15" s="5">
        <f>IF(L15,K15*correlation!$J$26,"")</f>
        <v/>
      </c>
      <c r="O15" s="5">
        <f>IF(AND(L15,ISNUMBER(correlation!$F$26)),N15*correlation!$F$26+correlation!$G$26,"")</f>
        <v/>
      </c>
      <c r="P15" s="5">
        <f>IF(AND(L15,ISNUMBER(O15)),(M15-O15)^2,"")</f>
        <v/>
      </c>
      <c r="Q15" s="5">
        <f>IF(L15,1+SUMPRODUCT(--(calc!$L$3:$L$67=TRUE),--(calc!$M$3:$M$67&gt;M15))+(SUMPRODUCT(--(calc!$L$3:$L$67=TRUE),--(calc!$M$3:$M$67=M15))-1)/2,"")</f>
        <v/>
      </c>
      <c r="R15" s="5">
        <f>IF(L15,1+SUMPRODUCT(--(calc!$L$3:$L$67=TRUE),--(calc!$N$3:$N$67&gt;N15))+(SUMPRODUCT(--(calc!$L$3:$L$67=TRUE),--(calc!$N$3:$N$67=N15))-1)/2,"")</f>
        <v/>
      </c>
      <c r="S15" s="5">
        <f>IF(L15,SUMPRODUCT(--(calc!$L$3:$L$67=TRUE),--(ROW(calc!$L$3:$L$67)&gt;ROW(L15)),--(((calc!$Q$3:$Q$67&gt;Q15)*(calc!$R$3:$R$67&gt;R15)+(calc!$Q$3:$Q$67&lt;Q15)*(calc!$R$3:$R$67&lt;R15))&gt;0))-SUMPRODUCT(--(calc!$L$3:$L$67=TRUE),--(ROW(calc!$L$3:$L$67)&gt;ROW(L15)),--(((calc!$Q$3:$Q$67&gt;Q15)*(calc!$R$3:$R$67&lt;R15)+(calc!$Q$3:$Q$67&lt;Q15)*(calc!$R$3:$R$67&gt;R15))&gt;0)),0)</f>
        <v/>
      </c>
      <c r="T15" s="5">
        <f>IF(mos_metrics!H14="","",mos_metrics!H14)</f>
        <v/>
      </c>
      <c r="U15" s="2">
        <f>AND($J15,ISNUMBER(T15),correlation!$I$27=1)</f>
        <v/>
      </c>
      <c r="V15" s="5">
        <f>IF(U15,$F15,"")</f>
        <v/>
      </c>
      <c r="W15" s="5">
        <f>IF(U15,T15*correlation!$J$27,"")</f>
        <v/>
      </c>
      <c r="X15" s="5">
        <f>IF(AND(U15,ISNUMBER(correlation!$F$27)),W15*correlation!$F$27+correlation!$G$27,"")</f>
        <v/>
      </c>
      <c r="Y15" s="5">
        <f>IF(AND(U15,ISNUMBER(X15)),(V15-X15)^2,"")</f>
        <v/>
      </c>
      <c r="Z15" s="5">
        <f>IF(U15,1+SUMPRODUCT(--(calc!$U$3:$U$67=TRUE),--(calc!$V$3:$V$67&gt;V15))+(SUMPRODUCT(--(calc!$U$3:$U$67=TRUE),--(calc!$V$3:$V$67=V15))-1)/2,"")</f>
        <v/>
      </c>
      <c r="AA15" s="5">
        <f>IF(U15,1+SUMPRODUCT(--(calc!$U$3:$U$67=TRUE),--(calc!$W$3:$W$67&gt;W15))+(SUMPRODUCT(--(calc!$U$3:$U$67=TRUE),--(calc!$W$3:$W$67=W15))-1)/2,"")</f>
        <v/>
      </c>
      <c r="AB15" s="5">
        <f>IF(U15,SUMPRODUCT(--(calc!$U$3:$U$67=TRUE),--(ROW(calc!$U$3:$U$67)&gt;ROW(U15)),--(((calc!$Z$3:$Z$67&gt;Z15)*(calc!$AA$3:$AA$67&gt;AA15)+(calc!$Z$3:$Z$67&lt;Z15)*(calc!$AA$3:$AA$67&lt;AA15))&gt;0))-SUMPRODUCT(--(calc!$U$3:$U$67=TRUE),--(ROW(calc!$U$3:$U$67)&gt;ROW(U15)),--(((calc!$Z$3:$Z$67&gt;Z15)*(calc!$AA$3:$AA$67&lt;AA15)+(calc!$Z$3:$Z$67&lt;Z15)*(calc!$AA$3:$AA$67&gt;AA15))&gt;0)),0)</f>
        <v/>
      </c>
      <c r="AC15" s="5">
        <f>IF(mos_metrics!I14="","",mos_metrics!I14)</f>
        <v/>
      </c>
      <c r="AD15" s="2">
        <f>AND($J15,ISNUMBER(AC15),correlation!$I$28=1)</f>
        <v/>
      </c>
      <c r="AE15" s="5">
        <f>IF(AD15,$F15,"")</f>
        <v/>
      </c>
      <c r="AF15" s="5">
        <f>IF(AD15,AC15*correlation!$J$28,"")</f>
        <v/>
      </c>
      <c r="AG15" s="5">
        <f>IF(AND(AD15,ISNUMBER(correlation!$F$28)),AF15*correlation!$F$28+correlation!$G$28,"")</f>
        <v/>
      </c>
      <c r="AH15" s="5">
        <f>IF(AND(AD15,ISNUMBER(AG15)),(AE15-AG15)^2,"")</f>
        <v/>
      </c>
      <c r="AI15" s="5">
        <f>IF(AD15,1+SUMPRODUCT(--(calc!$AD$3:$AD$67=TRUE),--(calc!$AE$3:$AE$67&gt;AE15))+(SUMPRODUCT(--(calc!$AD$3:$AD$67=TRUE),--(calc!$AE$3:$AE$67=AE15))-1)/2,"")</f>
        <v/>
      </c>
      <c r="AJ15" s="5">
        <f>IF(AD15,1+SUMPRODUCT(--(calc!$AD$3:$AD$67=TRUE),--(calc!$AF$3:$AF$67&gt;AF15))+(SUMPRODUCT(--(calc!$AD$3:$AD$67=TRUE),--(calc!$AF$3:$AF$67=AF15))-1)/2,"")</f>
        <v/>
      </c>
      <c r="AK15" s="5">
        <f>IF(AD15,SUMPRODUCT(--(calc!$AD$3:$AD$67=TRUE),--(ROW(calc!$AD$3:$AD$67)&gt;ROW(AD15)),--(((calc!$AI$3:$AI$67&gt;AI15)*(calc!$AJ$3:$AJ$67&gt;AJ15)+(calc!$AI$3:$AI$67&lt;AI15)*(calc!$AJ$3:$AJ$67&lt;AJ15))&gt;0))-SUMPRODUCT(--(calc!$AD$3:$AD$67=TRUE),--(ROW(calc!$AD$3:$AD$67)&gt;ROW(AD15)),--(((calc!$AI$3:$AI$67&gt;AI15)*(calc!$AJ$3:$AJ$67&lt;AJ15)+(calc!$AI$3:$AI$67&lt;AI15)*(calc!$AJ$3:$AJ$67&gt;AJ15))&gt;0)),0)</f>
        <v/>
      </c>
      <c r="AL15" s="5">
        <f>IF(mos_metrics!J14="","",mos_metrics!J14)</f>
        <v/>
      </c>
      <c r="AM15" s="2">
        <f>AND($J15,ISNUMBER(AL15),correlation!$I$29=1)</f>
        <v/>
      </c>
      <c r="AN15" s="5">
        <f>IF(AM15,$F15,"")</f>
        <v/>
      </c>
      <c r="AO15" s="5">
        <f>IF(AM15,AL15*correlation!$J$29,"")</f>
        <v/>
      </c>
      <c r="AP15" s="5">
        <f>IF(AND(AM15,ISNUMBER(correlation!$F$29)),AO15*correlation!$F$29+correlation!$G$29,"")</f>
        <v/>
      </c>
      <c r="AQ15" s="5">
        <f>IF(AND(AM15,ISNUMBER(AP15)),(AN15-AP15)^2,"")</f>
        <v/>
      </c>
      <c r="AR15" s="5">
        <f>IF(AM15,1+SUMPRODUCT(--(calc!$AM$3:$AM$67=TRUE),--(calc!$AN$3:$AN$67&gt;AN15))+(SUMPRODUCT(--(calc!$AM$3:$AM$67=TRUE),--(calc!$AN$3:$AN$67=AN15))-1)/2,"")</f>
        <v/>
      </c>
      <c r="AS15" s="5">
        <f>IF(AM15,1+SUMPRODUCT(--(calc!$AM$3:$AM$67=TRUE),--(calc!$AO$3:$AO$67&gt;AO15))+(SUMPRODUCT(--(calc!$AM$3:$AM$67=TRUE),--(calc!$AO$3:$AO$67=AO15))-1)/2,"")</f>
        <v/>
      </c>
      <c r="AT15" s="5">
        <f>IF(AM15,SUMPRODUCT(--(calc!$AM$3:$AM$67=TRUE),--(ROW(calc!$AM$3:$AM$67)&gt;ROW(AM15)),--(((calc!$AR$3:$AR$67&gt;AR15)*(calc!$AS$3:$AS$67&gt;AS15)+(calc!$AR$3:$AR$67&lt;AR15)*(calc!$AS$3:$AS$67&lt;AS15))&gt;0))-SUMPRODUCT(--(calc!$AM$3:$AM$67=TRUE),--(ROW(calc!$AM$3:$AM$67)&gt;ROW(AM15)),--(((calc!$AR$3:$AR$67&gt;AR15)*(calc!$AS$3:$AS$67&lt;AS15)+(calc!$AR$3:$AR$67&lt;AR15)*(calc!$AS$3:$AS$67&gt;AS15))&gt;0)),0)</f>
        <v/>
      </c>
      <c r="AU15" s="5">
        <f>IF(mos_metrics!K14="","",mos_metrics!K14)</f>
        <v/>
      </c>
      <c r="AV15" s="2">
        <f>AND($J15,ISNUMBER(AU15),correlation!$I$30=1)</f>
        <v/>
      </c>
      <c r="AW15" s="5">
        <f>IF(AV15,$F15,"")</f>
        <v/>
      </c>
      <c r="AX15" s="5">
        <f>IF(AV15,AU15*correlation!$J$30,"")</f>
        <v/>
      </c>
      <c r="AY15" s="5">
        <f>IF(AND(AV15,ISNUMBER(correlation!$F$30)),AX15*correlation!$F$30+correlation!$G$30,"")</f>
        <v/>
      </c>
      <c r="AZ15" s="5">
        <f>IF(AND(AV15,ISNUMBER(AY15)),(AW15-AY15)^2,"")</f>
        <v/>
      </c>
      <c r="BA15" s="5">
        <f>IF(AV15,1+SUMPRODUCT(--(calc!$AV$3:$AV$67=TRUE),--(calc!$AW$3:$AW$67&gt;AW15))+(SUMPRODUCT(--(calc!$AV$3:$AV$67=TRUE),--(calc!$AW$3:$AW$67=AW15))-1)/2,"")</f>
        <v/>
      </c>
      <c r="BB15" s="5">
        <f>IF(AV15,1+SUMPRODUCT(--(calc!$AV$3:$AV$67=TRUE),--(calc!$AX$3:$AX$67&gt;AX15))+(SUMPRODUCT(--(calc!$AV$3:$AV$67=TRUE),--(calc!$AX$3:$AX$67=AX15))-1)/2,"")</f>
        <v/>
      </c>
      <c r="BC15" s="5">
        <f>IF(AV15,SUMPRODUCT(--(calc!$AV$3:$AV$67=TRUE),--(ROW(calc!$AV$3:$AV$67)&gt;ROW(AV15)),--(((calc!$BA$3:$BA$67&gt;BA15)*(calc!$BB$3:$BB$67&gt;BB15)+(calc!$BA$3:$BA$67&lt;BA15)*(calc!$BB$3:$BB$67&lt;BB15))&gt;0))-SUMPRODUCT(--(calc!$AV$3:$AV$67=TRUE),--(ROW(calc!$AV$3:$AV$67)&gt;ROW(AV15)),--(((calc!$BA$3:$BA$67&gt;BA15)*(calc!$BB$3:$BB$67&lt;BB15)+(calc!$BA$3:$BA$67&lt;BA15)*(calc!$BB$3:$BB$67&gt;BB15))&gt;0)),0)</f>
        <v/>
      </c>
      <c r="BD15" s="5">
        <f>IF(mos_metrics!L14="","",mos_metrics!L14)</f>
        <v/>
      </c>
      <c r="BE15" s="2">
        <f>AND($J15,ISNUMBER(BD15),correlation!$I$31=1)</f>
        <v/>
      </c>
      <c r="BF15" s="5">
        <f>IF(BE15,$F15,"")</f>
        <v/>
      </c>
      <c r="BG15" s="5">
        <f>IF(BE15,BD15*correlation!$J$31,"")</f>
        <v/>
      </c>
      <c r="BH15" s="5">
        <f>IF(AND(BE15,ISNUMBER(correlation!$F$31)),BG15*correlation!$F$31+correlation!$G$31,"")</f>
        <v/>
      </c>
      <c r="BI15" s="5">
        <f>IF(AND(BE15,ISNUMBER(BH15)),(BF15-BH15)^2,"")</f>
        <v/>
      </c>
      <c r="BJ15" s="5">
        <f>IF(BE15,1+SUMPRODUCT(--(calc!$BE$3:$BE$67=TRUE),--(calc!$BF$3:$BF$67&gt;BF15))+(SUMPRODUCT(--(calc!$BE$3:$BE$67=TRUE),--(calc!$BF$3:$BF$67=BF15))-1)/2,"")</f>
        <v/>
      </c>
      <c r="BK15" s="5">
        <f>IF(BE15,1+SUMPRODUCT(--(calc!$BE$3:$BE$67=TRUE),--(calc!$BG$3:$BG$67&gt;BG15))+(SUMPRODUCT(--(calc!$BE$3:$BE$67=TRUE),--(calc!$BG$3:$BG$67=BG15))-1)/2,"")</f>
        <v/>
      </c>
      <c r="BL15" s="5">
        <f>IF(BE15,SUMPRODUCT(--(calc!$BE$3:$BE$67=TRUE),--(ROW(calc!$BE$3:$BE$67)&gt;ROW(BE15)),--(((calc!$BJ$3:$BJ$67&gt;BJ15)*(calc!$BK$3:$BK$67&gt;BK15)+(calc!$BJ$3:$BJ$67&lt;BJ15)*(calc!$BK$3:$BK$67&lt;BK15))&gt;0))-SUMPRODUCT(--(calc!$BE$3:$BE$67=TRUE),--(ROW(calc!$BE$3:$BE$67)&gt;ROW(BE15)),--(((calc!$BJ$3:$BJ$67&gt;BJ15)*(calc!$BK$3:$BK$67&lt;BK15)+(calc!$BJ$3:$BJ$67&lt;BJ15)*(calc!$BK$3:$BK$67&gt;BK15))&gt;0)),0)</f>
        <v/>
      </c>
      <c r="BM15" s="5">
        <f>IF(mos_metrics!M14="","",mos_metrics!M14)</f>
        <v/>
      </c>
      <c r="BN15" s="2">
        <f>AND($J15,ISNUMBER(BM15),correlation!$I$32=1)</f>
        <v/>
      </c>
      <c r="BO15" s="5">
        <f>IF(BN15,$F15,"")</f>
        <v/>
      </c>
      <c r="BP15" s="5">
        <f>IF(BN15,BM15*correlation!$J$32,"")</f>
        <v/>
      </c>
      <c r="BQ15" s="5">
        <f>IF(AND(BN15,ISNUMBER(correlation!$F$32)),BP15*correlation!$F$32+correlation!$G$32,"")</f>
        <v/>
      </c>
      <c r="BR15" s="5">
        <f>IF(AND(BN15,ISNUMBER(BQ15)),(BO15-BQ15)^2,"")</f>
        <v/>
      </c>
      <c r="BS15" s="5">
        <f>IF(BN15,1+SUMPRODUCT(--(calc!$BN$3:$BN$67=TRUE),--(calc!$BO$3:$BO$67&gt;BO15))+(SUMPRODUCT(--(calc!$BN$3:$BN$67=TRUE),--(calc!$BO$3:$BO$67=BO15))-1)/2,"")</f>
        <v/>
      </c>
      <c r="BT15" s="5">
        <f>IF(BN15,1+SUMPRODUCT(--(calc!$BN$3:$BN$67=TRUE),--(calc!$BP$3:$BP$67&gt;BP15))+(SUMPRODUCT(--(calc!$BN$3:$BN$67=TRUE),--(calc!$BP$3:$BP$67=BP15))-1)/2,"")</f>
        <v/>
      </c>
      <c r="BU15" s="5">
        <f>IF(BN15,SUMPRODUCT(--(calc!$BN$3:$BN$67=TRUE),--(ROW(calc!$BN$3:$BN$67)&gt;ROW(BN15)),--(((calc!$BS$3:$BS$67&gt;BS15)*(calc!$BT$3:$BT$67&gt;BT15)+(calc!$BS$3:$BS$67&lt;BS15)*(calc!$BT$3:$BT$67&lt;BT15))&gt;0))-SUMPRODUCT(--(calc!$BN$3:$BN$67=TRUE),--(ROW(calc!$BN$3:$BN$67)&gt;ROW(BN15)),--(((calc!$BS$3:$BS$67&gt;BS15)*(calc!$BT$3:$BT$67&lt;BT15)+(calc!$BS$3:$BS$67&lt;BS15)*(calc!$BT$3:$BT$67&gt;BT15))&gt;0)),0)</f>
        <v/>
      </c>
    </row>
    <row r="16">
      <c r="A16" s="2">
        <f>mos_metrics!A15</f>
        <v/>
      </c>
      <c r="B16" s="2">
        <f>mos_metrics!B15</f>
        <v/>
      </c>
      <c r="C16" s="2">
        <f>mos_metrics!C15</f>
        <v/>
      </c>
      <c r="D16" s="2">
        <f>mos_metrics!D15</f>
        <v/>
      </c>
      <c r="E16" s="2">
        <f>mos_metrics!E15</f>
        <v/>
      </c>
      <c r="F16" s="2">
        <f>mos_metrics!F15</f>
        <v/>
      </c>
      <c r="G16" s="2">
        <f>IF($B16="","",IFERROR(VLOOKUP($B16,correlation!$A$2:$B$6,2,FALSE),1))</f>
        <v/>
      </c>
      <c r="H16" s="2">
        <f>IF($E16="","",IFERROR(VLOOKUP($E16,correlation!$D$2:$E$8,2,FALSE),1))</f>
        <v/>
      </c>
      <c r="I16" s="2">
        <f>ISNUMBER($F16)</f>
        <v/>
      </c>
      <c r="J16" s="2">
        <f>AND($G16=1,$H16=1,$I16)</f>
        <v/>
      </c>
      <c r="K16" s="5">
        <f>IF(mos_metrics!G15="","",mos_metrics!G15)</f>
        <v/>
      </c>
      <c r="L16" s="2">
        <f>AND($J16,ISNUMBER(K16),correlation!$I$26=1)</f>
        <v/>
      </c>
      <c r="M16" s="5">
        <f>IF(L16,$F16,"")</f>
        <v/>
      </c>
      <c r="N16" s="5">
        <f>IF(L16,K16*correlation!$J$26,"")</f>
        <v/>
      </c>
      <c r="O16" s="5">
        <f>IF(AND(L16,ISNUMBER(correlation!$F$26)),N16*correlation!$F$26+correlation!$G$26,"")</f>
        <v/>
      </c>
      <c r="P16" s="5">
        <f>IF(AND(L16,ISNUMBER(O16)),(M16-O16)^2,"")</f>
        <v/>
      </c>
      <c r="Q16" s="5">
        <f>IF(L16,1+SUMPRODUCT(--(calc!$L$3:$L$67=TRUE),--(calc!$M$3:$M$67&gt;M16))+(SUMPRODUCT(--(calc!$L$3:$L$67=TRUE),--(calc!$M$3:$M$67=M16))-1)/2,"")</f>
        <v/>
      </c>
      <c r="R16" s="5">
        <f>IF(L16,1+SUMPRODUCT(--(calc!$L$3:$L$67=TRUE),--(calc!$N$3:$N$67&gt;N16))+(SUMPRODUCT(--(calc!$L$3:$L$67=TRUE),--(calc!$N$3:$N$67=N16))-1)/2,"")</f>
        <v/>
      </c>
      <c r="S16" s="5">
        <f>IF(L16,SUMPRODUCT(--(calc!$L$3:$L$67=TRUE),--(ROW(calc!$L$3:$L$67)&gt;ROW(L16)),--(((calc!$Q$3:$Q$67&gt;Q16)*(calc!$R$3:$R$67&gt;R16)+(calc!$Q$3:$Q$67&lt;Q16)*(calc!$R$3:$R$67&lt;R16))&gt;0))-SUMPRODUCT(--(calc!$L$3:$L$67=TRUE),--(ROW(calc!$L$3:$L$67)&gt;ROW(L16)),--(((calc!$Q$3:$Q$67&gt;Q16)*(calc!$R$3:$R$67&lt;R16)+(calc!$Q$3:$Q$67&lt;Q16)*(calc!$R$3:$R$67&gt;R16))&gt;0)),0)</f>
        <v/>
      </c>
      <c r="T16" s="5">
        <f>IF(mos_metrics!H15="","",mos_metrics!H15)</f>
        <v/>
      </c>
      <c r="U16" s="2">
        <f>AND($J16,ISNUMBER(T16),correlation!$I$27=1)</f>
        <v/>
      </c>
      <c r="V16" s="5">
        <f>IF(U16,$F16,"")</f>
        <v/>
      </c>
      <c r="W16" s="5">
        <f>IF(U16,T16*correlation!$J$27,"")</f>
        <v/>
      </c>
      <c r="X16" s="5">
        <f>IF(AND(U16,ISNUMBER(correlation!$F$27)),W16*correlation!$F$27+correlation!$G$27,"")</f>
        <v/>
      </c>
      <c r="Y16" s="5">
        <f>IF(AND(U16,ISNUMBER(X16)),(V16-X16)^2,"")</f>
        <v/>
      </c>
      <c r="Z16" s="5">
        <f>IF(U16,1+SUMPRODUCT(--(calc!$U$3:$U$67=TRUE),--(calc!$V$3:$V$67&gt;V16))+(SUMPRODUCT(--(calc!$U$3:$U$67=TRUE),--(calc!$V$3:$V$67=V16))-1)/2,"")</f>
        <v/>
      </c>
      <c r="AA16" s="5">
        <f>IF(U16,1+SUMPRODUCT(--(calc!$U$3:$U$67=TRUE),--(calc!$W$3:$W$67&gt;W16))+(SUMPRODUCT(--(calc!$U$3:$U$67=TRUE),--(calc!$W$3:$W$67=W16))-1)/2,"")</f>
        <v/>
      </c>
      <c r="AB16" s="5">
        <f>IF(U16,SUMPRODUCT(--(calc!$U$3:$U$67=TRUE),--(ROW(calc!$U$3:$U$67)&gt;ROW(U16)),--(((calc!$Z$3:$Z$67&gt;Z16)*(calc!$AA$3:$AA$67&gt;AA16)+(calc!$Z$3:$Z$67&lt;Z16)*(calc!$AA$3:$AA$67&lt;AA16))&gt;0))-SUMPRODUCT(--(calc!$U$3:$U$67=TRUE),--(ROW(calc!$U$3:$U$67)&gt;ROW(U16)),--(((calc!$Z$3:$Z$67&gt;Z16)*(calc!$AA$3:$AA$67&lt;AA16)+(calc!$Z$3:$Z$67&lt;Z16)*(calc!$AA$3:$AA$67&gt;AA16))&gt;0)),0)</f>
        <v/>
      </c>
      <c r="AC16" s="5">
        <f>IF(mos_metrics!I15="","",mos_metrics!I15)</f>
        <v/>
      </c>
      <c r="AD16" s="2">
        <f>AND($J16,ISNUMBER(AC16),correlation!$I$28=1)</f>
        <v/>
      </c>
      <c r="AE16" s="5">
        <f>IF(AD16,$F16,"")</f>
        <v/>
      </c>
      <c r="AF16" s="5">
        <f>IF(AD16,AC16*correlation!$J$28,"")</f>
        <v/>
      </c>
      <c r="AG16" s="5">
        <f>IF(AND(AD16,ISNUMBER(correlation!$F$28)),AF16*correlation!$F$28+correlation!$G$28,"")</f>
        <v/>
      </c>
      <c r="AH16" s="5">
        <f>IF(AND(AD16,ISNUMBER(AG16)),(AE16-AG16)^2,"")</f>
        <v/>
      </c>
      <c r="AI16" s="5">
        <f>IF(AD16,1+SUMPRODUCT(--(calc!$AD$3:$AD$67=TRUE),--(calc!$AE$3:$AE$67&gt;AE16))+(SUMPRODUCT(--(calc!$AD$3:$AD$67=TRUE),--(calc!$AE$3:$AE$67=AE16))-1)/2,"")</f>
        <v/>
      </c>
      <c r="AJ16" s="5">
        <f>IF(AD16,1+SUMPRODUCT(--(calc!$AD$3:$AD$67=TRUE),--(calc!$AF$3:$AF$67&gt;AF16))+(SUMPRODUCT(--(calc!$AD$3:$AD$67=TRUE),--(calc!$AF$3:$AF$67=AF16))-1)/2,"")</f>
        <v/>
      </c>
      <c r="AK16" s="5">
        <f>IF(AD16,SUMPRODUCT(--(calc!$AD$3:$AD$67=TRUE),--(ROW(calc!$AD$3:$AD$67)&gt;ROW(AD16)),--(((calc!$AI$3:$AI$67&gt;AI16)*(calc!$AJ$3:$AJ$67&gt;AJ16)+(calc!$AI$3:$AI$67&lt;AI16)*(calc!$AJ$3:$AJ$67&lt;AJ16))&gt;0))-SUMPRODUCT(--(calc!$AD$3:$AD$67=TRUE),--(ROW(calc!$AD$3:$AD$67)&gt;ROW(AD16)),--(((calc!$AI$3:$AI$67&gt;AI16)*(calc!$AJ$3:$AJ$67&lt;AJ16)+(calc!$AI$3:$AI$67&lt;AI16)*(calc!$AJ$3:$AJ$67&gt;AJ16))&gt;0)),0)</f>
        <v/>
      </c>
      <c r="AL16" s="5">
        <f>IF(mos_metrics!J15="","",mos_metrics!J15)</f>
        <v/>
      </c>
      <c r="AM16" s="2">
        <f>AND($J16,ISNUMBER(AL16),correlation!$I$29=1)</f>
        <v/>
      </c>
      <c r="AN16" s="5">
        <f>IF(AM16,$F16,"")</f>
        <v/>
      </c>
      <c r="AO16" s="5">
        <f>IF(AM16,AL16*correlation!$J$29,"")</f>
        <v/>
      </c>
      <c r="AP16" s="5">
        <f>IF(AND(AM16,ISNUMBER(correlation!$F$29)),AO16*correlation!$F$29+correlation!$G$29,"")</f>
        <v/>
      </c>
      <c r="AQ16" s="5">
        <f>IF(AND(AM16,ISNUMBER(AP16)),(AN16-AP16)^2,"")</f>
        <v/>
      </c>
      <c r="AR16" s="5">
        <f>IF(AM16,1+SUMPRODUCT(--(calc!$AM$3:$AM$67=TRUE),--(calc!$AN$3:$AN$67&gt;AN16))+(SUMPRODUCT(--(calc!$AM$3:$AM$67=TRUE),--(calc!$AN$3:$AN$67=AN16))-1)/2,"")</f>
        <v/>
      </c>
      <c r="AS16" s="5">
        <f>IF(AM16,1+SUMPRODUCT(--(calc!$AM$3:$AM$67=TRUE),--(calc!$AO$3:$AO$67&gt;AO16))+(SUMPRODUCT(--(calc!$AM$3:$AM$67=TRUE),--(calc!$AO$3:$AO$67=AO16))-1)/2,"")</f>
        <v/>
      </c>
      <c r="AT16" s="5">
        <f>IF(AM16,SUMPRODUCT(--(calc!$AM$3:$AM$67=TRUE),--(ROW(calc!$AM$3:$AM$67)&gt;ROW(AM16)),--(((calc!$AR$3:$AR$67&gt;AR16)*(calc!$AS$3:$AS$67&gt;AS16)+(calc!$AR$3:$AR$67&lt;AR16)*(calc!$AS$3:$AS$67&lt;AS16))&gt;0))-SUMPRODUCT(--(calc!$AM$3:$AM$67=TRUE),--(ROW(calc!$AM$3:$AM$67)&gt;ROW(AM16)),--(((calc!$AR$3:$AR$67&gt;AR16)*(calc!$AS$3:$AS$67&lt;AS16)+(calc!$AR$3:$AR$67&lt;AR16)*(calc!$AS$3:$AS$67&gt;AS16))&gt;0)),0)</f>
        <v/>
      </c>
      <c r="AU16" s="5">
        <f>IF(mos_metrics!K15="","",mos_metrics!K15)</f>
        <v/>
      </c>
      <c r="AV16" s="2">
        <f>AND($J16,ISNUMBER(AU16),correlation!$I$30=1)</f>
        <v/>
      </c>
      <c r="AW16" s="5">
        <f>IF(AV16,$F16,"")</f>
        <v/>
      </c>
      <c r="AX16" s="5">
        <f>IF(AV16,AU16*correlation!$J$30,"")</f>
        <v/>
      </c>
      <c r="AY16" s="5">
        <f>IF(AND(AV16,ISNUMBER(correlation!$F$30)),AX16*correlation!$F$30+correlation!$G$30,"")</f>
        <v/>
      </c>
      <c r="AZ16" s="5">
        <f>IF(AND(AV16,ISNUMBER(AY16)),(AW16-AY16)^2,"")</f>
        <v/>
      </c>
      <c r="BA16" s="5">
        <f>IF(AV16,1+SUMPRODUCT(--(calc!$AV$3:$AV$67=TRUE),--(calc!$AW$3:$AW$67&gt;AW16))+(SUMPRODUCT(--(calc!$AV$3:$AV$67=TRUE),--(calc!$AW$3:$AW$67=AW16))-1)/2,"")</f>
        <v/>
      </c>
      <c r="BB16" s="5">
        <f>IF(AV16,1+SUMPRODUCT(--(calc!$AV$3:$AV$67=TRUE),--(calc!$AX$3:$AX$67&gt;AX16))+(SUMPRODUCT(--(calc!$AV$3:$AV$67=TRUE),--(calc!$AX$3:$AX$67=AX16))-1)/2,"")</f>
        <v/>
      </c>
      <c r="BC16" s="5">
        <f>IF(AV16,SUMPRODUCT(--(calc!$AV$3:$AV$67=TRUE),--(ROW(calc!$AV$3:$AV$67)&gt;ROW(AV16)),--(((calc!$BA$3:$BA$67&gt;BA16)*(calc!$BB$3:$BB$67&gt;BB16)+(calc!$BA$3:$BA$67&lt;BA16)*(calc!$BB$3:$BB$67&lt;BB16))&gt;0))-SUMPRODUCT(--(calc!$AV$3:$AV$67=TRUE),--(ROW(calc!$AV$3:$AV$67)&gt;ROW(AV16)),--(((calc!$BA$3:$BA$67&gt;BA16)*(calc!$BB$3:$BB$67&lt;BB16)+(calc!$BA$3:$BA$67&lt;BA16)*(calc!$BB$3:$BB$67&gt;BB16))&gt;0)),0)</f>
        <v/>
      </c>
      <c r="BD16" s="5">
        <f>IF(mos_metrics!L15="","",mos_metrics!L15)</f>
        <v/>
      </c>
      <c r="BE16" s="2">
        <f>AND($J16,ISNUMBER(BD16),correlation!$I$31=1)</f>
        <v/>
      </c>
      <c r="BF16" s="5">
        <f>IF(BE16,$F16,"")</f>
        <v/>
      </c>
      <c r="BG16" s="5">
        <f>IF(BE16,BD16*correlation!$J$31,"")</f>
        <v/>
      </c>
      <c r="BH16" s="5">
        <f>IF(AND(BE16,ISNUMBER(correlation!$F$31)),BG16*correlation!$F$31+correlation!$G$31,"")</f>
        <v/>
      </c>
      <c r="BI16" s="5">
        <f>IF(AND(BE16,ISNUMBER(BH16)),(BF16-BH16)^2,"")</f>
        <v/>
      </c>
      <c r="BJ16" s="5">
        <f>IF(BE16,1+SUMPRODUCT(--(calc!$BE$3:$BE$67=TRUE),--(calc!$BF$3:$BF$67&gt;BF16))+(SUMPRODUCT(--(calc!$BE$3:$BE$67=TRUE),--(calc!$BF$3:$BF$67=BF16))-1)/2,"")</f>
        <v/>
      </c>
      <c r="BK16" s="5">
        <f>IF(BE16,1+SUMPRODUCT(--(calc!$BE$3:$BE$67=TRUE),--(calc!$BG$3:$BG$67&gt;BG16))+(SUMPRODUCT(--(calc!$BE$3:$BE$67=TRUE),--(calc!$BG$3:$BG$67=BG16))-1)/2,"")</f>
        <v/>
      </c>
      <c r="BL16" s="5">
        <f>IF(BE16,SUMPRODUCT(--(calc!$BE$3:$BE$67=TRUE),--(ROW(calc!$BE$3:$BE$67)&gt;ROW(BE16)),--(((calc!$BJ$3:$BJ$67&gt;BJ16)*(calc!$BK$3:$BK$67&gt;BK16)+(calc!$BJ$3:$BJ$67&lt;BJ16)*(calc!$BK$3:$BK$67&lt;BK16))&gt;0))-SUMPRODUCT(--(calc!$BE$3:$BE$67=TRUE),--(ROW(calc!$BE$3:$BE$67)&gt;ROW(BE16)),--(((calc!$BJ$3:$BJ$67&gt;BJ16)*(calc!$BK$3:$BK$67&lt;BK16)+(calc!$BJ$3:$BJ$67&lt;BJ16)*(calc!$BK$3:$BK$67&gt;BK16))&gt;0)),0)</f>
        <v/>
      </c>
      <c r="BM16" s="5">
        <f>IF(mos_metrics!M15="","",mos_metrics!M15)</f>
        <v/>
      </c>
      <c r="BN16" s="2">
        <f>AND($J16,ISNUMBER(BM16),correlation!$I$32=1)</f>
        <v/>
      </c>
      <c r="BO16" s="5">
        <f>IF(BN16,$F16,"")</f>
        <v/>
      </c>
      <c r="BP16" s="5">
        <f>IF(BN16,BM16*correlation!$J$32,"")</f>
        <v/>
      </c>
      <c r="BQ16" s="5">
        <f>IF(AND(BN16,ISNUMBER(correlation!$F$32)),BP16*correlation!$F$32+correlation!$G$32,"")</f>
        <v/>
      </c>
      <c r="BR16" s="5">
        <f>IF(AND(BN16,ISNUMBER(BQ16)),(BO16-BQ16)^2,"")</f>
        <v/>
      </c>
      <c r="BS16" s="5">
        <f>IF(BN16,1+SUMPRODUCT(--(calc!$BN$3:$BN$67=TRUE),--(calc!$BO$3:$BO$67&gt;BO16))+(SUMPRODUCT(--(calc!$BN$3:$BN$67=TRUE),--(calc!$BO$3:$BO$67=BO16))-1)/2,"")</f>
        <v/>
      </c>
      <c r="BT16" s="5">
        <f>IF(BN16,1+SUMPRODUCT(--(calc!$BN$3:$BN$67=TRUE),--(calc!$BP$3:$BP$67&gt;BP16))+(SUMPRODUCT(--(calc!$BN$3:$BN$67=TRUE),--(calc!$BP$3:$BP$67=BP16))-1)/2,"")</f>
        <v/>
      </c>
      <c r="BU16" s="5">
        <f>IF(BN16,SUMPRODUCT(--(calc!$BN$3:$BN$67=TRUE),--(ROW(calc!$BN$3:$BN$67)&gt;ROW(BN16)),--(((calc!$BS$3:$BS$67&gt;BS16)*(calc!$BT$3:$BT$67&gt;BT16)+(calc!$BS$3:$BS$67&lt;BS16)*(calc!$BT$3:$BT$67&lt;BT16))&gt;0))-SUMPRODUCT(--(calc!$BN$3:$BN$67=TRUE),--(ROW(calc!$BN$3:$BN$67)&gt;ROW(BN16)),--(((calc!$BS$3:$BS$67&gt;BS16)*(calc!$BT$3:$BT$67&lt;BT16)+(calc!$BS$3:$BS$67&lt;BS16)*(calc!$BT$3:$BT$67&gt;BT16))&gt;0)),0)</f>
        <v/>
      </c>
    </row>
    <row r="17">
      <c r="A17" s="2">
        <f>mos_metrics!A16</f>
        <v/>
      </c>
      <c r="B17" s="2">
        <f>mos_metrics!B16</f>
        <v/>
      </c>
      <c r="C17" s="2">
        <f>mos_metrics!C16</f>
        <v/>
      </c>
      <c r="D17" s="2">
        <f>mos_metrics!D16</f>
        <v/>
      </c>
      <c r="E17" s="2">
        <f>mos_metrics!E16</f>
        <v/>
      </c>
      <c r="F17" s="2">
        <f>mos_metrics!F16</f>
        <v/>
      </c>
      <c r="G17" s="2">
        <f>IF($B17="","",IFERROR(VLOOKUP($B17,correlation!$A$2:$B$6,2,FALSE),1))</f>
        <v/>
      </c>
      <c r="H17" s="2">
        <f>IF($E17="","",IFERROR(VLOOKUP($E17,correlation!$D$2:$E$8,2,FALSE),1))</f>
        <v/>
      </c>
      <c r="I17" s="2">
        <f>ISNUMBER($F17)</f>
        <v/>
      </c>
      <c r="J17" s="2">
        <f>AND($G17=1,$H17=1,$I17)</f>
        <v/>
      </c>
      <c r="K17" s="5">
        <f>IF(mos_metrics!G16="","",mos_metrics!G16)</f>
        <v/>
      </c>
      <c r="L17" s="2">
        <f>AND($J17,ISNUMBER(K17),correlation!$I$26=1)</f>
        <v/>
      </c>
      <c r="M17" s="5">
        <f>IF(L17,$F17,"")</f>
        <v/>
      </c>
      <c r="N17" s="5">
        <f>IF(L17,K17*correlation!$J$26,"")</f>
        <v/>
      </c>
      <c r="O17" s="5">
        <f>IF(AND(L17,ISNUMBER(correlation!$F$26)),N17*correlation!$F$26+correlation!$G$26,"")</f>
        <v/>
      </c>
      <c r="P17" s="5">
        <f>IF(AND(L17,ISNUMBER(O17)),(M17-O17)^2,"")</f>
        <v/>
      </c>
      <c r="Q17" s="5">
        <f>IF(L17,1+SUMPRODUCT(--(calc!$L$3:$L$67=TRUE),--(calc!$M$3:$M$67&gt;M17))+(SUMPRODUCT(--(calc!$L$3:$L$67=TRUE),--(calc!$M$3:$M$67=M17))-1)/2,"")</f>
        <v/>
      </c>
      <c r="R17" s="5">
        <f>IF(L17,1+SUMPRODUCT(--(calc!$L$3:$L$67=TRUE),--(calc!$N$3:$N$67&gt;N17))+(SUMPRODUCT(--(calc!$L$3:$L$67=TRUE),--(calc!$N$3:$N$67=N17))-1)/2,"")</f>
        <v/>
      </c>
      <c r="S17" s="5">
        <f>IF(L17,SUMPRODUCT(--(calc!$L$3:$L$67=TRUE),--(ROW(calc!$L$3:$L$67)&gt;ROW(L17)),--(((calc!$Q$3:$Q$67&gt;Q17)*(calc!$R$3:$R$67&gt;R17)+(calc!$Q$3:$Q$67&lt;Q17)*(calc!$R$3:$R$67&lt;R17))&gt;0))-SUMPRODUCT(--(calc!$L$3:$L$67=TRUE),--(ROW(calc!$L$3:$L$67)&gt;ROW(L17)),--(((calc!$Q$3:$Q$67&gt;Q17)*(calc!$R$3:$R$67&lt;R17)+(calc!$Q$3:$Q$67&lt;Q17)*(calc!$R$3:$R$67&gt;R17))&gt;0)),0)</f>
        <v/>
      </c>
      <c r="T17" s="5">
        <f>IF(mos_metrics!H16="","",mos_metrics!H16)</f>
        <v/>
      </c>
      <c r="U17" s="2">
        <f>AND($J17,ISNUMBER(T17),correlation!$I$27=1)</f>
        <v/>
      </c>
      <c r="V17" s="5">
        <f>IF(U17,$F17,"")</f>
        <v/>
      </c>
      <c r="W17" s="5">
        <f>IF(U17,T17*correlation!$J$27,"")</f>
        <v/>
      </c>
      <c r="X17" s="5">
        <f>IF(AND(U17,ISNUMBER(correlation!$F$27)),W17*correlation!$F$27+correlation!$G$27,"")</f>
        <v/>
      </c>
      <c r="Y17" s="5">
        <f>IF(AND(U17,ISNUMBER(X17)),(V17-X17)^2,"")</f>
        <v/>
      </c>
      <c r="Z17" s="5">
        <f>IF(U17,1+SUMPRODUCT(--(calc!$U$3:$U$67=TRUE),--(calc!$V$3:$V$67&gt;V17))+(SUMPRODUCT(--(calc!$U$3:$U$67=TRUE),--(calc!$V$3:$V$67=V17))-1)/2,"")</f>
        <v/>
      </c>
      <c r="AA17" s="5">
        <f>IF(U17,1+SUMPRODUCT(--(calc!$U$3:$U$67=TRUE),--(calc!$W$3:$W$67&gt;W17))+(SUMPRODUCT(--(calc!$U$3:$U$67=TRUE),--(calc!$W$3:$W$67=W17))-1)/2,"")</f>
        <v/>
      </c>
      <c r="AB17" s="5">
        <f>IF(U17,SUMPRODUCT(--(calc!$U$3:$U$67=TRUE),--(ROW(calc!$U$3:$U$67)&gt;ROW(U17)),--(((calc!$Z$3:$Z$67&gt;Z17)*(calc!$AA$3:$AA$67&gt;AA17)+(calc!$Z$3:$Z$67&lt;Z17)*(calc!$AA$3:$AA$67&lt;AA17))&gt;0))-SUMPRODUCT(--(calc!$U$3:$U$67=TRUE),--(ROW(calc!$U$3:$U$67)&gt;ROW(U17)),--(((calc!$Z$3:$Z$67&gt;Z17)*(calc!$AA$3:$AA$67&lt;AA17)+(calc!$Z$3:$Z$67&lt;Z17)*(calc!$AA$3:$AA$67&gt;AA17))&gt;0)),0)</f>
        <v/>
      </c>
      <c r="AC17" s="5">
        <f>IF(mos_metrics!I16="","",mos_metrics!I16)</f>
        <v/>
      </c>
      <c r="AD17" s="2">
        <f>AND($J17,ISNUMBER(AC17),correlation!$I$28=1)</f>
        <v/>
      </c>
      <c r="AE17" s="5">
        <f>IF(AD17,$F17,"")</f>
        <v/>
      </c>
      <c r="AF17" s="5">
        <f>IF(AD17,AC17*correlation!$J$28,"")</f>
        <v/>
      </c>
      <c r="AG17" s="5">
        <f>IF(AND(AD17,ISNUMBER(correlation!$F$28)),AF17*correlation!$F$28+correlation!$G$28,"")</f>
        <v/>
      </c>
      <c r="AH17" s="5">
        <f>IF(AND(AD17,ISNUMBER(AG17)),(AE17-AG17)^2,"")</f>
        <v/>
      </c>
      <c r="AI17" s="5">
        <f>IF(AD17,1+SUMPRODUCT(--(calc!$AD$3:$AD$67=TRUE),--(calc!$AE$3:$AE$67&gt;AE17))+(SUMPRODUCT(--(calc!$AD$3:$AD$67=TRUE),--(calc!$AE$3:$AE$67=AE17))-1)/2,"")</f>
        <v/>
      </c>
      <c r="AJ17" s="5">
        <f>IF(AD17,1+SUMPRODUCT(--(calc!$AD$3:$AD$67=TRUE),--(calc!$AF$3:$AF$67&gt;AF17))+(SUMPRODUCT(--(calc!$AD$3:$AD$67=TRUE),--(calc!$AF$3:$AF$67=AF17))-1)/2,"")</f>
        <v/>
      </c>
      <c r="AK17" s="5">
        <f>IF(AD17,SUMPRODUCT(--(calc!$AD$3:$AD$67=TRUE),--(ROW(calc!$AD$3:$AD$67)&gt;ROW(AD17)),--(((calc!$AI$3:$AI$67&gt;AI17)*(calc!$AJ$3:$AJ$67&gt;AJ17)+(calc!$AI$3:$AI$67&lt;AI17)*(calc!$AJ$3:$AJ$67&lt;AJ17))&gt;0))-SUMPRODUCT(--(calc!$AD$3:$AD$67=TRUE),--(ROW(calc!$AD$3:$AD$67)&gt;ROW(AD17)),--(((calc!$AI$3:$AI$67&gt;AI17)*(calc!$AJ$3:$AJ$67&lt;AJ17)+(calc!$AI$3:$AI$67&lt;AI17)*(calc!$AJ$3:$AJ$67&gt;AJ17))&gt;0)),0)</f>
        <v/>
      </c>
      <c r="AL17" s="5">
        <f>IF(mos_metrics!J16="","",mos_metrics!J16)</f>
        <v/>
      </c>
      <c r="AM17" s="2">
        <f>AND($J17,ISNUMBER(AL17),correlation!$I$29=1)</f>
        <v/>
      </c>
      <c r="AN17" s="5">
        <f>IF(AM17,$F17,"")</f>
        <v/>
      </c>
      <c r="AO17" s="5">
        <f>IF(AM17,AL17*correlation!$J$29,"")</f>
        <v/>
      </c>
      <c r="AP17" s="5">
        <f>IF(AND(AM17,ISNUMBER(correlation!$F$29)),AO17*correlation!$F$29+correlation!$G$29,"")</f>
        <v/>
      </c>
      <c r="AQ17" s="5">
        <f>IF(AND(AM17,ISNUMBER(AP17)),(AN17-AP17)^2,"")</f>
        <v/>
      </c>
      <c r="AR17" s="5">
        <f>IF(AM17,1+SUMPRODUCT(--(calc!$AM$3:$AM$67=TRUE),--(calc!$AN$3:$AN$67&gt;AN17))+(SUMPRODUCT(--(calc!$AM$3:$AM$67=TRUE),--(calc!$AN$3:$AN$67=AN17))-1)/2,"")</f>
        <v/>
      </c>
      <c r="AS17" s="5">
        <f>IF(AM17,1+SUMPRODUCT(--(calc!$AM$3:$AM$67=TRUE),--(calc!$AO$3:$AO$67&gt;AO17))+(SUMPRODUCT(--(calc!$AM$3:$AM$67=TRUE),--(calc!$AO$3:$AO$67=AO17))-1)/2,"")</f>
        <v/>
      </c>
      <c r="AT17" s="5">
        <f>IF(AM17,SUMPRODUCT(--(calc!$AM$3:$AM$67=TRUE),--(ROW(calc!$AM$3:$AM$67)&gt;ROW(AM17)),--(((calc!$AR$3:$AR$67&gt;AR17)*(calc!$AS$3:$AS$67&gt;AS17)+(calc!$AR$3:$AR$67&lt;AR17)*(calc!$AS$3:$AS$67&lt;AS17))&gt;0))-SUMPRODUCT(--(calc!$AM$3:$AM$67=TRUE),--(ROW(calc!$AM$3:$AM$67)&gt;ROW(AM17)),--(((calc!$AR$3:$AR$67&gt;AR17)*(calc!$AS$3:$AS$67&lt;AS17)+(calc!$AR$3:$AR$67&lt;AR17)*(calc!$AS$3:$AS$67&gt;AS17))&gt;0)),0)</f>
        <v/>
      </c>
      <c r="AU17" s="5">
        <f>IF(mos_metrics!K16="","",mos_metrics!K16)</f>
        <v/>
      </c>
      <c r="AV17" s="2">
        <f>AND($J17,ISNUMBER(AU17),correlation!$I$30=1)</f>
        <v/>
      </c>
      <c r="AW17" s="5">
        <f>IF(AV17,$F17,"")</f>
        <v/>
      </c>
      <c r="AX17" s="5">
        <f>IF(AV17,AU17*correlation!$J$30,"")</f>
        <v/>
      </c>
      <c r="AY17" s="5">
        <f>IF(AND(AV17,ISNUMBER(correlation!$F$30)),AX17*correlation!$F$30+correlation!$G$30,"")</f>
        <v/>
      </c>
      <c r="AZ17" s="5">
        <f>IF(AND(AV17,ISNUMBER(AY17)),(AW17-AY17)^2,"")</f>
        <v/>
      </c>
      <c r="BA17" s="5">
        <f>IF(AV17,1+SUMPRODUCT(--(calc!$AV$3:$AV$67=TRUE),--(calc!$AW$3:$AW$67&gt;AW17))+(SUMPRODUCT(--(calc!$AV$3:$AV$67=TRUE),--(calc!$AW$3:$AW$67=AW17))-1)/2,"")</f>
        <v/>
      </c>
      <c r="BB17" s="5">
        <f>IF(AV17,1+SUMPRODUCT(--(calc!$AV$3:$AV$67=TRUE),--(calc!$AX$3:$AX$67&gt;AX17))+(SUMPRODUCT(--(calc!$AV$3:$AV$67=TRUE),--(calc!$AX$3:$AX$67=AX17))-1)/2,"")</f>
        <v/>
      </c>
      <c r="BC17" s="5">
        <f>IF(AV17,SUMPRODUCT(--(calc!$AV$3:$AV$67=TRUE),--(ROW(calc!$AV$3:$AV$67)&gt;ROW(AV17)),--(((calc!$BA$3:$BA$67&gt;BA17)*(calc!$BB$3:$BB$67&gt;BB17)+(calc!$BA$3:$BA$67&lt;BA17)*(calc!$BB$3:$BB$67&lt;BB17))&gt;0))-SUMPRODUCT(--(calc!$AV$3:$AV$67=TRUE),--(ROW(calc!$AV$3:$AV$67)&gt;ROW(AV17)),--(((calc!$BA$3:$BA$67&gt;BA17)*(calc!$BB$3:$BB$67&lt;BB17)+(calc!$BA$3:$BA$67&lt;BA17)*(calc!$BB$3:$BB$67&gt;BB17))&gt;0)),0)</f>
        <v/>
      </c>
      <c r="BD17" s="5">
        <f>IF(mos_metrics!L16="","",mos_metrics!L16)</f>
        <v/>
      </c>
      <c r="BE17" s="2">
        <f>AND($J17,ISNUMBER(BD17),correlation!$I$31=1)</f>
        <v/>
      </c>
      <c r="BF17" s="5">
        <f>IF(BE17,$F17,"")</f>
        <v/>
      </c>
      <c r="BG17" s="5">
        <f>IF(BE17,BD17*correlation!$J$31,"")</f>
        <v/>
      </c>
      <c r="BH17" s="5">
        <f>IF(AND(BE17,ISNUMBER(correlation!$F$31)),BG17*correlation!$F$31+correlation!$G$31,"")</f>
        <v/>
      </c>
      <c r="BI17" s="5">
        <f>IF(AND(BE17,ISNUMBER(BH17)),(BF17-BH17)^2,"")</f>
        <v/>
      </c>
      <c r="BJ17" s="5">
        <f>IF(BE17,1+SUMPRODUCT(--(calc!$BE$3:$BE$67=TRUE),--(calc!$BF$3:$BF$67&gt;BF17))+(SUMPRODUCT(--(calc!$BE$3:$BE$67=TRUE),--(calc!$BF$3:$BF$67=BF17))-1)/2,"")</f>
        <v/>
      </c>
      <c r="BK17" s="5">
        <f>IF(BE17,1+SUMPRODUCT(--(calc!$BE$3:$BE$67=TRUE),--(calc!$BG$3:$BG$67&gt;BG17))+(SUMPRODUCT(--(calc!$BE$3:$BE$67=TRUE),--(calc!$BG$3:$BG$67=BG17))-1)/2,"")</f>
        <v/>
      </c>
      <c r="BL17" s="5">
        <f>IF(BE17,SUMPRODUCT(--(calc!$BE$3:$BE$67=TRUE),--(ROW(calc!$BE$3:$BE$67)&gt;ROW(BE17)),--(((calc!$BJ$3:$BJ$67&gt;BJ17)*(calc!$BK$3:$BK$67&gt;BK17)+(calc!$BJ$3:$BJ$67&lt;BJ17)*(calc!$BK$3:$BK$67&lt;BK17))&gt;0))-SUMPRODUCT(--(calc!$BE$3:$BE$67=TRUE),--(ROW(calc!$BE$3:$BE$67)&gt;ROW(BE17)),--(((calc!$BJ$3:$BJ$67&gt;BJ17)*(calc!$BK$3:$BK$67&lt;BK17)+(calc!$BJ$3:$BJ$67&lt;BJ17)*(calc!$BK$3:$BK$67&gt;BK17))&gt;0)),0)</f>
        <v/>
      </c>
      <c r="BM17" s="5">
        <f>IF(mos_metrics!M16="","",mos_metrics!M16)</f>
        <v/>
      </c>
      <c r="BN17" s="2">
        <f>AND($J17,ISNUMBER(BM17),correlation!$I$32=1)</f>
        <v/>
      </c>
      <c r="BO17" s="5">
        <f>IF(BN17,$F17,"")</f>
        <v/>
      </c>
      <c r="BP17" s="5">
        <f>IF(BN17,BM17*correlation!$J$32,"")</f>
        <v/>
      </c>
      <c r="BQ17" s="5">
        <f>IF(AND(BN17,ISNUMBER(correlation!$F$32)),BP17*correlation!$F$32+correlation!$G$32,"")</f>
        <v/>
      </c>
      <c r="BR17" s="5">
        <f>IF(AND(BN17,ISNUMBER(BQ17)),(BO17-BQ17)^2,"")</f>
        <v/>
      </c>
      <c r="BS17" s="5">
        <f>IF(BN17,1+SUMPRODUCT(--(calc!$BN$3:$BN$67=TRUE),--(calc!$BO$3:$BO$67&gt;BO17))+(SUMPRODUCT(--(calc!$BN$3:$BN$67=TRUE),--(calc!$BO$3:$BO$67=BO17))-1)/2,"")</f>
        <v/>
      </c>
      <c r="BT17" s="5">
        <f>IF(BN17,1+SUMPRODUCT(--(calc!$BN$3:$BN$67=TRUE),--(calc!$BP$3:$BP$67&gt;BP17))+(SUMPRODUCT(--(calc!$BN$3:$BN$67=TRUE),--(calc!$BP$3:$BP$67=BP17))-1)/2,"")</f>
        <v/>
      </c>
      <c r="BU17" s="5">
        <f>IF(BN17,SUMPRODUCT(--(calc!$BN$3:$BN$67=TRUE),--(ROW(calc!$BN$3:$BN$67)&gt;ROW(BN17)),--(((calc!$BS$3:$BS$67&gt;BS17)*(calc!$BT$3:$BT$67&gt;BT17)+(calc!$BS$3:$BS$67&lt;BS17)*(calc!$BT$3:$BT$67&lt;BT17))&gt;0))-SUMPRODUCT(--(calc!$BN$3:$BN$67=TRUE),--(ROW(calc!$BN$3:$BN$67)&gt;ROW(BN17)),--(((calc!$BS$3:$BS$67&gt;BS17)*(calc!$BT$3:$BT$67&lt;BT17)+(calc!$BS$3:$BS$67&lt;BS17)*(calc!$BT$3:$BT$67&gt;BT17))&gt;0)),0)</f>
        <v/>
      </c>
    </row>
    <row r="18">
      <c r="A18" s="2">
        <f>mos_metrics!A17</f>
        <v/>
      </c>
      <c r="B18" s="2">
        <f>mos_metrics!B17</f>
        <v/>
      </c>
      <c r="C18" s="2">
        <f>mos_metrics!C17</f>
        <v/>
      </c>
      <c r="D18" s="2">
        <f>mos_metrics!D17</f>
        <v/>
      </c>
      <c r="E18" s="2">
        <f>mos_metrics!E17</f>
        <v/>
      </c>
      <c r="F18" s="2">
        <f>mos_metrics!F17</f>
        <v/>
      </c>
      <c r="G18" s="2">
        <f>IF($B18="","",IFERROR(VLOOKUP($B18,correlation!$A$2:$B$6,2,FALSE),1))</f>
        <v/>
      </c>
      <c r="H18" s="2">
        <f>IF($E18="","",IFERROR(VLOOKUP($E18,correlation!$D$2:$E$8,2,FALSE),1))</f>
        <v/>
      </c>
      <c r="I18" s="2">
        <f>ISNUMBER($F18)</f>
        <v/>
      </c>
      <c r="J18" s="2">
        <f>AND($G18=1,$H18=1,$I18)</f>
        <v/>
      </c>
      <c r="K18" s="5">
        <f>IF(mos_metrics!G17="","",mos_metrics!G17)</f>
        <v/>
      </c>
      <c r="L18" s="2">
        <f>AND($J18,ISNUMBER(K18),correlation!$I$26=1)</f>
        <v/>
      </c>
      <c r="M18" s="5">
        <f>IF(L18,$F18,"")</f>
        <v/>
      </c>
      <c r="N18" s="5">
        <f>IF(L18,K18*correlation!$J$26,"")</f>
        <v/>
      </c>
      <c r="O18" s="5">
        <f>IF(AND(L18,ISNUMBER(correlation!$F$26)),N18*correlation!$F$26+correlation!$G$26,"")</f>
        <v/>
      </c>
      <c r="P18" s="5">
        <f>IF(AND(L18,ISNUMBER(O18)),(M18-O18)^2,"")</f>
        <v/>
      </c>
      <c r="Q18" s="5">
        <f>IF(L18,1+SUMPRODUCT(--(calc!$L$3:$L$67=TRUE),--(calc!$M$3:$M$67&gt;M18))+(SUMPRODUCT(--(calc!$L$3:$L$67=TRUE),--(calc!$M$3:$M$67=M18))-1)/2,"")</f>
        <v/>
      </c>
      <c r="R18" s="5">
        <f>IF(L18,1+SUMPRODUCT(--(calc!$L$3:$L$67=TRUE),--(calc!$N$3:$N$67&gt;N18))+(SUMPRODUCT(--(calc!$L$3:$L$67=TRUE),--(calc!$N$3:$N$67=N18))-1)/2,"")</f>
        <v/>
      </c>
      <c r="S18" s="5">
        <f>IF(L18,SUMPRODUCT(--(calc!$L$3:$L$67=TRUE),--(ROW(calc!$L$3:$L$67)&gt;ROW(L18)),--(((calc!$Q$3:$Q$67&gt;Q18)*(calc!$R$3:$R$67&gt;R18)+(calc!$Q$3:$Q$67&lt;Q18)*(calc!$R$3:$R$67&lt;R18))&gt;0))-SUMPRODUCT(--(calc!$L$3:$L$67=TRUE),--(ROW(calc!$L$3:$L$67)&gt;ROW(L18)),--(((calc!$Q$3:$Q$67&gt;Q18)*(calc!$R$3:$R$67&lt;R18)+(calc!$Q$3:$Q$67&lt;Q18)*(calc!$R$3:$R$67&gt;R18))&gt;0)),0)</f>
        <v/>
      </c>
      <c r="T18" s="5">
        <f>IF(mos_metrics!H17="","",mos_metrics!H17)</f>
        <v/>
      </c>
      <c r="U18" s="2">
        <f>AND($J18,ISNUMBER(T18),correlation!$I$27=1)</f>
        <v/>
      </c>
      <c r="V18" s="5">
        <f>IF(U18,$F18,"")</f>
        <v/>
      </c>
      <c r="W18" s="5">
        <f>IF(U18,T18*correlation!$J$27,"")</f>
        <v/>
      </c>
      <c r="X18" s="5">
        <f>IF(AND(U18,ISNUMBER(correlation!$F$27)),W18*correlation!$F$27+correlation!$G$27,"")</f>
        <v/>
      </c>
      <c r="Y18" s="5">
        <f>IF(AND(U18,ISNUMBER(X18)),(V18-X18)^2,"")</f>
        <v/>
      </c>
      <c r="Z18" s="5">
        <f>IF(U18,1+SUMPRODUCT(--(calc!$U$3:$U$67=TRUE),--(calc!$V$3:$V$67&gt;V18))+(SUMPRODUCT(--(calc!$U$3:$U$67=TRUE),--(calc!$V$3:$V$67=V18))-1)/2,"")</f>
        <v/>
      </c>
      <c r="AA18" s="5">
        <f>IF(U18,1+SUMPRODUCT(--(calc!$U$3:$U$67=TRUE),--(calc!$W$3:$W$67&gt;W18))+(SUMPRODUCT(--(calc!$U$3:$U$67=TRUE),--(calc!$W$3:$W$67=W18))-1)/2,"")</f>
        <v/>
      </c>
      <c r="AB18" s="5">
        <f>IF(U18,SUMPRODUCT(--(calc!$U$3:$U$67=TRUE),--(ROW(calc!$U$3:$U$67)&gt;ROW(U18)),--(((calc!$Z$3:$Z$67&gt;Z18)*(calc!$AA$3:$AA$67&gt;AA18)+(calc!$Z$3:$Z$67&lt;Z18)*(calc!$AA$3:$AA$67&lt;AA18))&gt;0))-SUMPRODUCT(--(calc!$U$3:$U$67=TRUE),--(ROW(calc!$U$3:$U$67)&gt;ROW(U18)),--(((calc!$Z$3:$Z$67&gt;Z18)*(calc!$AA$3:$AA$67&lt;AA18)+(calc!$Z$3:$Z$67&lt;Z18)*(calc!$AA$3:$AA$67&gt;AA18))&gt;0)),0)</f>
        <v/>
      </c>
      <c r="AC18" s="5">
        <f>IF(mos_metrics!I17="","",mos_metrics!I17)</f>
        <v/>
      </c>
      <c r="AD18" s="2">
        <f>AND($J18,ISNUMBER(AC18),correlation!$I$28=1)</f>
        <v/>
      </c>
      <c r="AE18" s="5">
        <f>IF(AD18,$F18,"")</f>
        <v/>
      </c>
      <c r="AF18" s="5">
        <f>IF(AD18,AC18*correlation!$J$28,"")</f>
        <v/>
      </c>
      <c r="AG18" s="5">
        <f>IF(AND(AD18,ISNUMBER(correlation!$F$28)),AF18*correlation!$F$28+correlation!$G$28,"")</f>
        <v/>
      </c>
      <c r="AH18" s="5">
        <f>IF(AND(AD18,ISNUMBER(AG18)),(AE18-AG18)^2,"")</f>
        <v/>
      </c>
      <c r="AI18" s="5">
        <f>IF(AD18,1+SUMPRODUCT(--(calc!$AD$3:$AD$67=TRUE),--(calc!$AE$3:$AE$67&gt;AE18))+(SUMPRODUCT(--(calc!$AD$3:$AD$67=TRUE),--(calc!$AE$3:$AE$67=AE18))-1)/2,"")</f>
        <v/>
      </c>
      <c r="AJ18" s="5">
        <f>IF(AD18,1+SUMPRODUCT(--(calc!$AD$3:$AD$67=TRUE),--(calc!$AF$3:$AF$67&gt;AF18))+(SUMPRODUCT(--(calc!$AD$3:$AD$67=TRUE),--(calc!$AF$3:$AF$67=AF18))-1)/2,"")</f>
        <v/>
      </c>
      <c r="AK18" s="5">
        <f>IF(AD18,SUMPRODUCT(--(calc!$AD$3:$AD$67=TRUE),--(ROW(calc!$AD$3:$AD$67)&gt;ROW(AD18)),--(((calc!$AI$3:$AI$67&gt;AI18)*(calc!$AJ$3:$AJ$67&gt;AJ18)+(calc!$AI$3:$AI$67&lt;AI18)*(calc!$AJ$3:$AJ$67&lt;AJ18))&gt;0))-SUMPRODUCT(--(calc!$AD$3:$AD$67=TRUE),--(ROW(calc!$AD$3:$AD$67)&gt;ROW(AD18)),--(((calc!$AI$3:$AI$67&gt;AI18)*(calc!$AJ$3:$AJ$67&lt;AJ18)+(calc!$AI$3:$AI$67&lt;AI18)*(calc!$AJ$3:$AJ$67&gt;AJ18))&gt;0)),0)</f>
        <v/>
      </c>
      <c r="AL18" s="5">
        <f>IF(mos_metrics!J17="","",mos_metrics!J17)</f>
        <v/>
      </c>
      <c r="AM18" s="2">
        <f>AND($J18,ISNUMBER(AL18),correlation!$I$29=1)</f>
        <v/>
      </c>
      <c r="AN18" s="5">
        <f>IF(AM18,$F18,"")</f>
        <v/>
      </c>
      <c r="AO18" s="5">
        <f>IF(AM18,AL18*correlation!$J$29,"")</f>
        <v/>
      </c>
      <c r="AP18" s="5">
        <f>IF(AND(AM18,ISNUMBER(correlation!$F$29)),AO18*correlation!$F$29+correlation!$G$29,"")</f>
        <v/>
      </c>
      <c r="AQ18" s="5">
        <f>IF(AND(AM18,ISNUMBER(AP18)),(AN18-AP18)^2,"")</f>
        <v/>
      </c>
      <c r="AR18" s="5">
        <f>IF(AM18,1+SUMPRODUCT(--(calc!$AM$3:$AM$67=TRUE),--(calc!$AN$3:$AN$67&gt;AN18))+(SUMPRODUCT(--(calc!$AM$3:$AM$67=TRUE),--(calc!$AN$3:$AN$67=AN18))-1)/2,"")</f>
        <v/>
      </c>
      <c r="AS18" s="5">
        <f>IF(AM18,1+SUMPRODUCT(--(calc!$AM$3:$AM$67=TRUE),--(calc!$AO$3:$AO$67&gt;AO18))+(SUMPRODUCT(--(calc!$AM$3:$AM$67=TRUE),--(calc!$AO$3:$AO$67=AO18))-1)/2,"")</f>
        <v/>
      </c>
      <c r="AT18" s="5">
        <f>IF(AM18,SUMPRODUCT(--(calc!$AM$3:$AM$67=TRUE),--(ROW(calc!$AM$3:$AM$67)&gt;ROW(AM18)),--(((calc!$AR$3:$AR$67&gt;AR18)*(calc!$AS$3:$AS$67&gt;AS18)+(calc!$AR$3:$AR$67&lt;AR18)*(calc!$AS$3:$AS$67&lt;AS18))&gt;0))-SUMPRODUCT(--(calc!$AM$3:$AM$67=TRUE),--(ROW(calc!$AM$3:$AM$67)&gt;ROW(AM18)),--(((calc!$AR$3:$AR$67&gt;AR18)*(calc!$AS$3:$AS$67&lt;AS18)+(calc!$AR$3:$AR$67&lt;AR18)*(calc!$AS$3:$AS$67&gt;AS18))&gt;0)),0)</f>
        <v/>
      </c>
      <c r="AU18" s="5">
        <f>IF(mos_metrics!K17="","",mos_metrics!K17)</f>
        <v/>
      </c>
      <c r="AV18" s="2">
        <f>AND($J18,ISNUMBER(AU18),correlation!$I$30=1)</f>
        <v/>
      </c>
      <c r="AW18" s="5">
        <f>IF(AV18,$F18,"")</f>
        <v/>
      </c>
      <c r="AX18" s="5">
        <f>IF(AV18,AU18*correlation!$J$30,"")</f>
        <v/>
      </c>
      <c r="AY18" s="5">
        <f>IF(AND(AV18,ISNUMBER(correlation!$F$30)),AX18*correlation!$F$30+correlation!$G$30,"")</f>
        <v/>
      </c>
      <c r="AZ18" s="5">
        <f>IF(AND(AV18,ISNUMBER(AY18)),(AW18-AY18)^2,"")</f>
        <v/>
      </c>
      <c r="BA18" s="5">
        <f>IF(AV18,1+SUMPRODUCT(--(calc!$AV$3:$AV$67=TRUE),--(calc!$AW$3:$AW$67&gt;AW18))+(SUMPRODUCT(--(calc!$AV$3:$AV$67=TRUE),--(calc!$AW$3:$AW$67=AW18))-1)/2,"")</f>
        <v/>
      </c>
      <c r="BB18" s="5">
        <f>IF(AV18,1+SUMPRODUCT(--(calc!$AV$3:$AV$67=TRUE),--(calc!$AX$3:$AX$67&gt;AX18))+(SUMPRODUCT(--(calc!$AV$3:$AV$67=TRUE),--(calc!$AX$3:$AX$67=AX18))-1)/2,"")</f>
        <v/>
      </c>
      <c r="BC18" s="5">
        <f>IF(AV18,SUMPRODUCT(--(calc!$AV$3:$AV$67=TRUE),--(ROW(calc!$AV$3:$AV$67)&gt;ROW(AV18)),--(((calc!$BA$3:$BA$67&gt;BA18)*(calc!$BB$3:$BB$67&gt;BB18)+(calc!$BA$3:$BA$67&lt;BA18)*(calc!$BB$3:$BB$67&lt;BB18))&gt;0))-SUMPRODUCT(--(calc!$AV$3:$AV$67=TRUE),--(ROW(calc!$AV$3:$AV$67)&gt;ROW(AV18)),--(((calc!$BA$3:$BA$67&gt;BA18)*(calc!$BB$3:$BB$67&lt;BB18)+(calc!$BA$3:$BA$67&lt;BA18)*(calc!$BB$3:$BB$67&gt;BB18))&gt;0)),0)</f>
        <v/>
      </c>
      <c r="BD18" s="5">
        <f>IF(mos_metrics!L17="","",mos_metrics!L17)</f>
        <v/>
      </c>
      <c r="BE18" s="2">
        <f>AND($J18,ISNUMBER(BD18),correlation!$I$31=1)</f>
        <v/>
      </c>
      <c r="BF18" s="5">
        <f>IF(BE18,$F18,"")</f>
        <v/>
      </c>
      <c r="BG18" s="5">
        <f>IF(BE18,BD18*correlation!$J$31,"")</f>
        <v/>
      </c>
      <c r="BH18" s="5">
        <f>IF(AND(BE18,ISNUMBER(correlation!$F$31)),BG18*correlation!$F$31+correlation!$G$31,"")</f>
        <v/>
      </c>
      <c r="BI18" s="5">
        <f>IF(AND(BE18,ISNUMBER(BH18)),(BF18-BH18)^2,"")</f>
        <v/>
      </c>
      <c r="BJ18" s="5">
        <f>IF(BE18,1+SUMPRODUCT(--(calc!$BE$3:$BE$67=TRUE),--(calc!$BF$3:$BF$67&gt;BF18))+(SUMPRODUCT(--(calc!$BE$3:$BE$67=TRUE),--(calc!$BF$3:$BF$67=BF18))-1)/2,"")</f>
        <v/>
      </c>
      <c r="BK18" s="5">
        <f>IF(BE18,1+SUMPRODUCT(--(calc!$BE$3:$BE$67=TRUE),--(calc!$BG$3:$BG$67&gt;BG18))+(SUMPRODUCT(--(calc!$BE$3:$BE$67=TRUE),--(calc!$BG$3:$BG$67=BG18))-1)/2,"")</f>
        <v/>
      </c>
      <c r="BL18" s="5">
        <f>IF(BE18,SUMPRODUCT(--(calc!$BE$3:$BE$67=TRUE),--(ROW(calc!$BE$3:$BE$67)&gt;ROW(BE18)),--(((calc!$BJ$3:$BJ$67&gt;BJ18)*(calc!$BK$3:$BK$67&gt;BK18)+(calc!$BJ$3:$BJ$67&lt;BJ18)*(calc!$BK$3:$BK$67&lt;BK18))&gt;0))-SUMPRODUCT(--(calc!$BE$3:$BE$67=TRUE),--(ROW(calc!$BE$3:$BE$67)&gt;ROW(BE18)),--(((calc!$BJ$3:$BJ$67&gt;BJ18)*(calc!$BK$3:$BK$67&lt;BK18)+(calc!$BJ$3:$BJ$67&lt;BJ18)*(calc!$BK$3:$BK$67&gt;BK18))&gt;0)),0)</f>
        <v/>
      </c>
      <c r="BM18" s="5">
        <f>IF(mos_metrics!M17="","",mos_metrics!M17)</f>
        <v/>
      </c>
      <c r="BN18" s="2">
        <f>AND($J18,ISNUMBER(BM18),correlation!$I$32=1)</f>
        <v/>
      </c>
      <c r="BO18" s="5">
        <f>IF(BN18,$F18,"")</f>
        <v/>
      </c>
      <c r="BP18" s="5">
        <f>IF(BN18,BM18*correlation!$J$32,"")</f>
        <v/>
      </c>
      <c r="BQ18" s="5">
        <f>IF(AND(BN18,ISNUMBER(correlation!$F$32)),BP18*correlation!$F$32+correlation!$G$32,"")</f>
        <v/>
      </c>
      <c r="BR18" s="5">
        <f>IF(AND(BN18,ISNUMBER(BQ18)),(BO18-BQ18)^2,"")</f>
        <v/>
      </c>
      <c r="BS18" s="5">
        <f>IF(BN18,1+SUMPRODUCT(--(calc!$BN$3:$BN$67=TRUE),--(calc!$BO$3:$BO$67&gt;BO18))+(SUMPRODUCT(--(calc!$BN$3:$BN$67=TRUE),--(calc!$BO$3:$BO$67=BO18))-1)/2,"")</f>
        <v/>
      </c>
      <c r="BT18" s="5">
        <f>IF(BN18,1+SUMPRODUCT(--(calc!$BN$3:$BN$67=TRUE),--(calc!$BP$3:$BP$67&gt;BP18))+(SUMPRODUCT(--(calc!$BN$3:$BN$67=TRUE),--(calc!$BP$3:$BP$67=BP18))-1)/2,"")</f>
        <v/>
      </c>
      <c r="BU18" s="5">
        <f>IF(BN18,SUMPRODUCT(--(calc!$BN$3:$BN$67=TRUE),--(ROW(calc!$BN$3:$BN$67)&gt;ROW(BN18)),--(((calc!$BS$3:$BS$67&gt;BS18)*(calc!$BT$3:$BT$67&gt;BT18)+(calc!$BS$3:$BS$67&lt;BS18)*(calc!$BT$3:$BT$67&lt;BT18))&gt;0))-SUMPRODUCT(--(calc!$BN$3:$BN$67=TRUE),--(ROW(calc!$BN$3:$BN$67)&gt;ROW(BN18)),--(((calc!$BS$3:$BS$67&gt;BS18)*(calc!$BT$3:$BT$67&lt;BT18)+(calc!$BS$3:$BS$67&lt;BS18)*(calc!$BT$3:$BT$67&gt;BT18))&gt;0)),0)</f>
        <v/>
      </c>
    </row>
    <row r="19">
      <c r="A19" s="2">
        <f>mos_metrics!A18</f>
        <v/>
      </c>
      <c r="B19" s="2">
        <f>mos_metrics!B18</f>
        <v/>
      </c>
      <c r="C19" s="2">
        <f>mos_metrics!C18</f>
        <v/>
      </c>
      <c r="D19" s="2">
        <f>mos_metrics!D18</f>
        <v/>
      </c>
      <c r="E19" s="2">
        <f>mos_metrics!E18</f>
        <v/>
      </c>
      <c r="F19" s="2">
        <f>mos_metrics!F18</f>
        <v/>
      </c>
      <c r="G19" s="2">
        <f>IF($B19="","",IFERROR(VLOOKUP($B19,correlation!$A$2:$B$6,2,FALSE),1))</f>
        <v/>
      </c>
      <c r="H19" s="2">
        <f>IF($E19="","",IFERROR(VLOOKUP($E19,correlation!$D$2:$E$8,2,FALSE),1))</f>
        <v/>
      </c>
      <c r="I19" s="2">
        <f>ISNUMBER($F19)</f>
        <v/>
      </c>
      <c r="J19" s="2">
        <f>AND($G19=1,$H19=1,$I19)</f>
        <v/>
      </c>
      <c r="K19" s="5">
        <f>IF(mos_metrics!G18="","",mos_metrics!G18)</f>
        <v/>
      </c>
      <c r="L19" s="2">
        <f>AND($J19,ISNUMBER(K19),correlation!$I$26=1)</f>
        <v/>
      </c>
      <c r="M19" s="5">
        <f>IF(L19,$F19,"")</f>
        <v/>
      </c>
      <c r="N19" s="5">
        <f>IF(L19,K19*correlation!$J$26,"")</f>
        <v/>
      </c>
      <c r="O19" s="5">
        <f>IF(AND(L19,ISNUMBER(correlation!$F$26)),N19*correlation!$F$26+correlation!$G$26,"")</f>
        <v/>
      </c>
      <c r="P19" s="5">
        <f>IF(AND(L19,ISNUMBER(O19)),(M19-O19)^2,"")</f>
        <v/>
      </c>
      <c r="Q19" s="5">
        <f>IF(L19,1+SUMPRODUCT(--(calc!$L$3:$L$67=TRUE),--(calc!$M$3:$M$67&gt;M19))+(SUMPRODUCT(--(calc!$L$3:$L$67=TRUE),--(calc!$M$3:$M$67=M19))-1)/2,"")</f>
        <v/>
      </c>
      <c r="R19" s="5">
        <f>IF(L19,1+SUMPRODUCT(--(calc!$L$3:$L$67=TRUE),--(calc!$N$3:$N$67&gt;N19))+(SUMPRODUCT(--(calc!$L$3:$L$67=TRUE),--(calc!$N$3:$N$67=N19))-1)/2,"")</f>
        <v/>
      </c>
      <c r="S19" s="5">
        <f>IF(L19,SUMPRODUCT(--(calc!$L$3:$L$67=TRUE),--(ROW(calc!$L$3:$L$67)&gt;ROW(L19)),--(((calc!$Q$3:$Q$67&gt;Q19)*(calc!$R$3:$R$67&gt;R19)+(calc!$Q$3:$Q$67&lt;Q19)*(calc!$R$3:$R$67&lt;R19))&gt;0))-SUMPRODUCT(--(calc!$L$3:$L$67=TRUE),--(ROW(calc!$L$3:$L$67)&gt;ROW(L19)),--(((calc!$Q$3:$Q$67&gt;Q19)*(calc!$R$3:$R$67&lt;R19)+(calc!$Q$3:$Q$67&lt;Q19)*(calc!$R$3:$R$67&gt;R19))&gt;0)),0)</f>
        <v/>
      </c>
      <c r="T19" s="5">
        <f>IF(mos_metrics!H18="","",mos_metrics!H18)</f>
        <v/>
      </c>
      <c r="U19" s="2">
        <f>AND($J19,ISNUMBER(T19),correlation!$I$27=1)</f>
        <v/>
      </c>
      <c r="V19" s="5">
        <f>IF(U19,$F19,"")</f>
        <v/>
      </c>
      <c r="W19" s="5">
        <f>IF(U19,T19*correlation!$J$27,"")</f>
        <v/>
      </c>
      <c r="X19" s="5">
        <f>IF(AND(U19,ISNUMBER(correlation!$F$27)),W19*correlation!$F$27+correlation!$G$27,"")</f>
        <v/>
      </c>
      <c r="Y19" s="5">
        <f>IF(AND(U19,ISNUMBER(X19)),(V19-X19)^2,"")</f>
        <v/>
      </c>
      <c r="Z19" s="5">
        <f>IF(U19,1+SUMPRODUCT(--(calc!$U$3:$U$67=TRUE),--(calc!$V$3:$V$67&gt;V19))+(SUMPRODUCT(--(calc!$U$3:$U$67=TRUE),--(calc!$V$3:$V$67=V19))-1)/2,"")</f>
        <v/>
      </c>
      <c r="AA19" s="5">
        <f>IF(U19,1+SUMPRODUCT(--(calc!$U$3:$U$67=TRUE),--(calc!$W$3:$W$67&gt;W19))+(SUMPRODUCT(--(calc!$U$3:$U$67=TRUE),--(calc!$W$3:$W$67=W19))-1)/2,"")</f>
        <v/>
      </c>
      <c r="AB19" s="5">
        <f>IF(U19,SUMPRODUCT(--(calc!$U$3:$U$67=TRUE),--(ROW(calc!$U$3:$U$67)&gt;ROW(U19)),--(((calc!$Z$3:$Z$67&gt;Z19)*(calc!$AA$3:$AA$67&gt;AA19)+(calc!$Z$3:$Z$67&lt;Z19)*(calc!$AA$3:$AA$67&lt;AA19))&gt;0))-SUMPRODUCT(--(calc!$U$3:$U$67=TRUE),--(ROW(calc!$U$3:$U$67)&gt;ROW(U19)),--(((calc!$Z$3:$Z$67&gt;Z19)*(calc!$AA$3:$AA$67&lt;AA19)+(calc!$Z$3:$Z$67&lt;Z19)*(calc!$AA$3:$AA$67&gt;AA19))&gt;0)),0)</f>
        <v/>
      </c>
      <c r="AC19" s="5">
        <f>IF(mos_metrics!I18="","",mos_metrics!I18)</f>
        <v/>
      </c>
      <c r="AD19" s="2">
        <f>AND($J19,ISNUMBER(AC19),correlation!$I$28=1)</f>
        <v/>
      </c>
      <c r="AE19" s="5">
        <f>IF(AD19,$F19,"")</f>
        <v/>
      </c>
      <c r="AF19" s="5">
        <f>IF(AD19,AC19*correlation!$J$28,"")</f>
        <v/>
      </c>
      <c r="AG19" s="5">
        <f>IF(AND(AD19,ISNUMBER(correlation!$F$28)),AF19*correlation!$F$28+correlation!$G$28,"")</f>
        <v/>
      </c>
      <c r="AH19" s="5">
        <f>IF(AND(AD19,ISNUMBER(AG19)),(AE19-AG19)^2,"")</f>
        <v/>
      </c>
      <c r="AI19" s="5">
        <f>IF(AD19,1+SUMPRODUCT(--(calc!$AD$3:$AD$67=TRUE),--(calc!$AE$3:$AE$67&gt;AE19))+(SUMPRODUCT(--(calc!$AD$3:$AD$67=TRUE),--(calc!$AE$3:$AE$67=AE19))-1)/2,"")</f>
        <v/>
      </c>
      <c r="AJ19" s="5">
        <f>IF(AD19,1+SUMPRODUCT(--(calc!$AD$3:$AD$67=TRUE),--(calc!$AF$3:$AF$67&gt;AF19))+(SUMPRODUCT(--(calc!$AD$3:$AD$67=TRUE),--(calc!$AF$3:$AF$67=AF19))-1)/2,"")</f>
        <v/>
      </c>
      <c r="AK19" s="5">
        <f>IF(AD19,SUMPRODUCT(--(calc!$AD$3:$AD$67=TRUE),--(ROW(calc!$AD$3:$AD$67)&gt;ROW(AD19)),--(((calc!$AI$3:$AI$67&gt;AI19)*(calc!$AJ$3:$AJ$67&gt;AJ19)+(calc!$AI$3:$AI$67&lt;AI19)*(calc!$AJ$3:$AJ$67&lt;AJ19))&gt;0))-SUMPRODUCT(--(calc!$AD$3:$AD$67=TRUE),--(ROW(calc!$AD$3:$AD$67)&gt;ROW(AD19)),--(((calc!$AI$3:$AI$67&gt;AI19)*(calc!$AJ$3:$AJ$67&lt;AJ19)+(calc!$AI$3:$AI$67&lt;AI19)*(calc!$AJ$3:$AJ$67&gt;AJ19))&gt;0)),0)</f>
        <v/>
      </c>
      <c r="AL19" s="5">
        <f>IF(mos_metrics!J18="","",mos_metrics!J18)</f>
        <v/>
      </c>
      <c r="AM19" s="2">
        <f>AND($J19,ISNUMBER(AL19),correlation!$I$29=1)</f>
        <v/>
      </c>
      <c r="AN19" s="5">
        <f>IF(AM19,$F19,"")</f>
        <v/>
      </c>
      <c r="AO19" s="5">
        <f>IF(AM19,AL19*correlation!$J$29,"")</f>
        <v/>
      </c>
      <c r="AP19" s="5">
        <f>IF(AND(AM19,ISNUMBER(correlation!$F$29)),AO19*correlation!$F$29+correlation!$G$29,"")</f>
        <v/>
      </c>
      <c r="AQ19" s="5">
        <f>IF(AND(AM19,ISNUMBER(AP19)),(AN19-AP19)^2,"")</f>
        <v/>
      </c>
      <c r="AR19" s="5">
        <f>IF(AM19,1+SUMPRODUCT(--(calc!$AM$3:$AM$67=TRUE),--(calc!$AN$3:$AN$67&gt;AN19))+(SUMPRODUCT(--(calc!$AM$3:$AM$67=TRUE),--(calc!$AN$3:$AN$67=AN19))-1)/2,"")</f>
        <v/>
      </c>
      <c r="AS19" s="5">
        <f>IF(AM19,1+SUMPRODUCT(--(calc!$AM$3:$AM$67=TRUE),--(calc!$AO$3:$AO$67&gt;AO19))+(SUMPRODUCT(--(calc!$AM$3:$AM$67=TRUE),--(calc!$AO$3:$AO$67=AO19))-1)/2,"")</f>
        <v/>
      </c>
      <c r="AT19" s="5">
        <f>IF(AM19,SUMPRODUCT(--(calc!$AM$3:$AM$67=TRUE),--(ROW(calc!$AM$3:$AM$67)&gt;ROW(AM19)),--(((calc!$AR$3:$AR$67&gt;AR19)*(calc!$AS$3:$AS$67&gt;AS19)+(calc!$AR$3:$AR$67&lt;AR19)*(calc!$AS$3:$AS$67&lt;AS19))&gt;0))-SUMPRODUCT(--(calc!$AM$3:$AM$67=TRUE),--(ROW(calc!$AM$3:$AM$67)&gt;ROW(AM19)),--(((calc!$AR$3:$AR$67&gt;AR19)*(calc!$AS$3:$AS$67&lt;AS19)+(calc!$AR$3:$AR$67&lt;AR19)*(calc!$AS$3:$AS$67&gt;AS19))&gt;0)),0)</f>
        <v/>
      </c>
      <c r="AU19" s="5">
        <f>IF(mos_metrics!K18="","",mos_metrics!K18)</f>
        <v/>
      </c>
      <c r="AV19" s="2">
        <f>AND($J19,ISNUMBER(AU19),correlation!$I$30=1)</f>
        <v/>
      </c>
      <c r="AW19" s="5">
        <f>IF(AV19,$F19,"")</f>
        <v/>
      </c>
      <c r="AX19" s="5">
        <f>IF(AV19,AU19*correlation!$J$30,"")</f>
        <v/>
      </c>
      <c r="AY19" s="5">
        <f>IF(AND(AV19,ISNUMBER(correlation!$F$30)),AX19*correlation!$F$30+correlation!$G$30,"")</f>
        <v/>
      </c>
      <c r="AZ19" s="5">
        <f>IF(AND(AV19,ISNUMBER(AY19)),(AW19-AY19)^2,"")</f>
        <v/>
      </c>
      <c r="BA19" s="5">
        <f>IF(AV19,1+SUMPRODUCT(--(calc!$AV$3:$AV$67=TRUE),--(calc!$AW$3:$AW$67&gt;AW19))+(SUMPRODUCT(--(calc!$AV$3:$AV$67=TRUE),--(calc!$AW$3:$AW$67=AW19))-1)/2,"")</f>
        <v/>
      </c>
      <c r="BB19" s="5">
        <f>IF(AV19,1+SUMPRODUCT(--(calc!$AV$3:$AV$67=TRUE),--(calc!$AX$3:$AX$67&gt;AX19))+(SUMPRODUCT(--(calc!$AV$3:$AV$67=TRUE),--(calc!$AX$3:$AX$67=AX19))-1)/2,"")</f>
        <v/>
      </c>
      <c r="BC19" s="5">
        <f>IF(AV19,SUMPRODUCT(--(calc!$AV$3:$AV$67=TRUE),--(ROW(calc!$AV$3:$AV$67)&gt;ROW(AV19)),--(((calc!$BA$3:$BA$67&gt;BA19)*(calc!$BB$3:$BB$67&gt;BB19)+(calc!$BA$3:$BA$67&lt;BA19)*(calc!$BB$3:$BB$67&lt;BB19))&gt;0))-SUMPRODUCT(--(calc!$AV$3:$AV$67=TRUE),--(ROW(calc!$AV$3:$AV$67)&gt;ROW(AV19)),--(((calc!$BA$3:$BA$67&gt;BA19)*(calc!$BB$3:$BB$67&lt;BB19)+(calc!$BA$3:$BA$67&lt;BA19)*(calc!$BB$3:$BB$67&gt;BB19))&gt;0)),0)</f>
        <v/>
      </c>
      <c r="BD19" s="5">
        <f>IF(mos_metrics!L18="","",mos_metrics!L18)</f>
        <v/>
      </c>
      <c r="BE19" s="2">
        <f>AND($J19,ISNUMBER(BD19),correlation!$I$31=1)</f>
        <v/>
      </c>
      <c r="BF19" s="5">
        <f>IF(BE19,$F19,"")</f>
        <v/>
      </c>
      <c r="BG19" s="5">
        <f>IF(BE19,BD19*correlation!$J$31,"")</f>
        <v/>
      </c>
      <c r="BH19" s="5">
        <f>IF(AND(BE19,ISNUMBER(correlation!$F$31)),BG19*correlation!$F$31+correlation!$G$31,"")</f>
        <v/>
      </c>
      <c r="BI19" s="5">
        <f>IF(AND(BE19,ISNUMBER(BH19)),(BF19-BH19)^2,"")</f>
        <v/>
      </c>
      <c r="BJ19" s="5">
        <f>IF(BE19,1+SUMPRODUCT(--(calc!$BE$3:$BE$67=TRUE),--(calc!$BF$3:$BF$67&gt;BF19))+(SUMPRODUCT(--(calc!$BE$3:$BE$67=TRUE),--(calc!$BF$3:$BF$67=BF19))-1)/2,"")</f>
        <v/>
      </c>
      <c r="BK19" s="5">
        <f>IF(BE19,1+SUMPRODUCT(--(calc!$BE$3:$BE$67=TRUE),--(calc!$BG$3:$BG$67&gt;BG19))+(SUMPRODUCT(--(calc!$BE$3:$BE$67=TRUE),--(calc!$BG$3:$BG$67=BG19))-1)/2,"")</f>
        <v/>
      </c>
      <c r="BL19" s="5">
        <f>IF(BE19,SUMPRODUCT(--(calc!$BE$3:$BE$67=TRUE),--(ROW(calc!$BE$3:$BE$67)&gt;ROW(BE19)),--(((calc!$BJ$3:$BJ$67&gt;BJ19)*(calc!$BK$3:$BK$67&gt;BK19)+(calc!$BJ$3:$BJ$67&lt;BJ19)*(calc!$BK$3:$BK$67&lt;BK19))&gt;0))-SUMPRODUCT(--(calc!$BE$3:$BE$67=TRUE),--(ROW(calc!$BE$3:$BE$67)&gt;ROW(BE19)),--(((calc!$BJ$3:$BJ$67&gt;BJ19)*(calc!$BK$3:$BK$67&lt;BK19)+(calc!$BJ$3:$BJ$67&lt;BJ19)*(calc!$BK$3:$BK$67&gt;BK19))&gt;0)),0)</f>
        <v/>
      </c>
      <c r="BM19" s="5">
        <f>IF(mos_metrics!M18="","",mos_metrics!M18)</f>
        <v/>
      </c>
      <c r="BN19" s="2">
        <f>AND($J19,ISNUMBER(BM19),correlation!$I$32=1)</f>
        <v/>
      </c>
      <c r="BO19" s="5">
        <f>IF(BN19,$F19,"")</f>
        <v/>
      </c>
      <c r="BP19" s="5">
        <f>IF(BN19,BM19*correlation!$J$32,"")</f>
        <v/>
      </c>
      <c r="BQ19" s="5">
        <f>IF(AND(BN19,ISNUMBER(correlation!$F$32)),BP19*correlation!$F$32+correlation!$G$32,"")</f>
        <v/>
      </c>
      <c r="BR19" s="5">
        <f>IF(AND(BN19,ISNUMBER(BQ19)),(BO19-BQ19)^2,"")</f>
        <v/>
      </c>
      <c r="BS19" s="5">
        <f>IF(BN19,1+SUMPRODUCT(--(calc!$BN$3:$BN$67=TRUE),--(calc!$BO$3:$BO$67&gt;BO19))+(SUMPRODUCT(--(calc!$BN$3:$BN$67=TRUE),--(calc!$BO$3:$BO$67=BO19))-1)/2,"")</f>
        <v/>
      </c>
      <c r="BT19" s="5">
        <f>IF(BN19,1+SUMPRODUCT(--(calc!$BN$3:$BN$67=TRUE),--(calc!$BP$3:$BP$67&gt;BP19))+(SUMPRODUCT(--(calc!$BN$3:$BN$67=TRUE),--(calc!$BP$3:$BP$67=BP19))-1)/2,"")</f>
        <v/>
      </c>
      <c r="BU19" s="5">
        <f>IF(BN19,SUMPRODUCT(--(calc!$BN$3:$BN$67=TRUE),--(ROW(calc!$BN$3:$BN$67)&gt;ROW(BN19)),--(((calc!$BS$3:$BS$67&gt;BS19)*(calc!$BT$3:$BT$67&gt;BT19)+(calc!$BS$3:$BS$67&lt;BS19)*(calc!$BT$3:$BT$67&lt;BT19))&gt;0))-SUMPRODUCT(--(calc!$BN$3:$BN$67=TRUE),--(ROW(calc!$BN$3:$BN$67)&gt;ROW(BN19)),--(((calc!$BS$3:$BS$67&gt;BS19)*(calc!$BT$3:$BT$67&lt;BT19)+(calc!$BS$3:$BS$67&lt;BS19)*(calc!$BT$3:$BT$67&gt;BT19))&gt;0)),0)</f>
        <v/>
      </c>
    </row>
    <row r="20">
      <c r="A20" s="2">
        <f>mos_metrics!A19</f>
        <v/>
      </c>
      <c r="B20" s="2">
        <f>mos_metrics!B19</f>
        <v/>
      </c>
      <c r="C20" s="2">
        <f>mos_metrics!C19</f>
        <v/>
      </c>
      <c r="D20" s="2">
        <f>mos_metrics!D19</f>
        <v/>
      </c>
      <c r="E20" s="2">
        <f>mos_metrics!E19</f>
        <v/>
      </c>
      <c r="F20" s="2">
        <f>mos_metrics!F19</f>
        <v/>
      </c>
      <c r="G20" s="2">
        <f>IF($B20="","",IFERROR(VLOOKUP($B20,correlation!$A$2:$B$6,2,FALSE),1))</f>
        <v/>
      </c>
      <c r="H20" s="2">
        <f>IF($E20="","",IFERROR(VLOOKUP($E20,correlation!$D$2:$E$8,2,FALSE),1))</f>
        <v/>
      </c>
      <c r="I20" s="2">
        <f>ISNUMBER($F20)</f>
        <v/>
      </c>
      <c r="J20" s="2">
        <f>AND($G20=1,$H20=1,$I20)</f>
        <v/>
      </c>
      <c r="K20" s="5">
        <f>IF(mos_metrics!G19="","",mos_metrics!G19)</f>
        <v/>
      </c>
      <c r="L20" s="2">
        <f>AND($J20,ISNUMBER(K20),correlation!$I$26=1)</f>
        <v/>
      </c>
      <c r="M20" s="5">
        <f>IF(L20,$F20,"")</f>
        <v/>
      </c>
      <c r="N20" s="5">
        <f>IF(L20,K20*correlation!$J$26,"")</f>
        <v/>
      </c>
      <c r="O20" s="5">
        <f>IF(AND(L20,ISNUMBER(correlation!$F$26)),N20*correlation!$F$26+correlation!$G$26,"")</f>
        <v/>
      </c>
      <c r="P20" s="5">
        <f>IF(AND(L20,ISNUMBER(O20)),(M20-O20)^2,"")</f>
        <v/>
      </c>
      <c r="Q20" s="5">
        <f>IF(L20,1+SUMPRODUCT(--(calc!$L$3:$L$67=TRUE),--(calc!$M$3:$M$67&gt;M20))+(SUMPRODUCT(--(calc!$L$3:$L$67=TRUE),--(calc!$M$3:$M$67=M20))-1)/2,"")</f>
        <v/>
      </c>
      <c r="R20" s="5">
        <f>IF(L20,1+SUMPRODUCT(--(calc!$L$3:$L$67=TRUE),--(calc!$N$3:$N$67&gt;N20))+(SUMPRODUCT(--(calc!$L$3:$L$67=TRUE),--(calc!$N$3:$N$67=N20))-1)/2,"")</f>
        <v/>
      </c>
      <c r="S20" s="5">
        <f>IF(L20,SUMPRODUCT(--(calc!$L$3:$L$67=TRUE),--(ROW(calc!$L$3:$L$67)&gt;ROW(L20)),--(((calc!$Q$3:$Q$67&gt;Q20)*(calc!$R$3:$R$67&gt;R20)+(calc!$Q$3:$Q$67&lt;Q20)*(calc!$R$3:$R$67&lt;R20))&gt;0))-SUMPRODUCT(--(calc!$L$3:$L$67=TRUE),--(ROW(calc!$L$3:$L$67)&gt;ROW(L20)),--(((calc!$Q$3:$Q$67&gt;Q20)*(calc!$R$3:$R$67&lt;R20)+(calc!$Q$3:$Q$67&lt;Q20)*(calc!$R$3:$R$67&gt;R20))&gt;0)),0)</f>
        <v/>
      </c>
      <c r="T20" s="5">
        <f>IF(mos_metrics!H19="","",mos_metrics!H19)</f>
        <v/>
      </c>
      <c r="U20" s="2">
        <f>AND($J20,ISNUMBER(T20),correlation!$I$27=1)</f>
        <v/>
      </c>
      <c r="V20" s="5">
        <f>IF(U20,$F20,"")</f>
        <v/>
      </c>
      <c r="W20" s="5">
        <f>IF(U20,T20*correlation!$J$27,"")</f>
        <v/>
      </c>
      <c r="X20" s="5">
        <f>IF(AND(U20,ISNUMBER(correlation!$F$27)),W20*correlation!$F$27+correlation!$G$27,"")</f>
        <v/>
      </c>
      <c r="Y20" s="5">
        <f>IF(AND(U20,ISNUMBER(X20)),(V20-X20)^2,"")</f>
        <v/>
      </c>
      <c r="Z20" s="5">
        <f>IF(U20,1+SUMPRODUCT(--(calc!$U$3:$U$67=TRUE),--(calc!$V$3:$V$67&gt;V20))+(SUMPRODUCT(--(calc!$U$3:$U$67=TRUE),--(calc!$V$3:$V$67=V20))-1)/2,"")</f>
        <v/>
      </c>
      <c r="AA20" s="5">
        <f>IF(U20,1+SUMPRODUCT(--(calc!$U$3:$U$67=TRUE),--(calc!$W$3:$W$67&gt;W20))+(SUMPRODUCT(--(calc!$U$3:$U$67=TRUE),--(calc!$W$3:$W$67=W20))-1)/2,"")</f>
        <v/>
      </c>
      <c r="AB20" s="5">
        <f>IF(U20,SUMPRODUCT(--(calc!$U$3:$U$67=TRUE),--(ROW(calc!$U$3:$U$67)&gt;ROW(U20)),--(((calc!$Z$3:$Z$67&gt;Z20)*(calc!$AA$3:$AA$67&gt;AA20)+(calc!$Z$3:$Z$67&lt;Z20)*(calc!$AA$3:$AA$67&lt;AA20))&gt;0))-SUMPRODUCT(--(calc!$U$3:$U$67=TRUE),--(ROW(calc!$U$3:$U$67)&gt;ROW(U20)),--(((calc!$Z$3:$Z$67&gt;Z20)*(calc!$AA$3:$AA$67&lt;AA20)+(calc!$Z$3:$Z$67&lt;Z20)*(calc!$AA$3:$AA$67&gt;AA20))&gt;0)),0)</f>
        <v/>
      </c>
      <c r="AC20" s="5">
        <f>IF(mos_metrics!I19="","",mos_metrics!I19)</f>
        <v/>
      </c>
      <c r="AD20" s="2">
        <f>AND($J20,ISNUMBER(AC20),correlation!$I$28=1)</f>
        <v/>
      </c>
      <c r="AE20" s="5">
        <f>IF(AD20,$F20,"")</f>
        <v/>
      </c>
      <c r="AF20" s="5">
        <f>IF(AD20,AC20*correlation!$J$28,"")</f>
        <v/>
      </c>
      <c r="AG20" s="5">
        <f>IF(AND(AD20,ISNUMBER(correlation!$F$28)),AF20*correlation!$F$28+correlation!$G$28,"")</f>
        <v/>
      </c>
      <c r="AH20" s="5">
        <f>IF(AND(AD20,ISNUMBER(AG20)),(AE20-AG20)^2,"")</f>
        <v/>
      </c>
      <c r="AI20" s="5">
        <f>IF(AD20,1+SUMPRODUCT(--(calc!$AD$3:$AD$67=TRUE),--(calc!$AE$3:$AE$67&gt;AE20))+(SUMPRODUCT(--(calc!$AD$3:$AD$67=TRUE),--(calc!$AE$3:$AE$67=AE20))-1)/2,"")</f>
        <v/>
      </c>
      <c r="AJ20" s="5">
        <f>IF(AD20,1+SUMPRODUCT(--(calc!$AD$3:$AD$67=TRUE),--(calc!$AF$3:$AF$67&gt;AF20))+(SUMPRODUCT(--(calc!$AD$3:$AD$67=TRUE),--(calc!$AF$3:$AF$67=AF20))-1)/2,"")</f>
        <v/>
      </c>
      <c r="AK20" s="5">
        <f>IF(AD20,SUMPRODUCT(--(calc!$AD$3:$AD$67=TRUE),--(ROW(calc!$AD$3:$AD$67)&gt;ROW(AD20)),--(((calc!$AI$3:$AI$67&gt;AI20)*(calc!$AJ$3:$AJ$67&gt;AJ20)+(calc!$AI$3:$AI$67&lt;AI20)*(calc!$AJ$3:$AJ$67&lt;AJ20))&gt;0))-SUMPRODUCT(--(calc!$AD$3:$AD$67=TRUE),--(ROW(calc!$AD$3:$AD$67)&gt;ROW(AD20)),--(((calc!$AI$3:$AI$67&gt;AI20)*(calc!$AJ$3:$AJ$67&lt;AJ20)+(calc!$AI$3:$AI$67&lt;AI20)*(calc!$AJ$3:$AJ$67&gt;AJ20))&gt;0)),0)</f>
        <v/>
      </c>
      <c r="AL20" s="5">
        <f>IF(mos_metrics!J19="","",mos_metrics!J19)</f>
        <v/>
      </c>
      <c r="AM20" s="2">
        <f>AND($J20,ISNUMBER(AL20),correlation!$I$29=1)</f>
        <v/>
      </c>
      <c r="AN20" s="5">
        <f>IF(AM20,$F20,"")</f>
        <v/>
      </c>
      <c r="AO20" s="5">
        <f>IF(AM20,AL20*correlation!$J$29,"")</f>
        <v/>
      </c>
      <c r="AP20" s="5">
        <f>IF(AND(AM20,ISNUMBER(correlation!$F$29)),AO20*correlation!$F$29+correlation!$G$29,"")</f>
        <v/>
      </c>
      <c r="AQ20" s="5">
        <f>IF(AND(AM20,ISNUMBER(AP20)),(AN20-AP20)^2,"")</f>
        <v/>
      </c>
      <c r="AR20" s="5">
        <f>IF(AM20,1+SUMPRODUCT(--(calc!$AM$3:$AM$67=TRUE),--(calc!$AN$3:$AN$67&gt;AN20))+(SUMPRODUCT(--(calc!$AM$3:$AM$67=TRUE),--(calc!$AN$3:$AN$67=AN20))-1)/2,"")</f>
        <v/>
      </c>
      <c r="AS20" s="5">
        <f>IF(AM20,1+SUMPRODUCT(--(calc!$AM$3:$AM$67=TRUE),--(calc!$AO$3:$AO$67&gt;AO20))+(SUMPRODUCT(--(calc!$AM$3:$AM$67=TRUE),--(calc!$AO$3:$AO$67=AO20))-1)/2,"")</f>
        <v/>
      </c>
      <c r="AT20" s="5">
        <f>IF(AM20,SUMPRODUCT(--(calc!$AM$3:$AM$67=TRUE),--(ROW(calc!$AM$3:$AM$67)&gt;ROW(AM20)),--(((calc!$AR$3:$AR$67&gt;AR20)*(calc!$AS$3:$AS$67&gt;AS20)+(calc!$AR$3:$AR$67&lt;AR20)*(calc!$AS$3:$AS$67&lt;AS20))&gt;0))-SUMPRODUCT(--(calc!$AM$3:$AM$67=TRUE),--(ROW(calc!$AM$3:$AM$67)&gt;ROW(AM20)),--(((calc!$AR$3:$AR$67&gt;AR20)*(calc!$AS$3:$AS$67&lt;AS20)+(calc!$AR$3:$AR$67&lt;AR20)*(calc!$AS$3:$AS$67&gt;AS20))&gt;0)),0)</f>
        <v/>
      </c>
      <c r="AU20" s="5">
        <f>IF(mos_metrics!K19="","",mos_metrics!K19)</f>
        <v/>
      </c>
      <c r="AV20" s="2">
        <f>AND($J20,ISNUMBER(AU20),correlation!$I$30=1)</f>
        <v/>
      </c>
      <c r="AW20" s="5">
        <f>IF(AV20,$F20,"")</f>
        <v/>
      </c>
      <c r="AX20" s="5">
        <f>IF(AV20,AU20*correlation!$J$30,"")</f>
        <v/>
      </c>
      <c r="AY20" s="5">
        <f>IF(AND(AV20,ISNUMBER(correlation!$F$30)),AX20*correlation!$F$30+correlation!$G$30,"")</f>
        <v/>
      </c>
      <c r="AZ20" s="5">
        <f>IF(AND(AV20,ISNUMBER(AY20)),(AW20-AY20)^2,"")</f>
        <v/>
      </c>
      <c r="BA20" s="5">
        <f>IF(AV20,1+SUMPRODUCT(--(calc!$AV$3:$AV$67=TRUE),--(calc!$AW$3:$AW$67&gt;AW20))+(SUMPRODUCT(--(calc!$AV$3:$AV$67=TRUE),--(calc!$AW$3:$AW$67=AW20))-1)/2,"")</f>
        <v/>
      </c>
      <c r="BB20" s="5">
        <f>IF(AV20,1+SUMPRODUCT(--(calc!$AV$3:$AV$67=TRUE),--(calc!$AX$3:$AX$67&gt;AX20))+(SUMPRODUCT(--(calc!$AV$3:$AV$67=TRUE),--(calc!$AX$3:$AX$67=AX20))-1)/2,"")</f>
        <v/>
      </c>
      <c r="BC20" s="5">
        <f>IF(AV20,SUMPRODUCT(--(calc!$AV$3:$AV$67=TRUE),--(ROW(calc!$AV$3:$AV$67)&gt;ROW(AV20)),--(((calc!$BA$3:$BA$67&gt;BA20)*(calc!$BB$3:$BB$67&gt;BB20)+(calc!$BA$3:$BA$67&lt;BA20)*(calc!$BB$3:$BB$67&lt;BB20))&gt;0))-SUMPRODUCT(--(calc!$AV$3:$AV$67=TRUE),--(ROW(calc!$AV$3:$AV$67)&gt;ROW(AV20)),--(((calc!$BA$3:$BA$67&gt;BA20)*(calc!$BB$3:$BB$67&lt;BB20)+(calc!$BA$3:$BA$67&lt;BA20)*(calc!$BB$3:$BB$67&gt;BB20))&gt;0)),0)</f>
        <v/>
      </c>
      <c r="BD20" s="5">
        <f>IF(mos_metrics!L19="","",mos_metrics!L19)</f>
        <v/>
      </c>
      <c r="BE20" s="2">
        <f>AND($J20,ISNUMBER(BD20),correlation!$I$31=1)</f>
        <v/>
      </c>
      <c r="BF20" s="5">
        <f>IF(BE20,$F20,"")</f>
        <v/>
      </c>
      <c r="BG20" s="5">
        <f>IF(BE20,BD20*correlation!$J$31,"")</f>
        <v/>
      </c>
      <c r="BH20" s="5">
        <f>IF(AND(BE20,ISNUMBER(correlation!$F$31)),BG20*correlation!$F$31+correlation!$G$31,"")</f>
        <v/>
      </c>
      <c r="BI20" s="5">
        <f>IF(AND(BE20,ISNUMBER(BH20)),(BF20-BH20)^2,"")</f>
        <v/>
      </c>
      <c r="BJ20" s="5">
        <f>IF(BE20,1+SUMPRODUCT(--(calc!$BE$3:$BE$67=TRUE),--(calc!$BF$3:$BF$67&gt;BF20))+(SUMPRODUCT(--(calc!$BE$3:$BE$67=TRUE),--(calc!$BF$3:$BF$67=BF20))-1)/2,"")</f>
        <v/>
      </c>
      <c r="BK20" s="5">
        <f>IF(BE20,1+SUMPRODUCT(--(calc!$BE$3:$BE$67=TRUE),--(calc!$BG$3:$BG$67&gt;BG20))+(SUMPRODUCT(--(calc!$BE$3:$BE$67=TRUE),--(calc!$BG$3:$BG$67=BG20))-1)/2,"")</f>
        <v/>
      </c>
      <c r="BL20" s="5">
        <f>IF(BE20,SUMPRODUCT(--(calc!$BE$3:$BE$67=TRUE),--(ROW(calc!$BE$3:$BE$67)&gt;ROW(BE20)),--(((calc!$BJ$3:$BJ$67&gt;BJ20)*(calc!$BK$3:$BK$67&gt;BK20)+(calc!$BJ$3:$BJ$67&lt;BJ20)*(calc!$BK$3:$BK$67&lt;BK20))&gt;0))-SUMPRODUCT(--(calc!$BE$3:$BE$67=TRUE),--(ROW(calc!$BE$3:$BE$67)&gt;ROW(BE20)),--(((calc!$BJ$3:$BJ$67&gt;BJ20)*(calc!$BK$3:$BK$67&lt;BK20)+(calc!$BJ$3:$BJ$67&lt;BJ20)*(calc!$BK$3:$BK$67&gt;BK20))&gt;0)),0)</f>
        <v/>
      </c>
      <c r="BM20" s="5">
        <f>IF(mos_metrics!M19="","",mos_metrics!M19)</f>
        <v/>
      </c>
      <c r="BN20" s="2">
        <f>AND($J20,ISNUMBER(BM20),correlation!$I$32=1)</f>
        <v/>
      </c>
      <c r="BO20" s="5">
        <f>IF(BN20,$F20,"")</f>
        <v/>
      </c>
      <c r="BP20" s="5">
        <f>IF(BN20,BM20*correlation!$J$32,"")</f>
        <v/>
      </c>
      <c r="BQ20" s="5">
        <f>IF(AND(BN20,ISNUMBER(correlation!$F$32)),BP20*correlation!$F$32+correlation!$G$32,"")</f>
        <v/>
      </c>
      <c r="BR20" s="5">
        <f>IF(AND(BN20,ISNUMBER(BQ20)),(BO20-BQ20)^2,"")</f>
        <v/>
      </c>
      <c r="BS20" s="5">
        <f>IF(BN20,1+SUMPRODUCT(--(calc!$BN$3:$BN$67=TRUE),--(calc!$BO$3:$BO$67&gt;BO20))+(SUMPRODUCT(--(calc!$BN$3:$BN$67=TRUE),--(calc!$BO$3:$BO$67=BO20))-1)/2,"")</f>
        <v/>
      </c>
      <c r="BT20" s="5">
        <f>IF(BN20,1+SUMPRODUCT(--(calc!$BN$3:$BN$67=TRUE),--(calc!$BP$3:$BP$67&gt;BP20))+(SUMPRODUCT(--(calc!$BN$3:$BN$67=TRUE),--(calc!$BP$3:$BP$67=BP20))-1)/2,"")</f>
        <v/>
      </c>
      <c r="BU20" s="5">
        <f>IF(BN20,SUMPRODUCT(--(calc!$BN$3:$BN$67=TRUE),--(ROW(calc!$BN$3:$BN$67)&gt;ROW(BN20)),--(((calc!$BS$3:$BS$67&gt;BS20)*(calc!$BT$3:$BT$67&gt;BT20)+(calc!$BS$3:$BS$67&lt;BS20)*(calc!$BT$3:$BT$67&lt;BT20))&gt;0))-SUMPRODUCT(--(calc!$BN$3:$BN$67=TRUE),--(ROW(calc!$BN$3:$BN$67)&gt;ROW(BN20)),--(((calc!$BS$3:$BS$67&gt;BS20)*(calc!$BT$3:$BT$67&lt;BT20)+(calc!$BS$3:$BS$67&lt;BS20)*(calc!$BT$3:$BT$67&gt;BT20))&gt;0)),0)</f>
        <v/>
      </c>
    </row>
    <row r="21">
      <c r="A21" s="2">
        <f>mos_metrics!A20</f>
        <v/>
      </c>
      <c r="B21" s="2">
        <f>mos_metrics!B20</f>
        <v/>
      </c>
      <c r="C21" s="2">
        <f>mos_metrics!C20</f>
        <v/>
      </c>
      <c r="D21" s="2">
        <f>mos_metrics!D20</f>
        <v/>
      </c>
      <c r="E21" s="2">
        <f>mos_metrics!E20</f>
        <v/>
      </c>
      <c r="F21" s="2">
        <f>mos_metrics!F20</f>
        <v/>
      </c>
      <c r="G21" s="2">
        <f>IF($B21="","",IFERROR(VLOOKUP($B21,correlation!$A$2:$B$6,2,FALSE),1))</f>
        <v/>
      </c>
      <c r="H21" s="2">
        <f>IF($E21="","",IFERROR(VLOOKUP($E21,correlation!$D$2:$E$8,2,FALSE),1))</f>
        <v/>
      </c>
      <c r="I21" s="2">
        <f>ISNUMBER($F21)</f>
        <v/>
      </c>
      <c r="J21" s="2">
        <f>AND($G21=1,$H21=1,$I21)</f>
        <v/>
      </c>
      <c r="K21" s="5">
        <f>IF(mos_metrics!G20="","",mos_metrics!G20)</f>
        <v/>
      </c>
      <c r="L21" s="2">
        <f>AND($J21,ISNUMBER(K21),correlation!$I$26=1)</f>
        <v/>
      </c>
      <c r="M21" s="5">
        <f>IF(L21,$F21,"")</f>
        <v/>
      </c>
      <c r="N21" s="5">
        <f>IF(L21,K21*correlation!$J$26,"")</f>
        <v/>
      </c>
      <c r="O21" s="5">
        <f>IF(AND(L21,ISNUMBER(correlation!$F$26)),N21*correlation!$F$26+correlation!$G$26,"")</f>
        <v/>
      </c>
      <c r="P21" s="5">
        <f>IF(AND(L21,ISNUMBER(O21)),(M21-O21)^2,"")</f>
        <v/>
      </c>
      <c r="Q21" s="5">
        <f>IF(L21,1+SUMPRODUCT(--(calc!$L$3:$L$67=TRUE),--(calc!$M$3:$M$67&gt;M21))+(SUMPRODUCT(--(calc!$L$3:$L$67=TRUE),--(calc!$M$3:$M$67=M21))-1)/2,"")</f>
        <v/>
      </c>
      <c r="R21" s="5">
        <f>IF(L21,1+SUMPRODUCT(--(calc!$L$3:$L$67=TRUE),--(calc!$N$3:$N$67&gt;N21))+(SUMPRODUCT(--(calc!$L$3:$L$67=TRUE),--(calc!$N$3:$N$67=N21))-1)/2,"")</f>
        <v/>
      </c>
      <c r="S21" s="5">
        <f>IF(L21,SUMPRODUCT(--(calc!$L$3:$L$67=TRUE),--(ROW(calc!$L$3:$L$67)&gt;ROW(L21)),--(((calc!$Q$3:$Q$67&gt;Q21)*(calc!$R$3:$R$67&gt;R21)+(calc!$Q$3:$Q$67&lt;Q21)*(calc!$R$3:$R$67&lt;R21))&gt;0))-SUMPRODUCT(--(calc!$L$3:$L$67=TRUE),--(ROW(calc!$L$3:$L$67)&gt;ROW(L21)),--(((calc!$Q$3:$Q$67&gt;Q21)*(calc!$R$3:$R$67&lt;R21)+(calc!$Q$3:$Q$67&lt;Q21)*(calc!$R$3:$R$67&gt;R21))&gt;0)),0)</f>
        <v/>
      </c>
      <c r="T21" s="5">
        <f>IF(mos_metrics!H20="","",mos_metrics!H20)</f>
        <v/>
      </c>
      <c r="U21" s="2">
        <f>AND($J21,ISNUMBER(T21),correlation!$I$27=1)</f>
        <v/>
      </c>
      <c r="V21" s="5">
        <f>IF(U21,$F21,"")</f>
        <v/>
      </c>
      <c r="W21" s="5">
        <f>IF(U21,T21*correlation!$J$27,"")</f>
        <v/>
      </c>
      <c r="X21" s="5">
        <f>IF(AND(U21,ISNUMBER(correlation!$F$27)),W21*correlation!$F$27+correlation!$G$27,"")</f>
        <v/>
      </c>
      <c r="Y21" s="5">
        <f>IF(AND(U21,ISNUMBER(X21)),(V21-X21)^2,"")</f>
        <v/>
      </c>
      <c r="Z21" s="5">
        <f>IF(U21,1+SUMPRODUCT(--(calc!$U$3:$U$67=TRUE),--(calc!$V$3:$V$67&gt;V21))+(SUMPRODUCT(--(calc!$U$3:$U$67=TRUE),--(calc!$V$3:$V$67=V21))-1)/2,"")</f>
        <v/>
      </c>
      <c r="AA21" s="5">
        <f>IF(U21,1+SUMPRODUCT(--(calc!$U$3:$U$67=TRUE),--(calc!$W$3:$W$67&gt;W21))+(SUMPRODUCT(--(calc!$U$3:$U$67=TRUE),--(calc!$W$3:$W$67=W21))-1)/2,"")</f>
        <v/>
      </c>
      <c r="AB21" s="5">
        <f>IF(U21,SUMPRODUCT(--(calc!$U$3:$U$67=TRUE),--(ROW(calc!$U$3:$U$67)&gt;ROW(U21)),--(((calc!$Z$3:$Z$67&gt;Z21)*(calc!$AA$3:$AA$67&gt;AA21)+(calc!$Z$3:$Z$67&lt;Z21)*(calc!$AA$3:$AA$67&lt;AA21))&gt;0))-SUMPRODUCT(--(calc!$U$3:$U$67=TRUE),--(ROW(calc!$U$3:$U$67)&gt;ROW(U21)),--(((calc!$Z$3:$Z$67&gt;Z21)*(calc!$AA$3:$AA$67&lt;AA21)+(calc!$Z$3:$Z$67&lt;Z21)*(calc!$AA$3:$AA$67&gt;AA21))&gt;0)),0)</f>
        <v/>
      </c>
      <c r="AC21" s="5">
        <f>IF(mos_metrics!I20="","",mos_metrics!I20)</f>
        <v/>
      </c>
      <c r="AD21" s="2">
        <f>AND($J21,ISNUMBER(AC21),correlation!$I$28=1)</f>
        <v/>
      </c>
      <c r="AE21" s="5">
        <f>IF(AD21,$F21,"")</f>
        <v/>
      </c>
      <c r="AF21" s="5">
        <f>IF(AD21,AC21*correlation!$J$28,"")</f>
        <v/>
      </c>
      <c r="AG21" s="5">
        <f>IF(AND(AD21,ISNUMBER(correlation!$F$28)),AF21*correlation!$F$28+correlation!$G$28,"")</f>
        <v/>
      </c>
      <c r="AH21" s="5">
        <f>IF(AND(AD21,ISNUMBER(AG21)),(AE21-AG21)^2,"")</f>
        <v/>
      </c>
      <c r="AI21" s="5">
        <f>IF(AD21,1+SUMPRODUCT(--(calc!$AD$3:$AD$67=TRUE),--(calc!$AE$3:$AE$67&gt;AE21))+(SUMPRODUCT(--(calc!$AD$3:$AD$67=TRUE),--(calc!$AE$3:$AE$67=AE21))-1)/2,"")</f>
        <v/>
      </c>
      <c r="AJ21" s="5">
        <f>IF(AD21,1+SUMPRODUCT(--(calc!$AD$3:$AD$67=TRUE),--(calc!$AF$3:$AF$67&gt;AF21))+(SUMPRODUCT(--(calc!$AD$3:$AD$67=TRUE),--(calc!$AF$3:$AF$67=AF21))-1)/2,"")</f>
        <v/>
      </c>
      <c r="AK21" s="5">
        <f>IF(AD21,SUMPRODUCT(--(calc!$AD$3:$AD$67=TRUE),--(ROW(calc!$AD$3:$AD$67)&gt;ROW(AD21)),--(((calc!$AI$3:$AI$67&gt;AI21)*(calc!$AJ$3:$AJ$67&gt;AJ21)+(calc!$AI$3:$AI$67&lt;AI21)*(calc!$AJ$3:$AJ$67&lt;AJ21))&gt;0))-SUMPRODUCT(--(calc!$AD$3:$AD$67=TRUE),--(ROW(calc!$AD$3:$AD$67)&gt;ROW(AD21)),--(((calc!$AI$3:$AI$67&gt;AI21)*(calc!$AJ$3:$AJ$67&lt;AJ21)+(calc!$AI$3:$AI$67&lt;AI21)*(calc!$AJ$3:$AJ$67&gt;AJ21))&gt;0)),0)</f>
        <v/>
      </c>
      <c r="AL21" s="5">
        <f>IF(mos_metrics!J20="","",mos_metrics!J20)</f>
        <v/>
      </c>
      <c r="AM21" s="2">
        <f>AND($J21,ISNUMBER(AL21),correlation!$I$29=1)</f>
        <v/>
      </c>
      <c r="AN21" s="5">
        <f>IF(AM21,$F21,"")</f>
        <v/>
      </c>
      <c r="AO21" s="5">
        <f>IF(AM21,AL21*correlation!$J$29,"")</f>
        <v/>
      </c>
      <c r="AP21" s="5">
        <f>IF(AND(AM21,ISNUMBER(correlation!$F$29)),AO21*correlation!$F$29+correlation!$G$29,"")</f>
        <v/>
      </c>
      <c r="AQ21" s="5">
        <f>IF(AND(AM21,ISNUMBER(AP21)),(AN21-AP21)^2,"")</f>
        <v/>
      </c>
      <c r="AR21" s="5">
        <f>IF(AM21,1+SUMPRODUCT(--(calc!$AM$3:$AM$67=TRUE),--(calc!$AN$3:$AN$67&gt;AN21))+(SUMPRODUCT(--(calc!$AM$3:$AM$67=TRUE),--(calc!$AN$3:$AN$67=AN21))-1)/2,"")</f>
        <v/>
      </c>
      <c r="AS21" s="5">
        <f>IF(AM21,1+SUMPRODUCT(--(calc!$AM$3:$AM$67=TRUE),--(calc!$AO$3:$AO$67&gt;AO21))+(SUMPRODUCT(--(calc!$AM$3:$AM$67=TRUE),--(calc!$AO$3:$AO$67=AO21))-1)/2,"")</f>
        <v/>
      </c>
      <c r="AT21" s="5">
        <f>IF(AM21,SUMPRODUCT(--(calc!$AM$3:$AM$67=TRUE),--(ROW(calc!$AM$3:$AM$67)&gt;ROW(AM21)),--(((calc!$AR$3:$AR$67&gt;AR21)*(calc!$AS$3:$AS$67&gt;AS21)+(calc!$AR$3:$AR$67&lt;AR21)*(calc!$AS$3:$AS$67&lt;AS21))&gt;0))-SUMPRODUCT(--(calc!$AM$3:$AM$67=TRUE),--(ROW(calc!$AM$3:$AM$67)&gt;ROW(AM21)),--(((calc!$AR$3:$AR$67&gt;AR21)*(calc!$AS$3:$AS$67&lt;AS21)+(calc!$AR$3:$AR$67&lt;AR21)*(calc!$AS$3:$AS$67&gt;AS21))&gt;0)),0)</f>
        <v/>
      </c>
      <c r="AU21" s="5">
        <f>IF(mos_metrics!K20="","",mos_metrics!K20)</f>
        <v/>
      </c>
      <c r="AV21" s="2">
        <f>AND($J21,ISNUMBER(AU21),correlation!$I$30=1)</f>
        <v/>
      </c>
      <c r="AW21" s="5">
        <f>IF(AV21,$F21,"")</f>
        <v/>
      </c>
      <c r="AX21" s="5">
        <f>IF(AV21,AU21*correlation!$J$30,"")</f>
        <v/>
      </c>
      <c r="AY21" s="5">
        <f>IF(AND(AV21,ISNUMBER(correlation!$F$30)),AX21*correlation!$F$30+correlation!$G$30,"")</f>
        <v/>
      </c>
      <c r="AZ21" s="5">
        <f>IF(AND(AV21,ISNUMBER(AY21)),(AW21-AY21)^2,"")</f>
        <v/>
      </c>
      <c r="BA21" s="5">
        <f>IF(AV21,1+SUMPRODUCT(--(calc!$AV$3:$AV$67=TRUE),--(calc!$AW$3:$AW$67&gt;AW21))+(SUMPRODUCT(--(calc!$AV$3:$AV$67=TRUE),--(calc!$AW$3:$AW$67=AW21))-1)/2,"")</f>
        <v/>
      </c>
      <c r="BB21" s="5">
        <f>IF(AV21,1+SUMPRODUCT(--(calc!$AV$3:$AV$67=TRUE),--(calc!$AX$3:$AX$67&gt;AX21))+(SUMPRODUCT(--(calc!$AV$3:$AV$67=TRUE),--(calc!$AX$3:$AX$67=AX21))-1)/2,"")</f>
        <v/>
      </c>
      <c r="BC21" s="5">
        <f>IF(AV21,SUMPRODUCT(--(calc!$AV$3:$AV$67=TRUE),--(ROW(calc!$AV$3:$AV$67)&gt;ROW(AV21)),--(((calc!$BA$3:$BA$67&gt;BA21)*(calc!$BB$3:$BB$67&gt;BB21)+(calc!$BA$3:$BA$67&lt;BA21)*(calc!$BB$3:$BB$67&lt;BB21))&gt;0))-SUMPRODUCT(--(calc!$AV$3:$AV$67=TRUE),--(ROW(calc!$AV$3:$AV$67)&gt;ROW(AV21)),--(((calc!$BA$3:$BA$67&gt;BA21)*(calc!$BB$3:$BB$67&lt;BB21)+(calc!$BA$3:$BA$67&lt;BA21)*(calc!$BB$3:$BB$67&gt;BB21))&gt;0)),0)</f>
        <v/>
      </c>
      <c r="BD21" s="5">
        <f>IF(mos_metrics!L20="","",mos_metrics!L20)</f>
        <v/>
      </c>
      <c r="BE21" s="2">
        <f>AND($J21,ISNUMBER(BD21),correlation!$I$31=1)</f>
        <v/>
      </c>
      <c r="BF21" s="5">
        <f>IF(BE21,$F21,"")</f>
        <v/>
      </c>
      <c r="BG21" s="5">
        <f>IF(BE21,BD21*correlation!$J$31,"")</f>
        <v/>
      </c>
      <c r="BH21" s="5">
        <f>IF(AND(BE21,ISNUMBER(correlation!$F$31)),BG21*correlation!$F$31+correlation!$G$31,"")</f>
        <v/>
      </c>
      <c r="BI21" s="5">
        <f>IF(AND(BE21,ISNUMBER(BH21)),(BF21-BH21)^2,"")</f>
        <v/>
      </c>
      <c r="BJ21" s="5">
        <f>IF(BE21,1+SUMPRODUCT(--(calc!$BE$3:$BE$67=TRUE),--(calc!$BF$3:$BF$67&gt;BF21))+(SUMPRODUCT(--(calc!$BE$3:$BE$67=TRUE),--(calc!$BF$3:$BF$67=BF21))-1)/2,"")</f>
        <v/>
      </c>
      <c r="BK21" s="5">
        <f>IF(BE21,1+SUMPRODUCT(--(calc!$BE$3:$BE$67=TRUE),--(calc!$BG$3:$BG$67&gt;BG21))+(SUMPRODUCT(--(calc!$BE$3:$BE$67=TRUE),--(calc!$BG$3:$BG$67=BG21))-1)/2,"")</f>
        <v/>
      </c>
      <c r="BL21" s="5">
        <f>IF(BE21,SUMPRODUCT(--(calc!$BE$3:$BE$67=TRUE),--(ROW(calc!$BE$3:$BE$67)&gt;ROW(BE21)),--(((calc!$BJ$3:$BJ$67&gt;BJ21)*(calc!$BK$3:$BK$67&gt;BK21)+(calc!$BJ$3:$BJ$67&lt;BJ21)*(calc!$BK$3:$BK$67&lt;BK21))&gt;0))-SUMPRODUCT(--(calc!$BE$3:$BE$67=TRUE),--(ROW(calc!$BE$3:$BE$67)&gt;ROW(BE21)),--(((calc!$BJ$3:$BJ$67&gt;BJ21)*(calc!$BK$3:$BK$67&lt;BK21)+(calc!$BJ$3:$BJ$67&lt;BJ21)*(calc!$BK$3:$BK$67&gt;BK21))&gt;0)),0)</f>
        <v/>
      </c>
      <c r="BM21" s="5">
        <f>IF(mos_metrics!M20="","",mos_metrics!M20)</f>
        <v/>
      </c>
      <c r="BN21" s="2">
        <f>AND($J21,ISNUMBER(BM21),correlation!$I$32=1)</f>
        <v/>
      </c>
      <c r="BO21" s="5">
        <f>IF(BN21,$F21,"")</f>
        <v/>
      </c>
      <c r="BP21" s="5">
        <f>IF(BN21,BM21*correlation!$J$32,"")</f>
        <v/>
      </c>
      <c r="BQ21" s="5">
        <f>IF(AND(BN21,ISNUMBER(correlation!$F$32)),BP21*correlation!$F$32+correlation!$G$32,"")</f>
        <v/>
      </c>
      <c r="BR21" s="5">
        <f>IF(AND(BN21,ISNUMBER(BQ21)),(BO21-BQ21)^2,"")</f>
        <v/>
      </c>
      <c r="BS21" s="5">
        <f>IF(BN21,1+SUMPRODUCT(--(calc!$BN$3:$BN$67=TRUE),--(calc!$BO$3:$BO$67&gt;BO21))+(SUMPRODUCT(--(calc!$BN$3:$BN$67=TRUE),--(calc!$BO$3:$BO$67=BO21))-1)/2,"")</f>
        <v/>
      </c>
      <c r="BT21" s="5">
        <f>IF(BN21,1+SUMPRODUCT(--(calc!$BN$3:$BN$67=TRUE),--(calc!$BP$3:$BP$67&gt;BP21))+(SUMPRODUCT(--(calc!$BN$3:$BN$67=TRUE),--(calc!$BP$3:$BP$67=BP21))-1)/2,"")</f>
        <v/>
      </c>
      <c r="BU21" s="5">
        <f>IF(BN21,SUMPRODUCT(--(calc!$BN$3:$BN$67=TRUE),--(ROW(calc!$BN$3:$BN$67)&gt;ROW(BN21)),--(((calc!$BS$3:$BS$67&gt;BS21)*(calc!$BT$3:$BT$67&gt;BT21)+(calc!$BS$3:$BS$67&lt;BS21)*(calc!$BT$3:$BT$67&lt;BT21))&gt;0))-SUMPRODUCT(--(calc!$BN$3:$BN$67=TRUE),--(ROW(calc!$BN$3:$BN$67)&gt;ROW(BN21)),--(((calc!$BS$3:$BS$67&gt;BS21)*(calc!$BT$3:$BT$67&lt;BT21)+(calc!$BS$3:$BS$67&lt;BS21)*(calc!$BT$3:$BT$67&gt;BT21))&gt;0)),0)</f>
        <v/>
      </c>
    </row>
    <row r="22">
      <c r="A22" s="2">
        <f>mos_metrics!A21</f>
        <v/>
      </c>
      <c r="B22" s="2">
        <f>mos_metrics!B21</f>
        <v/>
      </c>
      <c r="C22" s="2">
        <f>mos_metrics!C21</f>
        <v/>
      </c>
      <c r="D22" s="2">
        <f>mos_metrics!D21</f>
        <v/>
      </c>
      <c r="E22" s="2">
        <f>mos_metrics!E21</f>
        <v/>
      </c>
      <c r="F22" s="2">
        <f>mos_metrics!F21</f>
        <v/>
      </c>
      <c r="G22" s="2">
        <f>IF($B22="","",IFERROR(VLOOKUP($B22,correlation!$A$2:$B$6,2,FALSE),1))</f>
        <v/>
      </c>
      <c r="H22" s="2">
        <f>IF($E22="","",IFERROR(VLOOKUP($E22,correlation!$D$2:$E$8,2,FALSE),1))</f>
        <v/>
      </c>
      <c r="I22" s="2">
        <f>ISNUMBER($F22)</f>
        <v/>
      </c>
      <c r="J22" s="2">
        <f>AND($G22=1,$H22=1,$I22)</f>
        <v/>
      </c>
      <c r="K22" s="5">
        <f>IF(mos_metrics!G21="","",mos_metrics!G21)</f>
        <v/>
      </c>
      <c r="L22" s="2">
        <f>AND($J22,ISNUMBER(K22),correlation!$I$26=1)</f>
        <v/>
      </c>
      <c r="M22" s="5">
        <f>IF(L22,$F22,"")</f>
        <v/>
      </c>
      <c r="N22" s="5">
        <f>IF(L22,K22*correlation!$J$26,"")</f>
        <v/>
      </c>
      <c r="O22" s="5">
        <f>IF(AND(L22,ISNUMBER(correlation!$F$26)),N22*correlation!$F$26+correlation!$G$26,"")</f>
        <v/>
      </c>
      <c r="P22" s="5">
        <f>IF(AND(L22,ISNUMBER(O22)),(M22-O22)^2,"")</f>
        <v/>
      </c>
      <c r="Q22" s="5">
        <f>IF(L22,1+SUMPRODUCT(--(calc!$L$3:$L$67=TRUE),--(calc!$M$3:$M$67&gt;M22))+(SUMPRODUCT(--(calc!$L$3:$L$67=TRUE),--(calc!$M$3:$M$67=M22))-1)/2,"")</f>
        <v/>
      </c>
      <c r="R22" s="5">
        <f>IF(L22,1+SUMPRODUCT(--(calc!$L$3:$L$67=TRUE),--(calc!$N$3:$N$67&gt;N22))+(SUMPRODUCT(--(calc!$L$3:$L$67=TRUE),--(calc!$N$3:$N$67=N22))-1)/2,"")</f>
        <v/>
      </c>
      <c r="S22" s="5">
        <f>IF(L22,SUMPRODUCT(--(calc!$L$3:$L$67=TRUE),--(ROW(calc!$L$3:$L$67)&gt;ROW(L22)),--(((calc!$Q$3:$Q$67&gt;Q22)*(calc!$R$3:$R$67&gt;R22)+(calc!$Q$3:$Q$67&lt;Q22)*(calc!$R$3:$R$67&lt;R22))&gt;0))-SUMPRODUCT(--(calc!$L$3:$L$67=TRUE),--(ROW(calc!$L$3:$L$67)&gt;ROW(L22)),--(((calc!$Q$3:$Q$67&gt;Q22)*(calc!$R$3:$R$67&lt;R22)+(calc!$Q$3:$Q$67&lt;Q22)*(calc!$R$3:$R$67&gt;R22))&gt;0)),0)</f>
        <v/>
      </c>
      <c r="T22" s="5">
        <f>IF(mos_metrics!H21="","",mos_metrics!H21)</f>
        <v/>
      </c>
      <c r="U22" s="2">
        <f>AND($J22,ISNUMBER(T22),correlation!$I$27=1)</f>
        <v/>
      </c>
      <c r="V22" s="5">
        <f>IF(U22,$F22,"")</f>
        <v/>
      </c>
      <c r="W22" s="5">
        <f>IF(U22,T22*correlation!$J$27,"")</f>
        <v/>
      </c>
      <c r="X22" s="5">
        <f>IF(AND(U22,ISNUMBER(correlation!$F$27)),W22*correlation!$F$27+correlation!$G$27,"")</f>
        <v/>
      </c>
      <c r="Y22" s="5">
        <f>IF(AND(U22,ISNUMBER(X22)),(V22-X22)^2,"")</f>
        <v/>
      </c>
      <c r="Z22" s="5">
        <f>IF(U22,1+SUMPRODUCT(--(calc!$U$3:$U$67=TRUE),--(calc!$V$3:$V$67&gt;V22))+(SUMPRODUCT(--(calc!$U$3:$U$67=TRUE),--(calc!$V$3:$V$67=V22))-1)/2,"")</f>
        <v/>
      </c>
      <c r="AA22" s="5">
        <f>IF(U22,1+SUMPRODUCT(--(calc!$U$3:$U$67=TRUE),--(calc!$W$3:$W$67&gt;W22))+(SUMPRODUCT(--(calc!$U$3:$U$67=TRUE),--(calc!$W$3:$W$67=W22))-1)/2,"")</f>
        <v/>
      </c>
      <c r="AB22" s="5">
        <f>IF(U22,SUMPRODUCT(--(calc!$U$3:$U$67=TRUE),--(ROW(calc!$U$3:$U$67)&gt;ROW(U22)),--(((calc!$Z$3:$Z$67&gt;Z22)*(calc!$AA$3:$AA$67&gt;AA22)+(calc!$Z$3:$Z$67&lt;Z22)*(calc!$AA$3:$AA$67&lt;AA22))&gt;0))-SUMPRODUCT(--(calc!$U$3:$U$67=TRUE),--(ROW(calc!$U$3:$U$67)&gt;ROW(U22)),--(((calc!$Z$3:$Z$67&gt;Z22)*(calc!$AA$3:$AA$67&lt;AA22)+(calc!$Z$3:$Z$67&lt;Z22)*(calc!$AA$3:$AA$67&gt;AA22))&gt;0)),0)</f>
        <v/>
      </c>
      <c r="AC22" s="5">
        <f>IF(mos_metrics!I21="","",mos_metrics!I21)</f>
        <v/>
      </c>
      <c r="AD22" s="2">
        <f>AND($J22,ISNUMBER(AC22),correlation!$I$28=1)</f>
        <v/>
      </c>
      <c r="AE22" s="5">
        <f>IF(AD22,$F22,"")</f>
        <v/>
      </c>
      <c r="AF22" s="5">
        <f>IF(AD22,AC22*correlation!$J$28,"")</f>
        <v/>
      </c>
      <c r="AG22" s="5">
        <f>IF(AND(AD22,ISNUMBER(correlation!$F$28)),AF22*correlation!$F$28+correlation!$G$28,"")</f>
        <v/>
      </c>
      <c r="AH22" s="5">
        <f>IF(AND(AD22,ISNUMBER(AG22)),(AE22-AG22)^2,"")</f>
        <v/>
      </c>
      <c r="AI22" s="5">
        <f>IF(AD22,1+SUMPRODUCT(--(calc!$AD$3:$AD$67=TRUE),--(calc!$AE$3:$AE$67&gt;AE22))+(SUMPRODUCT(--(calc!$AD$3:$AD$67=TRUE),--(calc!$AE$3:$AE$67=AE22))-1)/2,"")</f>
        <v/>
      </c>
      <c r="AJ22" s="5">
        <f>IF(AD22,1+SUMPRODUCT(--(calc!$AD$3:$AD$67=TRUE),--(calc!$AF$3:$AF$67&gt;AF22))+(SUMPRODUCT(--(calc!$AD$3:$AD$67=TRUE),--(calc!$AF$3:$AF$67=AF22))-1)/2,"")</f>
        <v/>
      </c>
      <c r="AK22" s="5">
        <f>IF(AD22,SUMPRODUCT(--(calc!$AD$3:$AD$67=TRUE),--(ROW(calc!$AD$3:$AD$67)&gt;ROW(AD22)),--(((calc!$AI$3:$AI$67&gt;AI22)*(calc!$AJ$3:$AJ$67&gt;AJ22)+(calc!$AI$3:$AI$67&lt;AI22)*(calc!$AJ$3:$AJ$67&lt;AJ22))&gt;0))-SUMPRODUCT(--(calc!$AD$3:$AD$67=TRUE),--(ROW(calc!$AD$3:$AD$67)&gt;ROW(AD22)),--(((calc!$AI$3:$AI$67&gt;AI22)*(calc!$AJ$3:$AJ$67&lt;AJ22)+(calc!$AI$3:$AI$67&lt;AI22)*(calc!$AJ$3:$AJ$67&gt;AJ22))&gt;0)),0)</f>
        <v/>
      </c>
      <c r="AL22" s="5">
        <f>IF(mos_metrics!J21="","",mos_metrics!J21)</f>
        <v/>
      </c>
      <c r="AM22" s="2">
        <f>AND($J22,ISNUMBER(AL22),correlation!$I$29=1)</f>
        <v/>
      </c>
      <c r="AN22" s="5">
        <f>IF(AM22,$F22,"")</f>
        <v/>
      </c>
      <c r="AO22" s="5">
        <f>IF(AM22,AL22*correlation!$J$29,"")</f>
        <v/>
      </c>
      <c r="AP22" s="5">
        <f>IF(AND(AM22,ISNUMBER(correlation!$F$29)),AO22*correlation!$F$29+correlation!$G$29,"")</f>
        <v/>
      </c>
      <c r="AQ22" s="5">
        <f>IF(AND(AM22,ISNUMBER(AP22)),(AN22-AP22)^2,"")</f>
        <v/>
      </c>
      <c r="AR22" s="5">
        <f>IF(AM22,1+SUMPRODUCT(--(calc!$AM$3:$AM$67=TRUE),--(calc!$AN$3:$AN$67&gt;AN22))+(SUMPRODUCT(--(calc!$AM$3:$AM$67=TRUE),--(calc!$AN$3:$AN$67=AN22))-1)/2,"")</f>
        <v/>
      </c>
      <c r="AS22" s="5">
        <f>IF(AM22,1+SUMPRODUCT(--(calc!$AM$3:$AM$67=TRUE),--(calc!$AO$3:$AO$67&gt;AO22))+(SUMPRODUCT(--(calc!$AM$3:$AM$67=TRUE),--(calc!$AO$3:$AO$67=AO22))-1)/2,"")</f>
        <v/>
      </c>
      <c r="AT22" s="5">
        <f>IF(AM22,SUMPRODUCT(--(calc!$AM$3:$AM$67=TRUE),--(ROW(calc!$AM$3:$AM$67)&gt;ROW(AM22)),--(((calc!$AR$3:$AR$67&gt;AR22)*(calc!$AS$3:$AS$67&gt;AS22)+(calc!$AR$3:$AR$67&lt;AR22)*(calc!$AS$3:$AS$67&lt;AS22))&gt;0))-SUMPRODUCT(--(calc!$AM$3:$AM$67=TRUE),--(ROW(calc!$AM$3:$AM$67)&gt;ROW(AM22)),--(((calc!$AR$3:$AR$67&gt;AR22)*(calc!$AS$3:$AS$67&lt;AS22)+(calc!$AR$3:$AR$67&lt;AR22)*(calc!$AS$3:$AS$67&gt;AS22))&gt;0)),0)</f>
        <v/>
      </c>
      <c r="AU22" s="5">
        <f>IF(mos_metrics!K21="","",mos_metrics!K21)</f>
        <v/>
      </c>
      <c r="AV22" s="2">
        <f>AND($J22,ISNUMBER(AU22),correlation!$I$30=1)</f>
        <v/>
      </c>
      <c r="AW22" s="5">
        <f>IF(AV22,$F22,"")</f>
        <v/>
      </c>
      <c r="AX22" s="5">
        <f>IF(AV22,AU22*correlation!$J$30,"")</f>
        <v/>
      </c>
      <c r="AY22" s="5">
        <f>IF(AND(AV22,ISNUMBER(correlation!$F$30)),AX22*correlation!$F$30+correlation!$G$30,"")</f>
        <v/>
      </c>
      <c r="AZ22" s="5">
        <f>IF(AND(AV22,ISNUMBER(AY22)),(AW22-AY22)^2,"")</f>
        <v/>
      </c>
      <c r="BA22" s="5">
        <f>IF(AV22,1+SUMPRODUCT(--(calc!$AV$3:$AV$67=TRUE),--(calc!$AW$3:$AW$67&gt;AW22))+(SUMPRODUCT(--(calc!$AV$3:$AV$67=TRUE),--(calc!$AW$3:$AW$67=AW22))-1)/2,"")</f>
        <v/>
      </c>
      <c r="BB22" s="5">
        <f>IF(AV22,1+SUMPRODUCT(--(calc!$AV$3:$AV$67=TRUE),--(calc!$AX$3:$AX$67&gt;AX22))+(SUMPRODUCT(--(calc!$AV$3:$AV$67=TRUE),--(calc!$AX$3:$AX$67=AX22))-1)/2,"")</f>
        <v/>
      </c>
      <c r="BC22" s="5">
        <f>IF(AV22,SUMPRODUCT(--(calc!$AV$3:$AV$67=TRUE),--(ROW(calc!$AV$3:$AV$67)&gt;ROW(AV22)),--(((calc!$BA$3:$BA$67&gt;BA22)*(calc!$BB$3:$BB$67&gt;BB22)+(calc!$BA$3:$BA$67&lt;BA22)*(calc!$BB$3:$BB$67&lt;BB22))&gt;0))-SUMPRODUCT(--(calc!$AV$3:$AV$67=TRUE),--(ROW(calc!$AV$3:$AV$67)&gt;ROW(AV22)),--(((calc!$BA$3:$BA$67&gt;BA22)*(calc!$BB$3:$BB$67&lt;BB22)+(calc!$BA$3:$BA$67&lt;BA22)*(calc!$BB$3:$BB$67&gt;BB22))&gt;0)),0)</f>
        <v/>
      </c>
      <c r="BD22" s="5">
        <f>IF(mos_metrics!L21="","",mos_metrics!L21)</f>
        <v/>
      </c>
      <c r="BE22" s="2">
        <f>AND($J22,ISNUMBER(BD22),correlation!$I$31=1)</f>
        <v/>
      </c>
      <c r="BF22" s="5">
        <f>IF(BE22,$F22,"")</f>
        <v/>
      </c>
      <c r="BG22" s="5">
        <f>IF(BE22,BD22*correlation!$J$31,"")</f>
        <v/>
      </c>
      <c r="BH22" s="5">
        <f>IF(AND(BE22,ISNUMBER(correlation!$F$31)),BG22*correlation!$F$31+correlation!$G$31,"")</f>
        <v/>
      </c>
      <c r="BI22" s="5">
        <f>IF(AND(BE22,ISNUMBER(BH22)),(BF22-BH22)^2,"")</f>
        <v/>
      </c>
      <c r="BJ22" s="5">
        <f>IF(BE22,1+SUMPRODUCT(--(calc!$BE$3:$BE$67=TRUE),--(calc!$BF$3:$BF$67&gt;BF22))+(SUMPRODUCT(--(calc!$BE$3:$BE$67=TRUE),--(calc!$BF$3:$BF$67=BF22))-1)/2,"")</f>
        <v/>
      </c>
      <c r="BK22" s="5">
        <f>IF(BE22,1+SUMPRODUCT(--(calc!$BE$3:$BE$67=TRUE),--(calc!$BG$3:$BG$67&gt;BG22))+(SUMPRODUCT(--(calc!$BE$3:$BE$67=TRUE),--(calc!$BG$3:$BG$67=BG22))-1)/2,"")</f>
        <v/>
      </c>
      <c r="BL22" s="5">
        <f>IF(BE22,SUMPRODUCT(--(calc!$BE$3:$BE$67=TRUE),--(ROW(calc!$BE$3:$BE$67)&gt;ROW(BE22)),--(((calc!$BJ$3:$BJ$67&gt;BJ22)*(calc!$BK$3:$BK$67&gt;BK22)+(calc!$BJ$3:$BJ$67&lt;BJ22)*(calc!$BK$3:$BK$67&lt;BK22))&gt;0))-SUMPRODUCT(--(calc!$BE$3:$BE$67=TRUE),--(ROW(calc!$BE$3:$BE$67)&gt;ROW(BE22)),--(((calc!$BJ$3:$BJ$67&gt;BJ22)*(calc!$BK$3:$BK$67&lt;BK22)+(calc!$BJ$3:$BJ$67&lt;BJ22)*(calc!$BK$3:$BK$67&gt;BK22))&gt;0)),0)</f>
        <v/>
      </c>
      <c r="BM22" s="5">
        <f>IF(mos_metrics!M21="","",mos_metrics!M21)</f>
        <v/>
      </c>
      <c r="BN22" s="2">
        <f>AND($J22,ISNUMBER(BM22),correlation!$I$32=1)</f>
        <v/>
      </c>
      <c r="BO22" s="5">
        <f>IF(BN22,$F22,"")</f>
        <v/>
      </c>
      <c r="BP22" s="5">
        <f>IF(BN22,BM22*correlation!$J$32,"")</f>
        <v/>
      </c>
      <c r="BQ22" s="5">
        <f>IF(AND(BN22,ISNUMBER(correlation!$F$32)),BP22*correlation!$F$32+correlation!$G$32,"")</f>
        <v/>
      </c>
      <c r="BR22" s="5">
        <f>IF(AND(BN22,ISNUMBER(BQ22)),(BO22-BQ22)^2,"")</f>
        <v/>
      </c>
      <c r="BS22" s="5">
        <f>IF(BN22,1+SUMPRODUCT(--(calc!$BN$3:$BN$67=TRUE),--(calc!$BO$3:$BO$67&gt;BO22))+(SUMPRODUCT(--(calc!$BN$3:$BN$67=TRUE),--(calc!$BO$3:$BO$67=BO22))-1)/2,"")</f>
        <v/>
      </c>
      <c r="BT22" s="5">
        <f>IF(BN22,1+SUMPRODUCT(--(calc!$BN$3:$BN$67=TRUE),--(calc!$BP$3:$BP$67&gt;BP22))+(SUMPRODUCT(--(calc!$BN$3:$BN$67=TRUE),--(calc!$BP$3:$BP$67=BP22))-1)/2,"")</f>
        <v/>
      </c>
      <c r="BU22" s="5">
        <f>IF(BN22,SUMPRODUCT(--(calc!$BN$3:$BN$67=TRUE),--(ROW(calc!$BN$3:$BN$67)&gt;ROW(BN22)),--(((calc!$BS$3:$BS$67&gt;BS22)*(calc!$BT$3:$BT$67&gt;BT22)+(calc!$BS$3:$BS$67&lt;BS22)*(calc!$BT$3:$BT$67&lt;BT22))&gt;0))-SUMPRODUCT(--(calc!$BN$3:$BN$67=TRUE),--(ROW(calc!$BN$3:$BN$67)&gt;ROW(BN22)),--(((calc!$BS$3:$BS$67&gt;BS22)*(calc!$BT$3:$BT$67&lt;BT22)+(calc!$BS$3:$BS$67&lt;BS22)*(calc!$BT$3:$BT$67&gt;BT22))&gt;0)),0)</f>
        <v/>
      </c>
    </row>
    <row r="23">
      <c r="A23" s="2">
        <f>mos_metrics!A22</f>
        <v/>
      </c>
      <c r="B23" s="2">
        <f>mos_metrics!B22</f>
        <v/>
      </c>
      <c r="C23" s="2">
        <f>mos_metrics!C22</f>
        <v/>
      </c>
      <c r="D23" s="2">
        <f>mos_metrics!D22</f>
        <v/>
      </c>
      <c r="E23" s="2">
        <f>mos_metrics!E22</f>
        <v/>
      </c>
      <c r="F23" s="2">
        <f>mos_metrics!F22</f>
        <v/>
      </c>
      <c r="G23" s="2">
        <f>IF($B23="","",IFERROR(VLOOKUP($B23,correlation!$A$2:$B$6,2,FALSE),1))</f>
        <v/>
      </c>
      <c r="H23" s="2">
        <f>IF($E23="","",IFERROR(VLOOKUP($E23,correlation!$D$2:$E$8,2,FALSE),1))</f>
        <v/>
      </c>
      <c r="I23" s="2">
        <f>ISNUMBER($F23)</f>
        <v/>
      </c>
      <c r="J23" s="2">
        <f>AND($G23=1,$H23=1,$I23)</f>
        <v/>
      </c>
      <c r="K23" s="5">
        <f>IF(mos_metrics!G22="","",mos_metrics!G22)</f>
        <v/>
      </c>
      <c r="L23" s="2">
        <f>AND($J23,ISNUMBER(K23),correlation!$I$26=1)</f>
        <v/>
      </c>
      <c r="M23" s="5">
        <f>IF(L23,$F23,"")</f>
        <v/>
      </c>
      <c r="N23" s="5">
        <f>IF(L23,K23*correlation!$J$26,"")</f>
        <v/>
      </c>
      <c r="O23" s="5">
        <f>IF(AND(L23,ISNUMBER(correlation!$F$26)),N23*correlation!$F$26+correlation!$G$26,"")</f>
        <v/>
      </c>
      <c r="P23" s="5">
        <f>IF(AND(L23,ISNUMBER(O23)),(M23-O23)^2,"")</f>
        <v/>
      </c>
      <c r="Q23" s="5">
        <f>IF(L23,1+SUMPRODUCT(--(calc!$L$3:$L$67=TRUE),--(calc!$M$3:$M$67&gt;M23))+(SUMPRODUCT(--(calc!$L$3:$L$67=TRUE),--(calc!$M$3:$M$67=M23))-1)/2,"")</f>
        <v/>
      </c>
      <c r="R23" s="5">
        <f>IF(L23,1+SUMPRODUCT(--(calc!$L$3:$L$67=TRUE),--(calc!$N$3:$N$67&gt;N23))+(SUMPRODUCT(--(calc!$L$3:$L$67=TRUE),--(calc!$N$3:$N$67=N23))-1)/2,"")</f>
        <v/>
      </c>
      <c r="S23" s="5">
        <f>IF(L23,SUMPRODUCT(--(calc!$L$3:$L$67=TRUE),--(ROW(calc!$L$3:$L$67)&gt;ROW(L23)),--(((calc!$Q$3:$Q$67&gt;Q23)*(calc!$R$3:$R$67&gt;R23)+(calc!$Q$3:$Q$67&lt;Q23)*(calc!$R$3:$R$67&lt;R23))&gt;0))-SUMPRODUCT(--(calc!$L$3:$L$67=TRUE),--(ROW(calc!$L$3:$L$67)&gt;ROW(L23)),--(((calc!$Q$3:$Q$67&gt;Q23)*(calc!$R$3:$R$67&lt;R23)+(calc!$Q$3:$Q$67&lt;Q23)*(calc!$R$3:$R$67&gt;R23))&gt;0)),0)</f>
        <v/>
      </c>
      <c r="T23" s="5">
        <f>IF(mos_metrics!H22="","",mos_metrics!H22)</f>
        <v/>
      </c>
      <c r="U23" s="2">
        <f>AND($J23,ISNUMBER(T23),correlation!$I$27=1)</f>
        <v/>
      </c>
      <c r="V23" s="5">
        <f>IF(U23,$F23,"")</f>
        <v/>
      </c>
      <c r="W23" s="5">
        <f>IF(U23,T23*correlation!$J$27,"")</f>
        <v/>
      </c>
      <c r="X23" s="5">
        <f>IF(AND(U23,ISNUMBER(correlation!$F$27)),W23*correlation!$F$27+correlation!$G$27,"")</f>
        <v/>
      </c>
      <c r="Y23" s="5">
        <f>IF(AND(U23,ISNUMBER(X23)),(V23-X23)^2,"")</f>
        <v/>
      </c>
      <c r="Z23" s="5">
        <f>IF(U23,1+SUMPRODUCT(--(calc!$U$3:$U$67=TRUE),--(calc!$V$3:$V$67&gt;V23))+(SUMPRODUCT(--(calc!$U$3:$U$67=TRUE),--(calc!$V$3:$V$67=V23))-1)/2,"")</f>
        <v/>
      </c>
      <c r="AA23" s="5">
        <f>IF(U23,1+SUMPRODUCT(--(calc!$U$3:$U$67=TRUE),--(calc!$W$3:$W$67&gt;W23))+(SUMPRODUCT(--(calc!$U$3:$U$67=TRUE),--(calc!$W$3:$W$67=W23))-1)/2,"")</f>
        <v/>
      </c>
      <c r="AB23" s="5">
        <f>IF(U23,SUMPRODUCT(--(calc!$U$3:$U$67=TRUE),--(ROW(calc!$U$3:$U$67)&gt;ROW(U23)),--(((calc!$Z$3:$Z$67&gt;Z23)*(calc!$AA$3:$AA$67&gt;AA23)+(calc!$Z$3:$Z$67&lt;Z23)*(calc!$AA$3:$AA$67&lt;AA23))&gt;0))-SUMPRODUCT(--(calc!$U$3:$U$67=TRUE),--(ROW(calc!$U$3:$U$67)&gt;ROW(U23)),--(((calc!$Z$3:$Z$67&gt;Z23)*(calc!$AA$3:$AA$67&lt;AA23)+(calc!$Z$3:$Z$67&lt;Z23)*(calc!$AA$3:$AA$67&gt;AA23))&gt;0)),0)</f>
        <v/>
      </c>
      <c r="AC23" s="5">
        <f>IF(mos_metrics!I22="","",mos_metrics!I22)</f>
        <v/>
      </c>
      <c r="AD23" s="2">
        <f>AND($J23,ISNUMBER(AC23),correlation!$I$28=1)</f>
        <v/>
      </c>
      <c r="AE23" s="5">
        <f>IF(AD23,$F23,"")</f>
        <v/>
      </c>
      <c r="AF23" s="5">
        <f>IF(AD23,AC23*correlation!$J$28,"")</f>
        <v/>
      </c>
      <c r="AG23" s="5">
        <f>IF(AND(AD23,ISNUMBER(correlation!$F$28)),AF23*correlation!$F$28+correlation!$G$28,"")</f>
        <v/>
      </c>
      <c r="AH23" s="5">
        <f>IF(AND(AD23,ISNUMBER(AG23)),(AE23-AG23)^2,"")</f>
        <v/>
      </c>
      <c r="AI23" s="5">
        <f>IF(AD23,1+SUMPRODUCT(--(calc!$AD$3:$AD$67=TRUE),--(calc!$AE$3:$AE$67&gt;AE23))+(SUMPRODUCT(--(calc!$AD$3:$AD$67=TRUE),--(calc!$AE$3:$AE$67=AE23))-1)/2,"")</f>
        <v/>
      </c>
      <c r="AJ23" s="5">
        <f>IF(AD23,1+SUMPRODUCT(--(calc!$AD$3:$AD$67=TRUE),--(calc!$AF$3:$AF$67&gt;AF23))+(SUMPRODUCT(--(calc!$AD$3:$AD$67=TRUE),--(calc!$AF$3:$AF$67=AF23))-1)/2,"")</f>
        <v/>
      </c>
      <c r="AK23" s="5">
        <f>IF(AD23,SUMPRODUCT(--(calc!$AD$3:$AD$67=TRUE),--(ROW(calc!$AD$3:$AD$67)&gt;ROW(AD23)),--(((calc!$AI$3:$AI$67&gt;AI23)*(calc!$AJ$3:$AJ$67&gt;AJ23)+(calc!$AI$3:$AI$67&lt;AI23)*(calc!$AJ$3:$AJ$67&lt;AJ23))&gt;0))-SUMPRODUCT(--(calc!$AD$3:$AD$67=TRUE),--(ROW(calc!$AD$3:$AD$67)&gt;ROW(AD23)),--(((calc!$AI$3:$AI$67&gt;AI23)*(calc!$AJ$3:$AJ$67&lt;AJ23)+(calc!$AI$3:$AI$67&lt;AI23)*(calc!$AJ$3:$AJ$67&gt;AJ23))&gt;0)),0)</f>
        <v/>
      </c>
      <c r="AL23" s="5">
        <f>IF(mos_metrics!J22="","",mos_metrics!J22)</f>
        <v/>
      </c>
      <c r="AM23" s="2">
        <f>AND($J23,ISNUMBER(AL23),correlation!$I$29=1)</f>
        <v/>
      </c>
      <c r="AN23" s="5">
        <f>IF(AM23,$F23,"")</f>
        <v/>
      </c>
      <c r="AO23" s="5">
        <f>IF(AM23,AL23*correlation!$J$29,"")</f>
        <v/>
      </c>
      <c r="AP23" s="5">
        <f>IF(AND(AM23,ISNUMBER(correlation!$F$29)),AO23*correlation!$F$29+correlation!$G$29,"")</f>
        <v/>
      </c>
      <c r="AQ23" s="5">
        <f>IF(AND(AM23,ISNUMBER(AP23)),(AN23-AP23)^2,"")</f>
        <v/>
      </c>
      <c r="AR23" s="5">
        <f>IF(AM23,1+SUMPRODUCT(--(calc!$AM$3:$AM$67=TRUE),--(calc!$AN$3:$AN$67&gt;AN23))+(SUMPRODUCT(--(calc!$AM$3:$AM$67=TRUE),--(calc!$AN$3:$AN$67=AN23))-1)/2,"")</f>
        <v/>
      </c>
      <c r="AS23" s="5">
        <f>IF(AM23,1+SUMPRODUCT(--(calc!$AM$3:$AM$67=TRUE),--(calc!$AO$3:$AO$67&gt;AO23))+(SUMPRODUCT(--(calc!$AM$3:$AM$67=TRUE),--(calc!$AO$3:$AO$67=AO23))-1)/2,"")</f>
        <v/>
      </c>
      <c r="AT23" s="5">
        <f>IF(AM23,SUMPRODUCT(--(calc!$AM$3:$AM$67=TRUE),--(ROW(calc!$AM$3:$AM$67)&gt;ROW(AM23)),--(((calc!$AR$3:$AR$67&gt;AR23)*(calc!$AS$3:$AS$67&gt;AS23)+(calc!$AR$3:$AR$67&lt;AR23)*(calc!$AS$3:$AS$67&lt;AS23))&gt;0))-SUMPRODUCT(--(calc!$AM$3:$AM$67=TRUE),--(ROW(calc!$AM$3:$AM$67)&gt;ROW(AM23)),--(((calc!$AR$3:$AR$67&gt;AR23)*(calc!$AS$3:$AS$67&lt;AS23)+(calc!$AR$3:$AR$67&lt;AR23)*(calc!$AS$3:$AS$67&gt;AS23))&gt;0)),0)</f>
        <v/>
      </c>
      <c r="AU23" s="5">
        <f>IF(mos_metrics!K22="","",mos_metrics!K22)</f>
        <v/>
      </c>
      <c r="AV23" s="2">
        <f>AND($J23,ISNUMBER(AU23),correlation!$I$30=1)</f>
        <v/>
      </c>
      <c r="AW23" s="5">
        <f>IF(AV23,$F23,"")</f>
        <v/>
      </c>
      <c r="AX23" s="5">
        <f>IF(AV23,AU23*correlation!$J$30,"")</f>
        <v/>
      </c>
      <c r="AY23" s="5">
        <f>IF(AND(AV23,ISNUMBER(correlation!$F$30)),AX23*correlation!$F$30+correlation!$G$30,"")</f>
        <v/>
      </c>
      <c r="AZ23" s="5">
        <f>IF(AND(AV23,ISNUMBER(AY23)),(AW23-AY23)^2,"")</f>
        <v/>
      </c>
      <c r="BA23" s="5">
        <f>IF(AV23,1+SUMPRODUCT(--(calc!$AV$3:$AV$67=TRUE),--(calc!$AW$3:$AW$67&gt;AW23))+(SUMPRODUCT(--(calc!$AV$3:$AV$67=TRUE),--(calc!$AW$3:$AW$67=AW23))-1)/2,"")</f>
        <v/>
      </c>
      <c r="BB23" s="5">
        <f>IF(AV23,1+SUMPRODUCT(--(calc!$AV$3:$AV$67=TRUE),--(calc!$AX$3:$AX$67&gt;AX23))+(SUMPRODUCT(--(calc!$AV$3:$AV$67=TRUE),--(calc!$AX$3:$AX$67=AX23))-1)/2,"")</f>
        <v/>
      </c>
      <c r="BC23" s="5">
        <f>IF(AV23,SUMPRODUCT(--(calc!$AV$3:$AV$67=TRUE),--(ROW(calc!$AV$3:$AV$67)&gt;ROW(AV23)),--(((calc!$BA$3:$BA$67&gt;BA23)*(calc!$BB$3:$BB$67&gt;BB23)+(calc!$BA$3:$BA$67&lt;BA23)*(calc!$BB$3:$BB$67&lt;BB23))&gt;0))-SUMPRODUCT(--(calc!$AV$3:$AV$67=TRUE),--(ROW(calc!$AV$3:$AV$67)&gt;ROW(AV23)),--(((calc!$BA$3:$BA$67&gt;BA23)*(calc!$BB$3:$BB$67&lt;BB23)+(calc!$BA$3:$BA$67&lt;BA23)*(calc!$BB$3:$BB$67&gt;BB23))&gt;0)),0)</f>
        <v/>
      </c>
      <c r="BD23" s="5">
        <f>IF(mos_metrics!L22="","",mos_metrics!L22)</f>
        <v/>
      </c>
      <c r="BE23" s="2">
        <f>AND($J23,ISNUMBER(BD23),correlation!$I$31=1)</f>
        <v/>
      </c>
      <c r="BF23" s="5">
        <f>IF(BE23,$F23,"")</f>
        <v/>
      </c>
      <c r="BG23" s="5">
        <f>IF(BE23,BD23*correlation!$J$31,"")</f>
        <v/>
      </c>
      <c r="BH23" s="5">
        <f>IF(AND(BE23,ISNUMBER(correlation!$F$31)),BG23*correlation!$F$31+correlation!$G$31,"")</f>
        <v/>
      </c>
      <c r="BI23" s="5">
        <f>IF(AND(BE23,ISNUMBER(BH23)),(BF23-BH23)^2,"")</f>
        <v/>
      </c>
      <c r="BJ23" s="5">
        <f>IF(BE23,1+SUMPRODUCT(--(calc!$BE$3:$BE$67=TRUE),--(calc!$BF$3:$BF$67&gt;BF23))+(SUMPRODUCT(--(calc!$BE$3:$BE$67=TRUE),--(calc!$BF$3:$BF$67=BF23))-1)/2,"")</f>
        <v/>
      </c>
      <c r="BK23" s="5">
        <f>IF(BE23,1+SUMPRODUCT(--(calc!$BE$3:$BE$67=TRUE),--(calc!$BG$3:$BG$67&gt;BG23))+(SUMPRODUCT(--(calc!$BE$3:$BE$67=TRUE),--(calc!$BG$3:$BG$67=BG23))-1)/2,"")</f>
        <v/>
      </c>
      <c r="BL23" s="5">
        <f>IF(BE23,SUMPRODUCT(--(calc!$BE$3:$BE$67=TRUE),--(ROW(calc!$BE$3:$BE$67)&gt;ROW(BE23)),--(((calc!$BJ$3:$BJ$67&gt;BJ23)*(calc!$BK$3:$BK$67&gt;BK23)+(calc!$BJ$3:$BJ$67&lt;BJ23)*(calc!$BK$3:$BK$67&lt;BK23))&gt;0))-SUMPRODUCT(--(calc!$BE$3:$BE$67=TRUE),--(ROW(calc!$BE$3:$BE$67)&gt;ROW(BE23)),--(((calc!$BJ$3:$BJ$67&gt;BJ23)*(calc!$BK$3:$BK$67&lt;BK23)+(calc!$BJ$3:$BJ$67&lt;BJ23)*(calc!$BK$3:$BK$67&gt;BK23))&gt;0)),0)</f>
        <v/>
      </c>
      <c r="BM23" s="5">
        <f>IF(mos_metrics!M22="","",mos_metrics!M22)</f>
        <v/>
      </c>
      <c r="BN23" s="2">
        <f>AND($J23,ISNUMBER(BM23),correlation!$I$32=1)</f>
        <v/>
      </c>
      <c r="BO23" s="5">
        <f>IF(BN23,$F23,"")</f>
        <v/>
      </c>
      <c r="BP23" s="5">
        <f>IF(BN23,BM23*correlation!$J$32,"")</f>
        <v/>
      </c>
      <c r="BQ23" s="5">
        <f>IF(AND(BN23,ISNUMBER(correlation!$F$32)),BP23*correlation!$F$32+correlation!$G$32,"")</f>
        <v/>
      </c>
      <c r="BR23" s="5">
        <f>IF(AND(BN23,ISNUMBER(BQ23)),(BO23-BQ23)^2,"")</f>
        <v/>
      </c>
      <c r="BS23" s="5">
        <f>IF(BN23,1+SUMPRODUCT(--(calc!$BN$3:$BN$67=TRUE),--(calc!$BO$3:$BO$67&gt;BO23))+(SUMPRODUCT(--(calc!$BN$3:$BN$67=TRUE),--(calc!$BO$3:$BO$67=BO23))-1)/2,"")</f>
        <v/>
      </c>
      <c r="BT23" s="5">
        <f>IF(BN23,1+SUMPRODUCT(--(calc!$BN$3:$BN$67=TRUE),--(calc!$BP$3:$BP$67&gt;BP23))+(SUMPRODUCT(--(calc!$BN$3:$BN$67=TRUE),--(calc!$BP$3:$BP$67=BP23))-1)/2,"")</f>
        <v/>
      </c>
      <c r="BU23" s="5">
        <f>IF(BN23,SUMPRODUCT(--(calc!$BN$3:$BN$67=TRUE),--(ROW(calc!$BN$3:$BN$67)&gt;ROW(BN23)),--(((calc!$BS$3:$BS$67&gt;BS23)*(calc!$BT$3:$BT$67&gt;BT23)+(calc!$BS$3:$BS$67&lt;BS23)*(calc!$BT$3:$BT$67&lt;BT23))&gt;0))-SUMPRODUCT(--(calc!$BN$3:$BN$67=TRUE),--(ROW(calc!$BN$3:$BN$67)&gt;ROW(BN23)),--(((calc!$BS$3:$BS$67&gt;BS23)*(calc!$BT$3:$BT$67&lt;BT23)+(calc!$BS$3:$BS$67&lt;BS23)*(calc!$BT$3:$BT$67&gt;BT23))&gt;0)),0)</f>
        <v/>
      </c>
    </row>
    <row r="24">
      <c r="A24" s="2">
        <f>mos_metrics!A23</f>
        <v/>
      </c>
      <c r="B24" s="2">
        <f>mos_metrics!B23</f>
        <v/>
      </c>
      <c r="C24" s="2">
        <f>mos_metrics!C23</f>
        <v/>
      </c>
      <c r="D24" s="2">
        <f>mos_metrics!D23</f>
        <v/>
      </c>
      <c r="E24" s="2">
        <f>mos_metrics!E23</f>
        <v/>
      </c>
      <c r="F24" s="2">
        <f>mos_metrics!F23</f>
        <v/>
      </c>
      <c r="G24" s="2">
        <f>IF($B24="","",IFERROR(VLOOKUP($B24,correlation!$A$2:$B$6,2,FALSE),1))</f>
        <v/>
      </c>
      <c r="H24" s="2">
        <f>IF($E24="","",IFERROR(VLOOKUP($E24,correlation!$D$2:$E$8,2,FALSE),1))</f>
        <v/>
      </c>
      <c r="I24" s="2">
        <f>ISNUMBER($F24)</f>
        <v/>
      </c>
      <c r="J24" s="2">
        <f>AND($G24=1,$H24=1,$I24)</f>
        <v/>
      </c>
      <c r="K24" s="5">
        <f>IF(mos_metrics!G23="","",mos_metrics!G23)</f>
        <v/>
      </c>
      <c r="L24" s="2">
        <f>AND($J24,ISNUMBER(K24),correlation!$I$26=1)</f>
        <v/>
      </c>
      <c r="M24" s="5">
        <f>IF(L24,$F24,"")</f>
        <v/>
      </c>
      <c r="N24" s="5">
        <f>IF(L24,K24*correlation!$J$26,"")</f>
        <v/>
      </c>
      <c r="O24" s="5">
        <f>IF(AND(L24,ISNUMBER(correlation!$F$26)),N24*correlation!$F$26+correlation!$G$26,"")</f>
        <v/>
      </c>
      <c r="P24" s="5">
        <f>IF(AND(L24,ISNUMBER(O24)),(M24-O24)^2,"")</f>
        <v/>
      </c>
      <c r="Q24" s="5">
        <f>IF(L24,1+SUMPRODUCT(--(calc!$L$3:$L$67=TRUE),--(calc!$M$3:$M$67&gt;M24))+(SUMPRODUCT(--(calc!$L$3:$L$67=TRUE),--(calc!$M$3:$M$67=M24))-1)/2,"")</f>
        <v/>
      </c>
      <c r="R24" s="5">
        <f>IF(L24,1+SUMPRODUCT(--(calc!$L$3:$L$67=TRUE),--(calc!$N$3:$N$67&gt;N24))+(SUMPRODUCT(--(calc!$L$3:$L$67=TRUE),--(calc!$N$3:$N$67=N24))-1)/2,"")</f>
        <v/>
      </c>
      <c r="S24" s="5">
        <f>IF(L24,SUMPRODUCT(--(calc!$L$3:$L$67=TRUE),--(ROW(calc!$L$3:$L$67)&gt;ROW(L24)),--(((calc!$Q$3:$Q$67&gt;Q24)*(calc!$R$3:$R$67&gt;R24)+(calc!$Q$3:$Q$67&lt;Q24)*(calc!$R$3:$R$67&lt;R24))&gt;0))-SUMPRODUCT(--(calc!$L$3:$L$67=TRUE),--(ROW(calc!$L$3:$L$67)&gt;ROW(L24)),--(((calc!$Q$3:$Q$67&gt;Q24)*(calc!$R$3:$R$67&lt;R24)+(calc!$Q$3:$Q$67&lt;Q24)*(calc!$R$3:$R$67&gt;R24))&gt;0)),0)</f>
        <v/>
      </c>
      <c r="T24" s="5">
        <f>IF(mos_metrics!H23="","",mos_metrics!H23)</f>
        <v/>
      </c>
      <c r="U24" s="2">
        <f>AND($J24,ISNUMBER(T24),correlation!$I$27=1)</f>
        <v/>
      </c>
      <c r="V24" s="5">
        <f>IF(U24,$F24,"")</f>
        <v/>
      </c>
      <c r="W24" s="5">
        <f>IF(U24,T24*correlation!$J$27,"")</f>
        <v/>
      </c>
      <c r="X24" s="5">
        <f>IF(AND(U24,ISNUMBER(correlation!$F$27)),W24*correlation!$F$27+correlation!$G$27,"")</f>
        <v/>
      </c>
      <c r="Y24" s="5">
        <f>IF(AND(U24,ISNUMBER(X24)),(V24-X24)^2,"")</f>
        <v/>
      </c>
      <c r="Z24" s="5">
        <f>IF(U24,1+SUMPRODUCT(--(calc!$U$3:$U$67=TRUE),--(calc!$V$3:$V$67&gt;V24))+(SUMPRODUCT(--(calc!$U$3:$U$67=TRUE),--(calc!$V$3:$V$67=V24))-1)/2,"")</f>
        <v/>
      </c>
      <c r="AA24" s="5">
        <f>IF(U24,1+SUMPRODUCT(--(calc!$U$3:$U$67=TRUE),--(calc!$W$3:$W$67&gt;W24))+(SUMPRODUCT(--(calc!$U$3:$U$67=TRUE),--(calc!$W$3:$W$67=W24))-1)/2,"")</f>
        <v/>
      </c>
      <c r="AB24" s="5">
        <f>IF(U24,SUMPRODUCT(--(calc!$U$3:$U$67=TRUE),--(ROW(calc!$U$3:$U$67)&gt;ROW(U24)),--(((calc!$Z$3:$Z$67&gt;Z24)*(calc!$AA$3:$AA$67&gt;AA24)+(calc!$Z$3:$Z$67&lt;Z24)*(calc!$AA$3:$AA$67&lt;AA24))&gt;0))-SUMPRODUCT(--(calc!$U$3:$U$67=TRUE),--(ROW(calc!$U$3:$U$67)&gt;ROW(U24)),--(((calc!$Z$3:$Z$67&gt;Z24)*(calc!$AA$3:$AA$67&lt;AA24)+(calc!$Z$3:$Z$67&lt;Z24)*(calc!$AA$3:$AA$67&gt;AA24))&gt;0)),0)</f>
        <v/>
      </c>
      <c r="AC24" s="5">
        <f>IF(mos_metrics!I23="","",mos_metrics!I23)</f>
        <v/>
      </c>
      <c r="AD24" s="2">
        <f>AND($J24,ISNUMBER(AC24),correlation!$I$28=1)</f>
        <v/>
      </c>
      <c r="AE24" s="5">
        <f>IF(AD24,$F24,"")</f>
        <v/>
      </c>
      <c r="AF24" s="5">
        <f>IF(AD24,AC24*correlation!$J$28,"")</f>
        <v/>
      </c>
      <c r="AG24" s="5">
        <f>IF(AND(AD24,ISNUMBER(correlation!$F$28)),AF24*correlation!$F$28+correlation!$G$28,"")</f>
        <v/>
      </c>
      <c r="AH24" s="5">
        <f>IF(AND(AD24,ISNUMBER(AG24)),(AE24-AG24)^2,"")</f>
        <v/>
      </c>
      <c r="AI24" s="5">
        <f>IF(AD24,1+SUMPRODUCT(--(calc!$AD$3:$AD$67=TRUE),--(calc!$AE$3:$AE$67&gt;AE24))+(SUMPRODUCT(--(calc!$AD$3:$AD$67=TRUE),--(calc!$AE$3:$AE$67=AE24))-1)/2,"")</f>
        <v/>
      </c>
      <c r="AJ24" s="5">
        <f>IF(AD24,1+SUMPRODUCT(--(calc!$AD$3:$AD$67=TRUE),--(calc!$AF$3:$AF$67&gt;AF24))+(SUMPRODUCT(--(calc!$AD$3:$AD$67=TRUE),--(calc!$AF$3:$AF$67=AF24))-1)/2,"")</f>
        <v/>
      </c>
      <c r="AK24" s="5">
        <f>IF(AD24,SUMPRODUCT(--(calc!$AD$3:$AD$67=TRUE),--(ROW(calc!$AD$3:$AD$67)&gt;ROW(AD24)),--(((calc!$AI$3:$AI$67&gt;AI24)*(calc!$AJ$3:$AJ$67&gt;AJ24)+(calc!$AI$3:$AI$67&lt;AI24)*(calc!$AJ$3:$AJ$67&lt;AJ24))&gt;0))-SUMPRODUCT(--(calc!$AD$3:$AD$67=TRUE),--(ROW(calc!$AD$3:$AD$67)&gt;ROW(AD24)),--(((calc!$AI$3:$AI$67&gt;AI24)*(calc!$AJ$3:$AJ$67&lt;AJ24)+(calc!$AI$3:$AI$67&lt;AI24)*(calc!$AJ$3:$AJ$67&gt;AJ24))&gt;0)),0)</f>
        <v/>
      </c>
      <c r="AL24" s="5">
        <f>IF(mos_metrics!J23="","",mos_metrics!J23)</f>
        <v/>
      </c>
      <c r="AM24" s="2">
        <f>AND($J24,ISNUMBER(AL24),correlation!$I$29=1)</f>
        <v/>
      </c>
      <c r="AN24" s="5">
        <f>IF(AM24,$F24,"")</f>
        <v/>
      </c>
      <c r="AO24" s="5">
        <f>IF(AM24,AL24*correlation!$J$29,"")</f>
        <v/>
      </c>
      <c r="AP24" s="5">
        <f>IF(AND(AM24,ISNUMBER(correlation!$F$29)),AO24*correlation!$F$29+correlation!$G$29,"")</f>
        <v/>
      </c>
      <c r="AQ24" s="5">
        <f>IF(AND(AM24,ISNUMBER(AP24)),(AN24-AP24)^2,"")</f>
        <v/>
      </c>
      <c r="AR24" s="5">
        <f>IF(AM24,1+SUMPRODUCT(--(calc!$AM$3:$AM$67=TRUE),--(calc!$AN$3:$AN$67&gt;AN24))+(SUMPRODUCT(--(calc!$AM$3:$AM$67=TRUE),--(calc!$AN$3:$AN$67=AN24))-1)/2,"")</f>
        <v/>
      </c>
      <c r="AS24" s="5">
        <f>IF(AM24,1+SUMPRODUCT(--(calc!$AM$3:$AM$67=TRUE),--(calc!$AO$3:$AO$67&gt;AO24))+(SUMPRODUCT(--(calc!$AM$3:$AM$67=TRUE),--(calc!$AO$3:$AO$67=AO24))-1)/2,"")</f>
        <v/>
      </c>
      <c r="AT24" s="5">
        <f>IF(AM24,SUMPRODUCT(--(calc!$AM$3:$AM$67=TRUE),--(ROW(calc!$AM$3:$AM$67)&gt;ROW(AM24)),--(((calc!$AR$3:$AR$67&gt;AR24)*(calc!$AS$3:$AS$67&gt;AS24)+(calc!$AR$3:$AR$67&lt;AR24)*(calc!$AS$3:$AS$67&lt;AS24))&gt;0))-SUMPRODUCT(--(calc!$AM$3:$AM$67=TRUE),--(ROW(calc!$AM$3:$AM$67)&gt;ROW(AM24)),--(((calc!$AR$3:$AR$67&gt;AR24)*(calc!$AS$3:$AS$67&lt;AS24)+(calc!$AR$3:$AR$67&lt;AR24)*(calc!$AS$3:$AS$67&gt;AS24))&gt;0)),0)</f>
        <v/>
      </c>
      <c r="AU24" s="5">
        <f>IF(mos_metrics!K23="","",mos_metrics!K23)</f>
        <v/>
      </c>
      <c r="AV24" s="2">
        <f>AND($J24,ISNUMBER(AU24),correlation!$I$30=1)</f>
        <v/>
      </c>
      <c r="AW24" s="5">
        <f>IF(AV24,$F24,"")</f>
        <v/>
      </c>
      <c r="AX24" s="5">
        <f>IF(AV24,AU24*correlation!$J$30,"")</f>
        <v/>
      </c>
      <c r="AY24" s="5">
        <f>IF(AND(AV24,ISNUMBER(correlation!$F$30)),AX24*correlation!$F$30+correlation!$G$30,"")</f>
        <v/>
      </c>
      <c r="AZ24" s="5">
        <f>IF(AND(AV24,ISNUMBER(AY24)),(AW24-AY24)^2,"")</f>
        <v/>
      </c>
      <c r="BA24" s="5">
        <f>IF(AV24,1+SUMPRODUCT(--(calc!$AV$3:$AV$67=TRUE),--(calc!$AW$3:$AW$67&gt;AW24))+(SUMPRODUCT(--(calc!$AV$3:$AV$67=TRUE),--(calc!$AW$3:$AW$67=AW24))-1)/2,"")</f>
        <v/>
      </c>
      <c r="BB24" s="5">
        <f>IF(AV24,1+SUMPRODUCT(--(calc!$AV$3:$AV$67=TRUE),--(calc!$AX$3:$AX$67&gt;AX24))+(SUMPRODUCT(--(calc!$AV$3:$AV$67=TRUE),--(calc!$AX$3:$AX$67=AX24))-1)/2,"")</f>
        <v/>
      </c>
      <c r="BC24" s="5">
        <f>IF(AV24,SUMPRODUCT(--(calc!$AV$3:$AV$67=TRUE),--(ROW(calc!$AV$3:$AV$67)&gt;ROW(AV24)),--(((calc!$BA$3:$BA$67&gt;BA24)*(calc!$BB$3:$BB$67&gt;BB24)+(calc!$BA$3:$BA$67&lt;BA24)*(calc!$BB$3:$BB$67&lt;BB24))&gt;0))-SUMPRODUCT(--(calc!$AV$3:$AV$67=TRUE),--(ROW(calc!$AV$3:$AV$67)&gt;ROW(AV24)),--(((calc!$BA$3:$BA$67&gt;BA24)*(calc!$BB$3:$BB$67&lt;BB24)+(calc!$BA$3:$BA$67&lt;BA24)*(calc!$BB$3:$BB$67&gt;BB24))&gt;0)),0)</f>
        <v/>
      </c>
      <c r="BD24" s="5">
        <f>IF(mos_metrics!L23="","",mos_metrics!L23)</f>
        <v/>
      </c>
      <c r="BE24" s="2">
        <f>AND($J24,ISNUMBER(BD24),correlation!$I$31=1)</f>
        <v/>
      </c>
      <c r="BF24" s="5">
        <f>IF(BE24,$F24,"")</f>
        <v/>
      </c>
      <c r="BG24" s="5">
        <f>IF(BE24,BD24*correlation!$J$31,"")</f>
        <v/>
      </c>
      <c r="BH24" s="5">
        <f>IF(AND(BE24,ISNUMBER(correlation!$F$31)),BG24*correlation!$F$31+correlation!$G$31,"")</f>
        <v/>
      </c>
      <c r="BI24" s="5">
        <f>IF(AND(BE24,ISNUMBER(BH24)),(BF24-BH24)^2,"")</f>
        <v/>
      </c>
      <c r="BJ24" s="5">
        <f>IF(BE24,1+SUMPRODUCT(--(calc!$BE$3:$BE$67=TRUE),--(calc!$BF$3:$BF$67&gt;BF24))+(SUMPRODUCT(--(calc!$BE$3:$BE$67=TRUE),--(calc!$BF$3:$BF$67=BF24))-1)/2,"")</f>
        <v/>
      </c>
      <c r="BK24" s="5">
        <f>IF(BE24,1+SUMPRODUCT(--(calc!$BE$3:$BE$67=TRUE),--(calc!$BG$3:$BG$67&gt;BG24))+(SUMPRODUCT(--(calc!$BE$3:$BE$67=TRUE),--(calc!$BG$3:$BG$67=BG24))-1)/2,"")</f>
        <v/>
      </c>
      <c r="BL24" s="5">
        <f>IF(BE24,SUMPRODUCT(--(calc!$BE$3:$BE$67=TRUE),--(ROW(calc!$BE$3:$BE$67)&gt;ROW(BE24)),--(((calc!$BJ$3:$BJ$67&gt;BJ24)*(calc!$BK$3:$BK$67&gt;BK24)+(calc!$BJ$3:$BJ$67&lt;BJ24)*(calc!$BK$3:$BK$67&lt;BK24))&gt;0))-SUMPRODUCT(--(calc!$BE$3:$BE$67=TRUE),--(ROW(calc!$BE$3:$BE$67)&gt;ROW(BE24)),--(((calc!$BJ$3:$BJ$67&gt;BJ24)*(calc!$BK$3:$BK$67&lt;BK24)+(calc!$BJ$3:$BJ$67&lt;BJ24)*(calc!$BK$3:$BK$67&gt;BK24))&gt;0)),0)</f>
        <v/>
      </c>
      <c r="BM24" s="5">
        <f>IF(mos_metrics!M23="","",mos_metrics!M23)</f>
        <v/>
      </c>
      <c r="BN24" s="2">
        <f>AND($J24,ISNUMBER(BM24),correlation!$I$32=1)</f>
        <v/>
      </c>
      <c r="BO24" s="5">
        <f>IF(BN24,$F24,"")</f>
        <v/>
      </c>
      <c r="BP24" s="5">
        <f>IF(BN24,BM24*correlation!$J$32,"")</f>
        <v/>
      </c>
      <c r="BQ24" s="5">
        <f>IF(AND(BN24,ISNUMBER(correlation!$F$32)),BP24*correlation!$F$32+correlation!$G$32,"")</f>
        <v/>
      </c>
      <c r="BR24" s="5">
        <f>IF(AND(BN24,ISNUMBER(BQ24)),(BO24-BQ24)^2,"")</f>
        <v/>
      </c>
      <c r="BS24" s="5">
        <f>IF(BN24,1+SUMPRODUCT(--(calc!$BN$3:$BN$67=TRUE),--(calc!$BO$3:$BO$67&gt;BO24))+(SUMPRODUCT(--(calc!$BN$3:$BN$67=TRUE),--(calc!$BO$3:$BO$67=BO24))-1)/2,"")</f>
        <v/>
      </c>
      <c r="BT24" s="5">
        <f>IF(BN24,1+SUMPRODUCT(--(calc!$BN$3:$BN$67=TRUE),--(calc!$BP$3:$BP$67&gt;BP24))+(SUMPRODUCT(--(calc!$BN$3:$BN$67=TRUE),--(calc!$BP$3:$BP$67=BP24))-1)/2,"")</f>
        <v/>
      </c>
      <c r="BU24" s="5">
        <f>IF(BN24,SUMPRODUCT(--(calc!$BN$3:$BN$67=TRUE),--(ROW(calc!$BN$3:$BN$67)&gt;ROW(BN24)),--(((calc!$BS$3:$BS$67&gt;BS24)*(calc!$BT$3:$BT$67&gt;BT24)+(calc!$BS$3:$BS$67&lt;BS24)*(calc!$BT$3:$BT$67&lt;BT24))&gt;0))-SUMPRODUCT(--(calc!$BN$3:$BN$67=TRUE),--(ROW(calc!$BN$3:$BN$67)&gt;ROW(BN24)),--(((calc!$BS$3:$BS$67&gt;BS24)*(calc!$BT$3:$BT$67&lt;BT24)+(calc!$BS$3:$BS$67&lt;BS24)*(calc!$BT$3:$BT$67&gt;BT24))&gt;0)),0)</f>
        <v/>
      </c>
    </row>
    <row r="25">
      <c r="A25" s="2">
        <f>mos_metrics!A24</f>
        <v/>
      </c>
      <c r="B25" s="2">
        <f>mos_metrics!B24</f>
        <v/>
      </c>
      <c r="C25" s="2">
        <f>mos_metrics!C24</f>
        <v/>
      </c>
      <c r="D25" s="2">
        <f>mos_metrics!D24</f>
        <v/>
      </c>
      <c r="E25" s="2">
        <f>mos_metrics!E24</f>
        <v/>
      </c>
      <c r="F25" s="2">
        <f>mos_metrics!F24</f>
        <v/>
      </c>
      <c r="G25" s="2">
        <f>IF($B25="","",IFERROR(VLOOKUP($B25,correlation!$A$2:$B$6,2,FALSE),1))</f>
        <v/>
      </c>
      <c r="H25" s="2">
        <f>IF($E25="","",IFERROR(VLOOKUP($E25,correlation!$D$2:$E$8,2,FALSE),1))</f>
        <v/>
      </c>
      <c r="I25" s="2">
        <f>ISNUMBER($F25)</f>
        <v/>
      </c>
      <c r="J25" s="2">
        <f>AND($G25=1,$H25=1,$I25)</f>
        <v/>
      </c>
      <c r="K25" s="5">
        <f>IF(mos_metrics!G24="","",mos_metrics!G24)</f>
        <v/>
      </c>
      <c r="L25" s="2">
        <f>AND($J25,ISNUMBER(K25),correlation!$I$26=1)</f>
        <v/>
      </c>
      <c r="M25" s="5">
        <f>IF(L25,$F25,"")</f>
        <v/>
      </c>
      <c r="N25" s="5">
        <f>IF(L25,K25*correlation!$J$26,"")</f>
        <v/>
      </c>
      <c r="O25" s="5">
        <f>IF(AND(L25,ISNUMBER(correlation!$F$26)),N25*correlation!$F$26+correlation!$G$26,"")</f>
        <v/>
      </c>
      <c r="P25" s="5">
        <f>IF(AND(L25,ISNUMBER(O25)),(M25-O25)^2,"")</f>
        <v/>
      </c>
      <c r="Q25" s="5">
        <f>IF(L25,1+SUMPRODUCT(--(calc!$L$3:$L$67=TRUE),--(calc!$M$3:$M$67&gt;M25))+(SUMPRODUCT(--(calc!$L$3:$L$67=TRUE),--(calc!$M$3:$M$67=M25))-1)/2,"")</f>
        <v/>
      </c>
      <c r="R25" s="5">
        <f>IF(L25,1+SUMPRODUCT(--(calc!$L$3:$L$67=TRUE),--(calc!$N$3:$N$67&gt;N25))+(SUMPRODUCT(--(calc!$L$3:$L$67=TRUE),--(calc!$N$3:$N$67=N25))-1)/2,"")</f>
        <v/>
      </c>
      <c r="S25" s="5">
        <f>IF(L25,SUMPRODUCT(--(calc!$L$3:$L$67=TRUE),--(ROW(calc!$L$3:$L$67)&gt;ROW(L25)),--(((calc!$Q$3:$Q$67&gt;Q25)*(calc!$R$3:$R$67&gt;R25)+(calc!$Q$3:$Q$67&lt;Q25)*(calc!$R$3:$R$67&lt;R25))&gt;0))-SUMPRODUCT(--(calc!$L$3:$L$67=TRUE),--(ROW(calc!$L$3:$L$67)&gt;ROW(L25)),--(((calc!$Q$3:$Q$67&gt;Q25)*(calc!$R$3:$R$67&lt;R25)+(calc!$Q$3:$Q$67&lt;Q25)*(calc!$R$3:$R$67&gt;R25))&gt;0)),0)</f>
        <v/>
      </c>
      <c r="T25" s="5">
        <f>IF(mos_metrics!H24="","",mos_metrics!H24)</f>
        <v/>
      </c>
      <c r="U25" s="2">
        <f>AND($J25,ISNUMBER(T25),correlation!$I$27=1)</f>
        <v/>
      </c>
      <c r="V25" s="5">
        <f>IF(U25,$F25,"")</f>
        <v/>
      </c>
      <c r="W25" s="5">
        <f>IF(U25,T25*correlation!$J$27,"")</f>
        <v/>
      </c>
      <c r="X25" s="5">
        <f>IF(AND(U25,ISNUMBER(correlation!$F$27)),W25*correlation!$F$27+correlation!$G$27,"")</f>
        <v/>
      </c>
      <c r="Y25" s="5">
        <f>IF(AND(U25,ISNUMBER(X25)),(V25-X25)^2,"")</f>
        <v/>
      </c>
      <c r="Z25" s="5">
        <f>IF(U25,1+SUMPRODUCT(--(calc!$U$3:$U$67=TRUE),--(calc!$V$3:$V$67&gt;V25))+(SUMPRODUCT(--(calc!$U$3:$U$67=TRUE),--(calc!$V$3:$V$67=V25))-1)/2,"")</f>
        <v/>
      </c>
      <c r="AA25" s="5">
        <f>IF(U25,1+SUMPRODUCT(--(calc!$U$3:$U$67=TRUE),--(calc!$W$3:$W$67&gt;W25))+(SUMPRODUCT(--(calc!$U$3:$U$67=TRUE),--(calc!$W$3:$W$67=W25))-1)/2,"")</f>
        <v/>
      </c>
      <c r="AB25" s="5">
        <f>IF(U25,SUMPRODUCT(--(calc!$U$3:$U$67=TRUE),--(ROW(calc!$U$3:$U$67)&gt;ROW(U25)),--(((calc!$Z$3:$Z$67&gt;Z25)*(calc!$AA$3:$AA$67&gt;AA25)+(calc!$Z$3:$Z$67&lt;Z25)*(calc!$AA$3:$AA$67&lt;AA25))&gt;0))-SUMPRODUCT(--(calc!$U$3:$U$67=TRUE),--(ROW(calc!$U$3:$U$67)&gt;ROW(U25)),--(((calc!$Z$3:$Z$67&gt;Z25)*(calc!$AA$3:$AA$67&lt;AA25)+(calc!$Z$3:$Z$67&lt;Z25)*(calc!$AA$3:$AA$67&gt;AA25))&gt;0)),0)</f>
        <v/>
      </c>
      <c r="AC25" s="5">
        <f>IF(mos_metrics!I24="","",mos_metrics!I24)</f>
        <v/>
      </c>
      <c r="AD25" s="2">
        <f>AND($J25,ISNUMBER(AC25),correlation!$I$28=1)</f>
        <v/>
      </c>
      <c r="AE25" s="5">
        <f>IF(AD25,$F25,"")</f>
        <v/>
      </c>
      <c r="AF25" s="5">
        <f>IF(AD25,AC25*correlation!$J$28,"")</f>
        <v/>
      </c>
      <c r="AG25" s="5">
        <f>IF(AND(AD25,ISNUMBER(correlation!$F$28)),AF25*correlation!$F$28+correlation!$G$28,"")</f>
        <v/>
      </c>
      <c r="AH25" s="5">
        <f>IF(AND(AD25,ISNUMBER(AG25)),(AE25-AG25)^2,"")</f>
        <v/>
      </c>
      <c r="AI25" s="5">
        <f>IF(AD25,1+SUMPRODUCT(--(calc!$AD$3:$AD$67=TRUE),--(calc!$AE$3:$AE$67&gt;AE25))+(SUMPRODUCT(--(calc!$AD$3:$AD$67=TRUE),--(calc!$AE$3:$AE$67=AE25))-1)/2,"")</f>
        <v/>
      </c>
      <c r="AJ25" s="5">
        <f>IF(AD25,1+SUMPRODUCT(--(calc!$AD$3:$AD$67=TRUE),--(calc!$AF$3:$AF$67&gt;AF25))+(SUMPRODUCT(--(calc!$AD$3:$AD$67=TRUE),--(calc!$AF$3:$AF$67=AF25))-1)/2,"")</f>
        <v/>
      </c>
      <c r="AK25" s="5">
        <f>IF(AD25,SUMPRODUCT(--(calc!$AD$3:$AD$67=TRUE),--(ROW(calc!$AD$3:$AD$67)&gt;ROW(AD25)),--(((calc!$AI$3:$AI$67&gt;AI25)*(calc!$AJ$3:$AJ$67&gt;AJ25)+(calc!$AI$3:$AI$67&lt;AI25)*(calc!$AJ$3:$AJ$67&lt;AJ25))&gt;0))-SUMPRODUCT(--(calc!$AD$3:$AD$67=TRUE),--(ROW(calc!$AD$3:$AD$67)&gt;ROW(AD25)),--(((calc!$AI$3:$AI$67&gt;AI25)*(calc!$AJ$3:$AJ$67&lt;AJ25)+(calc!$AI$3:$AI$67&lt;AI25)*(calc!$AJ$3:$AJ$67&gt;AJ25))&gt;0)),0)</f>
        <v/>
      </c>
      <c r="AL25" s="5">
        <f>IF(mos_metrics!J24="","",mos_metrics!J24)</f>
        <v/>
      </c>
      <c r="AM25" s="2">
        <f>AND($J25,ISNUMBER(AL25),correlation!$I$29=1)</f>
        <v/>
      </c>
      <c r="AN25" s="5">
        <f>IF(AM25,$F25,"")</f>
        <v/>
      </c>
      <c r="AO25" s="5">
        <f>IF(AM25,AL25*correlation!$J$29,"")</f>
        <v/>
      </c>
      <c r="AP25" s="5">
        <f>IF(AND(AM25,ISNUMBER(correlation!$F$29)),AO25*correlation!$F$29+correlation!$G$29,"")</f>
        <v/>
      </c>
      <c r="AQ25" s="5">
        <f>IF(AND(AM25,ISNUMBER(AP25)),(AN25-AP25)^2,"")</f>
        <v/>
      </c>
      <c r="AR25" s="5">
        <f>IF(AM25,1+SUMPRODUCT(--(calc!$AM$3:$AM$67=TRUE),--(calc!$AN$3:$AN$67&gt;AN25))+(SUMPRODUCT(--(calc!$AM$3:$AM$67=TRUE),--(calc!$AN$3:$AN$67=AN25))-1)/2,"")</f>
        <v/>
      </c>
      <c r="AS25" s="5">
        <f>IF(AM25,1+SUMPRODUCT(--(calc!$AM$3:$AM$67=TRUE),--(calc!$AO$3:$AO$67&gt;AO25))+(SUMPRODUCT(--(calc!$AM$3:$AM$67=TRUE),--(calc!$AO$3:$AO$67=AO25))-1)/2,"")</f>
        <v/>
      </c>
      <c r="AT25" s="5">
        <f>IF(AM25,SUMPRODUCT(--(calc!$AM$3:$AM$67=TRUE),--(ROW(calc!$AM$3:$AM$67)&gt;ROW(AM25)),--(((calc!$AR$3:$AR$67&gt;AR25)*(calc!$AS$3:$AS$67&gt;AS25)+(calc!$AR$3:$AR$67&lt;AR25)*(calc!$AS$3:$AS$67&lt;AS25))&gt;0))-SUMPRODUCT(--(calc!$AM$3:$AM$67=TRUE),--(ROW(calc!$AM$3:$AM$67)&gt;ROW(AM25)),--(((calc!$AR$3:$AR$67&gt;AR25)*(calc!$AS$3:$AS$67&lt;AS25)+(calc!$AR$3:$AR$67&lt;AR25)*(calc!$AS$3:$AS$67&gt;AS25))&gt;0)),0)</f>
        <v/>
      </c>
      <c r="AU25" s="5">
        <f>IF(mos_metrics!K24="","",mos_metrics!K24)</f>
        <v/>
      </c>
      <c r="AV25" s="2">
        <f>AND($J25,ISNUMBER(AU25),correlation!$I$30=1)</f>
        <v/>
      </c>
      <c r="AW25" s="5">
        <f>IF(AV25,$F25,"")</f>
        <v/>
      </c>
      <c r="AX25" s="5">
        <f>IF(AV25,AU25*correlation!$J$30,"")</f>
        <v/>
      </c>
      <c r="AY25" s="5">
        <f>IF(AND(AV25,ISNUMBER(correlation!$F$30)),AX25*correlation!$F$30+correlation!$G$30,"")</f>
        <v/>
      </c>
      <c r="AZ25" s="5">
        <f>IF(AND(AV25,ISNUMBER(AY25)),(AW25-AY25)^2,"")</f>
        <v/>
      </c>
      <c r="BA25" s="5">
        <f>IF(AV25,1+SUMPRODUCT(--(calc!$AV$3:$AV$67=TRUE),--(calc!$AW$3:$AW$67&gt;AW25))+(SUMPRODUCT(--(calc!$AV$3:$AV$67=TRUE),--(calc!$AW$3:$AW$67=AW25))-1)/2,"")</f>
        <v/>
      </c>
      <c r="BB25" s="5">
        <f>IF(AV25,1+SUMPRODUCT(--(calc!$AV$3:$AV$67=TRUE),--(calc!$AX$3:$AX$67&gt;AX25))+(SUMPRODUCT(--(calc!$AV$3:$AV$67=TRUE),--(calc!$AX$3:$AX$67=AX25))-1)/2,"")</f>
        <v/>
      </c>
      <c r="BC25" s="5">
        <f>IF(AV25,SUMPRODUCT(--(calc!$AV$3:$AV$67=TRUE),--(ROW(calc!$AV$3:$AV$67)&gt;ROW(AV25)),--(((calc!$BA$3:$BA$67&gt;BA25)*(calc!$BB$3:$BB$67&gt;BB25)+(calc!$BA$3:$BA$67&lt;BA25)*(calc!$BB$3:$BB$67&lt;BB25))&gt;0))-SUMPRODUCT(--(calc!$AV$3:$AV$67=TRUE),--(ROW(calc!$AV$3:$AV$67)&gt;ROW(AV25)),--(((calc!$BA$3:$BA$67&gt;BA25)*(calc!$BB$3:$BB$67&lt;BB25)+(calc!$BA$3:$BA$67&lt;BA25)*(calc!$BB$3:$BB$67&gt;BB25))&gt;0)),0)</f>
        <v/>
      </c>
      <c r="BD25" s="5">
        <f>IF(mos_metrics!L24="","",mos_metrics!L24)</f>
        <v/>
      </c>
      <c r="BE25" s="2">
        <f>AND($J25,ISNUMBER(BD25),correlation!$I$31=1)</f>
        <v/>
      </c>
      <c r="BF25" s="5">
        <f>IF(BE25,$F25,"")</f>
        <v/>
      </c>
      <c r="BG25" s="5">
        <f>IF(BE25,BD25*correlation!$J$31,"")</f>
        <v/>
      </c>
      <c r="BH25" s="5">
        <f>IF(AND(BE25,ISNUMBER(correlation!$F$31)),BG25*correlation!$F$31+correlation!$G$31,"")</f>
        <v/>
      </c>
      <c r="BI25" s="5">
        <f>IF(AND(BE25,ISNUMBER(BH25)),(BF25-BH25)^2,"")</f>
        <v/>
      </c>
      <c r="BJ25" s="5">
        <f>IF(BE25,1+SUMPRODUCT(--(calc!$BE$3:$BE$67=TRUE),--(calc!$BF$3:$BF$67&gt;BF25))+(SUMPRODUCT(--(calc!$BE$3:$BE$67=TRUE),--(calc!$BF$3:$BF$67=BF25))-1)/2,"")</f>
        <v/>
      </c>
      <c r="BK25" s="5">
        <f>IF(BE25,1+SUMPRODUCT(--(calc!$BE$3:$BE$67=TRUE),--(calc!$BG$3:$BG$67&gt;BG25))+(SUMPRODUCT(--(calc!$BE$3:$BE$67=TRUE),--(calc!$BG$3:$BG$67=BG25))-1)/2,"")</f>
        <v/>
      </c>
      <c r="BL25" s="5">
        <f>IF(BE25,SUMPRODUCT(--(calc!$BE$3:$BE$67=TRUE),--(ROW(calc!$BE$3:$BE$67)&gt;ROW(BE25)),--(((calc!$BJ$3:$BJ$67&gt;BJ25)*(calc!$BK$3:$BK$67&gt;BK25)+(calc!$BJ$3:$BJ$67&lt;BJ25)*(calc!$BK$3:$BK$67&lt;BK25))&gt;0))-SUMPRODUCT(--(calc!$BE$3:$BE$67=TRUE),--(ROW(calc!$BE$3:$BE$67)&gt;ROW(BE25)),--(((calc!$BJ$3:$BJ$67&gt;BJ25)*(calc!$BK$3:$BK$67&lt;BK25)+(calc!$BJ$3:$BJ$67&lt;BJ25)*(calc!$BK$3:$BK$67&gt;BK25))&gt;0)),0)</f>
        <v/>
      </c>
      <c r="BM25" s="5">
        <f>IF(mos_metrics!M24="","",mos_metrics!M24)</f>
        <v/>
      </c>
      <c r="BN25" s="2">
        <f>AND($J25,ISNUMBER(BM25),correlation!$I$32=1)</f>
        <v/>
      </c>
      <c r="BO25" s="5">
        <f>IF(BN25,$F25,"")</f>
        <v/>
      </c>
      <c r="BP25" s="5">
        <f>IF(BN25,BM25*correlation!$J$32,"")</f>
        <v/>
      </c>
      <c r="BQ25" s="5">
        <f>IF(AND(BN25,ISNUMBER(correlation!$F$32)),BP25*correlation!$F$32+correlation!$G$32,"")</f>
        <v/>
      </c>
      <c r="BR25" s="5">
        <f>IF(AND(BN25,ISNUMBER(BQ25)),(BO25-BQ25)^2,"")</f>
        <v/>
      </c>
      <c r="BS25" s="5">
        <f>IF(BN25,1+SUMPRODUCT(--(calc!$BN$3:$BN$67=TRUE),--(calc!$BO$3:$BO$67&gt;BO25))+(SUMPRODUCT(--(calc!$BN$3:$BN$67=TRUE),--(calc!$BO$3:$BO$67=BO25))-1)/2,"")</f>
        <v/>
      </c>
      <c r="BT25" s="5">
        <f>IF(BN25,1+SUMPRODUCT(--(calc!$BN$3:$BN$67=TRUE),--(calc!$BP$3:$BP$67&gt;BP25))+(SUMPRODUCT(--(calc!$BN$3:$BN$67=TRUE),--(calc!$BP$3:$BP$67=BP25))-1)/2,"")</f>
        <v/>
      </c>
      <c r="BU25" s="5">
        <f>IF(BN25,SUMPRODUCT(--(calc!$BN$3:$BN$67=TRUE),--(ROW(calc!$BN$3:$BN$67)&gt;ROW(BN25)),--(((calc!$BS$3:$BS$67&gt;BS25)*(calc!$BT$3:$BT$67&gt;BT25)+(calc!$BS$3:$BS$67&lt;BS25)*(calc!$BT$3:$BT$67&lt;BT25))&gt;0))-SUMPRODUCT(--(calc!$BN$3:$BN$67=TRUE),--(ROW(calc!$BN$3:$BN$67)&gt;ROW(BN25)),--(((calc!$BS$3:$BS$67&gt;BS25)*(calc!$BT$3:$BT$67&lt;BT25)+(calc!$BS$3:$BS$67&lt;BS25)*(calc!$BT$3:$BT$67&gt;BT25))&gt;0)),0)</f>
        <v/>
      </c>
    </row>
    <row r="26">
      <c r="A26" s="2">
        <f>mos_metrics!A25</f>
        <v/>
      </c>
      <c r="B26" s="2">
        <f>mos_metrics!B25</f>
        <v/>
      </c>
      <c r="C26" s="2">
        <f>mos_metrics!C25</f>
        <v/>
      </c>
      <c r="D26" s="2">
        <f>mos_metrics!D25</f>
        <v/>
      </c>
      <c r="E26" s="2">
        <f>mos_metrics!E25</f>
        <v/>
      </c>
      <c r="F26" s="2">
        <f>mos_metrics!F25</f>
        <v/>
      </c>
      <c r="G26" s="2">
        <f>IF($B26="","",IFERROR(VLOOKUP($B26,correlation!$A$2:$B$6,2,FALSE),1))</f>
        <v/>
      </c>
      <c r="H26" s="2">
        <f>IF($E26="","",IFERROR(VLOOKUP($E26,correlation!$D$2:$E$8,2,FALSE),1))</f>
        <v/>
      </c>
      <c r="I26" s="2">
        <f>ISNUMBER($F26)</f>
        <v/>
      </c>
      <c r="J26" s="2">
        <f>AND($G26=1,$H26=1,$I26)</f>
        <v/>
      </c>
      <c r="K26" s="5">
        <f>IF(mos_metrics!G25="","",mos_metrics!G25)</f>
        <v/>
      </c>
      <c r="L26" s="2">
        <f>AND($J26,ISNUMBER(K26),correlation!$I$26=1)</f>
        <v/>
      </c>
      <c r="M26" s="5">
        <f>IF(L26,$F26,"")</f>
        <v/>
      </c>
      <c r="N26" s="5">
        <f>IF(L26,K26*correlation!$J$26,"")</f>
        <v/>
      </c>
      <c r="O26" s="5">
        <f>IF(AND(L26,ISNUMBER(correlation!$F$26)),N26*correlation!$F$26+correlation!$G$26,"")</f>
        <v/>
      </c>
      <c r="P26" s="5">
        <f>IF(AND(L26,ISNUMBER(O26)),(M26-O26)^2,"")</f>
        <v/>
      </c>
      <c r="Q26" s="5">
        <f>IF(L26,1+SUMPRODUCT(--(calc!$L$3:$L$67=TRUE),--(calc!$M$3:$M$67&gt;M26))+(SUMPRODUCT(--(calc!$L$3:$L$67=TRUE),--(calc!$M$3:$M$67=M26))-1)/2,"")</f>
        <v/>
      </c>
      <c r="R26" s="5">
        <f>IF(L26,1+SUMPRODUCT(--(calc!$L$3:$L$67=TRUE),--(calc!$N$3:$N$67&gt;N26))+(SUMPRODUCT(--(calc!$L$3:$L$67=TRUE),--(calc!$N$3:$N$67=N26))-1)/2,"")</f>
        <v/>
      </c>
      <c r="S26" s="5">
        <f>IF(L26,SUMPRODUCT(--(calc!$L$3:$L$67=TRUE),--(ROW(calc!$L$3:$L$67)&gt;ROW(L26)),--(((calc!$Q$3:$Q$67&gt;Q26)*(calc!$R$3:$R$67&gt;R26)+(calc!$Q$3:$Q$67&lt;Q26)*(calc!$R$3:$R$67&lt;R26))&gt;0))-SUMPRODUCT(--(calc!$L$3:$L$67=TRUE),--(ROW(calc!$L$3:$L$67)&gt;ROW(L26)),--(((calc!$Q$3:$Q$67&gt;Q26)*(calc!$R$3:$R$67&lt;R26)+(calc!$Q$3:$Q$67&lt;Q26)*(calc!$R$3:$R$67&gt;R26))&gt;0)),0)</f>
        <v/>
      </c>
      <c r="T26" s="5">
        <f>IF(mos_metrics!H25="","",mos_metrics!H25)</f>
        <v/>
      </c>
      <c r="U26" s="2">
        <f>AND($J26,ISNUMBER(T26),correlation!$I$27=1)</f>
        <v/>
      </c>
      <c r="V26" s="5">
        <f>IF(U26,$F26,"")</f>
        <v/>
      </c>
      <c r="W26" s="5">
        <f>IF(U26,T26*correlation!$J$27,"")</f>
        <v/>
      </c>
      <c r="X26" s="5">
        <f>IF(AND(U26,ISNUMBER(correlation!$F$27)),W26*correlation!$F$27+correlation!$G$27,"")</f>
        <v/>
      </c>
      <c r="Y26" s="5">
        <f>IF(AND(U26,ISNUMBER(X26)),(V26-X26)^2,"")</f>
        <v/>
      </c>
      <c r="Z26" s="5">
        <f>IF(U26,1+SUMPRODUCT(--(calc!$U$3:$U$67=TRUE),--(calc!$V$3:$V$67&gt;V26))+(SUMPRODUCT(--(calc!$U$3:$U$67=TRUE),--(calc!$V$3:$V$67=V26))-1)/2,"")</f>
        <v/>
      </c>
      <c r="AA26" s="5">
        <f>IF(U26,1+SUMPRODUCT(--(calc!$U$3:$U$67=TRUE),--(calc!$W$3:$W$67&gt;W26))+(SUMPRODUCT(--(calc!$U$3:$U$67=TRUE),--(calc!$W$3:$W$67=W26))-1)/2,"")</f>
        <v/>
      </c>
      <c r="AB26" s="5">
        <f>IF(U26,SUMPRODUCT(--(calc!$U$3:$U$67=TRUE),--(ROW(calc!$U$3:$U$67)&gt;ROW(U26)),--(((calc!$Z$3:$Z$67&gt;Z26)*(calc!$AA$3:$AA$67&gt;AA26)+(calc!$Z$3:$Z$67&lt;Z26)*(calc!$AA$3:$AA$67&lt;AA26))&gt;0))-SUMPRODUCT(--(calc!$U$3:$U$67=TRUE),--(ROW(calc!$U$3:$U$67)&gt;ROW(U26)),--(((calc!$Z$3:$Z$67&gt;Z26)*(calc!$AA$3:$AA$67&lt;AA26)+(calc!$Z$3:$Z$67&lt;Z26)*(calc!$AA$3:$AA$67&gt;AA26))&gt;0)),0)</f>
        <v/>
      </c>
      <c r="AC26" s="5">
        <f>IF(mos_metrics!I25="","",mos_metrics!I25)</f>
        <v/>
      </c>
      <c r="AD26" s="2">
        <f>AND($J26,ISNUMBER(AC26),correlation!$I$28=1)</f>
        <v/>
      </c>
      <c r="AE26" s="5">
        <f>IF(AD26,$F26,"")</f>
        <v/>
      </c>
      <c r="AF26" s="5">
        <f>IF(AD26,AC26*correlation!$J$28,"")</f>
        <v/>
      </c>
      <c r="AG26" s="5">
        <f>IF(AND(AD26,ISNUMBER(correlation!$F$28)),AF26*correlation!$F$28+correlation!$G$28,"")</f>
        <v/>
      </c>
      <c r="AH26" s="5">
        <f>IF(AND(AD26,ISNUMBER(AG26)),(AE26-AG26)^2,"")</f>
        <v/>
      </c>
      <c r="AI26" s="5">
        <f>IF(AD26,1+SUMPRODUCT(--(calc!$AD$3:$AD$67=TRUE),--(calc!$AE$3:$AE$67&gt;AE26))+(SUMPRODUCT(--(calc!$AD$3:$AD$67=TRUE),--(calc!$AE$3:$AE$67=AE26))-1)/2,"")</f>
        <v/>
      </c>
      <c r="AJ26" s="5">
        <f>IF(AD26,1+SUMPRODUCT(--(calc!$AD$3:$AD$67=TRUE),--(calc!$AF$3:$AF$67&gt;AF26))+(SUMPRODUCT(--(calc!$AD$3:$AD$67=TRUE),--(calc!$AF$3:$AF$67=AF26))-1)/2,"")</f>
        <v/>
      </c>
      <c r="AK26" s="5">
        <f>IF(AD26,SUMPRODUCT(--(calc!$AD$3:$AD$67=TRUE),--(ROW(calc!$AD$3:$AD$67)&gt;ROW(AD26)),--(((calc!$AI$3:$AI$67&gt;AI26)*(calc!$AJ$3:$AJ$67&gt;AJ26)+(calc!$AI$3:$AI$67&lt;AI26)*(calc!$AJ$3:$AJ$67&lt;AJ26))&gt;0))-SUMPRODUCT(--(calc!$AD$3:$AD$67=TRUE),--(ROW(calc!$AD$3:$AD$67)&gt;ROW(AD26)),--(((calc!$AI$3:$AI$67&gt;AI26)*(calc!$AJ$3:$AJ$67&lt;AJ26)+(calc!$AI$3:$AI$67&lt;AI26)*(calc!$AJ$3:$AJ$67&gt;AJ26))&gt;0)),0)</f>
        <v/>
      </c>
      <c r="AL26" s="5">
        <f>IF(mos_metrics!J25="","",mos_metrics!J25)</f>
        <v/>
      </c>
      <c r="AM26" s="2">
        <f>AND($J26,ISNUMBER(AL26),correlation!$I$29=1)</f>
        <v/>
      </c>
      <c r="AN26" s="5">
        <f>IF(AM26,$F26,"")</f>
        <v/>
      </c>
      <c r="AO26" s="5">
        <f>IF(AM26,AL26*correlation!$J$29,"")</f>
        <v/>
      </c>
      <c r="AP26" s="5">
        <f>IF(AND(AM26,ISNUMBER(correlation!$F$29)),AO26*correlation!$F$29+correlation!$G$29,"")</f>
        <v/>
      </c>
      <c r="AQ26" s="5">
        <f>IF(AND(AM26,ISNUMBER(AP26)),(AN26-AP26)^2,"")</f>
        <v/>
      </c>
      <c r="AR26" s="5">
        <f>IF(AM26,1+SUMPRODUCT(--(calc!$AM$3:$AM$67=TRUE),--(calc!$AN$3:$AN$67&gt;AN26))+(SUMPRODUCT(--(calc!$AM$3:$AM$67=TRUE),--(calc!$AN$3:$AN$67=AN26))-1)/2,"")</f>
        <v/>
      </c>
      <c r="AS26" s="5">
        <f>IF(AM26,1+SUMPRODUCT(--(calc!$AM$3:$AM$67=TRUE),--(calc!$AO$3:$AO$67&gt;AO26))+(SUMPRODUCT(--(calc!$AM$3:$AM$67=TRUE),--(calc!$AO$3:$AO$67=AO26))-1)/2,"")</f>
        <v/>
      </c>
      <c r="AT26" s="5">
        <f>IF(AM26,SUMPRODUCT(--(calc!$AM$3:$AM$67=TRUE),--(ROW(calc!$AM$3:$AM$67)&gt;ROW(AM26)),--(((calc!$AR$3:$AR$67&gt;AR26)*(calc!$AS$3:$AS$67&gt;AS26)+(calc!$AR$3:$AR$67&lt;AR26)*(calc!$AS$3:$AS$67&lt;AS26))&gt;0))-SUMPRODUCT(--(calc!$AM$3:$AM$67=TRUE),--(ROW(calc!$AM$3:$AM$67)&gt;ROW(AM26)),--(((calc!$AR$3:$AR$67&gt;AR26)*(calc!$AS$3:$AS$67&lt;AS26)+(calc!$AR$3:$AR$67&lt;AR26)*(calc!$AS$3:$AS$67&gt;AS26))&gt;0)),0)</f>
        <v/>
      </c>
      <c r="AU26" s="5">
        <f>IF(mos_metrics!K25="","",mos_metrics!K25)</f>
        <v/>
      </c>
      <c r="AV26" s="2">
        <f>AND($J26,ISNUMBER(AU26),correlation!$I$30=1)</f>
        <v/>
      </c>
      <c r="AW26" s="5">
        <f>IF(AV26,$F26,"")</f>
        <v/>
      </c>
      <c r="AX26" s="5">
        <f>IF(AV26,AU26*correlation!$J$30,"")</f>
        <v/>
      </c>
      <c r="AY26" s="5">
        <f>IF(AND(AV26,ISNUMBER(correlation!$F$30)),AX26*correlation!$F$30+correlation!$G$30,"")</f>
        <v/>
      </c>
      <c r="AZ26" s="5">
        <f>IF(AND(AV26,ISNUMBER(AY26)),(AW26-AY26)^2,"")</f>
        <v/>
      </c>
      <c r="BA26" s="5">
        <f>IF(AV26,1+SUMPRODUCT(--(calc!$AV$3:$AV$67=TRUE),--(calc!$AW$3:$AW$67&gt;AW26))+(SUMPRODUCT(--(calc!$AV$3:$AV$67=TRUE),--(calc!$AW$3:$AW$67=AW26))-1)/2,"")</f>
        <v/>
      </c>
      <c r="BB26" s="5">
        <f>IF(AV26,1+SUMPRODUCT(--(calc!$AV$3:$AV$67=TRUE),--(calc!$AX$3:$AX$67&gt;AX26))+(SUMPRODUCT(--(calc!$AV$3:$AV$67=TRUE),--(calc!$AX$3:$AX$67=AX26))-1)/2,"")</f>
        <v/>
      </c>
      <c r="BC26" s="5">
        <f>IF(AV26,SUMPRODUCT(--(calc!$AV$3:$AV$67=TRUE),--(ROW(calc!$AV$3:$AV$67)&gt;ROW(AV26)),--(((calc!$BA$3:$BA$67&gt;BA26)*(calc!$BB$3:$BB$67&gt;BB26)+(calc!$BA$3:$BA$67&lt;BA26)*(calc!$BB$3:$BB$67&lt;BB26))&gt;0))-SUMPRODUCT(--(calc!$AV$3:$AV$67=TRUE),--(ROW(calc!$AV$3:$AV$67)&gt;ROW(AV26)),--(((calc!$BA$3:$BA$67&gt;BA26)*(calc!$BB$3:$BB$67&lt;BB26)+(calc!$BA$3:$BA$67&lt;BA26)*(calc!$BB$3:$BB$67&gt;BB26))&gt;0)),0)</f>
        <v/>
      </c>
      <c r="BD26" s="5">
        <f>IF(mos_metrics!L25="","",mos_metrics!L25)</f>
        <v/>
      </c>
      <c r="BE26" s="2">
        <f>AND($J26,ISNUMBER(BD26),correlation!$I$31=1)</f>
        <v/>
      </c>
      <c r="BF26" s="5">
        <f>IF(BE26,$F26,"")</f>
        <v/>
      </c>
      <c r="BG26" s="5">
        <f>IF(BE26,BD26*correlation!$J$31,"")</f>
        <v/>
      </c>
      <c r="BH26" s="5">
        <f>IF(AND(BE26,ISNUMBER(correlation!$F$31)),BG26*correlation!$F$31+correlation!$G$31,"")</f>
        <v/>
      </c>
      <c r="BI26" s="5">
        <f>IF(AND(BE26,ISNUMBER(BH26)),(BF26-BH26)^2,"")</f>
        <v/>
      </c>
      <c r="BJ26" s="5">
        <f>IF(BE26,1+SUMPRODUCT(--(calc!$BE$3:$BE$67=TRUE),--(calc!$BF$3:$BF$67&gt;BF26))+(SUMPRODUCT(--(calc!$BE$3:$BE$67=TRUE),--(calc!$BF$3:$BF$67=BF26))-1)/2,"")</f>
        <v/>
      </c>
      <c r="BK26" s="5">
        <f>IF(BE26,1+SUMPRODUCT(--(calc!$BE$3:$BE$67=TRUE),--(calc!$BG$3:$BG$67&gt;BG26))+(SUMPRODUCT(--(calc!$BE$3:$BE$67=TRUE),--(calc!$BG$3:$BG$67=BG26))-1)/2,"")</f>
        <v/>
      </c>
      <c r="BL26" s="5">
        <f>IF(BE26,SUMPRODUCT(--(calc!$BE$3:$BE$67=TRUE),--(ROW(calc!$BE$3:$BE$67)&gt;ROW(BE26)),--(((calc!$BJ$3:$BJ$67&gt;BJ26)*(calc!$BK$3:$BK$67&gt;BK26)+(calc!$BJ$3:$BJ$67&lt;BJ26)*(calc!$BK$3:$BK$67&lt;BK26))&gt;0))-SUMPRODUCT(--(calc!$BE$3:$BE$67=TRUE),--(ROW(calc!$BE$3:$BE$67)&gt;ROW(BE26)),--(((calc!$BJ$3:$BJ$67&gt;BJ26)*(calc!$BK$3:$BK$67&lt;BK26)+(calc!$BJ$3:$BJ$67&lt;BJ26)*(calc!$BK$3:$BK$67&gt;BK26))&gt;0)),0)</f>
        <v/>
      </c>
      <c r="BM26" s="5">
        <f>IF(mos_metrics!M25="","",mos_metrics!M25)</f>
        <v/>
      </c>
      <c r="BN26" s="2">
        <f>AND($J26,ISNUMBER(BM26),correlation!$I$32=1)</f>
        <v/>
      </c>
      <c r="BO26" s="5">
        <f>IF(BN26,$F26,"")</f>
        <v/>
      </c>
      <c r="BP26" s="5">
        <f>IF(BN26,BM26*correlation!$J$32,"")</f>
        <v/>
      </c>
      <c r="BQ26" s="5">
        <f>IF(AND(BN26,ISNUMBER(correlation!$F$32)),BP26*correlation!$F$32+correlation!$G$32,"")</f>
        <v/>
      </c>
      <c r="BR26" s="5">
        <f>IF(AND(BN26,ISNUMBER(BQ26)),(BO26-BQ26)^2,"")</f>
        <v/>
      </c>
      <c r="BS26" s="5">
        <f>IF(BN26,1+SUMPRODUCT(--(calc!$BN$3:$BN$67=TRUE),--(calc!$BO$3:$BO$67&gt;BO26))+(SUMPRODUCT(--(calc!$BN$3:$BN$67=TRUE),--(calc!$BO$3:$BO$67=BO26))-1)/2,"")</f>
        <v/>
      </c>
      <c r="BT26" s="5">
        <f>IF(BN26,1+SUMPRODUCT(--(calc!$BN$3:$BN$67=TRUE),--(calc!$BP$3:$BP$67&gt;BP26))+(SUMPRODUCT(--(calc!$BN$3:$BN$67=TRUE),--(calc!$BP$3:$BP$67=BP26))-1)/2,"")</f>
        <v/>
      </c>
      <c r="BU26" s="5">
        <f>IF(BN26,SUMPRODUCT(--(calc!$BN$3:$BN$67=TRUE),--(ROW(calc!$BN$3:$BN$67)&gt;ROW(BN26)),--(((calc!$BS$3:$BS$67&gt;BS26)*(calc!$BT$3:$BT$67&gt;BT26)+(calc!$BS$3:$BS$67&lt;BS26)*(calc!$BT$3:$BT$67&lt;BT26))&gt;0))-SUMPRODUCT(--(calc!$BN$3:$BN$67=TRUE),--(ROW(calc!$BN$3:$BN$67)&gt;ROW(BN26)),--(((calc!$BS$3:$BS$67&gt;BS26)*(calc!$BT$3:$BT$67&lt;BT26)+(calc!$BS$3:$BS$67&lt;BS26)*(calc!$BT$3:$BT$67&gt;BT26))&gt;0)),0)</f>
        <v/>
      </c>
    </row>
    <row r="27">
      <c r="A27" s="2">
        <f>mos_metrics!A26</f>
        <v/>
      </c>
      <c r="B27" s="2">
        <f>mos_metrics!B26</f>
        <v/>
      </c>
      <c r="C27" s="2">
        <f>mos_metrics!C26</f>
        <v/>
      </c>
      <c r="D27" s="2">
        <f>mos_metrics!D26</f>
        <v/>
      </c>
      <c r="E27" s="2">
        <f>mos_metrics!E26</f>
        <v/>
      </c>
      <c r="F27" s="2">
        <f>mos_metrics!F26</f>
        <v/>
      </c>
      <c r="G27" s="2">
        <f>IF($B27="","",IFERROR(VLOOKUP($B27,correlation!$A$2:$B$6,2,FALSE),1))</f>
        <v/>
      </c>
      <c r="H27" s="2">
        <f>IF($E27="","",IFERROR(VLOOKUP($E27,correlation!$D$2:$E$8,2,FALSE),1))</f>
        <v/>
      </c>
      <c r="I27" s="2">
        <f>ISNUMBER($F27)</f>
        <v/>
      </c>
      <c r="J27" s="2">
        <f>AND($G27=1,$H27=1,$I27)</f>
        <v/>
      </c>
      <c r="K27" s="5">
        <f>IF(mos_metrics!G26="","",mos_metrics!G26)</f>
        <v/>
      </c>
      <c r="L27" s="2">
        <f>AND($J27,ISNUMBER(K27),correlation!$I$26=1)</f>
        <v/>
      </c>
      <c r="M27" s="5">
        <f>IF(L27,$F27,"")</f>
        <v/>
      </c>
      <c r="N27" s="5">
        <f>IF(L27,K27*correlation!$J$26,"")</f>
        <v/>
      </c>
      <c r="O27" s="5">
        <f>IF(AND(L27,ISNUMBER(correlation!$F$26)),N27*correlation!$F$26+correlation!$G$26,"")</f>
        <v/>
      </c>
      <c r="P27" s="5">
        <f>IF(AND(L27,ISNUMBER(O27)),(M27-O27)^2,"")</f>
        <v/>
      </c>
      <c r="Q27" s="5">
        <f>IF(L27,1+SUMPRODUCT(--(calc!$L$3:$L$67=TRUE),--(calc!$M$3:$M$67&gt;M27))+(SUMPRODUCT(--(calc!$L$3:$L$67=TRUE),--(calc!$M$3:$M$67=M27))-1)/2,"")</f>
        <v/>
      </c>
      <c r="R27" s="5">
        <f>IF(L27,1+SUMPRODUCT(--(calc!$L$3:$L$67=TRUE),--(calc!$N$3:$N$67&gt;N27))+(SUMPRODUCT(--(calc!$L$3:$L$67=TRUE),--(calc!$N$3:$N$67=N27))-1)/2,"")</f>
        <v/>
      </c>
      <c r="S27" s="5">
        <f>IF(L27,SUMPRODUCT(--(calc!$L$3:$L$67=TRUE),--(ROW(calc!$L$3:$L$67)&gt;ROW(L27)),--(((calc!$Q$3:$Q$67&gt;Q27)*(calc!$R$3:$R$67&gt;R27)+(calc!$Q$3:$Q$67&lt;Q27)*(calc!$R$3:$R$67&lt;R27))&gt;0))-SUMPRODUCT(--(calc!$L$3:$L$67=TRUE),--(ROW(calc!$L$3:$L$67)&gt;ROW(L27)),--(((calc!$Q$3:$Q$67&gt;Q27)*(calc!$R$3:$R$67&lt;R27)+(calc!$Q$3:$Q$67&lt;Q27)*(calc!$R$3:$R$67&gt;R27))&gt;0)),0)</f>
        <v/>
      </c>
      <c r="T27" s="5">
        <f>IF(mos_metrics!H26="","",mos_metrics!H26)</f>
        <v/>
      </c>
      <c r="U27" s="2">
        <f>AND($J27,ISNUMBER(T27),correlation!$I$27=1)</f>
        <v/>
      </c>
      <c r="V27" s="5">
        <f>IF(U27,$F27,"")</f>
        <v/>
      </c>
      <c r="W27" s="5">
        <f>IF(U27,T27*correlation!$J$27,"")</f>
        <v/>
      </c>
      <c r="X27" s="5">
        <f>IF(AND(U27,ISNUMBER(correlation!$F$27)),W27*correlation!$F$27+correlation!$G$27,"")</f>
        <v/>
      </c>
      <c r="Y27" s="5">
        <f>IF(AND(U27,ISNUMBER(X27)),(V27-X27)^2,"")</f>
        <v/>
      </c>
      <c r="Z27" s="5">
        <f>IF(U27,1+SUMPRODUCT(--(calc!$U$3:$U$67=TRUE),--(calc!$V$3:$V$67&gt;V27))+(SUMPRODUCT(--(calc!$U$3:$U$67=TRUE),--(calc!$V$3:$V$67=V27))-1)/2,"")</f>
        <v/>
      </c>
      <c r="AA27" s="5">
        <f>IF(U27,1+SUMPRODUCT(--(calc!$U$3:$U$67=TRUE),--(calc!$W$3:$W$67&gt;W27))+(SUMPRODUCT(--(calc!$U$3:$U$67=TRUE),--(calc!$W$3:$W$67=W27))-1)/2,"")</f>
        <v/>
      </c>
      <c r="AB27" s="5">
        <f>IF(U27,SUMPRODUCT(--(calc!$U$3:$U$67=TRUE),--(ROW(calc!$U$3:$U$67)&gt;ROW(U27)),--(((calc!$Z$3:$Z$67&gt;Z27)*(calc!$AA$3:$AA$67&gt;AA27)+(calc!$Z$3:$Z$67&lt;Z27)*(calc!$AA$3:$AA$67&lt;AA27))&gt;0))-SUMPRODUCT(--(calc!$U$3:$U$67=TRUE),--(ROW(calc!$U$3:$U$67)&gt;ROW(U27)),--(((calc!$Z$3:$Z$67&gt;Z27)*(calc!$AA$3:$AA$67&lt;AA27)+(calc!$Z$3:$Z$67&lt;Z27)*(calc!$AA$3:$AA$67&gt;AA27))&gt;0)),0)</f>
        <v/>
      </c>
      <c r="AC27" s="5">
        <f>IF(mos_metrics!I26="","",mos_metrics!I26)</f>
        <v/>
      </c>
      <c r="AD27" s="2">
        <f>AND($J27,ISNUMBER(AC27),correlation!$I$28=1)</f>
        <v/>
      </c>
      <c r="AE27" s="5">
        <f>IF(AD27,$F27,"")</f>
        <v/>
      </c>
      <c r="AF27" s="5">
        <f>IF(AD27,AC27*correlation!$J$28,"")</f>
        <v/>
      </c>
      <c r="AG27" s="5">
        <f>IF(AND(AD27,ISNUMBER(correlation!$F$28)),AF27*correlation!$F$28+correlation!$G$28,"")</f>
        <v/>
      </c>
      <c r="AH27" s="5">
        <f>IF(AND(AD27,ISNUMBER(AG27)),(AE27-AG27)^2,"")</f>
        <v/>
      </c>
      <c r="AI27" s="5">
        <f>IF(AD27,1+SUMPRODUCT(--(calc!$AD$3:$AD$67=TRUE),--(calc!$AE$3:$AE$67&gt;AE27))+(SUMPRODUCT(--(calc!$AD$3:$AD$67=TRUE),--(calc!$AE$3:$AE$67=AE27))-1)/2,"")</f>
        <v/>
      </c>
      <c r="AJ27" s="5">
        <f>IF(AD27,1+SUMPRODUCT(--(calc!$AD$3:$AD$67=TRUE),--(calc!$AF$3:$AF$67&gt;AF27))+(SUMPRODUCT(--(calc!$AD$3:$AD$67=TRUE),--(calc!$AF$3:$AF$67=AF27))-1)/2,"")</f>
        <v/>
      </c>
      <c r="AK27" s="5">
        <f>IF(AD27,SUMPRODUCT(--(calc!$AD$3:$AD$67=TRUE),--(ROW(calc!$AD$3:$AD$67)&gt;ROW(AD27)),--(((calc!$AI$3:$AI$67&gt;AI27)*(calc!$AJ$3:$AJ$67&gt;AJ27)+(calc!$AI$3:$AI$67&lt;AI27)*(calc!$AJ$3:$AJ$67&lt;AJ27))&gt;0))-SUMPRODUCT(--(calc!$AD$3:$AD$67=TRUE),--(ROW(calc!$AD$3:$AD$67)&gt;ROW(AD27)),--(((calc!$AI$3:$AI$67&gt;AI27)*(calc!$AJ$3:$AJ$67&lt;AJ27)+(calc!$AI$3:$AI$67&lt;AI27)*(calc!$AJ$3:$AJ$67&gt;AJ27))&gt;0)),0)</f>
        <v/>
      </c>
      <c r="AL27" s="5">
        <f>IF(mos_metrics!J26="","",mos_metrics!J26)</f>
        <v/>
      </c>
      <c r="AM27" s="2">
        <f>AND($J27,ISNUMBER(AL27),correlation!$I$29=1)</f>
        <v/>
      </c>
      <c r="AN27" s="5">
        <f>IF(AM27,$F27,"")</f>
        <v/>
      </c>
      <c r="AO27" s="5">
        <f>IF(AM27,AL27*correlation!$J$29,"")</f>
        <v/>
      </c>
      <c r="AP27" s="5">
        <f>IF(AND(AM27,ISNUMBER(correlation!$F$29)),AO27*correlation!$F$29+correlation!$G$29,"")</f>
        <v/>
      </c>
      <c r="AQ27" s="5">
        <f>IF(AND(AM27,ISNUMBER(AP27)),(AN27-AP27)^2,"")</f>
        <v/>
      </c>
      <c r="AR27" s="5">
        <f>IF(AM27,1+SUMPRODUCT(--(calc!$AM$3:$AM$67=TRUE),--(calc!$AN$3:$AN$67&gt;AN27))+(SUMPRODUCT(--(calc!$AM$3:$AM$67=TRUE),--(calc!$AN$3:$AN$67=AN27))-1)/2,"")</f>
        <v/>
      </c>
      <c r="AS27" s="5">
        <f>IF(AM27,1+SUMPRODUCT(--(calc!$AM$3:$AM$67=TRUE),--(calc!$AO$3:$AO$67&gt;AO27))+(SUMPRODUCT(--(calc!$AM$3:$AM$67=TRUE),--(calc!$AO$3:$AO$67=AO27))-1)/2,"")</f>
        <v/>
      </c>
      <c r="AT27" s="5">
        <f>IF(AM27,SUMPRODUCT(--(calc!$AM$3:$AM$67=TRUE),--(ROW(calc!$AM$3:$AM$67)&gt;ROW(AM27)),--(((calc!$AR$3:$AR$67&gt;AR27)*(calc!$AS$3:$AS$67&gt;AS27)+(calc!$AR$3:$AR$67&lt;AR27)*(calc!$AS$3:$AS$67&lt;AS27))&gt;0))-SUMPRODUCT(--(calc!$AM$3:$AM$67=TRUE),--(ROW(calc!$AM$3:$AM$67)&gt;ROW(AM27)),--(((calc!$AR$3:$AR$67&gt;AR27)*(calc!$AS$3:$AS$67&lt;AS27)+(calc!$AR$3:$AR$67&lt;AR27)*(calc!$AS$3:$AS$67&gt;AS27))&gt;0)),0)</f>
        <v/>
      </c>
      <c r="AU27" s="5">
        <f>IF(mos_metrics!K26="","",mos_metrics!K26)</f>
        <v/>
      </c>
      <c r="AV27" s="2">
        <f>AND($J27,ISNUMBER(AU27),correlation!$I$30=1)</f>
        <v/>
      </c>
      <c r="AW27" s="5">
        <f>IF(AV27,$F27,"")</f>
        <v/>
      </c>
      <c r="AX27" s="5">
        <f>IF(AV27,AU27*correlation!$J$30,"")</f>
        <v/>
      </c>
      <c r="AY27" s="5">
        <f>IF(AND(AV27,ISNUMBER(correlation!$F$30)),AX27*correlation!$F$30+correlation!$G$30,"")</f>
        <v/>
      </c>
      <c r="AZ27" s="5">
        <f>IF(AND(AV27,ISNUMBER(AY27)),(AW27-AY27)^2,"")</f>
        <v/>
      </c>
      <c r="BA27" s="5">
        <f>IF(AV27,1+SUMPRODUCT(--(calc!$AV$3:$AV$67=TRUE),--(calc!$AW$3:$AW$67&gt;AW27))+(SUMPRODUCT(--(calc!$AV$3:$AV$67=TRUE),--(calc!$AW$3:$AW$67=AW27))-1)/2,"")</f>
        <v/>
      </c>
      <c r="BB27" s="5">
        <f>IF(AV27,1+SUMPRODUCT(--(calc!$AV$3:$AV$67=TRUE),--(calc!$AX$3:$AX$67&gt;AX27))+(SUMPRODUCT(--(calc!$AV$3:$AV$67=TRUE),--(calc!$AX$3:$AX$67=AX27))-1)/2,"")</f>
        <v/>
      </c>
      <c r="BC27" s="5">
        <f>IF(AV27,SUMPRODUCT(--(calc!$AV$3:$AV$67=TRUE),--(ROW(calc!$AV$3:$AV$67)&gt;ROW(AV27)),--(((calc!$BA$3:$BA$67&gt;BA27)*(calc!$BB$3:$BB$67&gt;BB27)+(calc!$BA$3:$BA$67&lt;BA27)*(calc!$BB$3:$BB$67&lt;BB27))&gt;0))-SUMPRODUCT(--(calc!$AV$3:$AV$67=TRUE),--(ROW(calc!$AV$3:$AV$67)&gt;ROW(AV27)),--(((calc!$BA$3:$BA$67&gt;BA27)*(calc!$BB$3:$BB$67&lt;BB27)+(calc!$BA$3:$BA$67&lt;BA27)*(calc!$BB$3:$BB$67&gt;BB27))&gt;0)),0)</f>
        <v/>
      </c>
      <c r="BD27" s="5">
        <f>IF(mos_metrics!L26="","",mos_metrics!L26)</f>
        <v/>
      </c>
      <c r="BE27" s="2">
        <f>AND($J27,ISNUMBER(BD27),correlation!$I$31=1)</f>
        <v/>
      </c>
      <c r="BF27" s="5">
        <f>IF(BE27,$F27,"")</f>
        <v/>
      </c>
      <c r="BG27" s="5">
        <f>IF(BE27,BD27*correlation!$J$31,"")</f>
        <v/>
      </c>
      <c r="BH27" s="5">
        <f>IF(AND(BE27,ISNUMBER(correlation!$F$31)),BG27*correlation!$F$31+correlation!$G$31,"")</f>
        <v/>
      </c>
      <c r="BI27" s="5">
        <f>IF(AND(BE27,ISNUMBER(BH27)),(BF27-BH27)^2,"")</f>
        <v/>
      </c>
      <c r="BJ27" s="5">
        <f>IF(BE27,1+SUMPRODUCT(--(calc!$BE$3:$BE$67=TRUE),--(calc!$BF$3:$BF$67&gt;BF27))+(SUMPRODUCT(--(calc!$BE$3:$BE$67=TRUE),--(calc!$BF$3:$BF$67=BF27))-1)/2,"")</f>
        <v/>
      </c>
      <c r="BK27" s="5">
        <f>IF(BE27,1+SUMPRODUCT(--(calc!$BE$3:$BE$67=TRUE),--(calc!$BG$3:$BG$67&gt;BG27))+(SUMPRODUCT(--(calc!$BE$3:$BE$67=TRUE),--(calc!$BG$3:$BG$67=BG27))-1)/2,"")</f>
        <v/>
      </c>
      <c r="BL27" s="5">
        <f>IF(BE27,SUMPRODUCT(--(calc!$BE$3:$BE$67=TRUE),--(ROW(calc!$BE$3:$BE$67)&gt;ROW(BE27)),--(((calc!$BJ$3:$BJ$67&gt;BJ27)*(calc!$BK$3:$BK$67&gt;BK27)+(calc!$BJ$3:$BJ$67&lt;BJ27)*(calc!$BK$3:$BK$67&lt;BK27))&gt;0))-SUMPRODUCT(--(calc!$BE$3:$BE$67=TRUE),--(ROW(calc!$BE$3:$BE$67)&gt;ROW(BE27)),--(((calc!$BJ$3:$BJ$67&gt;BJ27)*(calc!$BK$3:$BK$67&lt;BK27)+(calc!$BJ$3:$BJ$67&lt;BJ27)*(calc!$BK$3:$BK$67&gt;BK27))&gt;0)),0)</f>
        <v/>
      </c>
      <c r="BM27" s="5">
        <f>IF(mos_metrics!M26="","",mos_metrics!M26)</f>
        <v/>
      </c>
      <c r="BN27" s="2">
        <f>AND($J27,ISNUMBER(BM27),correlation!$I$32=1)</f>
        <v/>
      </c>
      <c r="BO27" s="5">
        <f>IF(BN27,$F27,"")</f>
        <v/>
      </c>
      <c r="BP27" s="5">
        <f>IF(BN27,BM27*correlation!$J$32,"")</f>
        <v/>
      </c>
      <c r="BQ27" s="5">
        <f>IF(AND(BN27,ISNUMBER(correlation!$F$32)),BP27*correlation!$F$32+correlation!$G$32,"")</f>
        <v/>
      </c>
      <c r="BR27" s="5">
        <f>IF(AND(BN27,ISNUMBER(BQ27)),(BO27-BQ27)^2,"")</f>
        <v/>
      </c>
      <c r="BS27" s="5">
        <f>IF(BN27,1+SUMPRODUCT(--(calc!$BN$3:$BN$67=TRUE),--(calc!$BO$3:$BO$67&gt;BO27))+(SUMPRODUCT(--(calc!$BN$3:$BN$67=TRUE),--(calc!$BO$3:$BO$67=BO27))-1)/2,"")</f>
        <v/>
      </c>
      <c r="BT27" s="5">
        <f>IF(BN27,1+SUMPRODUCT(--(calc!$BN$3:$BN$67=TRUE),--(calc!$BP$3:$BP$67&gt;BP27))+(SUMPRODUCT(--(calc!$BN$3:$BN$67=TRUE),--(calc!$BP$3:$BP$67=BP27))-1)/2,"")</f>
        <v/>
      </c>
      <c r="BU27" s="5">
        <f>IF(BN27,SUMPRODUCT(--(calc!$BN$3:$BN$67=TRUE),--(ROW(calc!$BN$3:$BN$67)&gt;ROW(BN27)),--(((calc!$BS$3:$BS$67&gt;BS27)*(calc!$BT$3:$BT$67&gt;BT27)+(calc!$BS$3:$BS$67&lt;BS27)*(calc!$BT$3:$BT$67&lt;BT27))&gt;0))-SUMPRODUCT(--(calc!$BN$3:$BN$67=TRUE),--(ROW(calc!$BN$3:$BN$67)&gt;ROW(BN27)),--(((calc!$BS$3:$BS$67&gt;BS27)*(calc!$BT$3:$BT$67&lt;BT27)+(calc!$BS$3:$BS$67&lt;BS27)*(calc!$BT$3:$BT$67&gt;BT27))&gt;0)),0)</f>
        <v/>
      </c>
    </row>
    <row r="28">
      <c r="A28" s="2">
        <f>mos_metrics!A27</f>
        <v/>
      </c>
      <c r="B28" s="2">
        <f>mos_metrics!B27</f>
        <v/>
      </c>
      <c r="C28" s="2">
        <f>mos_metrics!C27</f>
        <v/>
      </c>
      <c r="D28" s="2">
        <f>mos_metrics!D27</f>
        <v/>
      </c>
      <c r="E28" s="2">
        <f>mos_metrics!E27</f>
        <v/>
      </c>
      <c r="F28" s="2">
        <f>mos_metrics!F27</f>
        <v/>
      </c>
      <c r="G28" s="2">
        <f>IF($B28="","",IFERROR(VLOOKUP($B28,correlation!$A$2:$B$6,2,FALSE),1))</f>
        <v/>
      </c>
      <c r="H28" s="2">
        <f>IF($E28="","",IFERROR(VLOOKUP($E28,correlation!$D$2:$E$8,2,FALSE),1))</f>
        <v/>
      </c>
      <c r="I28" s="2">
        <f>ISNUMBER($F28)</f>
        <v/>
      </c>
      <c r="J28" s="2">
        <f>AND($G28=1,$H28=1,$I28)</f>
        <v/>
      </c>
      <c r="K28" s="5">
        <f>IF(mos_metrics!G27="","",mos_metrics!G27)</f>
        <v/>
      </c>
      <c r="L28" s="2">
        <f>AND($J28,ISNUMBER(K28),correlation!$I$26=1)</f>
        <v/>
      </c>
      <c r="M28" s="5">
        <f>IF(L28,$F28,"")</f>
        <v/>
      </c>
      <c r="N28" s="5">
        <f>IF(L28,K28*correlation!$J$26,"")</f>
        <v/>
      </c>
      <c r="O28" s="5">
        <f>IF(AND(L28,ISNUMBER(correlation!$F$26)),N28*correlation!$F$26+correlation!$G$26,"")</f>
        <v/>
      </c>
      <c r="P28" s="5">
        <f>IF(AND(L28,ISNUMBER(O28)),(M28-O28)^2,"")</f>
        <v/>
      </c>
      <c r="Q28" s="5">
        <f>IF(L28,1+SUMPRODUCT(--(calc!$L$3:$L$67=TRUE),--(calc!$M$3:$M$67&gt;M28))+(SUMPRODUCT(--(calc!$L$3:$L$67=TRUE),--(calc!$M$3:$M$67=M28))-1)/2,"")</f>
        <v/>
      </c>
      <c r="R28" s="5">
        <f>IF(L28,1+SUMPRODUCT(--(calc!$L$3:$L$67=TRUE),--(calc!$N$3:$N$67&gt;N28))+(SUMPRODUCT(--(calc!$L$3:$L$67=TRUE),--(calc!$N$3:$N$67=N28))-1)/2,"")</f>
        <v/>
      </c>
      <c r="S28" s="5">
        <f>IF(L28,SUMPRODUCT(--(calc!$L$3:$L$67=TRUE),--(ROW(calc!$L$3:$L$67)&gt;ROW(L28)),--(((calc!$Q$3:$Q$67&gt;Q28)*(calc!$R$3:$R$67&gt;R28)+(calc!$Q$3:$Q$67&lt;Q28)*(calc!$R$3:$R$67&lt;R28))&gt;0))-SUMPRODUCT(--(calc!$L$3:$L$67=TRUE),--(ROW(calc!$L$3:$L$67)&gt;ROW(L28)),--(((calc!$Q$3:$Q$67&gt;Q28)*(calc!$R$3:$R$67&lt;R28)+(calc!$Q$3:$Q$67&lt;Q28)*(calc!$R$3:$R$67&gt;R28))&gt;0)),0)</f>
        <v/>
      </c>
      <c r="T28" s="5">
        <f>IF(mos_metrics!H27="","",mos_metrics!H27)</f>
        <v/>
      </c>
      <c r="U28" s="2">
        <f>AND($J28,ISNUMBER(T28),correlation!$I$27=1)</f>
        <v/>
      </c>
      <c r="V28" s="5">
        <f>IF(U28,$F28,"")</f>
        <v/>
      </c>
      <c r="W28" s="5">
        <f>IF(U28,T28*correlation!$J$27,"")</f>
        <v/>
      </c>
      <c r="X28" s="5">
        <f>IF(AND(U28,ISNUMBER(correlation!$F$27)),W28*correlation!$F$27+correlation!$G$27,"")</f>
        <v/>
      </c>
      <c r="Y28" s="5">
        <f>IF(AND(U28,ISNUMBER(X28)),(V28-X28)^2,"")</f>
        <v/>
      </c>
      <c r="Z28" s="5">
        <f>IF(U28,1+SUMPRODUCT(--(calc!$U$3:$U$67=TRUE),--(calc!$V$3:$V$67&gt;V28))+(SUMPRODUCT(--(calc!$U$3:$U$67=TRUE),--(calc!$V$3:$V$67=V28))-1)/2,"")</f>
        <v/>
      </c>
      <c r="AA28" s="5">
        <f>IF(U28,1+SUMPRODUCT(--(calc!$U$3:$U$67=TRUE),--(calc!$W$3:$W$67&gt;W28))+(SUMPRODUCT(--(calc!$U$3:$U$67=TRUE),--(calc!$W$3:$W$67=W28))-1)/2,"")</f>
        <v/>
      </c>
      <c r="AB28" s="5">
        <f>IF(U28,SUMPRODUCT(--(calc!$U$3:$U$67=TRUE),--(ROW(calc!$U$3:$U$67)&gt;ROW(U28)),--(((calc!$Z$3:$Z$67&gt;Z28)*(calc!$AA$3:$AA$67&gt;AA28)+(calc!$Z$3:$Z$67&lt;Z28)*(calc!$AA$3:$AA$67&lt;AA28))&gt;0))-SUMPRODUCT(--(calc!$U$3:$U$67=TRUE),--(ROW(calc!$U$3:$U$67)&gt;ROW(U28)),--(((calc!$Z$3:$Z$67&gt;Z28)*(calc!$AA$3:$AA$67&lt;AA28)+(calc!$Z$3:$Z$67&lt;Z28)*(calc!$AA$3:$AA$67&gt;AA28))&gt;0)),0)</f>
        <v/>
      </c>
      <c r="AC28" s="5">
        <f>IF(mos_metrics!I27="","",mos_metrics!I27)</f>
        <v/>
      </c>
      <c r="AD28" s="2">
        <f>AND($J28,ISNUMBER(AC28),correlation!$I$28=1)</f>
        <v/>
      </c>
      <c r="AE28" s="5">
        <f>IF(AD28,$F28,"")</f>
        <v/>
      </c>
      <c r="AF28" s="5">
        <f>IF(AD28,AC28*correlation!$J$28,"")</f>
        <v/>
      </c>
      <c r="AG28" s="5">
        <f>IF(AND(AD28,ISNUMBER(correlation!$F$28)),AF28*correlation!$F$28+correlation!$G$28,"")</f>
        <v/>
      </c>
      <c r="AH28" s="5">
        <f>IF(AND(AD28,ISNUMBER(AG28)),(AE28-AG28)^2,"")</f>
        <v/>
      </c>
      <c r="AI28" s="5">
        <f>IF(AD28,1+SUMPRODUCT(--(calc!$AD$3:$AD$67=TRUE),--(calc!$AE$3:$AE$67&gt;AE28))+(SUMPRODUCT(--(calc!$AD$3:$AD$67=TRUE),--(calc!$AE$3:$AE$67=AE28))-1)/2,"")</f>
        <v/>
      </c>
      <c r="AJ28" s="5">
        <f>IF(AD28,1+SUMPRODUCT(--(calc!$AD$3:$AD$67=TRUE),--(calc!$AF$3:$AF$67&gt;AF28))+(SUMPRODUCT(--(calc!$AD$3:$AD$67=TRUE),--(calc!$AF$3:$AF$67=AF28))-1)/2,"")</f>
        <v/>
      </c>
      <c r="AK28" s="5">
        <f>IF(AD28,SUMPRODUCT(--(calc!$AD$3:$AD$67=TRUE),--(ROW(calc!$AD$3:$AD$67)&gt;ROW(AD28)),--(((calc!$AI$3:$AI$67&gt;AI28)*(calc!$AJ$3:$AJ$67&gt;AJ28)+(calc!$AI$3:$AI$67&lt;AI28)*(calc!$AJ$3:$AJ$67&lt;AJ28))&gt;0))-SUMPRODUCT(--(calc!$AD$3:$AD$67=TRUE),--(ROW(calc!$AD$3:$AD$67)&gt;ROW(AD28)),--(((calc!$AI$3:$AI$67&gt;AI28)*(calc!$AJ$3:$AJ$67&lt;AJ28)+(calc!$AI$3:$AI$67&lt;AI28)*(calc!$AJ$3:$AJ$67&gt;AJ28))&gt;0)),0)</f>
        <v/>
      </c>
      <c r="AL28" s="5">
        <f>IF(mos_metrics!J27="","",mos_metrics!J27)</f>
        <v/>
      </c>
      <c r="AM28" s="2">
        <f>AND($J28,ISNUMBER(AL28),correlation!$I$29=1)</f>
        <v/>
      </c>
      <c r="AN28" s="5">
        <f>IF(AM28,$F28,"")</f>
        <v/>
      </c>
      <c r="AO28" s="5">
        <f>IF(AM28,AL28*correlation!$J$29,"")</f>
        <v/>
      </c>
      <c r="AP28" s="5">
        <f>IF(AND(AM28,ISNUMBER(correlation!$F$29)),AO28*correlation!$F$29+correlation!$G$29,"")</f>
        <v/>
      </c>
      <c r="AQ28" s="5">
        <f>IF(AND(AM28,ISNUMBER(AP28)),(AN28-AP28)^2,"")</f>
        <v/>
      </c>
      <c r="AR28" s="5">
        <f>IF(AM28,1+SUMPRODUCT(--(calc!$AM$3:$AM$67=TRUE),--(calc!$AN$3:$AN$67&gt;AN28))+(SUMPRODUCT(--(calc!$AM$3:$AM$67=TRUE),--(calc!$AN$3:$AN$67=AN28))-1)/2,"")</f>
        <v/>
      </c>
      <c r="AS28" s="5">
        <f>IF(AM28,1+SUMPRODUCT(--(calc!$AM$3:$AM$67=TRUE),--(calc!$AO$3:$AO$67&gt;AO28))+(SUMPRODUCT(--(calc!$AM$3:$AM$67=TRUE),--(calc!$AO$3:$AO$67=AO28))-1)/2,"")</f>
        <v/>
      </c>
      <c r="AT28" s="5">
        <f>IF(AM28,SUMPRODUCT(--(calc!$AM$3:$AM$67=TRUE),--(ROW(calc!$AM$3:$AM$67)&gt;ROW(AM28)),--(((calc!$AR$3:$AR$67&gt;AR28)*(calc!$AS$3:$AS$67&gt;AS28)+(calc!$AR$3:$AR$67&lt;AR28)*(calc!$AS$3:$AS$67&lt;AS28))&gt;0))-SUMPRODUCT(--(calc!$AM$3:$AM$67=TRUE),--(ROW(calc!$AM$3:$AM$67)&gt;ROW(AM28)),--(((calc!$AR$3:$AR$67&gt;AR28)*(calc!$AS$3:$AS$67&lt;AS28)+(calc!$AR$3:$AR$67&lt;AR28)*(calc!$AS$3:$AS$67&gt;AS28))&gt;0)),0)</f>
        <v/>
      </c>
      <c r="AU28" s="5">
        <f>IF(mos_metrics!K27="","",mos_metrics!K27)</f>
        <v/>
      </c>
      <c r="AV28" s="2">
        <f>AND($J28,ISNUMBER(AU28),correlation!$I$30=1)</f>
        <v/>
      </c>
      <c r="AW28" s="5">
        <f>IF(AV28,$F28,"")</f>
        <v/>
      </c>
      <c r="AX28" s="5">
        <f>IF(AV28,AU28*correlation!$J$30,"")</f>
        <v/>
      </c>
      <c r="AY28" s="5">
        <f>IF(AND(AV28,ISNUMBER(correlation!$F$30)),AX28*correlation!$F$30+correlation!$G$30,"")</f>
        <v/>
      </c>
      <c r="AZ28" s="5">
        <f>IF(AND(AV28,ISNUMBER(AY28)),(AW28-AY28)^2,"")</f>
        <v/>
      </c>
      <c r="BA28" s="5">
        <f>IF(AV28,1+SUMPRODUCT(--(calc!$AV$3:$AV$67=TRUE),--(calc!$AW$3:$AW$67&gt;AW28))+(SUMPRODUCT(--(calc!$AV$3:$AV$67=TRUE),--(calc!$AW$3:$AW$67=AW28))-1)/2,"")</f>
        <v/>
      </c>
      <c r="BB28" s="5">
        <f>IF(AV28,1+SUMPRODUCT(--(calc!$AV$3:$AV$67=TRUE),--(calc!$AX$3:$AX$67&gt;AX28))+(SUMPRODUCT(--(calc!$AV$3:$AV$67=TRUE),--(calc!$AX$3:$AX$67=AX28))-1)/2,"")</f>
        <v/>
      </c>
      <c r="BC28" s="5">
        <f>IF(AV28,SUMPRODUCT(--(calc!$AV$3:$AV$67=TRUE),--(ROW(calc!$AV$3:$AV$67)&gt;ROW(AV28)),--(((calc!$BA$3:$BA$67&gt;BA28)*(calc!$BB$3:$BB$67&gt;BB28)+(calc!$BA$3:$BA$67&lt;BA28)*(calc!$BB$3:$BB$67&lt;BB28))&gt;0))-SUMPRODUCT(--(calc!$AV$3:$AV$67=TRUE),--(ROW(calc!$AV$3:$AV$67)&gt;ROW(AV28)),--(((calc!$BA$3:$BA$67&gt;BA28)*(calc!$BB$3:$BB$67&lt;BB28)+(calc!$BA$3:$BA$67&lt;BA28)*(calc!$BB$3:$BB$67&gt;BB28))&gt;0)),0)</f>
        <v/>
      </c>
      <c r="BD28" s="5">
        <f>IF(mos_metrics!L27="","",mos_metrics!L27)</f>
        <v/>
      </c>
      <c r="BE28" s="2">
        <f>AND($J28,ISNUMBER(BD28),correlation!$I$31=1)</f>
        <v/>
      </c>
      <c r="BF28" s="5">
        <f>IF(BE28,$F28,"")</f>
        <v/>
      </c>
      <c r="BG28" s="5">
        <f>IF(BE28,BD28*correlation!$J$31,"")</f>
        <v/>
      </c>
      <c r="BH28" s="5">
        <f>IF(AND(BE28,ISNUMBER(correlation!$F$31)),BG28*correlation!$F$31+correlation!$G$31,"")</f>
        <v/>
      </c>
      <c r="BI28" s="5">
        <f>IF(AND(BE28,ISNUMBER(BH28)),(BF28-BH28)^2,"")</f>
        <v/>
      </c>
      <c r="BJ28" s="5">
        <f>IF(BE28,1+SUMPRODUCT(--(calc!$BE$3:$BE$67=TRUE),--(calc!$BF$3:$BF$67&gt;BF28))+(SUMPRODUCT(--(calc!$BE$3:$BE$67=TRUE),--(calc!$BF$3:$BF$67=BF28))-1)/2,"")</f>
        <v/>
      </c>
      <c r="BK28" s="5">
        <f>IF(BE28,1+SUMPRODUCT(--(calc!$BE$3:$BE$67=TRUE),--(calc!$BG$3:$BG$67&gt;BG28))+(SUMPRODUCT(--(calc!$BE$3:$BE$67=TRUE),--(calc!$BG$3:$BG$67=BG28))-1)/2,"")</f>
        <v/>
      </c>
      <c r="BL28" s="5">
        <f>IF(BE28,SUMPRODUCT(--(calc!$BE$3:$BE$67=TRUE),--(ROW(calc!$BE$3:$BE$67)&gt;ROW(BE28)),--(((calc!$BJ$3:$BJ$67&gt;BJ28)*(calc!$BK$3:$BK$67&gt;BK28)+(calc!$BJ$3:$BJ$67&lt;BJ28)*(calc!$BK$3:$BK$67&lt;BK28))&gt;0))-SUMPRODUCT(--(calc!$BE$3:$BE$67=TRUE),--(ROW(calc!$BE$3:$BE$67)&gt;ROW(BE28)),--(((calc!$BJ$3:$BJ$67&gt;BJ28)*(calc!$BK$3:$BK$67&lt;BK28)+(calc!$BJ$3:$BJ$67&lt;BJ28)*(calc!$BK$3:$BK$67&gt;BK28))&gt;0)),0)</f>
        <v/>
      </c>
      <c r="BM28" s="5">
        <f>IF(mos_metrics!M27="","",mos_metrics!M27)</f>
        <v/>
      </c>
      <c r="BN28" s="2">
        <f>AND($J28,ISNUMBER(BM28),correlation!$I$32=1)</f>
        <v/>
      </c>
      <c r="BO28" s="5">
        <f>IF(BN28,$F28,"")</f>
        <v/>
      </c>
      <c r="BP28" s="5">
        <f>IF(BN28,BM28*correlation!$J$32,"")</f>
        <v/>
      </c>
      <c r="BQ28" s="5">
        <f>IF(AND(BN28,ISNUMBER(correlation!$F$32)),BP28*correlation!$F$32+correlation!$G$32,"")</f>
        <v/>
      </c>
      <c r="BR28" s="5">
        <f>IF(AND(BN28,ISNUMBER(BQ28)),(BO28-BQ28)^2,"")</f>
        <v/>
      </c>
      <c r="BS28" s="5">
        <f>IF(BN28,1+SUMPRODUCT(--(calc!$BN$3:$BN$67=TRUE),--(calc!$BO$3:$BO$67&gt;BO28))+(SUMPRODUCT(--(calc!$BN$3:$BN$67=TRUE),--(calc!$BO$3:$BO$67=BO28))-1)/2,"")</f>
        <v/>
      </c>
      <c r="BT28" s="5">
        <f>IF(BN28,1+SUMPRODUCT(--(calc!$BN$3:$BN$67=TRUE),--(calc!$BP$3:$BP$67&gt;BP28))+(SUMPRODUCT(--(calc!$BN$3:$BN$67=TRUE),--(calc!$BP$3:$BP$67=BP28))-1)/2,"")</f>
        <v/>
      </c>
      <c r="BU28" s="5">
        <f>IF(BN28,SUMPRODUCT(--(calc!$BN$3:$BN$67=TRUE),--(ROW(calc!$BN$3:$BN$67)&gt;ROW(BN28)),--(((calc!$BS$3:$BS$67&gt;BS28)*(calc!$BT$3:$BT$67&gt;BT28)+(calc!$BS$3:$BS$67&lt;BS28)*(calc!$BT$3:$BT$67&lt;BT28))&gt;0))-SUMPRODUCT(--(calc!$BN$3:$BN$67=TRUE),--(ROW(calc!$BN$3:$BN$67)&gt;ROW(BN28)),--(((calc!$BS$3:$BS$67&gt;BS28)*(calc!$BT$3:$BT$67&lt;BT28)+(calc!$BS$3:$BS$67&lt;BS28)*(calc!$BT$3:$BT$67&gt;BT28))&gt;0)),0)</f>
        <v/>
      </c>
    </row>
    <row r="29">
      <c r="A29" s="2">
        <f>mos_metrics!A28</f>
        <v/>
      </c>
      <c r="B29" s="2">
        <f>mos_metrics!B28</f>
        <v/>
      </c>
      <c r="C29" s="2">
        <f>mos_metrics!C28</f>
        <v/>
      </c>
      <c r="D29" s="2">
        <f>mos_metrics!D28</f>
        <v/>
      </c>
      <c r="E29" s="2">
        <f>mos_metrics!E28</f>
        <v/>
      </c>
      <c r="F29" s="2">
        <f>mos_metrics!F28</f>
        <v/>
      </c>
      <c r="G29" s="2">
        <f>IF($B29="","",IFERROR(VLOOKUP($B29,correlation!$A$2:$B$6,2,FALSE),1))</f>
        <v/>
      </c>
      <c r="H29" s="2">
        <f>IF($E29="","",IFERROR(VLOOKUP($E29,correlation!$D$2:$E$8,2,FALSE),1))</f>
        <v/>
      </c>
      <c r="I29" s="2">
        <f>ISNUMBER($F29)</f>
        <v/>
      </c>
      <c r="J29" s="2">
        <f>AND($G29=1,$H29=1,$I29)</f>
        <v/>
      </c>
      <c r="K29" s="5">
        <f>IF(mos_metrics!G28="","",mos_metrics!G28)</f>
        <v/>
      </c>
      <c r="L29" s="2">
        <f>AND($J29,ISNUMBER(K29),correlation!$I$26=1)</f>
        <v/>
      </c>
      <c r="M29" s="5">
        <f>IF(L29,$F29,"")</f>
        <v/>
      </c>
      <c r="N29" s="5">
        <f>IF(L29,K29*correlation!$J$26,"")</f>
        <v/>
      </c>
      <c r="O29" s="5">
        <f>IF(AND(L29,ISNUMBER(correlation!$F$26)),N29*correlation!$F$26+correlation!$G$26,"")</f>
        <v/>
      </c>
      <c r="P29" s="5">
        <f>IF(AND(L29,ISNUMBER(O29)),(M29-O29)^2,"")</f>
        <v/>
      </c>
      <c r="Q29" s="5">
        <f>IF(L29,1+SUMPRODUCT(--(calc!$L$3:$L$67=TRUE),--(calc!$M$3:$M$67&gt;M29))+(SUMPRODUCT(--(calc!$L$3:$L$67=TRUE),--(calc!$M$3:$M$67=M29))-1)/2,"")</f>
        <v/>
      </c>
      <c r="R29" s="5">
        <f>IF(L29,1+SUMPRODUCT(--(calc!$L$3:$L$67=TRUE),--(calc!$N$3:$N$67&gt;N29))+(SUMPRODUCT(--(calc!$L$3:$L$67=TRUE),--(calc!$N$3:$N$67=N29))-1)/2,"")</f>
        <v/>
      </c>
      <c r="S29" s="5">
        <f>IF(L29,SUMPRODUCT(--(calc!$L$3:$L$67=TRUE),--(ROW(calc!$L$3:$L$67)&gt;ROW(L29)),--(((calc!$Q$3:$Q$67&gt;Q29)*(calc!$R$3:$R$67&gt;R29)+(calc!$Q$3:$Q$67&lt;Q29)*(calc!$R$3:$R$67&lt;R29))&gt;0))-SUMPRODUCT(--(calc!$L$3:$L$67=TRUE),--(ROW(calc!$L$3:$L$67)&gt;ROW(L29)),--(((calc!$Q$3:$Q$67&gt;Q29)*(calc!$R$3:$R$67&lt;R29)+(calc!$Q$3:$Q$67&lt;Q29)*(calc!$R$3:$R$67&gt;R29))&gt;0)),0)</f>
        <v/>
      </c>
      <c r="T29" s="5">
        <f>IF(mos_metrics!H28="","",mos_metrics!H28)</f>
        <v/>
      </c>
      <c r="U29" s="2">
        <f>AND($J29,ISNUMBER(T29),correlation!$I$27=1)</f>
        <v/>
      </c>
      <c r="V29" s="5">
        <f>IF(U29,$F29,"")</f>
        <v/>
      </c>
      <c r="W29" s="5">
        <f>IF(U29,T29*correlation!$J$27,"")</f>
        <v/>
      </c>
      <c r="X29" s="5">
        <f>IF(AND(U29,ISNUMBER(correlation!$F$27)),W29*correlation!$F$27+correlation!$G$27,"")</f>
        <v/>
      </c>
      <c r="Y29" s="5">
        <f>IF(AND(U29,ISNUMBER(X29)),(V29-X29)^2,"")</f>
        <v/>
      </c>
      <c r="Z29" s="5">
        <f>IF(U29,1+SUMPRODUCT(--(calc!$U$3:$U$67=TRUE),--(calc!$V$3:$V$67&gt;V29))+(SUMPRODUCT(--(calc!$U$3:$U$67=TRUE),--(calc!$V$3:$V$67=V29))-1)/2,"")</f>
        <v/>
      </c>
      <c r="AA29" s="5">
        <f>IF(U29,1+SUMPRODUCT(--(calc!$U$3:$U$67=TRUE),--(calc!$W$3:$W$67&gt;W29))+(SUMPRODUCT(--(calc!$U$3:$U$67=TRUE),--(calc!$W$3:$W$67=W29))-1)/2,"")</f>
        <v/>
      </c>
      <c r="AB29" s="5">
        <f>IF(U29,SUMPRODUCT(--(calc!$U$3:$U$67=TRUE),--(ROW(calc!$U$3:$U$67)&gt;ROW(U29)),--(((calc!$Z$3:$Z$67&gt;Z29)*(calc!$AA$3:$AA$67&gt;AA29)+(calc!$Z$3:$Z$67&lt;Z29)*(calc!$AA$3:$AA$67&lt;AA29))&gt;0))-SUMPRODUCT(--(calc!$U$3:$U$67=TRUE),--(ROW(calc!$U$3:$U$67)&gt;ROW(U29)),--(((calc!$Z$3:$Z$67&gt;Z29)*(calc!$AA$3:$AA$67&lt;AA29)+(calc!$Z$3:$Z$67&lt;Z29)*(calc!$AA$3:$AA$67&gt;AA29))&gt;0)),0)</f>
        <v/>
      </c>
      <c r="AC29" s="5">
        <f>IF(mos_metrics!I28="","",mos_metrics!I28)</f>
        <v/>
      </c>
      <c r="AD29" s="2">
        <f>AND($J29,ISNUMBER(AC29),correlation!$I$28=1)</f>
        <v/>
      </c>
      <c r="AE29" s="5">
        <f>IF(AD29,$F29,"")</f>
        <v/>
      </c>
      <c r="AF29" s="5">
        <f>IF(AD29,AC29*correlation!$J$28,"")</f>
        <v/>
      </c>
      <c r="AG29" s="5">
        <f>IF(AND(AD29,ISNUMBER(correlation!$F$28)),AF29*correlation!$F$28+correlation!$G$28,"")</f>
        <v/>
      </c>
      <c r="AH29" s="5">
        <f>IF(AND(AD29,ISNUMBER(AG29)),(AE29-AG29)^2,"")</f>
        <v/>
      </c>
      <c r="AI29" s="5">
        <f>IF(AD29,1+SUMPRODUCT(--(calc!$AD$3:$AD$67=TRUE),--(calc!$AE$3:$AE$67&gt;AE29))+(SUMPRODUCT(--(calc!$AD$3:$AD$67=TRUE),--(calc!$AE$3:$AE$67=AE29))-1)/2,"")</f>
        <v/>
      </c>
      <c r="AJ29" s="5">
        <f>IF(AD29,1+SUMPRODUCT(--(calc!$AD$3:$AD$67=TRUE),--(calc!$AF$3:$AF$67&gt;AF29))+(SUMPRODUCT(--(calc!$AD$3:$AD$67=TRUE),--(calc!$AF$3:$AF$67=AF29))-1)/2,"")</f>
        <v/>
      </c>
      <c r="AK29" s="5">
        <f>IF(AD29,SUMPRODUCT(--(calc!$AD$3:$AD$67=TRUE),--(ROW(calc!$AD$3:$AD$67)&gt;ROW(AD29)),--(((calc!$AI$3:$AI$67&gt;AI29)*(calc!$AJ$3:$AJ$67&gt;AJ29)+(calc!$AI$3:$AI$67&lt;AI29)*(calc!$AJ$3:$AJ$67&lt;AJ29))&gt;0))-SUMPRODUCT(--(calc!$AD$3:$AD$67=TRUE),--(ROW(calc!$AD$3:$AD$67)&gt;ROW(AD29)),--(((calc!$AI$3:$AI$67&gt;AI29)*(calc!$AJ$3:$AJ$67&lt;AJ29)+(calc!$AI$3:$AI$67&lt;AI29)*(calc!$AJ$3:$AJ$67&gt;AJ29))&gt;0)),0)</f>
        <v/>
      </c>
      <c r="AL29" s="5">
        <f>IF(mos_metrics!J28="","",mos_metrics!J28)</f>
        <v/>
      </c>
      <c r="AM29" s="2">
        <f>AND($J29,ISNUMBER(AL29),correlation!$I$29=1)</f>
        <v/>
      </c>
      <c r="AN29" s="5">
        <f>IF(AM29,$F29,"")</f>
        <v/>
      </c>
      <c r="AO29" s="5">
        <f>IF(AM29,AL29*correlation!$J$29,"")</f>
        <v/>
      </c>
      <c r="AP29" s="5">
        <f>IF(AND(AM29,ISNUMBER(correlation!$F$29)),AO29*correlation!$F$29+correlation!$G$29,"")</f>
        <v/>
      </c>
      <c r="AQ29" s="5">
        <f>IF(AND(AM29,ISNUMBER(AP29)),(AN29-AP29)^2,"")</f>
        <v/>
      </c>
      <c r="AR29" s="5">
        <f>IF(AM29,1+SUMPRODUCT(--(calc!$AM$3:$AM$67=TRUE),--(calc!$AN$3:$AN$67&gt;AN29))+(SUMPRODUCT(--(calc!$AM$3:$AM$67=TRUE),--(calc!$AN$3:$AN$67=AN29))-1)/2,"")</f>
        <v/>
      </c>
      <c r="AS29" s="5">
        <f>IF(AM29,1+SUMPRODUCT(--(calc!$AM$3:$AM$67=TRUE),--(calc!$AO$3:$AO$67&gt;AO29))+(SUMPRODUCT(--(calc!$AM$3:$AM$67=TRUE),--(calc!$AO$3:$AO$67=AO29))-1)/2,"")</f>
        <v/>
      </c>
      <c r="AT29" s="5">
        <f>IF(AM29,SUMPRODUCT(--(calc!$AM$3:$AM$67=TRUE),--(ROW(calc!$AM$3:$AM$67)&gt;ROW(AM29)),--(((calc!$AR$3:$AR$67&gt;AR29)*(calc!$AS$3:$AS$67&gt;AS29)+(calc!$AR$3:$AR$67&lt;AR29)*(calc!$AS$3:$AS$67&lt;AS29))&gt;0))-SUMPRODUCT(--(calc!$AM$3:$AM$67=TRUE),--(ROW(calc!$AM$3:$AM$67)&gt;ROW(AM29)),--(((calc!$AR$3:$AR$67&gt;AR29)*(calc!$AS$3:$AS$67&lt;AS29)+(calc!$AR$3:$AR$67&lt;AR29)*(calc!$AS$3:$AS$67&gt;AS29))&gt;0)),0)</f>
        <v/>
      </c>
      <c r="AU29" s="5">
        <f>IF(mos_metrics!K28="","",mos_metrics!K28)</f>
        <v/>
      </c>
      <c r="AV29" s="2">
        <f>AND($J29,ISNUMBER(AU29),correlation!$I$30=1)</f>
        <v/>
      </c>
      <c r="AW29" s="5">
        <f>IF(AV29,$F29,"")</f>
        <v/>
      </c>
      <c r="AX29" s="5">
        <f>IF(AV29,AU29*correlation!$J$30,"")</f>
        <v/>
      </c>
      <c r="AY29" s="5">
        <f>IF(AND(AV29,ISNUMBER(correlation!$F$30)),AX29*correlation!$F$30+correlation!$G$30,"")</f>
        <v/>
      </c>
      <c r="AZ29" s="5">
        <f>IF(AND(AV29,ISNUMBER(AY29)),(AW29-AY29)^2,"")</f>
        <v/>
      </c>
      <c r="BA29" s="5">
        <f>IF(AV29,1+SUMPRODUCT(--(calc!$AV$3:$AV$67=TRUE),--(calc!$AW$3:$AW$67&gt;AW29))+(SUMPRODUCT(--(calc!$AV$3:$AV$67=TRUE),--(calc!$AW$3:$AW$67=AW29))-1)/2,"")</f>
        <v/>
      </c>
      <c r="BB29" s="5">
        <f>IF(AV29,1+SUMPRODUCT(--(calc!$AV$3:$AV$67=TRUE),--(calc!$AX$3:$AX$67&gt;AX29))+(SUMPRODUCT(--(calc!$AV$3:$AV$67=TRUE),--(calc!$AX$3:$AX$67=AX29))-1)/2,"")</f>
        <v/>
      </c>
      <c r="BC29" s="5">
        <f>IF(AV29,SUMPRODUCT(--(calc!$AV$3:$AV$67=TRUE),--(ROW(calc!$AV$3:$AV$67)&gt;ROW(AV29)),--(((calc!$BA$3:$BA$67&gt;BA29)*(calc!$BB$3:$BB$67&gt;BB29)+(calc!$BA$3:$BA$67&lt;BA29)*(calc!$BB$3:$BB$67&lt;BB29))&gt;0))-SUMPRODUCT(--(calc!$AV$3:$AV$67=TRUE),--(ROW(calc!$AV$3:$AV$67)&gt;ROW(AV29)),--(((calc!$BA$3:$BA$67&gt;BA29)*(calc!$BB$3:$BB$67&lt;BB29)+(calc!$BA$3:$BA$67&lt;BA29)*(calc!$BB$3:$BB$67&gt;BB29))&gt;0)),0)</f>
        <v/>
      </c>
      <c r="BD29" s="5">
        <f>IF(mos_metrics!L28="","",mos_metrics!L28)</f>
        <v/>
      </c>
      <c r="BE29" s="2">
        <f>AND($J29,ISNUMBER(BD29),correlation!$I$31=1)</f>
        <v/>
      </c>
      <c r="BF29" s="5">
        <f>IF(BE29,$F29,"")</f>
        <v/>
      </c>
      <c r="BG29" s="5">
        <f>IF(BE29,BD29*correlation!$J$31,"")</f>
        <v/>
      </c>
      <c r="BH29" s="5">
        <f>IF(AND(BE29,ISNUMBER(correlation!$F$31)),BG29*correlation!$F$31+correlation!$G$31,"")</f>
        <v/>
      </c>
      <c r="BI29" s="5">
        <f>IF(AND(BE29,ISNUMBER(BH29)),(BF29-BH29)^2,"")</f>
        <v/>
      </c>
      <c r="BJ29" s="5">
        <f>IF(BE29,1+SUMPRODUCT(--(calc!$BE$3:$BE$67=TRUE),--(calc!$BF$3:$BF$67&gt;BF29))+(SUMPRODUCT(--(calc!$BE$3:$BE$67=TRUE),--(calc!$BF$3:$BF$67=BF29))-1)/2,"")</f>
        <v/>
      </c>
      <c r="BK29" s="5">
        <f>IF(BE29,1+SUMPRODUCT(--(calc!$BE$3:$BE$67=TRUE),--(calc!$BG$3:$BG$67&gt;BG29))+(SUMPRODUCT(--(calc!$BE$3:$BE$67=TRUE),--(calc!$BG$3:$BG$67=BG29))-1)/2,"")</f>
        <v/>
      </c>
      <c r="BL29" s="5">
        <f>IF(BE29,SUMPRODUCT(--(calc!$BE$3:$BE$67=TRUE),--(ROW(calc!$BE$3:$BE$67)&gt;ROW(BE29)),--(((calc!$BJ$3:$BJ$67&gt;BJ29)*(calc!$BK$3:$BK$67&gt;BK29)+(calc!$BJ$3:$BJ$67&lt;BJ29)*(calc!$BK$3:$BK$67&lt;BK29))&gt;0))-SUMPRODUCT(--(calc!$BE$3:$BE$67=TRUE),--(ROW(calc!$BE$3:$BE$67)&gt;ROW(BE29)),--(((calc!$BJ$3:$BJ$67&gt;BJ29)*(calc!$BK$3:$BK$67&lt;BK29)+(calc!$BJ$3:$BJ$67&lt;BJ29)*(calc!$BK$3:$BK$67&gt;BK29))&gt;0)),0)</f>
        <v/>
      </c>
      <c r="BM29" s="5">
        <f>IF(mos_metrics!M28="","",mos_metrics!M28)</f>
        <v/>
      </c>
      <c r="BN29" s="2">
        <f>AND($J29,ISNUMBER(BM29),correlation!$I$32=1)</f>
        <v/>
      </c>
      <c r="BO29" s="5">
        <f>IF(BN29,$F29,"")</f>
        <v/>
      </c>
      <c r="BP29" s="5">
        <f>IF(BN29,BM29*correlation!$J$32,"")</f>
        <v/>
      </c>
      <c r="BQ29" s="5">
        <f>IF(AND(BN29,ISNUMBER(correlation!$F$32)),BP29*correlation!$F$32+correlation!$G$32,"")</f>
        <v/>
      </c>
      <c r="BR29" s="5">
        <f>IF(AND(BN29,ISNUMBER(BQ29)),(BO29-BQ29)^2,"")</f>
        <v/>
      </c>
      <c r="BS29" s="5">
        <f>IF(BN29,1+SUMPRODUCT(--(calc!$BN$3:$BN$67=TRUE),--(calc!$BO$3:$BO$67&gt;BO29))+(SUMPRODUCT(--(calc!$BN$3:$BN$67=TRUE),--(calc!$BO$3:$BO$67=BO29))-1)/2,"")</f>
        <v/>
      </c>
      <c r="BT29" s="5">
        <f>IF(BN29,1+SUMPRODUCT(--(calc!$BN$3:$BN$67=TRUE),--(calc!$BP$3:$BP$67&gt;BP29))+(SUMPRODUCT(--(calc!$BN$3:$BN$67=TRUE),--(calc!$BP$3:$BP$67=BP29))-1)/2,"")</f>
        <v/>
      </c>
      <c r="BU29" s="5">
        <f>IF(BN29,SUMPRODUCT(--(calc!$BN$3:$BN$67=TRUE),--(ROW(calc!$BN$3:$BN$67)&gt;ROW(BN29)),--(((calc!$BS$3:$BS$67&gt;BS29)*(calc!$BT$3:$BT$67&gt;BT29)+(calc!$BS$3:$BS$67&lt;BS29)*(calc!$BT$3:$BT$67&lt;BT29))&gt;0))-SUMPRODUCT(--(calc!$BN$3:$BN$67=TRUE),--(ROW(calc!$BN$3:$BN$67)&gt;ROW(BN29)),--(((calc!$BS$3:$BS$67&gt;BS29)*(calc!$BT$3:$BT$67&lt;BT29)+(calc!$BS$3:$BS$67&lt;BS29)*(calc!$BT$3:$BT$67&gt;BT29))&gt;0)),0)</f>
        <v/>
      </c>
    </row>
    <row r="30">
      <c r="A30" s="2">
        <f>mos_metrics!A29</f>
        <v/>
      </c>
      <c r="B30" s="2">
        <f>mos_metrics!B29</f>
        <v/>
      </c>
      <c r="C30" s="2">
        <f>mos_metrics!C29</f>
        <v/>
      </c>
      <c r="D30" s="2">
        <f>mos_metrics!D29</f>
        <v/>
      </c>
      <c r="E30" s="2">
        <f>mos_metrics!E29</f>
        <v/>
      </c>
      <c r="F30" s="2">
        <f>mos_metrics!F29</f>
        <v/>
      </c>
      <c r="G30" s="2">
        <f>IF($B30="","",IFERROR(VLOOKUP($B30,correlation!$A$2:$B$6,2,FALSE),1))</f>
        <v/>
      </c>
      <c r="H30" s="2">
        <f>IF($E30="","",IFERROR(VLOOKUP($E30,correlation!$D$2:$E$8,2,FALSE),1))</f>
        <v/>
      </c>
      <c r="I30" s="2">
        <f>ISNUMBER($F30)</f>
        <v/>
      </c>
      <c r="J30" s="2">
        <f>AND($G30=1,$H30=1,$I30)</f>
        <v/>
      </c>
      <c r="K30" s="5">
        <f>IF(mos_metrics!G29="","",mos_metrics!G29)</f>
        <v/>
      </c>
      <c r="L30" s="2">
        <f>AND($J30,ISNUMBER(K30),correlation!$I$26=1)</f>
        <v/>
      </c>
      <c r="M30" s="5">
        <f>IF(L30,$F30,"")</f>
        <v/>
      </c>
      <c r="N30" s="5">
        <f>IF(L30,K30*correlation!$J$26,"")</f>
        <v/>
      </c>
      <c r="O30" s="5">
        <f>IF(AND(L30,ISNUMBER(correlation!$F$26)),N30*correlation!$F$26+correlation!$G$26,"")</f>
        <v/>
      </c>
      <c r="P30" s="5">
        <f>IF(AND(L30,ISNUMBER(O30)),(M30-O30)^2,"")</f>
        <v/>
      </c>
      <c r="Q30" s="5">
        <f>IF(L30,1+SUMPRODUCT(--(calc!$L$3:$L$67=TRUE),--(calc!$M$3:$M$67&gt;M30))+(SUMPRODUCT(--(calc!$L$3:$L$67=TRUE),--(calc!$M$3:$M$67=M30))-1)/2,"")</f>
        <v/>
      </c>
      <c r="R30" s="5">
        <f>IF(L30,1+SUMPRODUCT(--(calc!$L$3:$L$67=TRUE),--(calc!$N$3:$N$67&gt;N30))+(SUMPRODUCT(--(calc!$L$3:$L$67=TRUE),--(calc!$N$3:$N$67=N30))-1)/2,"")</f>
        <v/>
      </c>
      <c r="S30" s="5">
        <f>IF(L30,SUMPRODUCT(--(calc!$L$3:$L$67=TRUE),--(ROW(calc!$L$3:$L$67)&gt;ROW(L30)),--(((calc!$Q$3:$Q$67&gt;Q30)*(calc!$R$3:$R$67&gt;R30)+(calc!$Q$3:$Q$67&lt;Q30)*(calc!$R$3:$R$67&lt;R30))&gt;0))-SUMPRODUCT(--(calc!$L$3:$L$67=TRUE),--(ROW(calc!$L$3:$L$67)&gt;ROW(L30)),--(((calc!$Q$3:$Q$67&gt;Q30)*(calc!$R$3:$R$67&lt;R30)+(calc!$Q$3:$Q$67&lt;Q30)*(calc!$R$3:$R$67&gt;R30))&gt;0)),0)</f>
        <v/>
      </c>
      <c r="T30" s="5">
        <f>IF(mos_metrics!H29="","",mos_metrics!H29)</f>
        <v/>
      </c>
      <c r="U30" s="2">
        <f>AND($J30,ISNUMBER(T30),correlation!$I$27=1)</f>
        <v/>
      </c>
      <c r="V30" s="5">
        <f>IF(U30,$F30,"")</f>
        <v/>
      </c>
      <c r="W30" s="5">
        <f>IF(U30,T30*correlation!$J$27,"")</f>
        <v/>
      </c>
      <c r="X30" s="5">
        <f>IF(AND(U30,ISNUMBER(correlation!$F$27)),W30*correlation!$F$27+correlation!$G$27,"")</f>
        <v/>
      </c>
      <c r="Y30" s="5">
        <f>IF(AND(U30,ISNUMBER(X30)),(V30-X30)^2,"")</f>
        <v/>
      </c>
      <c r="Z30" s="5">
        <f>IF(U30,1+SUMPRODUCT(--(calc!$U$3:$U$67=TRUE),--(calc!$V$3:$V$67&gt;V30))+(SUMPRODUCT(--(calc!$U$3:$U$67=TRUE),--(calc!$V$3:$V$67=V30))-1)/2,"")</f>
        <v/>
      </c>
      <c r="AA30" s="5">
        <f>IF(U30,1+SUMPRODUCT(--(calc!$U$3:$U$67=TRUE),--(calc!$W$3:$W$67&gt;W30))+(SUMPRODUCT(--(calc!$U$3:$U$67=TRUE),--(calc!$W$3:$W$67=W30))-1)/2,"")</f>
        <v/>
      </c>
      <c r="AB30" s="5">
        <f>IF(U30,SUMPRODUCT(--(calc!$U$3:$U$67=TRUE),--(ROW(calc!$U$3:$U$67)&gt;ROW(U30)),--(((calc!$Z$3:$Z$67&gt;Z30)*(calc!$AA$3:$AA$67&gt;AA30)+(calc!$Z$3:$Z$67&lt;Z30)*(calc!$AA$3:$AA$67&lt;AA30))&gt;0))-SUMPRODUCT(--(calc!$U$3:$U$67=TRUE),--(ROW(calc!$U$3:$U$67)&gt;ROW(U30)),--(((calc!$Z$3:$Z$67&gt;Z30)*(calc!$AA$3:$AA$67&lt;AA30)+(calc!$Z$3:$Z$67&lt;Z30)*(calc!$AA$3:$AA$67&gt;AA30))&gt;0)),0)</f>
        <v/>
      </c>
      <c r="AC30" s="5">
        <f>IF(mos_metrics!I29="","",mos_metrics!I29)</f>
        <v/>
      </c>
      <c r="AD30" s="2">
        <f>AND($J30,ISNUMBER(AC30),correlation!$I$28=1)</f>
        <v/>
      </c>
      <c r="AE30" s="5">
        <f>IF(AD30,$F30,"")</f>
        <v/>
      </c>
      <c r="AF30" s="5">
        <f>IF(AD30,AC30*correlation!$J$28,"")</f>
        <v/>
      </c>
      <c r="AG30" s="5">
        <f>IF(AND(AD30,ISNUMBER(correlation!$F$28)),AF30*correlation!$F$28+correlation!$G$28,"")</f>
        <v/>
      </c>
      <c r="AH30" s="5">
        <f>IF(AND(AD30,ISNUMBER(AG30)),(AE30-AG30)^2,"")</f>
        <v/>
      </c>
      <c r="AI30" s="5">
        <f>IF(AD30,1+SUMPRODUCT(--(calc!$AD$3:$AD$67=TRUE),--(calc!$AE$3:$AE$67&gt;AE30))+(SUMPRODUCT(--(calc!$AD$3:$AD$67=TRUE),--(calc!$AE$3:$AE$67=AE30))-1)/2,"")</f>
        <v/>
      </c>
      <c r="AJ30" s="5">
        <f>IF(AD30,1+SUMPRODUCT(--(calc!$AD$3:$AD$67=TRUE),--(calc!$AF$3:$AF$67&gt;AF30))+(SUMPRODUCT(--(calc!$AD$3:$AD$67=TRUE),--(calc!$AF$3:$AF$67=AF30))-1)/2,"")</f>
        <v/>
      </c>
      <c r="AK30" s="5">
        <f>IF(AD30,SUMPRODUCT(--(calc!$AD$3:$AD$67=TRUE),--(ROW(calc!$AD$3:$AD$67)&gt;ROW(AD30)),--(((calc!$AI$3:$AI$67&gt;AI30)*(calc!$AJ$3:$AJ$67&gt;AJ30)+(calc!$AI$3:$AI$67&lt;AI30)*(calc!$AJ$3:$AJ$67&lt;AJ30))&gt;0))-SUMPRODUCT(--(calc!$AD$3:$AD$67=TRUE),--(ROW(calc!$AD$3:$AD$67)&gt;ROW(AD30)),--(((calc!$AI$3:$AI$67&gt;AI30)*(calc!$AJ$3:$AJ$67&lt;AJ30)+(calc!$AI$3:$AI$67&lt;AI30)*(calc!$AJ$3:$AJ$67&gt;AJ30))&gt;0)),0)</f>
        <v/>
      </c>
      <c r="AL30" s="5">
        <f>IF(mos_metrics!J29="","",mos_metrics!J29)</f>
        <v/>
      </c>
      <c r="AM30" s="2">
        <f>AND($J30,ISNUMBER(AL30),correlation!$I$29=1)</f>
        <v/>
      </c>
      <c r="AN30" s="5">
        <f>IF(AM30,$F30,"")</f>
        <v/>
      </c>
      <c r="AO30" s="5">
        <f>IF(AM30,AL30*correlation!$J$29,"")</f>
        <v/>
      </c>
      <c r="AP30" s="5">
        <f>IF(AND(AM30,ISNUMBER(correlation!$F$29)),AO30*correlation!$F$29+correlation!$G$29,"")</f>
        <v/>
      </c>
      <c r="AQ30" s="5">
        <f>IF(AND(AM30,ISNUMBER(AP30)),(AN30-AP30)^2,"")</f>
        <v/>
      </c>
      <c r="AR30" s="5">
        <f>IF(AM30,1+SUMPRODUCT(--(calc!$AM$3:$AM$67=TRUE),--(calc!$AN$3:$AN$67&gt;AN30))+(SUMPRODUCT(--(calc!$AM$3:$AM$67=TRUE),--(calc!$AN$3:$AN$67=AN30))-1)/2,"")</f>
        <v/>
      </c>
      <c r="AS30" s="5">
        <f>IF(AM30,1+SUMPRODUCT(--(calc!$AM$3:$AM$67=TRUE),--(calc!$AO$3:$AO$67&gt;AO30))+(SUMPRODUCT(--(calc!$AM$3:$AM$67=TRUE),--(calc!$AO$3:$AO$67=AO30))-1)/2,"")</f>
        <v/>
      </c>
      <c r="AT30" s="5">
        <f>IF(AM30,SUMPRODUCT(--(calc!$AM$3:$AM$67=TRUE),--(ROW(calc!$AM$3:$AM$67)&gt;ROW(AM30)),--(((calc!$AR$3:$AR$67&gt;AR30)*(calc!$AS$3:$AS$67&gt;AS30)+(calc!$AR$3:$AR$67&lt;AR30)*(calc!$AS$3:$AS$67&lt;AS30))&gt;0))-SUMPRODUCT(--(calc!$AM$3:$AM$67=TRUE),--(ROW(calc!$AM$3:$AM$67)&gt;ROW(AM30)),--(((calc!$AR$3:$AR$67&gt;AR30)*(calc!$AS$3:$AS$67&lt;AS30)+(calc!$AR$3:$AR$67&lt;AR30)*(calc!$AS$3:$AS$67&gt;AS30))&gt;0)),0)</f>
        <v/>
      </c>
      <c r="AU30" s="5">
        <f>IF(mos_metrics!K29="","",mos_metrics!K29)</f>
        <v/>
      </c>
      <c r="AV30" s="2">
        <f>AND($J30,ISNUMBER(AU30),correlation!$I$30=1)</f>
        <v/>
      </c>
      <c r="AW30" s="5">
        <f>IF(AV30,$F30,"")</f>
        <v/>
      </c>
      <c r="AX30" s="5">
        <f>IF(AV30,AU30*correlation!$J$30,"")</f>
        <v/>
      </c>
      <c r="AY30" s="5">
        <f>IF(AND(AV30,ISNUMBER(correlation!$F$30)),AX30*correlation!$F$30+correlation!$G$30,"")</f>
        <v/>
      </c>
      <c r="AZ30" s="5">
        <f>IF(AND(AV30,ISNUMBER(AY30)),(AW30-AY30)^2,"")</f>
        <v/>
      </c>
      <c r="BA30" s="5">
        <f>IF(AV30,1+SUMPRODUCT(--(calc!$AV$3:$AV$67=TRUE),--(calc!$AW$3:$AW$67&gt;AW30))+(SUMPRODUCT(--(calc!$AV$3:$AV$67=TRUE),--(calc!$AW$3:$AW$67=AW30))-1)/2,"")</f>
        <v/>
      </c>
      <c r="BB30" s="5">
        <f>IF(AV30,1+SUMPRODUCT(--(calc!$AV$3:$AV$67=TRUE),--(calc!$AX$3:$AX$67&gt;AX30))+(SUMPRODUCT(--(calc!$AV$3:$AV$67=TRUE),--(calc!$AX$3:$AX$67=AX30))-1)/2,"")</f>
        <v/>
      </c>
      <c r="BC30" s="5">
        <f>IF(AV30,SUMPRODUCT(--(calc!$AV$3:$AV$67=TRUE),--(ROW(calc!$AV$3:$AV$67)&gt;ROW(AV30)),--(((calc!$BA$3:$BA$67&gt;BA30)*(calc!$BB$3:$BB$67&gt;BB30)+(calc!$BA$3:$BA$67&lt;BA30)*(calc!$BB$3:$BB$67&lt;BB30))&gt;0))-SUMPRODUCT(--(calc!$AV$3:$AV$67=TRUE),--(ROW(calc!$AV$3:$AV$67)&gt;ROW(AV30)),--(((calc!$BA$3:$BA$67&gt;BA30)*(calc!$BB$3:$BB$67&lt;BB30)+(calc!$BA$3:$BA$67&lt;BA30)*(calc!$BB$3:$BB$67&gt;BB30))&gt;0)),0)</f>
        <v/>
      </c>
      <c r="BD30" s="5">
        <f>IF(mos_metrics!L29="","",mos_metrics!L29)</f>
        <v/>
      </c>
      <c r="BE30" s="2">
        <f>AND($J30,ISNUMBER(BD30),correlation!$I$31=1)</f>
        <v/>
      </c>
      <c r="BF30" s="5">
        <f>IF(BE30,$F30,"")</f>
        <v/>
      </c>
      <c r="BG30" s="5">
        <f>IF(BE30,BD30*correlation!$J$31,"")</f>
        <v/>
      </c>
      <c r="BH30" s="5">
        <f>IF(AND(BE30,ISNUMBER(correlation!$F$31)),BG30*correlation!$F$31+correlation!$G$31,"")</f>
        <v/>
      </c>
      <c r="BI30" s="5">
        <f>IF(AND(BE30,ISNUMBER(BH30)),(BF30-BH30)^2,"")</f>
        <v/>
      </c>
      <c r="BJ30" s="5">
        <f>IF(BE30,1+SUMPRODUCT(--(calc!$BE$3:$BE$67=TRUE),--(calc!$BF$3:$BF$67&gt;BF30))+(SUMPRODUCT(--(calc!$BE$3:$BE$67=TRUE),--(calc!$BF$3:$BF$67=BF30))-1)/2,"")</f>
        <v/>
      </c>
      <c r="BK30" s="5">
        <f>IF(BE30,1+SUMPRODUCT(--(calc!$BE$3:$BE$67=TRUE),--(calc!$BG$3:$BG$67&gt;BG30))+(SUMPRODUCT(--(calc!$BE$3:$BE$67=TRUE),--(calc!$BG$3:$BG$67=BG30))-1)/2,"")</f>
        <v/>
      </c>
      <c r="BL30" s="5">
        <f>IF(BE30,SUMPRODUCT(--(calc!$BE$3:$BE$67=TRUE),--(ROW(calc!$BE$3:$BE$67)&gt;ROW(BE30)),--(((calc!$BJ$3:$BJ$67&gt;BJ30)*(calc!$BK$3:$BK$67&gt;BK30)+(calc!$BJ$3:$BJ$67&lt;BJ30)*(calc!$BK$3:$BK$67&lt;BK30))&gt;0))-SUMPRODUCT(--(calc!$BE$3:$BE$67=TRUE),--(ROW(calc!$BE$3:$BE$67)&gt;ROW(BE30)),--(((calc!$BJ$3:$BJ$67&gt;BJ30)*(calc!$BK$3:$BK$67&lt;BK30)+(calc!$BJ$3:$BJ$67&lt;BJ30)*(calc!$BK$3:$BK$67&gt;BK30))&gt;0)),0)</f>
        <v/>
      </c>
      <c r="BM30" s="5">
        <f>IF(mos_metrics!M29="","",mos_metrics!M29)</f>
        <v/>
      </c>
      <c r="BN30" s="2">
        <f>AND($J30,ISNUMBER(BM30),correlation!$I$32=1)</f>
        <v/>
      </c>
      <c r="BO30" s="5">
        <f>IF(BN30,$F30,"")</f>
        <v/>
      </c>
      <c r="BP30" s="5">
        <f>IF(BN30,BM30*correlation!$J$32,"")</f>
        <v/>
      </c>
      <c r="BQ30" s="5">
        <f>IF(AND(BN30,ISNUMBER(correlation!$F$32)),BP30*correlation!$F$32+correlation!$G$32,"")</f>
        <v/>
      </c>
      <c r="BR30" s="5">
        <f>IF(AND(BN30,ISNUMBER(BQ30)),(BO30-BQ30)^2,"")</f>
        <v/>
      </c>
      <c r="BS30" s="5">
        <f>IF(BN30,1+SUMPRODUCT(--(calc!$BN$3:$BN$67=TRUE),--(calc!$BO$3:$BO$67&gt;BO30))+(SUMPRODUCT(--(calc!$BN$3:$BN$67=TRUE),--(calc!$BO$3:$BO$67=BO30))-1)/2,"")</f>
        <v/>
      </c>
      <c r="BT30" s="5">
        <f>IF(BN30,1+SUMPRODUCT(--(calc!$BN$3:$BN$67=TRUE),--(calc!$BP$3:$BP$67&gt;BP30))+(SUMPRODUCT(--(calc!$BN$3:$BN$67=TRUE),--(calc!$BP$3:$BP$67=BP30))-1)/2,"")</f>
        <v/>
      </c>
      <c r="BU30" s="5">
        <f>IF(BN30,SUMPRODUCT(--(calc!$BN$3:$BN$67=TRUE),--(ROW(calc!$BN$3:$BN$67)&gt;ROW(BN30)),--(((calc!$BS$3:$BS$67&gt;BS30)*(calc!$BT$3:$BT$67&gt;BT30)+(calc!$BS$3:$BS$67&lt;BS30)*(calc!$BT$3:$BT$67&lt;BT30))&gt;0))-SUMPRODUCT(--(calc!$BN$3:$BN$67=TRUE),--(ROW(calc!$BN$3:$BN$67)&gt;ROW(BN30)),--(((calc!$BS$3:$BS$67&gt;BS30)*(calc!$BT$3:$BT$67&lt;BT30)+(calc!$BS$3:$BS$67&lt;BS30)*(calc!$BT$3:$BT$67&gt;BT30))&gt;0)),0)</f>
        <v/>
      </c>
    </row>
    <row r="31">
      <c r="A31" s="2">
        <f>mos_metrics!A30</f>
        <v/>
      </c>
      <c r="B31" s="2">
        <f>mos_metrics!B30</f>
        <v/>
      </c>
      <c r="C31" s="2">
        <f>mos_metrics!C30</f>
        <v/>
      </c>
      <c r="D31" s="2">
        <f>mos_metrics!D30</f>
        <v/>
      </c>
      <c r="E31" s="2">
        <f>mos_metrics!E30</f>
        <v/>
      </c>
      <c r="F31" s="2">
        <f>mos_metrics!F30</f>
        <v/>
      </c>
      <c r="G31" s="2">
        <f>IF($B31="","",IFERROR(VLOOKUP($B31,correlation!$A$2:$B$6,2,FALSE),1))</f>
        <v/>
      </c>
      <c r="H31" s="2">
        <f>IF($E31="","",IFERROR(VLOOKUP($E31,correlation!$D$2:$E$8,2,FALSE),1))</f>
        <v/>
      </c>
      <c r="I31" s="2">
        <f>ISNUMBER($F31)</f>
        <v/>
      </c>
      <c r="J31" s="2">
        <f>AND($G31=1,$H31=1,$I31)</f>
        <v/>
      </c>
      <c r="K31" s="5">
        <f>IF(mos_metrics!G30="","",mos_metrics!G30)</f>
        <v/>
      </c>
      <c r="L31" s="2">
        <f>AND($J31,ISNUMBER(K31),correlation!$I$26=1)</f>
        <v/>
      </c>
      <c r="M31" s="5">
        <f>IF(L31,$F31,"")</f>
        <v/>
      </c>
      <c r="N31" s="5">
        <f>IF(L31,K31*correlation!$J$26,"")</f>
        <v/>
      </c>
      <c r="O31" s="5">
        <f>IF(AND(L31,ISNUMBER(correlation!$F$26)),N31*correlation!$F$26+correlation!$G$26,"")</f>
        <v/>
      </c>
      <c r="P31" s="5">
        <f>IF(AND(L31,ISNUMBER(O31)),(M31-O31)^2,"")</f>
        <v/>
      </c>
      <c r="Q31" s="5">
        <f>IF(L31,1+SUMPRODUCT(--(calc!$L$3:$L$67=TRUE),--(calc!$M$3:$M$67&gt;M31))+(SUMPRODUCT(--(calc!$L$3:$L$67=TRUE),--(calc!$M$3:$M$67=M31))-1)/2,"")</f>
        <v/>
      </c>
      <c r="R31" s="5">
        <f>IF(L31,1+SUMPRODUCT(--(calc!$L$3:$L$67=TRUE),--(calc!$N$3:$N$67&gt;N31))+(SUMPRODUCT(--(calc!$L$3:$L$67=TRUE),--(calc!$N$3:$N$67=N31))-1)/2,"")</f>
        <v/>
      </c>
      <c r="S31" s="5">
        <f>IF(L31,SUMPRODUCT(--(calc!$L$3:$L$67=TRUE),--(ROW(calc!$L$3:$L$67)&gt;ROW(L31)),--(((calc!$Q$3:$Q$67&gt;Q31)*(calc!$R$3:$R$67&gt;R31)+(calc!$Q$3:$Q$67&lt;Q31)*(calc!$R$3:$R$67&lt;R31))&gt;0))-SUMPRODUCT(--(calc!$L$3:$L$67=TRUE),--(ROW(calc!$L$3:$L$67)&gt;ROW(L31)),--(((calc!$Q$3:$Q$67&gt;Q31)*(calc!$R$3:$R$67&lt;R31)+(calc!$Q$3:$Q$67&lt;Q31)*(calc!$R$3:$R$67&gt;R31))&gt;0)),0)</f>
        <v/>
      </c>
      <c r="T31" s="5">
        <f>IF(mos_metrics!H30="","",mos_metrics!H30)</f>
        <v/>
      </c>
      <c r="U31" s="2">
        <f>AND($J31,ISNUMBER(T31),correlation!$I$27=1)</f>
        <v/>
      </c>
      <c r="V31" s="5">
        <f>IF(U31,$F31,"")</f>
        <v/>
      </c>
      <c r="W31" s="5">
        <f>IF(U31,T31*correlation!$J$27,"")</f>
        <v/>
      </c>
      <c r="X31" s="5">
        <f>IF(AND(U31,ISNUMBER(correlation!$F$27)),W31*correlation!$F$27+correlation!$G$27,"")</f>
        <v/>
      </c>
      <c r="Y31" s="5">
        <f>IF(AND(U31,ISNUMBER(X31)),(V31-X31)^2,"")</f>
        <v/>
      </c>
      <c r="Z31" s="5">
        <f>IF(U31,1+SUMPRODUCT(--(calc!$U$3:$U$67=TRUE),--(calc!$V$3:$V$67&gt;V31))+(SUMPRODUCT(--(calc!$U$3:$U$67=TRUE),--(calc!$V$3:$V$67=V31))-1)/2,"")</f>
        <v/>
      </c>
      <c r="AA31" s="5">
        <f>IF(U31,1+SUMPRODUCT(--(calc!$U$3:$U$67=TRUE),--(calc!$W$3:$W$67&gt;W31))+(SUMPRODUCT(--(calc!$U$3:$U$67=TRUE),--(calc!$W$3:$W$67=W31))-1)/2,"")</f>
        <v/>
      </c>
      <c r="AB31" s="5">
        <f>IF(U31,SUMPRODUCT(--(calc!$U$3:$U$67=TRUE),--(ROW(calc!$U$3:$U$67)&gt;ROW(U31)),--(((calc!$Z$3:$Z$67&gt;Z31)*(calc!$AA$3:$AA$67&gt;AA31)+(calc!$Z$3:$Z$67&lt;Z31)*(calc!$AA$3:$AA$67&lt;AA31))&gt;0))-SUMPRODUCT(--(calc!$U$3:$U$67=TRUE),--(ROW(calc!$U$3:$U$67)&gt;ROW(U31)),--(((calc!$Z$3:$Z$67&gt;Z31)*(calc!$AA$3:$AA$67&lt;AA31)+(calc!$Z$3:$Z$67&lt;Z31)*(calc!$AA$3:$AA$67&gt;AA31))&gt;0)),0)</f>
        <v/>
      </c>
      <c r="AC31" s="5">
        <f>IF(mos_metrics!I30="","",mos_metrics!I30)</f>
        <v/>
      </c>
      <c r="AD31" s="2">
        <f>AND($J31,ISNUMBER(AC31),correlation!$I$28=1)</f>
        <v/>
      </c>
      <c r="AE31" s="5">
        <f>IF(AD31,$F31,"")</f>
        <v/>
      </c>
      <c r="AF31" s="5">
        <f>IF(AD31,AC31*correlation!$J$28,"")</f>
        <v/>
      </c>
      <c r="AG31" s="5">
        <f>IF(AND(AD31,ISNUMBER(correlation!$F$28)),AF31*correlation!$F$28+correlation!$G$28,"")</f>
        <v/>
      </c>
      <c r="AH31" s="5">
        <f>IF(AND(AD31,ISNUMBER(AG31)),(AE31-AG31)^2,"")</f>
        <v/>
      </c>
      <c r="AI31" s="5">
        <f>IF(AD31,1+SUMPRODUCT(--(calc!$AD$3:$AD$67=TRUE),--(calc!$AE$3:$AE$67&gt;AE31))+(SUMPRODUCT(--(calc!$AD$3:$AD$67=TRUE),--(calc!$AE$3:$AE$67=AE31))-1)/2,"")</f>
        <v/>
      </c>
      <c r="AJ31" s="5">
        <f>IF(AD31,1+SUMPRODUCT(--(calc!$AD$3:$AD$67=TRUE),--(calc!$AF$3:$AF$67&gt;AF31))+(SUMPRODUCT(--(calc!$AD$3:$AD$67=TRUE),--(calc!$AF$3:$AF$67=AF31))-1)/2,"")</f>
        <v/>
      </c>
      <c r="AK31" s="5">
        <f>IF(AD31,SUMPRODUCT(--(calc!$AD$3:$AD$67=TRUE),--(ROW(calc!$AD$3:$AD$67)&gt;ROW(AD31)),--(((calc!$AI$3:$AI$67&gt;AI31)*(calc!$AJ$3:$AJ$67&gt;AJ31)+(calc!$AI$3:$AI$67&lt;AI31)*(calc!$AJ$3:$AJ$67&lt;AJ31))&gt;0))-SUMPRODUCT(--(calc!$AD$3:$AD$67=TRUE),--(ROW(calc!$AD$3:$AD$67)&gt;ROW(AD31)),--(((calc!$AI$3:$AI$67&gt;AI31)*(calc!$AJ$3:$AJ$67&lt;AJ31)+(calc!$AI$3:$AI$67&lt;AI31)*(calc!$AJ$3:$AJ$67&gt;AJ31))&gt;0)),0)</f>
        <v/>
      </c>
      <c r="AL31" s="5">
        <f>IF(mos_metrics!J30="","",mos_metrics!J30)</f>
        <v/>
      </c>
      <c r="AM31" s="2">
        <f>AND($J31,ISNUMBER(AL31),correlation!$I$29=1)</f>
        <v/>
      </c>
      <c r="AN31" s="5">
        <f>IF(AM31,$F31,"")</f>
        <v/>
      </c>
      <c r="AO31" s="5">
        <f>IF(AM31,AL31*correlation!$J$29,"")</f>
        <v/>
      </c>
      <c r="AP31" s="5">
        <f>IF(AND(AM31,ISNUMBER(correlation!$F$29)),AO31*correlation!$F$29+correlation!$G$29,"")</f>
        <v/>
      </c>
      <c r="AQ31" s="5">
        <f>IF(AND(AM31,ISNUMBER(AP31)),(AN31-AP31)^2,"")</f>
        <v/>
      </c>
      <c r="AR31" s="5">
        <f>IF(AM31,1+SUMPRODUCT(--(calc!$AM$3:$AM$67=TRUE),--(calc!$AN$3:$AN$67&gt;AN31))+(SUMPRODUCT(--(calc!$AM$3:$AM$67=TRUE),--(calc!$AN$3:$AN$67=AN31))-1)/2,"")</f>
        <v/>
      </c>
      <c r="AS31" s="5">
        <f>IF(AM31,1+SUMPRODUCT(--(calc!$AM$3:$AM$67=TRUE),--(calc!$AO$3:$AO$67&gt;AO31))+(SUMPRODUCT(--(calc!$AM$3:$AM$67=TRUE),--(calc!$AO$3:$AO$67=AO31))-1)/2,"")</f>
        <v/>
      </c>
      <c r="AT31" s="5">
        <f>IF(AM31,SUMPRODUCT(--(calc!$AM$3:$AM$67=TRUE),--(ROW(calc!$AM$3:$AM$67)&gt;ROW(AM31)),--(((calc!$AR$3:$AR$67&gt;AR31)*(calc!$AS$3:$AS$67&gt;AS31)+(calc!$AR$3:$AR$67&lt;AR31)*(calc!$AS$3:$AS$67&lt;AS31))&gt;0))-SUMPRODUCT(--(calc!$AM$3:$AM$67=TRUE),--(ROW(calc!$AM$3:$AM$67)&gt;ROW(AM31)),--(((calc!$AR$3:$AR$67&gt;AR31)*(calc!$AS$3:$AS$67&lt;AS31)+(calc!$AR$3:$AR$67&lt;AR31)*(calc!$AS$3:$AS$67&gt;AS31))&gt;0)),0)</f>
        <v/>
      </c>
      <c r="AU31" s="5">
        <f>IF(mos_metrics!K30="","",mos_metrics!K30)</f>
        <v/>
      </c>
      <c r="AV31" s="2">
        <f>AND($J31,ISNUMBER(AU31),correlation!$I$30=1)</f>
        <v/>
      </c>
      <c r="AW31" s="5">
        <f>IF(AV31,$F31,"")</f>
        <v/>
      </c>
      <c r="AX31" s="5">
        <f>IF(AV31,AU31*correlation!$J$30,"")</f>
        <v/>
      </c>
      <c r="AY31" s="5">
        <f>IF(AND(AV31,ISNUMBER(correlation!$F$30)),AX31*correlation!$F$30+correlation!$G$30,"")</f>
        <v/>
      </c>
      <c r="AZ31" s="5">
        <f>IF(AND(AV31,ISNUMBER(AY31)),(AW31-AY31)^2,"")</f>
        <v/>
      </c>
      <c r="BA31" s="5">
        <f>IF(AV31,1+SUMPRODUCT(--(calc!$AV$3:$AV$67=TRUE),--(calc!$AW$3:$AW$67&gt;AW31))+(SUMPRODUCT(--(calc!$AV$3:$AV$67=TRUE),--(calc!$AW$3:$AW$67=AW31))-1)/2,"")</f>
        <v/>
      </c>
      <c r="BB31" s="5">
        <f>IF(AV31,1+SUMPRODUCT(--(calc!$AV$3:$AV$67=TRUE),--(calc!$AX$3:$AX$67&gt;AX31))+(SUMPRODUCT(--(calc!$AV$3:$AV$67=TRUE),--(calc!$AX$3:$AX$67=AX31))-1)/2,"")</f>
        <v/>
      </c>
      <c r="BC31" s="5">
        <f>IF(AV31,SUMPRODUCT(--(calc!$AV$3:$AV$67=TRUE),--(ROW(calc!$AV$3:$AV$67)&gt;ROW(AV31)),--(((calc!$BA$3:$BA$67&gt;BA31)*(calc!$BB$3:$BB$67&gt;BB31)+(calc!$BA$3:$BA$67&lt;BA31)*(calc!$BB$3:$BB$67&lt;BB31))&gt;0))-SUMPRODUCT(--(calc!$AV$3:$AV$67=TRUE),--(ROW(calc!$AV$3:$AV$67)&gt;ROW(AV31)),--(((calc!$BA$3:$BA$67&gt;BA31)*(calc!$BB$3:$BB$67&lt;BB31)+(calc!$BA$3:$BA$67&lt;BA31)*(calc!$BB$3:$BB$67&gt;BB31))&gt;0)),0)</f>
        <v/>
      </c>
      <c r="BD31" s="5">
        <f>IF(mos_metrics!L30="","",mos_metrics!L30)</f>
        <v/>
      </c>
      <c r="BE31" s="2">
        <f>AND($J31,ISNUMBER(BD31),correlation!$I$31=1)</f>
        <v/>
      </c>
      <c r="BF31" s="5">
        <f>IF(BE31,$F31,"")</f>
        <v/>
      </c>
      <c r="BG31" s="5">
        <f>IF(BE31,BD31*correlation!$J$31,"")</f>
        <v/>
      </c>
      <c r="BH31" s="5">
        <f>IF(AND(BE31,ISNUMBER(correlation!$F$31)),BG31*correlation!$F$31+correlation!$G$31,"")</f>
        <v/>
      </c>
      <c r="BI31" s="5">
        <f>IF(AND(BE31,ISNUMBER(BH31)),(BF31-BH31)^2,"")</f>
        <v/>
      </c>
      <c r="BJ31" s="5">
        <f>IF(BE31,1+SUMPRODUCT(--(calc!$BE$3:$BE$67=TRUE),--(calc!$BF$3:$BF$67&gt;BF31))+(SUMPRODUCT(--(calc!$BE$3:$BE$67=TRUE),--(calc!$BF$3:$BF$67=BF31))-1)/2,"")</f>
        <v/>
      </c>
      <c r="BK31" s="5">
        <f>IF(BE31,1+SUMPRODUCT(--(calc!$BE$3:$BE$67=TRUE),--(calc!$BG$3:$BG$67&gt;BG31))+(SUMPRODUCT(--(calc!$BE$3:$BE$67=TRUE),--(calc!$BG$3:$BG$67=BG31))-1)/2,"")</f>
        <v/>
      </c>
      <c r="BL31" s="5">
        <f>IF(BE31,SUMPRODUCT(--(calc!$BE$3:$BE$67=TRUE),--(ROW(calc!$BE$3:$BE$67)&gt;ROW(BE31)),--(((calc!$BJ$3:$BJ$67&gt;BJ31)*(calc!$BK$3:$BK$67&gt;BK31)+(calc!$BJ$3:$BJ$67&lt;BJ31)*(calc!$BK$3:$BK$67&lt;BK31))&gt;0))-SUMPRODUCT(--(calc!$BE$3:$BE$67=TRUE),--(ROW(calc!$BE$3:$BE$67)&gt;ROW(BE31)),--(((calc!$BJ$3:$BJ$67&gt;BJ31)*(calc!$BK$3:$BK$67&lt;BK31)+(calc!$BJ$3:$BJ$67&lt;BJ31)*(calc!$BK$3:$BK$67&gt;BK31))&gt;0)),0)</f>
        <v/>
      </c>
      <c r="BM31" s="5">
        <f>IF(mos_metrics!M30="","",mos_metrics!M30)</f>
        <v/>
      </c>
      <c r="BN31" s="2">
        <f>AND($J31,ISNUMBER(BM31),correlation!$I$32=1)</f>
        <v/>
      </c>
      <c r="BO31" s="5">
        <f>IF(BN31,$F31,"")</f>
        <v/>
      </c>
      <c r="BP31" s="5">
        <f>IF(BN31,BM31*correlation!$J$32,"")</f>
        <v/>
      </c>
      <c r="BQ31" s="5">
        <f>IF(AND(BN31,ISNUMBER(correlation!$F$32)),BP31*correlation!$F$32+correlation!$G$32,"")</f>
        <v/>
      </c>
      <c r="BR31" s="5">
        <f>IF(AND(BN31,ISNUMBER(BQ31)),(BO31-BQ31)^2,"")</f>
        <v/>
      </c>
      <c r="BS31" s="5">
        <f>IF(BN31,1+SUMPRODUCT(--(calc!$BN$3:$BN$67=TRUE),--(calc!$BO$3:$BO$67&gt;BO31))+(SUMPRODUCT(--(calc!$BN$3:$BN$67=TRUE),--(calc!$BO$3:$BO$67=BO31))-1)/2,"")</f>
        <v/>
      </c>
      <c r="BT31" s="5">
        <f>IF(BN31,1+SUMPRODUCT(--(calc!$BN$3:$BN$67=TRUE),--(calc!$BP$3:$BP$67&gt;BP31))+(SUMPRODUCT(--(calc!$BN$3:$BN$67=TRUE),--(calc!$BP$3:$BP$67=BP31))-1)/2,"")</f>
        <v/>
      </c>
      <c r="BU31" s="5">
        <f>IF(BN31,SUMPRODUCT(--(calc!$BN$3:$BN$67=TRUE),--(ROW(calc!$BN$3:$BN$67)&gt;ROW(BN31)),--(((calc!$BS$3:$BS$67&gt;BS31)*(calc!$BT$3:$BT$67&gt;BT31)+(calc!$BS$3:$BS$67&lt;BS31)*(calc!$BT$3:$BT$67&lt;BT31))&gt;0))-SUMPRODUCT(--(calc!$BN$3:$BN$67=TRUE),--(ROW(calc!$BN$3:$BN$67)&gt;ROW(BN31)),--(((calc!$BS$3:$BS$67&gt;BS31)*(calc!$BT$3:$BT$67&lt;BT31)+(calc!$BS$3:$BS$67&lt;BS31)*(calc!$BT$3:$BT$67&gt;BT31))&gt;0)),0)</f>
        <v/>
      </c>
    </row>
    <row r="32">
      <c r="A32" s="2">
        <f>mos_metrics!A31</f>
        <v/>
      </c>
      <c r="B32" s="2">
        <f>mos_metrics!B31</f>
        <v/>
      </c>
      <c r="C32" s="2">
        <f>mos_metrics!C31</f>
        <v/>
      </c>
      <c r="D32" s="2">
        <f>mos_metrics!D31</f>
        <v/>
      </c>
      <c r="E32" s="2">
        <f>mos_metrics!E31</f>
        <v/>
      </c>
      <c r="F32" s="2">
        <f>mos_metrics!F31</f>
        <v/>
      </c>
      <c r="G32" s="2">
        <f>IF($B32="","",IFERROR(VLOOKUP($B32,correlation!$A$2:$B$6,2,FALSE),1))</f>
        <v/>
      </c>
      <c r="H32" s="2">
        <f>IF($E32="","",IFERROR(VLOOKUP($E32,correlation!$D$2:$E$8,2,FALSE),1))</f>
        <v/>
      </c>
      <c r="I32" s="2">
        <f>ISNUMBER($F32)</f>
        <v/>
      </c>
      <c r="J32" s="2">
        <f>AND($G32=1,$H32=1,$I32)</f>
        <v/>
      </c>
      <c r="K32" s="5">
        <f>IF(mos_metrics!G31="","",mos_metrics!G31)</f>
        <v/>
      </c>
      <c r="L32" s="2">
        <f>AND($J32,ISNUMBER(K32),correlation!$I$26=1)</f>
        <v/>
      </c>
      <c r="M32" s="5">
        <f>IF(L32,$F32,"")</f>
        <v/>
      </c>
      <c r="N32" s="5">
        <f>IF(L32,K32*correlation!$J$26,"")</f>
        <v/>
      </c>
      <c r="O32" s="5">
        <f>IF(AND(L32,ISNUMBER(correlation!$F$26)),N32*correlation!$F$26+correlation!$G$26,"")</f>
        <v/>
      </c>
      <c r="P32" s="5">
        <f>IF(AND(L32,ISNUMBER(O32)),(M32-O32)^2,"")</f>
        <v/>
      </c>
      <c r="Q32" s="5">
        <f>IF(L32,1+SUMPRODUCT(--(calc!$L$3:$L$67=TRUE),--(calc!$M$3:$M$67&gt;M32))+(SUMPRODUCT(--(calc!$L$3:$L$67=TRUE),--(calc!$M$3:$M$67=M32))-1)/2,"")</f>
        <v/>
      </c>
      <c r="R32" s="5">
        <f>IF(L32,1+SUMPRODUCT(--(calc!$L$3:$L$67=TRUE),--(calc!$N$3:$N$67&gt;N32))+(SUMPRODUCT(--(calc!$L$3:$L$67=TRUE),--(calc!$N$3:$N$67=N32))-1)/2,"")</f>
        <v/>
      </c>
      <c r="S32" s="5">
        <f>IF(L32,SUMPRODUCT(--(calc!$L$3:$L$67=TRUE),--(ROW(calc!$L$3:$L$67)&gt;ROW(L32)),--(((calc!$Q$3:$Q$67&gt;Q32)*(calc!$R$3:$R$67&gt;R32)+(calc!$Q$3:$Q$67&lt;Q32)*(calc!$R$3:$R$67&lt;R32))&gt;0))-SUMPRODUCT(--(calc!$L$3:$L$67=TRUE),--(ROW(calc!$L$3:$L$67)&gt;ROW(L32)),--(((calc!$Q$3:$Q$67&gt;Q32)*(calc!$R$3:$R$67&lt;R32)+(calc!$Q$3:$Q$67&lt;Q32)*(calc!$R$3:$R$67&gt;R32))&gt;0)),0)</f>
        <v/>
      </c>
      <c r="T32" s="5">
        <f>IF(mos_metrics!H31="","",mos_metrics!H31)</f>
        <v/>
      </c>
      <c r="U32" s="2">
        <f>AND($J32,ISNUMBER(T32),correlation!$I$27=1)</f>
        <v/>
      </c>
      <c r="V32" s="5">
        <f>IF(U32,$F32,"")</f>
        <v/>
      </c>
      <c r="W32" s="5">
        <f>IF(U32,T32*correlation!$J$27,"")</f>
        <v/>
      </c>
      <c r="X32" s="5">
        <f>IF(AND(U32,ISNUMBER(correlation!$F$27)),W32*correlation!$F$27+correlation!$G$27,"")</f>
        <v/>
      </c>
      <c r="Y32" s="5">
        <f>IF(AND(U32,ISNUMBER(X32)),(V32-X32)^2,"")</f>
        <v/>
      </c>
      <c r="Z32" s="5">
        <f>IF(U32,1+SUMPRODUCT(--(calc!$U$3:$U$67=TRUE),--(calc!$V$3:$V$67&gt;V32))+(SUMPRODUCT(--(calc!$U$3:$U$67=TRUE),--(calc!$V$3:$V$67=V32))-1)/2,"")</f>
        <v/>
      </c>
      <c r="AA32" s="5">
        <f>IF(U32,1+SUMPRODUCT(--(calc!$U$3:$U$67=TRUE),--(calc!$W$3:$W$67&gt;W32))+(SUMPRODUCT(--(calc!$U$3:$U$67=TRUE),--(calc!$W$3:$W$67=W32))-1)/2,"")</f>
        <v/>
      </c>
      <c r="AB32" s="5">
        <f>IF(U32,SUMPRODUCT(--(calc!$U$3:$U$67=TRUE),--(ROW(calc!$U$3:$U$67)&gt;ROW(U32)),--(((calc!$Z$3:$Z$67&gt;Z32)*(calc!$AA$3:$AA$67&gt;AA32)+(calc!$Z$3:$Z$67&lt;Z32)*(calc!$AA$3:$AA$67&lt;AA32))&gt;0))-SUMPRODUCT(--(calc!$U$3:$U$67=TRUE),--(ROW(calc!$U$3:$U$67)&gt;ROW(U32)),--(((calc!$Z$3:$Z$67&gt;Z32)*(calc!$AA$3:$AA$67&lt;AA32)+(calc!$Z$3:$Z$67&lt;Z32)*(calc!$AA$3:$AA$67&gt;AA32))&gt;0)),0)</f>
        <v/>
      </c>
      <c r="AC32" s="5">
        <f>IF(mos_metrics!I31="","",mos_metrics!I31)</f>
        <v/>
      </c>
      <c r="AD32" s="2">
        <f>AND($J32,ISNUMBER(AC32),correlation!$I$28=1)</f>
        <v/>
      </c>
      <c r="AE32" s="5">
        <f>IF(AD32,$F32,"")</f>
        <v/>
      </c>
      <c r="AF32" s="5">
        <f>IF(AD32,AC32*correlation!$J$28,"")</f>
        <v/>
      </c>
      <c r="AG32" s="5">
        <f>IF(AND(AD32,ISNUMBER(correlation!$F$28)),AF32*correlation!$F$28+correlation!$G$28,"")</f>
        <v/>
      </c>
      <c r="AH32" s="5">
        <f>IF(AND(AD32,ISNUMBER(AG32)),(AE32-AG32)^2,"")</f>
        <v/>
      </c>
      <c r="AI32" s="5">
        <f>IF(AD32,1+SUMPRODUCT(--(calc!$AD$3:$AD$67=TRUE),--(calc!$AE$3:$AE$67&gt;AE32))+(SUMPRODUCT(--(calc!$AD$3:$AD$67=TRUE),--(calc!$AE$3:$AE$67=AE32))-1)/2,"")</f>
        <v/>
      </c>
      <c r="AJ32" s="5">
        <f>IF(AD32,1+SUMPRODUCT(--(calc!$AD$3:$AD$67=TRUE),--(calc!$AF$3:$AF$67&gt;AF32))+(SUMPRODUCT(--(calc!$AD$3:$AD$67=TRUE),--(calc!$AF$3:$AF$67=AF32))-1)/2,"")</f>
        <v/>
      </c>
      <c r="AK32" s="5">
        <f>IF(AD32,SUMPRODUCT(--(calc!$AD$3:$AD$67=TRUE),--(ROW(calc!$AD$3:$AD$67)&gt;ROW(AD32)),--(((calc!$AI$3:$AI$67&gt;AI32)*(calc!$AJ$3:$AJ$67&gt;AJ32)+(calc!$AI$3:$AI$67&lt;AI32)*(calc!$AJ$3:$AJ$67&lt;AJ32))&gt;0))-SUMPRODUCT(--(calc!$AD$3:$AD$67=TRUE),--(ROW(calc!$AD$3:$AD$67)&gt;ROW(AD32)),--(((calc!$AI$3:$AI$67&gt;AI32)*(calc!$AJ$3:$AJ$67&lt;AJ32)+(calc!$AI$3:$AI$67&lt;AI32)*(calc!$AJ$3:$AJ$67&gt;AJ32))&gt;0)),0)</f>
        <v/>
      </c>
      <c r="AL32" s="5">
        <f>IF(mos_metrics!J31="","",mos_metrics!J31)</f>
        <v/>
      </c>
      <c r="AM32" s="2">
        <f>AND($J32,ISNUMBER(AL32),correlation!$I$29=1)</f>
        <v/>
      </c>
      <c r="AN32" s="5">
        <f>IF(AM32,$F32,"")</f>
        <v/>
      </c>
      <c r="AO32" s="5">
        <f>IF(AM32,AL32*correlation!$J$29,"")</f>
        <v/>
      </c>
      <c r="AP32" s="5">
        <f>IF(AND(AM32,ISNUMBER(correlation!$F$29)),AO32*correlation!$F$29+correlation!$G$29,"")</f>
        <v/>
      </c>
      <c r="AQ32" s="5">
        <f>IF(AND(AM32,ISNUMBER(AP32)),(AN32-AP32)^2,"")</f>
        <v/>
      </c>
      <c r="AR32" s="5">
        <f>IF(AM32,1+SUMPRODUCT(--(calc!$AM$3:$AM$67=TRUE),--(calc!$AN$3:$AN$67&gt;AN32))+(SUMPRODUCT(--(calc!$AM$3:$AM$67=TRUE),--(calc!$AN$3:$AN$67=AN32))-1)/2,"")</f>
        <v/>
      </c>
      <c r="AS32" s="5">
        <f>IF(AM32,1+SUMPRODUCT(--(calc!$AM$3:$AM$67=TRUE),--(calc!$AO$3:$AO$67&gt;AO32))+(SUMPRODUCT(--(calc!$AM$3:$AM$67=TRUE),--(calc!$AO$3:$AO$67=AO32))-1)/2,"")</f>
        <v/>
      </c>
      <c r="AT32" s="5">
        <f>IF(AM32,SUMPRODUCT(--(calc!$AM$3:$AM$67=TRUE),--(ROW(calc!$AM$3:$AM$67)&gt;ROW(AM32)),--(((calc!$AR$3:$AR$67&gt;AR32)*(calc!$AS$3:$AS$67&gt;AS32)+(calc!$AR$3:$AR$67&lt;AR32)*(calc!$AS$3:$AS$67&lt;AS32))&gt;0))-SUMPRODUCT(--(calc!$AM$3:$AM$67=TRUE),--(ROW(calc!$AM$3:$AM$67)&gt;ROW(AM32)),--(((calc!$AR$3:$AR$67&gt;AR32)*(calc!$AS$3:$AS$67&lt;AS32)+(calc!$AR$3:$AR$67&lt;AR32)*(calc!$AS$3:$AS$67&gt;AS32))&gt;0)),0)</f>
        <v/>
      </c>
      <c r="AU32" s="5">
        <f>IF(mos_metrics!K31="","",mos_metrics!K31)</f>
        <v/>
      </c>
      <c r="AV32" s="2">
        <f>AND($J32,ISNUMBER(AU32),correlation!$I$30=1)</f>
        <v/>
      </c>
      <c r="AW32" s="5">
        <f>IF(AV32,$F32,"")</f>
        <v/>
      </c>
      <c r="AX32" s="5">
        <f>IF(AV32,AU32*correlation!$J$30,"")</f>
        <v/>
      </c>
      <c r="AY32" s="5">
        <f>IF(AND(AV32,ISNUMBER(correlation!$F$30)),AX32*correlation!$F$30+correlation!$G$30,"")</f>
        <v/>
      </c>
      <c r="AZ32" s="5">
        <f>IF(AND(AV32,ISNUMBER(AY32)),(AW32-AY32)^2,"")</f>
        <v/>
      </c>
      <c r="BA32" s="5">
        <f>IF(AV32,1+SUMPRODUCT(--(calc!$AV$3:$AV$67=TRUE),--(calc!$AW$3:$AW$67&gt;AW32))+(SUMPRODUCT(--(calc!$AV$3:$AV$67=TRUE),--(calc!$AW$3:$AW$67=AW32))-1)/2,"")</f>
        <v/>
      </c>
      <c r="BB32" s="5">
        <f>IF(AV32,1+SUMPRODUCT(--(calc!$AV$3:$AV$67=TRUE),--(calc!$AX$3:$AX$67&gt;AX32))+(SUMPRODUCT(--(calc!$AV$3:$AV$67=TRUE),--(calc!$AX$3:$AX$67=AX32))-1)/2,"")</f>
        <v/>
      </c>
      <c r="BC32" s="5">
        <f>IF(AV32,SUMPRODUCT(--(calc!$AV$3:$AV$67=TRUE),--(ROW(calc!$AV$3:$AV$67)&gt;ROW(AV32)),--(((calc!$BA$3:$BA$67&gt;BA32)*(calc!$BB$3:$BB$67&gt;BB32)+(calc!$BA$3:$BA$67&lt;BA32)*(calc!$BB$3:$BB$67&lt;BB32))&gt;0))-SUMPRODUCT(--(calc!$AV$3:$AV$67=TRUE),--(ROW(calc!$AV$3:$AV$67)&gt;ROW(AV32)),--(((calc!$BA$3:$BA$67&gt;BA32)*(calc!$BB$3:$BB$67&lt;BB32)+(calc!$BA$3:$BA$67&lt;BA32)*(calc!$BB$3:$BB$67&gt;BB32))&gt;0)),0)</f>
        <v/>
      </c>
      <c r="BD32" s="5">
        <f>IF(mos_metrics!L31="","",mos_metrics!L31)</f>
        <v/>
      </c>
      <c r="BE32" s="2">
        <f>AND($J32,ISNUMBER(BD32),correlation!$I$31=1)</f>
        <v/>
      </c>
      <c r="BF32" s="5">
        <f>IF(BE32,$F32,"")</f>
        <v/>
      </c>
      <c r="BG32" s="5">
        <f>IF(BE32,BD32*correlation!$J$31,"")</f>
        <v/>
      </c>
      <c r="BH32" s="5">
        <f>IF(AND(BE32,ISNUMBER(correlation!$F$31)),BG32*correlation!$F$31+correlation!$G$31,"")</f>
        <v/>
      </c>
      <c r="BI32" s="5">
        <f>IF(AND(BE32,ISNUMBER(BH32)),(BF32-BH32)^2,"")</f>
        <v/>
      </c>
      <c r="BJ32" s="5">
        <f>IF(BE32,1+SUMPRODUCT(--(calc!$BE$3:$BE$67=TRUE),--(calc!$BF$3:$BF$67&gt;BF32))+(SUMPRODUCT(--(calc!$BE$3:$BE$67=TRUE),--(calc!$BF$3:$BF$67=BF32))-1)/2,"")</f>
        <v/>
      </c>
      <c r="BK32" s="5">
        <f>IF(BE32,1+SUMPRODUCT(--(calc!$BE$3:$BE$67=TRUE),--(calc!$BG$3:$BG$67&gt;BG32))+(SUMPRODUCT(--(calc!$BE$3:$BE$67=TRUE),--(calc!$BG$3:$BG$67=BG32))-1)/2,"")</f>
        <v/>
      </c>
      <c r="BL32" s="5">
        <f>IF(BE32,SUMPRODUCT(--(calc!$BE$3:$BE$67=TRUE),--(ROW(calc!$BE$3:$BE$67)&gt;ROW(BE32)),--(((calc!$BJ$3:$BJ$67&gt;BJ32)*(calc!$BK$3:$BK$67&gt;BK32)+(calc!$BJ$3:$BJ$67&lt;BJ32)*(calc!$BK$3:$BK$67&lt;BK32))&gt;0))-SUMPRODUCT(--(calc!$BE$3:$BE$67=TRUE),--(ROW(calc!$BE$3:$BE$67)&gt;ROW(BE32)),--(((calc!$BJ$3:$BJ$67&gt;BJ32)*(calc!$BK$3:$BK$67&lt;BK32)+(calc!$BJ$3:$BJ$67&lt;BJ32)*(calc!$BK$3:$BK$67&gt;BK32))&gt;0)),0)</f>
        <v/>
      </c>
      <c r="BM32" s="5">
        <f>IF(mos_metrics!M31="","",mos_metrics!M31)</f>
        <v/>
      </c>
      <c r="BN32" s="2">
        <f>AND($J32,ISNUMBER(BM32),correlation!$I$32=1)</f>
        <v/>
      </c>
      <c r="BO32" s="5">
        <f>IF(BN32,$F32,"")</f>
        <v/>
      </c>
      <c r="BP32" s="5">
        <f>IF(BN32,BM32*correlation!$J$32,"")</f>
        <v/>
      </c>
      <c r="BQ32" s="5">
        <f>IF(AND(BN32,ISNUMBER(correlation!$F$32)),BP32*correlation!$F$32+correlation!$G$32,"")</f>
        <v/>
      </c>
      <c r="BR32" s="5">
        <f>IF(AND(BN32,ISNUMBER(BQ32)),(BO32-BQ32)^2,"")</f>
        <v/>
      </c>
      <c r="BS32" s="5">
        <f>IF(BN32,1+SUMPRODUCT(--(calc!$BN$3:$BN$67=TRUE),--(calc!$BO$3:$BO$67&gt;BO32))+(SUMPRODUCT(--(calc!$BN$3:$BN$67=TRUE),--(calc!$BO$3:$BO$67=BO32))-1)/2,"")</f>
        <v/>
      </c>
      <c r="BT32" s="5">
        <f>IF(BN32,1+SUMPRODUCT(--(calc!$BN$3:$BN$67=TRUE),--(calc!$BP$3:$BP$67&gt;BP32))+(SUMPRODUCT(--(calc!$BN$3:$BN$67=TRUE),--(calc!$BP$3:$BP$67=BP32))-1)/2,"")</f>
        <v/>
      </c>
      <c r="BU32" s="5">
        <f>IF(BN32,SUMPRODUCT(--(calc!$BN$3:$BN$67=TRUE),--(ROW(calc!$BN$3:$BN$67)&gt;ROW(BN32)),--(((calc!$BS$3:$BS$67&gt;BS32)*(calc!$BT$3:$BT$67&gt;BT32)+(calc!$BS$3:$BS$67&lt;BS32)*(calc!$BT$3:$BT$67&lt;BT32))&gt;0))-SUMPRODUCT(--(calc!$BN$3:$BN$67=TRUE),--(ROW(calc!$BN$3:$BN$67)&gt;ROW(BN32)),--(((calc!$BS$3:$BS$67&gt;BS32)*(calc!$BT$3:$BT$67&lt;BT32)+(calc!$BS$3:$BS$67&lt;BS32)*(calc!$BT$3:$BT$67&gt;BT32))&gt;0)),0)</f>
        <v/>
      </c>
    </row>
    <row r="33">
      <c r="A33" s="2">
        <f>mos_metrics!A32</f>
        <v/>
      </c>
      <c r="B33" s="2">
        <f>mos_metrics!B32</f>
        <v/>
      </c>
      <c r="C33" s="2">
        <f>mos_metrics!C32</f>
        <v/>
      </c>
      <c r="D33" s="2">
        <f>mos_metrics!D32</f>
        <v/>
      </c>
      <c r="E33" s="2">
        <f>mos_metrics!E32</f>
        <v/>
      </c>
      <c r="F33" s="2">
        <f>mos_metrics!F32</f>
        <v/>
      </c>
      <c r="G33" s="2">
        <f>IF($B33="","",IFERROR(VLOOKUP($B33,correlation!$A$2:$B$6,2,FALSE),1))</f>
        <v/>
      </c>
      <c r="H33" s="2">
        <f>IF($E33="","",IFERROR(VLOOKUP($E33,correlation!$D$2:$E$8,2,FALSE),1))</f>
        <v/>
      </c>
      <c r="I33" s="2">
        <f>ISNUMBER($F33)</f>
        <v/>
      </c>
      <c r="J33" s="2">
        <f>AND($G33=1,$H33=1,$I33)</f>
        <v/>
      </c>
      <c r="K33" s="5">
        <f>IF(mos_metrics!G32="","",mos_metrics!G32)</f>
        <v/>
      </c>
      <c r="L33" s="2">
        <f>AND($J33,ISNUMBER(K33),correlation!$I$26=1)</f>
        <v/>
      </c>
      <c r="M33" s="5">
        <f>IF(L33,$F33,"")</f>
        <v/>
      </c>
      <c r="N33" s="5">
        <f>IF(L33,K33*correlation!$J$26,"")</f>
        <v/>
      </c>
      <c r="O33" s="5">
        <f>IF(AND(L33,ISNUMBER(correlation!$F$26)),N33*correlation!$F$26+correlation!$G$26,"")</f>
        <v/>
      </c>
      <c r="P33" s="5">
        <f>IF(AND(L33,ISNUMBER(O33)),(M33-O33)^2,"")</f>
        <v/>
      </c>
      <c r="Q33" s="5">
        <f>IF(L33,1+SUMPRODUCT(--(calc!$L$3:$L$67=TRUE),--(calc!$M$3:$M$67&gt;M33))+(SUMPRODUCT(--(calc!$L$3:$L$67=TRUE),--(calc!$M$3:$M$67=M33))-1)/2,"")</f>
        <v/>
      </c>
      <c r="R33" s="5">
        <f>IF(L33,1+SUMPRODUCT(--(calc!$L$3:$L$67=TRUE),--(calc!$N$3:$N$67&gt;N33))+(SUMPRODUCT(--(calc!$L$3:$L$67=TRUE),--(calc!$N$3:$N$67=N33))-1)/2,"")</f>
        <v/>
      </c>
      <c r="S33" s="5">
        <f>IF(L33,SUMPRODUCT(--(calc!$L$3:$L$67=TRUE),--(ROW(calc!$L$3:$L$67)&gt;ROW(L33)),--(((calc!$Q$3:$Q$67&gt;Q33)*(calc!$R$3:$R$67&gt;R33)+(calc!$Q$3:$Q$67&lt;Q33)*(calc!$R$3:$R$67&lt;R33))&gt;0))-SUMPRODUCT(--(calc!$L$3:$L$67=TRUE),--(ROW(calc!$L$3:$L$67)&gt;ROW(L33)),--(((calc!$Q$3:$Q$67&gt;Q33)*(calc!$R$3:$R$67&lt;R33)+(calc!$Q$3:$Q$67&lt;Q33)*(calc!$R$3:$R$67&gt;R33))&gt;0)),0)</f>
        <v/>
      </c>
      <c r="T33" s="5">
        <f>IF(mos_metrics!H32="","",mos_metrics!H32)</f>
        <v/>
      </c>
      <c r="U33" s="2">
        <f>AND($J33,ISNUMBER(T33),correlation!$I$27=1)</f>
        <v/>
      </c>
      <c r="V33" s="5">
        <f>IF(U33,$F33,"")</f>
        <v/>
      </c>
      <c r="W33" s="5">
        <f>IF(U33,T33*correlation!$J$27,"")</f>
        <v/>
      </c>
      <c r="X33" s="5">
        <f>IF(AND(U33,ISNUMBER(correlation!$F$27)),W33*correlation!$F$27+correlation!$G$27,"")</f>
        <v/>
      </c>
      <c r="Y33" s="5">
        <f>IF(AND(U33,ISNUMBER(X33)),(V33-X33)^2,"")</f>
        <v/>
      </c>
      <c r="Z33" s="5">
        <f>IF(U33,1+SUMPRODUCT(--(calc!$U$3:$U$67=TRUE),--(calc!$V$3:$V$67&gt;V33))+(SUMPRODUCT(--(calc!$U$3:$U$67=TRUE),--(calc!$V$3:$V$67=V33))-1)/2,"")</f>
        <v/>
      </c>
      <c r="AA33" s="5">
        <f>IF(U33,1+SUMPRODUCT(--(calc!$U$3:$U$67=TRUE),--(calc!$W$3:$W$67&gt;W33))+(SUMPRODUCT(--(calc!$U$3:$U$67=TRUE),--(calc!$W$3:$W$67=W33))-1)/2,"")</f>
        <v/>
      </c>
      <c r="AB33" s="5">
        <f>IF(U33,SUMPRODUCT(--(calc!$U$3:$U$67=TRUE),--(ROW(calc!$U$3:$U$67)&gt;ROW(U33)),--(((calc!$Z$3:$Z$67&gt;Z33)*(calc!$AA$3:$AA$67&gt;AA33)+(calc!$Z$3:$Z$67&lt;Z33)*(calc!$AA$3:$AA$67&lt;AA33))&gt;0))-SUMPRODUCT(--(calc!$U$3:$U$67=TRUE),--(ROW(calc!$U$3:$U$67)&gt;ROW(U33)),--(((calc!$Z$3:$Z$67&gt;Z33)*(calc!$AA$3:$AA$67&lt;AA33)+(calc!$Z$3:$Z$67&lt;Z33)*(calc!$AA$3:$AA$67&gt;AA33))&gt;0)),0)</f>
        <v/>
      </c>
      <c r="AC33" s="5">
        <f>IF(mos_metrics!I32="","",mos_metrics!I32)</f>
        <v/>
      </c>
      <c r="AD33" s="2">
        <f>AND($J33,ISNUMBER(AC33),correlation!$I$28=1)</f>
        <v/>
      </c>
      <c r="AE33" s="5">
        <f>IF(AD33,$F33,"")</f>
        <v/>
      </c>
      <c r="AF33" s="5">
        <f>IF(AD33,AC33*correlation!$J$28,"")</f>
        <v/>
      </c>
      <c r="AG33" s="5">
        <f>IF(AND(AD33,ISNUMBER(correlation!$F$28)),AF33*correlation!$F$28+correlation!$G$28,"")</f>
        <v/>
      </c>
      <c r="AH33" s="5">
        <f>IF(AND(AD33,ISNUMBER(AG33)),(AE33-AG33)^2,"")</f>
        <v/>
      </c>
      <c r="AI33" s="5">
        <f>IF(AD33,1+SUMPRODUCT(--(calc!$AD$3:$AD$67=TRUE),--(calc!$AE$3:$AE$67&gt;AE33))+(SUMPRODUCT(--(calc!$AD$3:$AD$67=TRUE),--(calc!$AE$3:$AE$67=AE33))-1)/2,"")</f>
        <v/>
      </c>
      <c r="AJ33" s="5">
        <f>IF(AD33,1+SUMPRODUCT(--(calc!$AD$3:$AD$67=TRUE),--(calc!$AF$3:$AF$67&gt;AF33))+(SUMPRODUCT(--(calc!$AD$3:$AD$67=TRUE),--(calc!$AF$3:$AF$67=AF33))-1)/2,"")</f>
        <v/>
      </c>
      <c r="AK33" s="5">
        <f>IF(AD33,SUMPRODUCT(--(calc!$AD$3:$AD$67=TRUE),--(ROW(calc!$AD$3:$AD$67)&gt;ROW(AD33)),--(((calc!$AI$3:$AI$67&gt;AI33)*(calc!$AJ$3:$AJ$67&gt;AJ33)+(calc!$AI$3:$AI$67&lt;AI33)*(calc!$AJ$3:$AJ$67&lt;AJ33))&gt;0))-SUMPRODUCT(--(calc!$AD$3:$AD$67=TRUE),--(ROW(calc!$AD$3:$AD$67)&gt;ROW(AD33)),--(((calc!$AI$3:$AI$67&gt;AI33)*(calc!$AJ$3:$AJ$67&lt;AJ33)+(calc!$AI$3:$AI$67&lt;AI33)*(calc!$AJ$3:$AJ$67&gt;AJ33))&gt;0)),0)</f>
        <v/>
      </c>
      <c r="AL33" s="5">
        <f>IF(mos_metrics!J32="","",mos_metrics!J32)</f>
        <v/>
      </c>
      <c r="AM33" s="2">
        <f>AND($J33,ISNUMBER(AL33),correlation!$I$29=1)</f>
        <v/>
      </c>
      <c r="AN33" s="5">
        <f>IF(AM33,$F33,"")</f>
        <v/>
      </c>
      <c r="AO33" s="5">
        <f>IF(AM33,AL33*correlation!$J$29,"")</f>
        <v/>
      </c>
      <c r="AP33" s="5">
        <f>IF(AND(AM33,ISNUMBER(correlation!$F$29)),AO33*correlation!$F$29+correlation!$G$29,"")</f>
        <v/>
      </c>
      <c r="AQ33" s="5">
        <f>IF(AND(AM33,ISNUMBER(AP33)),(AN33-AP33)^2,"")</f>
        <v/>
      </c>
      <c r="AR33" s="5">
        <f>IF(AM33,1+SUMPRODUCT(--(calc!$AM$3:$AM$67=TRUE),--(calc!$AN$3:$AN$67&gt;AN33))+(SUMPRODUCT(--(calc!$AM$3:$AM$67=TRUE),--(calc!$AN$3:$AN$67=AN33))-1)/2,"")</f>
        <v/>
      </c>
      <c r="AS33" s="5">
        <f>IF(AM33,1+SUMPRODUCT(--(calc!$AM$3:$AM$67=TRUE),--(calc!$AO$3:$AO$67&gt;AO33))+(SUMPRODUCT(--(calc!$AM$3:$AM$67=TRUE),--(calc!$AO$3:$AO$67=AO33))-1)/2,"")</f>
        <v/>
      </c>
      <c r="AT33" s="5">
        <f>IF(AM33,SUMPRODUCT(--(calc!$AM$3:$AM$67=TRUE),--(ROW(calc!$AM$3:$AM$67)&gt;ROW(AM33)),--(((calc!$AR$3:$AR$67&gt;AR33)*(calc!$AS$3:$AS$67&gt;AS33)+(calc!$AR$3:$AR$67&lt;AR33)*(calc!$AS$3:$AS$67&lt;AS33))&gt;0))-SUMPRODUCT(--(calc!$AM$3:$AM$67=TRUE),--(ROW(calc!$AM$3:$AM$67)&gt;ROW(AM33)),--(((calc!$AR$3:$AR$67&gt;AR33)*(calc!$AS$3:$AS$67&lt;AS33)+(calc!$AR$3:$AR$67&lt;AR33)*(calc!$AS$3:$AS$67&gt;AS33))&gt;0)),0)</f>
        <v/>
      </c>
      <c r="AU33" s="5">
        <f>IF(mos_metrics!K32="","",mos_metrics!K32)</f>
        <v/>
      </c>
      <c r="AV33" s="2">
        <f>AND($J33,ISNUMBER(AU33),correlation!$I$30=1)</f>
        <v/>
      </c>
      <c r="AW33" s="5">
        <f>IF(AV33,$F33,"")</f>
        <v/>
      </c>
      <c r="AX33" s="5">
        <f>IF(AV33,AU33*correlation!$J$30,"")</f>
        <v/>
      </c>
      <c r="AY33" s="5">
        <f>IF(AND(AV33,ISNUMBER(correlation!$F$30)),AX33*correlation!$F$30+correlation!$G$30,"")</f>
        <v/>
      </c>
      <c r="AZ33" s="5">
        <f>IF(AND(AV33,ISNUMBER(AY33)),(AW33-AY33)^2,"")</f>
        <v/>
      </c>
      <c r="BA33" s="5">
        <f>IF(AV33,1+SUMPRODUCT(--(calc!$AV$3:$AV$67=TRUE),--(calc!$AW$3:$AW$67&gt;AW33))+(SUMPRODUCT(--(calc!$AV$3:$AV$67=TRUE),--(calc!$AW$3:$AW$67=AW33))-1)/2,"")</f>
        <v/>
      </c>
      <c r="BB33" s="5">
        <f>IF(AV33,1+SUMPRODUCT(--(calc!$AV$3:$AV$67=TRUE),--(calc!$AX$3:$AX$67&gt;AX33))+(SUMPRODUCT(--(calc!$AV$3:$AV$67=TRUE),--(calc!$AX$3:$AX$67=AX33))-1)/2,"")</f>
        <v/>
      </c>
      <c r="BC33" s="5">
        <f>IF(AV33,SUMPRODUCT(--(calc!$AV$3:$AV$67=TRUE),--(ROW(calc!$AV$3:$AV$67)&gt;ROW(AV33)),--(((calc!$BA$3:$BA$67&gt;BA33)*(calc!$BB$3:$BB$67&gt;BB33)+(calc!$BA$3:$BA$67&lt;BA33)*(calc!$BB$3:$BB$67&lt;BB33))&gt;0))-SUMPRODUCT(--(calc!$AV$3:$AV$67=TRUE),--(ROW(calc!$AV$3:$AV$67)&gt;ROW(AV33)),--(((calc!$BA$3:$BA$67&gt;BA33)*(calc!$BB$3:$BB$67&lt;BB33)+(calc!$BA$3:$BA$67&lt;BA33)*(calc!$BB$3:$BB$67&gt;BB33))&gt;0)),0)</f>
        <v/>
      </c>
      <c r="BD33" s="5">
        <f>IF(mos_metrics!L32="","",mos_metrics!L32)</f>
        <v/>
      </c>
      <c r="BE33" s="2">
        <f>AND($J33,ISNUMBER(BD33),correlation!$I$31=1)</f>
        <v/>
      </c>
      <c r="BF33" s="5">
        <f>IF(BE33,$F33,"")</f>
        <v/>
      </c>
      <c r="BG33" s="5">
        <f>IF(BE33,BD33*correlation!$J$31,"")</f>
        <v/>
      </c>
      <c r="BH33" s="5">
        <f>IF(AND(BE33,ISNUMBER(correlation!$F$31)),BG33*correlation!$F$31+correlation!$G$31,"")</f>
        <v/>
      </c>
      <c r="BI33" s="5">
        <f>IF(AND(BE33,ISNUMBER(BH33)),(BF33-BH33)^2,"")</f>
        <v/>
      </c>
      <c r="BJ33" s="5">
        <f>IF(BE33,1+SUMPRODUCT(--(calc!$BE$3:$BE$67=TRUE),--(calc!$BF$3:$BF$67&gt;BF33))+(SUMPRODUCT(--(calc!$BE$3:$BE$67=TRUE),--(calc!$BF$3:$BF$67=BF33))-1)/2,"")</f>
        <v/>
      </c>
      <c r="BK33" s="5">
        <f>IF(BE33,1+SUMPRODUCT(--(calc!$BE$3:$BE$67=TRUE),--(calc!$BG$3:$BG$67&gt;BG33))+(SUMPRODUCT(--(calc!$BE$3:$BE$67=TRUE),--(calc!$BG$3:$BG$67=BG33))-1)/2,"")</f>
        <v/>
      </c>
      <c r="BL33" s="5">
        <f>IF(BE33,SUMPRODUCT(--(calc!$BE$3:$BE$67=TRUE),--(ROW(calc!$BE$3:$BE$67)&gt;ROW(BE33)),--(((calc!$BJ$3:$BJ$67&gt;BJ33)*(calc!$BK$3:$BK$67&gt;BK33)+(calc!$BJ$3:$BJ$67&lt;BJ33)*(calc!$BK$3:$BK$67&lt;BK33))&gt;0))-SUMPRODUCT(--(calc!$BE$3:$BE$67=TRUE),--(ROW(calc!$BE$3:$BE$67)&gt;ROW(BE33)),--(((calc!$BJ$3:$BJ$67&gt;BJ33)*(calc!$BK$3:$BK$67&lt;BK33)+(calc!$BJ$3:$BJ$67&lt;BJ33)*(calc!$BK$3:$BK$67&gt;BK33))&gt;0)),0)</f>
        <v/>
      </c>
      <c r="BM33" s="5">
        <f>IF(mos_metrics!M32="","",mos_metrics!M32)</f>
        <v/>
      </c>
      <c r="BN33" s="2">
        <f>AND($J33,ISNUMBER(BM33),correlation!$I$32=1)</f>
        <v/>
      </c>
      <c r="BO33" s="5">
        <f>IF(BN33,$F33,"")</f>
        <v/>
      </c>
      <c r="BP33" s="5">
        <f>IF(BN33,BM33*correlation!$J$32,"")</f>
        <v/>
      </c>
      <c r="BQ33" s="5">
        <f>IF(AND(BN33,ISNUMBER(correlation!$F$32)),BP33*correlation!$F$32+correlation!$G$32,"")</f>
        <v/>
      </c>
      <c r="BR33" s="5">
        <f>IF(AND(BN33,ISNUMBER(BQ33)),(BO33-BQ33)^2,"")</f>
        <v/>
      </c>
      <c r="BS33" s="5">
        <f>IF(BN33,1+SUMPRODUCT(--(calc!$BN$3:$BN$67=TRUE),--(calc!$BO$3:$BO$67&gt;BO33))+(SUMPRODUCT(--(calc!$BN$3:$BN$67=TRUE),--(calc!$BO$3:$BO$67=BO33))-1)/2,"")</f>
        <v/>
      </c>
      <c r="BT33" s="5">
        <f>IF(BN33,1+SUMPRODUCT(--(calc!$BN$3:$BN$67=TRUE),--(calc!$BP$3:$BP$67&gt;BP33))+(SUMPRODUCT(--(calc!$BN$3:$BN$67=TRUE),--(calc!$BP$3:$BP$67=BP33))-1)/2,"")</f>
        <v/>
      </c>
      <c r="BU33" s="5">
        <f>IF(BN33,SUMPRODUCT(--(calc!$BN$3:$BN$67=TRUE),--(ROW(calc!$BN$3:$BN$67)&gt;ROW(BN33)),--(((calc!$BS$3:$BS$67&gt;BS33)*(calc!$BT$3:$BT$67&gt;BT33)+(calc!$BS$3:$BS$67&lt;BS33)*(calc!$BT$3:$BT$67&lt;BT33))&gt;0))-SUMPRODUCT(--(calc!$BN$3:$BN$67=TRUE),--(ROW(calc!$BN$3:$BN$67)&gt;ROW(BN33)),--(((calc!$BS$3:$BS$67&gt;BS33)*(calc!$BT$3:$BT$67&lt;BT33)+(calc!$BS$3:$BS$67&lt;BS33)*(calc!$BT$3:$BT$67&gt;BT33))&gt;0)),0)</f>
        <v/>
      </c>
    </row>
    <row r="34">
      <c r="A34" s="2">
        <f>mos_metrics!A33</f>
        <v/>
      </c>
      <c r="B34" s="2">
        <f>mos_metrics!B33</f>
        <v/>
      </c>
      <c r="C34" s="2">
        <f>mos_metrics!C33</f>
        <v/>
      </c>
      <c r="D34" s="2">
        <f>mos_metrics!D33</f>
        <v/>
      </c>
      <c r="E34" s="2">
        <f>mos_metrics!E33</f>
        <v/>
      </c>
      <c r="F34" s="2">
        <f>mos_metrics!F33</f>
        <v/>
      </c>
      <c r="G34" s="2">
        <f>IF($B34="","",IFERROR(VLOOKUP($B34,correlation!$A$2:$B$6,2,FALSE),1))</f>
        <v/>
      </c>
      <c r="H34" s="2">
        <f>IF($E34="","",IFERROR(VLOOKUP($E34,correlation!$D$2:$E$8,2,FALSE),1))</f>
        <v/>
      </c>
      <c r="I34" s="2">
        <f>ISNUMBER($F34)</f>
        <v/>
      </c>
      <c r="J34" s="2">
        <f>AND($G34=1,$H34=1,$I34)</f>
        <v/>
      </c>
      <c r="K34" s="5">
        <f>IF(mos_metrics!G33="","",mos_metrics!G33)</f>
        <v/>
      </c>
      <c r="L34" s="2">
        <f>AND($J34,ISNUMBER(K34),correlation!$I$26=1)</f>
        <v/>
      </c>
      <c r="M34" s="5">
        <f>IF(L34,$F34,"")</f>
        <v/>
      </c>
      <c r="N34" s="5">
        <f>IF(L34,K34*correlation!$J$26,"")</f>
        <v/>
      </c>
      <c r="O34" s="5">
        <f>IF(AND(L34,ISNUMBER(correlation!$F$26)),N34*correlation!$F$26+correlation!$G$26,"")</f>
        <v/>
      </c>
      <c r="P34" s="5">
        <f>IF(AND(L34,ISNUMBER(O34)),(M34-O34)^2,"")</f>
        <v/>
      </c>
      <c r="Q34" s="5">
        <f>IF(L34,1+SUMPRODUCT(--(calc!$L$3:$L$67=TRUE),--(calc!$M$3:$M$67&gt;M34))+(SUMPRODUCT(--(calc!$L$3:$L$67=TRUE),--(calc!$M$3:$M$67=M34))-1)/2,"")</f>
        <v/>
      </c>
      <c r="R34" s="5">
        <f>IF(L34,1+SUMPRODUCT(--(calc!$L$3:$L$67=TRUE),--(calc!$N$3:$N$67&gt;N34))+(SUMPRODUCT(--(calc!$L$3:$L$67=TRUE),--(calc!$N$3:$N$67=N34))-1)/2,"")</f>
        <v/>
      </c>
      <c r="S34" s="5">
        <f>IF(L34,SUMPRODUCT(--(calc!$L$3:$L$67=TRUE),--(ROW(calc!$L$3:$L$67)&gt;ROW(L34)),--(((calc!$Q$3:$Q$67&gt;Q34)*(calc!$R$3:$R$67&gt;R34)+(calc!$Q$3:$Q$67&lt;Q34)*(calc!$R$3:$R$67&lt;R34))&gt;0))-SUMPRODUCT(--(calc!$L$3:$L$67=TRUE),--(ROW(calc!$L$3:$L$67)&gt;ROW(L34)),--(((calc!$Q$3:$Q$67&gt;Q34)*(calc!$R$3:$R$67&lt;R34)+(calc!$Q$3:$Q$67&lt;Q34)*(calc!$R$3:$R$67&gt;R34))&gt;0)),0)</f>
        <v/>
      </c>
      <c r="T34" s="5">
        <f>IF(mos_metrics!H33="","",mos_metrics!H33)</f>
        <v/>
      </c>
      <c r="U34" s="2">
        <f>AND($J34,ISNUMBER(T34),correlation!$I$27=1)</f>
        <v/>
      </c>
      <c r="V34" s="5">
        <f>IF(U34,$F34,"")</f>
        <v/>
      </c>
      <c r="W34" s="5">
        <f>IF(U34,T34*correlation!$J$27,"")</f>
        <v/>
      </c>
      <c r="X34" s="5">
        <f>IF(AND(U34,ISNUMBER(correlation!$F$27)),W34*correlation!$F$27+correlation!$G$27,"")</f>
        <v/>
      </c>
      <c r="Y34" s="5">
        <f>IF(AND(U34,ISNUMBER(X34)),(V34-X34)^2,"")</f>
        <v/>
      </c>
      <c r="Z34" s="5">
        <f>IF(U34,1+SUMPRODUCT(--(calc!$U$3:$U$67=TRUE),--(calc!$V$3:$V$67&gt;V34))+(SUMPRODUCT(--(calc!$U$3:$U$67=TRUE),--(calc!$V$3:$V$67=V34))-1)/2,"")</f>
        <v/>
      </c>
      <c r="AA34" s="5">
        <f>IF(U34,1+SUMPRODUCT(--(calc!$U$3:$U$67=TRUE),--(calc!$W$3:$W$67&gt;W34))+(SUMPRODUCT(--(calc!$U$3:$U$67=TRUE),--(calc!$W$3:$W$67=W34))-1)/2,"")</f>
        <v/>
      </c>
      <c r="AB34" s="5">
        <f>IF(U34,SUMPRODUCT(--(calc!$U$3:$U$67=TRUE),--(ROW(calc!$U$3:$U$67)&gt;ROW(U34)),--(((calc!$Z$3:$Z$67&gt;Z34)*(calc!$AA$3:$AA$67&gt;AA34)+(calc!$Z$3:$Z$67&lt;Z34)*(calc!$AA$3:$AA$67&lt;AA34))&gt;0))-SUMPRODUCT(--(calc!$U$3:$U$67=TRUE),--(ROW(calc!$U$3:$U$67)&gt;ROW(U34)),--(((calc!$Z$3:$Z$67&gt;Z34)*(calc!$AA$3:$AA$67&lt;AA34)+(calc!$Z$3:$Z$67&lt;Z34)*(calc!$AA$3:$AA$67&gt;AA34))&gt;0)),0)</f>
        <v/>
      </c>
      <c r="AC34" s="5">
        <f>IF(mos_metrics!I33="","",mos_metrics!I33)</f>
        <v/>
      </c>
      <c r="AD34" s="2">
        <f>AND($J34,ISNUMBER(AC34),correlation!$I$28=1)</f>
        <v/>
      </c>
      <c r="AE34" s="5">
        <f>IF(AD34,$F34,"")</f>
        <v/>
      </c>
      <c r="AF34" s="5">
        <f>IF(AD34,AC34*correlation!$J$28,"")</f>
        <v/>
      </c>
      <c r="AG34" s="5">
        <f>IF(AND(AD34,ISNUMBER(correlation!$F$28)),AF34*correlation!$F$28+correlation!$G$28,"")</f>
        <v/>
      </c>
      <c r="AH34" s="5">
        <f>IF(AND(AD34,ISNUMBER(AG34)),(AE34-AG34)^2,"")</f>
        <v/>
      </c>
      <c r="AI34" s="5">
        <f>IF(AD34,1+SUMPRODUCT(--(calc!$AD$3:$AD$67=TRUE),--(calc!$AE$3:$AE$67&gt;AE34))+(SUMPRODUCT(--(calc!$AD$3:$AD$67=TRUE),--(calc!$AE$3:$AE$67=AE34))-1)/2,"")</f>
        <v/>
      </c>
      <c r="AJ34" s="5">
        <f>IF(AD34,1+SUMPRODUCT(--(calc!$AD$3:$AD$67=TRUE),--(calc!$AF$3:$AF$67&gt;AF34))+(SUMPRODUCT(--(calc!$AD$3:$AD$67=TRUE),--(calc!$AF$3:$AF$67=AF34))-1)/2,"")</f>
        <v/>
      </c>
      <c r="AK34" s="5">
        <f>IF(AD34,SUMPRODUCT(--(calc!$AD$3:$AD$67=TRUE),--(ROW(calc!$AD$3:$AD$67)&gt;ROW(AD34)),--(((calc!$AI$3:$AI$67&gt;AI34)*(calc!$AJ$3:$AJ$67&gt;AJ34)+(calc!$AI$3:$AI$67&lt;AI34)*(calc!$AJ$3:$AJ$67&lt;AJ34))&gt;0))-SUMPRODUCT(--(calc!$AD$3:$AD$67=TRUE),--(ROW(calc!$AD$3:$AD$67)&gt;ROW(AD34)),--(((calc!$AI$3:$AI$67&gt;AI34)*(calc!$AJ$3:$AJ$67&lt;AJ34)+(calc!$AI$3:$AI$67&lt;AI34)*(calc!$AJ$3:$AJ$67&gt;AJ34))&gt;0)),0)</f>
        <v/>
      </c>
      <c r="AL34" s="5">
        <f>IF(mos_metrics!J33="","",mos_metrics!J33)</f>
        <v/>
      </c>
      <c r="AM34" s="2">
        <f>AND($J34,ISNUMBER(AL34),correlation!$I$29=1)</f>
        <v/>
      </c>
      <c r="AN34" s="5">
        <f>IF(AM34,$F34,"")</f>
        <v/>
      </c>
      <c r="AO34" s="5">
        <f>IF(AM34,AL34*correlation!$J$29,"")</f>
        <v/>
      </c>
      <c r="AP34" s="5">
        <f>IF(AND(AM34,ISNUMBER(correlation!$F$29)),AO34*correlation!$F$29+correlation!$G$29,"")</f>
        <v/>
      </c>
      <c r="AQ34" s="5">
        <f>IF(AND(AM34,ISNUMBER(AP34)),(AN34-AP34)^2,"")</f>
        <v/>
      </c>
      <c r="AR34" s="5">
        <f>IF(AM34,1+SUMPRODUCT(--(calc!$AM$3:$AM$67=TRUE),--(calc!$AN$3:$AN$67&gt;AN34))+(SUMPRODUCT(--(calc!$AM$3:$AM$67=TRUE),--(calc!$AN$3:$AN$67=AN34))-1)/2,"")</f>
        <v/>
      </c>
      <c r="AS34" s="5">
        <f>IF(AM34,1+SUMPRODUCT(--(calc!$AM$3:$AM$67=TRUE),--(calc!$AO$3:$AO$67&gt;AO34))+(SUMPRODUCT(--(calc!$AM$3:$AM$67=TRUE),--(calc!$AO$3:$AO$67=AO34))-1)/2,"")</f>
        <v/>
      </c>
      <c r="AT34" s="5">
        <f>IF(AM34,SUMPRODUCT(--(calc!$AM$3:$AM$67=TRUE),--(ROW(calc!$AM$3:$AM$67)&gt;ROW(AM34)),--(((calc!$AR$3:$AR$67&gt;AR34)*(calc!$AS$3:$AS$67&gt;AS34)+(calc!$AR$3:$AR$67&lt;AR34)*(calc!$AS$3:$AS$67&lt;AS34))&gt;0))-SUMPRODUCT(--(calc!$AM$3:$AM$67=TRUE),--(ROW(calc!$AM$3:$AM$67)&gt;ROW(AM34)),--(((calc!$AR$3:$AR$67&gt;AR34)*(calc!$AS$3:$AS$67&lt;AS34)+(calc!$AR$3:$AR$67&lt;AR34)*(calc!$AS$3:$AS$67&gt;AS34))&gt;0)),0)</f>
        <v/>
      </c>
      <c r="AU34" s="5">
        <f>IF(mos_metrics!K33="","",mos_metrics!K33)</f>
        <v/>
      </c>
      <c r="AV34" s="2">
        <f>AND($J34,ISNUMBER(AU34),correlation!$I$30=1)</f>
        <v/>
      </c>
      <c r="AW34" s="5">
        <f>IF(AV34,$F34,"")</f>
        <v/>
      </c>
      <c r="AX34" s="5">
        <f>IF(AV34,AU34*correlation!$J$30,"")</f>
        <v/>
      </c>
      <c r="AY34" s="5">
        <f>IF(AND(AV34,ISNUMBER(correlation!$F$30)),AX34*correlation!$F$30+correlation!$G$30,"")</f>
        <v/>
      </c>
      <c r="AZ34" s="5">
        <f>IF(AND(AV34,ISNUMBER(AY34)),(AW34-AY34)^2,"")</f>
        <v/>
      </c>
      <c r="BA34" s="5">
        <f>IF(AV34,1+SUMPRODUCT(--(calc!$AV$3:$AV$67=TRUE),--(calc!$AW$3:$AW$67&gt;AW34))+(SUMPRODUCT(--(calc!$AV$3:$AV$67=TRUE),--(calc!$AW$3:$AW$67=AW34))-1)/2,"")</f>
        <v/>
      </c>
      <c r="BB34" s="5">
        <f>IF(AV34,1+SUMPRODUCT(--(calc!$AV$3:$AV$67=TRUE),--(calc!$AX$3:$AX$67&gt;AX34))+(SUMPRODUCT(--(calc!$AV$3:$AV$67=TRUE),--(calc!$AX$3:$AX$67=AX34))-1)/2,"")</f>
        <v/>
      </c>
      <c r="BC34" s="5">
        <f>IF(AV34,SUMPRODUCT(--(calc!$AV$3:$AV$67=TRUE),--(ROW(calc!$AV$3:$AV$67)&gt;ROW(AV34)),--(((calc!$BA$3:$BA$67&gt;BA34)*(calc!$BB$3:$BB$67&gt;BB34)+(calc!$BA$3:$BA$67&lt;BA34)*(calc!$BB$3:$BB$67&lt;BB34))&gt;0))-SUMPRODUCT(--(calc!$AV$3:$AV$67=TRUE),--(ROW(calc!$AV$3:$AV$67)&gt;ROW(AV34)),--(((calc!$BA$3:$BA$67&gt;BA34)*(calc!$BB$3:$BB$67&lt;BB34)+(calc!$BA$3:$BA$67&lt;BA34)*(calc!$BB$3:$BB$67&gt;BB34))&gt;0)),0)</f>
        <v/>
      </c>
      <c r="BD34" s="5">
        <f>IF(mos_metrics!L33="","",mos_metrics!L33)</f>
        <v/>
      </c>
      <c r="BE34" s="2">
        <f>AND($J34,ISNUMBER(BD34),correlation!$I$31=1)</f>
        <v/>
      </c>
      <c r="BF34" s="5">
        <f>IF(BE34,$F34,"")</f>
        <v/>
      </c>
      <c r="BG34" s="5">
        <f>IF(BE34,BD34*correlation!$J$31,"")</f>
        <v/>
      </c>
      <c r="BH34" s="5">
        <f>IF(AND(BE34,ISNUMBER(correlation!$F$31)),BG34*correlation!$F$31+correlation!$G$31,"")</f>
        <v/>
      </c>
      <c r="BI34" s="5">
        <f>IF(AND(BE34,ISNUMBER(BH34)),(BF34-BH34)^2,"")</f>
        <v/>
      </c>
      <c r="BJ34" s="5">
        <f>IF(BE34,1+SUMPRODUCT(--(calc!$BE$3:$BE$67=TRUE),--(calc!$BF$3:$BF$67&gt;BF34))+(SUMPRODUCT(--(calc!$BE$3:$BE$67=TRUE),--(calc!$BF$3:$BF$67=BF34))-1)/2,"")</f>
        <v/>
      </c>
      <c r="BK34" s="5">
        <f>IF(BE34,1+SUMPRODUCT(--(calc!$BE$3:$BE$67=TRUE),--(calc!$BG$3:$BG$67&gt;BG34))+(SUMPRODUCT(--(calc!$BE$3:$BE$67=TRUE),--(calc!$BG$3:$BG$67=BG34))-1)/2,"")</f>
        <v/>
      </c>
      <c r="BL34" s="5">
        <f>IF(BE34,SUMPRODUCT(--(calc!$BE$3:$BE$67=TRUE),--(ROW(calc!$BE$3:$BE$67)&gt;ROW(BE34)),--(((calc!$BJ$3:$BJ$67&gt;BJ34)*(calc!$BK$3:$BK$67&gt;BK34)+(calc!$BJ$3:$BJ$67&lt;BJ34)*(calc!$BK$3:$BK$67&lt;BK34))&gt;0))-SUMPRODUCT(--(calc!$BE$3:$BE$67=TRUE),--(ROW(calc!$BE$3:$BE$67)&gt;ROW(BE34)),--(((calc!$BJ$3:$BJ$67&gt;BJ34)*(calc!$BK$3:$BK$67&lt;BK34)+(calc!$BJ$3:$BJ$67&lt;BJ34)*(calc!$BK$3:$BK$67&gt;BK34))&gt;0)),0)</f>
        <v/>
      </c>
      <c r="BM34" s="5">
        <f>IF(mos_metrics!M33="","",mos_metrics!M33)</f>
        <v/>
      </c>
      <c r="BN34" s="2">
        <f>AND($J34,ISNUMBER(BM34),correlation!$I$32=1)</f>
        <v/>
      </c>
      <c r="BO34" s="5">
        <f>IF(BN34,$F34,"")</f>
        <v/>
      </c>
      <c r="BP34" s="5">
        <f>IF(BN34,BM34*correlation!$J$32,"")</f>
        <v/>
      </c>
      <c r="BQ34" s="5">
        <f>IF(AND(BN34,ISNUMBER(correlation!$F$32)),BP34*correlation!$F$32+correlation!$G$32,"")</f>
        <v/>
      </c>
      <c r="BR34" s="5">
        <f>IF(AND(BN34,ISNUMBER(BQ34)),(BO34-BQ34)^2,"")</f>
        <v/>
      </c>
      <c r="BS34" s="5">
        <f>IF(BN34,1+SUMPRODUCT(--(calc!$BN$3:$BN$67=TRUE),--(calc!$BO$3:$BO$67&gt;BO34))+(SUMPRODUCT(--(calc!$BN$3:$BN$67=TRUE),--(calc!$BO$3:$BO$67=BO34))-1)/2,"")</f>
        <v/>
      </c>
      <c r="BT34" s="5">
        <f>IF(BN34,1+SUMPRODUCT(--(calc!$BN$3:$BN$67=TRUE),--(calc!$BP$3:$BP$67&gt;BP34))+(SUMPRODUCT(--(calc!$BN$3:$BN$67=TRUE),--(calc!$BP$3:$BP$67=BP34))-1)/2,"")</f>
        <v/>
      </c>
      <c r="BU34" s="5">
        <f>IF(BN34,SUMPRODUCT(--(calc!$BN$3:$BN$67=TRUE),--(ROW(calc!$BN$3:$BN$67)&gt;ROW(BN34)),--(((calc!$BS$3:$BS$67&gt;BS34)*(calc!$BT$3:$BT$67&gt;BT34)+(calc!$BS$3:$BS$67&lt;BS34)*(calc!$BT$3:$BT$67&lt;BT34))&gt;0))-SUMPRODUCT(--(calc!$BN$3:$BN$67=TRUE),--(ROW(calc!$BN$3:$BN$67)&gt;ROW(BN34)),--(((calc!$BS$3:$BS$67&gt;BS34)*(calc!$BT$3:$BT$67&lt;BT34)+(calc!$BS$3:$BS$67&lt;BS34)*(calc!$BT$3:$BT$67&gt;BT34))&gt;0)),0)</f>
        <v/>
      </c>
    </row>
    <row r="35">
      <c r="A35" s="2">
        <f>mos_metrics!A34</f>
        <v/>
      </c>
      <c r="B35" s="2">
        <f>mos_metrics!B34</f>
        <v/>
      </c>
      <c r="C35" s="2">
        <f>mos_metrics!C34</f>
        <v/>
      </c>
      <c r="D35" s="2">
        <f>mos_metrics!D34</f>
        <v/>
      </c>
      <c r="E35" s="2">
        <f>mos_metrics!E34</f>
        <v/>
      </c>
      <c r="F35" s="2">
        <f>mos_metrics!F34</f>
        <v/>
      </c>
      <c r="G35" s="2">
        <f>IF($B35="","",IFERROR(VLOOKUP($B35,correlation!$A$2:$B$6,2,FALSE),1))</f>
        <v/>
      </c>
      <c r="H35" s="2">
        <f>IF($E35="","",IFERROR(VLOOKUP($E35,correlation!$D$2:$E$8,2,FALSE),1))</f>
        <v/>
      </c>
      <c r="I35" s="2">
        <f>ISNUMBER($F35)</f>
        <v/>
      </c>
      <c r="J35" s="2">
        <f>AND($G35=1,$H35=1,$I35)</f>
        <v/>
      </c>
      <c r="K35" s="5">
        <f>IF(mos_metrics!G34="","",mos_metrics!G34)</f>
        <v/>
      </c>
      <c r="L35" s="2">
        <f>AND($J35,ISNUMBER(K35),correlation!$I$26=1)</f>
        <v/>
      </c>
      <c r="M35" s="5">
        <f>IF(L35,$F35,"")</f>
        <v/>
      </c>
      <c r="N35" s="5">
        <f>IF(L35,K35*correlation!$J$26,"")</f>
        <v/>
      </c>
      <c r="O35" s="5">
        <f>IF(AND(L35,ISNUMBER(correlation!$F$26)),N35*correlation!$F$26+correlation!$G$26,"")</f>
        <v/>
      </c>
      <c r="P35" s="5">
        <f>IF(AND(L35,ISNUMBER(O35)),(M35-O35)^2,"")</f>
        <v/>
      </c>
      <c r="Q35" s="5">
        <f>IF(L35,1+SUMPRODUCT(--(calc!$L$3:$L$67=TRUE),--(calc!$M$3:$M$67&gt;M35))+(SUMPRODUCT(--(calc!$L$3:$L$67=TRUE),--(calc!$M$3:$M$67=M35))-1)/2,"")</f>
        <v/>
      </c>
      <c r="R35" s="5">
        <f>IF(L35,1+SUMPRODUCT(--(calc!$L$3:$L$67=TRUE),--(calc!$N$3:$N$67&gt;N35))+(SUMPRODUCT(--(calc!$L$3:$L$67=TRUE),--(calc!$N$3:$N$67=N35))-1)/2,"")</f>
        <v/>
      </c>
      <c r="S35" s="5">
        <f>IF(L35,SUMPRODUCT(--(calc!$L$3:$L$67=TRUE),--(ROW(calc!$L$3:$L$67)&gt;ROW(L35)),--(((calc!$Q$3:$Q$67&gt;Q35)*(calc!$R$3:$R$67&gt;R35)+(calc!$Q$3:$Q$67&lt;Q35)*(calc!$R$3:$R$67&lt;R35))&gt;0))-SUMPRODUCT(--(calc!$L$3:$L$67=TRUE),--(ROW(calc!$L$3:$L$67)&gt;ROW(L35)),--(((calc!$Q$3:$Q$67&gt;Q35)*(calc!$R$3:$R$67&lt;R35)+(calc!$Q$3:$Q$67&lt;Q35)*(calc!$R$3:$R$67&gt;R35))&gt;0)),0)</f>
        <v/>
      </c>
      <c r="T35" s="5">
        <f>IF(mos_metrics!H34="","",mos_metrics!H34)</f>
        <v/>
      </c>
      <c r="U35" s="2">
        <f>AND($J35,ISNUMBER(T35),correlation!$I$27=1)</f>
        <v/>
      </c>
      <c r="V35" s="5">
        <f>IF(U35,$F35,"")</f>
        <v/>
      </c>
      <c r="W35" s="5">
        <f>IF(U35,T35*correlation!$J$27,"")</f>
        <v/>
      </c>
      <c r="X35" s="5">
        <f>IF(AND(U35,ISNUMBER(correlation!$F$27)),W35*correlation!$F$27+correlation!$G$27,"")</f>
        <v/>
      </c>
      <c r="Y35" s="5">
        <f>IF(AND(U35,ISNUMBER(X35)),(V35-X35)^2,"")</f>
        <v/>
      </c>
      <c r="Z35" s="5">
        <f>IF(U35,1+SUMPRODUCT(--(calc!$U$3:$U$67=TRUE),--(calc!$V$3:$V$67&gt;V35))+(SUMPRODUCT(--(calc!$U$3:$U$67=TRUE),--(calc!$V$3:$V$67=V35))-1)/2,"")</f>
        <v/>
      </c>
      <c r="AA35" s="5">
        <f>IF(U35,1+SUMPRODUCT(--(calc!$U$3:$U$67=TRUE),--(calc!$W$3:$W$67&gt;W35))+(SUMPRODUCT(--(calc!$U$3:$U$67=TRUE),--(calc!$W$3:$W$67=W35))-1)/2,"")</f>
        <v/>
      </c>
      <c r="AB35" s="5">
        <f>IF(U35,SUMPRODUCT(--(calc!$U$3:$U$67=TRUE),--(ROW(calc!$U$3:$U$67)&gt;ROW(U35)),--(((calc!$Z$3:$Z$67&gt;Z35)*(calc!$AA$3:$AA$67&gt;AA35)+(calc!$Z$3:$Z$67&lt;Z35)*(calc!$AA$3:$AA$67&lt;AA35))&gt;0))-SUMPRODUCT(--(calc!$U$3:$U$67=TRUE),--(ROW(calc!$U$3:$U$67)&gt;ROW(U35)),--(((calc!$Z$3:$Z$67&gt;Z35)*(calc!$AA$3:$AA$67&lt;AA35)+(calc!$Z$3:$Z$67&lt;Z35)*(calc!$AA$3:$AA$67&gt;AA35))&gt;0)),0)</f>
        <v/>
      </c>
      <c r="AC35" s="5">
        <f>IF(mos_metrics!I34="","",mos_metrics!I34)</f>
        <v/>
      </c>
      <c r="AD35" s="2">
        <f>AND($J35,ISNUMBER(AC35),correlation!$I$28=1)</f>
        <v/>
      </c>
      <c r="AE35" s="5">
        <f>IF(AD35,$F35,"")</f>
        <v/>
      </c>
      <c r="AF35" s="5">
        <f>IF(AD35,AC35*correlation!$J$28,"")</f>
        <v/>
      </c>
      <c r="AG35" s="5">
        <f>IF(AND(AD35,ISNUMBER(correlation!$F$28)),AF35*correlation!$F$28+correlation!$G$28,"")</f>
        <v/>
      </c>
      <c r="AH35" s="5">
        <f>IF(AND(AD35,ISNUMBER(AG35)),(AE35-AG35)^2,"")</f>
        <v/>
      </c>
      <c r="AI35" s="5">
        <f>IF(AD35,1+SUMPRODUCT(--(calc!$AD$3:$AD$67=TRUE),--(calc!$AE$3:$AE$67&gt;AE35))+(SUMPRODUCT(--(calc!$AD$3:$AD$67=TRUE),--(calc!$AE$3:$AE$67=AE35))-1)/2,"")</f>
        <v/>
      </c>
      <c r="AJ35" s="5">
        <f>IF(AD35,1+SUMPRODUCT(--(calc!$AD$3:$AD$67=TRUE),--(calc!$AF$3:$AF$67&gt;AF35))+(SUMPRODUCT(--(calc!$AD$3:$AD$67=TRUE),--(calc!$AF$3:$AF$67=AF35))-1)/2,"")</f>
        <v/>
      </c>
      <c r="AK35" s="5">
        <f>IF(AD35,SUMPRODUCT(--(calc!$AD$3:$AD$67=TRUE),--(ROW(calc!$AD$3:$AD$67)&gt;ROW(AD35)),--(((calc!$AI$3:$AI$67&gt;AI35)*(calc!$AJ$3:$AJ$67&gt;AJ35)+(calc!$AI$3:$AI$67&lt;AI35)*(calc!$AJ$3:$AJ$67&lt;AJ35))&gt;0))-SUMPRODUCT(--(calc!$AD$3:$AD$67=TRUE),--(ROW(calc!$AD$3:$AD$67)&gt;ROW(AD35)),--(((calc!$AI$3:$AI$67&gt;AI35)*(calc!$AJ$3:$AJ$67&lt;AJ35)+(calc!$AI$3:$AI$67&lt;AI35)*(calc!$AJ$3:$AJ$67&gt;AJ35))&gt;0)),0)</f>
        <v/>
      </c>
      <c r="AL35" s="5">
        <f>IF(mos_metrics!J34="","",mos_metrics!J34)</f>
        <v/>
      </c>
      <c r="AM35" s="2">
        <f>AND($J35,ISNUMBER(AL35),correlation!$I$29=1)</f>
        <v/>
      </c>
      <c r="AN35" s="5">
        <f>IF(AM35,$F35,"")</f>
        <v/>
      </c>
      <c r="AO35" s="5">
        <f>IF(AM35,AL35*correlation!$J$29,"")</f>
        <v/>
      </c>
      <c r="AP35" s="5">
        <f>IF(AND(AM35,ISNUMBER(correlation!$F$29)),AO35*correlation!$F$29+correlation!$G$29,"")</f>
        <v/>
      </c>
      <c r="AQ35" s="5">
        <f>IF(AND(AM35,ISNUMBER(AP35)),(AN35-AP35)^2,"")</f>
        <v/>
      </c>
      <c r="AR35" s="5">
        <f>IF(AM35,1+SUMPRODUCT(--(calc!$AM$3:$AM$67=TRUE),--(calc!$AN$3:$AN$67&gt;AN35))+(SUMPRODUCT(--(calc!$AM$3:$AM$67=TRUE),--(calc!$AN$3:$AN$67=AN35))-1)/2,"")</f>
        <v/>
      </c>
      <c r="AS35" s="5">
        <f>IF(AM35,1+SUMPRODUCT(--(calc!$AM$3:$AM$67=TRUE),--(calc!$AO$3:$AO$67&gt;AO35))+(SUMPRODUCT(--(calc!$AM$3:$AM$67=TRUE),--(calc!$AO$3:$AO$67=AO35))-1)/2,"")</f>
        <v/>
      </c>
      <c r="AT35" s="5">
        <f>IF(AM35,SUMPRODUCT(--(calc!$AM$3:$AM$67=TRUE),--(ROW(calc!$AM$3:$AM$67)&gt;ROW(AM35)),--(((calc!$AR$3:$AR$67&gt;AR35)*(calc!$AS$3:$AS$67&gt;AS35)+(calc!$AR$3:$AR$67&lt;AR35)*(calc!$AS$3:$AS$67&lt;AS35))&gt;0))-SUMPRODUCT(--(calc!$AM$3:$AM$67=TRUE),--(ROW(calc!$AM$3:$AM$67)&gt;ROW(AM35)),--(((calc!$AR$3:$AR$67&gt;AR35)*(calc!$AS$3:$AS$67&lt;AS35)+(calc!$AR$3:$AR$67&lt;AR35)*(calc!$AS$3:$AS$67&gt;AS35))&gt;0)),0)</f>
        <v/>
      </c>
      <c r="AU35" s="5">
        <f>IF(mos_metrics!K34="","",mos_metrics!K34)</f>
        <v/>
      </c>
      <c r="AV35" s="2">
        <f>AND($J35,ISNUMBER(AU35),correlation!$I$30=1)</f>
        <v/>
      </c>
      <c r="AW35" s="5">
        <f>IF(AV35,$F35,"")</f>
        <v/>
      </c>
      <c r="AX35" s="5">
        <f>IF(AV35,AU35*correlation!$J$30,"")</f>
        <v/>
      </c>
      <c r="AY35" s="5">
        <f>IF(AND(AV35,ISNUMBER(correlation!$F$30)),AX35*correlation!$F$30+correlation!$G$30,"")</f>
        <v/>
      </c>
      <c r="AZ35" s="5">
        <f>IF(AND(AV35,ISNUMBER(AY35)),(AW35-AY35)^2,"")</f>
        <v/>
      </c>
      <c r="BA35" s="5">
        <f>IF(AV35,1+SUMPRODUCT(--(calc!$AV$3:$AV$67=TRUE),--(calc!$AW$3:$AW$67&gt;AW35))+(SUMPRODUCT(--(calc!$AV$3:$AV$67=TRUE),--(calc!$AW$3:$AW$67=AW35))-1)/2,"")</f>
        <v/>
      </c>
      <c r="BB35" s="5">
        <f>IF(AV35,1+SUMPRODUCT(--(calc!$AV$3:$AV$67=TRUE),--(calc!$AX$3:$AX$67&gt;AX35))+(SUMPRODUCT(--(calc!$AV$3:$AV$67=TRUE),--(calc!$AX$3:$AX$67=AX35))-1)/2,"")</f>
        <v/>
      </c>
      <c r="BC35" s="5">
        <f>IF(AV35,SUMPRODUCT(--(calc!$AV$3:$AV$67=TRUE),--(ROW(calc!$AV$3:$AV$67)&gt;ROW(AV35)),--(((calc!$BA$3:$BA$67&gt;BA35)*(calc!$BB$3:$BB$67&gt;BB35)+(calc!$BA$3:$BA$67&lt;BA35)*(calc!$BB$3:$BB$67&lt;BB35))&gt;0))-SUMPRODUCT(--(calc!$AV$3:$AV$67=TRUE),--(ROW(calc!$AV$3:$AV$67)&gt;ROW(AV35)),--(((calc!$BA$3:$BA$67&gt;BA35)*(calc!$BB$3:$BB$67&lt;BB35)+(calc!$BA$3:$BA$67&lt;BA35)*(calc!$BB$3:$BB$67&gt;BB35))&gt;0)),0)</f>
        <v/>
      </c>
      <c r="BD35" s="5">
        <f>IF(mos_metrics!L34="","",mos_metrics!L34)</f>
        <v/>
      </c>
      <c r="BE35" s="2">
        <f>AND($J35,ISNUMBER(BD35),correlation!$I$31=1)</f>
        <v/>
      </c>
      <c r="BF35" s="5">
        <f>IF(BE35,$F35,"")</f>
        <v/>
      </c>
      <c r="BG35" s="5">
        <f>IF(BE35,BD35*correlation!$J$31,"")</f>
        <v/>
      </c>
      <c r="BH35" s="5">
        <f>IF(AND(BE35,ISNUMBER(correlation!$F$31)),BG35*correlation!$F$31+correlation!$G$31,"")</f>
        <v/>
      </c>
      <c r="BI35" s="5">
        <f>IF(AND(BE35,ISNUMBER(BH35)),(BF35-BH35)^2,"")</f>
        <v/>
      </c>
      <c r="BJ35" s="5">
        <f>IF(BE35,1+SUMPRODUCT(--(calc!$BE$3:$BE$67=TRUE),--(calc!$BF$3:$BF$67&gt;BF35))+(SUMPRODUCT(--(calc!$BE$3:$BE$67=TRUE),--(calc!$BF$3:$BF$67=BF35))-1)/2,"")</f>
        <v/>
      </c>
      <c r="BK35" s="5">
        <f>IF(BE35,1+SUMPRODUCT(--(calc!$BE$3:$BE$67=TRUE),--(calc!$BG$3:$BG$67&gt;BG35))+(SUMPRODUCT(--(calc!$BE$3:$BE$67=TRUE),--(calc!$BG$3:$BG$67=BG35))-1)/2,"")</f>
        <v/>
      </c>
      <c r="BL35" s="5">
        <f>IF(BE35,SUMPRODUCT(--(calc!$BE$3:$BE$67=TRUE),--(ROW(calc!$BE$3:$BE$67)&gt;ROW(BE35)),--(((calc!$BJ$3:$BJ$67&gt;BJ35)*(calc!$BK$3:$BK$67&gt;BK35)+(calc!$BJ$3:$BJ$67&lt;BJ35)*(calc!$BK$3:$BK$67&lt;BK35))&gt;0))-SUMPRODUCT(--(calc!$BE$3:$BE$67=TRUE),--(ROW(calc!$BE$3:$BE$67)&gt;ROW(BE35)),--(((calc!$BJ$3:$BJ$67&gt;BJ35)*(calc!$BK$3:$BK$67&lt;BK35)+(calc!$BJ$3:$BJ$67&lt;BJ35)*(calc!$BK$3:$BK$67&gt;BK35))&gt;0)),0)</f>
        <v/>
      </c>
      <c r="BM35" s="5">
        <f>IF(mos_metrics!M34="","",mos_metrics!M34)</f>
        <v/>
      </c>
      <c r="BN35" s="2">
        <f>AND($J35,ISNUMBER(BM35),correlation!$I$32=1)</f>
        <v/>
      </c>
      <c r="BO35" s="5">
        <f>IF(BN35,$F35,"")</f>
        <v/>
      </c>
      <c r="BP35" s="5">
        <f>IF(BN35,BM35*correlation!$J$32,"")</f>
        <v/>
      </c>
      <c r="BQ35" s="5">
        <f>IF(AND(BN35,ISNUMBER(correlation!$F$32)),BP35*correlation!$F$32+correlation!$G$32,"")</f>
        <v/>
      </c>
      <c r="BR35" s="5">
        <f>IF(AND(BN35,ISNUMBER(BQ35)),(BO35-BQ35)^2,"")</f>
        <v/>
      </c>
      <c r="BS35" s="5">
        <f>IF(BN35,1+SUMPRODUCT(--(calc!$BN$3:$BN$67=TRUE),--(calc!$BO$3:$BO$67&gt;BO35))+(SUMPRODUCT(--(calc!$BN$3:$BN$67=TRUE),--(calc!$BO$3:$BO$67=BO35))-1)/2,"")</f>
        <v/>
      </c>
      <c r="BT35" s="5">
        <f>IF(BN35,1+SUMPRODUCT(--(calc!$BN$3:$BN$67=TRUE),--(calc!$BP$3:$BP$67&gt;BP35))+(SUMPRODUCT(--(calc!$BN$3:$BN$67=TRUE),--(calc!$BP$3:$BP$67=BP35))-1)/2,"")</f>
        <v/>
      </c>
      <c r="BU35" s="5">
        <f>IF(BN35,SUMPRODUCT(--(calc!$BN$3:$BN$67=TRUE),--(ROW(calc!$BN$3:$BN$67)&gt;ROW(BN35)),--(((calc!$BS$3:$BS$67&gt;BS35)*(calc!$BT$3:$BT$67&gt;BT35)+(calc!$BS$3:$BS$67&lt;BS35)*(calc!$BT$3:$BT$67&lt;BT35))&gt;0))-SUMPRODUCT(--(calc!$BN$3:$BN$67=TRUE),--(ROW(calc!$BN$3:$BN$67)&gt;ROW(BN35)),--(((calc!$BS$3:$BS$67&gt;BS35)*(calc!$BT$3:$BT$67&lt;BT35)+(calc!$BS$3:$BS$67&lt;BS35)*(calc!$BT$3:$BT$67&gt;BT35))&gt;0)),0)</f>
        <v/>
      </c>
    </row>
    <row r="36">
      <c r="A36" s="2">
        <f>mos_metrics!A35</f>
        <v/>
      </c>
      <c r="B36" s="2">
        <f>mos_metrics!B35</f>
        <v/>
      </c>
      <c r="C36" s="2">
        <f>mos_metrics!C35</f>
        <v/>
      </c>
      <c r="D36" s="2">
        <f>mos_metrics!D35</f>
        <v/>
      </c>
      <c r="E36" s="2">
        <f>mos_metrics!E35</f>
        <v/>
      </c>
      <c r="F36" s="2">
        <f>mos_metrics!F35</f>
        <v/>
      </c>
      <c r="G36" s="2">
        <f>IF($B36="","",IFERROR(VLOOKUP($B36,correlation!$A$2:$B$6,2,FALSE),1))</f>
        <v/>
      </c>
      <c r="H36" s="2">
        <f>IF($E36="","",IFERROR(VLOOKUP($E36,correlation!$D$2:$E$8,2,FALSE),1))</f>
        <v/>
      </c>
      <c r="I36" s="2">
        <f>ISNUMBER($F36)</f>
        <v/>
      </c>
      <c r="J36" s="2">
        <f>AND($G36=1,$H36=1,$I36)</f>
        <v/>
      </c>
      <c r="K36" s="5">
        <f>IF(mos_metrics!G35="","",mos_metrics!G35)</f>
        <v/>
      </c>
      <c r="L36" s="2">
        <f>AND($J36,ISNUMBER(K36),correlation!$I$26=1)</f>
        <v/>
      </c>
      <c r="M36" s="5">
        <f>IF(L36,$F36,"")</f>
        <v/>
      </c>
      <c r="N36" s="5">
        <f>IF(L36,K36*correlation!$J$26,"")</f>
        <v/>
      </c>
      <c r="O36" s="5">
        <f>IF(AND(L36,ISNUMBER(correlation!$F$26)),N36*correlation!$F$26+correlation!$G$26,"")</f>
        <v/>
      </c>
      <c r="P36" s="5">
        <f>IF(AND(L36,ISNUMBER(O36)),(M36-O36)^2,"")</f>
        <v/>
      </c>
      <c r="Q36" s="5">
        <f>IF(L36,1+SUMPRODUCT(--(calc!$L$3:$L$67=TRUE),--(calc!$M$3:$M$67&gt;M36))+(SUMPRODUCT(--(calc!$L$3:$L$67=TRUE),--(calc!$M$3:$M$67=M36))-1)/2,"")</f>
        <v/>
      </c>
      <c r="R36" s="5">
        <f>IF(L36,1+SUMPRODUCT(--(calc!$L$3:$L$67=TRUE),--(calc!$N$3:$N$67&gt;N36))+(SUMPRODUCT(--(calc!$L$3:$L$67=TRUE),--(calc!$N$3:$N$67=N36))-1)/2,"")</f>
        <v/>
      </c>
      <c r="S36" s="5">
        <f>IF(L36,SUMPRODUCT(--(calc!$L$3:$L$67=TRUE),--(ROW(calc!$L$3:$L$67)&gt;ROW(L36)),--(((calc!$Q$3:$Q$67&gt;Q36)*(calc!$R$3:$R$67&gt;R36)+(calc!$Q$3:$Q$67&lt;Q36)*(calc!$R$3:$R$67&lt;R36))&gt;0))-SUMPRODUCT(--(calc!$L$3:$L$67=TRUE),--(ROW(calc!$L$3:$L$67)&gt;ROW(L36)),--(((calc!$Q$3:$Q$67&gt;Q36)*(calc!$R$3:$R$67&lt;R36)+(calc!$Q$3:$Q$67&lt;Q36)*(calc!$R$3:$R$67&gt;R36))&gt;0)),0)</f>
        <v/>
      </c>
      <c r="T36" s="5">
        <f>IF(mos_metrics!H35="","",mos_metrics!H35)</f>
        <v/>
      </c>
      <c r="U36" s="2">
        <f>AND($J36,ISNUMBER(T36),correlation!$I$27=1)</f>
        <v/>
      </c>
      <c r="V36" s="5">
        <f>IF(U36,$F36,"")</f>
        <v/>
      </c>
      <c r="W36" s="5">
        <f>IF(U36,T36*correlation!$J$27,"")</f>
        <v/>
      </c>
      <c r="X36" s="5">
        <f>IF(AND(U36,ISNUMBER(correlation!$F$27)),W36*correlation!$F$27+correlation!$G$27,"")</f>
        <v/>
      </c>
      <c r="Y36" s="5">
        <f>IF(AND(U36,ISNUMBER(X36)),(V36-X36)^2,"")</f>
        <v/>
      </c>
      <c r="Z36" s="5">
        <f>IF(U36,1+SUMPRODUCT(--(calc!$U$3:$U$67=TRUE),--(calc!$V$3:$V$67&gt;V36))+(SUMPRODUCT(--(calc!$U$3:$U$67=TRUE),--(calc!$V$3:$V$67=V36))-1)/2,"")</f>
        <v/>
      </c>
      <c r="AA36" s="5">
        <f>IF(U36,1+SUMPRODUCT(--(calc!$U$3:$U$67=TRUE),--(calc!$W$3:$W$67&gt;W36))+(SUMPRODUCT(--(calc!$U$3:$U$67=TRUE),--(calc!$W$3:$W$67=W36))-1)/2,"")</f>
        <v/>
      </c>
      <c r="AB36" s="5">
        <f>IF(U36,SUMPRODUCT(--(calc!$U$3:$U$67=TRUE),--(ROW(calc!$U$3:$U$67)&gt;ROW(U36)),--(((calc!$Z$3:$Z$67&gt;Z36)*(calc!$AA$3:$AA$67&gt;AA36)+(calc!$Z$3:$Z$67&lt;Z36)*(calc!$AA$3:$AA$67&lt;AA36))&gt;0))-SUMPRODUCT(--(calc!$U$3:$U$67=TRUE),--(ROW(calc!$U$3:$U$67)&gt;ROW(U36)),--(((calc!$Z$3:$Z$67&gt;Z36)*(calc!$AA$3:$AA$67&lt;AA36)+(calc!$Z$3:$Z$67&lt;Z36)*(calc!$AA$3:$AA$67&gt;AA36))&gt;0)),0)</f>
        <v/>
      </c>
      <c r="AC36" s="5">
        <f>IF(mos_metrics!I35="","",mos_metrics!I35)</f>
        <v/>
      </c>
      <c r="AD36" s="2">
        <f>AND($J36,ISNUMBER(AC36),correlation!$I$28=1)</f>
        <v/>
      </c>
      <c r="AE36" s="5">
        <f>IF(AD36,$F36,"")</f>
        <v/>
      </c>
      <c r="AF36" s="5">
        <f>IF(AD36,AC36*correlation!$J$28,"")</f>
        <v/>
      </c>
      <c r="AG36" s="5">
        <f>IF(AND(AD36,ISNUMBER(correlation!$F$28)),AF36*correlation!$F$28+correlation!$G$28,"")</f>
        <v/>
      </c>
      <c r="AH36" s="5">
        <f>IF(AND(AD36,ISNUMBER(AG36)),(AE36-AG36)^2,"")</f>
        <v/>
      </c>
      <c r="AI36" s="5">
        <f>IF(AD36,1+SUMPRODUCT(--(calc!$AD$3:$AD$67=TRUE),--(calc!$AE$3:$AE$67&gt;AE36))+(SUMPRODUCT(--(calc!$AD$3:$AD$67=TRUE),--(calc!$AE$3:$AE$67=AE36))-1)/2,"")</f>
        <v/>
      </c>
      <c r="AJ36" s="5">
        <f>IF(AD36,1+SUMPRODUCT(--(calc!$AD$3:$AD$67=TRUE),--(calc!$AF$3:$AF$67&gt;AF36))+(SUMPRODUCT(--(calc!$AD$3:$AD$67=TRUE),--(calc!$AF$3:$AF$67=AF36))-1)/2,"")</f>
        <v/>
      </c>
      <c r="AK36" s="5">
        <f>IF(AD36,SUMPRODUCT(--(calc!$AD$3:$AD$67=TRUE),--(ROW(calc!$AD$3:$AD$67)&gt;ROW(AD36)),--(((calc!$AI$3:$AI$67&gt;AI36)*(calc!$AJ$3:$AJ$67&gt;AJ36)+(calc!$AI$3:$AI$67&lt;AI36)*(calc!$AJ$3:$AJ$67&lt;AJ36))&gt;0))-SUMPRODUCT(--(calc!$AD$3:$AD$67=TRUE),--(ROW(calc!$AD$3:$AD$67)&gt;ROW(AD36)),--(((calc!$AI$3:$AI$67&gt;AI36)*(calc!$AJ$3:$AJ$67&lt;AJ36)+(calc!$AI$3:$AI$67&lt;AI36)*(calc!$AJ$3:$AJ$67&gt;AJ36))&gt;0)),0)</f>
        <v/>
      </c>
      <c r="AL36" s="5">
        <f>IF(mos_metrics!J35="","",mos_metrics!J35)</f>
        <v/>
      </c>
      <c r="AM36" s="2">
        <f>AND($J36,ISNUMBER(AL36),correlation!$I$29=1)</f>
        <v/>
      </c>
      <c r="AN36" s="5">
        <f>IF(AM36,$F36,"")</f>
        <v/>
      </c>
      <c r="AO36" s="5">
        <f>IF(AM36,AL36*correlation!$J$29,"")</f>
        <v/>
      </c>
      <c r="AP36" s="5">
        <f>IF(AND(AM36,ISNUMBER(correlation!$F$29)),AO36*correlation!$F$29+correlation!$G$29,"")</f>
        <v/>
      </c>
      <c r="AQ36" s="5">
        <f>IF(AND(AM36,ISNUMBER(AP36)),(AN36-AP36)^2,"")</f>
        <v/>
      </c>
      <c r="AR36" s="5">
        <f>IF(AM36,1+SUMPRODUCT(--(calc!$AM$3:$AM$67=TRUE),--(calc!$AN$3:$AN$67&gt;AN36))+(SUMPRODUCT(--(calc!$AM$3:$AM$67=TRUE),--(calc!$AN$3:$AN$67=AN36))-1)/2,"")</f>
        <v/>
      </c>
      <c r="AS36" s="5">
        <f>IF(AM36,1+SUMPRODUCT(--(calc!$AM$3:$AM$67=TRUE),--(calc!$AO$3:$AO$67&gt;AO36))+(SUMPRODUCT(--(calc!$AM$3:$AM$67=TRUE),--(calc!$AO$3:$AO$67=AO36))-1)/2,"")</f>
        <v/>
      </c>
      <c r="AT36" s="5">
        <f>IF(AM36,SUMPRODUCT(--(calc!$AM$3:$AM$67=TRUE),--(ROW(calc!$AM$3:$AM$67)&gt;ROW(AM36)),--(((calc!$AR$3:$AR$67&gt;AR36)*(calc!$AS$3:$AS$67&gt;AS36)+(calc!$AR$3:$AR$67&lt;AR36)*(calc!$AS$3:$AS$67&lt;AS36))&gt;0))-SUMPRODUCT(--(calc!$AM$3:$AM$67=TRUE),--(ROW(calc!$AM$3:$AM$67)&gt;ROW(AM36)),--(((calc!$AR$3:$AR$67&gt;AR36)*(calc!$AS$3:$AS$67&lt;AS36)+(calc!$AR$3:$AR$67&lt;AR36)*(calc!$AS$3:$AS$67&gt;AS36))&gt;0)),0)</f>
        <v/>
      </c>
      <c r="AU36" s="5">
        <f>IF(mos_metrics!K35="","",mos_metrics!K35)</f>
        <v/>
      </c>
      <c r="AV36" s="2">
        <f>AND($J36,ISNUMBER(AU36),correlation!$I$30=1)</f>
        <v/>
      </c>
      <c r="AW36" s="5">
        <f>IF(AV36,$F36,"")</f>
        <v/>
      </c>
      <c r="AX36" s="5">
        <f>IF(AV36,AU36*correlation!$J$30,"")</f>
        <v/>
      </c>
      <c r="AY36" s="5">
        <f>IF(AND(AV36,ISNUMBER(correlation!$F$30)),AX36*correlation!$F$30+correlation!$G$30,"")</f>
        <v/>
      </c>
      <c r="AZ36" s="5">
        <f>IF(AND(AV36,ISNUMBER(AY36)),(AW36-AY36)^2,"")</f>
        <v/>
      </c>
      <c r="BA36" s="5">
        <f>IF(AV36,1+SUMPRODUCT(--(calc!$AV$3:$AV$67=TRUE),--(calc!$AW$3:$AW$67&gt;AW36))+(SUMPRODUCT(--(calc!$AV$3:$AV$67=TRUE),--(calc!$AW$3:$AW$67=AW36))-1)/2,"")</f>
        <v/>
      </c>
      <c r="BB36" s="5">
        <f>IF(AV36,1+SUMPRODUCT(--(calc!$AV$3:$AV$67=TRUE),--(calc!$AX$3:$AX$67&gt;AX36))+(SUMPRODUCT(--(calc!$AV$3:$AV$67=TRUE),--(calc!$AX$3:$AX$67=AX36))-1)/2,"")</f>
        <v/>
      </c>
      <c r="BC36" s="5">
        <f>IF(AV36,SUMPRODUCT(--(calc!$AV$3:$AV$67=TRUE),--(ROW(calc!$AV$3:$AV$67)&gt;ROW(AV36)),--(((calc!$BA$3:$BA$67&gt;BA36)*(calc!$BB$3:$BB$67&gt;BB36)+(calc!$BA$3:$BA$67&lt;BA36)*(calc!$BB$3:$BB$67&lt;BB36))&gt;0))-SUMPRODUCT(--(calc!$AV$3:$AV$67=TRUE),--(ROW(calc!$AV$3:$AV$67)&gt;ROW(AV36)),--(((calc!$BA$3:$BA$67&gt;BA36)*(calc!$BB$3:$BB$67&lt;BB36)+(calc!$BA$3:$BA$67&lt;BA36)*(calc!$BB$3:$BB$67&gt;BB36))&gt;0)),0)</f>
        <v/>
      </c>
      <c r="BD36" s="5">
        <f>IF(mos_metrics!L35="","",mos_metrics!L35)</f>
        <v/>
      </c>
      <c r="BE36" s="2">
        <f>AND($J36,ISNUMBER(BD36),correlation!$I$31=1)</f>
        <v/>
      </c>
      <c r="BF36" s="5">
        <f>IF(BE36,$F36,"")</f>
        <v/>
      </c>
      <c r="BG36" s="5">
        <f>IF(BE36,BD36*correlation!$J$31,"")</f>
        <v/>
      </c>
      <c r="BH36" s="5">
        <f>IF(AND(BE36,ISNUMBER(correlation!$F$31)),BG36*correlation!$F$31+correlation!$G$31,"")</f>
        <v/>
      </c>
      <c r="BI36" s="5">
        <f>IF(AND(BE36,ISNUMBER(BH36)),(BF36-BH36)^2,"")</f>
        <v/>
      </c>
      <c r="BJ36" s="5">
        <f>IF(BE36,1+SUMPRODUCT(--(calc!$BE$3:$BE$67=TRUE),--(calc!$BF$3:$BF$67&gt;BF36))+(SUMPRODUCT(--(calc!$BE$3:$BE$67=TRUE),--(calc!$BF$3:$BF$67=BF36))-1)/2,"")</f>
        <v/>
      </c>
      <c r="BK36" s="5">
        <f>IF(BE36,1+SUMPRODUCT(--(calc!$BE$3:$BE$67=TRUE),--(calc!$BG$3:$BG$67&gt;BG36))+(SUMPRODUCT(--(calc!$BE$3:$BE$67=TRUE),--(calc!$BG$3:$BG$67=BG36))-1)/2,"")</f>
        <v/>
      </c>
      <c r="BL36" s="5">
        <f>IF(BE36,SUMPRODUCT(--(calc!$BE$3:$BE$67=TRUE),--(ROW(calc!$BE$3:$BE$67)&gt;ROW(BE36)),--(((calc!$BJ$3:$BJ$67&gt;BJ36)*(calc!$BK$3:$BK$67&gt;BK36)+(calc!$BJ$3:$BJ$67&lt;BJ36)*(calc!$BK$3:$BK$67&lt;BK36))&gt;0))-SUMPRODUCT(--(calc!$BE$3:$BE$67=TRUE),--(ROW(calc!$BE$3:$BE$67)&gt;ROW(BE36)),--(((calc!$BJ$3:$BJ$67&gt;BJ36)*(calc!$BK$3:$BK$67&lt;BK36)+(calc!$BJ$3:$BJ$67&lt;BJ36)*(calc!$BK$3:$BK$67&gt;BK36))&gt;0)),0)</f>
        <v/>
      </c>
      <c r="BM36" s="5">
        <f>IF(mos_metrics!M35="","",mos_metrics!M35)</f>
        <v/>
      </c>
      <c r="BN36" s="2">
        <f>AND($J36,ISNUMBER(BM36),correlation!$I$32=1)</f>
        <v/>
      </c>
      <c r="BO36" s="5">
        <f>IF(BN36,$F36,"")</f>
        <v/>
      </c>
      <c r="BP36" s="5">
        <f>IF(BN36,BM36*correlation!$J$32,"")</f>
        <v/>
      </c>
      <c r="BQ36" s="5">
        <f>IF(AND(BN36,ISNUMBER(correlation!$F$32)),BP36*correlation!$F$32+correlation!$G$32,"")</f>
        <v/>
      </c>
      <c r="BR36" s="5">
        <f>IF(AND(BN36,ISNUMBER(BQ36)),(BO36-BQ36)^2,"")</f>
        <v/>
      </c>
      <c r="BS36" s="5">
        <f>IF(BN36,1+SUMPRODUCT(--(calc!$BN$3:$BN$67=TRUE),--(calc!$BO$3:$BO$67&gt;BO36))+(SUMPRODUCT(--(calc!$BN$3:$BN$67=TRUE),--(calc!$BO$3:$BO$67=BO36))-1)/2,"")</f>
        <v/>
      </c>
      <c r="BT36" s="5">
        <f>IF(BN36,1+SUMPRODUCT(--(calc!$BN$3:$BN$67=TRUE),--(calc!$BP$3:$BP$67&gt;BP36))+(SUMPRODUCT(--(calc!$BN$3:$BN$67=TRUE),--(calc!$BP$3:$BP$67=BP36))-1)/2,"")</f>
        <v/>
      </c>
      <c r="BU36" s="5">
        <f>IF(BN36,SUMPRODUCT(--(calc!$BN$3:$BN$67=TRUE),--(ROW(calc!$BN$3:$BN$67)&gt;ROW(BN36)),--(((calc!$BS$3:$BS$67&gt;BS36)*(calc!$BT$3:$BT$67&gt;BT36)+(calc!$BS$3:$BS$67&lt;BS36)*(calc!$BT$3:$BT$67&lt;BT36))&gt;0))-SUMPRODUCT(--(calc!$BN$3:$BN$67=TRUE),--(ROW(calc!$BN$3:$BN$67)&gt;ROW(BN36)),--(((calc!$BS$3:$BS$67&gt;BS36)*(calc!$BT$3:$BT$67&lt;BT36)+(calc!$BS$3:$BS$67&lt;BS36)*(calc!$BT$3:$BT$67&gt;BT36))&gt;0)),0)</f>
        <v/>
      </c>
    </row>
    <row r="37">
      <c r="A37" s="2">
        <f>mos_metrics!A36</f>
        <v/>
      </c>
      <c r="B37" s="2">
        <f>mos_metrics!B36</f>
        <v/>
      </c>
      <c r="C37" s="2">
        <f>mos_metrics!C36</f>
        <v/>
      </c>
      <c r="D37" s="2">
        <f>mos_metrics!D36</f>
        <v/>
      </c>
      <c r="E37" s="2">
        <f>mos_metrics!E36</f>
        <v/>
      </c>
      <c r="F37" s="2">
        <f>mos_metrics!F36</f>
        <v/>
      </c>
      <c r="G37" s="2">
        <f>IF($B37="","",IFERROR(VLOOKUP($B37,correlation!$A$2:$B$6,2,FALSE),1))</f>
        <v/>
      </c>
      <c r="H37" s="2">
        <f>IF($E37="","",IFERROR(VLOOKUP($E37,correlation!$D$2:$E$8,2,FALSE),1))</f>
        <v/>
      </c>
      <c r="I37" s="2">
        <f>ISNUMBER($F37)</f>
        <v/>
      </c>
      <c r="J37" s="2">
        <f>AND($G37=1,$H37=1,$I37)</f>
        <v/>
      </c>
      <c r="K37" s="5">
        <f>IF(mos_metrics!G36="","",mos_metrics!G36)</f>
        <v/>
      </c>
      <c r="L37" s="2">
        <f>AND($J37,ISNUMBER(K37),correlation!$I$26=1)</f>
        <v/>
      </c>
      <c r="M37" s="5">
        <f>IF(L37,$F37,"")</f>
        <v/>
      </c>
      <c r="N37" s="5">
        <f>IF(L37,K37*correlation!$J$26,"")</f>
        <v/>
      </c>
      <c r="O37" s="5">
        <f>IF(AND(L37,ISNUMBER(correlation!$F$26)),N37*correlation!$F$26+correlation!$G$26,"")</f>
        <v/>
      </c>
      <c r="P37" s="5">
        <f>IF(AND(L37,ISNUMBER(O37)),(M37-O37)^2,"")</f>
        <v/>
      </c>
      <c r="Q37" s="5">
        <f>IF(L37,1+SUMPRODUCT(--(calc!$L$3:$L$67=TRUE),--(calc!$M$3:$M$67&gt;M37))+(SUMPRODUCT(--(calc!$L$3:$L$67=TRUE),--(calc!$M$3:$M$67=M37))-1)/2,"")</f>
        <v/>
      </c>
      <c r="R37" s="5">
        <f>IF(L37,1+SUMPRODUCT(--(calc!$L$3:$L$67=TRUE),--(calc!$N$3:$N$67&gt;N37))+(SUMPRODUCT(--(calc!$L$3:$L$67=TRUE),--(calc!$N$3:$N$67=N37))-1)/2,"")</f>
        <v/>
      </c>
      <c r="S37" s="5">
        <f>IF(L37,SUMPRODUCT(--(calc!$L$3:$L$67=TRUE),--(ROW(calc!$L$3:$L$67)&gt;ROW(L37)),--(((calc!$Q$3:$Q$67&gt;Q37)*(calc!$R$3:$R$67&gt;R37)+(calc!$Q$3:$Q$67&lt;Q37)*(calc!$R$3:$R$67&lt;R37))&gt;0))-SUMPRODUCT(--(calc!$L$3:$L$67=TRUE),--(ROW(calc!$L$3:$L$67)&gt;ROW(L37)),--(((calc!$Q$3:$Q$67&gt;Q37)*(calc!$R$3:$R$67&lt;R37)+(calc!$Q$3:$Q$67&lt;Q37)*(calc!$R$3:$R$67&gt;R37))&gt;0)),0)</f>
        <v/>
      </c>
      <c r="T37" s="5">
        <f>IF(mos_metrics!H36="","",mos_metrics!H36)</f>
        <v/>
      </c>
      <c r="U37" s="2">
        <f>AND($J37,ISNUMBER(T37),correlation!$I$27=1)</f>
        <v/>
      </c>
      <c r="V37" s="5">
        <f>IF(U37,$F37,"")</f>
        <v/>
      </c>
      <c r="W37" s="5">
        <f>IF(U37,T37*correlation!$J$27,"")</f>
        <v/>
      </c>
      <c r="X37" s="5">
        <f>IF(AND(U37,ISNUMBER(correlation!$F$27)),W37*correlation!$F$27+correlation!$G$27,"")</f>
        <v/>
      </c>
      <c r="Y37" s="5">
        <f>IF(AND(U37,ISNUMBER(X37)),(V37-X37)^2,"")</f>
        <v/>
      </c>
      <c r="Z37" s="5">
        <f>IF(U37,1+SUMPRODUCT(--(calc!$U$3:$U$67=TRUE),--(calc!$V$3:$V$67&gt;V37))+(SUMPRODUCT(--(calc!$U$3:$U$67=TRUE),--(calc!$V$3:$V$67=V37))-1)/2,"")</f>
        <v/>
      </c>
      <c r="AA37" s="5">
        <f>IF(U37,1+SUMPRODUCT(--(calc!$U$3:$U$67=TRUE),--(calc!$W$3:$W$67&gt;W37))+(SUMPRODUCT(--(calc!$U$3:$U$67=TRUE),--(calc!$W$3:$W$67=W37))-1)/2,"")</f>
        <v/>
      </c>
      <c r="AB37" s="5">
        <f>IF(U37,SUMPRODUCT(--(calc!$U$3:$U$67=TRUE),--(ROW(calc!$U$3:$U$67)&gt;ROW(U37)),--(((calc!$Z$3:$Z$67&gt;Z37)*(calc!$AA$3:$AA$67&gt;AA37)+(calc!$Z$3:$Z$67&lt;Z37)*(calc!$AA$3:$AA$67&lt;AA37))&gt;0))-SUMPRODUCT(--(calc!$U$3:$U$67=TRUE),--(ROW(calc!$U$3:$U$67)&gt;ROW(U37)),--(((calc!$Z$3:$Z$67&gt;Z37)*(calc!$AA$3:$AA$67&lt;AA37)+(calc!$Z$3:$Z$67&lt;Z37)*(calc!$AA$3:$AA$67&gt;AA37))&gt;0)),0)</f>
        <v/>
      </c>
      <c r="AC37" s="5">
        <f>IF(mos_metrics!I36="","",mos_metrics!I36)</f>
        <v/>
      </c>
      <c r="AD37" s="2">
        <f>AND($J37,ISNUMBER(AC37),correlation!$I$28=1)</f>
        <v/>
      </c>
      <c r="AE37" s="5">
        <f>IF(AD37,$F37,"")</f>
        <v/>
      </c>
      <c r="AF37" s="5">
        <f>IF(AD37,AC37*correlation!$J$28,"")</f>
        <v/>
      </c>
      <c r="AG37" s="5">
        <f>IF(AND(AD37,ISNUMBER(correlation!$F$28)),AF37*correlation!$F$28+correlation!$G$28,"")</f>
        <v/>
      </c>
      <c r="AH37" s="5">
        <f>IF(AND(AD37,ISNUMBER(AG37)),(AE37-AG37)^2,"")</f>
        <v/>
      </c>
      <c r="AI37" s="5">
        <f>IF(AD37,1+SUMPRODUCT(--(calc!$AD$3:$AD$67=TRUE),--(calc!$AE$3:$AE$67&gt;AE37))+(SUMPRODUCT(--(calc!$AD$3:$AD$67=TRUE),--(calc!$AE$3:$AE$67=AE37))-1)/2,"")</f>
        <v/>
      </c>
      <c r="AJ37" s="5">
        <f>IF(AD37,1+SUMPRODUCT(--(calc!$AD$3:$AD$67=TRUE),--(calc!$AF$3:$AF$67&gt;AF37))+(SUMPRODUCT(--(calc!$AD$3:$AD$67=TRUE),--(calc!$AF$3:$AF$67=AF37))-1)/2,"")</f>
        <v/>
      </c>
      <c r="AK37" s="5">
        <f>IF(AD37,SUMPRODUCT(--(calc!$AD$3:$AD$67=TRUE),--(ROW(calc!$AD$3:$AD$67)&gt;ROW(AD37)),--(((calc!$AI$3:$AI$67&gt;AI37)*(calc!$AJ$3:$AJ$67&gt;AJ37)+(calc!$AI$3:$AI$67&lt;AI37)*(calc!$AJ$3:$AJ$67&lt;AJ37))&gt;0))-SUMPRODUCT(--(calc!$AD$3:$AD$67=TRUE),--(ROW(calc!$AD$3:$AD$67)&gt;ROW(AD37)),--(((calc!$AI$3:$AI$67&gt;AI37)*(calc!$AJ$3:$AJ$67&lt;AJ37)+(calc!$AI$3:$AI$67&lt;AI37)*(calc!$AJ$3:$AJ$67&gt;AJ37))&gt;0)),0)</f>
        <v/>
      </c>
      <c r="AL37" s="5">
        <f>IF(mos_metrics!J36="","",mos_metrics!J36)</f>
        <v/>
      </c>
      <c r="AM37" s="2">
        <f>AND($J37,ISNUMBER(AL37),correlation!$I$29=1)</f>
        <v/>
      </c>
      <c r="AN37" s="5">
        <f>IF(AM37,$F37,"")</f>
        <v/>
      </c>
      <c r="AO37" s="5">
        <f>IF(AM37,AL37*correlation!$J$29,"")</f>
        <v/>
      </c>
      <c r="AP37" s="5">
        <f>IF(AND(AM37,ISNUMBER(correlation!$F$29)),AO37*correlation!$F$29+correlation!$G$29,"")</f>
        <v/>
      </c>
      <c r="AQ37" s="5">
        <f>IF(AND(AM37,ISNUMBER(AP37)),(AN37-AP37)^2,"")</f>
        <v/>
      </c>
      <c r="AR37" s="5">
        <f>IF(AM37,1+SUMPRODUCT(--(calc!$AM$3:$AM$67=TRUE),--(calc!$AN$3:$AN$67&gt;AN37))+(SUMPRODUCT(--(calc!$AM$3:$AM$67=TRUE),--(calc!$AN$3:$AN$67=AN37))-1)/2,"")</f>
        <v/>
      </c>
      <c r="AS37" s="5">
        <f>IF(AM37,1+SUMPRODUCT(--(calc!$AM$3:$AM$67=TRUE),--(calc!$AO$3:$AO$67&gt;AO37))+(SUMPRODUCT(--(calc!$AM$3:$AM$67=TRUE),--(calc!$AO$3:$AO$67=AO37))-1)/2,"")</f>
        <v/>
      </c>
      <c r="AT37" s="5">
        <f>IF(AM37,SUMPRODUCT(--(calc!$AM$3:$AM$67=TRUE),--(ROW(calc!$AM$3:$AM$67)&gt;ROW(AM37)),--(((calc!$AR$3:$AR$67&gt;AR37)*(calc!$AS$3:$AS$67&gt;AS37)+(calc!$AR$3:$AR$67&lt;AR37)*(calc!$AS$3:$AS$67&lt;AS37))&gt;0))-SUMPRODUCT(--(calc!$AM$3:$AM$67=TRUE),--(ROW(calc!$AM$3:$AM$67)&gt;ROW(AM37)),--(((calc!$AR$3:$AR$67&gt;AR37)*(calc!$AS$3:$AS$67&lt;AS37)+(calc!$AR$3:$AR$67&lt;AR37)*(calc!$AS$3:$AS$67&gt;AS37))&gt;0)),0)</f>
        <v/>
      </c>
      <c r="AU37" s="5">
        <f>IF(mos_metrics!K36="","",mos_metrics!K36)</f>
        <v/>
      </c>
      <c r="AV37" s="2">
        <f>AND($J37,ISNUMBER(AU37),correlation!$I$30=1)</f>
        <v/>
      </c>
      <c r="AW37" s="5">
        <f>IF(AV37,$F37,"")</f>
        <v/>
      </c>
      <c r="AX37" s="5">
        <f>IF(AV37,AU37*correlation!$J$30,"")</f>
        <v/>
      </c>
      <c r="AY37" s="5">
        <f>IF(AND(AV37,ISNUMBER(correlation!$F$30)),AX37*correlation!$F$30+correlation!$G$30,"")</f>
        <v/>
      </c>
      <c r="AZ37" s="5">
        <f>IF(AND(AV37,ISNUMBER(AY37)),(AW37-AY37)^2,"")</f>
        <v/>
      </c>
      <c r="BA37" s="5">
        <f>IF(AV37,1+SUMPRODUCT(--(calc!$AV$3:$AV$67=TRUE),--(calc!$AW$3:$AW$67&gt;AW37))+(SUMPRODUCT(--(calc!$AV$3:$AV$67=TRUE),--(calc!$AW$3:$AW$67=AW37))-1)/2,"")</f>
        <v/>
      </c>
      <c r="BB37" s="5">
        <f>IF(AV37,1+SUMPRODUCT(--(calc!$AV$3:$AV$67=TRUE),--(calc!$AX$3:$AX$67&gt;AX37))+(SUMPRODUCT(--(calc!$AV$3:$AV$67=TRUE),--(calc!$AX$3:$AX$67=AX37))-1)/2,"")</f>
        <v/>
      </c>
      <c r="BC37" s="5">
        <f>IF(AV37,SUMPRODUCT(--(calc!$AV$3:$AV$67=TRUE),--(ROW(calc!$AV$3:$AV$67)&gt;ROW(AV37)),--(((calc!$BA$3:$BA$67&gt;BA37)*(calc!$BB$3:$BB$67&gt;BB37)+(calc!$BA$3:$BA$67&lt;BA37)*(calc!$BB$3:$BB$67&lt;BB37))&gt;0))-SUMPRODUCT(--(calc!$AV$3:$AV$67=TRUE),--(ROW(calc!$AV$3:$AV$67)&gt;ROW(AV37)),--(((calc!$BA$3:$BA$67&gt;BA37)*(calc!$BB$3:$BB$67&lt;BB37)+(calc!$BA$3:$BA$67&lt;BA37)*(calc!$BB$3:$BB$67&gt;BB37))&gt;0)),0)</f>
        <v/>
      </c>
      <c r="BD37" s="5">
        <f>IF(mos_metrics!L36="","",mos_metrics!L36)</f>
        <v/>
      </c>
      <c r="BE37" s="2">
        <f>AND($J37,ISNUMBER(BD37),correlation!$I$31=1)</f>
        <v/>
      </c>
      <c r="BF37" s="5">
        <f>IF(BE37,$F37,"")</f>
        <v/>
      </c>
      <c r="BG37" s="5">
        <f>IF(BE37,BD37*correlation!$J$31,"")</f>
        <v/>
      </c>
      <c r="BH37" s="5">
        <f>IF(AND(BE37,ISNUMBER(correlation!$F$31)),BG37*correlation!$F$31+correlation!$G$31,"")</f>
        <v/>
      </c>
      <c r="BI37" s="5">
        <f>IF(AND(BE37,ISNUMBER(BH37)),(BF37-BH37)^2,"")</f>
        <v/>
      </c>
      <c r="BJ37" s="5">
        <f>IF(BE37,1+SUMPRODUCT(--(calc!$BE$3:$BE$67=TRUE),--(calc!$BF$3:$BF$67&gt;BF37))+(SUMPRODUCT(--(calc!$BE$3:$BE$67=TRUE),--(calc!$BF$3:$BF$67=BF37))-1)/2,"")</f>
        <v/>
      </c>
      <c r="BK37" s="5">
        <f>IF(BE37,1+SUMPRODUCT(--(calc!$BE$3:$BE$67=TRUE),--(calc!$BG$3:$BG$67&gt;BG37))+(SUMPRODUCT(--(calc!$BE$3:$BE$67=TRUE),--(calc!$BG$3:$BG$67=BG37))-1)/2,"")</f>
        <v/>
      </c>
      <c r="BL37" s="5">
        <f>IF(BE37,SUMPRODUCT(--(calc!$BE$3:$BE$67=TRUE),--(ROW(calc!$BE$3:$BE$67)&gt;ROW(BE37)),--(((calc!$BJ$3:$BJ$67&gt;BJ37)*(calc!$BK$3:$BK$67&gt;BK37)+(calc!$BJ$3:$BJ$67&lt;BJ37)*(calc!$BK$3:$BK$67&lt;BK37))&gt;0))-SUMPRODUCT(--(calc!$BE$3:$BE$67=TRUE),--(ROW(calc!$BE$3:$BE$67)&gt;ROW(BE37)),--(((calc!$BJ$3:$BJ$67&gt;BJ37)*(calc!$BK$3:$BK$67&lt;BK37)+(calc!$BJ$3:$BJ$67&lt;BJ37)*(calc!$BK$3:$BK$67&gt;BK37))&gt;0)),0)</f>
        <v/>
      </c>
      <c r="BM37" s="5">
        <f>IF(mos_metrics!M36="","",mos_metrics!M36)</f>
        <v/>
      </c>
      <c r="BN37" s="2">
        <f>AND($J37,ISNUMBER(BM37),correlation!$I$32=1)</f>
        <v/>
      </c>
      <c r="BO37" s="5">
        <f>IF(BN37,$F37,"")</f>
        <v/>
      </c>
      <c r="BP37" s="5">
        <f>IF(BN37,BM37*correlation!$J$32,"")</f>
        <v/>
      </c>
      <c r="BQ37" s="5">
        <f>IF(AND(BN37,ISNUMBER(correlation!$F$32)),BP37*correlation!$F$32+correlation!$G$32,"")</f>
        <v/>
      </c>
      <c r="BR37" s="5">
        <f>IF(AND(BN37,ISNUMBER(BQ37)),(BO37-BQ37)^2,"")</f>
        <v/>
      </c>
      <c r="BS37" s="5">
        <f>IF(BN37,1+SUMPRODUCT(--(calc!$BN$3:$BN$67=TRUE),--(calc!$BO$3:$BO$67&gt;BO37))+(SUMPRODUCT(--(calc!$BN$3:$BN$67=TRUE),--(calc!$BO$3:$BO$67=BO37))-1)/2,"")</f>
        <v/>
      </c>
      <c r="BT37" s="5">
        <f>IF(BN37,1+SUMPRODUCT(--(calc!$BN$3:$BN$67=TRUE),--(calc!$BP$3:$BP$67&gt;BP37))+(SUMPRODUCT(--(calc!$BN$3:$BN$67=TRUE),--(calc!$BP$3:$BP$67=BP37))-1)/2,"")</f>
        <v/>
      </c>
      <c r="BU37" s="5">
        <f>IF(BN37,SUMPRODUCT(--(calc!$BN$3:$BN$67=TRUE),--(ROW(calc!$BN$3:$BN$67)&gt;ROW(BN37)),--(((calc!$BS$3:$BS$67&gt;BS37)*(calc!$BT$3:$BT$67&gt;BT37)+(calc!$BS$3:$BS$67&lt;BS37)*(calc!$BT$3:$BT$67&lt;BT37))&gt;0))-SUMPRODUCT(--(calc!$BN$3:$BN$67=TRUE),--(ROW(calc!$BN$3:$BN$67)&gt;ROW(BN37)),--(((calc!$BS$3:$BS$67&gt;BS37)*(calc!$BT$3:$BT$67&lt;BT37)+(calc!$BS$3:$BS$67&lt;BS37)*(calc!$BT$3:$BT$67&gt;BT37))&gt;0)),0)</f>
        <v/>
      </c>
    </row>
    <row r="38">
      <c r="A38" s="2">
        <f>mos_metrics!A37</f>
        <v/>
      </c>
      <c r="B38" s="2">
        <f>mos_metrics!B37</f>
        <v/>
      </c>
      <c r="C38" s="2">
        <f>mos_metrics!C37</f>
        <v/>
      </c>
      <c r="D38" s="2">
        <f>mos_metrics!D37</f>
        <v/>
      </c>
      <c r="E38" s="2">
        <f>mos_metrics!E37</f>
        <v/>
      </c>
      <c r="F38" s="2">
        <f>mos_metrics!F37</f>
        <v/>
      </c>
      <c r="G38" s="2">
        <f>IF($B38="","",IFERROR(VLOOKUP($B38,correlation!$A$2:$B$6,2,FALSE),1))</f>
        <v/>
      </c>
      <c r="H38" s="2">
        <f>IF($E38="","",IFERROR(VLOOKUP($E38,correlation!$D$2:$E$8,2,FALSE),1))</f>
        <v/>
      </c>
      <c r="I38" s="2">
        <f>ISNUMBER($F38)</f>
        <v/>
      </c>
      <c r="J38" s="2">
        <f>AND($G38=1,$H38=1,$I38)</f>
        <v/>
      </c>
      <c r="K38" s="5">
        <f>IF(mos_metrics!G37="","",mos_metrics!G37)</f>
        <v/>
      </c>
      <c r="L38" s="2">
        <f>AND($J38,ISNUMBER(K38),correlation!$I$26=1)</f>
        <v/>
      </c>
      <c r="M38" s="5">
        <f>IF(L38,$F38,"")</f>
        <v/>
      </c>
      <c r="N38" s="5">
        <f>IF(L38,K38*correlation!$J$26,"")</f>
        <v/>
      </c>
      <c r="O38" s="5">
        <f>IF(AND(L38,ISNUMBER(correlation!$F$26)),N38*correlation!$F$26+correlation!$G$26,"")</f>
        <v/>
      </c>
      <c r="P38" s="5">
        <f>IF(AND(L38,ISNUMBER(O38)),(M38-O38)^2,"")</f>
        <v/>
      </c>
      <c r="Q38" s="5">
        <f>IF(L38,1+SUMPRODUCT(--(calc!$L$3:$L$67=TRUE),--(calc!$M$3:$M$67&gt;M38))+(SUMPRODUCT(--(calc!$L$3:$L$67=TRUE),--(calc!$M$3:$M$67=M38))-1)/2,"")</f>
        <v/>
      </c>
      <c r="R38" s="5">
        <f>IF(L38,1+SUMPRODUCT(--(calc!$L$3:$L$67=TRUE),--(calc!$N$3:$N$67&gt;N38))+(SUMPRODUCT(--(calc!$L$3:$L$67=TRUE),--(calc!$N$3:$N$67=N38))-1)/2,"")</f>
        <v/>
      </c>
      <c r="S38" s="5">
        <f>IF(L38,SUMPRODUCT(--(calc!$L$3:$L$67=TRUE),--(ROW(calc!$L$3:$L$67)&gt;ROW(L38)),--(((calc!$Q$3:$Q$67&gt;Q38)*(calc!$R$3:$R$67&gt;R38)+(calc!$Q$3:$Q$67&lt;Q38)*(calc!$R$3:$R$67&lt;R38))&gt;0))-SUMPRODUCT(--(calc!$L$3:$L$67=TRUE),--(ROW(calc!$L$3:$L$67)&gt;ROW(L38)),--(((calc!$Q$3:$Q$67&gt;Q38)*(calc!$R$3:$R$67&lt;R38)+(calc!$Q$3:$Q$67&lt;Q38)*(calc!$R$3:$R$67&gt;R38))&gt;0)),0)</f>
        <v/>
      </c>
      <c r="T38" s="5">
        <f>IF(mos_metrics!H37="","",mos_metrics!H37)</f>
        <v/>
      </c>
      <c r="U38" s="2">
        <f>AND($J38,ISNUMBER(T38),correlation!$I$27=1)</f>
        <v/>
      </c>
      <c r="V38" s="5">
        <f>IF(U38,$F38,"")</f>
        <v/>
      </c>
      <c r="W38" s="5">
        <f>IF(U38,T38*correlation!$J$27,"")</f>
        <v/>
      </c>
      <c r="X38" s="5">
        <f>IF(AND(U38,ISNUMBER(correlation!$F$27)),W38*correlation!$F$27+correlation!$G$27,"")</f>
        <v/>
      </c>
      <c r="Y38" s="5">
        <f>IF(AND(U38,ISNUMBER(X38)),(V38-X38)^2,"")</f>
        <v/>
      </c>
      <c r="Z38" s="5">
        <f>IF(U38,1+SUMPRODUCT(--(calc!$U$3:$U$67=TRUE),--(calc!$V$3:$V$67&gt;V38))+(SUMPRODUCT(--(calc!$U$3:$U$67=TRUE),--(calc!$V$3:$V$67=V38))-1)/2,"")</f>
        <v/>
      </c>
      <c r="AA38" s="5">
        <f>IF(U38,1+SUMPRODUCT(--(calc!$U$3:$U$67=TRUE),--(calc!$W$3:$W$67&gt;W38))+(SUMPRODUCT(--(calc!$U$3:$U$67=TRUE),--(calc!$W$3:$W$67=W38))-1)/2,"")</f>
        <v/>
      </c>
      <c r="AB38" s="5">
        <f>IF(U38,SUMPRODUCT(--(calc!$U$3:$U$67=TRUE),--(ROW(calc!$U$3:$U$67)&gt;ROW(U38)),--(((calc!$Z$3:$Z$67&gt;Z38)*(calc!$AA$3:$AA$67&gt;AA38)+(calc!$Z$3:$Z$67&lt;Z38)*(calc!$AA$3:$AA$67&lt;AA38))&gt;0))-SUMPRODUCT(--(calc!$U$3:$U$67=TRUE),--(ROW(calc!$U$3:$U$67)&gt;ROW(U38)),--(((calc!$Z$3:$Z$67&gt;Z38)*(calc!$AA$3:$AA$67&lt;AA38)+(calc!$Z$3:$Z$67&lt;Z38)*(calc!$AA$3:$AA$67&gt;AA38))&gt;0)),0)</f>
        <v/>
      </c>
      <c r="AC38" s="5">
        <f>IF(mos_metrics!I37="","",mos_metrics!I37)</f>
        <v/>
      </c>
      <c r="AD38" s="2">
        <f>AND($J38,ISNUMBER(AC38),correlation!$I$28=1)</f>
        <v/>
      </c>
      <c r="AE38" s="5">
        <f>IF(AD38,$F38,"")</f>
        <v/>
      </c>
      <c r="AF38" s="5">
        <f>IF(AD38,AC38*correlation!$J$28,"")</f>
        <v/>
      </c>
      <c r="AG38" s="5">
        <f>IF(AND(AD38,ISNUMBER(correlation!$F$28)),AF38*correlation!$F$28+correlation!$G$28,"")</f>
        <v/>
      </c>
      <c r="AH38" s="5">
        <f>IF(AND(AD38,ISNUMBER(AG38)),(AE38-AG38)^2,"")</f>
        <v/>
      </c>
      <c r="AI38" s="5">
        <f>IF(AD38,1+SUMPRODUCT(--(calc!$AD$3:$AD$67=TRUE),--(calc!$AE$3:$AE$67&gt;AE38))+(SUMPRODUCT(--(calc!$AD$3:$AD$67=TRUE),--(calc!$AE$3:$AE$67=AE38))-1)/2,"")</f>
        <v/>
      </c>
      <c r="AJ38" s="5">
        <f>IF(AD38,1+SUMPRODUCT(--(calc!$AD$3:$AD$67=TRUE),--(calc!$AF$3:$AF$67&gt;AF38))+(SUMPRODUCT(--(calc!$AD$3:$AD$67=TRUE),--(calc!$AF$3:$AF$67=AF38))-1)/2,"")</f>
        <v/>
      </c>
      <c r="AK38" s="5">
        <f>IF(AD38,SUMPRODUCT(--(calc!$AD$3:$AD$67=TRUE),--(ROW(calc!$AD$3:$AD$67)&gt;ROW(AD38)),--(((calc!$AI$3:$AI$67&gt;AI38)*(calc!$AJ$3:$AJ$67&gt;AJ38)+(calc!$AI$3:$AI$67&lt;AI38)*(calc!$AJ$3:$AJ$67&lt;AJ38))&gt;0))-SUMPRODUCT(--(calc!$AD$3:$AD$67=TRUE),--(ROW(calc!$AD$3:$AD$67)&gt;ROW(AD38)),--(((calc!$AI$3:$AI$67&gt;AI38)*(calc!$AJ$3:$AJ$67&lt;AJ38)+(calc!$AI$3:$AI$67&lt;AI38)*(calc!$AJ$3:$AJ$67&gt;AJ38))&gt;0)),0)</f>
        <v/>
      </c>
      <c r="AL38" s="5">
        <f>IF(mos_metrics!J37="","",mos_metrics!J37)</f>
        <v/>
      </c>
      <c r="AM38" s="2">
        <f>AND($J38,ISNUMBER(AL38),correlation!$I$29=1)</f>
        <v/>
      </c>
      <c r="AN38" s="5">
        <f>IF(AM38,$F38,"")</f>
        <v/>
      </c>
      <c r="AO38" s="5">
        <f>IF(AM38,AL38*correlation!$J$29,"")</f>
        <v/>
      </c>
      <c r="AP38" s="5">
        <f>IF(AND(AM38,ISNUMBER(correlation!$F$29)),AO38*correlation!$F$29+correlation!$G$29,"")</f>
        <v/>
      </c>
      <c r="AQ38" s="5">
        <f>IF(AND(AM38,ISNUMBER(AP38)),(AN38-AP38)^2,"")</f>
        <v/>
      </c>
      <c r="AR38" s="5">
        <f>IF(AM38,1+SUMPRODUCT(--(calc!$AM$3:$AM$67=TRUE),--(calc!$AN$3:$AN$67&gt;AN38))+(SUMPRODUCT(--(calc!$AM$3:$AM$67=TRUE),--(calc!$AN$3:$AN$67=AN38))-1)/2,"")</f>
        <v/>
      </c>
      <c r="AS38" s="5">
        <f>IF(AM38,1+SUMPRODUCT(--(calc!$AM$3:$AM$67=TRUE),--(calc!$AO$3:$AO$67&gt;AO38))+(SUMPRODUCT(--(calc!$AM$3:$AM$67=TRUE),--(calc!$AO$3:$AO$67=AO38))-1)/2,"")</f>
        <v/>
      </c>
      <c r="AT38" s="5">
        <f>IF(AM38,SUMPRODUCT(--(calc!$AM$3:$AM$67=TRUE),--(ROW(calc!$AM$3:$AM$67)&gt;ROW(AM38)),--(((calc!$AR$3:$AR$67&gt;AR38)*(calc!$AS$3:$AS$67&gt;AS38)+(calc!$AR$3:$AR$67&lt;AR38)*(calc!$AS$3:$AS$67&lt;AS38))&gt;0))-SUMPRODUCT(--(calc!$AM$3:$AM$67=TRUE),--(ROW(calc!$AM$3:$AM$67)&gt;ROW(AM38)),--(((calc!$AR$3:$AR$67&gt;AR38)*(calc!$AS$3:$AS$67&lt;AS38)+(calc!$AR$3:$AR$67&lt;AR38)*(calc!$AS$3:$AS$67&gt;AS38))&gt;0)),0)</f>
        <v/>
      </c>
      <c r="AU38" s="5">
        <f>IF(mos_metrics!K37="","",mos_metrics!K37)</f>
        <v/>
      </c>
      <c r="AV38" s="2">
        <f>AND($J38,ISNUMBER(AU38),correlation!$I$30=1)</f>
        <v/>
      </c>
      <c r="AW38" s="5">
        <f>IF(AV38,$F38,"")</f>
        <v/>
      </c>
      <c r="AX38" s="5">
        <f>IF(AV38,AU38*correlation!$J$30,"")</f>
        <v/>
      </c>
      <c r="AY38" s="5">
        <f>IF(AND(AV38,ISNUMBER(correlation!$F$30)),AX38*correlation!$F$30+correlation!$G$30,"")</f>
        <v/>
      </c>
      <c r="AZ38" s="5">
        <f>IF(AND(AV38,ISNUMBER(AY38)),(AW38-AY38)^2,"")</f>
        <v/>
      </c>
      <c r="BA38" s="5">
        <f>IF(AV38,1+SUMPRODUCT(--(calc!$AV$3:$AV$67=TRUE),--(calc!$AW$3:$AW$67&gt;AW38))+(SUMPRODUCT(--(calc!$AV$3:$AV$67=TRUE),--(calc!$AW$3:$AW$67=AW38))-1)/2,"")</f>
        <v/>
      </c>
      <c r="BB38" s="5">
        <f>IF(AV38,1+SUMPRODUCT(--(calc!$AV$3:$AV$67=TRUE),--(calc!$AX$3:$AX$67&gt;AX38))+(SUMPRODUCT(--(calc!$AV$3:$AV$67=TRUE),--(calc!$AX$3:$AX$67=AX38))-1)/2,"")</f>
        <v/>
      </c>
      <c r="BC38" s="5">
        <f>IF(AV38,SUMPRODUCT(--(calc!$AV$3:$AV$67=TRUE),--(ROW(calc!$AV$3:$AV$67)&gt;ROW(AV38)),--(((calc!$BA$3:$BA$67&gt;BA38)*(calc!$BB$3:$BB$67&gt;BB38)+(calc!$BA$3:$BA$67&lt;BA38)*(calc!$BB$3:$BB$67&lt;BB38))&gt;0))-SUMPRODUCT(--(calc!$AV$3:$AV$67=TRUE),--(ROW(calc!$AV$3:$AV$67)&gt;ROW(AV38)),--(((calc!$BA$3:$BA$67&gt;BA38)*(calc!$BB$3:$BB$67&lt;BB38)+(calc!$BA$3:$BA$67&lt;BA38)*(calc!$BB$3:$BB$67&gt;BB38))&gt;0)),0)</f>
        <v/>
      </c>
      <c r="BD38" s="5">
        <f>IF(mos_metrics!L37="","",mos_metrics!L37)</f>
        <v/>
      </c>
      <c r="BE38" s="2">
        <f>AND($J38,ISNUMBER(BD38),correlation!$I$31=1)</f>
        <v/>
      </c>
      <c r="BF38" s="5">
        <f>IF(BE38,$F38,"")</f>
        <v/>
      </c>
      <c r="BG38" s="5">
        <f>IF(BE38,BD38*correlation!$J$31,"")</f>
        <v/>
      </c>
      <c r="BH38" s="5">
        <f>IF(AND(BE38,ISNUMBER(correlation!$F$31)),BG38*correlation!$F$31+correlation!$G$31,"")</f>
        <v/>
      </c>
      <c r="BI38" s="5">
        <f>IF(AND(BE38,ISNUMBER(BH38)),(BF38-BH38)^2,"")</f>
        <v/>
      </c>
      <c r="BJ38" s="5">
        <f>IF(BE38,1+SUMPRODUCT(--(calc!$BE$3:$BE$67=TRUE),--(calc!$BF$3:$BF$67&gt;BF38))+(SUMPRODUCT(--(calc!$BE$3:$BE$67=TRUE),--(calc!$BF$3:$BF$67=BF38))-1)/2,"")</f>
        <v/>
      </c>
      <c r="BK38" s="5">
        <f>IF(BE38,1+SUMPRODUCT(--(calc!$BE$3:$BE$67=TRUE),--(calc!$BG$3:$BG$67&gt;BG38))+(SUMPRODUCT(--(calc!$BE$3:$BE$67=TRUE),--(calc!$BG$3:$BG$67=BG38))-1)/2,"")</f>
        <v/>
      </c>
      <c r="BL38" s="5">
        <f>IF(BE38,SUMPRODUCT(--(calc!$BE$3:$BE$67=TRUE),--(ROW(calc!$BE$3:$BE$67)&gt;ROW(BE38)),--(((calc!$BJ$3:$BJ$67&gt;BJ38)*(calc!$BK$3:$BK$67&gt;BK38)+(calc!$BJ$3:$BJ$67&lt;BJ38)*(calc!$BK$3:$BK$67&lt;BK38))&gt;0))-SUMPRODUCT(--(calc!$BE$3:$BE$67=TRUE),--(ROW(calc!$BE$3:$BE$67)&gt;ROW(BE38)),--(((calc!$BJ$3:$BJ$67&gt;BJ38)*(calc!$BK$3:$BK$67&lt;BK38)+(calc!$BJ$3:$BJ$67&lt;BJ38)*(calc!$BK$3:$BK$67&gt;BK38))&gt;0)),0)</f>
        <v/>
      </c>
      <c r="BM38" s="5">
        <f>IF(mos_metrics!M37="","",mos_metrics!M37)</f>
        <v/>
      </c>
      <c r="BN38" s="2">
        <f>AND($J38,ISNUMBER(BM38),correlation!$I$32=1)</f>
        <v/>
      </c>
      <c r="BO38" s="5">
        <f>IF(BN38,$F38,"")</f>
        <v/>
      </c>
      <c r="BP38" s="5">
        <f>IF(BN38,BM38*correlation!$J$32,"")</f>
        <v/>
      </c>
      <c r="BQ38" s="5">
        <f>IF(AND(BN38,ISNUMBER(correlation!$F$32)),BP38*correlation!$F$32+correlation!$G$32,"")</f>
        <v/>
      </c>
      <c r="BR38" s="5">
        <f>IF(AND(BN38,ISNUMBER(BQ38)),(BO38-BQ38)^2,"")</f>
        <v/>
      </c>
      <c r="BS38" s="5">
        <f>IF(BN38,1+SUMPRODUCT(--(calc!$BN$3:$BN$67=TRUE),--(calc!$BO$3:$BO$67&gt;BO38))+(SUMPRODUCT(--(calc!$BN$3:$BN$67=TRUE),--(calc!$BO$3:$BO$67=BO38))-1)/2,"")</f>
        <v/>
      </c>
      <c r="BT38" s="5">
        <f>IF(BN38,1+SUMPRODUCT(--(calc!$BN$3:$BN$67=TRUE),--(calc!$BP$3:$BP$67&gt;BP38))+(SUMPRODUCT(--(calc!$BN$3:$BN$67=TRUE),--(calc!$BP$3:$BP$67=BP38))-1)/2,"")</f>
        <v/>
      </c>
      <c r="BU38" s="5">
        <f>IF(BN38,SUMPRODUCT(--(calc!$BN$3:$BN$67=TRUE),--(ROW(calc!$BN$3:$BN$67)&gt;ROW(BN38)),--(((calc!$BS$3:$BS$67&gt;BS38)*(calc!$BT$3:$BT$67&gt;BT38)+(calc!$BS$3:$BS$67&lt;BS38)*(calc!$BT$3:$BT$67&lt;BT38))&gt;0))-SUMPRODUCT(--(calc!$BN$3:$BN$67=TRUE),--(ROW(calc!$BN$3:$BN$67)&gt;ROW(BN38)),--(((calc!$BS$3:$BS$67&gt;BS38)*(calc!$BT$3:$BT$67&lt;BT38)+(calc!$BS$3:$BS$67&lt;BS38)*(calc!$BT$3:$BT$67&gt;BT38))&gt;0)),0)</f>
        <v/>
      </c>
    </row>
    <row r="39">
      <c r="A39" s="2">
        <f>mos_metrics!A38</f>
        <v/>
      </c>
      <c r="B39" s="2">
        <f>mos_metrics!B38</f>
        <v/>
      </c>
      <c r="C39" s="2">
        <f>mos_metrics!C38</f>
        <v/>
      </c>
      <c r="D39" s="2">
        <f>mos_metrics!D38</f>
        <v/>
      </c>
      <c r="E39" s="2">
        <f>mos_metrics!E38</f>
        <v/>
      </c>
      <c r="F39" s="2">
        <f>mos_metrics!F38</f>
        <v/>
      </c>
      <c r="G39" s="2">
        <f>IF($B39="","",IFERROR(VLOOKUP($B39,correlation!$A$2:$B$6,2,FALSE),1))</f>
        <v/>
      </c>
      <c r="H39" s="2">
        <f>IF($E39="","",IFERROR(VLOOKUP($E39,correlation!$D$2:$E$8,2,FALSE),1))</f>
        <v/>
      </c>
      <c r="I39" s="2">
        <f>ISNUMBER($F39)</f>
        <v/>
      </c>
      <c r="J39" s="2">
        <f>AND($G39=1,$H39=1,$I39)</f>
        <v/>
      </c>
      <c r="K39" s="5">
        <f>IF(mos_metrics!G38="","",mos_metrics!G38)</f>
        <v/>
      </c>
      <c r="L39" s="2">
        <f>AND($J39,ISNUMBER(K39),correlation!$I$26=1)</f>
        <v/>
      </c>
      <c r="M39" s="5">
        <f>IF(L39,$F39,"")</f>
        <v/>
      </c>
      <c r="N39" s="5">
        <f>IF(L39,K39*correlation!$J$26,"")</f>
        <v/>
      </c>
      <c r="O39" s="5">
        <f>IF(AND(L39,ISNUMBER(correlation!$F$26)),N39*correlation!$F$26+correlation!$G$26,"")</f>
        <v/>
      </c>
      <c r="P39" s="5">
        <f>IF(AND(L39,ISNUMBER(O39)),(M39-O39)^2,"")</f>
        <v/>
      </c>
      <c r="Q39" s="5">
        <f>IF(L39,1+SUMPRODUCT(--(calc!$L$3:$L$67=TRUE),--(calc!$M$3:$M$67&gt;M39))+(SUMPRODUCT(--(calc!$L$3:$L$67=TRUE),--(calc!$M$3:$M$67=M39))-1)/2,"")</f>
        <v/>
      </c>
      <c r="R39" s="5">
        <f>IF(L39,1+SUMPRODUCT(--(calc!$L$3:$L$67=TRUE),--(calc!$N$3:$N$67&gt;N39))+(SUMPRODUCT(--(calc!$L$3:$L$67=TRUE),--(calc!$N$3:$N$67=N39))-1)/2,"")</f>
        <v/>
      </c>
      <c r="S39" s="5">
        <f>IF(L39,SUMPRODUCT(--(calc!$L$3:$L$67=TRUE),--(ROW(calc!$L$3:$L$67)&gt;ROW(L39)),--(((calc!$Q$3:$Q$67&gt;Q39)*(calc!$R$3:$R$67&gt;R39)+(calc!$Q$3:$Q$67&lt;Q39)*(calc!$R$3:$R$67&lt;R39))&gt;0))-SUMPRODUCT(--(calc!$L$3:$L$67=TRUE),--(ROW(calc!$L$3:$L$67)&gt;ROW(L39)),--(((calc!$Q$3:$Q$67&gt;Q39)*(calc!$R$3:$R$67&lt;R39)+(calc!$Q$3:$Q$67&lt;Q39)*(calc!$R$3:$R$67&gt;R39))&gt;0)),0)</f>
        <v/>
      </c>
      <c r="T39" s="5">
        <f>IF(mos_metrics!H38="","",mos_metrics!H38)</f>
        <v/>
      </c>
      <c r="U39" s="2">
        <f>AND($J39,ISNUMBER(T39),correlation!$I$27=1)</f>
        <v/>
      </c>
      <c r="V39" s="5">
        <f>IF(U39,$F39,"")</f>
        <v/>
      </c>
      <c r="W39" s="5">
        <f>IF(U39,T39*correlation!$J$27,"")</f>
        <v/>
      </c>
      <c r="X39" s="5">
        <f>IF(AND(U39,ISNUMBER(correlation!$F$27)),W39*correlation!$F$27+correlation!$G$27,"")</f>
        <v/>
      </c>
      <c r="Y39" s="5">
        <f>IF(AND(U39,ISNUMBER(X39)),(V39-X39)^2,"")</f>
        <v/>
      </c>
      <c r="Z39" s="5">
        <f>IF(U39,1+SUMPRODUCT(--(calc!$U$3:$U$67=TRUE),--(calc!$V$3:$V$67&gt;V39))+(SUMPRODUCT(--(calc!$U$3:$U$67=TRUE),--(calc!$V$3:$V$67=V39))-1)/2,"")</f>
        <v/>
      </c>
      <c r="AA39" s="5">
        <f>IF(U39,1+SUMPRODUCT(--(calc!$U$3:$U$67=TRUE),--(calc!$W$3:$W$67&gt;W39))+(SUMPRODUCT(--(calc!$U$3:$U$67=TRUE),--(calc!$W$3:$W$67=W39))-1)/2,"")</f>
        <v/>
      </c>
      <c r="AB39" s="5">
        <f>IF(U39,SUMPRODUCT(--(calc!$U$3:$U$67=TRUE),--(ROW(calc!$U$3:$U$67)&gt;ROW(U39)),--(((calc!$Z$3:$Z$67&gt;Z39)*(calc!$AA$3:$AA$67&gt;AA39)+(calc!$Z$3:$Z$67&lt;Z39)*(calc!$AA$3:$AA$67&lt;AA39))&gt;0))-SUMPRODUCT(--(calc!$U$3:$U$67=TRUE),--(ROW(calc!$U$3:$U$67)&gt;ROW(U39)),--(((calc!$Z$3:$Z$67&gt;Z39)*(calc!$AA$3:$AA$67&lt;AA39)+(calc!$Z$3:$Z$67&lt;Z39)*(calc!$AA$3:$AA$67&gt;AA39))&gt;0)),0)</f>
        <v/>
      </c>
      <c r="AC39" s="5">
        <f>IF(mos_metrics!I38="","",mos_metrics!I38)</f>
        <v/>
      </c>
      <c r="AD39" s="2">
        <f>AND($J39,ISNUMBER(AC39),correlation!$I$28=1)</f>
        <v/>
      </c>
      <c r="AE39" s="5">
        <f>IF(AD39,$F39,"")</f>
        <v/>
      </c>
      <c r="AF39" s="5">
        <f>IF(AD39,AC39*correlation!$J$28,"")</f>
        <v/>
      </c>
      <c r="AG39" s="5">
        <f>IF(AND(AD39,ISNUMBER(correlation!$F$28)),AF39*correlation!$F$28+correlation!$G$28,"")</f>
        <v/>
      </c>
      <c r="AH39" s="5">
        <f>IF(AND(AD39,ISNUMBER(AG39)),(AE39-AG39)^2,"")</f>
        <v/>
      </c>
      <c r="AI39" s="5">
        <f>IF(AD39,1+SUMPRODUCT(--(calc!$AD$3:$AD$67=TRUE),--(calc!$AE$3:$AE$67&gt;AE39))+(SUMPRODUCT(--(calc!$AD$3:$AD$67=TRUE),--(calc!$AE$3:$AE$67=AE39))-1)/2,"")</f>
        <v/>
      </c>
      <c r="AJ39" s="5">
        <f>IF(AD39,1+SUMPRODUCT(--(calc!$AD$3:$AD$67=TRUE),--(calc!$AF$3:$AF$67&gt;AF39))+(SUMPRODUCT(--(calc!$AD$3:$AD$67=TRUE),--(calc!$AF$3:$AF$67=AF39))-1)/2,"")</f>
        <v/>
      </c>
      <c r="AK39" s="5">
        <f>IF(AD39,SUMPRODUCT(--(calc!$AD$3:$AD$67=TRUE),--(ROW(calc!$AD$3:$AD$67)&gt;ROW(AD39)),--(((calc!$AI$3:$AI$67&gt;AI39)*(calc!$AJ$3:$AJ$67&gt;AJ39)+(calc!$AI$3:$AI$67&lt;AI39)*(calc!$AJ$3:$AJ$67&lt;AJ39))&gt;0))-SUMPRODUCT(--(calc!$AD$3:$AD$67=TRUE),--(ROW(calc!$AD$3:$AD$67)&gt;ROW(AD39)),--(((calc!$AI$3:$AI$67&gt;AI39)*(calc!$AJ$3:$AJ$67&lt;AJ39)+(calc!$AI$3:$AI$67&lt;AI39)*(calc!$AJ$3:$AJ$67&gt;AJ39))&gt;0)),0)</f>
        <v/>
      </c>
      <c r="AL39" s="5">
        <f>IF(mos_metrics!J38="","",mos_metrics!J38)</f>
        <v/>
      </c>
      <c r="AM39" s="2">
        <f>AND($J39,ISNUMBER(AL39),correlation!$I$29=1)</f>
        <v/>
      </c>
      <c r="AN39" s="5">
        <f>IF(AM39,$F39,"")</f>
        <v/>
      </c>
      <c r="AO39" s="5">
        <f>IF(AM39,AL39*correlation!$J$29,"")</f>
        <v/>
      </c>
      <c r="AP39" s="5">
        <f>IF(AND(AM39,ISNUMBER(correlation!$F$29)),AO39*correlation!$F$29+correlation!$G$29,"")</f>
        <v/>
      </c>
      <c r="AQ39" s="5">
        <f>IF(AND(AM39,ISNUMBER(AP39)),(AN39-AP39)^2,"")</f>
        <v/>
      </c>
      <c r="AR39" s="5">
        <f>IF(AM39,1+SUMPRODUCT(--(calc!$AM$3:$AM$67=TRUE),--(calc!$AN$3:$AN$67&gt;AN39))+(SUMPRODUCT(--(calc!$AM$3:$AM$67=TRUE),--(calc!$AN$3:$AN$67=AN39))-1)/2,"")</f>
        <v/>
      </c>
      <c r="AS39" s="5">
        <f>IF(AM39,1+SUMPRODUCT(--(calc!$AM$3:$AM$67=TRUE),--(calc!$AO$3:$AO$67&gt;AO39))+(SUMPRODUCT(--(calc!$AM$3:$AM$67=TRUE),--(calc!$AO$3:$AO$67=AO39))-1)/2,"")</f>
        <v/>
      </c>
      <c r="AT39" s="5">
        <f>IF(AM39,SUMPRODUCT(--(calc!$AM$3:$AM$67=TRUE),--(ROW(calc!$AM$3:$AM$67)&gt;ROW(AM39)),--(((calc!$AR$3:$AR$67&gt;AR39)*(calc!$AS$3:$AS$67&gt;AS39)+(calc!$AR$3:$AR$67&lt;AR39)*(calc!$AS$3:$AS$67&lt;AS39))&gt;0))-SUMPRODUCT(--(calc!$AM$3:$AM$67=TRUE),--(ROW(calc!$AM$3:$AM$67)&gt;ROW(AM39)),--(((calc!$AR$3:$AR$67&gt;AR39)*(calc!$AS$3:$AS$67&lt;AS39)+(calc!$AR$3:$AR$67&lt;AR39)*(calc!$AS$3:$AS$67&gt;AS39))&gt;0)),0)</f>
        <v/>
      </c>
      <c r="AU39" s="5">
        <f>IF(mos_metrics!K38="","",mos_metrics!K38)</f>
        <v/>
      </c>
      <c r="AV39" s="2">
        <f>AND($J39,ISNUMBER(AU39),correlation!$I$30=1)</f>
        <v/>
      </c>
      <c r="AW39" s="5">
        <f>IF(AV39,$F39,"")</f>
        <v/>
      </c>
      <c r="AX39" s="5">
        <f>IF(AV39,AU39*correlation!$J$30,"")</f>
        <v/>
      </c>
      <c r="AY39" s="5">
        <f>IF(AND(AV39,ISNUMBER(correlation!$F$30)),AX39*correlation!$F$30+correlation!$G$30,"")</f>
        <v/>
      </c>
      <c r="AZ39" s="5">
        <f>IF(AND(AV39,ISNUMBER(AY39)),(AW39-AY39)^2,"")</f>
        <v/>
      </c>
      <c r="BA39" s="5">
        <f>IF(AV39,1+SUMPRODUCT(--(calc!$AV$3:$AV$67=TRUE),--(calc!$AW$3:$AW$67&gt;AW39))+(SUMPRODUCT(--(calc!$AV$3:$AV$67=TRUE),--(calc!$AW$3:$AW$67=AW39))-1)/2,"")</f>
        <v/>
      </c>
      <c r="BB39" s="5">
        <f>IF(AV39,1+SUMPRODUCT(--(calc!$AV$3:$AV$67=TRUE),--(calc!$AX$3:$AX$67&gt;AX39))+(SUMPRODUCT(--(calc!$AV$3:$AV$67=TRUE),--(calc!$AX$3:$AX$67=AX39))-1)/2,"")</f>
        <v/>
      </c>
      <c r="BC39" s="5">
        <f>IF(AV39,SUMPRODUCT(--(calc!$AV$3:$AV$67=TRUE),--(ROW(calc!$AV$3:$AV$67)&gt;ROW(AV39)),--(((calc!$BA$3:$BA$67&gt;BA39)*(calc!$BB$3:$BB$67&gt;BB39)+(calc!$BA$3:$BA$67&lt;BA39)*(calc!$BB$3:$BB$67&lt;BB39))&gt;0))-SUMPRODUCT(--(calc!$AV$3:$AV$67=TRUE),--(ROW(calc!$AV$3:$AV$67)&gt;ROW(AV39)),--(((calc!$BA$3:$BA$67&gt;BA39)*(calc!$BB$3:$BB$67&lt;BB39)+(calc!$BA$3:$BA$67&lt;BA39)*(calc!$BB$3:$BB$67&gt;BB39))&gt;0)),0)</f>
        <v/>
      </c>
      <c r="BD39" s="5">
        <f>IF(mos_metrics!L38="","",mos_metrics!L38)</f>
        <v/>
      </c>
      <c r="BE39" s="2">
        <f>AND($J39,ISNUMBER(BD39),correlation!$I$31=1)</f>
        <v/>
      </c>
      <c r="BF39" s="5">
        <f>IF(BE39,$F39,"")</f>
        <v/>
      </c>
      <c r="BG39" s="5">
        <f>IF(BE39,BD39*correlation!$J$31,"")</f>
        <v/>
      </c>
      <c r="BH39" s="5">
        <f>IF(AND(BE39,ISNUMBER(correlation!$F$31)),BG39*correlation!$F$31+correlation!$G$31,"")</f>
        <v/>
      </c>
      <c r="BI39" s="5">
        <f>IF(AND(BE39,ISNUMBER(BH39)),(BF39-BH39)^2,"")</f>
        <v/>
      </c>
      <c r="BJ39" s="5">
        <f>IF(BE39,1+SUMPRODUCT(--(calc!$BE$3:$BE$67=TRUE),--(calc!$BF$3:$BF$67&gt;BF39))+(SUMPRODUCT(--(calc!$BE$3:$BE$67=TRUE),--(calc!$BF$3:$BF$67=BF39))-1)/2,"")</f>
        <v/>
      </c>
      <c r="BK39" s="5">
        <f>IF(BE39,1+SUMPRODUCT(--(calc!$BE$3:$BE$67=TRUE),--(calc!$BG$3:$BG$67&gt;BG39))+(SUMPRODUCT(--(calc!$BE$3:$BE$67=TRUE),--(calc!$BG$3:$BG$67=BG39))-1)/2,"")</f>
        <v/>
      </c>
      <c r="BL39" s="5">
        <f>IF(BE39,SUMPRODUCT(--(calc!$BE$3:$BE$67=TRUE),--(ROW(calc!$BE$3:$BE$67)&gt;ROW(BE39)),--(((calc!$BJ$3:$BJ$67&gt;BJ39)*(calc!$BK$3:$BK$67&gt;BK39)+(calc!$BJ$3:$BJ$67&lt;BJ39)*(calc!$BK$3:$BK$67&lt;BK39))&gt;0))-SUMPRODUCT(--(calc!$BE$3:$BE$67=TRUE),--(ROW(calc!$BE$3:$BE$67)&gt;ROW(BE39)),--(((calc!$BJ$3:$BJ$67&gt;BJ39)*(calc!$BK$3:$BK$67&lt;BK39)+(calc!$BJ$3:$BJ$67&lt;BJ39)*(calc!$BK$3:$BK$67&gt;BK39))&gt;0)),0)</f>
        <v/>
      </c>
      <c r="BM39" s="5">
        <f>IF(mos_metrics!M38="","",mos_metrics!M38)</f>
        <v/>
      </c>
      <c r="BN39" s="2">
        <f>AND($J39,ISNUMBER(BM39),correlation!$I$32=1)</f>
        <v/>
      </c>
      <c r="BO39" s="5">
        <f>IF(BN39,$F39,"")</f>
        <v/>
      </c>
      <c r="BP39" s="5">
        <f>IF(BN39,BM39*correlation!$J$32,"")</f>
        <v/>
      </c>
      <c r="BQ39" s="5">
        <f>IF(AND(BN39,ISNUMBER(correlation!$F$32)),BP39*correlation!$F$32+correlation!$G$32,"")</f>
        <v/>
      </c>
      <c r="BR39" s="5">
        <f>IF(AND(BN39,ISNUMBER(BQ39)),(BO39-BQ39)^2,"")</f>
        <v/>
      </c>
      <c r="BS39" s="5">
        <f>IF(BN39,1+SUMPRODUCT(--(calc!$BN$3:$BN$67=TRUE),--(calc!$BO$3:$BO$67&gt;BO39))+(SUMPRODUCT(--(calc!$BN$3:$BN$67=TRUE),--(calc!$BO$3:$BO$67=BO39))-1)/2,"")</f>
        <v/>
      </c>
      <c r="BT39" s="5">
        <f>IF(BN39,1+SUMPRODUCT(--(calc!$BN$3:$BN$67=TRUE),--(calc!$BP$3:$BP$67&gt;BP39))+(SUMPRODUCT(--(calc!$BN$3:$BN$67=TRUE),--(calc!$BP$3:$BP$67=BP39))-1)/2,"")</f>
        <v/>
      </c>
      <c r="BU39" s="5">
        <f>IF(BN39,SUMPRODUCT(--(calc!$BN$3:$BN$67=TRUE),--(ROW(calc!$BN$3:$BN$67)&gt;ROW(BN39)),--(((calc!$BS$3:$BS$67&gt;BS39)*(calc!$BT$3:$BT$67&gt;BT39)+(calc!$BS$3:$BS$67&lt;BS39)*(calc!$BT$3:$BT$67&lt;BT39))&gt;0))-SUMPRODUCT(--(calc!$BN$3:$BN$67=TRUE),--(ROW(calc!$BN$3:$BN$67)&gt;ROW(BN39)),--(((calc!$BS$3:$BS$67&gt;BS39)*(calc!$BT$3:$BT$67&lt;BT39)+(calc!$BS$3:$BS$67&lt;BS39)*(calc!$BT$3:$BT$67&gt;BT39))&gt;0)),0)</f>
        <v/>
      </c>
    </row>
    <row r="40">
      <c r="A40" s="2">
        <f>mos_metrics!A39</f>
        <v/>
      </c>
      <c r="B40" s="2">
        <f>mos_metrics!B39</f>
        <v/>
      </c>
      <c r="C40" s="2">
        <f>mos_metrics!C39</f>
        <v/>
      </c>
      <c r="D40" s="2">
        <f>mos_metrics!D39</f>
        <v/>
      </c>
      <c r="E40" s="2">
        <f>mos_metrics!E39</f>
        <v/>
      </c>
      <c r="F40" s="2">
        <f>mos_metrics!F39</f>
        <v/>
      </c>
      <c r="G40" s="2">
        <f>IF($B40="","",IFERROR(VLOOKUP($B40,correlation!$A$2:$B$6,2,FALSE),1))</f>
        <v/>
      </c>
      <c r="H40" s="2">
        <f>IF($E40="","",IFERROR(VLOOKUP($E40,correlation!$D$2:$E$8,2,FALSE),1))</f>
        <v/>
      </c>
      <c r="I40" s="2">
        <f>ISNUMBER($F40)</f>
        <v/>
      </c>
      <c r="J40" s="2">
        <f>AND($G40=1,$H40=1,$I40)</f>
        <v/>
      </c>
      <c r="K40" s="5">
        <f>IF(mos_metrics!G39="","",mos_metrics!G39)</f>
        <v/>
      </c>
      <c r="L40" s="2">
        <f>AND($J40,ISNUMBER(K40),correlation!$I$26=1)</f>
        <v/>
      </c>
      <c r="M40" s="5">
        <f>IF(L40,$F40,"")</f>
        <v/>
      </c>
      <c r="N40" s="5">
        <f>IF(L40,K40*correlation!$J$26,"")</f>
        <v/>
      </c>
      <c r="O40" s="5">
        <f>IF(AND(L40,ISNUMBER(correlation!$F$26)),N40*correlation!$F$26+correlation!$G$26,"")</f>
        <v/>
      </c>
      <c r="P40" s="5">
        <f>IF(AND(L40,ISNUMBER(O40)),(M40-O40)^2,"")</f>
        <v/>
      </c>
      <c r="Q40" s="5">
        <f>IF(L40,1+SUMPRODUCT(--(calc!$L$3:$L$67=TRUE),--(calc!$M$3:$M$67&gt;M40))+(SUMPRODUCT(--(calc!$L$3:$L$67=TRUE),--(calc!$M$3:$M$67=M40))-1)/2,"")</f>
        <v/>
      </c>
      <c r="R40" s="5">
        <f>IF(L40,1+SUMPRODUCT(--(calc!$L$3:$L$67=TRUE),--(calc!$N$3:$N$67&gt;N40))+(SUMPRODUCT(--(calc!$L$3:$L$67=TRUE),--(calc!$N$3:$N$67=N40))-1)/2,"")</f>
        <v/>
      </c>
      <c r="S40" s="5">
        <f>IF(L40,SUMPRODUCT(--(calc!$L$3:$L$67=TRUE),--(ROW(calc!$L$3:$L$67)&gt;ROW(L40)),--(((calc!$Q$3:$Q$67&gt;Q40)*(calc!$R$3:$R$67&gt;R40)+(calc!$Q$3:$Q$67&lt;Q40)*(calc!$R$3:$R$67&lt;R40))&gt;0))-SUMPRODUCT(--(calc!$L$3:$L$67=TRUE),--(ROW(calc!$L$3:$L$67)&gt;ROW(L40)),--(((calc!$Q$3:$Q$67&gt;Q40)*(calc!$R$3:$R$67&lt;R40)+(calc!$Q$3:$Q$67&lt;Q40)*(calc!$R$3:$R$67&gt;R40))&gt;0)),0)</f>
        <v/>
      </c>
      <c r="T40" s="5">
        <f>IF(mos_metrics!H39="","",mos_metrics!H39)</f>
        <v/>
      </c>
      <c r="U40" s="2">
        <f>AND($J40,ISNUMBER(T40),correlation!$I$27=1)</f>
        <v/>
      </c>
      <c r="V40" s="5">
        <f>IF(U40,$F40,"")</f>
        <v/>
      </c>
      <c r="W40" s="5">
        <f>IF(U40,T40*correlation!$J$27,"")</f>
        <v/>
      </c>
      <c r="X40" s="5">
        <f>IF(AND(U40,ISNUMBER(correlation!$F$27)),W40*correlation!$F$27+correlation!$G$27,"")</f>
        <v/>
      </c>
      <c r="Y40" s="5">
        <f>IF(AND(U40,ISNUMBER(X40)),(V40-X40)^2,"")</f>
        <v/>
      </c>
      <c r="Z40" s="5">
        <f>IF(U40,1+SUMPRODUCT(--(calc!$U$3:$U$67=TRUE),--(calc!$V$3:$V$67&gt;V40))+(SUMPRODUCT(--(calc!$U$3:$U$67=TRUE),--(calc!$V$3:$V$67=V40))-1)/2,"")</f>
        <v/>
      </c>
      <c r="AA40" s="5">
        <f>IF(U40,1+SUMPRODUCT(--(calc!$U$3:$U$67=TRUE),--(calc!$W$3:$W$67&gt;W40))+(SUMPRODUCT(--(calc!$U$3:$U$67=TRUE),--(calc!$W$3:$W$67=W40))-1)/2,"")</f>
        <v/>
      </c>
      <c r="AB40" s="5">
        <f>IF(U40,SUMPRODUCT(--(calc!$U$3:$U$67=TRUE),--(ROW(calc!$U$3:$U$67)&gt;ROW(U40)),--(((calc!$Z$3:$Z$67&gt;Z40)*(calc!$AA$3:$AA$67&gt;AA40)+(calc!$Z$3:$Z$67&lt;Z40)*(calc!$AA$3:$AA$67&lt;AA40))&gt;0))-SUMPRODUCT(--(calc!$U$3:$U$67=TRUE),--(ROW(calc!$U$3:$U$67)&gt;ROW(U40)),--(((calc!$Z$3:$Z$67&gt;Z40)*(calc!$AA$3:$AA$67&lt;AA40)+(calc!$Z$3:$Z$67&lt;Z40)*(calc!$AA$3:$AA$67&gt;AA40))&gt;0)),0)</f>
        <v/>
      </c>
      <c r="AC40" s="5">
        <f>IF(mos_metrics!I39="","",mos_metrics!I39)</f>
        <v/>
      </c>
      <c r="AD40" s="2">
        <f>AND($J40,ISNUMBER(AC40),correlation!$I$28=1)</f>
        <v/>
      </c>
      <c r="AE40" s="5">
        <f>IF(AD40,$F40,"")</f>
        <v/>
      </c>
      <c r="AF40" s="5">
        <f>IF(AD40,AC40*correlation!$J$28,"")</f>
        <v/>
      </c>
      <c r="AG40" s="5">
        <f>IF(AND(AD40,ISNUMBER(correlation!$F$28)),AF40*correlation!$F$28+correlation!$G$28,"")</f>
        <v/>
      </c>
      <c r="AH40" s="5">
        <f>IF(AND(AD40,ISNUMBER(AG40)),(AE40-AG40)^2,"")</f>
        <v/>
      </c>
      <c r="AI40" s="5">
        <f>IF(AD40,1+SUMPRODUCT(--(calc!$AD$3:$AD$67=TRUE),--(calc!$AE$3:$AE$67&gt;AE40))+(SUMPRODUCT(--(calc!$AD$3:$AD$67=TRUE),--(calc!$AE$3:$AE$67=AE40))-1)/2,"")</f>
        <v/>
      </c>
      <c r="AJ40" s="5">
        <f>IF(AD40,1+SUMPRODUCT(--(calc!$AD$3:$AD$67=TRUE),--(calc!$AF$3:$AF$67&gt;AF40))+(SUMPRODUCT(--(calc!$AD$3:$AD$67=TRUE),--(calc!$AF$3:$AF$67=AF40))-1)/2,"")</f>
        <v/>
      </c>
      <c r="AK40" s="5">
        <f>IF(AD40,SUMPRODUCT(--(calc!$AD$3:$AD$67=TRUE),--(ROW(calc!$AD$3:$AD$67)&gt;ROW(AD40)),--(((calc!$AI$3:$AI$67&gt;AI40)*(calc!$AJ$3:$AJ$67&gt;AJ40)+(calc!$AI$3:$AI$67&lt;AI40)*(calc!$AJ$3:$AJ$67&lt;AJ40))&gt;0))-SUMPRODUCT(--(calc!$AD$3:$AD$67=TRUE),--(ROW(calc!$AD$3:$AD$67)&gt;ROW(AD40)),--(((calc!$AI$3:$AI$67&gt;AI40)*(calc!$AJ$3:$AJ$67&lt;AJ40)+(calc!$AI$3:$AI$67&lt;AI40)*(calc!$AJ$3:$AJ$67&gt;AJ40))&gt;0)),0)</f>
        <v/>
      </c>
      <c r="AL40" s="5">
        <f>IF(mos_metrics!J39="","",mos_metrics!J39)</f>
        <v/>
      </c>
      <c r="AM40" s="2">
        <f>AND($J40,ISNUMBER(AL40),correlation!$I$29=1)</f>
        <v/>
      </c>
      <c r="AN40" s="5">
        <f>IF(AM40,$F40,"")</f>
        <v/>
      </c>
      <c r="AO40" s="5">
        <f>IF(AM40,AL40*correlation!$J$29,"")</f>
        <v/>
      </c>
      <c r="AP40" s="5">
        <f>IF(AND(AM40,ISNUMBER(correlation!$F$29)),AO40*correlation!$F$29+correlation!$G$29,"")</f>
        <v/>
      </c>
      <c r="AQ40" s="5">
        <f>IF(AND(AM40,ISNUMBER(AP40)),(AN40-AP40)^2,"")</f>
        <v/>
      </c>
      <c r="AR40" s="5">
        <f>IF(AM40,1+SUMPRODUCT(--(calc!$AM$3:$AM$67=TRUE),--(calc!$AN$3:$AN$67&gt;AN40))+(SUMPRODUCT(--(calc!$AM$3:$AM$67=TRUE),--(calc!$AN$3:$AN$67=AN40))-1)/2,"")</f>
        <v/>
      </c>
      <c r="AS40" s="5">
        <f>IF(AM40,1+SUMPRODUCT(--(calc!$AM$3:$AM$67=TRUE),--(calc!$AO$3:$AO$67&gt;AO40))+(SUMPRODUCT(--(calc!$AM$3:$AM$67=TRUE),--(calc!$AO$3:$AO$67=AO40))-1)/2,"")</f>
        <v/>
      </c>
      <c r="AT40" s="5">
        <f>IF(AM40,SUMPRODUCT(--(calc!$AM$3:$AM$67=TRUE),--(ROW(calc!$AM$3:$AM$67)&gt;ROW(AM40)),--(((calc!$AR$3:$AR$67&gt;AR40)*(calc!$AS$3:$AS$67&gt;AS40)+(calc!$AR$3:$AR$67&lt;AR40)*(calc!$AS$3:$AS$67&lt;AS40))&gt;0))-SUMPRODUCT(--(calc!$AM$3:$AM$67=TRUE),--(ROW(calc!$AM$3:$AM$67)&gt;ROW(AM40)),--(((calc!$AR$3:$AR$67&gt;AR40)*(calc!$AS$3:$AS$67&lt;AS40)+(calc!$AR$3:$AR$67&lt;AR40)*(calc!$AS$3:$AS$67&gt;AS40))&gt;0)),0)</f>
        <v/>
      </c>
      <c r="AU40" s="5">
        <f>IF(mos_metrics!K39="","",mos_metrics!K39)</f>
        <v/>
      </c>
      <c r="AV40" s="2">
        <f>AND($J40,ISNUMBER(AU40),correlation!$I$30=1)</f>
        <v/>
      </c>
      <c r="AW40" s="5">
        <f>IF(AV40,$F40,"")</f>
        <v/>
      </c>
      <c r="AX40" s="5">
        <f>IF(AV40,AU40*correlation!$J$30,"")</f>
        <v/>
      </c>
      <c r="AY40" s="5">
        <f>IF(AND(AV40,ISNUMBER(correlation!$F$30)),AX40*correlation!$F$30+correlation!$G$30,"")</f>
        <v/>
      </c>
      <c r="AZ40" s="5">
        <f>IF(AND(AV40,ISNUMBER(AY40)),(AW40-AY40)^2,"")</f>
        <v/>
      </c>
      <c r="BA40" s="5">
        <f>IF(AV40,1+SUMPRODUCT(--(calc!$AV$3:$AV$67=TRUE),--(calc!$AW$3:$AW$67&gt;AW40))+(SUMPRODUCT(--(calc!$AV$3:$AV$67=TRUE),--(calc!$AW$3:$AW$67=AW40))-1)/2,"")</f>
        <v/>
      </c>
      <c r="BB40" s="5">
        <f>IF(AV40,1+SUMPRODUCT(--(calc!$AV$3:$AV$67=TRUE),--(calc!$AX$3:$AX$67&gt;AX40))+(SUMPRODUCT(--(calc!$AV$3:$AV$67=TRUE),--(calc!$AX$3:$AX$67=AX40))-1)/2,"")</f>
        <v/>
      </c>
      <c r="BC40" s="5">
        <f>IF(AV40,SUMPRODUCT(--(calc!$AV$3:$AV$67=TRUE),--(ROW(calc!$AV$3:$AV$67)&gt;ROW(AV40)),--(((calc!$BA$3:$BA$67&gt;BA40)*(calc!$BB$3:$BB$67&gt;BB40)+(calc!$BA$3:$BA$67&lt;BA40)*(calc!$BB$3:$BB$67&lt;BB40))&gt;0))-SUMPRODUCT(--(calc!$AV$3:$AV$67=TRUE),--(ROW(calc!$AV$3:$AV$67)&gt;ROW(AV40)),--(((calc!$BA$3:$BA$67&gt;BA40)*(calc!$BB$3:$BB$67&lt;BB40)+(calc!$BA$3:$BA$67&lt;BA40)*(calc!$BB$3:$BB$67&gt;BB40))&gt;0)),0)</f>
        <v/>
      </c>
      <c r="BD40" s="5">
        <f>IF(mos_metrics!L39="","",mos_metrics!L39)</f>
        <v/>
      </c>
      <c r="BE40" s="2">
        <f>AND($J40,ISNUMBER(BD40),correlation!$I$31=1)</f>
        <v/>
      </c>
      <c r="BF40" s="5">
        <f>IF(BE40,$F40,"")</f>
        <v/>
      </c>
      <c r="BG40" s="5">
        <f>IF(BE40,BD40*correlation!$J$31,"")</f>
        <v/>
      </c>
      <c r="BH40" s="5">
        <f>IF(AND(BE40,ISNUMBER(correlation!$F$31)),BG40*correlation!$F$31+correlation!$G$31,"")</f>
        <v/>
      </c>
      <c r="BI40" s="5">
        <f>IF(AND(BE40,ISNUMBER(BH40)),(BF40-BH40)^2,"")</f>
        <v/>
      </c>
      <c r="BJ40" s="5">
        <f>IF(BE40,1+SUMPRODUCT(--(calc!$BE$3:$BE$67=TRUE),--(calc!$BF$3:$BF$67&gt;BF40))+(SUMPRODUCT(--(calc!$BE$3:$BE$67=TRUE),--(calc!$BF$3:$BF$67=BF40))-1)/2,"")</f>
        <v/>
      </c>
      <c r="BK40" s="5">
        <f>IF(BE40,1+SUMPRODUCT(--(calc!$BE$3:$BE$67=TRUE),--(calc!$BG$3:$BG$67&gt;BG40))+(SUMPRODUCT(--(calc!$BE$3:$BE$67=TRUE),--(calc!$BG$3:$BG$67=BG40))-1)/2,"")</f>
        <v/>
      </c>
      <c r="BL40" s="5">
        <f>IF(BE40,SUMPRODUCT(--(calc!$BE$3:$BE$67=TRUE),--(ROW(calc!$BE$3:$BE$67)&gt;ROW(BE40)),--(((calc!$BJ$3:$BJ$67&gt;BJ40)*(calc!$BK$3:$BK$67&gt;BK40)+(calc!$BJ$3:$BJ$67&lt;BJ40)*(calc!$BK$3:$BK$67&lt;BK40))&gt;0))-SUMPRODUCT(--(calc!$BE$3:$BE$67=TRUE),--(ROW(calc!$BE$3:$BE$67)&gt;ROW(BE40)),--(((calc!$BJ$3:$BJ$67&gt;BJ40)*(calc!$BK$3:$BK$67&lt;BK40)+(calc!$BJ$3:$BJ$67&lt;BJ40)*(calc!$BK$3:$BK$67&gt;BK40))&gt;0)),0)</f>
        <v/>
      </c>
      <c r="BM40" s="5">
        <f>IF(mos_metrics!M39="","",mos_metrics!M39)</f>
        <v/>
      </c>
      <c r="BN40" s="2">
        <f>AND($J40,ISNUMBER(BM40),correlation!$I$32=1)</f>
        <v/>
      </c>
      <c r="BO40" s="5">
        <f>IF(BN40,$F40,"")</f>
        <v/>
      </c>
      <c r="BP40" s="5">
        <f>IF(BN40,BM40*correlation!$J$32,"")</f>
        <v/>
      </c>
      <c r="BQ40" s="5">
        <f>IF(AND(BN40,ISNUMBER(correlation!$F$32)),BP40*correlation!$F$32+correlation!$G$32,"")</f>
        <v/>
      </c>
      <c r="BR40" s="5">
        <f>IF(AND(BN40,ISNUMBER(BQ40)),(BO40-BQ40)^2,"")</f>
        <v/>
      </c>
      <c r="BS40" s="5">
        <f>IF(BN40,1+SUMPRODUCT(--(calc!$BN$3:$BN$67=TRUE),--(calc!$BO$3:$BO$67&gt;BO40))+(SUMPRODUCT(--(calc!$BN$3:$BN$67=TRUE),--(calc!$BO$3:$BO$67=BO40))-1)/2,"")</f>
        <v/>
      </c>
      <c r="BT40" s="5">
        <f>IF(BN40,1+SUMPRODUCT(--(calc!$BN$3:$BN$67=TRUE),--(calc!$BP$3:$BP$67&gt;BP40))+(SUMPRODUCT(--(calc!$BN$3:$BN$67=TRUE),--(calc!$BP$3:$BP$67=BP40))-1)/2,"")</f>
        <v/>
      </c>
      <c r="BU40" s="5">
        <f>IF(BN40,SUMPRODUCT(--(calc!$BN$3:$BN$67=TRUE),--(ROW(calc!$BN$3:$BN$67)&gt;ROW(BN40)),--(((calc!$BS$3:$BS$67&gt;BS40)*(calc!$BT$3:$BT$67&gt;BT40)+(calc!$BS$3:$BS$67&lt;BS40)*(calc!$BT$3:$BT$67&lt;BT40))&gt;0))-SUMPRODUCT(--(calc!$BN$3:$BN$67=TRUE),--(ROW(calc!$BN$3:$BN$67)&gt;ROW(BN40)),--(((calc!$BS$3:$BS$67&gt;BS40)*(calc!$BT$3:$BT$67&lt;BT40)+(calc!$BS$3:$BS$67&lt;BS40)*(calc!$BT$3:$BT$67&gt;BT40))&gt;0)),0)</f>
        <v/>
      </c>
    </row>
    <row r="41">
      <c r="A41" s="2">
        <f>mos_metrics!A40</f>
        <v/>
      </c>
      <c r="B41" s="2">
        <f>mos_metrics!B40</f>
        <v/>
      </c>
      <c r="C41" s="2">
        <f>mos_metrics!C40</f>
        <v/>
      </c>
      <c r="D41" s="2">
        <f>mos_metrics!D40</f>
        <v/>
      </c>
      <c r="E41" s="2">
        <f>mos_metrics!E40</f>
        <v/>
      </c>
      <c r="F41" s="2">
        <f>mos_metrics!F40</f>
        <v/>
      </c>
      <c r="G41" s="2">
        <f>IF($B41="","",IFERROR(VLOOKUP($B41,correlation!$A$2:$B$6,2,FALSE),1))</f>
        <v/>
      </c>
      <c r="H41" s="2">
        <f>IF($E41="","",IFERROR(VLOOKUP($E41,correlation!$D$2:$E$8,2,FALSE),1))</f>
        <v/>
      </c>
      <c r="I41" s="2">
        <f>ISNUMBER($F41)</f>
        <v/>
      </c>
      <c r="J41" s="2">
        <f>AND($G41=1,$H41=1,$I41)</f>
        <v/>
      </c>
      <c r="K41" s="5">
        <f>IF(mos_metrics!G40="","",mos_metrics!G40)</f>
        <v/>
      </c>
      <c r="L41" s="2">
        <f>AND($J41,ISNUMBER(K41),correlation!$I$26=1)</f>
        <v/>
      </c>
      <c r="M41" s="5">
        <f>IF(L41,$F41,"")</f>
        <v/>
      </c>
      <c r="N41" s="5">
        <f>IF(L41,K41*correlation!$J$26,"")</f>
        <v/>
      </c>
      <c r="O41" s="5">
        <f>IF(AND(L41,ISNUMBER(correlation!$F$26)),N41*correlation!$F$26+correlation!$G$26,"")</f>
        <v/>
      </c>
      <c r="P41" s="5">
        <f>IF(AND(L41,ISNUMBER(O41)),(M41-O41)^2,"")</f>
        <v/>
      </c>
      <c r="Q41" s="5">
        <f>IF(L41,1+SUMPRODUCT(--(calc!$L$3:$L$67=TRUE),--(calc!$M$3:$M$67&gt;M41))+(SUMPRODUCT(--(calc!$L$3:$L$67=TRUE),--(calc!$M$3:$M$67=M41))-1)/2,"")</f>
        <v/>
      </c>
      <c r="R41" s="5">
        <f>IF(L41,1+SUMPRODUCT(--(calc!$L$3:$L$67=TRUE),--(calc!$N$3:$N$67&gt;N41))+(SUMPRODUCT(--(calc!$L$3:$L$67=TRUE),--(calc!$N$3:$N$67=N41))-1)/2,"")</f>
        <v/>
      </c>
      <c r="S41" s="5">
        <f>IF(L41,SUMPRODUCT(--(calc!$L$3:$L$67=TRUE),--(ROW(calc!$L$3:$L$67)&gt;ROW(L41)),--(((calc!$Q$3:$Q$67&gt;Q41)*(calc!$R$3:$R$67&gt;R41)+(calc!$Q$3:$Q$67&lt;Q41)*(calc!$R$3:$R$67&lt;R41))&gt;0))-SUMPRODUCT(--(calc!$L$3:$L$67=TRUE),--(ROW(calc!$L$3:$L$67)&gt;ROW(L41)),--(((calc!$Q$3:$Q$67&gt;Q41)*(calc!$R$3:$R$67&lt;R41)+(calc!$Q$3:$Q$67&lt;Q41)*(calc!$R$3:$R$67&gt;R41))&gt;0)),0)</f>
        <v/>
      </c>
      <c r="T41" s="5">
        <f>IF(mos_metrics!H40="","",mos_metrics!H40)</f>
        <v/>
      </c>
      <c r="U41" s="2">
        <f>AND($J41,ISNUMBER(T41),correlation!$I$27=1)</f>
        <v/>
      </c>
      <c r="V41" s="5">
        <f>IF(U41,$F41,"")</f>
        <v/>
      </c>
      <c r="W41" s="5">
        <f>IF(U41,T41*correlation!$J$27,"")</f>
        <v/>
      </c>
      <c r="X41" s="5">
        <f>IF(AND(U41,ISNUMBER(correlation!$F$27)),W41*correlation!$F$27+correlation!$G$27,"")</f>
        <v/>
      </c>
      <c r="Y41" s="5">
        <f>IF(AND(U41,ISNUMBER(X41)),(V41-X41)^2,"")</f>
        <v/>
      </c>
      <c r="Z41" s="5">
        <f>IF(U41,1+SUMPRODUCT(--(calc!$U$3:$U$67=TRUE),--(calc!$V$3:$V$67&gt;V41))+(SUMPRODUCT(--(calc!$U$3:$U$67=TRUE),--(calc!$V$3:$V$67=V41))-1)/2,"")</f>
        <v/>
      </c>
      <c r="AA41" s="5">
        <f>IF(U41,1+SUMPRODUCT(--(calc!$U$3:$U$67=TRUE),--(calc!$W$3:$W$67&gt;W41))+(SUMPRODUCT(--(calc!$U$3:$U$67=TRUE),--(calc!$W$3:$W$67=W41))-1)/2,"")</f>
        <v/>
      </c>
      <c r="AB41" s="5">
        <f>IF(U41,SUMPRODUCT(--(calc!$U$3:$U$67=TRUE),--(ROW(calc!$U$3:$U$67)&gt;ROW(U41)),--(((calc!$Z$3:$Z$67&gt;Z41)*(calc!$AA$3:$AA$67&gt;AA41)+(calc!$Z$3:$Z$67&lt;Z41)*(calc!$AA$3:$AA$67&lt;AA41))&gt;0))-SUMPRODUCT(--(calc!$U$3:$U$67=TRUE),--(ROW(calc!$U$3:$U$67)&gt;ROW(U41)),--(((calc!$Z$3:$Z$67&gt;Z41)*(calc!$AA$3:$AA$67&lt;AA41)+(calc!$Z$3:$Z$67&lt;Z41)*(calc!$AA$3:$AA$67&gt;AA41))&gt;0)),0)</f>
        <v/>
      </c>
      <c r="AC41" s="5">
        <f>IF(mos_metrics!I40="","",mos_metrics!I40)</f>
        <v/>
      </c>
      <c r="AD41" s="2">
        <f>AND($J41,ISNUMBER(AC41),correlation!$I$28=1)</f>
        <v/>
      </c>
      <c r="AE41" s="5">
        <f>IF(AD41,$F41,"")</f>
        <v/>
      </c>
      <c r="AF41" s="5">
        <f>IF(AD41,AC41*correlation!$J$28,"")</f>
        <v/>
      </c>
      <c r="AG41" s="5">
        <f>IF(AND(AD41,ISNUMBER(correlation!$F$28)),AF41*correlation!$F$28+correlation!$G$28,"")</f>
        <v/>
      </c>
      <c r="AH41" s="5">
        <f>IF(AND(AD41,ISNUMBER(AG41)),(AE41-AG41)^2,"")</f>
        <v/>
      </c>
      <c r="AI41" s="5">
        <f>IF(AD41,1+SUMPRODUCT(--(calc!$AD$3:$AD$67=TRUE),--(calc!$AE$3:$AE$67&gt;AE41))+(SUMPRODUCT(--(calc!$AD$3:$AD$67=TRUE),--(calc!$AE$3:$AE$67=AE41))-1)/2,"")</f>
        <v/>
      </c>
      <c r="AJ41" s="5">
        <f>IF(AD41,1+SUMPRODUCT(--(calc!$AD$3:$AD$67=TRUE),--(calc!$AF$3:$AF$67&gt;AF41))+(SUMPRODUCT(--(calc!$AD$3:$AD$67=TRUE),--(calc!$AF$3:$AF$67=AF41))-1)/2,"")</f>
        <v/>
      </c>
      <c r="AK41" s="5">
        <f>IF(AD41,SUMPRODUCT(--(calc!$AD$3:$AD$67=TRUE),--(ROW(calc!$AD$3:$AD$67)&gt;ROW(AD41)),--(((calc!$AI$3:$AI$67&gt;AI41)*(calc!$AJ$3:$AJ$67&gt;AJ41)+(calc!$AI$3:$AI$67&lt;AI41)*(calc!$AJ$3:$AJ$67&lt;AJ41))&gt;0))-SUMPRODUCT(--(calc!$AD$3:$AD$67=TRUE),--(ROW(calc!$AD$3:$AD$67)&gt;ROW(AD41)),--(((calc!$AI$3:$AI$67&gt;AI41)*(calc!$AJ$3:$AJ$67&lt;AJ41)+(calc!$AI$3:$AI$67&lt;AI41)*(calc!$AJ$3:$AJ$67&gt;AJ41))&gt;0)),0)</f>
        <v/>
      </c>
      <c r="AL41" s="5">
        <f>IF(mos_metrics!J40="","",mos_metrics!J40)</f>
        <v/>
      </c>
      <c r="AM41" s="2">
        <f>AND($J41,ISNUMBER(AL41),correlation!$I$29=1)</f>
        <v/>
      </c>
      <c r="AN41" s="5">
        <f>IF(AM41,$F41,"")</f>
        <v/>
      </c>
      <c r="AO41" s="5">
        <f>IF(AM41,AL41*correlation!$J$29,"")</f>
        <v/>
      </c>
      <c r="AP41" s="5">
        <f>IF(AND(AM41,ISNUMBER(correlation!$F$29)),AO41*correlation!$F$29+correlation!$G$29,"")</f>
        <v/>
      </c>
      <c r="AQ41" s="5">
        <f>IF(AND(AM41,ISNUMBER(AP41)),(AN41-AP41)^2,"")</f>
        <v/>
      </c>
      <c r="AR41" s="5">
        <f>IF(AM41,1+SUMPRODUCT(--(calc!$AM$3:$AM$67=TRUE),--(calc!$AN$3:$AN$67&gt;AN41))+(SUMPRODUCT(--(calc!$AM$3:$AM$67=TRUE),--(calc!$AN$3:$AN$67=AN41))-1)/2,"")</f>
        <v/>
      </c>
      <c r="AS41" s="5">
        <f>IF(AM41,1+SUMPRODUCT(--(calc!$AM$3:$AM$67=TRUE),--(calc!$AO$3:$AO$67&gt;AO41))+(SUMPRODUCT(--(calc!$AM$3:$AM$67=TRUE),--(calc!$AO$3:$AO$67=AO41))-1)/2,"")</f>
        <v/>
      </c>
      <c r="AT41" s="5">
        <f>IF(AM41,SUMPRODUCT(--(calc!$AM$3:$AM$67=TRUE),--(ROW(calc!$AM$3:$AM$67)&gt;ROW(AM41)),--(((calc!$AR$3:$AR$67&gt;AR41)*(calc!$AS$3:$AS$67&gt;AS41)+(calc!$AR$3:$AR$67&lt;AR41)*(calc!$AS$3:$AS$67&lt;AS41))&gt;0))-SUMPRODUCT(--(calc!$AM$3:$AM$67=TRUE),--(ROW(calc!$AM$3:$AM$67)&gt;ROW(AM41)),--(((calc!$AR$3:$AR$67&gt;AR41)*(calc!$AS$3:$AS$67&lt;AS41)+(calc!$AR$3:$AR$67&lt;AR41)*(calc!$AS$3:$AS$67&gt;AS41))&gt;0)),0)</f>
        <v/>
      </c>
      <c r="AU41" s="5">
        <f>IF(mos_metrics!K40="","",mos_metrics!K40)</f>
        <v/>
      </c>
      <c r="AV41" s="2">
        <f>AND($J41,ISNUMBER(AU41),correlation!$I$30=1)</f>
        <v/>
      </c>
      <c r="AW41" s="5">
        <f>IF(AV41,$F41,"")</f>
        <v/>
      </c>
      <c r="AX41" s="5">
        <f>IF(AV41,AU41*correlation!$J$30,"")</f>
        <v/>
      </c>
      <c r="AY41" s="5">
        <f>IF(AND(AV41,ISNUMBER(correlation!$F$30)),AX41*correlation!$F$30+correlation!$G$30,"")</f>
        <v/>
      </c>
      <c r="AZ41" s="5">
        <f>IF(AND(AV41,ISNUMBER(AY41)),(AW41-AY41)^2,"")</f>
        <v/>
      </c>
      <c r="BA41" s="5">
        <f>IF(AV41,1+SUMPRODUCT(--(calc!$AV$3:$AV$67=TRUE),--(calc!$AW$3:$AW$67&gt;AW41))+(SUMPRODUCT(--(calc!$AV$3:$AV$67=TRUE),--(calc!$AW$3:$AW$67=AW41))-1)/2,"")</f>
        <v/>
      </c>
      <c r="BB41" s="5">
        <f>IF(AV41,1+SUMPRODUCT(--(calc!$AV$3:$AV$67=TRUE),--(calc!$AX$3:$AX$67&gt;AX41))+(SUMPRODUCT(--(calc!$AV$3:$AV$67=TRUE),--(calc!$AX$3:$AX$67=AX41))-1)/2,"")</f>
        <v/>
      </c>
      <c r="BC41" s="5">
        <f>IF(AV41,SUMPRODUCT(--(calc!$AV$3:$AV$67=TRUE),--(ROW(calc!$AV$3:$AV$67)&gt;ROW(AV41)),--(((calc!$BA$3:$BA$67&gt;BA41)*(calc!$BB$3:$BB$67&gt;BB41)+(calc!$BA$3:$BA$67&lt;BA41)*(calc!$BB$3:$BB$67&lt;BB41))&gt;0))-SUMPRODUCT(--(calc!$AV$3:$AV$67=TRUE),--(ROW(calc!$AV$3:$AV$67)&gt;ROW(AV41)),--(((calc!$BA$3:$BA$67&gt;BA41)*(calc!$BB$3:$BB$67&lt;BB41)+(calc!$BA$3:$BA$67&lt;BA41)*(calc!$BB$3:$BB$67&gt;BB41))&gt;0)),0)</f>
        <v/>
      </c>
      <c r="BD41" s="5">
        <f>IF(mos_metrics!L40="","",mos_metrics!L40)</f>
        <v/>
      </c>
      <c r="BE41" s="2">
        <f>AND($J41,ISNUMBER(BD41),correlation!$I$31=1)</f>
        <v/>
      </c>
      <c r="BF41" s="5">
        <f>IF(BE41,$F41,"")</f>
        <v/>
      </c>
      <c r="BG41" s="5">
        <f>IF(BE41,BD41*correlation!$J$31,"")</f>
        <v/>
      </c>
      <c r="BH41" s="5">
        <f>IF(AND(BE41,ISNUMBER(correlation!$F$31)),BG41*correlation!$F$31+correlation!$G$31,"")</f>
        <v/>
      </c>
      <c r="BI41" s="5">
        <f>IF(AND(BE41,ISNUMBER(BH41)),(BF41-BH41)^2,"")</f>
        <v/>
      </c>
      <c r="BJ41" s="5">
        <f>IF(BE41,1+SUMPRODUCT(--(calc!$BE$3:$BE$67=TRUE),--(calc!$BF$3:$BF$67&gt;BF41))+(SUMPRODUCT(--(calc!$BE$3:$BE$67=TRUE),--(calc!$BF$3:$BF$67=BF41))-1)/2,"")</f>
        <v/>
      </c>
      <c r="BK41" s="5">
        <f>IF(BE41,1+SUMPRODUCT(--(calc!$BE$3:$BE$67=TRUE),--(calc!$BG$3:$BG$67&gt;BG41))+(SUMPRODUCT(--(calc!$BE$3:$BE$67=TRUE),--(calc!$BG$3:$BG$67=BG41))-1)/2,"")</f>
        <v/>
      </c>
      <c r="BL41" s="5">
        <f>IF(BE41,SUMPRODUCT(--(calc!$BE$3:$BE$67=TRUE),--(ROW(calc!$BE$3:$BE$67)&gt;ROW(BE41)),--(((calc!$BJ$3:$BJ$67&gt;BJ41)*(calc!$BK$3:$BK$67&gt;BK41)+(calc!$BJ$3:$BJ$67&lt;BJ41)*(calc!$BK$3:$BK$67&lt;BK41))&gt;0))-SUMPRODUCT(--(calc!$BE$3:$BE$67=TRUE),--(ROW(calc!$BE$3:$BE$67)&gt;ROW(BE41)),--(((calc!$BJ$3:$BJ$67&gt;BJ41)*(calc!$BK$3:$BK$67&lt;BK41)+(calc!$BJ$3:$BJ$67&lt;BJ41)*(calc!$BK$3:$BK$67&gt;BK41))&gt;0)),0)</f>
        <v/>
      </c>
      <c r="BM41" s="5">
        <f>IF(mos_metrics!M40="","",mos_metrics!M40)</f>
        <v/>
      </c>
      <c r="BN41" s="2">
        <f>AND($J41,ISNUMBER(BM41),correlation!$I$32=1)</f>
        <v/>
      </c>
      <c r="BO41" s="5">
        <f>IF(BN41,$F41,"")</f>
        <v/>
      </c>
      <c r="BP41" s="5">
        <f>IF(BN41,BM41*correlation!$J$32,"")</f>
        <v/>
      </c>
      <c r="BQ41" s="5">
        <f>IF(AND(BN41,ISNUMBER(correlation!$F$32)),BP41*correlation!$F$32+correlation!$G$32,"")</f>
        <v/>
      </c>
      <c r="BR41" s="5">
        <f>IF(AND(BN41,ISNUMBER(BQ41)),(BO41-BQ41)^2,"")</f>
        <v/>
      </c>
      <c r="BS41" s="5">
        <f>IF(BN41,1+SUMPRODUCT(--(calc!$BN$3:$BN$67=TRUE),--(calc!$BO$3:$BO$67&gt;BO41))+(SUMPRODUCT(--(calc!$BN$3:$BN$67=TRUE),--(calc!$BO$3:$BO$67=BO41))-1)/2,"")</f>
        <v/>
      </c>
      <c r="BT41" s="5">
        <f>IF(BN41,1+SUMPRODUCT(--(calc!$BN$3:$BN$67=TRUE),--(calc!$BP$3:$BP$67&gt;BP41))+(SUMPRODUCT(--(calc!$BN$3:$BN$67=TRUE),--(calc!$BP$3:$BP$67=BP41))-1)/2,"")</f>
        <v/>
      </c>
      <c r="BU41" s="5">
        <f>IF(BN41,SUMPRODUCT(--(calc!$BN$3:$BN$67=TRUE),--(ROW(calc!$BN$3:$BN$67)&gt;ROW(BN41)),--(((calc!$BS$3:$BS$67&gt;BS41)*(calc!$BT$3:$BT$67&gt;BT41)+(calc!$BS$3:$BS$67&lt;BS41)*(calc!$BT$3:$BT$67&lt;BT41))&gt;0))-SUMPRODUCT(--(calc!$BN$3:$BN$67=TRUE),--(ROW(calc!$BN$3:$BN$67)&gt;ROW(BN41)),--(((calc!$BS$3:$BS$67&gt;BS41)*(calc!$BT$3:$BT$67&lt;BT41)+(calc!$BS$3:$BS$67&lt;BS41)*(calc!$BT$3:$BT$67&gt;BT41))&gt;0)),0)</f>
        <v/>
      </c>
    </row>
    <row r="42">
      <c r="A42" s="2">
        <f>mos_metrics!A41</f>
        <v/>
      </c>
      <c r="B42" s="2">
        <f>mos_metrics!B41</f>
        <v/>
      </c>
      <c r="C42" s="2">
        <f>mos_metrics!C41</f>
        <v/>
      </c>
      <c r="D42" s="2">
        <f>mos_metrics!D41</f>
        <v/>
      </c>
      <c r="E42" s="2">
        <f>mos_metrics!E41</f>
        <v/>
      </c>
      <c r="F42" s="2">
        <f>mos_metrics!F41</f>
        <v/>
      </c>
      <c r="G42" s="2">
        <f>IF($B42="","",IFERROR(VLOOKUP($B42,correlation!$A$2:$B$6,2,FALSE),1))</f>
        <v/>
      </c>
      <c r="H42" s="2">
        <f>IF($E42="","",IFERROR(VLOOKUP($E42,correlation!$D$2:$E$8,2,FALSE),1))</f>
        <v/>
      </c>
      <c r="I42" s="2">
        <f>ISNUMBER($F42)</f>
        <v/>
      </c>
      <c r="J42" s="2">
        <f>AND($G42=1,$H42=1,$I42)</f>
        <v/>
      </c>
      <c r="K42" s="5">
        <f>IF(mos_metrics!G41="","",mos_metrics!G41)</f>
        <v/>
      </c>
      <c r="L42" s="2">
        <f>AND($J42,ISNUMBER(K42),correlation!$I$26=1)</f>
        <v/>
      </c>
      <c r="M42" s="5">
        <f>IF(L42,$F42,"")</f>
        <v/>
      </c>
      <c r="N42" s="5">
        <f>IF(L42,K42*correlation!$J$26,"")</f>
        <v/>
      </c>
      <c r="O42" s="5">
        <f>IF(AND(L42,ISNUMBER(correlation!$F$26)),N42*correlation!$F$26+correlation!$G$26,"")</f>
        <v/>
      </c>
      <c r="P42" s="5">
        <f>IF(AND(L42,ISNUMBER(O42)),(M42-O42)^2,"")</f>
        <v/>
      </c>
      <c r="Q42" s="5">
        <f>IF(L42,1+SUMPRODUCT(--(calc!$L$3:$L$67=TRUE),--(calc!$M$3:$M$67&gt;M42))+(SUMPRODUCT(--(calc!$L$3:$L$67=TRUE),--(calc!$M$3:$M$67=M42))-1)/2,"")</f>
        <v/>
      </c>
      <c r="R42" s="5">
        <f>IF(L42,1+SUMPRODUCT(--(calc!$L$3:$L$67=TRUE),--(calc!$N$3:$N$67&gt;N42))+(SUMPRODUCT(--(calc!$L$3:$L$67=TRUE),--(calc!$N$3:$N$67=N42))-1)/2,"")</f>
        <v/>
      </c>
      <c r="S42" s="5">
        <f>IF(L42,SUMPRODUCT(--(calc!$L$3:$L$67=TRUE),--(ROW(calc!$L$3:$L$67)&gt;ROW(L42)),--(((calc!$Q$3:$Q$67&gt;Q42)*(calc!$R$3:$R$67&gt;R42)+(calc!$Q$3:$Q$67&lt;Q42)*(calc!$R$3:$R$67&lt;R42))&gt;0))-SUMPRODUCT(--(calc!$L$3:$L$67=TRUE),--(ROW(calc!$L$3:$L$67)&gt;ROW(L42)),--(((calc!$Q$3:$Q$67&gt;Q42)*(calc!$R$3:$R$67&lt;R42)+(calc!$Q$3:$Q$67&lt;Q42)*(calc!$R$3:$R$67&gt;R42))&gt;0)),0)</f>
        <v/>
      </c>
      <c r="T42" s="5">
        <f>IF(mos_metrics!H41="","",mos_metrics!H41)</f>
        <v/>
      </c>
      <c r="U42" s="2">
        <f>AND($J42,ISNUMBER(T42),correlation!$I$27=1)</f>
        <v/>
      </c>
      <c r="V42" s="5">
        <f>IF(U42,$F42,"")</f>
        <v/>
      </c>
      <c r="W42" s="5">
        <f>IF(U42,T42*correlation!$J$27,"")</f>
        <v/>
      </c>
      <c r="X42" s="5">
        <f>IF(AND(U42,ISNUMBER(correlation!$F$27)),W42*correlation!$F$27+correlation!$G$27,"")</f>
        <v/>
      </c>
      <c r="Y42" s="5">
        <f>IF(AND(U42,ISNUMBER(X42)),(V42-X42)^2,"")</f>
        <v/>
      </c>
      <c r="Z42" s="5">
        <f>IF(U42,1+SUMPRODUCT(--(calc!$U$3:$U$67=TRUE),--(calc!$V$3:$V$67&gt;V42))+(SUMPRODUCT(--(calc!$U$3:$U$67=TRUE),--(calc!$V$3:$V$67=V42))-1)/2,"")</f>
        <v/>
      </c>
      <c r="AA42" s="5">
        <f>IF(U42,1+SUMPRODUCT(--(calc!$U$3:$U$67=TRUE),--(calc!$W$3:$W$67&gt;W42))+(SUMPRODUCT(--(calc!$U$3:$U$67=TRUE),--(calc!$W$3:$W$67=W42))-1)/2,"")</f>
        <v/>
      </c>
      <c r="AB42" s="5">
        <f>IF(U42,SUMPRODUCT(--(calc!$U$3:$U$67=TRUE),--(ROW(calc!$U$3:$U$67)&gt;ROW(U42)),--(((calc!$Z$3:$Z$67&gt;Z42)*(calc!$AA$3:$AA$67&gt;AA42)+(calc!$Z$3:$Z$67&lt;Z42)*(calc!$AA$3:$AA$67&lt;AA42))&gt;0))-SUMPRODUCT(--(calc!$U$3:$U$67=TRUE),--(ROW(calc!$U$3:$U$67)&gt;ROW(U42)),--(((calc!$Z$3:$Z$67&gt;Z42)*(calc!$AA$3:$AA$67&lt;AA42)+(calc!$Z$3:$Z$67&lt;Z42)*(calc!$AA$3:$AA$67&gt;AA42))&gt;0)),0)</f>
        <v/>
      </c>
      <c r="AC42" s="5">
        <f>IF(mos_metrics!I41="","",mos_metrics!I41)</f>
        <v/>
      </c>
      <c r="AD42" s="2">
        <f>AND($J42,ISNUMBER(AC42),correlation!$I$28=1)</f>
        <v/>
      </c>
      <c r="AE42" s="5">
        <f>IF(AD42,$F42,"")</f>
        <v/>
      </c>
      <c r="AF42" s="5">
        <f>IF(AD42,AC42*correlation!$J$28,"")</f>
        <v/>
      </c>
      <c r="AG42" s="5">
        <f>IF(AND(AD42,ISNUMBER(correlation!$F$28)),AF42*correlation!$F$28+correlation!$G$28,"")</f>
        <v/>
      </c>
      <c r="AH42" s="5">
        <f>IF(AND(AD42,ISNUMBER(AG42)),(AE42-AG42)^2,"")</f>
        <v/>
      </c>
      <c r="AI42" s="5">
        <f>IF(AD42,1+SUMPRODUCT(--(calc!$AD$3:$AD$67=TRUE),--(calc!$AE$3:$AE$67&gt;AE42))+(SUMPRODUCT(--(calc!$AD$3:$AD$67=TRUE),--(calc!$AE$3:$AE$67=AE42))-1)/2,"")</f>
        <v/>
      </c>
      <c r="AJ42" s="5">
        <f>IF(AD42,1+SUMPRODUCT(--(calc!$AD$3:$AD$67=TRUE),--(calc!$AF$3:$AF$67&gt;AF42))+(SUMPRODUCT(--(calc!$AD$3:$AD$67=TRUE),--(calc!$AF$3:$AF$67=AF42))-1)/2,"")</f>
        <v/>
      </c>
      <c r="AK42" s="5">
        <f>IF(AD42,SUMPRODUCT(--(calc!$AD$3:$AD$67=TRUE),--(ROW(calc!$AD$3:$AD$67)&gt;ROW(AD42)),--(((calc!$AI$3:$AI$67&gt;AI42)*(calc!$AJ$3:$AJ$67&gt;AJ42)+(calc!$AI$3:$AI$67&lt;AI42)*(calc!$AJ$3:$AJ$67&lt;AJ42))&gt;0))-SUMPRODUCT(--(calc!$AD$3:$AD$67=TRUE),--(ROW(calc!$AD$3:$AD$67)&gt;ROW(AD42)),--(((calc!$AI$3:$AI$67&gt;AI42)*(calc!$AJ$3:$AJ$67&lt;AJ42)+(calc!$AI$3:$AI$67&lt;AI42)*(calc!$AJ$3:$AJ$67&gt;AJ42))&gt;0)),0)</f>
        <v/>
      </c>
      <c r="AL42" s="5">
        <f>IF(mos_metrics!J41="","",mos_metrics!J41)</f>
        <v/>
      </c>
      <c r="AM42" s="2">
        <f>AND($J42,ISNUMBER(AL42),correlation!$I$29=1)</f>
        <v/>
      </c>
      <c r="AN42" s="5">
        <f>IF(AM42,$F42,"")</f>
        <v/>
      </c>
      <c r="AO42" s="5">
        <f>IF(AM42,AL42*correlation!$J$29,"")</f>
        <v/>
      </c>
      <c r="AP42" s="5">
        <f>IF(AND(AM42,ISNUMBER(correlation!$F$29)),AO42*correlation!$F$29+correlation!$G$29,"")</f>
        <v/>
      </c>
      <c r="AQ42" s="5">
        <f>IF(AND(AM42,ISNUMBER(AP42)),(AN42-AP42)^2,"")</f>
        <v/>
      </c>
      <c r="AR42" s="5">
        <f>IF(AM42,1+SUMPRODUCT(--(calc!$AM$3:$AM$67=TRUE),--(calc!$AN$3:$AN$67&gt;AN42))+(SUMPRODUCT(--(calc!$AM$3:$AM$67=TRUE),--(calc!$AN$3:$AN$67=AN42))-1)/2,"")</f>
        <v/>
      </c>
      <c r="AS42" s="5">
        <f>IF(AM42,1+SUMPRODUCT(--(calc!$AM$3:$AM$67=TRUE),--(calc!$AO$3:$AO$67&gt;AO42))+(SUMPRODUCT(--(calc!$AM$3:$AM$67=TRUE),--(calc!$AO$3:$AO$67=AO42))-1)/2,"")</f>
        <v/>
      </c>
      <c r="AT42" s="5">
        <f>IF(AM42,SUMPRODUCT(--(calc!$AM$3:$AM$67=TRUE),--(ROW(calc!$AM$3:$AM$67)&gt;ROW(AM42)),--(((calc!$AR$3:$AR$67&gt;AR42)*(calc!$AS$3:$AS$67&gt;AS42)+(calc!$AR$3:$AR$67&lt;AR42)*(calc!$AS$3:$AS$67&lt;AS42))&gt;0))-SUMPRODUCT(--(calc!$AM$3:$AM$67=TRUE),--(ROW(calc!$AM$3:$AM$67)&gt;ROW(AM42)),--(((calc!$AR$3:$AR$67&gt;AR42)*(calc!$AS$3:$AS$67&lt;AS42)+(calc!$AR$3:$AR$67&lt;AR42)*(calc!$AS$3:$AS$67&gt;AS42))&gt;0)),0)</f>
        <v/>
      </c>
      <c r="AU42" s="5">
        <f>IF(mos_metrics!K41="","",mos_metrics!K41)</f>
        <v/>
      </c>
      <c r="AV42" s="2">
        <f>AND($J42,ISNUMBER(AU42),correlation!$I$30=1)</f>
        <v/>
      </c>
      <c r="AW42" s="5">
        <f>IF(AV42,$F42,"")</f>
        <v/>
      </c>
      <c r="AX42" s="5">
        <f>IF(AV42,AU42*correlation!$J$30,"")</f>
        <v/>
      </c>
      <c r="AY42" s="5">
        <f>IF(AND(AV42,ISNUMBER(correlation!$F$30)),AX42*correlation!$F$30+correlation!$G$30,"")</f>
        <v/>
      </c>
      <c r="AZ42" s="5">
        <f>IF(AND(AV42,ISNUMBER(AY42)),(AW42-AY42)^2,"")</f>
        <v/>
      </c>
      <c r="BA42" s="5">
        <f>IF(AV42,1+SUMPRODUCT(--(calc!$AV$3:$AV$67=TRUE),--(calc!$AW$3:$AW$67&gt;AW42))+(SUMPRODUCT(--(calc!$AV$3:$AV$67=TRUE),--(calc!$AW$3:$AW$67=AW42))-1)/2,"")</f>
        <v/>
      </c>
      <c r="BB42" s="5">
        <f>IF(AV42,1+SUMPRODUCT(--(calc!$AV$3:$AV$67=TRUE),--(calc!$AX$3:$AX$67&gt;AX42))+(SUMPRODUCT(--(calc!$AV$3:$AV$67=TRUE),--(calc!$AX$3:$AX$67=AX42))-1)/2,"")</f>
        <v/>
      </c>
      <c r="BC42" s="5">
        <f>IF(AV42,SUMPRODUCT(--(calc!$AV$3:$AV$67=TRUE),--(ROW(calc!$AV$3:$AV$67)&gt;ROW(AV42)),--(((calc!$BA$3:$BA$67&gt;BA42)*(calc!$BB$3:$BB$67&gt;BB42)+(calc!$BA$3:$BA$67&lt;BA42)*(calc!$BB$3:$BB$67&lt;BB42))&gt;0))-SUMPRODUCT(--(calc!$AV$3:$AV$67=TRUE),--(ROW(calc!$AV$3:$AV$67)&gt;ROW(AV42)),--(((calc!$BA$3:$BA$67&gt;BA42)*(calc!$BB$3:$BB$67&lt;BB42)+(calc!$BA$3:$BA$67&lt;BA42)*(calc!$BB$3:$BB$67&gt;BB42))&gt;0)),0)</f>
        <v/>
      </c>
      <c r="BD42" s="5">
        <f>IF(mos_metrics!L41="","",mos_metrics!L41)</f>
        <v/>
      </c>
      <c r="BE42" s="2">
        <f>AND($J42,ISNUMBER(BD42),correlation!$I$31=1)</f>
        <v/>
      </c>
      <c r="BF42" s="5">
        <f>IF(BE42,$F42,"")</f>
        <v/>
      </c>
      <c r="BG42" s="5">
        <f>IF(BE42,BD42*correlation!$J$31,"")</f>
        <v/>
      </c>
      <c r="BH42" s="5">
        <f>IF(AND(BE42,ISNUMBER(correlation!$F$31)),BG42*correlation!$F$31+correlation!$G$31,"")</f>
        <v/>
      </c>
      <c r="BI42" s="5">
        <f>IF(AND(BE42,ISNUMBER(BH42)),(BF42-BH42)^2,"")</f>
        <v/>
      </c>
      <c r="BJ42" s="5">
        <f>IF(BE42,1+SUMPRODUCT(--(calc!$BE$3:$BE$67=TRUE),--(calc!$BF$3:$BF$67&gt;BF42))+(SUMPRODUCT(--(calc!$BE$3:$BE$67=TRUE),--(calc!$BF$3:$BF$67=BF42))-1)/2,"")</f>
        <v/>
      </c>
      <c r="BK42" s="5">
        <f>IF(BE42,1+SUMPRODUCT(--(calc!$BE$3:$BE$67=TRUE),--(calc!$BG$3:$BG$67&gt;BG42))+(SUMPRODUCT(--(calc!$BE$3:$BE$67=TRUE),--(calc!$BG$3:$BG$67=BG42))-1)/2,"")</f>
        <v/>
      </c>
      <c r="BL42" s="5">
        <f>IF(BE42,SUMPRODUCT(--(calc!$BE$3:$BE$67=TRUE),--(ROW(calc!$BE$3:$BE$67)&gt;ROW(BE42)),--(((calc!$BJ$3:$BJ$67&gt;BJ42)*(calc!$BK$3:$BK$67&gt;BK42)+(calc!$BJ$3:$BJ$67&lt;BJ42)*(calc!$BK$3:$BK$67&lt;BK42))&gt;0))-SUMPRODUCT(--(calc!$BE$3:$BE$67=TRUE),--(ROW(calc!$BE$3:$BE$67)&gt;ROW(BE42)),--(((calc!$BJ$3:$BJ$67&gt;BJ42)*(calc!$BK$3:$BK$67&lt;BK42)+(calc!$BJ$3:$BJ$67&lt;BJ42)*(calc!$BK$3:$BK$67&gt;BK42))&gt;0)),0)</f>
        <v/>
      </c>
      <c r="BM42" s="5">
        <f>IF(mos_metrics!M41="","",mos_metrics!M41)</f>
        <v/>
      </c>
      <c r="BN42" s="2">
        <f>AND($J42,ISNUMBER(BM42),correlation!$I$32=1)</f>
        <v/>
      </c>
      <c r="BO42" s="5">
        <f>IF(BN42,$F42,"")</f>
        <v/>
      </c>
      <c r="BP42" s="5">
        <f>IF(BN42,BM42*correlation!$J$32,"")</f>
        <v/>
      </c>
      <c r="BQ42" s="5">
        <f>IF(AND(BN42,ISNUMBER(correlation!$F$32)),BP42*correlation!$F$32+correlation!$G$32,"")</f>
        <v/>
      </c>
      <c r="BR42" s="5">
        <f>IF(AND(BN42,ISNUMBER(BQ42)),(BO42-BQ42)^2,"")</f>
        <v/>
      </c>
      <c r="BS42" s="5">
        <f>IF(BN42,1+SUMPRODUCT(--(calc!$BN$3:$BN$67=TRUE),--(calc!$BO$3:$BO$67&gt;BO42))+(SUMPRODUCT(--(calc!$BN$3:$BN$67=TRUE),--(calc!$BO$3:$BO$67=BO42))-1)/2,"")</f>
        <v/>
      </c>
      <c r="BT42" s="5">
        <f>IF(BN42,1+SUMPRODUCT(--(calc!$BN$3:$BN$67=TRUE),--(calc!$BP$3:$BP$67&gt;BP42))+(SUMPRODUCT(--(calc!$BN$3:$BN$67=TRUE),--(calc!$BP$3:$BP$67=BP42))-1)/2,"")</f>
        <v/>
      </c>
      <c r="BU42" s="5">
        <f>IF(BN42,SUMPRODUCT(--(calc!$BN$3:$BN$67=TRUE),--(ROW(calc!$BN$3:$BN$67)&gt;ROW(BN42)),--(((calc!$BS$3:$BS$67&gt;BS42)*(calc!$BT$3:$BT$67&gt;BT42)+(calc!$BS$3:$BS$67&lt;BS42)*(calc!$BT$3:$BT$67&lt;BT42))&gt;0))-SUMPRODUCT(--(calc!$BN$3:$BN$67=TRUE),--(ROW(calc!$BN$3:$BN$67)&gt;ROW(BN42)),--(((calc!$BS$3:$BS$67&gt;BS42)*(calc!$BT$3:$BT$67&lt;BT42)+(calc!$BS$3:$BS$67&lt;BS42)*(calc!$BT$3:$BT$67&gt;BT42))&gt;0)),0)</f>
        <v/>
      </c>
    </row>
    <row r="43">
      <c r="A43" s="2">
        <f>mos_metrics!A42</f>
        <v/>
      </c>
      <c r="B43" s="2">
        <f>mos_metrics!B42</f>
        <v/>
      </c>
      <c r="C43" s="2">
        <f>mos_metrics!C42</f>
        <v/>
      </c>
      <c r="D43" s="2">
        <f>mos_metrics!D42</f>
        <v/>
      </c>
      <c r="E43" s="2">
        <f>mos_metrics!E42</f>
        <v/>
      </c>
      <c r="F43" s="2">
        <f>mos_metrics!F42</f>
        <v/>
      </c>
      <c r="G43" s="2">
        <f>IF($B43="","",IFERROR(VLOOKUP($B43,correlation!$A$2:$B$6,2,FALSE),1))</f>
        <v/>
      </c>
      <c r="H43" s="2">
        <f>IF($E43="","",IFERROR(VLOOKUP($E43,correlation!$D$2:$E$8,2,FALSE),1))</f>
        <v/>
      </c>
      <c r="I43" s="2">
        <f>ISNUMBER($F43)</f>
        <v/>
      </c>
      <c r="J43" s="2">
        <f>AND($G43=1,$H43=1,$I43)</f>
        <v/>
      </c>
      <c r="K43" s="5">
        <f>IF(mos_metrics!G42="","",mos_metrics!G42)</f>
        <v/>
      </c>
      <c r="L43" s="2">
        <f>AND($J43,ISNUMBER(K43),correlation!$I$26=1)</f>
        <v/>
      </c>
      <c r="M43" s="5">
        <f>IF(L43,$F43,"")</f>
        <v/>
      </c>
      <c r="N43" s="5">
        <f>IF(L43,K43*correlation!$J$26,"")</f>
        <v/>
      </c>
      <c r="O43" s="5">
        <f>IF(AND(L43,ISNUMBER(correlation!$F$26)),N43*correlation!$F$26+correlation!$G$26,"")</f>
        <v/>
      </c>
      <c r="P43" s="5">
        <f>IF(AND(L43,ISNUMBER(O43)),(M43-O43)^2,"")</f>
        <v/>
      </c>
      <c r="Q43" s="5">
        <f>IF(L43,1+SUMPRODUCT(--(calc!$L$3:$L$67=TRUE),--(calc!$M$3:$M$67&gt;M43))+(SUMPRODUCT(--(calc!$L$3:$L$67=TRUE),--(calc!$M$3:$M$67=M43))-1)/2,"")</f>
        <v/>
      </c>
      <c r="R43" s="5">
        <f>IF(L43,1+SUMPRODUCT(--(calc!$L$3:$L$67=TRUE),--(calc!$N$3:$N$67&gt;N43))+(SUMPRODUCT(--(calc!$L$3:$L$67=TRUE),--(calc!$N$3:$N$67=N43))-1)/2,"")</f>
        <v/>
      </c>
      <c r="S43" s="5">
        <f>IF(L43,SUMPRODUCT(--(calc!$L$3:$L$67=TRUE),--(ROW(calc!$L$3:$L$67)&gt;ROW(L43)),--(((calc!$Q$3:$Q$67&gt;Q43)*(calc!$R$3:$R$67&gt;R43)+(calc!$Q$3:$Q$67&lt;Q43)*(calc!$R$3:$R$67&lt;R43))&gt;0))-SUMPRODUCT(--(calc!$L$3:$L$67=TRUE),--(ROW(calc!$L$3:$L$67)&gt;ROW(L43)),--(((calc!$Q$3:$Q$67&gt;Q43)*(calc!$R$3:$R$67&lt;R43)+(calc!$Q$3:$Q$67&lt;Q43)*(calc!$R$3:$R$67&gt;R43))&gt;0)),0)</f>
        <v/>
      </c>
      <c r="T43" s="5">
        <f>IF(mos_metrics!H42="","",mos_metrics!H42)</f>
        <v/>
      </c>
      <c r="U43" s="2">
        <f>AND($J43,ISNUMBER(T43),correlation!$I$27=1)</f>
        <v/>
      </c>
      <c r="V43" s="5">
        <f>IF(U43,$F43,"")</f>
        <v/>
      </c>
      <c r="W43" s="5">
        <f>IF(U43,T43*correlation!$J$27,"")</f>
        <v/>
      </c>
      <c r="X43" s="5">
        <f>IF(AND(U43,ISNUMBER(correlation!$F$27)),W43*correlation!$F$27+correlation!$G$27,"")</f>
        <v/>
      </c>
      <c r="Y43" s="5">
        <f>IF(AND(U43,ISNUMBER(X43)),(V43-X43)^2,"")</f>
        <v/>
      </c>
      <c r="Z43" s="5">
        <f>IF(U43,1+SUMPRODUCT(--(calc!$U$3:$U$67=TRUE),--(calc!$V$3:$V$67&gt;V43))+(SUMPRODUCT(--(calc!$U$3:$U$67=TRUE),--(calc!$V$3:$V$67=V43))-1)/2,"")</f>
        <v/>
      </c>
      <c r="AA43" s="5">
        <f>IF(U43,1+SUMPRODUCT(--(calc!$U$3:$U$67=TRUE),--(calc!$W$3:$W$67&gt;W43))+(SUMPRODUCT(--(calc!$U$3:$U$67=TRUE),--(calc!$W$3:$W$67=W43))-1)/2,"")</f>
        <v/>
      </c>
      <c r="AB43" s="5">
        <f>IF(U43,SUMPRODUCT(--(calc!$U$3:$U$67=TRUE),--(ROW(calc!$U$3:$U$67)&gt;ROW(U43)),--(((calc!$Z$3:$Z$67&gt;Z43)*(calc!$AA$3:$AA$67&gt;AA43)+(calc!$Z$3:$Z$67&lt;Z43)*(calc!$AA$3:$AA$67&lt;AA43))&gt;0))-SUMPRODUCT(--(calc!$U$3:$U$67=TRUE),--(ROW(calc!$U$3:$U$67)&gt;ROW(U43)),--(((calc!$Z$3:$Z$67&gt;Z43)*(calc!$AA$3:$AA$67&lt;AA43)+(calc!$Z$3:$Z$67&lt;Z43)*(calc!$AA$3:$AA$67&gt;AA43))&gt;0)),0)</f>
        <v/>
      </c>
      <c r="AC43" s="5">
        <f>IF(mos_metrics!I42="","",mos_metrics!I42)</f>
        <v/>
      </c>
      <c r="AD43" s="2">
        <f>AND($J43,ISNUMBER(AC43),correlation!$I$28=1)</f>
        <v/>
      </c>
      <c r="AE43" s="5">
        <f>IF(AD43,$F43,"")</f>
        <v/>
      </c>
      <c r="AF43" s="5">
        <f>IF(AD43,AC43*correlation!$J$28,"")</f>
        <v/>
      </c>
      <c r="AG43" s="5">
        <f>IF(AND(AD43,ISNUMBER(correlation!$F$28)),AF43*correlation!$F$28+correlation!$G$28,"")</f>
        <v/>
      </c>
      <c r="AH43" s="5">
        <f>IF(AND(AD43,ISNUMBER(AG43)),(AE43-AG43)^2,"")</f>
        <v/>
      </c>
      <c r="AI43" s="5">
        <f>IF(AD43,1+SUMPRODUCT(--(calc!$AD$3:$AD$67=TRUE),--(calc!$AE$3:$AE$67&gt;AE43))+(SUMPRODUCT(--(calc!$AD$3:$AD$67=TRUE),--(calc!$AE$3:$AE$67=AE43))-1)/2,"")</f>
        <v/>
      </c>
      <c r="AJ43" s="5">
        <f>IF(AD43,1+SUMPRODUCT(--(calc!$AD$3:$AD$67=TRUE),--(calc!$AF$3:$AF$67&gt;AF43))+(SUMPRODUCT(--(calc!$AD$3:$AD$67=TRUE),--(calc!$AF$3:$AF$67=AF43))-1)/2,"")</f>
        <v/>
      </c>
      <c r="AK43" s="5">
        <f>IF(AD43,SUMPRODUCT(--(calc!$AD$3:$AD$67=TRUE),--(ROW(calc!$AD$3:$AD$67)&gt;ROW(AD43)),--(((calc!$AI$3:$AI$67&gt;AI43)*(calc!$AJ$3:$AJ$67&gt;AJ43)+(calc!$AI$3:$AI$67&lt;AI43)*(calc!$AJ$3:$AJ$67&lt;AJ43))&gt;0))-SUMPRODUCT(--(calc!$AD$3:$AD$67=TRUE),--(ROW(calc!$AD$3:$AD$67)&gt;ROW(AD43)),--(((calc!$AI$3:$AI$67&gt;AI43)*(calc!$AJ$3:$AJ$67&lt;AJ43)+(calc!$AI$3:$AI$67&lt;AI43)*(calc!$AJ$3:$AJ$67&gt;AJ43))&gt;0)),0)</f>
        <v/>
      </c>
      <c r="AL43" s="5">
        <f>IF(mos_metrics!J42="","",mos_metrics!J42)</f>
        <v/>
      </c>
      <c r="AM43" s="2">
        <f>AND($J43,ISNUMBER(AL43),correlation!$I$29=1)</f>
        <v/>
      </c>
      <c r="AN43" s="5">
        <f>IF(AM43,$F43,"")</f>
        <v/>
      </c>
      <c r="AO43" s="5">
        <f>IF(AM43,AL43*correlation!$J$29,"")</f>
        <v/>
      </c>
      <c r="AP43" s="5">
        <f>IF(AND(AM43,ISNUMBER(correlation!$F$29)),AO43*correlation!$F$29+correlation!$G$29,"")</f>
        <v/>
      </c>
      <c r="AQ43" s="5">
        <f>IF(AND(AM43,ISNUMBER(AP43)),(AN43-AP43)^2,"")</f>
        <v/>
      </c>
      <c r="AR43" s="5">
        <f>IF(AM43,1+SUMPRODUCT(--(calc!$AM$3:$AM$67=TRUE),--(calc!$AN$3:$AN$67&gt;AN43))+(SUMPRODUCT(--(calc!$AM$3:$AM$67=TRUE),--(calc!$AN$3:$AN$67=AN43))-1)/2,"")</f>
        <v/>
      </c>
      <c r="AS43" s="5">
        <f>IF(AM43,1+SUMPRODUCT(--(calc!$AM$3:$AM$67=TRUE),--(calc!$AO$3:$AO$67&gt;AO43))+(SUMPRODUCT(--(calc!$AM$3:$AM$67=TRUE),--(calc!$AO$3:$AO$67=AO43))-1)/2,"")</f>
        <v/>
      </c>
      <c r="AT43" s="5">
        <f>IF(AM43,SUMPRODUCT(--(calc!$AM$3:$AM$67=TRUE),--(ROW(calc!$AM$3:$AM$67)&gt;ROW(AM43)),--(((calc!$AR$3:$AR$67&gt;AR43)*(calc!$AS$3:$AS$67&gt;AS43)+(calc!$AR$3:$AR$67&lt;AR43)*(calc!$AS$3:$AS$67&lt;AS43))&gt;0))-SUMPRODUCT(--(calc!$AM$3:$AM$67=TRUE),--(ROW(calc!$AM$3:$AM$67)&gt;ROW(AM43)),--(((calc!$AR$3:$AR$67&gt;AR43)*(calc!$AS$3:$AS$67&lt;AS43)+(calc!$AR$3:$AR$67&lt;AR43)*(calc!$AS$3:$AS$67&gt;AS43))&gt;0)),0)</f>
        <v/>
      </c>
      <c r="AU43" s="5">
        <f>IF(mos_metrics!K42="","",mos_metrics!K42)</f>
        <v/>
      </c>
      <c r="AV43" s="2">
        <f>AND($J43,ISNUMBER(AU43),correlation!$I$30=1)</f>
        <v/>
      </c>
      <c r="AW43" s="5">
        <f>IF(AV43,$F43,"")</f>
        <v/>
      </c>
      <c r="AX43" s="5">
        <f>IF(AV43,AU43*correlation!$J$30,"")</f>
        <v/>
      </c>
      <c r="AY43" s="5">
        <f>IF(AND(AV43,ISNUMBER(correlation!$F$30)),AX43*correlation!$F$30+correlation!$G$30,"")</f>
        <v/>
      </c>
      <c r="AZ43" s="5">
        <f>IF(AND(AV43,ISNUMBER(AY43)),(AW43-AY43)^2,"")</f>
        <v/>
      </c>
      <c r="BA43" s="5">
        <f>IF(AV43,1+SUMPRODUCT(--(calc!$AV$3:$AV$67=TRUE),--(calc!$AW$3:$AW$67&gt;AW43))+(SUMPRODUCT(--(calc!$AV$3:$AV$67=TRUE),--(calc!$AW$3:$AW$67=AW43))-1)/2,"")</f>
        <v/>
      </c>
      <c r="BB43" s="5">
        <f>IF(AV43,1+SUMPRODUCT(--(calc!$AV$3:$AV$67=TRUE),--(calc!$AX$3:$AX$67&gt;AX43))+(SUMPRODUCT(--(calc!$AV$3:$AV$67=TRUE),--(calc!$AX$3:$AX$67=AX43))-1)/2,"")</f>
        <v/>
      </c>
      <c r="BC43" s="5">
        <f>IF(AV43,SUMPRODUCT(--(calc!$AV$3:$AV$67=TRUE),--(ROW(calc!$AV$3:$AV$67)&gt;ROW(AV43)),--(((calc!$BA$3:$BA$67&gt;BA43)*(calc!$BB$3:$BB$67&gt;BB43)+(calc!$BA$3:$BA$67&lt;BA43)*(calc!$BB$3:$BB$67&lt;BB43))&gt;0))-SUMPRODUCT(--(calc!$AV$3:$AV$67=TRUE),--(ROW(calc!$AV$3:$AV$67)&gt;ROW(AV43)),--(((calc!$BA$3:$BA$67&gt;BA43)*(calc!$BB$3:$BB$67&lt;BB43)+(calc!$BA$3:$BA$67&lt;BA43)*(calc!$BB$3:$BB$67&gt;BB43))&gt;0)),0)</f>
        <v/>
      </c>
      <c r="BD43" s="5">
        <f>IF(mos_metrics!L42="","",mos_metrics!L42)</f>
        <v/>
      </c>
      <c r="BE43" s="2">
        <f>AND($J43,ISNUMBER(BD43),correlation!$I$31=1)</f>
        <v/>
      </c>
      <c r="BF43" s="5">
        <f>IF(BE43,$F43,"")</f>
        <v/>
      </c>
      <c r="BG43" s="5">
        <f>IF(BE43,BD43*correlation!$J$31,"")</f>
        <v/>
      </c>
      <c r="BH43" s="5">
        <f>IF(AND(BE43,ISNUMBER(correlation!$F$31)),BG43*correlation!$F$31+correlation!$G$31,"")</f>
        <v/>
      </c>
      <c r="BI43" s="5">
        <f>IF(AND(BE43,ISNUMBER(BH43)),(BF43-BH43)^2,"")</f>
        <v/>
      </c>
      <c r="BJ43" s="5">
        <f>IF(BE43,1+SUMPRODUCT(--(calc!$BE$3:$BE$67=TRUE),--(calc!$BF$3:$BF$67&gt;BF43))+(SUMPRODUCT(--(calc!$BE$3:$BE$67=TRUE),--(calc!$BF$3:$BF$67=BF43))-1)/2,"")</f>
        <v/>
      </c>
      <c r="BK43" s="5">
        <f>IF(BE43,1+SUMPRODUCT(--(calc!$BE$3:$BE$67=TRUE),--(calc!$BG$3:$BG$67&gt;BG43))+(SUMPRODUCT(--(calc!$BE$3:$BE$67=TRUE),--(calc!$BG$3:$BG$67=BG43))-1)/2,"")</f>
        <v/>
      </c>
      <c r="BL43" s="5">
        <f>IF(BE43,SUMPRODUCT(--(calc!$BE$3:$BE$67=TRUE),--(ROW(calc!$BE$3:$BE$67)&gt;ROW(BE43)),--(((calc!$BJ$3:$BJ$67&gt;BJ43)*(calc!$BK$3:$BK$67&gt;BK43)+(calc!$BJ$3:$BJ$67&lt;BJ43)*(calc!$BK$3:$BK$67&lt;BK43))&gt;0))-SUMPRODUCT(--(calc!$BE$3:$BE$67=TRUE),--(ROW(calc!$BE$3:$BE$67)&gt;ROW(BE43)),--(((calc!$BJ$3:$BJ$67&gt;BJ43)*(calc!$BK$3:$BK$67&lt;BK43)+(calc!$BJ$3:$BJ$67&lt;BJ43)*(calc!$BK$3:$BK$67&gt;BK43))&gt;0)),0)</f>
        <v/>
      </c>
      <c r="BM43" s="5">
        <f>IF(mos_metrics!M42="","",mos_metrics!M42)</f>
        <v/>
      </c>
      <c r="BN43" s="2">
        <f>AND($J43,ISNUMBER(BM43),correlation!$I$32=1)</f>
        <v/>
      </c>
      <c r="BO43" s="5">
        <f>IF(BN43,$F43,"")</f>
        <v/>
      </c>
      <c r="BP43" s="5">
        <f>IF(BN43,BM43*correlation!$J$32,"")</f>
        <v/>
      </c>
      <c r="BQ43" s="5">
        <f>IF(AND(BN43,ISNUMBER(correlation!$F$32)),BP43*correlation!$F$32+correlation!$G$32,"")</f>
        <v/>
      </c>
      <c r="BR43" s="5">
        <f>IF(AND(BN43,ISNUMBER(BQ43)),(BO43-BQ43)^2,"")</f>
        <v/>
      </c>
      <c r="BS43" s="5">
        <f>IF(BN43,1+SUMPRODUCT(--(calc!$BN$3:$BN$67=TRUE),--(calc!$BO$3:$BO$67&gt;BO43))+(SUMPRODUCT(--(calc!$BN$3:$BN$67=TRUE),--(calc!$BO$3:$BO$67=BO43))-1)/2,"")</f>
        <v/>
      </c>
      <c r="BT43" s="5">
        <f>IF(BN43,1+SUMPRODUCT(--(calc!$BN$3:$BN$67=TRUE),--(calc!$BP$3:$BP$67&gt;BP43))+(SUMPRODUCT(--(calc!$BN$3:$BN$67=TRUE),--(calc!$BP$3:$BP$67=BP43))-1)/2,"")</f>
        <v/>
      </c>
      <c r="BU43" s="5">
        <f>IF(BN43,SUMPRODUCT(--(calc!$BN$3:$BN$67=TRUE),--(ROW(calc!$BN$3:$BN$67)&gt;ROW(BN43)),--(((calc!$BS$3:$BS$67&gt;BS43)*(calc!$BT$3:$BT$67&gt;BT43)+(calc!$BS$3:$BS$67&lt;BS43)*(calc!$BT$3:$BT$67&lt;BT43))&gt;0))-SUMPRODUCT(--(calc!$BN$3:$BN$67=TRUE),--(ROW(calc!$BN$3:$BN$67)&gt;ROW(BN43)),--(((calc!$BS$3:$BS$67&gt;BS43)*(calc!$BT$3:$BT$67&lt;BT43)+(calc!$BS$3:$BS$67&lt;BS43)*(calc!$BT$3:$BT$67&gt;BT43))&gt;0)),0)</f>
        <v/>
      </c>
    </row>
    <row r="44">
      <c r="A44" s="2">
        <f>mos_metrics!A43</f>
        <v/>
      </c>
      <c r="B44" s="2">
        <f>mos_metrics!B43</f>
        <v/>
      </c>
      <c r="C44" s="2">
        <f>mos_metrics!C43</f>
        <v/>
      </c>
      <c r="D44" s="2">
        <f>mos_metrics!D43</f>
        <v/>
      </c>
      <c r="E44" s="2">
        <f>mos_metrics!E43</f>
        <v/>
      </c>
      <c r="F44" s="2">
        <f>mos_metrics!F43</f>
        <v/>
      </c>
      <c r="G44" s="2">
        <f>IF($B44="","",IFERROR(VLOOKUP($B44,correlation!$A$2:$B$6,2,FALSE),1))</f>
        <v/>
      </c>
      <c r="H44" s="2">
        <f>IF($E44="","",IFERROR(VLOOKUP($E44,correlation!$D$2:$E$8,2,FALSE),1))</f>
        <v/>
      </c>
      <c r="I44" s="2">
        <f>ISNUMBER($F44)</f>
        <v/>
      </c>
      <c r="J44" s="2">
        <f>AND($G44=1,$H44=1,$I44)</f>
        <v/>
      </c>
      <c r="K44" s="5">
        <f>IF(mos_metrics!G43="","",mos_metrics!G43)</f>
        <v/>
      </c>
      <c r="L44" s="2">
        <f>AND($J44,ISNUMBER(K44),correlation!$I$26=1)</f>
        <v/>
      </c>
      <c r="M44" s="5">
        <f>IF(L44,$F44,"")</f>
        <v/>
      </c>
      <c r="N44" s="5">
        <f>IF(L44,K44*correlation!$J$26,"")</f>
        <v/>
      </c>
      <c r="O44" s="5">
        <f>IF(AND(L44,ISNUMBER(correlation!$F$26)),N44*correlation!$F$26+correlation!$G$26,"")</f>
        <v/>
      </c>
      <c r="P44" s="5">
        <f>IF(AND(L44,ISNUMBER(O44)),(M44-O44)^2,"")</f>
        <v/>
      </c>
      <c r="Q44" s="5">
        <f>IF(L44,1+SUMPRODUCT(--(calc!$L$3:$L$67=TRUE),--(calc!$M$3:$M$67&gt;M44))+(SUMPRODUCT(--(calc!$L$3:$L$67=TRUE),--(calc!$M$3:$M$67=M44))-1)/2,"")</f>
        <v/>
      </c>
      <c r="R44" s="5">
        <f>IF(L44,1+SUMPRODUCT(--(calc!$L$3:$L$67=TRUE),--(calc!$N$3:$N$67&gt;N44))+(SUMPRODUCT(--(calc!$L$3:$L$67=TRUE),--(calc!$N$3:$N$67=N44))-1)/2,"")</f>
        <v/>
      </c>
      <c r="S44" s="5">
        <f>IF(L44,SUMPRODUCT(--(calc!$L$3:$L$67=TRUE),--(ROW(calc!$L$3:$L$67)&gt;ROW(L44)),--(((calc!$Q$3:$Q$67&gt;Q44)*(calc!$R$3:$R$67&gt;R44)+(calc!$Q$3:$Q$67&lt;Q44)*(calc!$R$3:$R$67&lt;R44))&gt;0))-SUMPRODUCT(--(calc!$L$3:$L$67=TRUE),--(ROW(calc!$L$3:$L$67)&gt;ROW(L44)),--(((calc!$Q$3:$Q$67&gt;Q44)*(calc!$R$3:$R$67&lt;R44)+(calc!$Q$3:$Q$67&lt;Q44)*(calc!$R$3:$R$67&gt;R44))&gt;0)),0)</f>
        <v/>
      </c>
      <c r="T44" s="5">
        <f>IF(mos_metrics!H43="","",mos_metrics!H43)</f>
        <v/>
      </c>
      <c r="U44" s="2">
        <f>AND($J44,ISNUMBER(T44),correlation!$I$27=1)</f>
        <v/>
      </c>
      <c r="V44" s="5">
        <f>IF(U44,$F44,"")</f>
        <v/>
      </c>
      <c r="W44" s="5">
        <f>IF(U44,T44*correlation!$J$27,"")</f>
        <v/>
      </c>
      <c r="X44" s="5">
        <f>IF(AND(U44,ISNUMBER(correlation!$F$27)),W44*correlation!$F$27+correlation!$G$27,"")</f>
        <v/>
      </c>
      <c r="Y44" s="5">
        <f>IF(AND(U44,ISNUMBER(X44)),(V44-X44)^2,"")</f>
        <v/>
      </c>
      <c r="Z44" s="5">
        <f>IF(U44,1+SUMPRODUCT(--(calc!$U$3:$U$67=TRUE),--(calc!$V$3:$V$67&gt;V44))+(SUMPRODUCT(--(calc!$U$3:$U$67=TRUE),--(calc!$V$3:$V$67=V44))-1)/2,"")</f>
        <v/>
      </c>
      <c r="AA44" s="5">
        <f>IF(U44,1+SUMPRODUCT(--(calc!$U$3:$U$67=TRUE),--(calc!$W$3:$W$67&gt;W44))+(SUMPRODUCT(--(calc!$U$3:$U$67=TRUE),--(calc!$W$3:$W$67=W44))-1)/2,"")</f>
        <v/>
      </c>
      <c r="AB44" s="5">
        <f>IF(U44,SUMPRODUCT(--(calc!$U$3:$U$67=TRUE),--(ROW(calc!$U$3:$U$67)&gt;ROW(U44)),--(((calc!$Z$3:$Z$67&gt;Z44)*(calc!$AA$3:$AA$67&gt;AA44)+(calc!$Z$3:$Z$67&lt;Z44)*(calc!$AA$3:$AA$67&lt;AA44))&gt;0))-SUMPRODUCT(--(calc!$U$3:$U$67=TRUE),--(ROW(calc!$U$3:$U$67)&gt;ROW(U44)),--(((calc!$Z$3:$Z$67&gt;Z44)*(calc!$AA$3:$AA$67&lt;AA44)+(calc!$Z$3:$Z$67&lt;Z44)*(calc!$AA$3:$AA$67&gt;AA44))&gt;0)),0)</f>
        <v/>
      </c>
      <c r="AC44" s="5">
        <f>IF(mos_metrics!I43="","",mos_metrics!I43)</f>
        <v/>
      </c>
      <c r="AD44" s="2">
        <f>AND($J44,ISNUMBER(AC44),correlation!$I$28=1)</f>
        <v/>
      </c>
      <c r="AE44" s="5">
        <f>IF(AD44,$F44,"")</f>
        <v/>
      </c>
      <c r="AF44" s="5">
        <f>IF(AD44,AC44*correlation!$J$28,"")</f>
        <v/>
      </c>
      <c r="AG44" s="5">
        <f>IF(AND(AD44,ISNUMBER(correlation!$F$28)),AF44*correlation!$F$28+correlation!$G$28,"")</f>
        <v/>
      </c>
      <c r="AH44" s="5">
        <f>IF(AND(AD44,ISNUMBER(AG44)),(AE44-AG44)^2,"")</f>
        <v/>
      </c>
      <c r="AI44" s="5">
        <f>IF(AD44,1+SUMPRODUCT(--(calc!$AD$3:$AD$67=TRUE),--(calc!$AE$3:$AE$67&gt;AE44))+(SUMPRODUCT(--(calc!$AD$3:$AD$67=TRUE),--(calc!$AE$3:$AE$67=AE44))-1)/2,"")</f>
        <v/>
      </c>
      <c r="AJ44" s="5">
        <f>IF(AD44,1+SUMPRODUCT(--(calc!$AD$3:$AD$67=TRUE),--(calc!$AF$3:$AF$67&gt;AF44))+(SUMPRODUCT(--(calc!$AD$3:$AD$67=TRUE),--(calc!$AF$3:$AF$67=AF44))-1)/2,"")</f>
        <v/>
      </c>
      <c r="AK44" s="5">
        <f>IF(AD44,SUMPRODUCT(--(calc!$AD$3:$AD$67=TRUE),--(ROW(calc!$AD$3:$AD$67)&gt;ROW(AD44)),--(((calc!$AI$3:$AI$67&gt;AI44)*(calc!$AJ$3:$AJ$67&gt;AJ44)+(calc!$AI$3:$AI$67&lt;AI44)*(calc!$AJ$3:$AJ$67&lt;AJ44))&gt;0))-SUMPRODUCT(--(calc!$AD$3:$AD$67=TRUE),--(ROW(calc!$AD$3:$AD$67)&gt;ROW(AD44)),--(((calc!$AI$3:$AI$67&gt;AI44)*(calc!$AJ$3:$AJ$67&lt;AJ44)+(calc!$AI$3:$AI$67&lt;AI44)*(calc!$AJ$3:$AJ$67&gt;AJ44))&gt;0)),0)</f>
        <v/>
      </c>
      <c r="AL44" s="5">
        <f>IF(mos_metrics!J43="","",mos_metrics!J43)</f>
        <v/>
      </c>
      <c r="AM44" s="2">
        <f>AND($J44,ISNUMBER(AL44),correlation!$I$29=1)</f>
        <v/>
      </c>
      <c r="AN44" s="5">
        <f>IF(AM44,$F44,"")</f>
        <v/>
      </c>
      <c r="AO44" s="5">
        <f>IF(AM44,AL44*correlation!$J$29,"")</f>
        <v/>
      </c>
      <c r="AP44" s="5">
        <f>IF(AND(AM44,ISNUMBER(correlation!$F$29)),AO44*correlation!$F$29+correlation!$G$29,"")</f>
        <v/>
      </c>
      <c r="AQ44" s="5">
        <f>IF(AND(AM44,ISNUMBER(AP44)),(AN44-AP44)^2,"")</f>
        <v/>
      </c>
      <c r="AR44" s="5">
        <f>IF(AM44,1+SUMPRODUCT(--(calc!$AM$3:$AM$67=TRUE),--(calc!$AN$3:$AN$67&gt;AN44))+(SUMPRODUCT(--(calc!$AM$3:$AM$67=TRUE),--(calc!$AN$3:$AN$67=AN44))-1)/2,"")</f>
        <v/>
      </c>
      <c r="AS44" s="5">
        <f>IF(AM44,1+SUMPRODUCT(--(calc!$AM$3:$AM$67=TRUE),--(calc!$AO$3:$AO$67&gt;AO44))+(SUMPRODUCT(--(calc!$AM$3:$AM$67=TRUE),--(calc!$AO$3:$AO$67=AO44))-1)/2,"")</f>
        <v/>
      </c>
      <c r="AT44" s="5">
        <f>IF(AM44,SUMPRODUCT(--(calc!$AM$3:$AM$67=TRUE),--(ROW(calc!$AM$3:$AM$67)&gt;ROW(AM44)),--(((calc!$AR$3:$AR$67&gt;AR44)*(calc!$AS$3:$AS$67&gt;AS44)+(calc!$AR$3:$AR$67&lt;AR44)*(calc!$AS$3:$AS$67&lt;AS44))&gt;0))-SUMPRODUCT(--(calc!$AM$3:$AM$67=TRUE),--(ROW(calc!$AM$3:$AM$67)&gt;ROW(AM44)),--(((calc!$AR$3:$AR$67&gt;AR44)*(calc!$AS$3:$AS$67&lt;AS44)+(calc!$AR$3:$AR$67&lt;AR44)*(calc!$AS$3:$AS$67&gt;AS44))&gt;0)),0)</f>
        <v/>
      </c>
      <c r="AU44" s="5">
        <f>IF(mos_metrics!K43="","",mos_metrics!K43)</f>
        <v/>
      </c>
      <c r="AV44" s="2">
        <f>AND($J44,ISNUMBER(AU44),correlation!$I$30=1)</f>
        <v/>
      </c>
      <c r="AW44" s="5">
        <f>IF(AV44,$F44,"")</f>
        <v/>
      </c>
      <c r="AX44" s="5">
        <f>IF(AV44,AU44*correlation!$J$30,"")</f>
        <v/>
      </c>
      <c r="AY44" s="5">
        <f>IF(AND(AV44,ISNUMBER(correlation!$F$30)),AX44*correlation!$F$30+correlation!$G$30,"")</f>
        <v/>
      </c>
      <c r="AZ44" s="5">
        <f>IF(AND(AV44,ISNUMBER(AY44)),(AW44-AY44)^2,"")</f>
        <v/>
      </c>
      <c r="BA44" s="5">
        <f>IF(AV44,1+SUMPRODUCT(--(calc!$AV$3:$AV$67=TRUE),--(calc!$AW$3:$AW$67&gt;AW44))+(SUMPRODUCT(--(calc!$AV$3:$AV$67=TRUE),--(calc!$AW$3:$AW$67=AW44))-1)/2,"")</f>
        <v/>
      </c>
      <c r="BB44" s="5">
        <f>IF(AV44,1+SUMPRODUCT(--(calc!$AV$3:$AV$67=TRUE),--(calc!$AX$3:$AX$67&gt;AX44))+(SUMPRODUCT(--(calc!$AV$3:$AV$67=TRUE),--(calc!$AX$3:$AX$67=AX44))-1)/2,"")</f>
        <v/>
      </c>
      <c r="BC44" s="5">
        <f>IF(AV44,SUMPRODUCT(--(calc!$AV$3:$AV$67=TRUE),--(ROW(calc!$AV$3:$AV$67)&gt;ROW(AV44)),--(((calc!$BA$3:$BA$67&gt;BA44)*(calc!$BB$3:$BB$67&gt;BB44)+(calc!$BA$3:$BA$67&lt;BA44)*(calc!$BB$3:$BB$67&lt;BB44))&gt;0))-SUMPRODUCT(--(calc!$AV$3:$AV$67=TRUE),--(ROW(calc!$AV$3:$AV$67)&gt;ROW(AV44)),--(((calc!$BA$3:$BA$67&gt;BA44)*(calc!$BB$3:$BB$67&lt;BB44)+(calc!$BA$3:$BA$67&lt;BA44)*(calc!$BB$3:$BB$67&gt;BB44))&gt;0)),0)</f>
        <v/>
      </c>
      <c r="BD44" s="5">
        <f>IF(mos_metrics!L43="","",mos_metrics!L43)</f>
        <v/>
      </c>
      <c r="BE44" s="2">
        <f>AND($J44,ISNUMBER(BD44),correlation!$I$31=1)</f>
        <v/>
      </c>
      <c r="BF44" s="5">
        <f>IF(BE44,$F44,"")</f>
        <v/>
      </c>
      <c r="BG44" s="5">
        <f>IF(BE44,BD44*correlation!$J$31,"")</f>
        <v/>
      </c>
      <c r="BH44" s="5">
        <f>IF(AND(BE44,ISNUMBER(correlation!$F$31)),BG44*correlation!$F$31+correlation!$G$31,"")</f>
        <v/>
      </c>
      <c r="BI44" s="5">
        <f>IF(AND(BE44,ISNUMBER(BH44)),(BF44-BH44)^2,"")</f>
        <v/>
      </c>
      <c r="BJ44" s="5">
        <f>IF(BE44,1+SUMPRODUCT(--(calc!$BE$3:$BE$67=TRUE),--(calc!$BF$3:$BF$67&gt;BF44))+(SUMPRODUCT(--(calc!$BE$3:$BE$67=TRUE),--(calc!$BF$3:$BF$67=BF44))-1)/2,"")</f>
        <v/>
      </c>
      <c r="BK44" s="5">
        <f>IF(BE44,1+SUMPRODUCT(--(calc!$BE$3:$BE$67=TRUE),--(calc!$BG$3:$BG$67&gt;BG44))+(SUMPRODUCT(--(calc!$BE$3:$BE$67=TRUE),--(calc!$BG$3:$BG$67=BG44))-1)/2,"")</f>
        <v/>
      </c>
      <c r="BL44" s="5">
        <f>IF(BE44,SUMPRODUCT(--(calc!$BE$3:$BE$67=TRUE),--(ROW(calc!$BE$3:$BE$67)&gt;ROW(BE44)),--(((calc!$BJ$3:$BJ$67&gt;BJ44)*(calc!$BK$3:$BK$67&gt;BK44)+(calc!$BJ$3:$BJ$67&lt;BJ44)*(calc!$BK$3:$BK$67&lt;BK44))&gt;0))-SUMPRODUCT(--(calc!$BE$3:$BE$67=TRUE),--(ROW(calc!$BE$3:$BE$67)&gt;ROW(BE44)),--(((calc!$BJ$3:$BJ$67&gt;BJ44)*(calc!$BK$3:$BK$67&lt;BK44)+(calc!$BJ$3:$BJ$67&lt;BJ44)*(calc!$BK$3:$BK$67&gt;BK44))&gt;0)),0)</f>
        <v/>
      </c>
      <c r="BM44" s="5">
        <f>IF(mos_metrics!M43="","",mos_metrics!M43)</f>
        <v/>
      </c>
      <c r="BN44" s="2">
        <f>AND($J44,ISNUMBER(BM44),correlation!$I$32=1)</f>
        <v/>
      </c>
      <c r="BO44" s="5">
        <f>IF(BN44,$F44,"")</f>
        <v/>
      </c>
      <c r="BP44" s="5">
        <f>IF(BN44,BM44*correlation!$J$32,"")</f>
        <v/>
      </c>
      <c r="BQ44" s="5">
        <f>IF(AND(BN44,ISNUMBER(correlation!$F$32)),BP44*correlation!$F$32+correlation!$G$32,"")</f>
        <v/>
      </c>
      <c r="BR44" s="5">
        <f>IF(AND(BN44,ISNUMBER(BQ44)),(BO44-BQ44)^2,"")</f>
        <v/>
      </c>
      <c r="BS44" s="5">
        <f>IF(BN44,1+SUMPRODUCT(--(calc!$BN$3:$BN$67=TRUE),--(calc!$BO$3:$BO$67&gt;BO44))+(SUMPRODUCT(--(calc!$BN$3:$BN$67=TRUE),--(calc!$BO$3:$BO$67=BO44))-1)/2,"")</f>
        <v/>
      </c>
      <c r="BT44" s="5">
        <f>IF(BN44,1+SUMPRODUCT(--(calc!$BN$3:$BN$67=TRUE),--(calc!$BP$3:$BP$67&gt;BP44))+(SUMPRODUCT(--(calc!$BN$3:$BN$67=TRUE),--(calc!$BP$3:$BP$67=BP44))-1)/2,"")</f>
        <v/>
      </c>
      <c r="BU44" s="5">
        <f>IF(BN44,SUMPRODUCT(--(calc!$BN$3:$BN$67=TRUE),--(ROW(calc!$BN$3:$BN$67)&gt;ROW(BN44)),--(((calc!$BS$3:$BS$67&gt;BS44)*(calc!$BT$3:$BT$67&gt;BT44)+(calc!$BS$3:$BS$67&lt;BS44)*(calc!$BT$3:$BT$67&lt;BT44))&gt;0))-SUMPRODUCT(--(calc!$BN$3:$BN$67=TRUE),--(ROW(calc!$BN$3:$BN$67)&gt;ROW(BN44)),--(((calc!$BS$3:$BS$67&gt;BS44)*(calc!$BT$3:$BT$67&lt;BT44)+(calc!$BS$3:$BS$67&lt;BS44)*(calc!$BT$3:$BT$67&gt;BT44))&gt;0)),0)</f>
        <v/>
      </c>
    </row>
    <row r="45">
      <c r="A45" s="2">
        <f>mos_metrics!A44</f>
        <v/>
      </c>
      <c r="B45" s="2">
        <f>mos_metrics!B44</f>
        <v/>
      </c>
      <c r="C45" s="2">
        <f>mos_metrics!C44</f>
        <v/>
      </c>
      <c r="D45" s="2">
        <f>mos_metrics!D44</f>
        <v/>
      </c>
      <c r="E45" s="2">
        <f>mos_metrics!E44</f>
        <v/>
      </c>
      <c r="F45" s="2">
        <f>mos_metrics!F44</f>
        <v/>
      </c>
      <c r="G45" s="2">
        <f>IF($B45="","",IFERROR(VLOOKUP($B45,correlation!$A$2:$B$6,2,FALSE),1))</f>
        <v/>
      </c>
      <c r="H45" s="2">
        <f>IF($E45="","",IFERROR(VLOOKUP($E45,correlation!$D$2:$E$8,2,FALSE),1))</f>
        <v/>
      </c>
      <c r="I45" s="2">
        <f>ISNUMBER($F45)</f>
        <v/>
      </c>
      <c r="J45" s="2">
        <f>AND($G45=1,$H45=1,$I45)</f>
        <v/>
      </c>
      <c r="K45" s="5">
        <f>IF(mos_metrics!G44="","",mos_metrics!G44)</f>
        <v/>
      </c>
      <c r="L45" s="2">
        <f>AND($J45,ISNUMBER(K45),correlation!$I$26=1)</f>
        <v/>
      </c>
      <c r="M45" s="5">
        <f>IF(L45,$F45,"")</f>
        <v/>
      </c>
      <c r="N45" s="5">
        <f>IF(L45,K45*correlation!$J$26,"")</f>
        <v/>
      </c>
      <c r="O45" s="5">
        <f>IF(AND(L45,ISNUMBER(correlation!$F$26)),N45*correlation!$F$26+correlation!$G$26,"")</f>
        <v/>
      </c>
      <c r="P45" s="5">
        <f>IF(AND(L45,ISNUMBER(O45)),(M45-O45)^2,"")</f>
        <v/>
      </c>
      <c r="Q45" s="5">
        <f>IF(L45,1+SUMPRODUCT(--(calc!$L$3:$L$67=TRUE),--(calc!$M$3:$M$67&gt;M45))+(SUMPRODUCT(--(calc!$L$3:$L$67=TRUE),--(calc!$M$3:$M$67=M45))-1)/2,"")</f>
        <v/>
      </c>
      <c r="R45" s="5">
        <f>IF(L45,1+SUMPRODUCT(--(calc!$L$3:$L$67=TRUE),--(calc!$N$3:$N$67&gt;N45))+(SUMPRODUCT(--(calc!$L$3:$L$67=TRUE),--(calc!$N$3:$N$67=N45))-1)/2,"")</f>
        <v/>
      </c>
      <c r="S45" s="5">
        <f>IF(L45,SUMPRODUCT(--(calc!$L$3:$L$67=TRUE),--(ROW(calc!$L$3:$L$67)&gt;ROW(L45)),--(((calc!$Q$3:$Q$67&gt;Q45)*(calc!$R$3:$R$67&gt;R45)+(calc!$Q$3:$Q$67&lt;Q45)*(calc!$R$3:$R$67&lt;R45))&gt;0))-SUMPRODUCT(--(calc!$L$3:$L$67=TRUE),--(ROW(calc!$L$3:$L$67)&gt;ROW(L45)),--(((calc!$Q$3:$Q$67&gt;Q45)*(calc!$R$3:$R$67&lt;R45)+(calc!$Q$3:$Q$67&lt;Q45)*(calc!$R$3:$R$67&gt;R45))&gt;0)),0)</f>
        <v/>
      </c>
      <c r="T45" s="5">
        <f>IF(mos_metrics!H44="","",mos_metrics!H44)</f>
        <v/>
      </c>
      <c r="U45" s="2">
        <f>AND($J45,ISNUMBER(T45),correlation!$I$27=1)</f>
        <v/>
      </c>
      <c r="V45" s="5">
        <f>IF(U45,$F45,"")</f>
        <v/>
      </c>
      <c r="W45" s="5">
        <f>IF(U45,T45*correlation!$J$27,"")</f>
        <v/>
      </c>
      <c r="X45" s="5">
        <f>IF(AND(U45,ISNUMBER(correlation!$F$27)),W45*correlation!$F$27+correlation!$G$27,"")</f>
        <v/>
      </c>
      <c r="Y45" s="5">
        <f>IF(AND(U45,ISNUMBER(X45)),(V45-X45)^2,"")</f>
        <v/>
      </c>
      <c r="Z45" s="5">
        <f>IF(U45,1+SUMPRODUCT(--(calc!$U$3:$U$67=TRUE),--(calc!$V$3:$V$67&gt;V45))+(SUMPRODUCT(--(calc!$U$3:$U$67=TRUE),--(calc!$V$3:$V$67=V45))-1)/2,"")</f>
        <v/>
      </c>
      <c r="AA45" s="5">
        <f>IF(U45,1+SUMPRODUCT(--(calc!$U$3:$U$67=TRUE),--(calc!$W$3:$W$67&gt;W45))+(SUMPRODUCT(--(calc!$U$3:$U$67=TRUE),--(calc!$W$3:$W$67=W45))-1)/2,"")</f>
        <v/>
      </c>
      <c r="AB45" s="5">
        <f>IF(U45,SUMPRODUCT(--(calc!$U$3:$U$67=TRUE),--(ROW(calc!$U$3:$U$67)&gt;ROW(U45)),--(((calc!$Z$3:$Z$67&gt;Z45)*(calc!$AA$3:$AA$67&gt;AA45)+(calc!$Z$3:$Z$67&lt;Z45)*(calc!$AA$3:$AA$67&lt;AA45))&gt;0))-SUMPRODUCT(--(calc!$U$3:$U$67=TRUE),--(ROW(calc!$U$3:$U$67)&gt;ROW(U45)),--(((calc!$Z$3:$Z$67&gt;Z45)*(calc!$AA$3:$AA$67&lt;AA45)+(calc!$Z$3:$Z$67&lt;Z45)*(calc!$AA$3:$AA$67&gt;AA45))&gt;0)),0)</f>
        <v/>
      </c>
      <c r="AC45" s="5">
        <f>IF(mos_metrics!I44="","",mos_metrics!I44)</f>
        <v/>
      </c>
      <c r="AD45" s="2">
        <f>AND($J45,ISNUMBER(AC45),correlation!$I$28=1)</f>
        <v/>
      </c>
      <c r="AE45" s="5">
        <f>IF(AD45,$F45,"")</f>
        <v/>
      </c>
      <c r="AF45" s="5">
        <f>IF(AD45,AC45*correlation!$J$28,"")</f>
        <v/>
      </c>
      <c r="AG45" s="5">
        <f>IF(AND(AD45,ISNUMBER(correlation!$F$28)),AF45*correlation!$F$28+correlation!$G$28,"")</f>
        <v/>
      </c>
      <c r="AH45" s="5">
        <f>IF(AND(AD45,ISNUMBER(AG45)),(AE45-AG45)^2,"")</f>
        <v/>
      </c>
      <c r="AI45" s="5">
        <f>IF(AD45,1+SUMPRODUCT(--(calc!$AD$3:$AD$67=TRUE),--(calc!$AE$3:$AE$67&gt;AE45))+(SUMPRODUCT(--(calc!$AD$3:$AD$67=TRUE),--(calc!$AE$3:$AE$67=AE45))-1)/2,"")</f>
        <v/>
      </c>
      <c r="AJ45" s="5">
        <f>IF(AD45,1+SUMPRODUCT(--(calc!$AD$3:$AD$67=TRUE),--(calc!$AF$3:$AF$67&gt;AF45))+(SUMPRODUCT(--(calc!$AD$3:$AD$67=TRUE),--(calc!$AF$3:$AF$67=AF45))-1)/2,"")</f>
        <v/>
      </c>
      <c r="AK45" s="5">
        <f>IF(AD45,SUMPRODUCT(--(calc!$AD$3:$AD$67=TRUE),--(ROW(calc!$AD$3:$AD$67)&gt;ROW(AD45)),--(((calc!$AI$3:$AI$67&gt;AI45)*(calc!$AJ$3:$AJ$67&gt;AJ45)+(calc!$AI$3:$AI$67&lt;AI45)*(calc!$AJ$3:$AJ$67&lt;AJ45))&gt;0))-SUMPRODUCT(--(calc!$AD$3:$AD$67=TRUE),--(ROW(calc!$AD$3:$AD$67)&gt;ROW(AD45)),--(((calc!$AI$3:$AI$67&gt;AI45)*(calc!$AJ$3:$AJ$67&lt;AJ45)+(calc!$AI$3:$AI$67&lt;AI45)*(calc!$AJ$3:$AJ$67&gt;AJ45))&gt;0)),0)</f>
        <v/>
      </c>
      <c r="AL45" s="5">
        <f>IF(mos_metrics!J44="","",mos_metrics!J44)</f>
        <v/>
      </c>
      <c r="AM45" s="2">
        <f>AND($J45,ISNUMBER(AL45),correlation!$I$29=1)</f>
        <v/>
      </c>
      <c r="AN45" s="5">
        <f>IF(AM45,$F45,"")</f>
        <v/>
      </c>
      <c r="AO45" s="5">
        <f>IF(AM45,AL45*correlation!$J$29,"")</f>
        <v/>
      </c>
      <c r="AP45" s="5">
        <f>IF(AND(AM45,ISNUMBER(correlation!$F$29)),AO45*correlation!$F$29+correlation!$G$29,"")</f>
        <v/>
      </c>
      <c r="AQ45" s="5">
        <f>IF(AND(AM45,ISNUMBER(AP45)),(AN45-AP45)^2,"")</f>
        <v/>
      </c>
      <c r="AR45" s="5">
        <f>IF(AM45,1+SUMPRODUCT(--(calc!$AM$3:$AM$67=TRUE),--(calc!$AN$3:$AN$67&gt;AN45))+(SUMPRODUCT(--(calc!$AM$3:$AM$67=TRUE),--(calc!$AN$3:$AN$67=AN45))-1)/2,"")</f>
        <v/>
      </c>
      <c r="AS45" s="5">
        <f>IF(AM45,1+SUMPRODUCT(--(calc!$AM$3:$AM$67=TRUE),--(calc!$AO$3:$AO$67&gt;AO45))+(SUMPRODUCT(--(calc!$AM$3:$AM$67=TRUE),--(calc!$AO$3:$AO$67=AO45))-1)/2,"")</f>
        <v/>
      </c>
      <c r="AT45" s="5">
        <f>IF(AM45,SUMPRODUCT(--(calc!$AM$3:$AM$67=TRUE),--(ROW(calc!$AM$3:$AM$67)&gt;ROW(AM45)),--(((calc!$AR$3:$AR$67&gt;AR45)*(calc!$AS$3:$AS$67&gt;AS45)+(calc!$AR$3:$AR$67&lt;AR45)*(calc!$AS$3:$AS$67&lt;AS45))&gt;0))-SUMPRODUCT(--(calc!$AM$3:$AM$67=TRUE),--(ROW(calc!$AM$3:$AM$67)&gt;ROW(AM45)),--(((calc!$AR$3:$AR$67&gt;AR45)*(calc!$AS$3:$AS$67&lt;AS45)+(calc!$AR$3:$AR$67&lt;AR45)*(calc!$AS$3:$AS$67&gt;AS45))&gt;0)),0)</f>
        <v/>
      </c>
      <c r="AU45" s="5">
        <f>IF(mos_metrics!K44="","",mos_metrics!K44)</f>
        <v/>
      </c>
      <c r="AV45" s="2">
        <f>AND($J45,ISNUMBER(AU45),correlation!$I$30=1)</f>
        <v/>
      </c>
      <c r="AW45" s="5">
        <f>IF(AV45,$F45,"")</f>
        <v/>
      </c>
      <c r="AX45" s="5">
        <f>IF(AV45,AU45*correlation!$J$30,"")</f>
        <v/>
      </c>
      <c r="AY45" s="5">
        <f>IF(AND(AV45,ISNUMBER(correlation!$F$30)),AX45*correlation!$F$30+correlation!$G$30,"")</f>
        <v/>
      </c>
      <c r="AZ45" s="5">
        <f>IF(AND(AV45,ISNUMBER(AY45)),(AW45-AY45)^2,"")</f>
        <v/>
      </c>
      <c r="BA45" s="5">
        <f>IF(AV45,1+SUMPRODUCT(--(calc!$AV$3:$AV$67=TRUE),--(calc!$AW$3:$AW$67&gt;AW45))+(SUMPRODUCT(--(calc!$AV$3:$AV$67=TRUE),--(calc!$AW$3:$AW$67=AW45))-1)/2,"")</f>
        <v/>
      </c>
      <c r="BB45" s="5">
        <f>IF(AV45,1+SUMPRODUCT(--(calc!$AV$3:$AV$67=TRUE),--(calc!$AX$3:$AX$67&gt;AX45))+(SUMPRODUCT(--(calc!$AV$3:$AV$67=TRUE),--(calc!$AX$3:$AX$67=AX45))-1)/2,"")</f>
        <v/>
      </c>
      <c r="BC45" s="5">
        <f>IF(AV45,SUMPRODUCT(--(calc!$AV$3:$AV$67=TRUE),--(ROW(calc!$AV$3:$AV$67)&gt;ROW(AV45)),--(((calc!$BA$3:$BA$67&gt;BA45)*(calc!$BB$3:$BB$67&gt;BB45)+(calc!$BA$3:$BA$67&lt;BA45)*(calc!$BB$3:$BB$67&lt;BB45))&gt;0))-SUMPRODUCT(--(calc!$AV$3:$AV$67=TRUE),--(ROW(calc!$AV$3:$AV$67)&gt;ROW(AV45)),--(((calc!$BA$3:$BA$67&gt;BA45)*(calc!$BB$3:$BB$67&lt;BB45)+(calc!$BA$3:$BA$67&lt;BA45)*(calc!$BB$3:$BB$67&gt;BB45))&gt;0)),0)</f>
        <v/>
      </c>
      <c r="BD45" s="5">
        <f>IF(mos_metrics!L44="","",mos_metrics!L44)</f>
        <v/>
      </c>
      <c r="BE45" s="2">
        <f>AND($J45,ISNUMBER(BD45),correlation!$I$31=1)</f>
        <v/>
      </c>
      <c r="BF45" s="5">
        <f>IF(BE45,$F45,"")</f>
        <v/>
      </c>
      <c r="BG45" s="5">
        <f>IF(BE45,BD45*correlation!$J$31,"")</f>
        <v/>
      </c>
      <c r="BH45" s="5">
        <f>IF(AND(BE45,ISNUMBER(correlation!$F$31)),BG45*correlation!$F$31+correlation!$G$31,"")</f>
        <v/>
      </c>
      <c r="BI45" s="5">
        <f>IF(AND(BE45,ISNUMBER(BH45)),(BF45-BH45)^2,"")</f>
        <v/>
      </c>
      <c r="BJ45" s="5">
        <f>IF(BE45,1+SUMPRODUCT(--(calc!$BE$3:$BE$67=TRUE),--(calc!$BF$3:$BF$67&gt;BF45))+(SUMPRODUCT(--(calc!$BE$3:$BE$67=TRUE),--(calc!$BF$3:$BF$67=BF45))-1)/2,"")</f>
        <v/>
      </c>
      <c r="BK45" s="5">
        <f>IF(BE45,1+SUMPRODUCT(--(calc!$BE$3:$BE$67=TRUE),--(calc!$BG$3:$BG$67&gt;BG45))+(SUMPRODUCT(--(calc!$BE$3:$BE$67=TRUE),--(calc!$BG$3:$BG$67=BG45))-1)/2,"")</f>
        <v/>
      </c>
      <c r="BL45" s="5">
        <f>IF(BE45,SUMPRODUCT(--(calc!$BE$3:$BE$67=TRUE),--(ROW(calc!$BE$3:$BE$67)&gt;ROW(BE45)),--(((calc!$BJ$3:$BJ$67&gt;BJ45)*(calc!$BK$3:$BK$67&gt;BK45)+(calc!$BJ$3:$BJ$67&lt;BJ45)*(calc!$BK$3:$BK$67&lt;BK45))&gt;0))-SUMPRODUCT(--(calc!$BE$3:$BE$67=TRUE),--(ROW(calc!$BE$3:$BE$67)&gt;ROW(BE45)),--(((calc!$BJ$3:$BJ$67&gt;BJ45)*(calc!$BK$3:$BK$67&lt;BK45)+(calc!$BJ$3:$BJ$67&lt;BJ45)*(calc!$BK$3:$BK$67&gt;BK45))&gt;0)),0)</f>
        <v/>
      </c>
      <c r="BM45" s="5">
        <f>IF(mos_metrics!M44="","",mos_metrics!M44)</f>
        <v/>
      </c>
      <c r="BN45" s="2">
        <f>AND($J45,ISNUMBER(BM45),correlation!$I$32=1)</f>
        <v/>
      </c>
      <c r="BO45" s="5">
        <f>IF(BN45,$F45,"")</f>
        <v/>
      </c>
      <c r="BP45" s="5">
        <f>IF(BN45,BM45*correlation!$J$32,"")</f>
        <v/>
      </c>
      <c r="BQ45" s="5">
        <f>IF(AND(BN45,ISNUMBER(correlation!$F$32)),BP45*correlation!$F$32+correlation!$G$32,"")</f>
        <v/>
      </c>
      <c r="BR45" s="5">
        <f>IF(AND(BN45,ISNUMBER(BQ45)),(BO45-BQ45)^2,"")</f>
        <v/>
      </c>
      <c r="BS45" s="5">
        <f>IF(BN45,1+SUMPRODUCT(--(calc!$BN$3:$BN$67=TRUE),--(calc!$BO$3:$BO$67&gt;BO45))+(SUMPRODUCT(--(calc!$BN$3:$BN$67=TRUE),--(calc!$BO$3:$BO$67=BO45))-1)/2,"")</f>
        <v/>
      </c>
      <c r="BT45" s="5">
        <f>IF(BN45,1+SUMPRODUCT(--(calc!$BN$3:$BN$67=TRUE),--(calc!$BP$3:$BP$67&gt;BP45))+(SUMPRODUCT(--(calc!$BN$3:$BN$67=TRUE),--(calc!$BP$3:$BP$67=BP45))-1)/2,"")</f>
        <v/>
      </c>
      <c r="BU45" s="5">
        <f>IF(BN45,SUMPRODUCT(--(calc!$BN$3:$BN$67=TRUE),--(ROW(calc!$BN$3:$BN$67)&gt;ROW(BN45)),--(((calc!$BS$3:$BS$67&gt;BS45)*(calc!$BT$3:$BT$67&gt;BT45)+(calc!$BS$3:$BS$67&lt;BS45)*(calc!$BT$3:$BT$67&lt;BT45))&gt;0))-SUMPRODUCT(--(calc!$BN$3:$BN$67=TRUE),--(ROW(calc!$BN$3:$BN$67)&gt;ROW(BN45)),--(((calc!$BS$3:$BS$67&gt;BS45)*(calc!$BT$3:$BT$67&lt;BT45)+(calc!$BS$3:$BS$67&lt;BS45)*(calc!$BT$3:$BT$67&gt;BT45))&gt;0)),0)</f>
        <v/>
      </c>
    </row>
    <row r="46">
      <c r="A46" s="2">
        <f>mos_metrics!A45</f>
        <v/>
      </c>
      <c r="B46" s="2">
        <f>mos_metrics!B45</f>
        <v/>
      </c>
      <c r="C46" s="2">
        <f>mos_metrics!C45</f>
        <v/>
      </c>
      <c r="D46" s="2">
        <f>mos_metrics!D45</f>
        <v/>
      </c>
      <c r="E46" s="2">
        <f>mos_metrics!E45</f>
        <v/>
      </c>
      <c r="F46" s="2">
        <f>mos_metrics!F45</f>
        <v/>
      </c>
      <c r="G46" s="2">
        <f>IF($B46="","",IFERROR(VLOOKUP($B46,correlation!$A$2:$B$6,2,FALSE),1))</f>
        <v/>
      </c>
      <c r="H46" s="2">
        <f>IF($E46="","",IFERROR(VLOOKUP($E46,correlation!$D$2:$E$8,2,FALSE),1))</f>
        <v/>
      </c>
      <c r="I46" s="2">
        <f>ISNUMBER($F46)</f>
        <v/>
      </c>
      <c r="J46" s="2">
        <f>AND($G46=1,$H46=1,$I46)</f>
        <v/>
      </c>
      <c r="K46" s="5">
        <f>IF(mos_metrics!G45="","",mos_metrics!G45)</f>
        <v/>
      </c>
      <c r="L46" s="2">
        <f>AND($J46,ISNUMBER(K46),correlation!$I$26=1)</f>
        <v/>
      </c>
      <c r="M46" s="5">
        <f>IF(L46,$F46,"")</f>
        <v/>
      </c>
      <c r="N46" s="5">
        <f>IF(L46,K46*correlation!$J$26,"")</f>
        <v/>
      </c>
      <c r="O46" s="5">
        <f>IF(AND(L46,ISNUMBER(correlation!$F$26)),N46*correlation!$F$26+correlation!$G$26,"")</f>
        <v/>
      </c>
      <c r="P46" s="5">
        <f>IF(AND(L46,ISNUMBER(O46)),(M46-O46)^2,"")</f>
        <v/>
      </c>
      <c r="Q46" s="5">
        <f>IF(L46,1+SUMPRODUCT(--(calc!$L$3:$L$67=TRUE),--(calc!$M$3:$M$67&gt;M46))+(SUMPRODUCT(--(calc!$L$3:$L$67=TRUE),--(calc!$M$3:$M$67=M46))-1)/2,"")</f>
        <v/>
      </c>
      <c r="R46" s="5">
        <f>IF(L46,1+SUMPRODUCT(--(calc!$L$3:$L$67=TRUE),--(calc!$N$3:$N$67&gt;N46))+(SUMPRODUCT(--(calc!$L$3:$L$67=TRUE),--(calc!$N$3:$N$67=N46))-1)/2,"")</f>
        <v/>
      </c>
      <c r="S46" s="5">
        <f>IF(L46,SUMPRODUCT(--(calc!$L$3:$L$67=TRUE),--(ROW(calc!$L$3:$L$67)&gt;ROW(L46)),--(((calc!$Q$3:$Q$67&gt;Q46)*(calc!$R$3:$R$67&gt;R46)+(calc!$Q$3:$Q$67&lt;Q46)*(calc!$R$3:$R$67&lt;R46))&gt;0))-SUMPRODUCT(--(calc!$L$3:$L$67=TRUE),--(ROW(calc!$L$3:$L$67)&gt;ROW(L46)),--(((calc!$Q$3:$Q$67&gt;Q46)*(calc!$R$3:$R$67&lt;R46)+(calc!$Q$3:$Q$67&lt;Q46)*(calc!$R$3:$R$67&gt;R46))&gt;0)),0)</f>
        <v/>
      </c>
      <c r="T46" s="5">
        <f>IF(mos_metrics!H45="","",mos_metrics!H45)</f>
        <v/>
      </c>
      <c r="U46" s="2">
        <f>AND($J46,ISNUMBER(T46),correlation!$I$27=1)</f>
        <v/>
      </c>
      <c r="V46" s="5">
        <f>IF(U46,$F46,"")</f>
        <v/>
      </c>
      <c r="W46" s="5">
        <f>IF(U46,T46*correlation!$J$27,"")</f>
        <v/>
      </c>
      <c r="X46" s="5">
        <f>IF(AND(U46,ISNUMBER(correlation!$F$27)),W46*correlation!$F$27+correlation!$G$27,"")</f>
        <v/>
      </c>
      <c r="Y46" s="5">
        <f>IF(AND(U46,ISNUMBER(X46)),(V46-X46)^2,"")</f>
        <v/>
      </c>
      <c r="Z46" s="5">
        <f>IF(U46,1+SUMPRODUCT(--(calc!$U$3:$U$67=TRUE),--(calc!$V$3:$V$67&gt;V46))+(SUMPRODUCT(--(calc!$U$3:$U$67=TRUE),--(calc!$V$3:$V$67=V46))-1)/2,"")</f>
        <v/>
      </c>
      <c r="AA46" s="5">
        <f>IF(U46,1+SUMPRODUCT(--(calc!$U$3:$U$67=TRUE),--(calc!$W$3:$W$67&gt;W46))+(SUMPRODUCT(--(calc!$U$3:$U$67=TRUE),--(calc!$W$3:$W$67=W46))-1)/2,"")</f>
        <v/>
      </c>
      <c r="AB46" s="5">
        <f>IF(U46,SUMPRODUCT(--(calc!$U$3:$U$67=TRUE),--(ROW(calc!$U$3:$U$67)&gt;ROW(U46)),--(((calc!$Z$3:$Z$67&gt;Z46)*(calc!$AA$3:$AA$67&gt;AA46)+(calc!$Z$3:$Z$67&lt;Z46)*(calc!$AA$3:$AA$67&lt;AA46))&gt;0))-SUMPRODUCT(--(calc!$U$3:$U$67=TRUE),--(ROW(calc!$U$3:$U$67)&gt;ROW(U46)),--(((calc!$Z$3:$Z$67&gt;Z46)*(calc!$AA$3:$AA$67&lt;AA46)+(calc!$Z$3:$Z$67&lt;Z46)*(calc!$AA$3:$AA$67&gt;AA46))&gt;0)),0)</f>
        <v/>
      </c>
      <c r="AC46" s="5">
        <f>IF(mos_metrics!I45="","",mos_metrics!I45)</f>
        <v/>
      </c>
      <c r="AD46" s="2">
        <f>AND($J46,ISNUMBER(AC46),correlation!$I$28=1)</f>
        <v/>
      </c>
      <c r="AE46" s="5">
        <f>IF(AD46,$F46,"")</f>
        <v/>
      </c>
      <c r="AF46" s="5">
        <f>IF(AD46,AC46*correlation!$J$28,"")</f>
        <v/>
      </c>
      <c r="AG46" s="5">
        <f>IF(AND(AD46,ISNUMBER(correlation!$F$28)),AF46*correlation!$F$28+correlation!$G$28,"")</f>
        <v/>
      </c>
      <c r="AH46" s="5">
        <f>IF(AND(AD46,ISNUMBER(AG46)),(AE46-AG46)^2,"")</f>
        <v/>
      </c>
      <c r="AI46" s="5">
        <f>IF(AD46,1+SUMPRODUCT(--(calc!$AD$3:$AD$67=TRUE),--(calc!$AE$3:$AE$67&gt;AE46))+(SUMPRODUCT(--(calc!$AD$3:$AD$67=TRUE),--(calc!$AE$3:$AE$67=AE46))-1)/2,"")</f>
        <v/>
      </c>
      <c r="AJ46" s="5">
        <f>IF(AD46,1+SUMPRODUCT(--(calc!$AD$3:$AD$67=TRUE),--(calc!$AF$3:$AF$67&gt;AF46))+(SUMPRODUCT(--(calc!$AD$3:$AD$67=TRUE),--(calc!$AF$3:$AF$67=AF46))-1)/2,"")</f>
        <v/>
      </c>
      <c r="AK46" s="5">
        <f>IF(AD46,SUMPRODUCT(--(calc!$AD$3:$AD$67=TRUE),--(ROW(calc!$AD$3:$AD$67)&gt;ROW(AD46)),--(((calc!$AI$3:$AI$67&gt;AI46)*(calc!$AJ$3:$AJ$67&gt;AJ46)+(calc!$AI$3:$AI$67&lt;AI46)*(calc!$AJ$3:$AJ$67&lt;AJ46))&gt;0))-SUMPRODUCT(--(calc!$AD$3:$AD$67=TRUE),--(ROW(calc!$AD$3:$AD$67)&gt;ROW(AD46)),--(((calc!$AI$3:$AI$67&gt;AI46)*(calc!$AJ$3:$AJ$67&lt;AJ46)+(calc!$AI$3:$AI$67&lt;AI46)*(calc!$AJ$3:$AJ$67&gt;AJ46))&gt;0)),0)</f>
        <v/>
      </c>
      <c r="AL46" s="5">
        <f>IF(mos_metrics!J45="","",mos_metrics!J45)</f>
        <v/>
      </c>
      <c r="AM46" s="2">
        <f>AND($J46,ISNUMBER(AL46),correlation!$I$29=1)</f>
        <v/>
      </c>
      <c r="AN46" s="5">
        <f>IF(AM46,$F46,"")</f>
        <v/>
      </c>
      <c r="AO46" s="5">
        <f>IF(AM46,AL46*correlation!$J$29,"")</f>
        <v/>
      </c>
      <c r="AP46" s="5">
        <f>IF(AND(AM46,ISNUMBER(correlation!$F$29)),AO46*correlation!$F$29+correlation!$G$29,"")</f>
        <v/>
      </c>
      <c r="AQ46" s="5">
        <f>IF(AND(AM46,ISNUMBER(AP46)),(AN46-AP46)^2,"")</f>
        <v/>
      </c>
      <c r="AR46" s="5">
        <f>IF(AM46,1+SUMPRODUCT(--(calc!$AM$3:$AM$67=TRUE),--(calc!$AN$3:$AN$67&gt;AN46))+(SUMPRODUCT(--(calc!$AM$3:$AM$67=TRUE),--(calc!$AN$3:$AN$67=AN46))-1)/2,"")</f>
        <v/>
      </c>
      <c r="AS46" s="5">
        <f>IF(AM46,1+SUMPRODUCT(--(calc!$AM$3:$AM$67=TRUE),--(calc!$AO$3:$AO$67&gt;AO46))+(SUMPRODUCT(--(calc!$AM$3:$AM$67=TRUE),--(calc!$AO$3:$AO$67=AO46))-1)/2,"")</f>
        <v/>
      </c>
      <c r="AT46" s="5">
        <f>IF(AM46,SUMPRODUCT(--(calc!$AM$3:$AM$67=TRUE),--(ROW(calc!$AM$3:$AM$67)&gt;ROW(AM46)),--(((calc!$AR$3:$AR$67&gt;AR46)*(calc!$AS$3:$AS$67&gt;AS46)+(calc!$AR$3:$AR$67&lt;AR46)*(calc!$AS$3:$AS$67&lt;AS46))&gt;0))-SUMPRODUCT(--(calc!$AM$3:$AM$67=TRUE),--(ROW(calc!$AM$3:$AM$67)&gt;ROW(AM46)),--(((calc!$AR$3:$AR$67&gt;AR46)*(calc!$AS$3:$AS$67&lt;AS46)+(calc!$AR$3:$AR$67&lt;AR46)*(calc!$AS$3:$AS$67&gt;AS46))&gt;0)),0)</f>
        <v/>
      </c>
      <c r="AU46" s="5">
        <f>IF(mos_metrics!K45="","",mos_metrics!K45)</f>
        <v/>
      </c>
      <c r="AV46" s="2">
        <f>AND($J46,ISNUMBER(AU46),correlation!$I$30=1)</f>
        <v/>
      </c>
      <c r="AW46" s="5">
        <f>IF(AV46,$F46,"")</f>
        <v/>
      </c>
      <c r="AX46" s="5">
        <f>IF(AV46,AU46*correlation!$J$30,"")</f>
        <v/>
      </c>
      <c r="AY46" s="5">
        <f>IF(AND(AV46,ISNUMBER(correlation!$F$30)),AX46*correlation!$F$30+correlation!$G$30,"")</f>
        <v/>
      </c>
      <c r="AZ46" s="5">
        <f>IF(AND(AV46,ISNUMBER(AY46)),(AW46-AY46)^2,"")</f>
        <v/>
      </c>
      <c r="BA46" s="5">
        <f>IF(AV46,1+SUMPRODUCT(--(calc!$AV$3:$AV$67=TRUE),--(calc!$AW$3:$AW$67&gt;AW46))+(SUMPRODUCT(--(calc!$AV$3:$AV$67=TRUE),--(calc!$AW$3:$AW$67=AW46))-1)/2,"")</f>
        <v/>
      </c>
      <c r="BB46" s="5">
        <f>IF(AV46,1+SUMPRODUCT(--(calc!$AV$3:$AV$67=TRUE),--(calc!$AX$3:$AX$67&gt;AX46))+(SUMPRODUCT(--(calc!$AV$3:$AV$67=TRUE),--(calc!$AX$3:$AX$67=AX46))-1)/2,"")</f>
        <v/>
      </c>
      <c r="BC46" s="5">
        <f>IF(AV46,SUMPRODUCT(--(calc!$AV$3:$AV$67=TRUE),--(ROW(calc!$AV$3:$AV$67)&gt;ROW(AV46)),--(((calc!$BA$3:$BA$67&gt;BA46)*(calc!$BB$3:$BB$67&gt;BB46)+(calc!$BA$3:$BA$67&lt;BA46)*(calc!$BB$3:$BB$67&lt;BB46))&gt;0))-SUMPRODUCT(--(calc!$AV$3:$AV$67=TRUE),--(ROW(calc!$AV$3:$AV$67)&gt;ROW(AV46)),--(((calc!$BA$3:$BA$67&gt;BA46)*(calc!$BB$3:$BB$67&lt;BB46)+(calc!$BA$3:$BA$67&lt;BA46)*(calc!$BB$3:$BB$67&gt;BB46))&gt;0)),0)</f>
        <v/>
      </c>
      <c r="BD46" s="5">
        <f>IF(mos_metrics!L45="","",mos_metrics!L45)</f>
        <v/>
      </c>
      <c r="BE46" s="2">
        <f>AND($J46,ISNUMBER(BD46),correlation!$I$31=1)</f>
        <v/>
      </c>
      <c r="BF46" s="5">
        <f>IF(BE46,$F46,"")</f>
        <v/>
      </c>
      <c r="BG46" s="5">
        <f>IF(BE46,BD46*correlation!$J$31,"")</f>
        <v/>
      </c>
      <c r="BH46" s="5">
        <f>IF(AND(BE46,ISNUMBER(correlation!$F$31)),BG46*correlation!$F$31+correlation!$G$31,"")</f>
        <v/>
      </c>
      <c r="BI46" s="5">
        <f>IF(AND(BE46,ISNUMBER(BH46)),(BF46-BH46)^2,"")</f>
        <v/>
      </c>
      <c r="BJ46" s="5">
        <f>IF(BE46,1+SUMPRODUCT(--(calc!$BE$3:$BE$67=TRUE),--(calc!$BF$3:$BF$67&gt;BF46))+(SUMPRODUCT(--(calc!$BE$3:$BE$67=TRUE),--(calc!$BF$3:$BF$67=BF46))-1)/2,"")</f>
        <v/>
      </c>
      <c r="BK46" s="5">
        <f>IF(BE46,1+SUMPRODUCT(--(calc!$BE$3:$BE$67=TRUE),--(calc!$BG$3:$BG$67&gt;BG46))+(SUMPRODUCT(--(calc!$BE$3:$BE$67=TRUE),--(calc!$BG$3:$BG$67=BG46))-1)/2,"")</f>
        <v/>
      </c>
      <c r="BL46" s="5">
        <f>IF(BE46,SUMPRODUCT(--(calc!$BE$3:$BE$67=TRUE),--(ROW(calc!$BE$3:$BE$67)&gt;ROW(BE46)),--(((calc!$BJ$3:$BJ$67&gt;BJ46)*(calc!$BK$3:$BK$67&gt;BK46)+(calc!$BJ$3:$BJ$67&lt;BJ46)*(calc!$BK$3:$BK$67&lt;BK46))&gt;0))-SUMPRODUCT(--(calc!$BE$3:$BE$67=TRUE),--(ROW(calc!$BE$3:$BE$67)&gt;ROW(BE46)),--(((calc!$BJ$3:$BJ$67&gt;BJ46)*(calc!$BK$3:$BK$67&lt;BK46)+(calc!$BJ$3:$BJ$67&lt;BJ46)*(calc!$BK$3:$BK$67&gt;BK46))&gt;0)),0)</f>
        <v/>
      </c>
      <c r="BM46" s="5">
        <f>IF(mos_metrics!M45="","",mos_metrics!M45)</f>
        <v/>
      </c>
      <c r="BN46" s="2">
        <f>AND($J46,ISNUMBER(BM46),correlation!$I$32=1)</f>
        <v/>
      </c>
      <c r="BO46" s="5">
        <f>IF(BN46,$F46,"")</f>
        <v/>
      </c>
      <c r="BP46" s="5">
        <f>IF(BN46,BM46*correlation!$J$32,"")</f>
        <v/>
      </c>
      <c r="BQ46" s="5">
        <f>IF(AND(BN46,ISNUMBER(correlation!$F$32)),BP46*correlation!$F$32+correlation!$G$32,"")</f>
        <v/>
      </c>
      <c r="BR46" s="5">
        <f>IF(AND(BN46,ISNUMBER(BQ46)),(BO46-BQ46)^2,"")</f>
        <v/>
      </c>
      <c r="BS46" s="5">
        <f>IF(BN46,1+SUMPRODUCT(--(calc!$BN$3:$BN$67=TRUE),--(calc!$BO$3:$BO$67&gt;BO46))+(SUMPRODUCT(--(calc!$BN$3:$BN$67=TRUE),--(calc!$BO$3:$BO$67=BO46))-1)/2,"")</f>
        <v/>
      </c>
      <c r="BT46" s="5">
        <f>IF(BN46,1+SUMPRODUCT(--(calc!$BN$3:$BN$67=TRUE),--(calc!$BP$3:$BP$67&gt;BP46))+(SUMPRODUCT(--(calc!$BN$3:$BN$67=TRUE),--(calc!$BP$3:$BP$67=BP46))-1)/2,"")</f>
        <v/>
      </c>
      <c r="BU46" s="5">
        <f>IF(BN46,SUMPRODUCT(--(calc!$BN$3:$BN$67=TRUE),--(ROW(calc!$BN$3:$BN$67)&gt;ROW(BN46)),--(((calc!$BS$3:$BS$67&gt;BS46)*(calc!$BT$3:$BT$67&gt;BT46)+(calc!$BS$3:$BS$67&lt;BS46)*(calc!$BT$3:$BT$67&lt;BT46))&gt;0))-SUMPRODUCT(--(calc!$BN$3:$BN$67=TRUE),--(ROW(calc!$BN$3:$BN$67)&gt;ROW(BN46)),--(((calc!$BS$3:$BS$67&gt;BS46)*(calc!$BT$3:$BT$67&lt;BT46)+(calc!$BS$3:$BS$67&lt;BS46)*(calc!$BT$3:$BT$67&gt;BT46))&gt;0)),0)</f>
        <v/>
      </c>
    </row>
    <row r="47">
      <c r="A47" s="2">
        <f>mos_metrics!A46</f>
        <v/>
      </c>
      <c r="B47" s="2">
        <f>mos_metrics!B46</f>
        <v/>
      </c>
      <c r="C47" s="2">
        <f>mos_metrics!C46</f>
        <v/>
      </c>
      <c r="D47" s="2">
        <f>mos_metrics!D46</f>
        <v/>
      </c>
      <c r="E47" s="2">
        <f>mos_metrics!E46</f>
        <v/>
      </c>
      <c r="F47" s="2">
        <f>mos_metrics!F46</f>
        <v/>
      </c>
      <c r="G47" s="2">
        <f>IF($B47="","",IFERROR(VLOOKUP($B47,correlation!$A$2:$B$6,2,FALSE),1))</f>
        <v/>
      </c>
      <c r="H47" s="2">
        <f>IF($E47="","",IFERROR(VLOOKUP($E47,correlation!$D$2:$E$8,2,FALSE),1))</f>
        <v/>
      </c>
      <c r="I47" s="2">
        <f>ISNUMBER($F47)</f>
        <v/>
      </c>
      <c r="J47" s="2">
        <f>AND($G47=1,$H47=1,$I47)</f>
        <v/>
      </c>
      <c r="K47" s="5">
        <f>IF(mos_metrics!G46="","",mos_metrics!G46)</f>
        <v/>
      </c>
      <c r="L47" s="2">
        <f>AND($J47,ISNUMBER(K47),correlation!$I$26=1)</f>
        <v/>
      </c>
      <c r="M47" s="5">
        <f>IF(L47,$F47,"")</f>
        <v/>
      </c>
      <c r="N47" s="5">
        <f>IF(L47,K47*correlation!$J$26,"")</f>
        <v/>
      </c>
      <c r="O47" s="5">
        <f>IF(AND(L47,ISNUMBER(correlation!$F$26)),N47*correlation!$F$26+correlation!$G$26,"")</f>
        <v/>
      </c>
      <c r="P47" s="5">
        <f>IF(AND(L47,ISNUMBER(O47)),(M47-O47)^2,"")</f>
        <v/>
      </c>
      <c r="Q47" s="5">
        <f>IF(L47,1+SUMPRODUCT(--(calc!$L$3:$L$67=TRUE),--(calc!$M$3:$M$67&gt;M47))+(SUMPRODUCT(--(calc!$L$3:$L$67=TRUE),--(calc!$M$3:$M$67=M47))-1)/2,"")</f>
        <v/>
      </c>
      <c r="R47" s="5">
        <f>IF(L47,1+SUMPRODUCT(--(calc!$L$3:$L$67=TRUE),--(calc!$N$3:$N$67&gt;N47))+(SUMPRODUCT(--(calc!$L$3:$L$67=TRUE),--(calc!$N$3:$N$67=N47))-1)/2,"")</f>
        <v/>
      </c>
      <c r="S47" s="5">
        <f>IF(L47,SUMPRODUCT(--(calc!$L$3:$L$67=TRUE),--(ROW(calc!$L$3:$L$67)&gt;ROW(L47)),--(((calc!$Q$3:$Q$67&gt;Q47)*(calc!$R$3:$R$67&gt;R47)+(calc!$Q$3:$Q$67&lt;Q47)*(calc!$R$3:$R$67&lt;R47))&gt;0))-SUMPRODUCT(--(calc!$L$3:$L$67=TRUE),--(ROW(calc!$L$3:$L$67)&gt;ROW(L47)),--(((calc!$Q$3:$Q$67&gt;Q47)*(calc!$R$3:$R$67&lt;R47)+(calc!$Q$3:$Q$67&lt;Q47)*(calc!$R$3:$R$67&gt;R47))&gt;0)),0)</f>
        <v/>
      </c>
      <c r="T47" s="5">
        <f>IF(mos_metrics!H46="","",mos_metrics!H46)</f>
        <v/>
      </c>
      <c r="U47" s="2">
        <f>AND($J47,ISNUMBER(T47),correlation!$I$27=1)</f>
        <v/>
      </c>
      <c r="V47" s="5">
        <f>IF(U47,$F47,"")</f>
        <v/>
      </c>
      <c r="W47" s="5">
        <f>IF(U47,T47*correlation!$J$27,"")</f>
        <v/>
      </c>
      <c r="X47" s="5">
        <f>IF(AND(U47,ISNUMBER(correlation!$F$27)),W47*correlation!$F$27+correlation!$G$27,"")</f>
        <v/>
      </c>
      <c r="Y47" s="5">
        <f>IF(AND(U47,ISNUMBER(X47)),(V47-X47)^2,"")</f>
        <v/>
      </c>
      <c r="Z47" s="5">
        <f>IF(U47,1+SUMPRODUCT(--(calc!$U$3:$U$67=TRUE),--(calc!$V$3:$V$67&gt;V47))+(SUMPRODUCT(--(calc!$U$3:$U$67=TRUE),--(calc!$V$3:$V$67=V47))-1)/2,"")</f>
        <v/>
      </c>
      <c r="AA47" s="5">
        <f>IF(U47,1+SUMPRODUCT(--(calc!$U$3:$U$67=TRUE),--(calc!$W$3:$W$67&gt;W47))+(SUMPRODUCT(--(calc!$U$3:$U$67=TRUE),--(calc!$W$3:$W$67=W47))-1)/2,"")</f>
        <v/>
      </c>
      <c r="AB47" s="5">
        <f>IF(U47,SUMPRODUCT(--(calc!$U$3:$U$67=TRUE),--(ROW(calc!$U$3:$U$67)&gt;ROW(U47)),--(((calc!$Z$3:$Z$67&gt;Z47)*(calc!$AA$3:$AA$67&gt;AA47)+(calc!$Z$3:$Z$67&lt;Z47)*(calc!$AA$3:$AA$67&lt;AA47))&gt;0))-SUMPRODUCT(--(calc!$U$3:$U$67=TRUE),--(ROW(calc!$U$3:$U$67)&gt;ROW(U47)),--(((calc!$Z$3:$Z$67&gt;Z47)*(calc!$AA$3:$AA$67&lt;AA47)+(calc!$Z$3:$Z$67&lt;Z47)*(calc!$AA$3:$AA$67&gt;AA47))&gt;0)),0)</f>
        <v/>
      </c>
      <c r="AC47" s="5">
        <f>IF(mos_metrics!I46="","",mos_metrics!I46)</f>
        <v/>
      </c>
      <c r="AD47" s="2">
        <f>AND($J47,ISNUMBER(AC47),correlation!$I$28=1)</f>
        <v/>
      </c>
      <c r="AE47" s="5">
        <f>IF(AD47,$F47,"")</f>
        <v/>
      </c>
      <c r="AF47" s="5">
        <f>IF(AD47,AC47*correlation!$J$28,"")</f>
        <v/>
      </c>
      <c r="AG47" s="5">
        <f>IF(AND(AD47,ISNUMBER(correlation!$F$28)),AF47*correlation!$F$28+correlation!$G$28,"")</f>
        <v/>
      </c>
      <c r="AH47" s="5">
        <f>IF(AND(AD47,ISNUMBER(AG47)),(AE47-AG47)^2,"")</f>
        <v/>
      </c>
      <c r="AI47" s="5">
        <f>IF(AD47,1+SUMPRODUCT(--(calc!$AD$3:$AD$67=TRUE),--(calc!$AE$3:$AE$67&gt;AE47))+(SUMPRODUCT(--(calc!$AD$3:$AD$67=TRUE),--(calc!$AE$3:$AE$67=AE47))-1)/2,"")</f>
        <v/>
      </c>
      <c r="AJ47" s="5">
        <f>IF(AD47,1+SUMPRODUCT(--(calc!$AD$3:$AD$67=TRUE),--(calc!$AF$3:$AF$67&gt;AF47))+(SUMPRODUCT(--(calc!$AD$3:$AD$67=TRUE),--(calc!$AF$3:$AF$67=AF47))-1)/2,"")</f>
        <v/>
      </c>
      <c r="AK47" s="5">
        <f>IF(AD47,SUMPRODUCT(--(calc!$AD$3:$AD$67=TRUE),--(ROW(calc!$AD$3:$AD$67)&gt;ROW(AD47)),--(((calc!$AI$3:$AI$67&gt;AI47)*(calc!$AJ$3:$AJ$67&gt;AJ47)+(calc!$AI$3:$AI$67&lt;AI47)*(calc!$AJ$3:$AJ$67&lt;AJ47))&gt;0))-SUMPRODUCT(--(calc!$AD$3:$AD$67=TRUE),--(ROW(calc!$AD$3:$AD$67)&gt;ROW(AD47)),--(((calc!$AI$3:$AI$67&gt;AI47)*(calc!$AJ$3:$AJ$67&lt;AJ47)+(calc!$AI$3:$AI$67&lt;AI47)*(calc!$AJ$3:$AJ$67&gt;AJ47))&gt;0)),0)</f>
        <v/>
      </c>
      <c r="AL47" s="5">
        <f>IF(mos_metrics!J46="","",mos_metrics!J46)</f>
        <v/>
      </c>
      <c r="AM47" s="2">
        <f>AND($J47,ISNUMBER(AL47),correlation!$I$29=1)</f>
        <v/>
      </c>
      <c r="AN47" s="5">
        <f>IF(AM47,$F47,"")</f>
        <v/>
      </c>
      <c r="AO47" s="5">
        <f>IF(AM47,AL47*correlation!$J$29,"")</f>
        <v/>
      </c>
      <c r="AP47" s="5">
        <f>IF(AND(AM47,ISNUMBER(correlation!$F$29)),AO47*correlation!$F$29+correlation!$G$29,"")</f>
        <v/>
      </c>
      <c r="AQ47" s="5">
        <f>IF(AND(AM47,ISNUMBER(AP47)),(AN47-AP47)^2,"")</f>
        <v/>
      </c>
      <c r="AR47" s="5">
        <f>IF(AM47,1+SUMPRODUCT(--(calc!$AM$3:$AM$67=TRUE),--(calc!$AN$3:$AN$67&gt;AN47))+(SUMPRODUCT(--(calc!$AM$3:$AM$67=TRUE),--(calc!$AN$3:$AN$67=AN47))-1)/2,"")</f>
        <v/>
      </c>
      <c r="AS47" s="5">
        <f>IF(AM47,1+SUMPRODUCT(--(calc!$AM$3:$AM$67=TRUE),--(calc!$AO$3:$AO$67&gt;AO47))+(SUMPRODUCT(--(calc!$AM$3:$AM$67=TRUE),--(calc!$AO$3:$AO$67=AO47))-1)/2,"")</f>
        <v/>
      </c>
      <c r="AT47" s="5">
        <f>IF(AM47,SUMPRODUCT(--(calc!$AM$3:$AM$67=TRUE),--(ROW(calc!$AM$3:$AM$67)&gt;ROW(AM47)),--(((calc!$AR$3:$AR$67&gt;AR47)*(calc!$AS$3:$AS$67&gt;AS47)+(calc!$AR$3:$AR$67&lt;AR47)*(calc!$AS$3:$AS$67&lt;AS47))&gt;0))-SUMPRODUCT(--(calc!$AM$3:$AM$67=TRUE),--(ROW(calc!$AM$3:$AM$67)&gt;ROW(AM47)),--(((calc!$AR$3:$AR$67&gt;AR47)*(calc!$AS$3:$AS$67&lt;AS47)+(calc!$AR$3:$AR$67&lt;AR47)*(calc!$AS$3:$AS$67&gt;AS47))&gt;0)),0)</f>
        <v/>
      </c>
      <c r="AU47" s="5">
        <f>IF(mos_metrics!K46="","",mos_metrics!K46)</f>
        <v/>
      </c>
      <c r="AV47" s="2">
        <f>AND($J47,ISNUMBER(AU47),correlation!$I$30=1)</f>
        <v/>
      </c>
      <c r="AW47" s="5">
        <f>IF(AV47,$F47,"")</f>
        <v/>
      </c>
      <c r="AX47" s="5">
        <f>IF(AV47,AU47*correlation!$J$30,"")</f>
        <v/>
      </c>
      <c r="AY47" s="5">
        <f>IF(AND(AV47,ISNUMBER(correlation!$F$30)),AX47*correlation!$F$30+correlation!$G$30,"")</f>
        <v/>
      </c>
      <c r="AZ47" s="5">
        <f>IF(AND(AV47,ISNUMBER(AY47)),(AW47-AY47)^2,"")</f>
        <v/>
      </c>
      <c r="BA47" s="5">
        <f>IF(AV47,1+SUMPRODUCT(--(calc!$AV$3:$AV$67=TRUE),--(calc!$AW$3:$AW$67&gt;AW47))+(SUMPRODUCT(--(calc!$AV$3:$AV$67=TRUE),--(calc!$AW$3:$AW$67=AW47))-1)/2,"")</f>
        <v/>
      </c>
      <c r="BB47" s="5">
        <f>IF(AV47,1+SUMPRODUCT(--(calc!$AV$3:$AV$67=TRUE),--(calc!$AX$3:$AX$67&gt;AX47))+(SUMPRODUCT(--(calc!$AV$3:$AV$67=TRUE),--(calc!$AX$3:$AX$67=AX47))-1)/2,"")</f>
        <v/>
      </c>
      <c r="BC47" s="5">
        <f>IF(AV47,SUMPRODUCT(--(calc!$AV$3:$AV$67=TRUE),--(ROW(calc!$AV$3:$AV$67)&gt;ROW(AV47)),--(((calc!$BA$3:$BA$67&gt;BA47)*(calc!$BB$3:$BB$67&gt;BB47)+(calc!$BA$3:$BA$67&lt;BA47)*(calc!$BB$3:$BB$67&lt;BB47))&gt;0))-SUMPRODUCT(--(calc!$AV$3:$AV$67=TRUE),--(ROW(calc!$AV$3:$AV$67)&gt;ROW(AV47)),--(((calc!$BA$3:$BA$67&gt;BA47)*(calc!$BB$3:$BB$67&lt;BB47)+(calc!$BA$3:$BA$67&lt;BA47)*(calc!$BB$3:$BB$67&gt;BB47))&gt;0)),0)</f>
        <v/>
      </c>
      <c r="BD47" s="5">
        <f>IF(mos_metrics!L46="","",mos_metrics!L46)</f>
        <v/>
      </c>
      <c r="BE47" s="2">
        <f>AND($J47,ISNUMBER(BD47),correlation!$I$31=1)</f>
        <v/>
      </c>
      <c r="BF47" s="5">
        <f>IF(BE47,$F47,"")</f>
        <v/>
      </c>
      <c r="BG47" s="5">
        <f>IF(BE47,BD47*correlation!$J$31,"")</f>
        <v/>
      </c>
      <c r="BH47" s="5">
        <f>IF(AND(BE47,ISNUMBER(correlation!$F$31)),BG47*correlation!$F$31+correlation!$G$31,"")</f>
        <v/>
      </c>
      <c r="BI47" s="5">
        <f>IF(AND(BE47,ISNUMBER(BH47)),(BF47-BH47)^2,"")</f>
        <v/>
      </c>
      <c r="BJ47" s="5">
        <f>IF(BE47,1+SUMPRODUCT(--(calc!$BE$3:$BE$67=TRUE),--(calc!$BF$3:$BF$67&gt;BF47))+(SUMPRODUCT(--(calc!$BE$3:$BE$67=TRUE),--(calc!$BF$3:$BF$67=BF47))-1)/2,"")</f>
        <v/>
      </c>
      <c r="BK47" s="5">
        <f>IF(BE47,1+SUMPRODUCT(--(calc!$BE$3:$BE$67=TRUE),--(calc!$BG$3:$BG$67&gt;BG47))+(SUMPRODUCT(--(calc!$BE$3:$BE$67=TRUE),--(calc!$BG$3:$BG$67=BG47))-1)/2,"")</f>
        <v/>
      </c>
      <c r="BL47" s="5">
        <f>IF(BE47,SUMPRODUCT(--(calc!$BE$3:$BE$67=TRUE),--(ROW(calc!$BE$3:$BE$67)&gt;ROW(BE47)),--(((calc!$BJ$3:$BJ$67&gt;BJ47)*(calc!$BK$3:$BK$67&gt;BK47)+(calc!$BJ$3:$BJ$67&lt;BJ47)*(calc!$BK$3:$BK$67&lt;BK47))&gt;0))-SUMPRODUCT(--(calc!$BE$3:$BE$67=TRUE),--(ROW(calc!$BE$3:$BE$67)&gt;ROW(BE47)),--(((calc!$BJ$3:$BJ$67&gt;BJ47)*(calc!$BK$3:$BK$67&lt;BK47)+(calc!$BJ$3:$BJ$67&lt;BJ47)*(calc!$BK$3:$BK$67&gt;BK47))&gt;0)),0)</f>
        <v/>
      </c>
      <c r="BM47" s="5">
        <f>IF(mos_metrics!M46="","",mos_metrics!M46)</f>
        <v/>
      </c>
      <c r="BN47" s="2">
        <f>AND($J47,ISNUMBER(BM47),correlation!$I$32=1)</f>
        <v/>
      </c>
      <c r="BO47" s="5">
        <f>IF(BN47,$F47,"")</f>
        <v/>
      </c>
      <c r="BP47" s="5">
        <f>IF(BN47,BM47*correlation!$J$32,"")</f>
        <v/>
      </c>
      <c r="BQ47" s="5">
        <f>IF(AND(BN47,ISNUMBER(correlation!$F$32)),BP47*correlation!$F$32+correlation!$G$32,"")</f>
        <v/>
      </c>
      <c r="BR47" s="5">
        <f>IF(AND(BN47,ISNUMBER(BQ47)),(BO47-BQ47)^2,"")</f>
        <v/>
      </c>
      <c r="BS47" s="5">
        <f>IF(BN47,1+SUMPRODUCT(--(calc!$BN$3:$BN$67=TRUE),--(calc!$BO$3:$BO$67&gt;BO47))+(SUMPRODUCT(--(calc!$BN$3:$BN$67=TRUE),--(calc!$BO$3:$BO$67=BO47))-1)/2,"")</f>
        <v/>
      </c>
      <c r="BT47" s="5">
        <f>IF(BN47,1+SUMPRODUCT(--(calc!$BN$3:$BN$67=TRUE),--(calc!$BP$3:$BP$67&gt;BP47))+(SUMPRODUCT(--(calc!$BN$3:$BN$67=TRUE),--(calc!$BP$3:$BP$67=BP47))-1)/2,"")</f>
        <v/>
      </c>
      <c r="BU47" s="5">
        <f>IF(BN47,SUMPRODUCT(--(calc!$BN$3:$BN$67=TRUE),--(ROW(calc!$BN$3:$BN$67)&gt;ROW(BN47)),--(((calc!$BS$3:$BS$67&gt;BS47)*(calc!$BT$3:$BT$67&gt;BT47)+(calc!$BS$3:$BS$67&lt;BS47)*(calc!$BT$3:$BT$67&lt;BT47))&gt;0))-SUMPRODUCT(--(calc!$BN$3:$BN$67=TRUE),--(ROW(calc!$BN$3:$BN$67)&gt;ROW(BN47)),--(((calc!$BS$3:$BS$67&gt;BS47)*(calc!$BT$3:$BT$67&lt;BT47)+(calc!$BS$3:$BS$67&lt;BS47)*(calc!$BT$3:$BT$67&gt;BT47))&gt;0)),0)</f>
        <v/>
      </c>
    </row>
    <row r="48">
      <c r="A48" s="2">
        <f>mos_metrics!A47</f>
        <v/>
      </c>
      <c r="B48" s="2">
        <f>mos_metrics!B47</f>
        <v/>
      </c>
      <c r="C48" s="2">
        <f>mos_metrics!C47</f>
        <v/>
      </c>
      <c r="D48" s="2">
        <f>mos_metrics!D47</f>
        <v/>
      </c>
      <c r="E48" s="2">
        <f>mos_metrics!E47</f>
        <v/>
      </c>
      <c r="F48" s="2">
        <f>mos_metrics!F47</f>
        <v/>
      </c>
      <c r="G48" s="2">
        <f>IF($B48="","",IFERROR(VLOOKUP($B48,correlation!$A$2:$B$6,2,FALSE),1))</f>
        <v/>
      </c>
      <c r="H48" s="2">
        <f>IF($E48="","",IFERROR(VLOOKUP($E48,correlation!$D$2:$E$8,2,FALSE),1))</f>
        <v/>
      </c>
      <c r="I48" s="2">
        <f>ISNUMBER($F48)</f>
        <v/>
      </c>
      <c r="J48" s="2">
        <f>AND($G48=1,$H48=1,$I48)</f>
        <v/>
      </c>
      <c r="K48" s="5">
        <f>IF(mos_metrics!G47="","",mos_metrics!G47)</f>
        <v/>
      </c>
      <c r="L48" s="2">
        <f>AND($J48,ISNUMBER(K48),correlation!$I$26=1)</f>
        <v/>
      </c>
      <c r="M48" s="5">
        <f>IF(L48,$F48,"")</f>
        <v/>
      </c>
      <c r="N48" s="5">
        <f>IF(L48,K48*correlation!$J$26,"")</f>
        <v/>
      </c>
      <c r="O48" s="5">
        <f>IF(AND(L48,ISNUMBER(correlation!$F$26)),N48*correlation!$F$26+correlation!$G$26,"")</f>
        <v/>
      </c>
      <c r="P48" s="5">
        <f>IF(AND(L48,ISNUMBER(O48)),(M48-O48)^2,"")</f>
        <v/>
      </c>
      <c r="Q48" s="5">
        <f>IF(L48,1+SUMPRODUCT(--(calc!$L$3:$L$67=TRUE),--(calc!$M$3:$M$67&gt;M48))+(SUMPRODUCT(--(calc!$L$3:$L$67=TRUE),--(calc!$M$3:$M$67=M48))-1)/2,"")</f>
        <v/>
      </c>
      <c r="R48" s="5">
        <f>IF(L48,1+SUMPRODUCT(--(calc!$L$3:$L$67=TRUE),--(calc!$N$3:$N$67&gt;N48))+(SUMPRODUCT(--(calc!$L$3:$L$67=TRUE),--(calc!$N$3:$N$67=N48))-1)/2,"")</f>
        <v/>
      </c>
      <c r="S48" s="5">
        <f>IF(L48,SUMPRODUCT(--(calc!$L$3:$L$67=TRUE),--(ROW(calc!$L$3:$L$67)&gt;ROW(L48)),--(((calc!$Q$3:$Q$67&gt;Q48)*(calc!$R$3:$R$67&gt;R48)+(calc!$Q$3:$Q$67&lt;Q48)*(calc!$R$3:$R$67&lt;R48))&gt;0))-SUMPRODUCT(--(calc!$L$3:$L$67=TRUE),--(ROW(calc!$L$3:$L$67)&gt;ROW(L48)),--(((calc!$Q$3:$Q$67&gt;Q48)*(calc!$R$3:$R$67&lt;R48)+(calc!$Q$3:$Q$67&lt;Q48)*(calc!$R$3:$R$67&gt;R48))&gt;0)),0)</f>
        <v/>
      </c>
      <c r="T48" s="5">
        <f>IF(mos_metrics!H47="","",mos_metrics!H47)</f>
        <v/>
      </c>
      <c r="U48" s="2">
        <f>AND($J48,ISNUMBER(T48),correlation!$I$27=1)</f>
        <v/>
      </c>
      <c r="V48" s="5">
        <f>IF(U48,$F48,"")</f>
        <v/>
      </c>
      <c r="W48" s="5">
        <f>IF(U48,T48*correlation!$J$27,"")</f>
        <v/>
      </c>
      <c r="X48" s="5">
        <f>IF(AND(U48,ISNUMBER(correlation!$F$27)),W48*correlation!$F$27+correlation!$G$27,"")</f>
        <v/>
      </c>
      <c r="Y48" s="5">
        <f>IF(AND(U48,ISNUMBER(X48)),(V48-X48)^2,"")</f>
        <v/>
      </c>
      <c r="Z48" s="5">
        <f>IF(U48,1+SUMPRODUCT(--(calc!$U$3:$U$67=TRUE),--(calc!$V$3:$V$67&gt;V48))+(SUMPRODUCT(--(calc!$U$3:$U$67=TRUE),--(calc!$V$3:$V$67=V48))-1)/2,"")</f>
        <v/>
      </c>
      <c r="AA48" s="5">
        <f>IF(U48,1+SUMPRODUCT(--(calc!$U$3:$U$67=TRUE),--(calc!$W$3:$W$67&gt;W48))+(SUMPRODUCT(--(calc!$U$3:$U$67=TRUE),--(calc!$W$3:$W$67=W48))-1)/2,"")</f>
        <v/>
      </c>
      <c r="AB48" s="5">
        <f>IF(U48,SUMPRODUCT(--(calc!$U$3:$U$67=TRUE),--(ROW(calc!$U$3:$U$67)&gt;ROW(U48)),--(((calc!$Z$3:$Z$67&gt;Z48)*(calc!$AA$3:$AA$67&gt;AA48)+(calc!$Z$3:$Z$67&lt;Z48)*(calc!$AA$3:$AA$67&lt;AA48))&gt;0))-SUMPRODUCT(--(calc!$U$3:$U$67=TRUE),--(ROW(calc!$U$3:$U$67)&gt;ROW(U48)),--(((calc!$Z$3:$Z$67&gt;Z48)*(calc!$AA$3:$AA$67&lt;AA48)+(calc!$Z$3:$Z$67&lt;Z48)*(calc!$AA$3:$AA$67&gt;AA48))&gt;0)),0)</f>
        <v/>
      </c>
      <c r="AC48" s="5">
        <f>IF(mos_metrics!I47="","",mos_metrics!I47)</f>
        <v/>
      </c>
      <c r="AD48" s="2">
        <f>AND($J48,ISNUMBER(AC48),correlation!$I$28=1)</f>
        <v/>
      </c>
      <c r="AE48" s="5">
        <f>IF(AD48,$F48,"")</f>
        <v/>
      </c>
      <c r="AF48" s="5">
        <f>IF(AD48,AC48*correlation!$J$28,"")</f>
        <v/>
      </c>
      <c r="AG48" s="5">
        <f>IF(AND(AD48,ISNUMBER(correlation!$F$28)),AF48*correlation!$F$28+correlation!$G$28,"")</f>
        <v/>
      </c>
      <c r="AH48" s="5">
        <f>IF(AND(AD48,ISNUMBER(AG48)),(AE48-AG48)^2,"")</f>
        <v/>
      </c>
      <c r="AI48" s="5">
        <f>IF(AD48,1+SUMPRODUCT(--(calc!$AD$3:$AD$67=TRUE),--(calc!$AE$3:$AE$67&gt;AE48))+(SUMPRODUCT(--(calc!$AD$3:$AD$67=TRUE),--(calc!$AE$3:$AE$67=AE48))-1)/2,"")</f>
        <v/>
      </c>
      <c r="AJ48" s="5">
        <f>IF(AD48,1+SUMPRODUCT(--(calc!$AD$3:$AD$67=TRUE),--(calc!$AF$3:$AF$67&gt;AF48))+(SUMPRODUCT(--(calc!$AD$3:$AD$67=TRUE),--(calc!$AF$3:$AF$67=AF48))-1)/2,"")</f>
        <v/>
      </c>
      <c r="AK48" s="5">
        <f>IF(AD48,SUMPRODUCT(--(calc!$AD$3:$AD$67=TRUE),--(ROW(calc!$AD$3:$AD$67)&gt;ROW(AD48)),--(((calc!$AI$3:$AI$67&gt;AI48)*(calc!$AJ$3:$AJ$67&gt;AJ48)+(calc!$AI$3:$AI$67&lt;AI48)*(calc!$AJ$3:$AJ$67&lt;AJ48))&gt;0))-SUMPRODUCT(--(calc!$AD$3:$AD$67=TRUE),--(ROW(calc!$AD$3:$AD$67)&gt;ROW(AD48)),--(((calc!$AI$3:$AI$67&gt;AI48)*(calc!$AJ$3:$AJ$67&lt;AJ48)+(calc!$AI$3:$AI$67&lt;AI48)*(calc!$AJ$3:$AJ$67&gt;AJ48))&gt;0)),0)</f>
        <v/>
      </c>
      <c r="AL48" s="5">
        <f>IF(mos_metrics!J47="","",mos_metrics!J47)</f>
        <v/>
      </c>
      <c r="AM48" s="2">
        <f>AND($J48,ISNUMBER(AL48),correlation!$I$29=1)</f>
        <v/>
      </c>
      <c r="AN48" s="5">
        <f>IF(AM48,$F48,"")</f>
        <v/>
      </c>
      <c r="AO48" s="5">
        <f>IF(AM48,AL48*correlation!$J$29,"")</f>
        <v/>
      </c>
      <c r="AP48" s="5">
        <f>IF(AND(AM48,ISNUMBER(correlation!$F$29)),AO48*correlation!$F$29+correlation!$G$29,"")</f>
        <v/>
      </c>
      <c r="AQ48" s="5">
        <f>IF(AND(AM48,ISNUMBER(AP48)),(AN48-AP48)^2,"")</f>
        <v/>
      </c>
      <c r="AR48" s="5">
        <f>IF(AM48,1+SUMPRODUCT(--(calc!$AM$3:$AM$67=TRUE),--(calc!$AN$3:$AN$67&gt;AN48))+(SUMPRODUCT(--(calc!$AM$3:$AM$67=TRUE),--(calc!$AN$3:$AN$67=AN48))-1)/2,"")</f>
        <v/>
      </c>
      <c r="AS48" s="5">
        <f>IF(AM48,1+SUMPRODUCT(--(calc!$AM$3:$AM$67=TRUE),--(calc!$AO$3:$AO$67&gt;AO48))+(SUMPRODUCT(--(calc!$AM$3:$AM$67=TRUE),--(calc!$AO$3:$AO$67=AO48))-1)/2,"")</f>
        <v/>
      </c>
      <c r="AT48" s="5">
        <f>IF(AM48,SUMPRODUCT(--(calc!$AM$3:$AM$67=TRUE),--(ROW(calc!$AM$3:$AM$67)&gt;ROW(AM48)),--(((calc!$AR$3:$AR$67&gt;AR48)*(calc!$AS$3:$AS$67&gt;AS48)+(calc!$AR$3:$AR$67&lt;AR48)*(calc!$AS$3:$AS$67&lt;AS48))&gt;0))-SUMPRODUCT(--(calc!$AM$3:$AM$67=TRUE),--(ROW(calc!$AM$3:$AM$67)&gt;ROW(AM48)),--(((calc!$AR$3:$AR$67&gt;AR48)*(calc!$AS$3:$AS$67&lt;AS48)+(calc!$AR$3:$AR$67&lt;AR48)*(calc!$AS$3:$AS$67&gt;AS48))&gt;0)),0)</f>
        <v/>
      </c>
      <c r="AU48" s="5">
        <f>IF(mos_metrics!K47="","",mos_metrics!K47)</f>
        <v/>
      </c>
      <c r="AV48" s="2">
        <f>AND($J48,ISNUMBER(AU48),correlation!$I$30=1)</f>
        <v/>
      </c>
      <c r="AW48" s="5">
        <f>IF(AV48,$F48,"")</f>
        <v/>
      </c>
      <c r="AX48" s="5">
        <f>IF(AV48,AU48*correlation!$J$30,"")</f>
        <v/>
      </c>
      <c r="AY48" s="5">
        <f>IF(AND(AV48,ISNUMBER(correlation!$F$30)),AX48*correlation!$F$30+correlation!$G$30,"")</f>
        <v/>
      </c>
      <c r="AZ48" s="5">
        <f>IF(AND(AV48,ISNUMBER(AY48)),(AW48-AY48)^2,"")</f>
        <v/>
      </c>
      <c r="BA48" s="5">
        <f>IF(AV48,1+SUMPRODUCT(--(calc!$AV$3:$AV$67=TRUE),--(calc!$AW$3:$AW$67&gt;AW48))+(SUMPRODUCT(--(calc!$AV$3:$AV$67=TRUE),--(calc!$AW$3:$AW$67=AW48))-1)/2,"")</f>
        <v/>
      </c>
      <c r="BB48" s="5">
        <f>IF(AV48,1+SUMPRODUCT(--(calc!$AV$3:$AV$67=TRUE),--(calc!$AX$3:$AX$67&gt;AX48))+(SUMPRODUCT(--(calc!$AV$3:$AV$67=TRUE),--(calc!$AX$3:$AX$67=AX48))-1)/2,"")</f>
        <v/>
      </c>
      <c r="BC48" s="5">
        <f>IF(AV48,SUMPRODUCT(--(calc!$AV$3:$AV$67=TRUE),--(ROW(calc!$AV$3:$AV$67)&gt;ROW(AV48)),--(((calc!$BA$3:$BA$67&gt;BA48)*(calc!$BB$3:$BB$67&gt;BB48)+(calc!$BA$3:$BA$67&lt;BA48)*(calc!$BB$3:$BB$67&lt;BB48))&gt;0))-SUMPRODUCT(--(calc!$AV$3:$AV$67=TRUE),--(ROW(calc!$AV$3:$AV$67)&gt;ROW(AV48)),--(((calc!$BA$3:$BA$67&gt;BA48)*(calc!$BB$3:$BB$67&lt;BB48)+(calc!$BA$3:$BA$67&lt;BA48)*(calc!$BB$3:$BB$67&gt;BB48))&gt;0)),0)</f>
        <v/>
      </c>
      <c r="BD48" s="5">
        <f>IF(mos_metrics!L47="","",mos_metrics!L47)</f>
        <v/>
      </c>
      <c r="BE48" s="2">
        <f>AND($J48,ISNUMBER(BD48),correlation!$I$31=1)</f>
        <v/>
      </c>
      <c r="BF48" s="5">
        <f>IF(BE48,$F48,"")</f>
        <v/>
      </c>
      <c r="BG48" s="5">
        <f>IF(BE48,BD48*correlation!$J$31,"")</f>
        <v/>
      </c>
      <c r="BH48" s="5">
        <f>IF(AND(BE48,ISNUMBER(correlation!$F$31)),BG48*correlation!$F$31+correlation!$G$31,"")</f>
        <v/>
      </c>
      <c r="BI48" s="5">
        <f>IF(AND(BE48,ISNUMBER(BH48)),(BF48-BH48)^2,"")</f>
        <v/>
      </c>
      <c r="BJ48" s="5">
        <f>IF(BE48,1+SUMPRODUCT(--(calc!$BE$3:$BE$67=TRUE),--(calc!$BF$3:$BF$67&gt;BF48))+(SUMPRODUCT(--(calc!$BE$3:$BE$67=TRUE),--(calc!$BF$3:$BF$67=BF48))-1)/2,"")</f>
        <v/>
      </c>
      <c r="BK48" s="5">
        <f>IF(BE48,1+SUMPRODUCT(--(calc!$BE$3:$BE$67=TRUE),--(calc!$BG$3:$BG$67&gt;BG48))+(SUMPRODUCT(--(calc!$BE$3:$BE$67=TRUE),--(calc!$BG$3:$BG$67=BG48))-1)/2,"")</f>
        <v/>
      </c>
      <c r="BL48" s="5">
        <f>IF(BE48,SUMPRODUCT(--(calc!$BE$3:$BE$67=TRUE),--(ROW(calc!$BE$3:$BE$67)&gt;ROW(BE48)),--(((calc!$BJ$3:$BJ$67&gt;BJ48)*(calc!$BK$3:$BK$67&gt;BK48)+(calc!$BJ$3:$BJ$67&lt;BJ48)*(calc!$BK$3:$BK$67&lt;BK48))&gt;0))-SUMPRODUCT(--(calc!$BE$3:$BE$67=TRUE),--(ROW(calc!$BE$3:$BE$67)&gt;ROW(BE48)),--(((calc!$BJ$3:$BJ$67&gt;BJ48)*(calc!$BK$3:$BK$67&lt;BK48)+(calc!$BJ$3:$BJ$67&lt;BJ48)*(calc!$BK$3:$BK$67&gt;BK48))&gt;0)),0)</f>
        <v/>
      </c>
      <c r="BM48" s="5">
        <f>IF(mos_metrics!M47="","",mos_metrics!M47)</f>
        <v/>
      </c>
      <c r="BN48" s="2">
        <f>AND($J48,ISNUMBER(BM48),correlation!$I$32=1)</f>
        <v/>
      </c>
      <c r="BO48" s="5">
        <f>IF(BN48,$F48,"")</f>
        <v/>
      </c>
      <c r="BP48" s="5">
        <f>IF(BN48,BM48*correlation!$J$32,"")</f>
        <v/>
      </c>
      <c r="BQ48" s="5">
        <f>IF(AND(BN48,ISNUMBER(correlation!$F$32)),BP48*correlation!$F$32+correlation!$G$32,"")</f>
        <v/>
      </c>
      <c r="BR48" s="5">
        <f>IF(AND(BN48,ISNUMBER(BQ48)),(BO48-BQ48)^2,"")</f>
        <v/>
      </c>
      <c r="BS48" s="5">
        <f>IF(BN48,1+SUMPRODUCT(--(calc!$BN$3:$BN$67=TRUE),--(calc!$BO$3:$BO$67&gt;BO48))+(SUMPRODUCT(--(calc!$BN$3:$BN$67=TRUE),--(calc!$BO$3:$BO$67=BO48))-1)/2,"")</f>
        <v/>
      </c>
      <c r="BT48" s="5">
        <f>IF(BN48,1+SUMPRODUCT(--(calc!$BN$3:$BN$67=TRUE),--(calc!$BP$3:$BP$67&gt;BP48))+(SUMPRODUCT(--(calc!$BN$3:$BN$67=TRUE),--(calc!$BP$3:$BP$67=BP48))-1)/2,"")</f>
        <v/>
      </c>
      <c r="BU48" s="5">
        <f>IF(BN48,SUMPRODUCT(--(calc!$BN$3:$BN$67=TRUE),--(ROW(calc!$BN$3:$BN$67)&gt;ROW(BN48)),--(((calc!$BS$3:$BS$67&gt;BS48)*(calc!$BT$3:$BT$67&gt;BT48)+(calc!$BS$3:$BS$67&lt;BS48)*(calc!$BT$3:$BT$67&lt;BT48))&gt;0))-SUMPRODUCT(--(calc!$BN$3:$BN$67=TRUE),--(ROW(calc!$BN$3:$BN$67)&gt;ROW(BN48)),--(((calc!$BS$3:$BS$67&gt;BS48)*(calc!$BT$3:$BT$67&lt;BT48)+(calc!$BS$3:$BS$67&lt;BS48)*(calc!$BT$3:$BT$67&gt;BT48))&gt;0)),0)</f>
        <v/>
      </c>
    </row>
    <row r="49">
      <c r="A49" s="2">
        <f>mos_metrics!A48</f>
        <v/>
      </c>
      <c r="B49" s="2">
        <f>mos_metrics!B48</f>
        <v/>
      </c>
      <c r="C49" s="2">
        <f>mos_metrics!C48</f>
        <v/>
      </c>
      <c r="D49" s="2">
        <f>mos_metrics!D48</f>
        <v/>
      </c>
      <c r="E49" s="2">
        <f>mos_metrics!E48</f>
        <v/>
      </c>
      <c r="F49" s="2">
        <f>mos_metrics!F48</f>
        <v/>
      </c>
      <c r="G49" s="2">
        <f>IF($B49="","",IFERROR(VLOOKUP($B49,correlation!$A$2:$B$6,2,FALSE),1))</f>
        <v/>
      </c>
      <c r="H49" s="2">
        <f>IF($E49="","",IFERROR(VLOOKUP($E49,correlation!$D$2:$E$8,2,FALSE),1))</f>
        <v/>
      </c>
      <c r="I49" s="2">
        <f>ISNUMBER($F49)</f>
        <v/>
      </c>
      <c r="J49" s="2">
        <f>AND($G49=1,$H49=1,$I49)</f>
        <v/>
      </c>
      <c r="K49" s="5">
        <f>IF(mos_metrics!G48="","",mos_metrics!G48)</f>
        <v/>
      </c>
      <c r="L49" s="2">
        <f>AND($J49,ISNUMBER(K49),correlation!$I$26=1)</f>
        <v/>
      </c>
      <c r="M49" s="5">
        <f>IF(L49,$F49,"")</f>
        <v/>
      </c>
      <c r="N49" s="5">
        <f>IF(L49,K49*correlation!$J$26,"")</f>
        <v/>
      </c>
      <c r="O49" s="5">
        <f>IF(AND(L49,ISNUMBER(correlation!$F$26)),N49*correlation!$F$26+correlation!$G$26,"")</f>
        <v/>
      </c>
      <c r="P49" s="5">
        <f>IF(AND(L49,ISNUMBER(O49)),(M49-O49)^2,"")</f>
        <v/>
      </c>
      <c r="Q49" s="5">
        <f>IF(L49,1+SUMPRODUCT(--(calc!$L$3:$L$67=TRUE),--(calc!$M$3:$M$67&gt;M49))+(SUMPRODUCT(--(calc!$L$3:$L$67=TRUE),--(calc!$M$3:$M$67=M49))-1)/2,"")</f>
        <v/>
      </c>
      <c r="R49" s="5">
        <f>IF(L49,1+SUMPRODUCT(--(calc!$L$3:$L$67=TRUE),--(calc!$N$3:$N$67&gt;N49))+(SUMPRODUCT(--(calc!$L$3:$L$67=TRUE),--(calc!$N$3:$N$67=N49))-1)/2,"")</f>
        <v/>
      </c>
      <c r="S49" s="5">
        <f>IF(L49,SUMPRODUCT(--(calc!$L$3:$L$67=TRUE),--(ROW(calc!$L$3:$L$67)&gt;ROW(L49)),--(((calc!$Q$3:$Q$67&gt;Q49)*(calc!$R$3:$R$67&gt;R49)+(calc!$Q$3:$Q$67&lt;Q49)*(calc!$R$3:$R$67&lt;R49))&gt;0))-SUMPRODUCT(--(calc!$L$3:$L$67=TRUE),--(ROW(calc!$L$3:$L$67)&gt;ROW(L49)),--(((calc!$Q$3:$Q$67&gt;Q49)*(calc!$R$3:$R$67&lt;R49)+(calc!$Q$3:$Q$67&lt;Q49)*(calc!$R$3:$R$67&gt;R49))&gt;0)),0)</f>
        <v/>
      </c>
      <c r="T49" s="5">
        <f>IF(mos_metrics!H48="","",mos_metrics!H48)</f>
        <v/>
      </c>
      <c r="U49" s="2">
        <f>AND($J49,ISNUMBER(T49),correlation!$I$27=1)</f>
        <v/>
      </c>
      <c r="V49" s="5">
        <f>IF(U49,$F49,"")</f>
        <v/>
      </c>
      <c r="W49" s="5">
        <f>IF(U49,T49*correlation!$J$27,"")</f>
        <v/>
      </c>
      <c r="X49" s="5">
        <f>IF(AND(U49,ISNUMBER(correlation!$F$27)),W49*correlation!$F$27+correlation!$G$27,"")</f>
        <v/>
      </c>
      <c r="Y49" s="5">
        <f>IF(AND(U49,ISNUMBER(X49)),(V49-X49)^2,"")</f>
        <v/>
      </c>
      <c r="Z49" s="5">
        <f>IF(U49,1+SUMPRODUCT(--(calc!$U$3:$U$67=TRUE),--(calc!$V$3:$V$67&gt;V49))+(SUMPRODUCT(--(calc!$U$3:$U$67=TRUE),--(calc!$V$3:$V$67=V49))-1)/2,"")</f>
        <v/>
      </c>
      <c r="AA49" s="5">
        <f>IF(U49,1+SUMPRODUCT(--(calc!$U$3:$U$67=TRUE),--(calc!$W$3:$W$67&gt;W49))+(SUMPRODUCT(--(calc!$U$3:$U$67=TRUE),--(calc!$W$3:$W$67=W49))-1)/2,"")</f>
        <v/>
      </c>
      <c r="AB49" s="5">
        <f>IF(U49,SUMPRODUCT(--(calc!$U$3:$U$67=TRUE),--(ROW(calc!$U$3:$U$67)&gt;ROW(U49)),--(((calc!$Z$3:$Z$67&gt;Z49)*(calc!$AA$3:$AA$67&gt;AA49)+(calc!$Z$3:$Z$67&lt;Z49)*(calc!$AA$3:$AA$67&lt;AA49))&gt;0))-SUMPRODUCT(--(calc!$U$3:$U$67=TRUE),--(ROW(calc!$U$3:$U$67)&gt;ROW(U49)),--(((calc!$Z$3:$Z$67&gt;Z49)*(calc!$AA$3:$AA$67&lt;AA49)+(calc!$Z$3:$Z$67&lt;Z49)*(calc!$AA$3:$AA$67&gt;AA49))&gt;0)),0)</f>
        <v/>
      </c>
      <c r="AC49" s="5">
        <f>IF(mos_metrics!I48="","",mos_metrics!I48)</f>
        <v/>
      </c>
      <c r="AD49" s="2">
        <f>AND($J49,ISNUMBER(AC49),correlation!$I$28=1)</f>
        <v/>
      </c>
      <c r="AE49" s="5">
        <f>IF(AD49,$F49,"")</f>
        <v/>
      </c>
      <c r="AF49" s="5">
        <f>IF(AD49,AC49*correlation!$J$28,"")</f>
        <v/>
      </c>
      <c r="AG49" s="5">
        <f>IF(AND(AD49,ISNUMBER(correlation!$F$28)),AF49*correlation!$F$28+correlation!$G$28,"")</f>
        <v/>
      </c>
      <c r="AH49" s="5">
        <f>IF(AND(AD49,ISNUMBER(AG49)),(AE49-AG49)^2,"")</f>
        <v/>
      </c>
      <c r="AI49" s="5">
        <f>IF(AD49,1+SUMPRODUCT(--(calc!$AD$3:$AD$67=TRUE),--(calc!$AE$3:$AE$67&gt;AE49))+(SUMPRODUCT(--(calc!$AD$3:$AD$67=TRUE),--(calc!$AE$3:$AE$67=AE49))-1)/2,"")</f>
        <v/>
      </c>
      <c r="AJ49" s="5">
        <f>IF(AD49,1+SUMPRODUCT(--(calc!$AD$3:$AD$67=TRUE),--(calc!$AF$3:$AF$67&gt;AF49))+(SUMPRODUCT(--(calc!$AD$3:$AD$67=TRUE),--(calc!$AF$3:$AF$67=AF49))-1)/2,"")</f>
        <v/>
      </c>
      <c r="AK49" s="5">
        <f>IF(AD49,SUMPRODUCT(--(calc!$AD$3:$AD$67=TRUE),--(ROW(calc!$AD$3:$AD$67)&gt;ROW(AD49)),--(((calc!$AI$3:$AI$67&gt;AI49)*(calc!$AJ$3:$AJ$67&gt;AJ49)+(calc!$AI$3:$AI$67&lt;AI49)*(calc!$AJ$3:$AJ$67&lt;AJ49))&gt;0))-SUMPRODUCT(--(calc!$AD$3:$AD$67=TRUE),--(ROW(calc!$AD$3:$AD$67)&gt;ROW(AD49)),--(((calc!$AI$3:$AI$67&gt;AI49)*(calc!$AJ$3:$AJ$67&lt;AJ49)+(calc!$AI$3:$AI$67&lt;AI49)*(calc!$AJ$3:$AJ$67&gt;AJ49))&gt;0)),0)</f>
        <v/>
      </c>
      <c r="AL49" s="5">
        <f>IF(mos_metrics!J48="","",mos_metrics!J48)</f>
        <v/>
      </c>
      <c r="AM49" s="2">
        <f>AND($J49,ISNUMBER(AL49),correlation!$I$29=1)</f>
        <v/>
      </c>
      <c r="AN49" s="5">
        <f>IF(AM49,$F49,"")</f>
        <v/>
      </c>
      <c r="AO49" s="5">
        <f>IF(AM49,AL49*correlation!$J$29,"")</f>
        <v/>
      </c>
      <c r="AP49" s="5">
        <f>IF(AND(AM49,ISNUMBER(correlation!$F$29)),AO49*correlation!$F$29+correlation!$G$29,"")</f>
        <v/>
      </c>
      <c r="AQ49" s="5">
        <f>IF(AND(AM49,ISNUMBER(AP49)),(AN49-AP49)^2,"")</f>
        <v/>
      </c>
      <c r="AR49" s="5">
        <f>IF(AM49,1+SUMPRODUCT(--(calc!$AM$3:$AM$67=TRUE),--(calc!$AN$3:$AN$67&gt;AN49))+(SUMPRODUCT(--(calc!$AM$3:$AM$67=TRUE),--(calc!$AN$3:$AN$67=AN49))-1)/2,"")</f>
        <v/>
      </c>
      <c r="AS49" s="5">
        <f>IF(AM49,1+SUMPRODUCT(--(calc!$AM$3:$AM$67=TRUE),--(calc!$AO$3:$AO$67&gt;AO49))+(SUMPRODUCT(--(calc!$AM$3:$AM$67=TRUE),--(calc!$AO$3:$AO$67=AO49))-1)/2,"")</f>
        <v/>
      </c>
      <c r="AT49" s="5">
        <f>IF(AM49,SUMPRODUCT(--(calc!$AM$3:$AM$67=TRUE),--(ROW(calc!$AM$3:$AM$67)&gt;ROW(AM49)),--(((calc!$AR$3:$AR$67&gt;AR49)*(calc!$AS$3:$AS$67&gt;AS49)+(calc!$AR$3:$AR$67&lt;AR49)*(calc!$AS$3:$AS$67&lt;AS49))&gt;0))-SUMPRODUCT(--(calc!$AM$3:$AM$67=TRUE),--(ROW(calc!$AM$3:$AM$67)&gt;ROW(AM49)),--(((calc!$AR$3:$AR$67&gt;AR49)*(calc!$AS$3:$AS$67&lt;AS49)+(calc!$AR$3:$AR$67&lt;AR49)*(calc!$AS$3:$AS$67&gt;AS49))&gt;0)),0)</f>
        <v/>
      </c>
      <c r="AU49" s="5">
        <f>IF(mos_metrics!K48="","",mos_metrics!K48)</f>
        <v/>
      </c>
      <c r="AV49" s="2">
        <f>AND($J49,ISNUMBER(AU49),correlation!$I$30=1)</f>
        <v/>
      </c>
      <c r="AW49" s="5">
        <f>IF(AV49,$F49,"")</f>
        <v/>
      </c>
      <c r="AX49" s="5">
        <f>IF(AV49,AU49*correlation!$J$30,"")</f>
        <v/>
      </c>
      <c r="AY49" s="5">
        <f>IF(AND(AV49,ISNUMBER(correlation!$F$30)),AX49*correlation!$F$30+correlation!$G$30,"")</f>
        <v/>
      </c>
      <c r="AZ49" s="5">
        <f>IF(AND(AV49,ISNUMBER(AY49)),(AW49-AY49)^2,"")</f>
        <v/>
      </c>
      <c r="BA49" s="5">
        <f>IF(AV49,1+SUMPRODUCT(--(calc!$AV$3:$AV$67=TRUE),--(calc!$AW$3:$AW$67&gt;AW49))+(SUMPRODUCT(--(calc!$AV$3:$AV$67=TRUE),--(calc!$AW$3:$AW$67=AW49))-1)/2,"")</f>
        <v/>
      </c>
      <c r="BB49" s="5">
        <f>IF(AV49,1+SUMPRODUCT(--(calc!$AV$3:$AV$67=TRUE),--(calc!$AX$3:$AX$67&gt;AX49))+(SUMPRODUCT(--(calc!$AV$3:$AV$67=TRUE),--(calc!$AX$3:$AX$67=AX49))-1)/2,"")</f>
        <v/>
      </c>
      <c r="BC49" s="5">
        <f>IF(AV49,SUMPRODUCT(--(calc!$AV$3:$AV$67=TRUE),--(ROW(calc!$AV$3:$AV$67)&gt;ROW(AV49)),--(((calc!$BA$3:$BA$67&gt;BA49)*(calc!$BB$3:$BB$67&gt;BB49)+(calc!$BA$3:$BA$67&lt;BA49)*(calc!$BB$3:$BB$67&lt;BB49))&gt;0))-SUMPRODUCT(--(calc!$AV$3:$AV$67=TRUE),--(ROW(calc!$AV$3:$AV$67)&gt;ROW(AV49)),--(((calc!$BA$3:$BA$67&gt;BA49)*(calc!$BB$3:$BB$67&lt;BB49)+(calc!$BA$3:$BA$67&lt;BA49)*(calc!$BB$3:$BB$67&gt;BB49))&gt;0)),0)</f>
        <v/>
      </c>
      <c r="BD49" s="5">
        <f>IF(mos_metrics!L48="","",mos_metrics!L48)</f>
        <v/>
      </c>
      <c r="BE49" s="2">
        <f>AND($J49,ISNUMBER(BD49),correlation!$I$31=1)</f>
        <v/>
      </c>
      <c r="BF49" s="5">
        <f>IF(BE49,$F49,"")</f>
        <v/>
      </c>
      <c r="BG49" s="5">
        <f>IF(BE49,BD49*correlation!$J$31,"")</f>
        <v/>
      </c>
      <c r="BH49" s="5">
        <f>IF(AND(BE49,ISNUMBER(correlation!$F$31)),BG49*correlation!$F$31+correlation!$G$31,"")</f>
        <v/>
      </c>
      <c r="BI49" s="5">
        <f>IF(AND(BE49,ISNUMBER(BH49)),(BF49-BH49)^2,"")</f>
        <v/>
      </c>
      <c r="BJ49" s="5">
        <f>IF(BE49,1+SUMPRODUCT(--(calc!$BE$3:$BE$67=TRUE),--(calc!$BF$3:$BF$67&gt;BF49))+(SUMPRODUCT(--(calc!$BE$3:$BE$67=TRUE),--(calc!$BF$3:$BF$67=BF49))-1)/2,"")</f>
        <v/>
      </c>
      <c r="BK49" s="5">
        <f>IF(BE49,1+SUMPRODUCT(--(calc!$BE$3:$BE$67=TRUE),--(calc!$BG$3:$BG$67&gt;BG49))+(SUMPRODUCT(--(calc!$BE$3:$BE$67=TRUE),--(calc!$BG$3:$BG$67=BG49))-1)/2,"")</f>
        <v/>
      </c>
      <c r="BL49" s="5">
        <f>IF(BE49,SUMPRODUCT(--(calc!$BE$3:$BE$67=TRUE),--(ROW(calc!$BE$3:$BE$67)&gt;ROW(BE49)),--(((calc!$BJ$3:$BJ$67&gt;BJ49)*(calc!$BK$3:$BK$67&gt;BK49)+(calc!$BJ$3:$BJ$67&lt;BJ49)*(calc!$BK$3:$BK$67&lt;BK49))&gt;0))-SUMPRODUCT(--(calc!$BE$3:$BE$67=TRUE),--(ROW(calc!$BE$3:$BE$67)&gt;ROW(BE49)),--(((calc!$BJ$3:$BJ$67&gt;BJ49)*(calc!$BK$3:$BK$67&lt;BK49)+(calc!$BJ$3:$BJ$67&lt;BJ49)*(calc!$BK$3:$BK$67&gt;BK49))&gt;0)),0)</f>
        <v/>
      </c>
      <c r="BM49" s="5">
        <f>IF(mos_metrics!M48="","",mos_metrics!M48)</f>
        <v/>
      </c>
      <c r="BN49" s="2">
        <f>AND($J49,ISNUMBER(BM49),correlation!$I$32=1)</f>
        <v/>
      </c>
      <c r="BO49" s="5">
        <f>IF(BN49,$F49,"")</f>
        <v/>
      </c>
      <c r="BP49" s="5">
        <f>IF(BN49,BM49*correlation!$J$32,"")</f>
        <v/>
      </c>
      <c r="BQ49" s="5">
        <f>IF(AND(BN49,ISNUMBER(correlation!$F$32)),BP49*correlation!$F$32+correlation!$G$32,"")</f>
        <v/>
      </c>
      <c r="BR49" s="5">
        <f>IF(AND(BN49,ISNUMBER(BQ49)),(BO49-BQ49)^2,"")</f>
        <v/>
      </c>
      <c r="BS49" s="5">
        <f>IF(BN49,1+SUMPRODUCT(--(calc!$BN$3:$BN$67=TRUE),--(calc!$BO$3:$BO$67&gt;BO49))+(SUMPRODUCT(--(calc!$BN$3:$BN$67=TRUE),--(calc!$BO$3:$BO$67=BO49))-1)/2,"")</f>
        <v/>
      </c>
      <c r="BT49" s="5">
        <f>IF(BN49,1+SUMPRODUCT(--(calc!$BN$3:$BN$67=TRUE),--(calc!$BP$3:$BP$67&gt;BP49))+(SUMPRODUCT(--(calc!$BN$3:$BN$67=TRUE),--(calc!$BP$3:$BP$67=BP49))-1)/2,"")</f>
        <v/>
      </c>
      <c r="BU49" s="5">
        <f>IF(BN49,SUMPRODUCT(--(calc!$BN$3:$BN$67=TRUE),--(ROW(calc!$BN$3:$BN$67)&gt;ROW(BN49)),--(((calc!$BS$3:$BS$67&gt;BS49)*(calc!$BT$3:$BT$67&gt;BT49)+(calc!$BS$3:$BS$67&lt;BS49)*(calc!$BT$3:$BT$67&lt;BT49))&gt;0))-SUMPRODUCT(--(calc!$BN$3:$BN$67=TRUE),--(ROW(calc!$BN$3:$BN$67)&gt;ROW(BN49)),--(((calc!$BS$3:$BS$67&gt;BS49)*(calc!$BT$3:$BT$67&lt;BT49)+(calc!$BS$3:$BS$67&lt;BS49)*(calc!$BT$3:$BT$67&gt;BT49))&gt;0)),0)</f>
        <v/>
      </c>
    </row>
    <row r="50">
      <c r="A50" s="2">
        <f>mos_metrics!A49</f>
        <v/>
      </c>
      <c r="B50" s="2">
        <f>mos_metrics!B49</f>
        <v/>
      </c>
      <c r="C50" s="2">
        <f>mos_metrics!C49</f>
        <v/>
      </c>
      <c r="D50" s="2">
        <f>mos_metrics!D49</f>
        <v/>
      </c>
      <c r="E50" s="2">
        <f>mos_metrics!E49</f>
        <v/>
      </c>
      <c r="F50" s="2">
        <f>mos_metrics!F49</f>
        <v/>
      </c>
      <c r="G50" s="2">
        <f>IF($B50="","",IFERROR(VLOOKUP($B50,correlation!$A$2:$B$6,2,FALSE),1))</f>
        <v/>
      </c>
      <c r="H50" s="2">
        <f>IF($E50="","",IFERROR(VLOOKUP($E50,correlation!$D$2:$E$8,2,FALSE),1))</f>
        <v/>
      </c>
      <c r="I50" s="2">
        <f>ISNUMBER($F50)</f>
        <v/>
      </c>
      <c r="J50" s="2">
        <f>AND($G50=1,$H50=1,$I50)</f>
        <v/>
      </c>
      <c r="K50" s="5">
        <f>IF(mos_metrics!G49="","",mos_metrics!G49)</f>
        <v/>
      </c>
      <c r="L50" s="2">
        <f>AND($J50,ISNUMBER(K50),correlation!$I$26=1)</f>
        <v/>
      </c>
      <c r="M50" s="5">
        <f>IF(L50,$F50,"")</f>
        <v/>
      </c>
      <c r="N50" s="5">
        <f>IF(L50,K50*correlation!$J$26,"")</f>
        <v/>
      </c>
      <c r="O50" s="5">
        <f>IF(AND(L50,ISNUMBER(correlation!$F$26)),N50*correlation!$F$26+correlation!$G$26,"")</f>
        <v/>
      </c>
      <c r="P50" s="5">
        <f>IF(AND(L50,ISNUMBER(O50)),(M50-O50)^2,"")</f>
        <v/>
      </c>
      <c r="Q50" s="5">
        <f>IF(L50,1+SUMPRODUCT(--(calc!$L$3:$L$67=TRUE),--(calc!$M$3:$M$67&gt;M50))+(SUMPRODUCT(--(calc!$L$3:$L$67=TRUE),--(calc!$M$3:$M$67=M50))-1)/2,"")</f>
        <v/>
      </c>
      <c r="R50" s="5">
        <f>IF(L50,1+SUMPRODUCT(--(calc!$L$3:$L$67=TRUE),--(calc!$N$3:$N$67&gt;N50))+(SUMPRODUCT(--(calc!$L$3:$L$67=TRUE),--(calc!$N$3:$N$67=N50))-1)/2,"")</f>
        <v/>
      </c>
      <c r="S50" s="5">
        <f>IF(L50,SUMPRODUCT(--(calc!$L$3:$L$67=TRUE),--(ROW(calc!$L$3:$L$67)&gt;ROW(L50)),--(((calc!$Q$3:$Q$67&gt;Q50)*(calc!$R$3:$R$67&gt;R50)+(calc!$Q$3:$Q$67&lt;Q50)*(calc!$R$3:$R$67&lt;R50))&gt;0))-SUMPRODUCT(--(calc!$L$3:$L$67=TRUE),--(ROW(calc!$L$3:$L$67)&gt;ROW(L50)),--(((calc!$Q$3:$Q$67&gt;Q50)*(calc!$R$3:$R$67&lt;R50)+(calc!$Q$3:$Q$67&lt;Q50)*(calc!$R$3:$R$67&gt;R50))&gt;0)),0)</f>
        <v/>
      </c>
      <c r="T50" s="5">
        <f>IF(mos_metrics!H49="","",mos_metrics!H49)</f>
        <v/>
      </c>
      <c r="U50" s="2">
        <f>AND($J50,ISNUMBER(T50),correlation!$I$27=1)</f>
        <v/>
      </c>
      <c r="V50" s="5">
        <f>IF(U50,$F50,"")</f>
        <v/>
      </c>
      <c r="W50" s="5">
        <f>IF(U50,T50*correlation!$J$27,"")</f>
        <v/>
      </c>
      <c r="X50" s="5">
        <f>IF(AND(U50,ISNUMBER(correlation!$F$27)),W50*correlation!$F$27+correlation!$G$27,"")</f>
        <v/>
      </c>
      <c r="Y50" s="5">
        <f>IF(AND(U50,ISNUMBER(X50)),(V50-X50)^2,"")</f>
        <v/>
      </c>
      <c r="Z50" s="5">
        <f>IF(U50,1+SUMPRODUCT(--(calc!$U$3:$U$67=TRUE),--(calc!$V$3:$V$67&gt;V50))+(SUMPRODUCT(--(calc!$U$3:$U$67=TRUE),--(calc!$V$3:$V$67=V50))-1)/2,"")</f>
        <v/>
      </c>
      <c r="AA50" s="5">
        <f>IF(U50,1+SUMPRODUCT(--(calc!$U$3:$U$67=TRUE),--(calc!$W$3:$W$67&gt;W50))+(SUMPRODUCT(--(calc!$U$3:$U$67=TRUE),--(calc!$W$3:$W$67=W50))-1)/2,"")</f>
        <v/>
      </c>
      <c r="AB50" s="5">
        <f>IF(U50,SUMPRODUCT(--(calc!$U$3:$U$67=TRUE),--(ROW(calc!$U$3:$U$67)&gt;ROW(U50)),--(((calc!$Z$3:$Z$67&gt;Z50)*(calc!$AA$3:$AA$67&gt;AA50)+(calc!$Z$3:$Z$67&lt;Z50)*(calc!$AA$3:$AA$67&lt;AA50))&gt;0))-SUMPRODUCT(--(calc!$U$3:$U$67=TRUE),--(ROW(calc!$U$3:$U$67)&gt;ROW(U50)),--(((calc!$Z$3:$Z$67&gt;Z50)*(calc!$AA$3:$AA$67&lt;AA50)+(calc!$Z$3:$Z$67&lt;Z50)*(calc!$AA$3:$AA$67&gt;AA50))&gt;0)),0)</f>
        <v/>
      </c>
      <c r="AC50" s="5">
        <f>IF(mos_metrics!I49="","",mos_metrics!I49)</f>
        <v/>
      </c>
      <c r="AD50" s="2">
        <f>AND($J50,ISNUMBER(AC50),correlation!$I$28=1)</f>
        <v/>
      </c>
      <c r="AE50" s="5">
        <f>IF(AD50,$F50,"")</f>
        <v/>
      </c>
      <c r="AF50" s="5">
        <f>IF(AD50,AC50*correlation!$J$28,"")</f>
        <v/>
      </c>
      <c r="AG50" s="5">
        <f>IF(AND(AD50,ISNUMBER(correlation!$F$28)),AF50*correlation!$F$28+correlation!$G$28,"")</f>
        <v/>
      </c>
      <c r="AH50" s="5">
        <f>IF(AND(AD50,ISNUMBER(AG50)),(AE50-AG50)^2,"")</f>
        <v/>
      </c>
      <c r="AI50" s="5">
        <f>IF(AD50,1+SUMPRODUCT(--(calc!$AD$3:$AD$67=TRUE),--(calc!$AE$3:$AE$67&gt;AE50))+(SUMPRODUCT(--(calc!$AD$3:$AD$67=TRUE),--(calc!$AE$3:$AE$67=AE50))-1)/2,"")</f>
        <v/>
      </c>
      <c r="AJ50" s="5">
        <f>IF(AD50,1+SUMPRODUCT(--(calc!$AD$3:$AD$67=TRUE),--(calc!$AF$3:$AF$67&gt;AF50))+(SUMPRODUCT(--(calc!$AD$3:$AD$67=TRUE),--(calc!$AF$3:$AF$67=AF50))-1)/2,"")</f>
        <v/>
      </c>
      <c r="AK50" s="5">
        <f>IF(AD50,SUMPRODUCT(--(calc!$AD$3:$AD$67=TRUE),--(ROW(calc!$AD$3:$AD$67)&gt;ROW(AD50)),--(((calc!$AI$3:$AI$67&gt;AI50)*(calc!$AJ$3:$AJ$67&gt;AJ50)+(calc!$AI$3:$AI$67&lt;AI50)*(calc!$AJ$3:$AJ$67&lt;AJ50))&gt;0))-SUMPRODUCT(--(calc!$AD$3:$AD$67=TRUE),--(ROW(calc!$AD$3:$AD$67)&gt;ROW(AD50)),--(((calc!$AI$3:$AI$67&gt;AI50)*(calc!$AJ$3:$AJ$67&lt;AJ50)+(calc!$AI$3:$AI$67&lt;AI50)*(calc!$AJ$3:$AJ$67&gt;AJ50))&gt;0)),0)</f>
        <v/>
      </c>
      <c r="AL50" s="5">
        <f>IF(mos_metrics!J49="","",mos_metrics!J49)</f>
        <v/>
      </c>
      <c r="AM50" s="2">
        <f>AND($J50,ISNUMBER(AL50),correlation!$I$29=1)</f>
        <v/>
      </c>
      <c r="AN50" s="5">
        <f>IF(AM50,$F50,"")</f>
        <v/>
      </c>
      <c r="AO50" s="5">
        <f>IF(AM50,AL50*correlation!$J$29,"")</f>
        <v/>
      </c>
      <c r="AP50" s="5">
        <f>IF(AND(AM50,ISNUMBER(correlation!$F$29)),AO50*correlation!$F$29+correlation!$G$29,"")</f>
        <v/>
      </c>
      <c r="AQ50" s="5">
        <f>IF(AND(AM50,ISNUMBER(AP50)),(AN50-AP50)^2,"")</f>
        <v/>
      </c>
      <c r="AR50" s="5">
        <f>IF(AM50,1+SUMPRODUCT(--(calc!$AM$3:$AM$67=TRUE),--(calc!$AN$3:$AN$67&gt;AN50))+(SUMPRODUCT(--(calc!$AM$3:$AM$67=TRUE),--(calc!$AN$3:$AN$67=AN50))-1)/2,"")</f>
        <v/>
      </c>
      <c r="AS50" s="5">
        <f>IF(AM50,1+SUMPRODUCT(--(calc!$AM$3:$AM$67=TRUE),--(calc!$AO$3:$AO$67&gt;AO50))+(SUMPRODUCT(--(calc!$AM$3:$AM$67=TRUE),--(calc!$AO$3:$AO$67=AO50))-1)/2,"")</f>
        <v/>
      </c>
      <c r="AT50" s="5">
        <f>IF(AM50,SUMPRODUCT(--(calc!$AM$3:$AM$67=TRUE),--(ROW(calc!$AM$3:$AM$67)&gt;ROW(AM50)),--(((calc!$AR$3:$AR$67&gt;AR50)*(calc!$AS$3:$AS$67&gt;AS50)+(calc!$AR$3:$AR$67&lt;AR50)*(calc!$AS$3:$AS$67&lt;AS50))&gt;0))-SUMPRODUCT(--(calc!$AM$3:$AM$67=TRUE),--(ROW(calc!$AM$3:$AM$67)&gt;ROW(AM50)),--(((calc!$AR$3:$AR$67&gt;AR50)*(calc!$AS$3:$AS$67&lt;AS50)+(calc!$AR$3:$AR$67&lt;AR50)*(calc!$AS$3:$AS$67&gt;AS50))&gt;0)),0)</f>
        <v/>
      </c>
      <c r="AU50" s="5">
        <f>IF(mos_metrics!K49="","",mos_metrics!K49)</f>
        <v/>
      </c>
      <c r="AV50" s="2">
        <f>AND($J50,ISNUMBER(AU50),correlation!$I$30=1)</f>
        <v/>
      </c>
      <c r="AW50" s="5">
        <f>IF(AV50,$F50,"")</f>
        <v/>
      </c>
      <c r="AX50" s="5">
        <f>IF(AV50,AU50*correlation!$J$30,"")</f>
        <v/>
      </c>
      <c r="AY50" s="5">
        <f>IF(AND(AV50,ISNUMBER(correlation!$F$30)),AX50*correlation!$F$30+correlation!$G$30,"")</f>
        <v/>
      </c>
      <c r="AZ50" s="5">
        <f>IF(AND(AV50,ISNUMBER(AY50)),(AW50-AY50)^2,"")</f>
        <v/>
      </c>
      <c r="BA50" s="5">
        <f>IF(AV50,1+SUMPRODUCT(--(calc!$AV$3:$AV$67=TRUE),--(calc!$AW$3:$AW$67&gt;AW50))+(SUMPRODUCT(--(calc!$AV$3:$AV$67=TRUE),--(calc!$AW$3:$AW$67=AW50))-1)/2,"")</f>
        <v/>
      </c>
      <c r="BB50" s="5">
        <f>IF(AV50,1+SUMPRODUCT(--(calc!$AV$3:$AV$67=TRUE),--(calc!$AX$3:$AX$67&gt;AX50))+(SUMPRODUCT(--(calc!$AV$3:$AV$67=TRUE),--(calc!$AX$3:$AX$67=AX50))-1)/2,"")</f>
        <v/>
      </c>
      <c r="BC50" s="5">
        <f>IF(AV50,SUMPRODUCT(--(calc!$AV$3:$AV$67=TRUE),--(ROW(calc!$AV$3:$AV$67)&gt;ROW(AV50)),--(((calc!$BA$3:$BA$67&gt;BA50)*(calc!$BB$3:$BB$67&gt;BB50)+(calc!$BA$3:$BA$67&lt;BA50)*(calc!$BB$3:$BB$67&lt;BB50))&gt;0))-SUMPRODUCT(--(calc!$AV$3:$AV$67=TRUE),--(ROW(calc!$AV$3:$AV$67)&gt;ROW(AV50)),--(((calc!$BA$3:$BA$67&gt;BA50)*(calc!$BB$3:$BB$67&lt;BB50)+(calc!$BA$3:$BA$67&lt;BA50)*(calc!$BB$3:$BB$67&gt;BB50))&gt;0)),0)</f>
        <v/>
      </c>
      <c r="BD50" s="5">
        <f>IF(mos_metrics!L49="","",mos_metrics!L49)</f>
        <v/>
      </c>
      <c r="BE50" s="2">
        <f>AND($J50,ISNUMBER(BD50),correlation!$I$31=1)</f>
        <v/>
      </c>
      <c r="BF50" s="5">
        <f>IF(BE50,$F50,"")</f>
        <v/>
      </c>
      <c r="BG50" s="5">
        <f>IF(BE50,BD50*correlation!$J$31,"")</f>
        <v/>
      </c>
      <c r="BH50" s="5">
        <f>IF(AND(BE50,ISNUMBER(correlation!$F$31)),BG50*correlation!$F$31+correlation!$G$31,"")</f>
        <v/>
      </c>
      <c r="BI50" s="5">
        <f>IF(AND(BE50,ISNUMBER(BH50)),(BF50-BH50)^2,"")</f>
        <v/>
      </c>
      <c r="BJ50" s="5">
        <f>IF(BE50,1+SUMPRODUCT(--(calc!$BE$3:$BE$67=TRUE),--(calc!$BF$3:$BF$67&gt;BF50))+(SUMPRODUCT(--(calc!$BE$3:$BE$67=TRUE),--(calc!$BF$3:$BF$67=BF50))-1)/2,"")</f>
        <v/>
      </c>
      <c r="BK50" s="5">
        <f>IF(BE50,1+SUMPRODUCT(--(calc!$BE$3:$BE$67=TRUE),--(calc!$BG$3:$BG$67&gt;BG50))+(SUMPRODUCT(--(calc!$BE$3:$BE$67=TRUE),--(calc!$BG$3:$BG$67=BG50))-1)/2,"")</f>
        <v/>
      </c>
      <c r="BL50" s="5">
        <f>IF(BE50,SUMPRODUCT(--(calc!$BE$3:$BE$67=TRUE),--(ROW(calc!$BE$3:$BE$67)&gt;ROW(BE50)),--(((calc!$BJ$3:$BJ$67&gt;BJ50)*(calc!$BK$3:$BK$67&gt;BK50)+(calc!$BJ$3:$BJ$67&lt;BJ50)*(calc!$BK$3:$BK$67&lt;BK50))&gt;0))-SUMPRODUCT(--(calc!$BE$3:$BE$67=TRUE),--(ROW(calc!$BE$3:$BE$67)&gt;ROW(BE50)),--(((calc!$BJ$3:$BJ$67&gt;BJ50)*(calc!$BK$3:$BK$67&lt;BK50)+(calc!$BJ$3:$BJ$67&lt;BJ50)*(calc!$BK$3:$BK$67&gt;BK50))&gt;0)),0)</f>
        <v/>
      </c>
      <c r="BM50" s="5">
        <f>IF(mos_metrics!M49="","",mos_metrics!M49)</f>
        <v/>
      </c>
      <c r="BN50" s="2">
        <f>AND($J50,ISNUMBER(BM50),correlation!$I$32=1)</f>
        <v/>
      </c>
      <c r="BO50" s="5">
        <f>IF(BN50,$F50,"")</f>
        <v/>
      </c>
      <c r="BP50" s="5">
        <f>IF(BN50,BM50*correlation!$J$32,"")</f>
        <v/>
      </c>
      <c r="BQ50" s="5">
        <f>IF(AND(BN50,ISNUMBER(correlation!$F$32)),BP50*correlation!$F$32+correlation!$G$32,"")</f>
        <v/>
      </c>
      <c r="BR50" s="5">
        <f>IF(AND(BN50,ISNUMBER(BQ50)),(BO50-BQ50)^2,"")</f>
        <v/>
      </c>
      <c r="BS50" s="5">
        <f>IF(BN50,1+SUMPRODUCT(--(calc!$BN$3:$BN$67=TRUE),--(calc!$BO$3:$BO$67&gt;BO50))+(SUMPRODUCT(--(calc!$BN$3:$BN$67=TRUE),--(calc!$BO$3:$BO$67=BO50))-1)/2,"")</f>
        <v/>
      </c>
      <c r="BT50" s="5">
        <f>IF(BN50,1+SUMPRODUCT(--(calc!$BN$3:$BN$67=TRUE),--(calc!$BP$3:$BP$67&gt;BP50))+(SUMPRODUCT(--(calc!$BN$3:$BN$67=TRUE),--(calc!$BP$3:$BP$67=BP50))-1)/2,"")</f>
        <v/>
      </c>
      <c r="BU50" s="5">
        <f>IF(BN50,SUMPRODUCT(--(calc!$BN$3:$BN$67=TRUE),--(ROW(calc!$BN$3:$BN$67)&gt;ROW(BN50)),--(((calc!$BS$3:$BS$67&gt;BS50)*(calc!$BT$3:$BT$67&gt;BT50)+(calc!$BS$3:$BS$67&lt;BS50)*(calc!$BT$3:$BT$67&lt;BT50))&gt;0))-SUMPRODUCT(--(calc!$BN$3:$BN$67=TRUE),--(ROW(calc!$BN$3:$BN$67)&gt;ROW(BN50)),--(((calc!$BS$3:$BS$67&gt;BS50)*(calc!$BT$3:$BT$67&lt;BT50)+(calc!$BS$3:$BS$67&lt;BS50)*(calc!$BT$3:$BT$67&gt;BT50))&gt;0)),0)</f>
        <v/>
      </c>
    </row>
    <row r="51">
      <c r="A51" s="2">
        <f>mos_metrics!A50</f>
        <v/>
      </c>
      <c r="B51" s="2">
        <f>mos_metrics!B50</f>
        <v/>
      </c>
      <c r="C51" s="2">
        <f>mos_metrics!C50</f>
        <v/>
      </c>
      <c r="D51" s="2">
        <f>mos_metrics!D50</f>
        <v/>
      </c>
      <c r="E51" s="2">
        <f>mos_metrics!E50</f>
        <v/>
      </c>
      <c r="F51" s="2">
        <f>mos_metrics!F50</f>
        <v/>
      </c>
      <c r="G51" s="2">
        <f>IF($B51="","",IFERROR(VLOOKUP($B51,correlation!$A$2:$B$6,2,FALSE),1))</f>
        <v/>
      </c>
      <c r="H51" s="2">
        <f>IF($E51="","",IFERROR(VLOOKUP($E51,correlation!$D$2:$E$8,2,FALSE),1))</f>
        <v/>
      </c>
      <c r="I51" s="2">
        <f>ISNUMBER($F51)</f>
        <v/>
      </c>
      <c r="J51" s="2">
        <f>AND($G51=1,$H51=1,$I51)</f>
        <v/>
      </c>
      <c r="K51" s="5">
        <f>IF(mos_metrics!G50="","",mos_metrics!G50)</f>
        <v/>
      </c>
      <c r="L51" s="2">
        <f>AND($J51,ISNUMBER(K51),correlation!$I$26=1)</f>
        <v/>
      </c>
      <c r="M51" s="5">
        <f>IF(L51,$F51,"")</f>
        <v/>
      </c>
      <c r="N51" s="5">
        <f>IF(L51,K51*correlation!$J$26,"")</f>
        <v/>
      </c>
      <c r="O51" s="5">
        <f>IF(AND(L51,ISNUMBER(correlation!$F$26)),N51*correlation!$F$26+correlation!$G$26,"")</f>
        <v/>
      </c>
      <c r="P51" s="5">
        <f>IF(AND(L51,ISNUMBER(O51)),(M51-O51)^2,"")</f>
        <v/>
      </c>
      <c r="Q51" s="5">
        <f>IF(L51,1+SUMPRODUCT(--(calc!$L$3:$L$67=TRUE),--(calc!$M$3:$M$67&gt;M51))+(SUMPRODUCT(--(calc!$L$3:$L$67=TRUE),--(calc!$M$3:$M$67=M51))-1)/2,"")</f>
        <v/>
      </c>
      <c r="R51" s="5">
        <f>IF(L51,1+SUMPRODUCT(--(calc!$L$3:$L$67=TRUE),--(calc!$N$3:$N$67&gt;N51))+(SUMPRODUCT(--(calc!$L$3:$L$67=TRUE),--(calc!$N$3:$N$67=N51))-1)/2,"")</f>
        <v/>
      </c>
      <c r="S51" s="5">
        <f>IF(L51,SUMPRODUCT(--(calc!$L$3:$L$67=TRUE),--(ROW(calc!$L$3:$L$67)&gt;ROW(L51)),--(((calc!$Q$3:$Q$67&gt;Q51)*(calc!$R$3:$R$67&gt;R51)+(calc!$Q$3:$Q$67&lt;Q51)*(calc!$R$3:$R$67&lt;R51))&gt;0))-SUMPRODUCT(--(calc!$L$3:$L$67=TRUE),--(ROW(calc!$L$3:$L$67)&gt;ROW(L51)),--(((calc!$Q$3:$Q$67&gt;Q51)*(calc!$R$3:$R$67&lt;R51)+(calc!$Q$3:$Q$67&lt;Q51)*(calc!$R$3:$R$67&gt;R51))&gt;0)),0)</f>
        <v/>
      </c>
      <c r="T51" s="5">
        <f>IF(mos_metrics!H50="","",mos_metrics!H50)</f>
        <v/>
      </c>
      <c r="U51" s="2">
        <f>AND($J51,ISNUMBER(T51),correlation!$I$27=1)</f>
        <v/>
      </c>
      <c r="V51" s="5">
        <f>IF(U51,$F51,"")</f>
        <v/>
      </c>
      <c r="W51" s="5">
        <f>IF(U51,T51*correlation!$J$27,"")</f>
        <v/>
      </c>
      <c r="X51" s="5">
        <f>IF(AND(U51,ISNUMBER(correlation!$F$27)),W51*correlation!$F$27+correlation!$G$27,"")</f>
        <v/>
      </c>
      <c r="Y51" s="5">
        <f>IF(AND(U51,ISNUMBER(X51)),(V51-X51)^2,"")</f>
        <v/>
      </c>
      <c r="Z51" s="5">
        <f>IF(U51,1+SUMPRODUCT(--(calc!$U$3:$U$67=TRUE),--(calc!$V$3:$V$67&gt;V51))+(SUMPRODUCT(--(calc!$U$3:$U$67=TRUE),--(calc!$V$3:$V$67=V51))-1)/2,"")</f>
        <v/>
      </c>
      <c r="AA51" s="5">
        <f>IF(U51,1+SUMPRODUCT(--(calc!$U$3:$U$67=TRUE),--(calc!$W$3:$W$67&gt;W51))+(SUMPRODUCT(--(calc!$U$3:$U$67=TRUE),--(calc!$W$3:$W$67=W51))-1)/2,"")</f>
        <v/>
      </c>
      <c r="AB51" s="5">
        <f>IF(U51,SUMPRODUCT(--(calc!$U$3:$U$67=TRUE),--(ROW(calc!$U$3:$U$67)&gt;ROW(U51)),--(((calc!$Z$3:$Z$67&gt;Z51)*(calc!$AA$3:$AA$67&gt;AA51)+(calc!$Z$3:$Z$67&lt;Z51)*(calc!$AA$3:$AA$67&lt;AA51))&gt;0))-SUMPRODUCT(--(calc!$U$3:$U$67=TRUE),--(ROW(calc!$U$3:$U$67)&gt;ROW(U51)),--(((calc!$Z$3:$Z$67&gt;Z51)*(calc!$AA$3:$AA$67&lt;AA51)+(calc!$Z$3:$Z$67&lt;Z51)*(calc!$AA$3:$AA$67&gt;AA51))&gt;0)),0)</f>
        <v/>
      </c>
      <c r="AC51" s="5">
        <f>IF(mos_metrics!I50="","",mos_metrics!I50)</f>
        <v/>
      </c>
      <c r="AD51" s="2">
        <f>AND($J51,ISNUMBER(AC51),correlation!$I$28=1)</f>
        <v/>
      </c>
      <c r="AE51" s="5">
        <f>IF(AD51,$F51,"")</f>
        <v/>
      </c>
      <c r="AF51" s="5">
        <f>IF(AD51,AC51*correlation!$J$28,"")</f>
        <v/>
      </c>
      <c r="AG51" s="5">
        <f>IF(AND(AD51,ISNUMBER(correlation!$F$28)),AF51*correlation!$F$28+correlation!$G$28,"")</f>
        <v/>
      </c>
      <c r="AH51" s="5">
        <f>IF(AND(AD51,ISNUMBER(AG51)),(AE51-AG51)^2,"")</f>
        <v/>
      </c>
      <c r="AI51" s="5">
        <f>IF(AD51,1+SUMPRODUCT(--(calc!$AD$3:$AD$67=TRUE),--(calc!$AE$3:$AE$67&gt;AE51))+(SUMPRODUCT(--(calc!$AD$3:$AD$67=TRUE),--(calc!$AE$3:$AE$67=AE51))-1)/2,"")</f>
        <v/>
      </c>
      <c r="AJ51" s="5">
        <f>IF(AD51,1+SUMPRODUCT(--(calc!$AD$3:$AD$67=TRUE),--(calc!$AF$3:$AF$67&gt;AF51))+(SUMPRODUCT(--(calc!$AD$3:$AD$67=TRUE),--(calc!$AF$3:$AF$67=AF51))-1)/2,"")</f>
        <v/>
      </c>
      <c r="AK51" s="5">
        <f>IF(AD51,SUMPRODUCT(--(calc!$AD$3:$AD$67=TRUE),--(ROW(calc!$AD$3:$AD$67)&gt;ROW(AD51)),--(((calc!$AI$3:$AI$67&gt;AI51)*(calc!$AJ$3:$AJ$67&gt;AJ51)+(calc!$AI$3:$AI$67&lt;AI51)*(calc!$AJ$3:$AJ$67&lt;AJ51))&gt;0))-SUMPRODUCT(--(calc!$AD$3:$AD$67=TRUE),--(ROW(calc!$AD$3:$AD$67)&gt;ROW(AD51)),--(((calc!$AI$3:$AI$67&gt;AI51)*(calc!$AJ$3:$AJ$67&lt;AJ51)+(calc!$AI$3:$AI$67&lt;AI51)*(calc!$AJ$3:$AJ$67&gt;AJ51))&gt;0)),0)</f>
        <v/>
      </c>
      <c r="AL51" s="5">
        <f>IF(mos_metrics!J50="","",mos_metrics!J50)</f>
        <v/>
      </c>
      <c r="AM51" s="2">
        <f>AND($J51,ISNUMBER(AL51),correlation!$I$29=1)</f>
        <v/>
      </c>
      <c r="AN51" s="5">
        <f>IF(AM51,$F51,"")</f>
        <v/>
      </c>
      <c r="AO51" s="5">
        <f>IF(AM51,AL51*correlation!$J$29,"")</f>
        <v/>
      </c>
      <c r="AP51" s="5">
        <f>IF(AND(AM51,ISNUMBER(correlation!$F$29)),AO51*correlation!$F$29+correlation!$G$29,"")</f>
        <v/>
      </c>
      <c r="AQ51" s="5">
        <f>IF(AND(AM51,ISNUMBER(AP51)),(AN51-AP51)^2,"")</f>
        <v/>
      </c>
      <c r="AR51" s="5">
        <f>IF(AM51,1+SUMPRODUCT(--(calc!$AM$3:$AM$67=TRUE),--(calc!$AN$3:$AN$67&gt;AN51))+(SUMPRODUCT(--(calc!$AM$3:$AM$67=TRUE),--(calc!$AN$3:$AN$67=AN51))-1)/2,"")</f>
        <v/>
      </c>
      <c r="AS51" s="5">
        <f>IF(AM51,1+SUMPRODUCT(--(calc!$AM$3:$AM$67=TRUE),--(calc!$AO$3:$AO$67&gt;AO51))+(SUMPRODUCT(--(calc!$AM$3:$AM$67=TRUE),--(calc!$AO$3:$AO$67=AO51))-1)/2,"")</f>
        <v/>
      </c>
      <c r="AT51" s="5">
        <f>IF(AM51,SUMPRODUCT(--(calc!$AM$3:$AM$67=TRUE),--(ROW(calc!$AM$3:$AM$67)&gt;ROW(AM51)),--(((calc!$AR$3:$AR$67&gt;AR51)*(calc!$AS$3:$AS$67&gt;AS51)+(calc!$AR$3:$AR$67&lt;AR51)*(calc!$AS$3:$AS$67&lt;AS51))&gt;0))-SUMPRODUCT(--(calc!$AM$3:$AM$67=TRUE),--(ROW(calc!$AM$3:$AM$67)&gt;ROW(AM51)),--(((calc!$AR$3:$AR$67&gt;AR51)*(calc!$AS$3:$AS$67&lt;AS51)+(calc!$AR$3:$AR$67&lt;AR51)*(calc!$AS$3:$AS$67&gt;AS51))&gt;0)),0)</f>
        <v/>
      </c>
      <c r="AU51" s="5">
        <f>IF(mos_metrics!K50="","",mos_metrics!K50)</f>
        <v/>
      </c>
      <c r="AV51" s="2">
        <f>AND($J51,ISNUMBER(AU51),correlation!$I$30=1)</f>
        <v/>
      </c>
      <c r="AW51" s="5">
        <f>IF(AV51,$F51,"")</f>
        <v/>
      </c>
      <c r="AX51" s="5">
        <f>IF(AV51,AU51*correlation!$J$30,"")</f>
        <v/>
      </c>
      <c r="AY51" s="5">
        <f>IF(AND(AV51,ISNUMBER(correlation!$F$30)),AX51*correlation!$F$30+correlation!$G$30,"")</f>
        <v/>
      </c>
      <c r="AZ51" s="5">
        <f>IF(AND(AV51,ISNUMBER(AY51)),(AW51-AY51)^2,"")</f>
        <v/>
      </c>
      <c r="BA51" s="5">
        <f>IF(AV51,1+SUMPRODUCT(--(calc!$AV$3:$AV$67=TRUE),--(calc!$AW$3:$AW$67&gt;AW51))+(SUMPRODUCT(--(calc!$AV$3:$AV$67=TRUE),--(calc!$AW$3:$AW$67=AW51))-1)/2,"")</f>
        <v/>
      </c>
      <c r="BB51" s="5">
        <f>IF(AV51,1+SUMPRODUCT(--(calc!$AV$3:$AV$67=TRUE),--(calc!$AX$3:$AX$67&gt;AX51))+(SUMPRODUCT(--(calc!$AV$3:$AV$67=TRUE),--(calc!$AX$3:$AX$67=AX51))-1)/2,"")</f>
        <v/>
      </c>
      <c r="BC51" s="5">
        <f>IF(AV51,SUMPRODUCT(--(calc!$AV$3:$AV$67=TRUE),--(ROW(calc!$AV$3:$AV$67)&gt;ROW(AV51)),--(((calc!$BA$3:$BA$67&gt;BA51)*(calc!$BB$3:$BB$67&gt;BB51)+(calc!$BA$3:$BA$67&lt;BA51)*(calc!$BB$3:$BB$67&lt;BB51))&gt;0))-SUMPRODUCT(--(calc!$AV$3:$AV$67=TRUE),--(ROW(calc!$AV$3:$AV$67)&gt;ROW(AV51)),--(((calc!$BA$3:$BA$67&gt;BA51)*(calc!$BB$3:$BB$67&lt;BB51)+(calc!$BA$3:$BA$67&lt;BA51)*(calc!$BB$3:$BB$67&gt;BB51))&gt;0)),0)</f>
        <v/>
      </c>
      <c r="BD51" s="5">
        <f>IF(mos_metrics!L50="","",mos_metrics!L50)</f>
        <v/>
      </c>
      <c r="BE51" s="2">
        <f>AND($J51,ISNUMBER(BD51),correlation!$I$31=1)</f>
        <v/>
      </c>
      <c r="BF51" s="5">
        <f>IF(BE51,$F51,"")</f>
        <v/>
      </c>
      <c r="BG51" s="5">
        <f>IF(BE51,BD51*correlation!$J$31,"")</f>
        <v/>
      </c>
      <c r="BH51" s="5">
        <f>IF(AND(BE51,ISNUMBER(correlation!$F$31)),BG51*correlation!$F$31+correlation!$G$31,"")</f>
        <v/>
      </c>
      <c r="BI51" s="5">
        <f>IF(AND(BE51,ISNUMBER(BH51)),(BF51-BH51)^2,"")</f>
        <v/>
      </c>
      <c r="BJ51" s="5">
        <f>IF(BE51,1+SUMPRODUCT(--(calc!$BE$3:$BE$67=TRUE),--(calc!$BF$3:$BF$67&gt;BF51))+(SUMPRODUCT(--(calc!$BE$3:$BE$67=TRUE),--(calc!$BF$3:$BF$67=BF51))-1)/2,"")</f>
        <v/>
      </c>
      <c r="BK51" s="5">
        <f>IF(BE51,1+SUMPRODUCT(--(calc!$BE$3:$BE$67=TRUE),--(calc!$BG$3:$BG$67&gt;BG51))+(SUMPRODUCT(--(calc!$BE$3:$BE$67=TRUE),--(calc!$BG$3:$BG$67=BG51))-1)/2,"")</f>
        <v/>
      </c>
      <c r="BL51" s="5">
        <f>IF(BE51,SUMPRODUCT(--(calc!$BE$3:$BE$67=TRUE),--(ROW(calc!$BE$3:$BE$67)&gt;ROW(BE51)),--(((calc!$BJ$3:$BJ$67&gt;BJ51)*(calc!$BK$3:$BK$67&gt;BK51)+(calc!$BJ$3:$BJ$67&lt;BJ51)*(calc!$BK$3:$BK$67&lt;BK51))&gt;0))-SUMPRODUCT(--(calc!$BE$3:$BE$67=TRUE),--(ROW(calc!$BE$3:$BE$67)&gt;ROW(BE51)),--(((calc!$BJ$3:$BJ$67&gt;BJ51)*(calc!$BK$3:$BK$67&lt;BK51)+(calc!$BJ$3:$BJ$67&lt;BJ51)*(calc!$BK$3:$BK$67&gt;BK51))&gt;0)),0)</f>
        <v/>
      </c>
      <c r="BM51" s="5">
        <f>IF(mos_metrics!M50="","",mos_metrics!M50)</f>
        <v/>
      </c>
      <c r="BN51" s="2">
        <f>AND($J51,ISNUMBER(BM51),correlation!$I$32=1)</f>
        <v/>
      </c>
      <c r="BO51" s="5">
        <f>IF(BN51,$F51,"")</f>
        <v/>
      </c>
      <c r="BP51" s="5">
        <f>IF(BN51,BM51*correlation!$J$32,"")</f>
        <v/>
      </c>
      <c r="BQ51" s="5">
        <f>IF(AND(BN51,ISNUMBER(correlation!$F$32)),BP51*correlation!$F$32+correlation!$G$32,"")</f>
        <v/>
      </c>
      <c r="BR51" s="5">
        <f>IF(AND(BN51,ISNUMBER(BQ51)),(BO51-BQ51)^2,"")</f>
        <v/>
      </c>
      <c r="BS51" s="5">
        <f>IF(BN51,1+SUMPRODUCT(--(calc!$BN$3:$BN$67=TRUE),--(calc!$BO$3:$BO$67&gt;BO51))+(SUMPRODUCT(--(calc!$BN$3:$BN$67=TRUE),--(calc!$BO$3:$BO$67=BO51))-1)/2,"")</f>
        <v/>
      </c>
      <c r="BT51" s="5">
        <f>IF(BN51,1+SUMPRODUCT(--(calc!$BN$3:$BN$67=TRUE),--(calc!$BP$3:$BP$67&gt;BP51))+(SUMPRODUCT(--(calc!$BN$3:$BN$67=TRUE),--(calc!$BP$3:$BP$67=BP51))-1)/2,"")</f>
        <v/>
      </c>
      <c r="BU51" s="5">
        <f>IF(BN51,SUMPRODUCT(--(calc!$BN$3:$BN$67=TRUE),--(ROW(calc!$BN$3:$BN$67)&gt;ROW(BN51)),--(((calc!$BS$3:$BS$67&gt;BS51)*(calc!$BT$3:$BT$67&gt;BT51)+(calc!$BS$3:$BS$67&lt;BS51)*(calc!$BT$3:$BT$67&lt;BT51))&gt;0))-SUMPRODUCT(--(calc!$BN$3:$BN$67=TRUE),--(ROW(calc!$BN$3:$BN$67)&gt;ROW(BN51)),--(((calc!$BS$3:$BS$67&gt;BS51)*(calc!$BT$3:$BT$67&lt;BT51)+(calc!$BS$3:$BS$67&lt;BS51)*(calc!$BT$3:$BT$67&gt;BT51))&gt;0)),0)</f>
        <v/>
      </c>
    </row>
    <row r="52">
      <c r="A52" s="2">
        <f>mos_metrics!A51</f>
        <v/>
      </c>
      <c r="B52" s="2">
        <f>mos_metrics!B51</f>
        <v/>
      </c>
      <c r="C52" s="2">
        <f>mos_metrics!C51</f>
        <v/>
      </c>
      <c r="D52" s="2">
        <f>mos_metrics!D51</f>
        <v/>
      </c>
      <c r="E52" s="2">
        <f>mos_metrics!E51</f>
        <v/>
      </c>
      <c r="F52" s="2">
        <f>mos_metrics!F51</f>
        <v/>
      </c>
      <c r="G52" s="2">
        <f>IF($B52="","",IFERROR(VLOOKUP($B52,correlation!$A$2:$B$6,2,FALSE),1))</f>
        <v/>
      </c>
      <c r="H52" s="2">
        <f>IF($E52="","",IFERROR(VLOOKUP($E52,correlation!$D$2:$E$8,2,FALSE),1))</f>
        <v/>
      </c>
      <c r="I52" s="2">
        <f>ISNUMBER($F52)</f>
        <v/>
      </c>
      <c r="J52" s="2">
        <f>AND($G52=1,$H52=1,$I52)</f>
        <v/>
      </c>
      <c r="K52" s="5">
        <f>IF(mos_metrics!G51="","",mos_metrics!G51)</f>
        <v/>
      </c>
      <c r="L52" s="2">
        <f>AND($J52,ISNUMBER(K52),correlation!$I$26=1)</f>
        <v/>
      </c>
      <c r="M52" s="5">
        <f>IF(L52,$F52,"")</f>
        <v/>
      </c>
      <c r="N52" s="5">
        <f>IF(L52,K52*correlation!$J$26,"")</f>
        <v/>
      </c>
      <c r="O52" s="5">
        <f>IF(AND(L52,ISNUMBER(correlation!$F$26)),N52*correlation!$F$26+correlation!$G$26,"")</f>
        <v/>
      </c>
      <c r="P52" s="5">
        <f>IF(AND(L52,ISNUMBER(O52)),(M52-O52)^2,"")</f>
        <v/>
      </c>
      <c r="Q52" s="5">
        <f>IF(L52,1+SUMPRODUCT(--(calc!$L$3:$L$67=TRUE),--(calc!$M$3:$M$67&gt;M52))+(SUMPRODUCT(--(calc!$L$3:$L$67=TRUE),--(calc!$M$3:$M$67=M52))-1)/2,"")</f>
        <v/>
      </c>
      <c r="R52" s="5">
        <f>IF(L52,1+SUMPRODUCT(--(calc!$L$3:$L$67=TRUE),--(calc!$N$3:$N$67&gt;N52))+(SUMPRODUCT(--(calc!$L$3:$L$67=TRUE),--(calc!$N$3:$N$67=N52))-1)/2,"")</f>
        <v/>
      </c>
      <c r="S52" s="5">
        <f>IF(L52,SUMPRODUCT(--(calc!$L$3:$L$67=TRUE),--(ROW(calc!$L$3:$L$67)&gt;ROW(L52)),--(((calc!$Q$3:$Q$67&gt;Q52)*(calc!$R$3:$R$67&gt;R52)+(calc!$Q$3:$Q$67&lt;Q52)*(calc!$R$3:$R$67&lt;R52))&gt;0))-SUMPRODUCT(--(calc!$L$3:$L$67=TRUE),--(ROW(calc!$L$3:$L$67)&gt;ROW(L52)),--(((calc!$Q$3:$Q$67&gt;Q52)*(calc!$R$3:$R$67&lt;R52)+(calc!$Q$3:$Q$67&lt;Q52)*(calc!$R$3:$R$67&gt;R52))&gt;0)),0)</f>
        <v/>
      </c>
      <c r="T52" s="5">
        <f>IF(mos_metrics!H51="","",mos_metrics!H51)</f>
        <v/>
      </c>
      <c r="U52" s="2">
        <f>AND($J52,ISNUMBER(T52),correlation!$I$27=1)</f>
        <v/>
      </c>
      <c r="V52" s="5">
        <f>IF(U52,$F52,"")</f>
        <v/>
      </c>
      <c r="W52" s="5">
        <f>IF(U52,T52*correlation!$J$27,"")</f>
        <v/>
      </c>
      <c r="X52" s="5">
        <f>IF(AND(U52,ISNUMBER(correlation!$F$27)),W52*correlation!$F$27+correlation!$G$27,"")</f>
        <v/>
      </c>
      <c r="Y52" s="5">
        <f>IF(AND(U52,ISNUMBER(X52)),(V52-X52)^2,"")</f>
        <v/>
      </c>
      <c r="Z52" s="5">
        <f>IF(U52,1+SUMPRODUCT(--(calc!$U$3:$U$67=TRUE),--(calc!$V$3:$V$67&gt;V52))+(SUMPRODUCT(--(calc!$U$3:$U$67=TRUE),--(calc!$V$3:$V$67=V52))-1)/2,"")</f>
        <v/>
      </c>
      <c r="AA52" s="5">
        <f>IF(U52,1+SUMPRODUCT(--(calc!$U$3:$U$67=TRUE),--(calc!$W$3:$W$67&gt;W52))+(SUMPRODUCT(--(calc!$U$3:$U$67=TRUE),--(calc!$W$3:$W$67=W52))-1)/2,"")</f>
        <v/>
      </c>
      <c r="AB52" s="5">
        <f>IF(U52,SUMPRODUCT(--(calc!$U$3:$U$67=TRUE),--(ROW(calc!$U$3:$U$67)&gt;ROW(U52)),--(((calc!$Z$3:$Z$67&gt;Z52)*(calc!$AA$3:$AA$67&gt;AA52)+(calc!$Z$3:$Z$67&lt;Z52)*(calc!$AA$3:$AA$67&lt;AA52))&gt;0))-SUMPRODUCT(--(calc!$U$3:$U$67=TRUE),--(ROW(calc!$U$3:$U$67)&gt;ROW(U52)),--(((calc!$Z$3:$Z$67&gt;Z52)*(calc!$AA$3:$AA$67&lt;AA52)+(calc!$Z$3:$Z$67&lt;Z52)*(calc!$AA$3:$AA$67&gt;AA52))&gt;0)),0)</f>
        <v/>
      </c>
      <c r="AC52" s="5">
        <f>IF(mos_metrics!I51="","",mos_metrics!I51)</f>
        <v/>
      </c>
      <c r="AD52" s="2">
        <f>AND($J52,ISNUMBER(AC52),correlation!$I$28=1)</f>
        <v/>
      </c>
      <c r="AE52" s="5">
        <f>IF(AD52,$F52,"")</f>
        <v/>
      </c>
      <c r="AF52" s="5">
        <f>IF(AD52,AC52*correlation!$J$28,"")</f>
        <v/>
      </c>
      <c r="AG52" s="5">
        <f>IF(AND(AD52,ISNUMBER(correlation!$F$28)),AF52*correlation!$F$28+correlation!$G$28,"")</f>
        <v/>
      </c>
      <c r="AH52" s="5">
        <f>IF(AND(AD52,ISNUMBER(AG52)),(AE52-AG52)^2,"")</f>
        <v/>
      </c>
      <c r="AI52" s="5">
        <f>IF(AD52,1+SUMPRODUCT(--(calc!$AD$3:$AD$67=TRUE),--(calc!$AE$3:$AE$67&gt;AE52))+(SUMPRODUCT(--(calc!$AD$3:$AD$67=TRUE),--(calc!$AE$3:$AE$67=AE52))-1)/2,"")</f>
        <v/>
      </c>
      <c r="AJ52" s="5">
        <f>IF(AD52,1+SUMPRODUCT(--(calc!$AD$3:$AD$67=TRUE),--(calc!$AF$3:$AF$67&gt;AF52))+(SUMPRODUCT(--(calc!$AD$3:$AD$67=TRUE),--(calc!$AF$3:$AF$67=AF52))-1)/2,"")</f>
        <v/>
      </c>
      <c r="AK52" s="5">
        <f>IF(AD52,SUMPRODUCT(--(calc!$AD$3:$AD$67=TRUE),--(ROW(calc!$AD$3:$AD$67)&gt;ROW(AD52)),--(((calc!$AI$3:$AI$67&gt;AI52)*(calc!$AJ$3:$AJ$67&gt;AJ52)+(calc!$AI$3:$AI$67&lt;AI52)*(calc!$AJ$3:$AJ$67&lt;AJ52))&gt;0))-SUMPRODUCT(--(calc!$AD$3:$AD$67=TRUE),--(ROW(calc!$AD$3:$AD$67)&gt;ROW(AD52)),--(((calc!$AI$3:$AI$67&gt;AI52)*(calc!$AJ$3:$AJ$67&lt;AJ52)+(calc!$AI$3:$AI$67&lt;AI52)*(calc!$AJ$3:$AJ$67&gt;AJ52))&gt;0)),0)</f>
        <v/>
      </c>
      <c r="AL52" s="5">
        <f>IF(mos_metrics!J51="","",mos_metrics!J51)</f>
        <v/>
      </c>
      <c r="AM52" s="2">
        <f>AND($J52,ISNUMBER(AL52),correlation!$I$29=1)</f>
        <v/>
      </c>
      <c r="AN52" s="5">
        <f>IF(AM52,$F52,"")</f>
        <v/>
      </c>
      <c r="AO52" s="5">
        <f>IF(AM52,AL52*correlation!$J$29,"")</f>
        <v/>
      </c>
      <c r="AP52" s="5">
        <f>IF(AND(AM52,ISNUMBER(correlation!$F$29)),AO52*correlation!$F$29+correlation!$G$29,"")</f>
        <v/>
      </c>
      <c r="AQ52" s="5">
        <f>IF(AND(AM52,ISNUMBER(AP52)),(AN52-AP52)^2,"")</f>
        <v/>
      </c>
      <c r="AR52" s="5">
        <f>IF(AM52,1+SUMPRODUCT(--(calc!$AM$3:$AM$67=TRUE),--(calc!$AN$3:$AN$67&gt;AN52))+(SUMPRODUCT(--(calc!$AM$3:$AM$67=TRUE),--(calc!$AN$3:$AN$67=AN52))-1)/2,"")</f>
        <v/>
      </c>
      <c r="AS52" s="5">
        <f>IF(AM52,1+SUMPRODUCT(--(calc!$AM$3:$AM$67=TRUE),--(calc!$AO$3:$AO$67&gt;AO52))+(SUMPRODUCT(--(calc!$AM$3:$AM$67=TRUE),--(calc!$AO$3:$AO$67=AO52))-1)/2,"")</f>
        <v/>
      </c>
      <c r="AT52" s="5">
        <f>IF(AM52,SUMPRODUCT(--(calc!$AM$3:$AM$67=TRUE),--(ROW(calc!$AM$3:$AM$67)&gt;ROW(AM52)),--(((calc!$AR$3:$AR$67&gt;AR52)*(calc!$AS$3:$AS$67&gt;AS52)+(calc!$AR$3:$AR$67&lt;AR52)*(calc!$AS$3:$AS$67&lt;AS52))&gt;0))-SUMPRODUCT(--(calc!$AM$3:$AM$67=TRUE),--(ROW(calc!$AM$3:$AM$67)&gt;ROW(AM52)),--(((calc!$AR$3:$AR$67&gt;AR52)*(calc!$AS$3:$AS$67&lt;AS52)+(calc!$AR$3:$AR$67&lt;AR52)*(calc!$AS$3:$AS$67&gt;AS52))&gt;0)),0)</f>
        <v/>
      </c>
      <c r="AU52" s="5">
        <f>IF(mos_metrics!K51="","",mos_metrics!K51)</f>
        <v/>
      </c>
      <c r="AV52" s="2">
        <f>AND($J52,ISNUMBER(AU52),correlation!$I$30=1)</f>
        <v/>
      </c>
      <c r="AW52" s="5">
        <f>IF(AV52,$F52,"")</f>
        <v/>
      </c>
      <c r="AX52" s="5">
        <f>IF(AV52,AU52*correlation!$J$30,"")</f>
        <v/>
      </c>
      <c r="AY52" s="5">
        <f>IF(AND(AV52,ISNUMBER(correlation!$F$30)),AX52*correlation!$F$30+correlation!$G$30,"")</f>
        <v/>
      </c>
      <c r="AZ52" s="5">
        <f>IF(AND(AV52,ISNUMBER(AY52)),(AW52-AY52)^2,"")</f>
        <v/>
      </c>
      <c r="BA52" s="5">
        <f>IF(AV52,1+SUMPRODUCT(--(calc!$AV$3:$AV$67=TRUE),--(calc!$AW$3:$AW$67&gt;AW52))+(SUMPRODUCT(--(calc!$AV$3:$AV$67=TRUE),--(calc!$AW$3:$AW$67=AW52))-1)/2,"")</f>
        <v/>
      </c>
      <c r="BB52" s="5">
        <f>IF(AV52,1+SUMPRODUCT(--(calc!$AV$3:$AV$67=TRUE),--(calc!$AX$3:$AX$67&gt;AX52))+(SUMPRODUCT(--(calc!$AV$3:$AV$67=TRUE),--(calc!$AX$3:$AX$67=AX52))-1)/2,"")</f>
        <v/>
      </c>
      <c r="BC52" s="5">
        <f>IF(AV52,SUMPRODUCT(--(calc!$AV$3:$AV$67=TRUE),--(ROW(calc!$AV$3:$AV$67)&gt;ROW(AV52)),--(((calc!$BA$3:$BA$67&gt;BA52)*(calc!$BB$3:$BB$67&gt;BB52)+(calc!$BA$3:$BA$67&lt;BA52)*(calc!$BB$3:$BB$67&lt;BB52))&gt;0))-SUMPRODUCT(--(calc!$AV$3:$AV$67=TRUE),--(ROW(calc!$AV$3:$AV$67)&gt;ROW(AV52)),--(((calc!$BA$3:$BA$67&gt;BA52)*(calc!$BB$3:$BB$67&lt;BB52)+(calc!$BA$3:$BA$67&lt;BA52)*(calc!$BB$3:$BB$67&gt;BB52))&gt;0)),0)</f>
        <v/>
      </c>
      <c r="BD52" s="5">
        <f>IF(mos_metrics!L51="","",mos_metrics!L51)</f>
        <v/>
      </c>
      <c r="BE52" s="2">
        <f>AND($J52,ISNUMBER(BD52),correlation!$I$31=1)</f>
        <v/>
      </c>
      <c r="BF52" s="5">
        <f>IF(BE52,$F52,"")</f>
        <v/>
      </c>
      <c r="BG52" s="5">
        <f>IF(BE52,BD52*correlation!$J$31,"")</f>
        <v/>
      </c>
      <c r="BH52" s="5">
        <f>IF(AND(BE52,ISNUMBER(correlation!$F$31)),BG52*correlation!$F$31+correlation!$G$31,"")</f>
        <v/>
      </c>
      <c r="BI52" s="5">
        <f>IF(AND(BE52,ISNUMBER(BH52)),(BF52-BH52)^2,"")</f>
        <v/>
      </c>
      <c r="BJ52" s="5">
        <f>IF(BE52,1+SUMPRODUCT(--(calc!$BE$3:$BE$67=TRUE),--(calc!$BF$3:$BF$67&gt;BF52))+(SUMPRODUCT(--(calc!$BE$3:$BE$67=TRUE),--(calc!$BF$3:$BF$67=BF52))-1)/2,"")</f>
        <v/>
      </c>
      <c r="BK52" s="5">
        <f>IF(BE52,1+SUMPRODUCT(--(calc!$BE$3:$BE$67=TRUE),--(calc!$BG$3:$BG$67&gt;BG52))+(SUMPRODUCT(--(calc!$BE$3:$BE$67=TRUE),--(calc!$BG$3:$BG$67=BG52))-1)/2,"")</f>
        <v/>
      </c>
      <c r="BL52" s="5">
        <f>IF(BE52,SUMPRODUCT(--(calc!$BE$3:$BE$67=TRUE),--(ROW(calc!$BE$3:$BE$67)&gt;ROW(BE52)),--(((calc!$BJ$3:$BJ$67&gt;BJ52)*(calc!$BK$3:$BK$67&gt;BK52)+(calc!$BJ$3:$BJ$67&lt;BJ52)*(calc!$BK$3:$BK$67&lt;BK52))&gt;0))-SUMPRODUCT(--(calc!$BE$3:$BE$67=TRUE),--(ROW(calc!$BE$3:$BE$67)&gt;ROW(BE52)),--(((calc!$BJ$3:$BJ$67&gt;BJ52)*(calc!$BK$3:$BK$67&lt;BK52)+(calc!$BJ$3:$BJ$67&lt;BJ52)*(calc!$BK$3:$BK$67&gt;BK52))&gt;0)),0)</f>
        <v/>
      </c>
      <c r="BM52" s="5">
        <f>IF(mos_metrics!M51="","",mos_metrics!M51)</f>
        <v/>
      </c>
      <c r="BN52" s="2">
        <f>AND($J52,ISNUMBER(BM52),correlation!$I$32=1)</f>
        <v/>
      </c>
      <c r="BO52" s="5">
        <f>IF(BN52,$F52,"")</f>
        <v/>
      </c>
      <c r="BP52" s="5">
        <f>IF(BN52,BM52*correlation!$J$32,"")</f>
        <v/>
      </c>
      <c r="BQ52" s="5">
        <f>IF(AND(BN52,ISNUMBER(correlation!$F$32)),BP52*correlation!$F$32+correlation!$G$32,"")</f>
        <v/>
      </c>
      <c r="BR52" s="5">
        <f>IF(AND(BN52,ISNUMBER(BQ52)),(BO52-BQ52)^2,"")</f>
        <v/>
      </c>
      <c r="BS52" s="5">
        <f>IF(BN52,1+SUMPRODUCT(--(calc!$BN$3:$BN$67=TRUE),--(calc!$BO$3:$BO$67&gt;BO52))+(SUMPRODUCT(--(calc!$BN$3:$BN$67=TRUE),--(calc!$BO$3:$BO$67=BO52))-1)/2,"")</f>
        <v/>
      </c>
      <c r="BT52" s="5">
        <f>IF(BN52,1+SUMPRODUCT(--(calc!$BN$3:$BN$67=TRUE),--(calc!$BP$3:$BP$67&gt;BP52))+(SUMPRODUCT(--(calc!$BN$3:$BN$67=TRUE),--(calc!$BP$3:$BP$67=BP52))-1)/2,"")</f>
        <v/>
      </c>
      <c r="BU52" s="5">
        <f>IF(BN52,SUMPRODUCT(--(calc!$BN$3:$BN$67=TRUE),--(ROW(calc!$BN$3:$BN$67)&gt;ROW(BN52)),--(((calc!$BS$3:$BS$67&gt;BS52)*(calc!$BT$3:$BT$67&gt;BT52)+(calc!$BS$3:$BS$67&lt;BS52)*(calc!$BT$3:$BT$67&lt;BT52))&gt;0))-SUMPRODUCT(--(calc!$BN$3:$BN$67=TRUE),--(ROW(calc!$BN$3:$BN$67)&gt;ROW(BN52)),--(((calc!$BS$3:$BS$67&gt;BS52)*(calc!$BT$3:$BT$67&lt;BT52)+(calc!$BS$3:$BS$67&lt;BS52)*(calc!$BT$3:$BT$67&gt;BT52))&gt;0)),0)</f>
        <v/>
      </c>
    </row>
    <row r="53">
      <c r="A53" s="2">
        <f>mos_metrics!A52</f>
        <v/>
      </c>
      <c r="B53" s="2">
        <f>mos_metrics!B52</f>
        <v/>
      </c>
      <c r="C53" s="2">
        <f>mos_metrics!C52</f>
        <v/>
      </c>
      <c r="D53" s="2">
        <f>mos_metrics!D52</f>
        <v/>
      </c>
      <c r="E53" s="2">
        <f>mos_metrics!E52</f>
        <v/>
      </c>
      <c r="F53" s="2">
        <f>mos_metrics!F52</f>
        <v/>
      </c>
      <c r="G53" s="2">
        <f>IF($B53="","",IFERROR(VLOOKUP($B53,correlation!$A$2:$B$6,2,FALSE),1))</f>
        <v/>
      </c>
      <c r="H53" s="2">
        <f>IF($E53="","",IFERROR(VLOOKUP($E53,correlation!$D$2:$E$8,2,FALSE),1))</f>
        <v/>
      </c>
      <c r="I53" s="2">
        <f>ISNUMBER($F53)</f>
        <v/>
      </c>
      <c r="J53" s="2">
        <f>AND($G53=1,$H53=1,$I53)</f>
        <v/>
      </c>
      <c r="K53" s="5">
        <f>IF(mos_metrics!G52="","",mos_metrics!G52)</f>
        <v/>
      </c>
      <c r="L53" s="2">
        <f>AND($J53,ISNUMBER(K53),correlation!$I$26=1)</f>
        <v/>
      </c>
      <c r="M53" s="5">
        <f>IF(L53,$F53,"")</f>
        <v/>
      </c>
      <c r="N53" s="5">
        <f>IF(L53,K53*correlation!$J$26,"")</f>
        <v/>
      </c>
      <c r="O53" s="5">
        <f>IF(AND(L53,ISNUMBER(correlation!$F$26)),N53*correlation!$F$26+correlation!$G$26,"")</f>
        <v/>
      </c>
      <c r="P53" s="5">
        <f>IF(AND(L53,ISNUMBER(O53)),(M53-O53)^2,"")</f>
        <v/>
      </c>
      <c r="Q53" s="5">
        <f>IF(L53,1+SUMPRODUCT(--(calc!$L$3:$L$67=TRUE),--(calc!$M$3:$M$67&gt;M53))+(SUMPRODUCT(--(calc!$L$3:$L$67=TRUE),--(calc!$M$3:$M$67=M53))-1)/2,"")</f>
        <v/>
      </c>
      <c r="R53" s="5">
        <f>IF(L53,1+SUMPRODUCT(--(calc!$L$3:$L$67=TRUE),--(calc!$N$3:$N$67&gt;N53))+(SUMPRODUCT(--(calc!$L$3:$L$67=TRUE),--(calc!$N$3:$N$67=N53))-1)/2,"")</f>
        <v/>
      </c>
      <c r="S53" s="5">
        <f>IF(L53,SUMPRODUCT(--(calc!$L$3:$L$67=TRUE),--(ROW(calc!$L$3:$L$67)&gt;ROW(L53)),--(((calc!$Q$3:$Q$67&gt;Q53)*(calc!$R$3:$R$67&gt;R53)+(calc!$Q$3:$Q$67&lt;Q53)*(calc!$R$3:$R$67&lt;R53))&gt;0))-SUMPRODUCT(--(calc!$L$3:$L$67=TRUE),--(ROW(calc!$L$3:$L$67)&gt;ROW(L53)),--(((calc!$Q$3:$Q$67&gt;Q53)*(calc!$R$3:$R$67&lt;R53)+(calc!$Q$3:$Q$67&lt;Q53)*(calc!$R$3:$R$67&gt;R53))&gt;0)),0)</f>
        <v/>
      </c>
      <c r="T53" s="5">
        <f>IF(mos_metrics!H52="","",mos_metrics!H52)</f>
        <v/>
      </c>
      <c r="U53" s="2">
        <f>AND($J53,ISNUMBER(T53),correlation!$I$27=1)</f>
        <v/>
      </c>
      <c r="V53" s="5">
        <f>IF(U53,$F53,"")</f>
        <v/>
      </c>
      <c r="W53" s="5">
        <f>IF(U53,T53*correlation!$J$27,"")</f>
        <v/>
      </c>
      <c r="X53" s="5">
        <f>IF(AND(U53,ISNUMBER(correlation!$F$27)),W53*correlation!$F$27+correlation!$G$27,"")</f>
        <v/>
      </c>
      <c r="Y53" s="5">
        <f>IF(AND(U53,ISNUMBER(X53)),(V53-X53)^2,"")</f>
        <v/>
      </c>
      <c r="Z53" s="5">
        <f>IF(U53,1+SUMPRODUCT(--(calc!$U$3:$U$67=TRUE),--(calc!$V$3:$V$67&gt;V53))+(SUMPRODUCT(--(calc!$U$3:$U$67=TRUE),--(calc!$V$3:$V$67=V53))-1)/2,"")</f>
        <v/>
      </c>
      <c r="AA53" s="5">
        <f>IF(U53,1+SUMPRODUCT(--(calc!$U$3:$U$67=TRUE),--(calc!$W$3:$W$67&gt;W53))+(SUMPRODUCT(--(calc!$U$3:$U$67=TRUE),--(calc!$W$3:$W$67=W53))-1)/2,"")</f>
        <v/>
      </c>
      <c r="AB53" s="5">
        <f>IF(U53,SUMPRODUCT(--(calc!$U$3:$U$67=TRUE),--(ROW(calc!$U$3:$U$67)&gt;ROW(U53)),--(((calc!$Z$3:$Z$67&gt;Z53)*(calc!$AA$3:$AA$67&gt;AA53)+(calc!$Z$3:$Z$67&lt;Z53)*(calc!$AA$3:$AA$67&lt;AA53))&gt;0))-SUMPRODUCT(--(calc!$U$3:$U$67=TRUE),--(ROW(calc!$U$3:$U$67)&gt;ROW(U53)),--(((calc!$Z$3:$Z$67&gt;Z53)*(calc!$AA$3:$AA$67&lt;AA53)+(calc!$Z$3:$Z$67&lt;Z53)*(calc!$AA$3:$AA$67&gt;AA53))&gt;0)),0)</f>
        <v/>
      </c>
      <c r="AC53" s="5">
        <f>IF(mos_metrics!I52="","",mos_metrics!I52)</f>
        <v/>
      </c>
      <c r="AD53" s="2">
        <f>AND($J53,ISNUMBER(AC53),correlation!$I$28=1)</f>
        <v/>
      </c>
      <c r="AE53" s="5">
        <f>IF(AD53,$F53,"")</f>
        <v/>
      </c>
      <c r="AF53" s="5">
        <f>IF(AD53,AC53*correlation!$J$28,"")</f>
        <v/>
      </c>
      <c r="AG53" s="5">
        <f>IF(AND(AD53,ISNUMBER(correlation!$F$28)),AF53*correlation!$F$28+correlation!$G$28,"")</f>
        <v/>
      </c>
      <c r="AH53" s="5">
        <f>IF(AND(AD53,ISNUMBER(AG53)),(AE53-AG53)^2,"")</f>
        <v/>
      </c>
      <c r="AI53" s="5">
        <f>IF(AD53,1+SUMPRODUCT(--(calc!$AD$3:$AD$67=TRUE),--(calc!$AE$3:$AE$67&gt;AE53))+(SUMPRODUCT(--(calc!$AD$3:$AD$67=TRUE),--(calc!$AE$3:$AE$67=AE53))-1)/2,"")</f>
        <v/>
      </c>
      <c r="AJ53" s="5">
        <f>IF(AD53,1+SUMPRODUCT(--(calc!$AD$3:$AD$67=TRUE),--(calc!$AF$3:$AF$67&gt;AF53))+(SUMPRODUCT(--(calc!$AD$3:$AD$67=TRUE),--(calc!$AF$3:$AF$67=AF53))-1)/2,"")</f>
        <v/>
      </c>
      <c r="AK53" s="5">
        <f>IF(AD53,SUMPRODUCT(--(calc!$AD$3:$AD$67=TRUE),--(ROW(calc!$AD$3:$AD$67)&gt;ROW(AD53)),--(((calc!$AI$3:$AI$67&gt;AI53)*(calc!$AJ$3:$AJ$67&gt;AJ53)+(calc!$AI$3:$AI$67&lt;AI53)*(calc!$AJ$3:$AJ$67&lt;AJ53))&gt;0))-SUMPRODUCT(--(calc!$AD$3:$AD$67=TRUE),--(ROW(calc!$AD$3:$AD$67)&gt;ROW(AD53)),--(((calc!$AI$3:$AI$67&gt;AI53)*(calc!$AJ$3:$AJ$67&lt;AJ53)+(calc!$AI$3:$AI$67&lt;AI53)*(calc!$AJ$3:$AJ$67&gt;AJ53))&gt;0)),0)</f>
        <v/>
      </c>
      <c r="AL53" s="5">
        <f>IF(mos_metrics!J52="","",mos_metrics!J52)</f>
        <v/>
      </c>
      <c r="AM53" s="2">
        <f>AND($J53,ISNUMBER(AL53),correlation!$I$29=1)</f>
        <v/>
      </c>
      <c r="AN53" s="5">
        <f>IF(AM53,$F53,"")</f>
        <v/>
      </c>
      <c r="AO53" s="5">
        <f>IF(AM53,AL53*correlation!$J$29,"")</f>
        <v/>
      </c>
      <c r="AP53" s="5">
        <f>IF(AND(AM53,ISNUMBER(correlation!$F$29)),AO53*correlation!$F$29+correlation!$G$29,"")</f>
        <v/>
      </c>
      <c r="AQ53" s="5">
        <f>IF(AND(AM53,ISNUMBER(AP53)),(AN53-AP53)^2,"")</f>
        <v/>
      </c>
      <c r="AR53" s="5">
        <f>IF(AM53,1+SUMPRODUCT(--(calc!$AM$3:$AM$67=TRUE),--(calc!$AN$3:$AN$67&gt;AN53))+(SUMPRODUCT(--(calc!$AM$3:$AM$67=TRUE),--(calc!$AN$3:$AN$67=AN53))-1)/2,"")</f>
        <v/>
      </c>
      <c r="AS53" s="5">
        <f>IF(AM53,1+SUMPRODUCT(--(calc!$AM$3:$AM$67=TRUE),--(calc!$AO$3:$AO$67&gt;AO53))+(SUMPRODUCT(--(calc!$AM$3:$AM$67=TRUE),--(calc!$AO$3:$AO$67=AO53))-1)/2,"")</f>
        <v/>
      </c>
      <c r="AT53" s="5">
        <f>IF(AM53,SUMPRODUCT(--(calc!$AM$3:$AM$67=TRUE),--(ROW(calc!$AM$3:$AM$67)&gt;ROW(AM53)),--(((calc!$AR$3:$AR$67&gt;AR53)*(calc!$AS$3:$AS$67&gt;AS53)+(calc!$AR$3:$AR$67&lt;AR53)*(calc!$AS$3:$AS$67&lt;AS53))&gt;0))-SUMPRODUCT(--(calc!$AM$3:$AM$67=TRUE),--(ROW(calc!$AM$3:$AM$67)&gt;ROW(AM53)),--(((calc!$AR$3:$AR$67&gt;AR53)*(calc!$AS$3:$AS$67&lt;AS53)+(calc!$AR$3:$AR$67&lt;AR53)*(calc!$AS$3:$AS$67&gt;AS53))&gt;0)),0)</f>
        <v/>
      </c>
      <c r="AU53" s="5">
        <f>IF(mos_metrics!K52="","",mos_metrics!K52)</f>
        <v/>
      </c>
      <c r="AV53" s="2">
        <f>AND($J53,ISNUMBER(AU53),correlation!$I$30=1)</f>
        <v/>
      </c>
      <c r="AW53" s="5">
        <f>IF(AV53,$F53,"")</f>
        <v/>
      </c>
      <c r="AX53" s="5">
        <f>IF(AV53,AU53*correlation!$J$30,"")</f>
        <v/>
      </c>
      <c r="AY53" s="5">
        <f>IF(AND(AV53,ISNUMBER(correlation!$F$30)),AX53*correlation!$F$30+correlation!$G$30,"")</f>
        <v/>
      </c>
      <c r="AZ53" s="5">
        <f>IF(AND(AV53,ISNUMBER(AY53)),(AW53-AY53)^2,"")</f>
        <v/>
      </c>
      <c r="BA53" s="5">
        <f>IF(AV53,1+SUMPRODUCT(--(calc!$AV$3:$AV$67=TRUE),--(calc!$AW$3:$AW$67&gt;AW53))+(SUMPRODUCT(--(calc!$AV$3:$AV$67=TRUE),--(calc!$AW$3:$AW$67=AW53))-1)/2,"")</f>
        <v/>
      </c>
      <c r="BB53" s="5">
        <f>IF(AV53,1+SUMPRODUCT(--(calc!$AV$3:$AV$67=TRUE),--(calc!$AX$3:$AX$67&gt;AX53))+(SUMPRODUCT(--(calc!$AV$3:$AV$67=TRUE),--(calc!$AX$3:$AX$67=AX53))-1)/2,"")</f>
        <v/>
      </c>
      <c r="BC53" s="5">
        <f>IF(AV53,SUMPRODUCT(--(calc!$AV$3:$AV$67=TRUE),--(ROW(calc!$AV$3:$AV$67)&gt;ROW(AV53)),--(((calc!$BA$3:$BA$67&gt;BA53)*(calc!$BB$3:$BB$67&gt;BB53)+(calc!$BA$3:$BA$67&lt;BA53)*(calc!$BB$3:$BB$67&lt;BB53))&gt;0))-SUMPRODUCT(--(calc!$AV$3:$AV$67=TRUE),--(ROW(calc!$AV$3:$AV$67)&gt;ROW(AV53)),--(((calc!$BA$3:$BA$67&gt;BA53)*(calc!$BB$3:$BB$67&lt;BB53)+(calc!$BA$3:$BA$67&lt;BA53)*(calc!$BB$3:$BB$67&gt;BB53))&gt;0)),0)</f>
        <v/>
      </c>
      <c r="BD53" s="5">
        <f>IF(mos_metrics!L52="","",mos_metrics!L52)</f>
        <v/>
      </c>
      <c r="BE53" s="2">
        <f>AND($J53,ISNUMBER(BD53),correlation!$I$31=1)</f>
        <v/>
      </c>
      <c r="BF53" s="5">
        <f>IF(BE53,$F53,"")</f>
        <v/>
      </c>
      <c r="BG53" s="5">
        <f>IF(BE53,BD53*correlation!$J$31,"")</f>
        <v/>
      </c>
      <c r="BH53" s="5">
        <f>IF(AND(BE53,ISNUMBER(correlation!$F$31)),BG53*correlation!$F$31+correlation!$G$31,"")</f>
        <v/>
      </c>
      <c r="BI53" s="5">
        <f>IF(AND(BE53,ISNUMBER(BH53)),(BF53-BH53)^2,"")</f>
        <v/>
      </c>
      <c r="BJ53" s="5">
        <f>IF(BE53,1+SUMPRODUCT(--(calc!$BE$3:$BE$67=TRUE),--(calc!$BF$3:$BF$67&gt;BF53))+(SUMPRODUCT(--(calc!$BE$3:$BE$67=TRUE),--(calc!$BF$3:$BF$67=BF53))-1)/2,"")</f>
        <v/>
      </c>
      <c r="BK53" s="5">
        <f>IF(BE53,1+SUMPRODUCT(--(calc!$BE$3:$BE$67=TRUE),--(calc!$BG$3:$BG$67&gt;BG53))+(SUMPRODUCT(--(calc!$BE$3:$BE$67=TRUE),--(calc!$BG$3:$BG$67=BG53))-1)/2,"")</f>
        <v/>
      </c>
      <c r="BL53" s="5">
        <f>IF(BE53,SUMPRODUCT(--(calc!$BE$3:$BE$67=TRUE),--(ROW(calc!$BE$3:$BE$67)&gt;ROW(BE53)),--(((calc!$BJ$3:$BJ$67&gt;BJ53)*(calc!$BK$3:$BK$67&gt;BK53)+(calc!$BJ$3:$BJ$67&lt;BJ53)*(calc!$BK$3:$BK$67&lt;BK53))&gt;0))-SUMPRODUCT(--(calc!$BE$3:$BE$67=TRUE),--(ROW(calc!$BE$3:$BE$67)&gt;ROW(BE53)),--(((calc!$BJ$3:$BJ$67&gt;BJ53)*(calc!$BK$3:$BK$67&lt;BK53)+(calc!$BJ$3:$BJ$67&lt;BJ53)*(calc!$BK$3:$BK$67&gt;BK53))&gt;0)),0)</f>
        <v/>
      </c>
      <c r="BM53" s="5">
        <f>IF(mos_metrics!M52="","",mos_metrics!M52)</f>
        <v/>
      </c>
      <c r="BN53" s="2">
        <f>AND($J53,ISNUMBER(BM53),correlation!$I$32=1)</f>
        <v/>
      </c>
      <c r="BO53" s="5">
        <f>IF(BN53,$F53,"")</f>
        <v/>
      </c>
      <c r="BP53" s="5">
        <f>IF(BN53,BM53*correlation!$J$32,"")</f>
        <v/>
      </c>
      <c r="BQ53" s="5">
        <f>IF(AND(BN53,ISNUMBER(correlation!$F$32)),BP53*correlation!$F$32+correlation!$G$32,"")</f>
        <v/>
      </c>
      <c r="BR53" s="5">
        <f>IF(AND(BN53,ISNUMBER(BQ53)),(BO53-BQ53)^2,"")</f>
        <v/>
      </c>
      <c r="BS53" s="5">
        <f>IF(BN53,1+SUMPRODUCT(--(calc!$BN$3:$BN$67=TRUE),--(calc!$BO$3:$BO$67&gt;BO53))+(SUMPRODUCT(--(calc!$BN$3:$BN$67=TRUE),--(calc!$BO$3:$BO$67=BO53))-1)/2,"")</f>
        <v/>
      </c>
      <c r="BT53" s="5">
        <f>IF(BN53,1+SUMPRODUCT(--(calc!$BN$3:$BN$67=TRUE),--(calc!$BP$3:$BP$67&gt;BP53))+(SUMPRODUCT(--(calc!$BN$3:$BN$67=TRUE),--(calc!$BP$3:$BP$67=BP53))-1)/2,"")</f>
        <v/>
      </c>
      <c r="BU53" s="5">
        <f>IF(BN53,SUMPRODUCT(--(calc!$BN$3:$BN$67=TRUE),--(ROW(calc!$BN$3:$BN$67)&gt;ROW(BN53)),--(((calc!$BS$3:$BS$67&gt;BS53)*(calc!$BT$3:$BT$67&gt;BT53)+(calc!$BS$3:$BS$67&lt;BS53)*(calc!$BT$3:$BT$67&lt;BT53))&gt;0))-SUMPRODUCT(--(calc!$BN$3:$BN$67=TRUE),--(ROW(calc!$BN$3:$BN$67)&gt;ROW(BN53)),--(((calc!$BS$3:$BS$67&gt;BS53)*(calc!$BT$3:$BT$67&lt;BT53)+(calc!$BS$3:$BS$67&lt;BS53)*(calc!$BT$3:$BT$67&gt;BT53))&gt;0)),0)</f>
        <v/>
      </c>
    </row>
    <row r="54">
      <c r="A54" s="2">
        <f>mos_metrics!A53</f>
        <v/>
      </c>
      <c r="B54" s="2">
        <f>mos_metrics!B53</f>
        <v/>
      </c>
      <c r="C54" s="2">
        <f>mos_metrics!C53</f>
        <v/>
      </c>
      <c r="D54" s="2">
        <f>mos_metrics!D53</f>
        <v/>
      </c>
      <c r="E54" s="2">
        <f>mos_metrics!E53</f>
        <v/>
      </c>
      <c r="F54" s="2">
        <f>mos_metrics!F53</f>
        <v/>
      </c>
      <c r="G54" s="2">
        <f>IF($B54="","",IFERROR(VLOOKUP($B54,correlation!$A$2:$B$6,2,FALSE),1))</f>
        <v/>
      </c>
      <c r="H54" s="2">
        <f>IF($E54="","",IFERROR(VLOOKUP($E54,correlation!$D$2:$E$8,2,FALSE),1))</f>
        <v/>
      </c>
      <c r="I54" s="2">
        <f>ISNUMBER($F54)</f>
        <v/>
      </c>
      <c r="J54" s="2">
        <f>AND($G54=1,$H54=1,$I54)</f>
        <v/>
      </c>
      <c r="K54" s="5">
        <f>IF(mos_metrics!G53="","",mos_metrics!G53)</f>
        <v/>
      </c>
      <c r="L54" s="2">
        <f>AND($J54,ISNUMBER(K54),correlation!$I$26=1)</f>
        <v/>
      </c>
      <c r="M54" s="5">
        <f>IF(L54,$F54,"")</f>
        <v/>
      </c>
      <c r="N54" s="5">
        <f>IF(L54,K54*correlation!$J$26,"")</f>
        <v/>
      </c>
      <c r="O54" s="5">
        <f>IF(AND(L54,ISNUMBER(correlation!$F$26)),N54*correlation!$F$26+correlation!$G$26,"")</f>
        <v/>
      </c>
      <c r="P54" s="5">
        <f>IF(AND(L54,ISNUMBER(O54)),(M54-O54)^2,"")</f>
        <v/>
      </c>
      <c r="Q54" s="5">
        <f>IF(L54,1+SUMPRODUCT(--(calc!$L$3:$L$67=TRUE),--(calc!$M$3:$M$67&gt;M54))+(SUMPRODUCT(--(calc!$L$3:$L$67=TRUE),--(calc!$M$3:$M$67=M54))-1)/2,"")</f>
        <v/>
      </c>
      <c r="R54" s="5">
        <f>IF(L54,1+SUMPRODUCT(--(calc!$L$3:$L$67=TRUE),--(calc!$N$3:$N$67&gt;N54))+(SUMPRODUCT(--(calc!$L$3:$L$67=TRUE),--(calc!$N$3:$N$67=N54))-1)/2,"")</f>
        <v/>
      </c>
      <c r="S54" s="5">
        <f>IF(L54,SUMPRODUCT(--(calc!$L$3:$L$67=TRUE),--(ROW(calc!$L$3:$L$67)&gt;ROW(L54)),--(((calc!$Q$3:$Q$67&gt;Q54)*(calc!$R$3:$R$67&gt;R54)+(calc!$Q$3:$Q$67&lt;Q54)*(calc!$R$3:$R$67&lt;R54))&gt;0))-SUMPRODUCT(--(calc!$L$3:$L$67=TRUE),--(ROW(calc!$L$3:$L$67)&gt;ROW(L54)),--(((calc!$Q$3:$Q$67&gt;Q54)*(calc!$R$3:$R$67&lt;R54)+(calc!$Q$3:$Q$67&lt;Q54)*(calc!$R$3:$R$67&gt;R54))&gt;0)),0)</f>
        <v/>
      </c>
      <c r="T54" s="5">
        <f>IF(mos_metrics!H53="","",mos_metrics!H53)</f>
        <v/>
      </c>
      <c r="U54" s="2">
        <f>AND($J54,ISNUMBER(T54),correlation!$I$27=1)</f>
        <v/>
      </c>
      <c r="V54" s="5">
        <f>IF(U54,$F54,"")</f>
        <v/>
      </c>
      <c r="W54" s="5">
        <f>IF(U54,T54*correlation!$J$27,"")</f>
        <v/>
      </c>
      <c r="X54" s="5">
        <f>IF(AND(U54,ISNUMBER(correlation!$F$27)),W54*correlation!$F$27+correlation!$G$27,"")</f>
        <v/>
      </c>
      <c r="Y54" s="5">
        <f>IF(AND(U54,ISNUMBER(X54)),(V54-X54)^2,"")</f>
        <v/>
      </c>
      <c r="Z54" s="5">
        <f>IF(U54,1+SUMPRODUCT(--(calc!$U$3:$U$67=TRUE),--(calc!$V$3:$V$67&gt;V54))+(SUMPRODUCT(--(calc!$U$3:$U$67=TRUE),--(calc!$V$3:$V$67=V54))-1)/2,"")</f>
        <v/>
      </c>
      <c r="AA54" s="5">
        <f>IF(U54,1+SUMPRODUCT(--(calc!$U$3:$U$67=TRUE),--(calc!$W$3:$W$67&gt;W54))+(SUMPRODUCT(--(calc!$U$3:$U$67=TRUE),--(calc!$W$3:$W$67=W54))-1)/2,"")</f>
        <v/>
      </c>
      <c r="AB54" s="5">
        <f>IF(U54,SUMPRODUCT(--(calc!$U$3:$U$67=TRUE),--(ROW(calc!$U$3:$U$67)&gt;ROW(U54)),--(((calc!$Z$3:$Z$67&gt;Z54)*(calc!$AA$3:$AA$67&gt;AA54)+(calc!$Z$3:$Z$67&lt;Z54)*(calc!$AA$3:$AA$67&lt;AA54))&gt;0))-SUMPRODUCT(--(calc!$U$3:$U$67=TRUE),--(ROW(calc!$U$3:$U$67)&gt;ROW(U54)),--(((calc!$Z$3:$Z$67&gt;Z54)*(calc!$AA$3:$AA$67&lt;AA54)+(calc!$Z$3:$Z$67&lt;Z54)*(calc!$AA$3:$AA$67&gt;AA54))&gt;0)),0)</f>
        <v/>
      </c>
      <c r="AC54" s="5">
        <f>IF(mos_metrics!I53="","",mos_metrics!I53)</f>
        <v/>
      </c>
      <c r="AD54" s="2">
        <f>AND($J54,ISNUMBER(AC54),correlation!$I$28=1)</f>
        <v/>
      </c>
      <c r="AE54" s="5">
        <f>IF(AD54,$F54,"")</f>
        <v/>
      </c>
      <c r="AF54" s="5">
        <f>IF(AD54,AC54*correlation!$J$28,"")</f>
        <v/>
      </c>
      <c r="AG54" s="5">
        <f>IF(AND(AD54,ISNUMBER(correlation!$F$28)),AF54*correlation!$F$28+correlation!$G$28,"")</f>
        <v/>
      </c>
      <c r="AH54" s="5">
        <f>IF(AND(AD54,ISNUMBER(AG54)),(AE54-AG54)^2,"")</f>
        <v/>
      </c>
      <c r="AI54" s="5">
        <f>IF(AD54,1+SUMPRODUCT(--(calc!$AD$3:$AD$67=TRUE),--(calc!$AE$3:$AE$67&gt;AE54))+(SUMPRODUCT(--(calc!$AD$3:$AD$67=TRUE),--(calc!$AE$3:$AE$67=AE54))-1)/2,"")</f>
        <v/>
      </c>
      <c r="AJ54" s="5">
        <f>IF(AD54,1+SUMPRODUCT(--(calc!$AD$3:$AD$67=TRUE),--(calc!$AF$3:$AF$67&gt;AF54))+(SUMPRODUCT(--(calc!$AD$3:$AD$67=TRUE),--(calc!$AF$3:$AF$67=AF54))-1)/2,"")</f>
        <v/>
      </c>
      <c r="AK54" s="5">
        <f>IF(AD54,SUMPRODUCT(--(calc!$AD$3:$AD$67=TRUE),--(ROW(calc!$AD$3:$AD$67)&gt;ROW(AD54)),--(((calc!$AI$3:$AI$67&gt;AI54)*(calc!$AJ$3:$AJ$67&gt;AJ54)+(calc!$AI$3:$AI$67&lt;AI54)*(calc!$AJ$3:$AJ$67&lt;AJ54))&gt;0))-SUMPRODUCT(--(calc!$AD$3:$AD$67=TRUE),--(ROW(calc!$AD$3:$AD$67)&gt;ROW(AD54)),--(((calc!$AI$3:$AI$67&gt;AI54)*(calc!$AJ$3:$AJ$67&lt;AJ54)+(calc!$AI$3:$AI$67&lt;AI54)*(calc!$AJ$3:$AJ$67&gt;AJ54))&gt;0)),0)</f>
        <v/>
      </c>
      <c r="AL54" s="5">
        <f>IF(mos_metrics!J53="","",mos_metrics!J53)</f>
        <v/>
      </c>
      <c r="AM54" s="2">
        <f>AND($J54,ISNUMBER(AL54),correlation!$I$29=1)</f>
        <v/>
      </c>
      <c r="AN54" s="5">
        <f>IF(AM54,$F54,"")</f>
        <v/>
      </c>
      <c r="AO54" s="5">
        <f>IF(AM54,AL54*correlation!$J$29,"")</f>
        <v/>
      </c>
      <c r="AP54" s="5">
        <f>IF(AND(AM54,ISNUMBER(correlation!$F$29)),AO54*correlation!$F$29+correlation!$G$29,"")</f>
        <v/>
      </c>
      <c r="AQ54" s="5">
        <f>IF(AND(AM54,ISNUMBER(AP54)),(AN54-AP54)^2,"")</f>
        <v/>
      </c>
      <c r="AR54" s="5">
        <f>IF(AM54,1+SUMPRODUCT(--(calc!$AM$3:$AM$67=TRUE),--(calc!$AN$3:$AN$67&gt;AN54))+(SUMPRODUCT(--(calc!$AM$3:$AM$67=TRUE),--(calc!$AN$3:$AN$67=AN54))-1)/2,"")</f>
        <v/>
      </c>
      <c r="AS54" s="5">
        <f>IF(AM54,1+SUMPRODUCT(--(calc!$AM$3:$AM$67=TRUE),--(calc!$AO$3:$AO$67&gt;AO54))+(SUMPRODUCT(--(calc!$AM$3:$AM$67=TRUE),--(calc!$AO$3:$AO$67=AO54))-1)/2,"")</f>
        <v/>
      </c>
      <c r="AT54" s="5">
        <f>IF(AM54,SUMPRODUCT(--(calc!$AM$3:$AM$67=TRUE),--(ROW(calc!$AM$3:$AM$67)&gt;ROW(AM54)),--(((calc!$AR$3:$AR$67&gt;AR54)*(calc!$AS$3:$AS$67&gt;AS54)+(calc!$AR$3:$AR$67&lt;AR54)*(calc!$AS$3:$AS$67&lt;AS54))&gt;0))-SUMPRODUCT(--(calc!$AM$3:$AM$67=TRUE),--(ROW(calc!$AM$3:$AM$67)&gt;ROW(AM54)),--(((calc!$AR$3:$AR$67&gt;AR54)*(calc!$AS$3:$AS$67&lt;AS54)+(calc!$AR$3:$AR$67&lt;AR54)*(calc!$AS$3:$AS$67&gt;AS54))&gt;0)),0)</f>
        <v/>
      </c>
      <c r="AU54" s="5">
        <f>IF(mos_metrics!K53="","",mos_metrics!K53)</f>
        <v/>
      </c>
      <c r="AV54" s="2">
        <f>AND($J54,ISNUMBER(AU54),correlation!$I$30=1)</f>
        <v/>
      </c>
      <c r="AW54" s="5">
        <f>IF(AV54,$F54,"")</f>
        <v/>
      </c>
      <c r="AX54" s="5">
        <f>IF(AV54,AU54*correlation!$J$30,"")</f>
        <v/>
      </c>
      <c r="AY54" s="5">
        <f>IF(AND(AV54,ISNUMBER(correlation!$F$30)),AX54*correlation!$F$30+correlation!$G$30,"")</f>
        <v/>
      </c>
      <c r="AZ54" s="5">
        <f>IF(AND(AV54,ISNUMBER(AY54)),(AW54-AY54)^2,"")</f>
        <v/>
      </c>
      <c r="BA54" s="5">
        <f>IF(AV54,1+SUMPRODUCT(--(calc!$AV$3:$AV$67=TRUE),--(calc!$AW$3:$AW$67&gt;AW54))+(SUMPRODUCT(--(calc!$AV$3:$AV$67=TRUE),--(calc!$AW$3:$AW$67=AW54))-1)/2,"")</f>
        <v/>
      </c>
      <c r="BB54" s="5">
        <f>IF(AV54,1+SUMPRODUCT(--(calc!$AV$3:$AV$67=TRUE),--(calc!$AX$3:$AX$67&gt;AX54))+(SUMPRODUCT(--(calc!$AV$3:$AV$67=TRUE),--(calc!$AX$3:$AX$67=AX54))-1)/2,"")</f>
        <v/>
      </c>
      <c r="BC54" s="5">
        <f>IF(AV54,SUMPRODUCT(--(calc!$AV$3:$AV$67=TRUE),--(ROW(calc!$AV$3:$AV$67)&gt;ROW(AV54)),--(((calc!$BA$3:$BA$67&gt;BA54)*(calc!$BB$3:$BB$67&gt;BB54)+(calc!$BA$3:$BA$67&lt;BA54)*(calc!$BB$3:$BB$67&lt;BB54))&gt;0))-SUMPRODUCT(--(calc!$AV$3:$AV$67=TRUE),--(ROW(calc!$AV$3:$AV$67)&gt;ROW(AV54)),--(((calc!$BA$3:$BA$67&gt;BA54)*(calc!$BB$3:$BB$67&lt;BB54)+(calc!$BA$3:$BA$67&lt;BA54)*(calc!$BB$3:$BB$67&gt;BB54))&gt;0)),0)</f>
        <v/>
      </c>
      <c r="BD54" s="5">
        <f>IF(mos_metrics!L53="","",mos_metrics!L53)</f>
        <v/>
      </c>
      <c r="BE54" s="2">
        <f>AND($J54,ISNUMBER(BD54),correlation!$I$31=1)</f>
        <v/>
      </c>
      <c r="BF54" s="5">
        <f>IF(BE54,$F54,"")</f>
        <v/>
      </c>
      <c r="BG54" s="5">
        <f>IF(BE54,BD54*correlation!$J$31,"")</f>
        <v/>
      </c>
      <c r="BH54" s="5">
        <f>IF(AND(BE54,ISNUMBER(correlation!$F$31)),BG54*correlation!$F$31+correlation!$G$31,"")</f>
        <v/>
      </c>
      <c r="BI54" s="5">
        <f>IF(AND(BE54,ISNUMBER(BH54)),(BF54-BH54)^2,"")</f>
        <v/>
      </c>
      <c r="BJ54" s="5">
        <f>IF(BE54,1+SUMPRODUCT(--(calc!$BE$3:$BE$67=TRUE),--(calc!$BF$3:$BF$67&gt;BF54))+(SUMPRODUCT(--(calc!$BE$3:$BE$67=TRUE),--(calc!$BF$3:$BF$67=BF54))-1)/2,"")</f>
        <v/>
      </c>
      <c r="BK54" s="5">
        <f>IF(BE54,1+SUMPRODUCT(--(calc!$BE$3:$BE$67=TRUE),--(calc!$BG$3:$BG$67&gt;BG54))+(SUMPRODUCT(--(calc!$BE$3:$BE$67=TRUE),--(calc!$BG$3:$BG$67=BG54))-1)/2,"")</f>
        <v/>
      </c>
      <c r="BL54" s="5">
        <f>IF(BE54,SUMPRODUCT(--(calc!$BE$3:$BE$67=TRUE),--(ROW(calc!$BE$3:$BE$67)&gt;ROW(BE54)),--(((calc!$BJ$3:$BJ$67&gt;BJ54)*(calc!$BK$3:$BK$67&gt;BK54)+(calc!$BJ$3:$BJ$67&lt;BJ54)*(calc!$BK$3:$BK$67&lt;BK54))&gt;0))-SUMPRODUCT(--(calc!$BE$3:$BE$67=TRUE),--(ROW(calc!$BE$3:$BE$67)&gt;ROW(BE54)),--(((calc!$BJ$3:$BJ$67&gt;BJ54)*(calc!$BK$3:$BK$67&lt;BK54)+(calc!$BJ$3:$BJ$67&lt;BJ54)*(calc!$BK$3:$BK$67&gt;BK54))&gt;0)),0)</f>
        <v/>
      </c>
      <c r="BM54" s="5">
        <f>IF(mos_metrics!M53="","",mos_metrics!M53)</f>
        <v/>
      </c>
      <c r="BN54" s="2">
        <f>AND($J54,ISNUMBER(BM54),correlation!$I$32=1)</f>
        <v/>
      </c>
      <c r="BO54" s="5">
        <f>IF(BN54,$F54,"")</f>
        <v/>
      </c>
      <c r="BP54" s="5">
        <f>IF(BN54,BM54*correlation!$J$32,"")</f>
        <v/>
      </c>
      <c r="BQ54" s="5">
        <f>IF(AND(BN54,ISNUMBER(correlation!$F$32)),BP54*correlation!$F$32+correlation!$G$32,"")</f>
        <v/>
      </c>
      <c r="BR54" s="5">
        <f>IF(AND(BN54,ISNUMBER(BQ54)),(BO54-BQ54)^2,"")</f>
        <v/>
      </c>
      <c r="BS54" s="5">
        <f>IF(BN54,1+SUMPRODUCT(--(calc!$BN$3:$BN$67=TRUE),--(calc!$BO$3:$BO$67&gt;BO54))+(SUMPRODUCT(--(calc!$BN$3:$BN$67=TRUE),--(calc!$BO$3:$BO$67=BO54))-1)/2,"")</f>
        <v/>
      </c>
      <c r="BT54" s="5">
        <f>IF(BN54,1+SUMPRODUCT(--(calc!$BN$3:$BN$67=TRUE),--(calc!$BP$3:$BP$67&gt;BP54))+(SUMPRODUCT(--(calc!$BN$3:$BN$67=TRUE),--(calc!$BP$3:$BP$67=BP54))-1)/2,"")</f>
        <v/>
      </c>
      <c r="BU54" s="5">
        <f>IF(BN54,SUMPRODUCT(--(calc!$BN$3:$BN$67=TRUE),--(ROW(calc!$BN$3:$BN$67)&gt;ROW(BN54)),--(((calc!$BS$3:$BS$67&gt;BS54)*(calc!$BT$3:$BT$67&gt;BT54)+(calc!$BS$3:$BS$67&lt;BS54)*(calc!$BT$3:$BT$67&lt;BT54))&gt;0))-SUMPRODUCT(--(calc!$BN$3:$BN$67=TRUE),--(ROW(calc!$BN$3:$BN$67)&gt;ROW(BN54)),--(((calc!$BS$3:$BS$67&gt;BS54)*(calc!$BT$3:$BT$67&lt;BT54)+(calc!$BS$3:$BS$67&lt;BS54)*(calc!$BT$3:$BT$67&gt;BT54))&gt;0)),0)</f>
        <v/>
      </c>
    </row>
    <row r="55">
      <c r="A55" s="2">
        <f>mos_metrics!A54</f>
        <v/>
      </c>
      <c r="B55" s="2">
        <f>mos_metrics!B54</f>
        <v/>
      </c>
      <c r="C55" s="2">
        <f>mos_metrics!C54</f>
        <v/>
      </c>
      <c r="D55" s="2">
        <f>mos_metrics!D54</f>
        <v/>
      </c>
      <c r="E55" s="2">
        <f>mos_metrics!E54</f>
        <v/>
      </c>
      <c r="F55" s="2">
        <f>mos_metrics!F54</f>
        <v/>
      </c>
      <c r="G55" s="2">
        <f>IF($B55="","",IFERROR(VLOOKUP($B55,correlation!$A$2:$B$6,2,FALSE),1))</f>
        <v/>
      </c>
      <c r="H55" s="2">
        <f>IF($E55="","",IFERROR(VLOOKUP($E55,correlation!$D$2:$E$8,2,FALSE),1))</f>
        <v/>
      </c>
      <c r="I55" s="2">
        <f>ISNUMBER($F55)</f>
        <v/>
      </c>
      <c r="J55" s="2">
        <f>AND($G55=1,$H55=1,$I55)</f>
        <v/>
      </c>
      <c r="K55" s="5">
        <f>IF(mos_metrics!G54="","",mos_metrics!G54)</f>
        <v/>
      </c>
      <c r="L55" s="2">
        <f>AND($J55,ISNUMBER(K55),correlation!$I$26=1)</f>
        <v/>
      </c>
      <c r="M55" s="5">
        <f>IF(L55,$F55,"")</f>
        <v/>
      </c>
      <c r="N55" s="5">
        <f>IF(L55,K55*correlation!$J$26,"")</f>
        <v/>
      </c>
      <c r="O55" s="5">
        <f>IF(AND(L55,ISNUMBER(correlation!$F$26)),N55*correlation!$F$26+correlation!$G$26,"")</f>
        <v/>
      </c>
      <c r="P55" s="5">
        <f>IF(AND(L55,ISNUMBER(O55)),(M55-O55)^2,"")</f>
        <v/>
      </c>
      <c r="Q55" s="5">
        <f>IF(L55,1+SUMPRODUCT(--(calc!$L$3:$L$67=TRUE),--(calc!$M$3:$M$67&gt;M55))+(SUMPRODUCT(--(calc!$L$3:$L$67=TRUE),--(calc!$M$3:$M$67=M55))-1)/2,"")</f>
        <v/>
      </c>
      <c r="R55" s="5">
        <f>IF(L55,1+SUMPRODUCT(--(calc!$L$3:$L$67=TRUE),--(calc!$N$3:$N$67&gt;N55))+(SUMPRODUCT(--(calc!$L$3:$L$67=TRUE),--(calc!$N$3:$N$67=N55))-1)/2,"")</f>
        <v/>
      </c>
      <c r="S55" s="5">
        <f>IF(L55,SUMPRODUCT(--(calc!$L$3:$L$67=TRUE),--(ROW(calc!$L$3:$L$67)&gt;ROW(L55)),--(((calc!$Q$3:$Q$67&gt;Q55)*(calc!$R$3:$R$67&gt;R55)+(calc!$Q$3:$Q$67&lt;Q55)*(calc!$R$3:$R$67&lt;R55))&gt;0))-SUMPRODUCT(--(calc!$L$3:$L$67=TRUE),--(ROW(calc!$L$3:$L$67)&gt;ROW(L55)),--(((calc!$Q$3:$Q$67&gt;Q55)*(calc!$R$3:$R$67&lt;R55)+(calc!$Q$3:$Q$67&lt;Q55)*(calc!$R$3:$R$67&gt;R55))&gt;0)),0)</f>
        <v/>
      </c>
      <c r="T55" s="5">
        <f>IF(mos_metrics!H54="","",mos_metrics!H54)</f>
        <v/>
      </c>
      <c r="U55" s="2">
        <f>AND($J55,ISNUMBER(T55),correlation!$I$27=1)</f>
        <v/>
      </c>
      <c r="V55" s="5">
        <f>IF(U55,$F55,"")</f>
        <v/>
      </c>
      <c r="W55" s="5">
        <f>IF(U55,T55*correlation!$J$27,"")</f>
        <v/>
      </c>
      <c r="X55" s="5">
        <f>IF(AND(U55,ISNUMBER(correlation!$F$27)),W55*correlation!$F$27+correlation!$G$27,"")</f>
        <v/>
      </c>
      <c r="Y55" s="5">
        <f>IF(AND(U55,ISNUMBER(X55)),(V55-X55)^2,"")</f>
        <v/>
      </c>
      <c r="Z55" s="5">
        <f>IF(U55,1+SUMPRODUCT(--(calc!$U$3:$U$67=TRUE),--(calc!$V$3:$V$67&gt;V55))+(SUMPRODUCT(--(calc!$U$3:$U$67=TRUE),--(calc!$V$3:$V$67=V55))-1)/2,"")</f>
        <v/>
      </c>
      <c r="AA55" s="5">
        <f>IF(U55,1+SUMPRODUCT(--(calc!$U$3:$U$67=TRUE),--(calc!$W$3:$W$67&gt;W55))+(SUMPRODUCT(--(calc!$U$3:$U$67=TRUE),--(calc!$W$3:$W$67=W55))-1)/2,"")</f>
        <v/>
      </c>
      <c r="AB55" s="5">
        <f>IF(U55,SUMPRODUCT(--(calc!$U$3:$U$67=TRUE),--(ROW(calc!$U$3:$U$67)&gt;ROW(U55)),--(((calc!$Z$3:$Z$67&gt;Z55)*(calc!$AA$3:$AA$67&gt;AA55)+(calc!$Z$3:$Z$67&lt;Z55)*(calc!$AA$3:$AA$67&lt;AA55))&gt;0))-SUMPRODUCT(--(calc!$U$3:$U$67=TRUE),--(ROW(calc!$U$3:$U$67)&gt;ROW(U55)),--(((calc!$Z$3:$Z$67&gt;Z55)*(calc!$AA$3:$AA$67&lt;AA55)+(calc!$Z$3:$Z$67&lt;Z55)*(calc!$AA$3:$AA$67&gt;AA55))&gt;0)),0)</f>
        <v/>
      </c>
      <c r="AC55" s="5">
        <f>IF(mos_metrics!I54="","",mos_metrics!I54)</f>
        <v/>
      </c>
      <c r="AD55" s="2">
        <f>AND($J55,ISNUMBER(AC55),correlation!$I$28=1)</f>
        <v/>
      </c>
      <c r="AE55" s="5">
        <f>IF(AD55,$F55,"")</f>
        <v/>
      </c>
      <c r="AF55" s="5">
        <f>IF(AD55,AC55*correlation!$J$28,"")</f>
        <v/>
      </c>
      <c r="AG55" s="5">
        <f>IF(AND(AD55,ISNUMBER(correlation!$F$28)),AF55*correlation!$F$28+correlation!$G$28,"")</f>
        <v/>
      </c>
      <c r="AH55" s="5">
        <f>IF(AND(AD55,ISNUMBER(AG55)),(AE55-AG55)^2,"")</f>
        <v/>
      </c>
      <c r="AI55" s="5">
        <f>IF(AD55,1+SUMPRODUCT(--(calc!$AD$3:$AD$67=TRUE),--(calc!$AE$3:$AE$67&gt;AE55))+(SUMPRODUCT(--(calc!$AD$3:$AD$67=TRUE),--(calc!$AE$3:$AE$67=AE55))-1)/2,"")</f>
        <v/>
      </c>
      <c r="AJ55" s="5">
        <f>IF(AD55,1+SUMPRODUCT(--(calc!$AD$3:$AD$67=TRUE),--(calc!$AF$3:$AF$67&gt;AF55))+(SUMPRODUCT(--(calc!$AD$3:$AD$67=TRUE),--(calc!$AF$3:$AF$67=AF55))-1)/2,"")</f>
        <v/>
      </c>
      <c r="AK55" s="5">
        <f>IF(AD55,SUMPRODUCT(--(calc!$AD$3:$AD$67=TRUE),--(ROW(calc!$AD$3:$AD$67)&gt;ROW(AD55)),--(((calc!$AI$3:$AI$67&gt;AI55)*(calc!$AJ$3:$AJ$67&gt;AJ55)+(calc!$AI$3:$AI$67&lt;AI55)*(calc!$AJ$3:$AJ$67&lt;AJ55))&gt;0))-SUMPRODUCT(--(calc!$AD$3:$AD$67=TRUE),--(ROW(calc!$AD$3:$AD$67)&gt;ROW(AD55)),--(((calc!$AI$3:$AI$67&gt;AI55)*(calc!$AJ$3:$AJ$67&lt;AJ55)+(calc!$AI$3:$AI$67&lt;AI55)*(calc!$AJ$3:$AJ$67&gt;AJ55))&gt;0)),0)</f>
        <v/>
      </c>
      <c r="AL55" s="5">
        <f>IF(mos_metrics!J54="","",mos_metrics!J54)</f>
        <v/>
      </c>
      <c r="AM55" s="2">
        <f>AND($J55,ISNUMBER(AL55),correlation!$I$29=1)</f>
        <v/>
      </c>
      <c r="AN55" s="5">
        <f>IF(AM55,$F55,"")</f>
        <v/>
      </c>
      <c r="AO55" s="5">
        <f>IF(AM55,AL55*correlation!$J$29,"")</f>
        <v/>
      </c>
      <c r="AP55" s="5">
        <f>IF(AND(AM55,ISNUMBER(correlation!$F$29)),AO55*correlation!$F$29+correlation!$G$29,"")</f>
        <v/>
      </c>
      <c r="AQ55" s="5">
        <f>IF(AND(AM55,ISNUMBER(AP55)),(AN55-AP55)^2,"")</f>
        <v/>
      </c>
      <c r="AR55" s="5">
        <f>IF(AM55,1+SUMPRODUCT(--(calc!$AM$3:$AM$67=TRUE),--(calc!$AN$3:$AN$67&gt;AN55))+(SUMPRODUCT(--(calc!$AM$3:$AM$67=TRUE),--(calc!$AN$3:$AN$67=AN55))-1)/2,"")</f>
        <v/>
      </c>
      <c r="AS55" s="5">
        <f>IF(AM55,1+SUMPRODUCT(--(calc!$AM$3:$AM$67=TRUE),--(calc!$AO$3:$AO$67&gt;AO55))+(SUMPRODUCT(--(calc!$AM$3:$AM$67=TRUE),--(calc!$AO$3:$AO$67=AO55))-1)/2,"")</f>
        <v/>
      </c>
      <c r="AT55" s="5">
        <f>IF(AM55,SUMPRODUCT(--(calc!$AM$3:$AM$67=TRUE),--(ROW(calc!$AM$3:$AM$67)&gt;ROW(AM55)),--(((calc!$AR$3:$AR$67&gt;AR55)*(calc!$AS$3:$AS$67&gt;AS55)+(calc!$AR$3:$AR$67&lt;AR55)*(calc!$AS$3:$AS$67&lt;AS55))&gt;0))-SUMPRODUCT(--(calc!$AM$3:$AM$67=TRUE),--(ROW(calc!$AM$3:$AM$67)&gt;ROW(AM55)),--(((calc!$AR$3:$AR$67&gt;AR55)*(calc!$AS$3:$AS$67&lt;AS55)+(calc!$AR$3:$AR$67&lt;AR55)*(calc!$AS$3:$AS$67&gt;AS55))&gt;0)),0)</f>
        <v/>
      </c>
      <c r="AU55" s="5">
        <f>IF(mos_metrics!K54="","",mos_metrics!K54)</f>
        <v/>
      </c>
      <c r="AV55" s="2">
        <f>AND($J55,ISNUMBER(AU55),correlation!$I$30=1)</f>
        <v/>
      </c>
      <c r="AW55" s="5">
        <f>IF(AV55,$F55,"")</f>
        <v/>
      </c>
      <c r="AX55" s="5">
        <f>IF(AV55,AU55*correlation!$J$30,"")</f>
        <v/>
      </c>
      <c r="AY55" s="5">
        <f>IF(AND(AV55,ISNUMBER(correlation!$F$30)),AX55*correlation!$F$30+correlation!$G$30,"")</f>
        <v/>
      </c>
      <c r="AZ55" s="5">
        <f>IF(AND(AV55,ISNUMBER(AY55)),(AW55-AY55)^2,"")</f>
        <v/>
      </c>
      <c r="BA55" s="5">
        <f>IF(AV55,1+SUMPRODUCT(--(calc!$AV$3:$AV$67=TRUE),--(calc!$AW$3:$AW$67&gt;AW55))+(SUMPRODUCT(--(calc!$AV$3:$AV$67=TRUE),--(calc!$AW$3:$AW$67=AW55))-1)/2,"")</f>
        <v/>
      </c>
      <c r="BB55" s="5">
        <f>IF(AV55,1+SUMPRODUCT(--(calc!$AV$3:$AV$67=TRUE),--(calc!$AX$3:$AX$67&gt;AX55))+(SUMPRODUCT(--(calc!$AV$3:$AV$67=TRUE),--(calc!$AX$3:$AX$67=AX55))-1)/2,"")</f>
        <v/>
      </c>
      <c r="BC55" s="5">
        <f>IF(AV55,SUMPRODUCT(--(calc!$AV$3:$AV$67=TRUE),--(ROW(calc!$AV$3:$AV$67)&gt;ROW(AV55)),--(((calc!$BA$3:$BA$67&gt;BA55)*(calc!$BB$3:$BB$67&gt;BB55)+(calc!$BA$3:$BA$67&lt;BA55)*(calc!$BB$3:$BB$67&lt;BB55))&gt;0))-SUMPRODUCT(--(calc!$AV$3:$AV$67=TRUE),--(ROW(calc!$AV$3:$AV$67)&gt;ROW(AV55)),--(((calc!$BA$3:$BA$67&gt;BA55)*(calc!$BB$3:$BB$67&lt;BB55)+(calc!$BA$3:$BA$67&lt;BA55)*(calc!$BB$3:$BB$67&gt;BB55))&gt;0)),0)</f>
        <v/>
      </c>
      <c r="BD55" s="5">
        <f>IF(mos_metrics!L54="","",mos_metrics!L54)</f>
        <v/>
      </c>
      <c r="BE55" s="2">
        <f>AND($J55,ISNUMBER(BD55),correlation!$I$31=1)</f>
        <v/>
      </c>
      <c r="BF55" s="5">
        <f>IF(BE55,$F55,"")</f>
        <v/>
      </c>
      <c r="BG55" s="5">
        <f>IF(BE55,BD55*correlation!$J$31,"")</f>
        <v/>
      </c>
      <c r="BH55" s="5">
        <f>IF(AND(BE55,ISNUMBER(correlation!$F$31)),BG55*correlation!$F$31+correlation!$G$31,"")</f>
        <v/>
      </c>
      <c r="BI55" s="5">
        <f>IF(AND(BE55,ISNUMBER(BH55)),(BF55-BH55)^2,"")</f>
        <v/>
      </c>
      <c r="BJ55" s="5">
        <f>IF(BE55,1+SUMPRODUCT(--(calc!$BE$3:$BE$67=TRUE),--(calc!$BF$3:$BF$67&gt;BF55))+(SUMPRODUCT(--(calc!$BE$3:$BE$67=TRUE),--(calc!$BF$3:$BF$67=BF55))-1)/2,"")</f>
        <v/>
      </c>
      <c r="BK55" s="5">
        <f>IF(BE55,1+SUMPRODUCT(--(calc!$BE$3:$BE$67=TRUE),--(calc!$BG$3:$BG$67&gt;BG55))+(SUMPRODUCT(--(calc!$BE$3:$BE$67=TRUE),--(calc!$BG$3:$BG$67=BG55))-1)/2,"")</f>
        <v/>
      </c>
      <c r="BL55" s="5">
        <f>IF(BE55,SUMPRODUCT(--(calc!$BE$3:$BE$67=TRUE),--(ROW(calc!$BE$3:$BE$67)&gt;ROW(BE55)),--(((calc!$BJ$3:$BJ$67&gt;BJ55)*(calc!$BK$3:$BK$67&gt;BK55)+(calc!$BJ$3:$BJ$67&lt;BJ55)*(calc!$BK$3:$BK$67&lt;BK55))&gt;0))-SUMPRODUCT(--(calc!$BE$3:$BE$67=TRUE),--(ROW(calc!$BE$3:$BE$67)&gt;ROW(BE55)),--(((calc!$BJ$3:$BJ$67&gt;BJ55)*(calc!$BK$3:$BK$67&lt;BK55)+(calc!$BJ$3:$BJ$67&lt;BJ55)*(calc!$BK$3:$BK$67&gt;BK55))&gt;0)),0)</f>
        <v/>
      </c>
      <c r="BM55" s="5">
        <f>IF(mos_metrics!M54="","",mos_metrics!M54)</f>
        <v/>
      </c>
      <c r="BN55" s="2">
        <f>AND($J55,ISNUMBER(BM55),correlation!$I$32=1)</f>
        <v/>
      </c>
      <c r="BO55" s="5">
        <f>IF(BN55,$F55,"")</f>
        <v/>
      </c>
      <c r="BP55" s="5">
        <f>IF(BN55,BM55*correlation!$J$32,"")</f>
        <v/>
      </c>
      <c r="BQ55" s="5">
        <f>IF(AND(BN55,ISNUMBER(correlation!$F$32)),BP55*correlation!$F$32+correlation!$G$32,"")</f>
        <v/>
      </c>
      <c r="BR55" s="5">
        <f>IF(AND(BN55,ISNUMBER(BQ55)),(BO55-BQ55)^2,"")</f>
        <v/>
      </c>
      <c r="BS55" s="5">
        <f>IF(BN55,1+SUMPRODUCT(--(calc!$BN$3:$BN$67=TRUE),--(calc!$BO$3:$BO$67&gt;BO55))+(SUMPRODUCT(--(calc!$BN$3:$BN$67=TRUE),--(calc!$BO$3:$BO$67=BO55))-1)/2,"")</f>
        <v/>
      </c>
      <c r="BT55" s="5">
        <f>IF(BN55,1+SUMPRODUCT(--(calc!$BN$3:$BN$67=TRUE),--(calc!$BP$3:$BP$67&gt;BP55))+(SUMPRODUCT(--(calc!$BN$3:$BN$67=TRUE),--(calc!$BP$3:$BP$67=BP55))-1)/2,"")</f>
        <v/>
      </c>
      <c r="BU55" s="5">
        <f>IF(BN55,SUMPRODUCT(--(calc!$BN$3:$BN$67=TRUE),--(ROW(calc!$BN$3:$BN$67)&gt;ROW(BN55)),--(((calc!$BS$3:$BS$67&gt;BS55)*(calc!$BT$3:$BT$67&gt;BT55)+(calc!$BS$3:$BS$67&lt;BS55)*(calc!$BT$3:$BT$67&lt;BT55))&gt;0))-SUMPRODUCT(--(calc!$BN$3:$BN$67=TRUE),--(ROW(calc!$BN$3:$BN$67)&gt;ROW(BN55)),--(((calc!$BS$3:$BS$67&gt;BS55)*(calc!$BT$3:$BT$67&lt;BT55)+(calc!$BS$3:$BS$67&lt;BS55)*(calc!$BT$3:$BT$67&gt;BT55))&gt;0)),0)</f>
        <v/>
      </c>
    </row>
    <row r="56">
      <c r="A56" s="2">
        <f>mos_metrics!A55</f>
        <v/>
      </c>
      <c r="B56" s="2">
        <f>mos_metrics!B55</f>
        <v/>
      </c>
      <c r="C56" s="2">
        <f>mos_metrics!C55</f>
        <v/>
      </c>
      <c r="D56" s="2">
        <f>mos_metrics!D55</f>
        <v/>
      </c>
      <c r="E56" s="2">
        <f>mos_metrics!E55</f>
        <v/>
      </c>
      <c r="F56" s="2">
        <f>mos_metrics!F55</f>
        <v/>
      </c>
      <c r="G56" s="2">
        <f>IF($B56="","",IFERROR(VLOOKUP($B56,correlation!$A$2:$B$6,2,FALSE),1))</f>
        <v/>
      </c>
      <c r="H56" s="2">
        <f>IF($E56="","",IFERROR(VLOOKUP($E56,correlation!$D$2:$E$8,2,FALSE),1))</f>
        <v/>
      </c>
      <c r="I56" s="2">
        <f>ISNUMBER($F56)</f>
        <v/>
      </c>
      <c r="J56" s="2">
        <f>AND($G56=1,$H56=1,$I56)</f>
        <v/>
      </c>
      <c r="K56" s="5">
        <f>IF(mos_metrics!G55="","",mos_metrics!G55)</f>
        <v/>
      </c>
      <c r="L56" s="2">
        <f>AND($J56,ISNUMBER(K56),correlation!$I$26=1)</f>
        <v/>
      </c>
      <c r="M56" s="5">
        <f>IF(L56,$F56,"")</f>
        <v/>
      </c>
      <c r="N56" s="5">
        <f>IF(L56,K56*correlation!$J$26,"")</f>
        <v/>
      </c>
      <c r="O56" s="5">
        <f>IF(AND(L56,ISNUMBER(correlation!$F$26)),N56*correlation!$F$26+correlation!$G$26,"")</f>
        <v/>
      </c>
      <c r="P56" s="5">
        <f>IF(AND(L56,ISNUMBER(O56)),(M56-O56)^2,"")</f>
        <v/>
      </c>
      <c r="Q56" s="5">
        <f>IF(L56,1+SUMPRODUCT(--(calc!$L$3:$L$67=TRUE),--(calc!$M$3:$M$67&gt;M56))+(SUMPRODUCT(--(calc!$L$3:$L$67=TRUE),--(calc!$M$3:$M$67=M56))-1)/2,"")</f>
        <v/>
      </c>
      <c r="R56" s="5">
        <f>IF(L56,1+SUMPRODUCT(--(calc!$L$3:$L$67=TRUE),--(calc!$N$3:$N$67&gt;N56))+(SUMPRODUCT(--(calc!$L$3:$L$67=TRUE),--(calc!$N$3:$N$67=N56))-1)/2,"")</f>
        <v/>
      </c>
      <c r="S56" s="5">
        <f>IF(L56,SUMPRODUCT(--(calc!$L$3:$L$67=TRUE),--(ROW(calc!$L$3:$L$67)&gt;ROW(L56)),--(((calc!$Q$3:$Q$67&gt;Q56)*(calc!$R$3:$R$67&gt;R56)+(calc!$Q$3:$Q$67&lt;Q56)*(calc!$R$3:$R$67&lt;R56))&gt;0))-SUMPRODUCT(--(calc!$L$3:$L$67=TRUE),--(ROW(calc!$L$3:$L$67)&gt;ROW(L56)),--(((calc!$Q$3:$Q$67&gt;Q56)*(calc!$R$3:$R$67&lt;R56)+(calc!$Q$3:$Q$67&lt;Q56)*(calc!$R$3:$R$67&gt;R56))&gt;0)),0)</f>
        <v/>
      </c>
      <c r="T56" s="5">
        <f>IF(mos_metrics!H55="","",mos_metrics!H55)</f>
        <v/>
      </c>
      <c r="U56" s="2">
        <f>AND($J56,ISNUMBER(T56),correlation!$I$27=1)</f>
        <v/>
      </c>
      <c r="V56" s="5">
        <f>IF(U56,$F56,"")</f>
        <v/>
      </c>
      <c r="W56" s="5">
        <f>IF(U56,T56*correlation!$J$27,"")</f>
        <v/>
      </c>
      <c r="X56" s="5">
        <f>IF(AND(U56,ISNUMBER(correlation!$F$27)),W56*correlation!$F$27+correlation!$G$27,"")</f>
        <v/>
      </c>
      <c r="Y56" s="5">
        <f>IF(AND(U56,ISNUMBER(X56)),(V56-X56)^2,"")</f>
        <v/>
      </c>
      <c r="Z56" s="5">
        <f>IF(U56,1+SUMPRODUCT(--(calc!$U$3:$U$67=TRUE),--(calc!$V$3:$V$67&gt;V56))+(SUMPRODUCT(--(calc!$U$3:$U$67=TRUE),--(calc!$V$3:$V$67=V56))-1)/2,"")</f>
        <v/>
      </c>
      <c r="AA56" s="5">
        <f>IF(U56,1+SUMPRODUCT(--(calc!$U$3:$U$67=TRUE),--(calc!$W$3:$W$67&gt;W56))+(SUMPRODUCT(--(calc!$U$3:$U$67=TRUE),--(calc!$W$3:$W$67=W56))-1)/2,"")</f>
        <v/>
      </c>
      <c r="AB56" s="5">
        <f>IF(U56,SUMPRODUCT(--(calc!$U$3:$U$67=TRUE),--(ROW(calc!$U$3:$U$67)&gt;ROW(U56)),--(((calc!$Z$3:$Z$67&gt;Z56)*(calc!$AA$3:$AA$67&gt;AA56)+(calc!$Z$3:$Z$67&lt;Z56)*(calc!$AA$3:$AA$67&lt;AA56))&gt;0))-SUMPRODUCT(--(calc!$U$3:$U$67=TRUE),--(ROW(calc!$U$3:$U$67)&gt;ROW(U56)),--(((calc!$Z$3:$Z$67&gt;Z56)*(calc!$AA$3:$AA$67&lt;AA56)+(calc!$Z$3:$Z$67&lt;Z56)*(calc!$AA$3:$AA$67&gt;AA56))&gt;0)),0)</f>
        <v/>
      </c>
      <c r="AC56" s="5">
        <f>IF(mos_metrics!I55="","",mos_metrics!I55)</f>
        <v/>
      </c>
      <c r="AD56" s="2">
        <f>AND($J56,ISNUMBER(AC56),correlation!$I$28=1)</f>
        <v/>
      </c>
      <c r="AE56" s="5">
        <f>IF(AD56,$F56,"")</f>
        <v/>
      </c>
      <c r="AF56" s="5">
        <f>IF(AD56,AC56*correlation!$J$28,"")</f>
        <v/>
      </c>
      <c r="AG56" s="5">
        <f>IF(AND(AD56,ISNUMBER(correlation!$F$28)),AF56*correlation!$F$28+correlation!$G$28,"")</f>
        <v/>
      </c>
      <c r="AH56" s="5">
        <f>IF(AND(AD56,ISNUMBER(AG56)),(AE56-AG56)^2,"")</f>
        <v/>
      </c>
      <c r="AI56" s="5">
        <f>IF(AD56,1+SUMPRODUCT(--(calc!$AD$3:$AD$67=TRUE),--(calc!$AE$3:$AE$67&gt;AE56))+(SUMPRODUCT(--(calc!$AD$3:$AD$67=TRUE),--(calc!$AE$3:$AE$67=AE56))-1)/2,"")</f>
        <v/>
      </c>
      <c r="AJ56" s="5">
        <f>IF(AD56,1+SUMPRODUCT(--(calc!$AD$3:$AD$67=TRUE),--(calc!$AF$3:$AF$67&gt;AF56))+(SUMPRODUCT(--(calc!$AD$3:$AD$67=TRUE),--(calc!$AF$3:$AF$67=AF56))-1)/2,"")</f>
        <v/>
      </c>
      <c r="AK56" s="5">
        <f>IF(AD56,SUMPRODUCT(--(calc!$AD$3:$AD$67=TRUE),--(ROW(calc!$AD$3:$AD$67)&gt;ROW(AD56)),--(((calc!$AI$3:$AI$67&gt;AI56)*(calc!$AJ$3:$AJ$67&gt;AJ56)+(calc!$AI$3:$AI$67&lt;AI56)*(calc!$AJ$3:$AJ$67&lt;AJ56))&gt;0))-SUMPRODUCT(--(calc!$AD$3:$AD$67=TRUE),--(ROW(calc!$AD$3:$AD$67)&gt;ROW(AD56)),--(((calc!$AI$3:$AI$67&gt;AI56)*(calc!$AJ$3:$AJ$67&lt;AJ56)+(calc!$AI$3:$AI$67&lt;AI56)*(calc!$AJ$3:$AJ$67&gt;AJ56))&gt;0)),0)</f>
        <v/>
      </c>
      <c r="AL56" s="5">
        <f>IF(mos_metrics!J55="","",mos_metrics!J55)</f>
        <v/>
      </c>
      <c r="AM56" s="2">
        <f>AND($J56,ISNUMBER(AL56),correlation!$I$29=1)</f>
        <v/>
      </c>
      <c r="AN56" s="5">
        <f>IF(AM56,$F56,"")</f>
        <v/>
      </c>
      <c r="AO56" s="5">
        <f>IF(AM56,AL56*correlation!$J$29,"")</f>
        <v/>
      </c>
      <c r="AP56" s="5">
        <f>IF(AND(AM56,ISNUMBER(correlation!$F$29)),AO56*correlation!$F$29+correlation!$G$29,"")</f>
        <v/>
      </c>
      <c r="AQ56" s="5">
        <f>IF(AND(AM56,ISNUMBER(AP56)),(AN56-AP56)^2,"")</f>
        <v/>
      </c>
      <c r="AR56" s="5">
        <f>IF(AM56,1+SUMPRODUCT(--(calc!$AM$3:$AM$67=TRUE),--(calc!$AN$3:$AN$67&gt;AN56))+(SUMPRODUCT(--(calc!$AM$3:$AM$67=TRUE),--(calc!$AN$3:$AN$67=AN56))-1)/2,"")</f>
        <v/>
      </c>
      <c r="AS56" s="5">
        <f>IF(AM56,1+SUMPRODUCT(--(calc!$AM$3:$AM$67=TRUE),--(calc!$AO$3:$AO$67&gt;AO56))+(SUMPRODUCT(--(calc!$AM$3:$AM$67=TRUE),--(calc!$AO$3:$AO$67=AO56))-1)/2,"")</f>
        <v/>
      </c>
      <c r="AT56" s="5">
        <f>IF(AM56,SUMPRODUCT(--(calc!$AM$3:$AM$67=TRUE),--(ROW(calc!$AM$3:$AM$67)&gt;ROW(AM56)),--(((calc!$AR$3:$AR$67&gt;AR56)*(calc!$AS$3:$AS$67&gt;AS56)+(calc!$AR$3:$AR$67&lt;AR56)*(calc!$AS$3:$AS$67&lt;AS56))&gt;0))-SUMPRODUCT(--(calc!$AM$3:$AM$67=TRUE),--(ROW(calc!$AM$3:$AM$67)&gt;ROW(AM56)),--(((calc!$AR$3:$AR$67&gt;AR56)*(calc!$AS$3:$AS$67&lt;AS56)+(calc!$AR$3:$AR$67&lt;AR56)*(calc!$AS$3:$AS$67&gt;AS56))&gt;0)),0)</f>
        <v/>
      </c>
      <c r="AU56" s="5">
        <f>IF(mos_metrics!K55="","",mos_metrics!K55)</f>
        <v/>
      </c>
      <c r="AV56" s="2">
        <f>AND($J56,ISNUMBER(AU56),correlation!$I$30=1)</f>
        <v/>
      </c>
      <c r="AW56" s="5">
        <f>IF(AV56,$F56,"")</f>
        <v/>
      </c>
      <c r="AX56" s="5">
        <f>IF(AV56,AU56*correlation!$J$30,"")</f>
        <v/>
      </c>
      <c r="AY56" s="5">
        <f>IF(AND(AV56,ISNUMBER(correlation!$F$30)),AX56*correlation!$F$30+correlation!$G$30,"")</f>
        <v/>
      </c>
      <c r="AZ56" s="5">
        <f>IF(AND(AV56,ISNUMBER(AY56)),(AW56-AY56)^2,"")</f>
        <v/>
      </c>
      <c r="BA56" s="5">
        <f>IF(AV56,1+SUMPRODUCT(--(calc!$AV$3:$AV$67=TRUE),--(calc!$AW$3:$AW$67&gt;AW56))+(SUMPRODUCT(--(calc!$AV$3:$AV$67=TRUE),--(calc!$AW$3:$AW$67=AW56))-1)/2,"")</f>
        <v/>
      </c>
      <c r="BB56" s="5">
        <f>IF(AV56,1+SUMPRODUCT(--(calc!$AV$3:$AV$67=TRUE),--(calc!$AX$3:$AX$67&gt;AX56))+(SUMPRODUCT(--(calc!$AV$3:$AV$67=TRUE),--(calc!$AX$3:$AX$67=AX56))-1)/2,"")</f>
        <v/>
      </c>
      <c r="BC56" s="5">
        <f>IF(AV56,SUMPRODUCT(--(calc!$AV$3:$AV$67=TRUE),--(ROW(calc!$AV$3:$AV$67)&gt;ROW(AV56)),--(((calc!$BA$3:$BA$67&gt;BA56)*(calc!$BB$3:$BB$67&gt;BB56)+(calc!$BA$3:$BA$67&lt;BA56)*(calc!$BB$3:$BB$67&lt;BB56))&gt;0))-SUMPRODUCT(--(calc!$AV$3:$AV$67=TRUE),--(ROW(calc!$AV$3:$AV$67)&gt;ROW(AV56)),--(((calc!$BA$3:$BA$67&gt;BA56)*(calc!$BB$3:$BB$67&lt;BB56)+(calc!$BA$3:$BA$67&lt;BA56)*(calc!$BB$3:$BB$67&gt;BB56))&gt;0)),0)</f>
        <v/>
      </c>
      <c r="BD56" s="5">
        <f>IF(mos_metrics!L55="","",mos_metrics!L55)</f>
        <v/>
      </c>
      <c r="BE56" s="2">
        <f>AND($J56,ISNUMBER(BD56),correlation!$I$31=1)</f>
        <v/>
      </c>
      <c r="BF56" s="5">
        <f>IF(BE56,$F56,"")</f>
        <v/>
      </c>
      <c r="BG56" s="5">
        <f>IF(BE56,BD56*correlation!$J$31,"")</f>
        <v/>
      </c>
      <c r="BH56" s="5">
        <f>IF(AND(BE56,ISNUMBER(correlation!$F$31)),BG56*correlation!$F$31+correlation!$G$31,"")</f>
        <v/>
      </c>
      <c r="BI56" s="5">
        <f>IF(AND(BE56,ISNUMBER(BH56)),(BF56-BH56)^2,"")</f>
        <v/>
      </c>
      <c r="BJ56" s="5">
        <f>IF(BE56,1+SUMPRODUCT(--(calc!$BE$3:$BE$67=TRUE),--(calc!$BF$3:$BF$67&gt;BF56))+(SUMPRODUCT(--(calc!$BE$3:$BE$67=TRUE),--(calc!$BF$3:$BF$67=BF56))-1)/2,"")</f>
        <v/>
      </c>
      <c r="BK56" s="5">
        <f>IF(BE56,1+SUMPRODUCT(--(calc!$BE$3:$BE$67=TRUE),--(calc!$BG$3:$BG$67&gt;BG56))+(SUMPRODUCT(--(calc!$BE$3:$BE$67=TRUE),--(calc!$BG$3:$BG$67=BG56))-1)/2,"")</f>
        <v/>
      </c>
      <c r="BL56" s="5">
        <f>IF(BE56,SUMPRODUCT(--(calc!$BE$3:$BE$67=TRUE),--(ROW(calc!$BE$3:$BE$67)&gt;ROW(BE56)),--(((calc!$BJ$3:$BJ$67&gt;BJ56)*(calc!$BK$3:$BK$67&gt;BK56)+(calc!$BJ$3:$BJ$67&lt;BJ56)*(calc!$BK$3:$BK$67&lt;BK56))&gt;0))-SUMPRODUCT(--(calc!$BE$3:$BE$67=TRUE),--(ROW(calc!$BE$3:$BE$67)&gt;ROW(BE56)),--(((calc!$BJ$3:$BJ$67&gt;BJ56)*(calc!$BK$3:$BK$67&lt;BK56)+(calc!$BJ$3:$BJ$67&lt;BJ56)*(calc!$BK$3:$BK$67&gt;BK56))&gt;0)),0)</f>
        <v/>
      </c>
      <c r="BM56" s="5">
        <f>IF(mos_metrics!M55="","",mos_metrics!M55)</f>
        <v/>
      </c>
      <c r="BN56" s="2">
        <f>AND($J56,ISNUMBER(BM56),correlation!$I$32=1)</f>
        <v/>
      </c>
      <c r="BO56" s="5">
        <f>IF(BN56,$F56,"")</f>
        <v/>
      </c>
      <c r="BP56" s="5">
        <f>IF(BN56,BM56*correlation!$J$32,"")</f>
        <v/>
      </c>
      <c r="BQ56" s="5">
        <f>IF(AND(BN56,ISNUMBER(correlation!$F$32)),BP56*correlation!$F$32+correlation!$G$32,"")</f>
        <v/>
      </c>
      <c r="BR56" s="5">
        <f>IF(AND(BN56,ISNUMBER(BQ56)),(BO56-BQ56)^2,"")</f>
        <v/>
      </c>
      <c r="BS56" s="5">
        <f>IF(BN56,1+SUMPRODUCT(--(calc!$BN$3:$BN$67=TRUE),--(calc!$BO$3:$BO$67&gt;BO56))+(SUMPRODUCT(--(calc!$BN$3:$BN$67=TRUE),--(calc!$BO$3:$BO$67=BO56))-1)/2,"")</f>
        <v/>
      </c>
      <c r="BT56" s="5">
        <f>IF(BN56,1+SUMPRODUCT(--(calc!$BN$3:$BN$67=TRUE),--(calc!$BP$3:$BP$67&gt;BP56))+(SUMPRODUCT(--(calc!$BN$3:$BN$67=TRUE),--(calc!$BP$3:$BP$67=BP56))-1)/2,"")</f>
        <v/>
      </c>
      <c r="BU56" s="5">
        <f>IF(BN56,SUMPRODUCT(--(calc!$BN$3:$BN$67=TRUE),--(ROW(calc!$BN$3:$BN$67)&gt;ROW(BN56)),--(((calc!$BS$3:$BS$67&gt;BS56)*(calc!$BT$3:$BT$67&gt;BT56)+(calc!$BS$3:$BS$67&lt;BS56)*(calc!$BT$3:$BT$67&lt;BT56))&gt;0))-SUMPRODUCT(--(calc!$BN$3:$BN$67=TRUE),--(ROW(calc!$BN$3:$BN$67)&gt;ROW(BN56)),--(((calc!$BS$3:$BS$67&gt;BS56)*(calc!$BT$3:$BT$67&lt;BT56)+(calc!$BS$3:$BS$67&lt;BS56)*(calc!$BT$3:$BT$67&gt;BT56))&gt;0)),0)</f>
        <v/>
      </c>
    </row>
    <row r="57">
      <c r="A57" s="2">
        <f>mos_metrics!A56</f>
        <v/>
      </c>
      <c r="B57" s="2">
        <f>mos_metrics!B56</f>
        <v/>
      </c>
      <c r="C57" s="2">
        <f>mos_metrics!C56</f>
        <v/>
      </c>
      <c r="D57" s="2">
        <f>mos_metrics!D56</f>
        <v/>
      </c>
      <c r="E57" s="2">
        <f>mos_metrics!E56</f>
        <v/>
      </c>
      <c r="F57" s="2">
        <f>mos_metrics!F56</f>
        <v/>
      </c>
      <c r="G57" s="2">
        <f>IF($B57="","",IFERROR(VLOOKUP($B57,correlation!$A$2:$B$6,2,FALSE),1))</f>
        <v/>
      </c>
      <c r="H57" s="2">
        <f>IF($E57="","",IFERROR(VLOOKUP($E57,correlation!$D$2:$E$8,2,FALSE),1))</f>
        <v/>
      </c>
      <c r="I57" s="2">
        <f>ISNUMBER($F57)</f>
        <v/>
      </c>
      <c r="J57" s="2">
        <f>AND($G57=1,$H57=1,$I57)</f>
        <v/>
      </c>
      <c r="K57" s="5">
        <f>IF(mos_metrics!G56="","",mos_metrics!G56)</f>
        <v/>
      </c>
      <c r="L57" s="2">
        <f>AND($J57,ISNUMBER(K57),correlation!$I$26=1)</f>
        <v/>
      </c>
      <c r="M57" s="5">
        <f>IF(L57,$F57,"")</f>
        <v/>
      </c>
      <c r="N57" s="5">
        <f>IF(L57,K57*correlation!$J$26,"")</f>
        <v/>
      </c>
      <c r="O57" s="5">
        <f>IF(AND(L57,ISNUMBER(correlation!$F$26)),N57*correlation!$F$26+correlation!$G$26,"")</f>
        <v/>
      </c>
      <c r="P57" s="5">
        <f>IF(AND(L57,ISNUMBER(O57)),(M57-O57)^2,"")</f>
        <v/>
      </c>
      <c r="Q57" s="5">
        <f>IF(L57,1+SUMPRODUCT(--(calc!$L$3:$L$67=TRUE),--(calc!$M$3:$M$67&gt;M57))+(SUMPRODUCT(--(calc!$L$3:$L$67=TRUE),--(calc!$M$3:$M$67=M57))-1)/2,"")</f>
        <v/>
      </c>
      <c r="R57" s="5">
        <f>IF(L57,1+SUMPRODUCT(--(calc!$L$3:$L$67=TRUE),--(calc!$N$3:$N$67&gt;N57))+(SUMPRODUCT(--(calc!$L$3:$L$67=TRUE),--(calc!$N$3:$N$67=N57))-1)/2,"")</f>
        <v/>
      </c>
      <c r="S57" s="5">
        <f>IF(L57,SUMPRODUCT(--(calc!$L$3:$L$67=TRUE),--(ROW(calc!$L$3:$L$67)&gt;ROW(L57)),--(((calc!$Q$3:$Q$67&gt;Q57)*(calc!$R$3:$R$67&gt;R57)+(calc!$Q$3:$Q$67&lt;Q57)*(calc!$R$3:$R$67&lt;R57))&gt;0))-SUMPRODUCT(--(calc!$L$3:$L$67=TRUE),--(ROW(calc!$L$3:$L$67)&gt;ROW(L57)),--(((calc!$Q$3:$Q$67&gt;Q57)*(calc!$R$3:$R$67&lt;R57)+(calc!$Q$3:$Q$67&lt;Q57)*(calc!$R$3:$R$67&gt;R57))&gt;0)),0)</f>
        <v/>
      </c>
      <c r="T57" s="5">
        <f>IF(mos_metrics!H56="","",mos_metrics!H56)</f>
        <v/>
      </c>
      <c r="U57" s="2">
        <f>AND($J57,ISNUMBER(T57),correlation!$I$27=1)</f>
        <v/>
      </c>
      <c r="V57" s="5">
        <f>IF(U57,$F57,"")</f>
        <v/>
      </c>
      <c r="W57" s="5">
        <f>IF(U57,T57*correlation!$J$27,"")</f>
        <v/>
      </c>
      <c r="X57" s="5">
        <f>IF(AND(U57,ISNUMBER(correlation!$F$27)),W57*correlation!$F$27+correlation!$G$27,"")</f>
        <v/>
      </c>
      <c r="Y57" s="5">
        <f>IF(AND(U57,ISNUMBER(X57)),(V57-X57)^2,"")</f>
        <v/>
      </c>
      <c r="Z57" s="5">
        <f>IF(U57,1+SUMPRODUCT(--(calc!$U$3:$U$67=TRUE),--(calc!$V$3:$V$67&gt;V57))+(SUMPRODUCT(--(calc!$U$3:$U$67=TRUE),--(calc!$V$3:$V$67=V57))-1)/2,"")</f>
        <v/>
      </c>
      <c r="AA57" s="5">
        <f>IF(U57,1+SUMPRODUCT(--(calc!$U$3:$U$67=TRUE),--(calc!$W$3:$W$67&gt;W57))+(SUMPRODUCT(--(calc!$U$3:$U$67=TRUE),--(calc!$W$3:$W$67=W57))-1)/2,"")</f>
        <v/>
      </c>
      <c r="AB57" s="5">
        <f>IF(U57,SUMPRODUCT(--(calc!$U$3:$U$67=TRUE),--(ROW(calc!$U$3:$U$67)&gt;ROW(U57)),--(((calc!$Z$3:$Z$67&gt;Z57)*(calc!$AA$3:$AA$67&gt;AA57)+(calc!$Z$3:$Z$67&lt;Z57)*(calc!$AA$3:$AA$67&lt;AA57))&gt;0))-SUMPRODUCT(--(calc!$U$3:$U$67=TRUE),--(ROW(calc!$U$3:$U$67)&gt;ROW(U57)),--(((calc!$Z$3:$Z$67&gt;Z57)*(calc!$AA$3:$AA$67&lt;AA57)+(calc!$Z$3:$Z$67&lt;Z57)*(calc!$AA$3:$AA$67&gt;AA57))&gt;0)),0)</f>
        <v/>
      </c>
      <c r="AC57" s="5">
        <f>IF(mos_metrics!I56="","",mos_metrics!I56)</f>
        <v/>
      </c>
      <c r="AD57" s="2">
        <f>AND($J57,ISNUMBER(AC57),correlation!$I$28=1)</f>
        <v/>
      </c>
      <c r="AE57" s="5">
        <f>IF(AD57,$F57,"")</f>
        <v/>
      </c>
      <c r="AF57" s="5">
        <f>IF(AD57,AC57*correlation!$J$28,"")</f>
        <v/>
      </c>
      <c r="AG57" s="5">
        <f>IF(AND(AD57,ISNUMBER(correlation!$F$28)),AF57*correlation!$F$28+correlation!$G$28,"")</f>
        <v/>
      </c>
      <c r="AH57" s="5">
        <f>IF(AND(AD57,ISNUMBER(AG57)),(AE57-AG57)^2,"")</f>
        <v/>
      </c>
      <c r="AI57" s="5">
        <f>IF(AD57,1+SUMPRODUCT(--(calc!$AD$3:$AD$67=TRUE),--(calc!$AE$3:$AE$67&gt;AE57))+(SUMPRODUCT(--(calc!$AD$3:$AD$67=TRUE),--(calc!$AE$3:$AE$67=AE57))-1)/2,"")</f>
        <v/>
      </c>
      <c r="AJ57" s="5">
        <f>IF(AD57,1+SUMPRODUCT(--(calc!$AD$3:$AD$67=TRUE),--(calc!$AF$3:$AF$67&gt;AF57))+(SUMPRODUCT(--(calc!$AD$3:$AD$67=TRUE),--(calc!$AF$3:$AF$67=AF57))-1)/2,"")</f>
        <v/>
      </c>
      <c r="AK57" s="5">
        <f>IF(AD57,SUMPRODUCT(--(calc!$AD$3:$AD$67=TRUE),--(ROW(calc!$AD$3:$AD$67)&gt;ROW(AD57)),--(((calc!$AI$3:$AI$67&gt;AI57)*(calc!$AJ$3:$AJ$67&gt;AJ57)+(calc!$AI$3:$AI$67&lt;AI57)*(calc!$AJ$3:$AJ$67&lt;AJ57))&gt;0))-SUMPRODUCT(--(calc!$AD$3:$AD$67=TRUE),--(ROW(calc!$AD$3:$AD$67)&gt;ROW(AD57)),--(((calc!$AI$3:$AI$67&gt;AI57)*(calc!$AJ$3:$AJ$67&lt;AJ57)+(calc!$AI$3:$AI$67&lt;AI57)*(calc!$AJ$3:$AJ$67&gt;AJ57))&gt;0)),0)</f>
        <v/>
      </c>
      <c r="AL57" s="5">
        <f>IF(mos_metrics!J56="","",mos_metrics!J56)</f>
        <v/>
      </c>
      <c r="AM57" s="2">
        <f>AND($J57,ISNUMBER(AL57),correlation!$I$29=1)</f>
        <v/>
      </c>
      <c r="AN57" s="5">
        <f>IF(AM57,$F57,"")</f>
        <v/>
      </c>
      <c r="AO57" s="5">
        <f>IF(AM57,AL57*correlation!$J$29,"")</f>
        <v/>
      </c>
      <c r="AP57" s="5">
        <f>IF(AND(AM57,ISNUMBER(correlation!$F$29)),AO57*correlation!$F$29+correlation!$G$29,"")</f>
        <v/>
      </c>
      <c r="AQ57" s="5">
        <f>IF(AND(AM57,ISNUMBER(AP57)),(AN57-AP57)^2,"")</f>
        <v/>
      </c>
      <c r="AR57" s="5">
        <f>IF(AM57,1+SUMPRODUCT(--(calc!$AM$3:$AM$67=TRUE),--(calc!$AN$3:$AN$67&gt;AN57))+(SUMPRODUCT(--(calc!$AM$3:$AM$67=TRUE),--(calc!$AN$3:$AN$67=AN57))-1)/2,"")</f>
        <v/>
      </c>
      <c r="AS57" s="5">
        <f>IF(AM57,1+SUMPRODUCT(--(calc!$AM$3:$AM$67=TRUE),--(calc!$AO$3:$AO$67&gt;AO57))+(SUMPRODUCT(--(calc!$AM$3:$AM$67=TRUE),--(calc!$AO$3:$AO$67=AO57))-1)/2,"")</f>
        <v/>
      </c>
      <c r="AT57" s="5">
        <f>IF(AM57,SUMPRODUCT(--(calc!$AM$3:$AM$67=TRUE),--(ROW(calc!$AM$3:$AM$67)&gt;ROW(AM57)),--(((calc!$AR$3:$AR$67&gt;AR57)*(calc!$AS$3:$AS$67&gt;AS57)+(calc!$AR$3:$AR$67&lt;AR57)*(calc!$AS$3:$AS$67&lt;AS57))&gt;0))-SUMPRODUCT(--(calc!$AM$3:$AM$67=TRUE),--(ROW(calc!$AM$3:$AM$67)&gt;ROW(AM57)),--(((calc!$AR$3:$AR$67&gt;AR57)*(calc!$AS$3:$AS$67&lt;AS57)+(calc!$AR$3:$AR$67&lt;AR57)*(calc!$AS$3:$AS$67&gt;AS57))&gt;0)),0)</f>
        <v/>
      </c>
      <c r="AU57" s="5">
        <f>IF(mos_metrics!K56="","",mos_metrics!K56)</f>
        <v/>
      </c>
      <c r="AV57" s="2">
        <f>AND($J57,ISNUMBER(AU57),correlation!$I$30=1)</f>
        <v/>
      </c>
      <c r="AW57" s="5">
        <f>IF(AV57,$F57,"")</f>
        <v/>
      </c>
      <c r="AX57" s="5">
        <f>IF(AV57,AU57*correlation!$J$30,"")</f>
        <v/>
      </c>
      <c r="AY57" s="5">
        <f>IF(AND(AV57,ISNUMBER(correlation!$F$30)),AX57*correlation!$F$30+correlation!$G$30,"")</f>
        <v/>
      </c>
      <c r="AZ57" s="5">
        <f>IF(AND(AV57,ISNUMBER(AY57)),(AW57-AY57)^2,"")</f>
        <v/>
      </c>
      <c r="BA57" s="5">
        <f>IF(AV57,1+SUMPRODUCT(--(calc!$AV$3:$AV$67=TRUE),--(calc!$AW$3:$AW$67&gt;AW57))+(SUMPRODUCT(--(calc!$AV$3:$AV$67=TRUE),--(calc!$AW$3:$AW$67=AW57))-1)/2,"")</f>
        <v/>
      </c>
      <c r="BB57" s="5">
        <f>IF(AV57,1+SUMPRODUCT(--(calc!$AV$3:$AV$67=TRUE),--(calc!$AX$3:$AX$67&gt;AX57))+(SUMPRODUCT(--(calc!$AV$3:$AV$67=TRUE),--(calc!$AX$3:$AX$67=AX57))-1)/2,"")</f>
        <v/>
      </c>
      <c r="BC57" s="5">
        <f>IF(AV57,SUMPRODUCT(--(calc!$AV$3:$AV$67=TRUE),--(ROW(calc!$AV$3:$AV$67)&gt;ROW(AV57)),--(((calc!$BA$3:$BA$67&gt;BA57)*(calc!$BB$3:$BB$67&gt;BB57)+(calc!$BA$3:$BA$67&lt;BA57)*(calc!$BB$3:$BB$67&lt;BB57))&gt;0))-SUMPRODUCT(--(calc!$AV$3:$AV$67=TRUE),--(ROW(calc!$AV$3:$AV$67)&gt;ROW(AV57)),--(((calc!$BA$3:$BA$67&gt;BA57)*(calc!$BB$3:$BB$67&lt;BB57)+(calc!$BA$3:$BA$67&lt;BA57)*(calc!$BB$3:$BB$67&gt;BB57))&gt;0)),0)</f>
        <v/>
      </c>
      <c r="BD57" s="5">
        <f>IF(mos_metrics!L56="","",mos_metrics!L56)</f>
        <v/>
      </c>
      <c r="BE57" s="2">
        <f>AND($J57,ISNUMBER(BD57),correlation!$I$31=1)</f>
        <v/>
      </c>
      <c r="BF57" s="5">
        <f>IF(BE57,$F57,"")</f>
        <v/>
      </c>
      <c r="BG57" s="5">
        <f>IF(BE57,BD57*correlation!$J$31,"")</f>
        <v/>
      </c>
      <c r="BH57" s="5">
        <f>IF(AND(BE57,ISNUMBER(correlation!$F$31)),BG57*correlation!$F$31+correlation!$G$31,"")</f>
        <v/>
      </c>
      <c r="BI57" s="5">
        <f>IF(AND(BE57,ISNUMBER(BH57)),(BF57-BH57)^2,"")</f>
        <v/>
      </c>
      <c r="BJ57" s="5">
        <f>IF(BE57,1+SUMPRODUCT(--(calc!$BE$3:$BE$67=TRUE),--(calc!$BF$3:$BF$67&gt;BF57))+(SUMPRODUCT(--(calc!$BE$3:$BE$67=TRUE),--(calc!$BF$3:$BF$67=BF57))-1)/2,"")</f>
        <v/>
      </c>
      <c r="BK57" s="5">
        <f>IF(BE57,1+SUMPRODUCT(--(calc!$BE$3:$BE$67=TRUE),--(calc!$BG$3:$BG$67&gt;BG57))+(SUMPRODUCT(--(calc!$BE$3:$BE$67=TRUE),--(calc!$BG$3:$BG$67=BG57))-1)/2,"")</f>
        <v/>
      </c>
      <c r="BL57" s="5">
        <f>IF(BE57,SUMPRODUCT(--(calc!$BE$3:$BE$67=TRUE),--(ROW(calc!$BE$3:$BE$67)&gt;ROW(BE57)),--(((calc!$BJ$3:$BJ$67&gt;BJ57)*(calc!$BK$3:$BK$67&gt;BK57)+(calc!$BJ$3:$BJ$67&lt;BJ57)*(calc!$BK$3:$BK$67&lt;BK57))&gt;0))-SUMPRODUCT(--(calc!$BE$3:$BE$67=TRUE),--(ROW(calc!$BE$3:$BE$67)&gt;ROW(BE57)),--(((calc!$BJ$3:$BJ$67&gt;BJ57)*(calc!$BK$3:$BK$67&lt;BK57)+(calc!$BJ$3:$BJ$67&lt;BJ57)*(calc!$BK$3:$BK$67&gt;BK57))&gt;0)),0)</f>
        <v/>
      </c>
      <c r="BM57" s="5">
        <f>IF(mos_metrics!M56="","",mos_metrics!M56)</f>
        <v/>
      </c>
      <c r="BN57" s="2">
        <f>AND($J57,ISNUMBER(BM57),correlation!$I$32=1)</f>
        <v/>
      </c>
      <c r="BO57" s="5">
        <f>IF(BN57,$F57,"")</f>
        <v/>
      </c>
      <c r="BP57" s="5">
        <f>IF(BN57,BM57*correlation!$J$32,"")</f>
        <v/>
      </c>
      <c r="BQ57" s="5">
        <f>IF(AND(BN57,ISNUMBER(correlation!$F$32)),BP57*correlation!$F$32+correlation!$G$32,"")</f>
        <v/>
      </c>
      <c r="BR57" s="5">
        <f>IF(AND(BN57,ISNUMBER(BQ57)),(BO57-BQ57)^2,"")</f>
        <v/>
      </c>
      <c r="BS57" s="5">
        <f>IF(BN57,1+SUMPRODUCT(--(calc!$BN$3:$BN$67=TRUE),--(calc!$BO$3:$BO$67&gt;BO57))+(SUMPRODUCT(--(calc!$BN$3:$BN$67=TRUE),--(calc!$BO$3:$BO$67=BO57))-1)/2,"")</f>
        <v/>
      </c>
      <c r="BT57" s="5">
        <f>IF(BN57,1+SUMPRODUCT(--(calc!$BN$3:$BN$67=TRUE),--(calc!$BP$3:$BP$67&gt;BP57))+(SUMPRODUCT(--(calc!$BN$3:$BN$67=TRUE),--(calc!$BP$3:$BP$67=BP57))-1)/2,"")</f>
        <v/>
      </c>
      <c r="BU57" s="5">
        <f>IF(BN57,SUMPRODUCT(--(calc!$BN$3:$BN$67=TRUE),--(ROW(calc!$BN$3:$BN$67)&gt;ROW(BN57)),--(((calc!$BS$3:$BS$67&gt;BS57)*(calc!$BT$3:$BT$67&gt;BT57)+(calc!$BS$3:$BS$67&lt;BS57)*(calc!$BT$3:$BT$67&lt;BT57))&gt;0))-SUMPRODUCT(--(calc!$BN$3:$BN$67=TRUE),--(ROW(calc!$BN$3:$BN$67)&gt;ROW(BN57)),--(((calc!$BS$3:$BS$67&gt;BS57)*(calc!$BT$3:$BT$67&lt;BT57)+(calc!$BS$3:$BS$67&lt;BS57)*(calc!$BT$3:$BT$67&gt;BT57))&gt;0)),0)</f>
        <v/>
      </c>
    </row>
    <row r="58">
      <c r="A58" s="2">
        <f>mos_metrics!A57</f>
        <v/>
      </c>
      <c r="B58" s="2">
        <f>mos_metrics!B57</f>
        <v/>
      </c>
      <c r="C58" s="2">
        <f>mos_metrics!C57</f>
        <v/>
      </c>
      <c r="D58" s="2">
        <f>mos_metrics!D57</f>
        <v/>
      </c>
      <c r="E58" s="2">
        <f>mos_metrics!E57</f>
        <v/>
      </c>
      <c r="F58" s="2">
        <f>mos_metrics!F57</f>
        <v/>
      </c>
      <c r="G58" s="2">
        <f>IF($B58="","",IFERROR(VLOOKUP($B58,correlation!$A$2:$B$6,2,FALSE),1))</f>
        <v/>
      </c>
      <c r="H58" s="2">
        <f>IF($E58="","",IFERROR(VLOOKUP($E58,correlation!$D$2:$E$8,2,FALSE),1))</f>
        <v/>
      </c>
      <c r="I58" s="2">
        <f>ISNUMBER($F58)</f>
        <v/>
      </c>
      <c r="J58" s="2">
        <f>AND($G58=1,$H58=1,$I58)</f>
        <v/>
      </c>
      <c r="K58" s="5">
        <f>IF(mos_metrics!G57="","",mos_metrics!G57)</f>
        <v/>
      </c>
      <c r="L58" s="2">
        <f>AND($J58,ISNUMBER(K58),correlation!$I$26=1)</f>
        <v/>
      </c>
      <c r="M58" s="5">
        <f>IF(L58,$F58,"")</f>
        <v/>
      </c>
      <c r="N58" s="5">
        <f>IF(L58,K58*correlation!$J$26,"")</f>
        <v/>
      </c>
      <c r="O58" s="5">
        <f>IF(AND(L58,ISNUMBER(correlation!$F$26)),N58*correlation!$F$26+correlation!$G$26,"")</f>
        <v/>
      </c>
      <c r="P58" s="5">
        <f>IF(AND(L58,ISNUMBER(O58)),(M58-O58)^2,"")</f>
        <v/>
      </c>
      <c r="Q58" s="5">
        <f>IF(L58,1+SUMPRODUCT(--(calc!$L$3:$L$67=TRUE),--(calc!$M$3:$M$67&gt;M58))+(SUMPRODUCT(--(calc!$L$3:$L$67=TRUE),--(calc!$M$3:$M$67=M58))-1)/2,"")</f>
        <v/>
      </c>
      <c r="R58" s="5">
        <f>IF(L58,1+SUMPRODUCT(--(calc!$L$3:$L$67=TRUE),--(calc!$N$3:$N$67&gt;N58))+(SUMPRODUCT(--(calc!$L$3:$L$67=TRUE),--(calc!$N$3:$N$67=N58))-1)/2,"")</f>
        <v/>
      </c>
      <c r="S58" s="5">
        <f>IF(L58,SUMPRODUCT(--(calc!$L$3:$L$67=TRUE),--(ROW(calc!$L$3:$L$67)&gt;ROW(L58)),--(((calc!$Q$3:$Q$67&gt;Q58)*(calc!$R$3:$R$67&gt;R58)+(calc!$Q$3:$Q$67&lt;Q58)*(calc!$R$3:$R$67&lt;R58))&gt;0))-SUMPRODUCT(--(calc!$L$3:$L$67=TRUE),--(ROW(calc!$L$3:$L$67)&gt;ROW(L58)),--(((calc!$Q$3:$Q$67&gt;Q58)*(calc!$R$3:$R$67&lt;R58)+(calc!$Q$3:$Q$67&lt;Q58)*(calc!$R$3:$R$67&gt;R58))&gt;0)),0)</f>
        <v/>
      </c>
      <c r="T58" s="5">
        <f>IF(mos_metrics!H57="","",mos_metrics!H57)</f>
        <v/>
      </c>
      <c r="U58" s="2">
        <f>AND($J58,ISNUMBER(T58),correlation!$I$27=1)</f>
        <v/>
      </c>
      <c r="V58" s="5">
        <f>IF(U58,$F58,"")</f>
        <v/>
      </c>
      <c r="W58" s="5">
        <f>IF(U58,T58*correlation!$J$27,"")</f>
        <v/>
      </c>
      <c r="X58" s="5">
        <f>IF(AND(U58,ISNUMBER(correlation!$F$27)),W58*correlation!$F$27+correlation!$G$27,"")</f>
        <v/>
      </c>
      <c r="Y58" s="5">
        <f>IF(AND(U58,ISNUMBER(X58)),(V58-X58)^2,"")</f>
        <v/>
      </c>
      <c r="Z58" s="5">
        <f>IF(U58,1+SUMPRODUCT(--(calc!$U$3:$U$67=TRUE),--(calc!$V$3:$V$67&gt;V58))+(SUMPRODUCT(--(calc!$U$3:$U$67=TRUE),--(calc!$V$3:$V$67=V58))-1)/2,"")</f>
        <v/>
      </c>
      <c r="AA58" s="5">
        <f>IF(U58,1+SUMPRODUCT(--(calc!$U$3:$U$67=TRUE),--(calc!$W$3:$W$67&gt;W58))+(SUMPRODUCT(--(calc!$U$3:$U$67=TRUE),--(calc!$W$3:$W$67=W58))-1)/2,"")</f>
        <v/>
      </c>
      <c r="AB58" s="5">
        <f>IF(U58,SUMPRODUCT(--(calc!$U$3:$U$67=TRUE),--(ROW(calc!$U$3:$U$67)&gt;ROW(U58)),--(((calc!$Z$3:$Z$67&gt;Z58)*(calc!$AA$3:$AA$67&gt;AA58)+(calc!$Z$3:$Z$67&lt;Z58)*(calc!$AA$3:$AA$67&lt;AA58))&gt;0))-SUMPRODUCT(--(calc!$U$3:$U$67=TRUE),--(ROW(calc!$U$3:$U$67)&gt;ROW(U58)),--(((calc!$Z$3:$Z$67&gt;Z58)*(calc!$AA$3:$AA$67&lt;AA58)+(calc!$Z$3:$Z$67&lt;Z58)*(calc!$AA$3:$AA$67&gt;AA58))&gt;0)),0)</f>
        <v/>
      </c>
      <c r="AC58" s="5">
        <f>IF(mos_metrics!I57="","",mos_metrics!I57)</f>
        <v/>
      </c>
      <c r="AD58" s="2">
        <f>AND($J58,ISNUMBER(AC58),correlation!$I$28=1)</f>
        <v/>
      </c>
      <c r="AE58" s="5">
        <f>IF(AD58,$F58,"")</f>
        <v/>
      </c>
      <c r="AF58" s="5">
        <f>IF(AD58,AC58*correlation!$J$28,"")</f>
        <v/>
      </c>
      <c r="AG58" s="5">
        <f>IF(AND(AD58,ISNUMBER(correlation!$F$28)),AF58*correlation!$F$28+correlation!$G$28,"")</f>
        <v/>
      </c>
      <c r="AH58" s="5">
        <f>IF(AND(AD58,ISNUMBER(AG58)),(AE58-AG58)^2,"")</f>
        <v/>
      </c>
      <c r="AI58" s="5">
        <f>IF(AD58,1+SUMPRODUCT(--(calc!$AD$3:$AD$67=TRUE),--(calc!$AE$3:$AE$67&gt;AE58))+(SUMPRODUCT(--(calc!$AD$3:$AD$67=TRUE),--(calc!$AE$3:$AE$67=AE58))-1)/2,"")</f>
        <v/>
      </c>
      <c r="AJ58" s="5">
        <f>IF(AD58,1+SUMPRODUCT(--(calc!$AD$3:$AD$67=TRUE),--(calc!$AF$3:$AF$67&gt;AF58))+(SUMPRODUCT(--(calc!$AD$3:$AD$67=TRUE),--(calc!$AF$3:$AF$67=AF58))-1)/2,"")</f>
        <v/>
      </c>
      <c r="AK58" s="5">
        <f>IF(AD58,SUMPRODUCT(--(calc!$AD$3:$AD$67=TRUE),--(ROW(calc!$AD$3:$AD$67)&gt;ROW(AD58)),--(((calc!$AI$3:$AI$67&gt;AI58)*(calc!$AJ$3:$AJ$67&gt;AJ58)+(calc!$AI$3:$AI$67&lt;AI58)*(calc!$AJ$3:$AJ$67&lt;AJ58))&gt;0))-SUMPRODUCT(--(calc!$AD$3:$AD$67=TRUE),--(ROW(calc!$AD$3:$AD$67)&gt;ROW(AD58)),--(((calc!$AI$3:$AI$67&gt;AI58)*(calc!$AJ$3:$AJ$67&lt;AJ58)+(calc!$AI$3:$AI$67&lt;AI58)*(calc!$AJ$3:$AJ$67&gt;AJ58))&gt;0)),0)</f>
        <v/>
      </c>
      <c r="AL58" s="5">
        <f>IF(mos_metrics!J57="","",mos_metrics!J57)</f>
        <v/>
      </c>
      <c r="AM58" s="2">
        <f>AND($J58,ISNUMBER(AL58),correlation!$I$29=1)</f>
        <v/>
      </c>
      <c r="AN58" s="5">
        <f>IF(AM58,$F58,"")</f>
        <v/>
      </c>
      <c r="AO58" s="5">
        <f>IF(AM58,AL58*correlation!$J$29,"")</f>
        <v/>
      </c>
      <c r="AP58" s="5">
        <f>IF(AND(AM58,ISNUMBER(correlation!$F$29)),AO58*correlation!$F$29+correlation!$G$29,"")</f>
        <v/>
      </c>
      <c r="AQ58" s="5">
        <f>IF(AND(AM58,ISNUMBER(AP58)),(AN58-AP58)^2,"")</f>
        <v/>
      </c>
      <c r="AR58" s="5">
        <f>IF(AM58,1+SUMPRODUCT(--(calc!$AM$3:$AM$67=TRUE),--(calc!$AN$3:$AN$67&gt;AN58))+(SUMPRODUCT(--(calc!$AM$3:$AM$67=TRUE),--(calc!$AN$3:$AN$67=AN58))-1)/2,"")</f>
        <v/>
      </c>
      <c r="AS58" s="5">
        <f>IF(AM58,1+SUMPRODUCT(--(calc!$AM$3:$AM$67=TRUE),--(calc!$AO$3:$AO$67&gt;AO58))+(SUMPRODUCT(--(calc!$AM$3:$AM$67=TRUE),--(calc!$AO$3:$AO$67=AO58))-1)/2,"")</f>
        <v/>
      </c>
      <c r="AT58" s="5">
        <f>IF(AM58,SUMPRODUCT(--(calc!$AM$3:$AM$67=TRUE),--(ROW(calc!$AM$3:$AM$67)&gt;ROW(AM58)),--(((calc!$AR$3:$AR$67&gt;AR58)*(calc!$AS$3:$AS$67&gt;AS58)+(calc!$AR$3:$AR$67&lt;AR58)*(calc!$AS$3:$AS$67&lt;AS58))&gt;0))-SUMPRODUCT(--(calc!$AM$3:$AM$67=TRUE),--(ROW(calc!$AM$3:$AM$67)&gt;ROW(AM58)),--(((calc!$AR$3:$AR$67&gt;AR58)*(calc!$AS$3:$AS$67&lt;AS58)+(calc!$AR$3:$AR$67&lt;AR58)*(calc!$AS$3:$AS$67&gt;AS58))&gt;0)),0)</f>
        <v/>
      </c>
      <c r="AU58" s="5">
        <f>IF(mos_metrics!K57="","",mos_metrics!K57)</f>
        <v/>
      </c>
      <c r="AV58" s="2">
        <f>AND($J58,ISNUMBER(AU58),correlation!$I$30=1)</f>
        <v/>
      </c>
      <c r="AW58" s="5">
        <f>IF(AV58,$F58,"")</f>
        <v/>
      </c>
      <c r="AX58" s="5">
        <f>IF(AV58,AU58*correlation!$J$30,"")</f>
        <v/>
      </c>
      <c r="AY58" s="5">
        <f>IF(AND(AV58,ISNUMBER(correlation!$F$30)),AX58*correlation!$F$30+correlation!$G$30,"")</f>
        <v/>
      </c>
      <c r="AZ58" s="5">
        <f>IF(AND(AV58,ISNUMBER(AY58)),(AW58-AY58)^2,"")</f>
        <v/>
      </c>
      <c r="BA58" s="5">
        <f>IF(AV58,1+SUMPRODUCT(--(calc!$AV$3:$AV$67=TRUE),--(calc!$AW$3:$AW$67&gt;AW58))+(SUMPRODUCT(--(calc!$AV$3:$AV$67=TRUE),--(calc!$AW$3:$AW$67=AW58))-1)/2,"")</f>
        <v/>
      </c>
      <c r="BB58" s="5">
        <f>IF(AV58,1+SUMPRODUCT(--(calc!$AV$3:$AV$67=TRUE),--(calc!$AX$3:$AX$67&gt;AX58))+(SUMPRODUCT(--(calc!$AV$3:$AV$67=TRUE),--(calc!$AX$3:$AX$67=AX58))-1)/2,"")</f>
        <v/>
      </c>
      <c r="BC58" s="5">
        <f>IF(AV58,SUMPRODUCT(--(calc!$AV$3:$AV$67=TRUE),--(ROW(calc!$AV$3:$AV$67)&gt;ROW(AV58)),--(((calc!$BA$3:$BA$67&gt;BA58)*(calc!$BB$3:$BB$67&gt;BB58)+(calc!$BA$3:$BA$67&lt;BA58)*(calc!$BB$3:$BB$67&lt;BB58))&gt;0))-SUMPRODUCT(--(calc!$AV$3:$AV$67=TRUE),--(ROW(calc!$AV$3:$AV$67)&gt;ROW(AV58)),--(((calc!$BA$3:$BA$67&gt;BA58)*(calc!$BB$3:$BB$67&lt;BB58)+(calc!$BA$3:$BA$67&lt;BA58)*(calc!$BB$3:$BB$67&gt;BB58))&gt;0)),0)</f>
        <v/>
      </c>
      <c r="BD58" s="5">
        <f>IF(mos_metrics!L57="","",mos_metrics!L57)</f>
        <v/>
      </c>
      <c r="BE58" s="2">
        <f>AND($J58,ISNUMBER(BD58),correlation!$I$31=1)</f>
        <v/>
      </c>
      <c r="BF58" s="5">
        <f>IF(BE58,$F58,"")</f>
        <v/>
      </c>
      <c r="BG58" s="5">
        <f>IF(BE58,BD58*correlation!$J$31,"")</f>
        <v/>
      </c>
      <c r="BH58" s="5">
        <f>IF(AND(BE58,ISNUMBER(correlation!$F$31)),BG58*correlation!$F$31+correlation!$G$31,"")</f>
        <v/>
      </c>
      <c r="BI58" s="5">
        <f>IF(AND(BE58,ISNUMBER(BH58)),(BF58-BH58)^2,"")</f>
        <v/>
      </c>
      <c r="BJ58" s="5">
        <f>IF(BE58,1+SUMPRODUCT(--(calc!$BE$3:$BE$67=TRUE),--(calc!$BF$3:$BF$67&gt;BF58))+(SUMPRODUCT(--(calc!$BE$3:$BE$67=TRUE),--(calc!$BF$3:$BF$67=BF58))-1)/2,"")</f>
        <v/>
      </c>
      <c r="BK58" s="5">
        <f>IF(BE58,1+SUMPRODUCT(--(calc!$BE$3:$BE$67=TRUE),--(calc!$BG$3:$BG$67&gt;BG58))+(SUMPRODUCT(--(calc!$BE$3:$BE$67=TRUE),--(calc!$BG$3:$BG$67=BG58))-1)/2,"")</f>
        <v/>
      </c>
      <c r="BL58" s="5">
        <f>IF(BE58,SUMPRODUCT(--(calc!$BE$3:$BE$67=TRUE),--(ROW(calc!$BE$3:$BE$67)&gt;ROW(BE58)),--(((calc!$BJ$3:$BJ$67&gt;BJ58)*(calc!$BK$3:$BK$67&gt;BK58)+(calc!$BJ$3:$BJ$67&lt;BJ58)*(calc!$BK$3:$BK$67&lt;BK58))&gt;0))-SUMPRODUCT(--(calc!$BE$3:$BE$67=TRUE),--(ROW(calc!$BE$3:$BE$67)&gt;ROW(BE58)),--(((calc!$BJ$3:$BJ$67&gt;BJ58)*(calc!$BK$3:$BK$67&lt;BK58)+(calc!$BJ$3:$BJ$67&lt;BJ58)*(calc!$BK$3:$BK$67&gt;BK58))&gt;0)),0)</f>
        <v/>
      </c>
      <c r="BM58" s="5">
        <f>IF(mos_metrics!M57="","",mos_metrics!M57)</f>
        <v/>
      </c>
      <c r="BN58" s="2">
        <f>AND($J58,ISNUMBER(BM58),correlation!$I$32=1)</f>
        <v/>
      </c>
      <c r="BO58" s="5">
        <f>IF(BN58,$F58,"")</f>
        <v/>
      </c>
      <c r="BP58" s="5">
        <f>IF(BN58,BM58*correlation!$J$32,"")</f>
        <v/>
      </c>
      <c r="BQ58" s="5">
        <f>IF(AND(BN58,ISNUMBER(correlation!$F$32)),BP58*correlation!$F$32+correlation!$G$32,"")</f>
        <v/>
      </c>
      <c r="BR58" s="5">
        <f>IF(AND(BN58,ISNUMBER(BQ58)),(BO58-BQ58)^2,"")</f>
        <v/>
      </c>
      <c r="BS58" s="5">
        <f>IF(BN58,1+SUMPRODUCT(--(calc!$BN$3:$BN$67=TRUE),--(calc!$BO$3:$BO$67&gt;BO58))+(SUMPRODUCT(--(calc!$BN$3:$BN$67=TRUE),--(calc!$BO$3:$BO$67=BO58))-1)/2,"")</f>
        <v/>
      </c>
      <c r="BT58" s="5">
        <f>IF(BN58,1+SUMPRODUCT(--(calc!$BN$3:$BN$67=TRUE),--(calc!$BP$3:$BP$67&gt;BP58))+(SUMPRODUCT(--(calc!$BN$3:$BN$67=TRUE),--(calc!$BP$3:$BP$67=BP58))-1)/2,"")</f>
        <v/>
      </c>
      <c r="BU58" s="5">
        <f>IF(BN58,SUMPRODUCT(--(calc!$BN$3:$BN$67=TRUE),--(ROW(calc!$BN$3:$BN$67)&gt;ROW(BN58)),--(((calc!$BS$3:$BS$67&gt;BS58)*(calc!$BT$3:$BT$67&gt;BT58)+(calc!$BS$3:$BS$67&lt;BS58)*(calc!$BT$3:$BT$67&lt;BT58))&gt;0))-SUMPRODUCT(--(calc!$BN$3:$BN$67=TRUE),--(ROW(calc!$BN$3:$BN$67)&gt;ROW(BN58)),--(((calc!$BS$3:$BS$67&gt;BS58)*(calc!$BT$3:$BT$67&lt;BT58)+(calc!$BS$3:$BS$67&lt;BS58)*(calc!$BT$3:$BT$67&gt;BT58))&gt;0)),0)</f>
        <v/>
      </c>
    </row>
    <row r="59">
      <c r="A59" s="2">
        <f>mos_metrics!A58</f>
        <v/>
      </c>
      <c r="B59" s="2">
        <f>mos_metrics!B58</f>
        <v/>
      </c>
      <c r="C59" s="2">
        <f>mos_metrics!C58</f>
        <v/>
      </c>
      <c r="D59" s="2">
        <f>mos_metrics!D58</f>
        <v/>
      </c>
      <c r="E59" s="2">
        <f>mos_metrics!E58</f>
        <v/>
      </c>
      <c r="F59" s="2">
        <f>mos_metrics!F58</f>
        <v/>
      </c>
      <c r="G59" s="2">
        <f>IF($B59="","",IFERROR(VLOOKUP($B59,correlation!$A$2:$B$6,2,FALSE),1))</f>
        <v/>
      </c>
      <c r="H59" s="2">
        <f>IF($E59="","",IFERROR(VLOOKUP($E59,correlation!$D$2:$E$8,2,FALSE),1))</f>
        <v/>
      </c>
      <c r="I59" s="2">
        <f>ISNUMBER($F59)</f>
        <v/>
      </c>
      <c r="J59" s="2">
        <f>AND($G59=1,$H59=1,$I59)</f>
        <v/>
      </c>
      <c r="K59" s="5">
        <f>IF(mos_metrics!G58="","",mos_metrics!G58)</f>
        <v/>
      </c>
      <c r="L59" s="2">
        <f>AND($J59,ISNUMBER(K59),correlation!$I$26=1)</f>
        <v/>
      </c>
      <c r="M59" s="5">
        <f>IF(L59,$F59,"")</f>
        <v/>
      </c>
      <c r="N59" s="5">
        <f>IF(L59,K59*correlation!$J$26,"")</f>
        <v/>
      </c>
      <c r="O59" s="5">
        <f>IF(AND(L59,ISNUMBER(correlation!$F$26)),N59*correlation!$F$26+correlation!$G$26,"")</f>
        <v/>
      </c>
      <c r="P59" s="5">
        <f>IF(AND(L59,ISNUMBER(O59)),(M59-O59)^2,"")</f>
        <v/>
      </c>
      <c r="Q59" s="5">
        <f>IF(L59,1+SUMPRODUCT(--(calc!$L$3:$L$67=TRUE),--(calc!$M$3:$M$67&gt;M59))+(SUMPRODUCT(--(calc!$L$3:$L$67=TRUE),--(calc!$M$3:$M$67=M59))-1)/2,"")</f>
        <v/>
      </c>
      <c r="R59" s="5">
        <f>IF(L59,1+SUMPRODUCT(--(calc!$L$3:$L$67=TRUE),--(calc!$N$3:$N$67&gt;N59))+(SUMPRODUCT(--(calc!$L$3:$L$67=TRUE),--(calc!$N$3:$N$67=N59))-1)/2,"")</f>
        <v/>
      </c>
      <c r="S59" s="5">
        <f>IF(L59,SUMPRODUCT(--(calc!$L$3:$L$67=TRUE),--(ROW(calc!$L$3:$L$67)&gt;ROW(L59)),--(((calc!$Q$3:$Q$67&gt;Q59)*(calc!$R$3:$R$67&gt;R59)+(calc!$Q$3:$Q$67&lt;Q59)*(calc!$R$3:$R$67&lt;R59))&gt;0))-SUMPRODUCT(--(calc!$L$3:$L$67=TRUE),--(ROW(calc!$L$3:$L$67)&gt;ROW(L59)),--(((calc!$Q$3:$Q$67&gt;Q59)*(calc!$R$3:$R$67&lt;R59)+(calc!$Q$3:$Q$67&lt;Q59)*(calc!$R$3:$R$67&gt;R59))&gt;0)),0)</f>
        <v/>
      </c>
      <c r="T59" s="5">
        <f>IF(mos_metrics!H58="","",mos_metrics!H58)</f>
        <v/>
      </c>
      <c r="U59" s="2">
        <f>AND($J59,ISNUMBER(T59),correlation!$I$27=1)</f>
        <v/>
      </c>
      <c r="V59" s="5">
        <f>IF(U59,$F59,"")</f>
        <v/>
      </c>
      <c r="W59" s="5">
        <f>IF(U59,T59*correlation!$J$27,"")</f>
        <v/>
      </c>
      <c r="X59" s="5">
        <f>IF(AND(U59,ISNUMBER(correlation!$F$27)),W59*correlation!$F$27+correlation!$G$27,"")</f>
        <v/>
      </c>
      <c r="Y59" s="5">
        <f>IF(AND(U59,ISNUMBER(X59)),(V59-X59)^2,"")</f>
        <v/>
      </c>
      <c r="Z59" s="5">
        <f>IF(U59,1+SUMPRODUCT(--(calc!$U$3:$U$67=TRUE),--(calc!$V$3:$V$67&gt;V59))+(SUMPRODUCT(--(calc!$U$3:$U$67=TRUE),--(calc!$V$3:$V$67=V59))-1)/2,"")</f>
        <v/>
      </c>
      <c r="AA59" s="5">
        <f>IF(U59,1+SUMPRODUCT(--(calc!$U$3:$U$67=TRUE),--(calc!$W$3:$W$67&gt;W59))+(SUMPRODUCT(--(calc!$U$3:$U$67=TRUE),--(calc!$W$3:$W$67=W59))-1)/2,"")</f>
        <v/>
      </c>
      <c r="AB59" s="5">
        <f>IF(U59,SUMPRODUCT(--(calc!$U$3:$U$67=TRUE),--(ROW(calc!$U$3:$U$67)&gt;ROW(U59)),--(((calc!$Z$3:$Z$67&gt;Z59)*(calc!$AA$3:$AA$67&gt;AA59)+(calc!$Z$3:$Z$67&lt;Z59)*(calc!$AA$3:$AA$67&lt;AA59))&gt;0))-SUMPRODUCT(--(calc!$U$3:$U$67=TRUE),--(ROW(calc!$U$3:$U$67)&gt;ROW(U59)),--(((calc!$Z$3:$Z$67&gt;Z59)*(calc!$AA$3:$AA$67&lt;AA59)+(calc!$Z$3:$Z$67&lt;Z59)*(calc!$AA$3:$AA$67&gt;AA59))&gt;0)),0)</f>
        <v/>
      </c>
      <c r="AC59" s="5">
        <f>IF(mos_metrics!I58="","",mos_metrics!I58)</f>
        <v/>
      </c>
      <c r="AD59" s="2">
        <f>AND($J59,ISNUMBER(AC59),correlation!$I$28=1)</f>
        <v/>
      </c>
      <c r="AE59" s="5">
        <f>IF(AD59,$F59,"")</f>
        <v/>
      </c>
      <c r="AF59" s="5">
        <f>IF(AD59,AC59*correlation!$J$28,"")</f>
        <v/>
      </c>
      <c r="AG59" s="5">
        <f>IF(AND(AD59,ISNUMBER(correlation!$F$28)),AF59*correlation!$F$28+correlation!$G$28,"")</f>
        <v/>
      </c>
      <c r="AH59" s="5">
        <f>IF(AND(AD59,ISNUMBER(AG59)),(AE59-AG59)^2,"")</f>
        <v/>
      </c>
      <c r="AI59" s="5">
        <f>IF(AD59,1+SUMPRODUCT(--(calc!$AD$3:$AD$67=TRUE),--(calc!$AE$3:$AE$67&gt;AE59))+(SUMPRODUCT(--(calc!$AD$3:$AD$67=TRUE),--(calc!$AE$3:$AE$67=AE59))-1)/2,"")</f>
        <v/>
      </c>
      <c r="AJ59" s="5">
        <f>IF(AD59,1+SUMPRODUCT(--(calc!$AD$3:$AD$67=TRUE),--(calc!$AF$3:$AF$67&gt;AF59))+(SUMPRODUCT(--(calc!$AD$3:$AD$67=TRUE),--(calc!$AF$3:$AF$67=AF59))-1)/2,"")</f>
        <v/>
      </c>
      <c r="AK59" s="5">
        <f>IF(AD59,SUMPRODUCT(--(calc!$AD$3:$AD$67=TRUE),--(ROW(calc!$AD$3:$AD$67)&gt;ROW(AD59)),--(((calc!$AI$3:$AI$67&gt;AI59)*(calc!$AJ$3:$AJ$67&gt;AJ59)+(calc!$AI$3:$AI$67&lt;AI59)*(calc!$AJ$3:$AJ$67&lt;AJ59))&gt;0))-SUMPRODUCT(--(calc!$AD$3:$AD$67=TRUE),--(ROW(calc!$AD$3:$AD$67)&gt;ROW(AD59)),--(((calc!$AI$3:$AI$67&gt;AI59)*(calc!$AJ$3:$AJ$67&lt;AJ59)+(calc!$AI$3:$AI$67&lt;AI59)*(calc!$AJ$3:$AJ$67&gt;AJ59))&gt;0)),0)</f>
        <v/>
      </c>
      <c r="AL59" s="5">
        <f>IF(mos_metrics!J58="","",mos_metrics!J58)</f>
        <v/>
      </c>
      <c r="AM59" s="2">
        <f>AND($J59,ISNUMBER(AL59),correlation!$I$29=1)</f>
        <v/>
      </c>
      <c r="AN59" s="5">
        <f>IF(AM59,$F59,"")</f>
        <v/>
      </c>
      <c r="AO59" s="5">
        <f>IF(AM59,AL59*correlation!$J$29,"")</f>
        <v/>
      </c>
      <c r="AP59" s="5">
        <f>IF(AND(AM59,ISNUMBER(correlation!$F$29)),AO59*correlation!$F$29+correlation!$G$29,"")</f>
        <v/>
      </c>
      <c r="AQ59" s="5">
        <f>IF(AND(AM59,ISNUMBER(AP59)),(AN59-AP59)^2,"")</f>
        <v/>
      </c>
      <c r="AR59" s="5">
        <f>IF(AM59,1+SUMPRODUCT(--(calc!$AM$3:$AM$67=TRUE),--(calc!$AN$3:$AN$67&gt;AN59))+(SUMPRODUCT(--(calc!$AM$3:$AM$67=TRUE),--(calc!$AN$3:$AN$67=AN59))-1)/2,"")</f>
        <v/>
      </c>
      <c r="AS59" s="5">
        <f>IF(AM59,1+SUMPRODUCT(--(calc!$AM$3:$AM$67=TRUE),--(calc!$AO$3:$AO$67&gt;AO59))+(SUMPRODUCT(--(calc!$AM$3:$AM$67=TRUE),--(calc!$AO$3:$AO$67=AO59))-1)/2,"")</f>
        <v/>
      </c>
      <c r="AT59" s="5">
        <f>IF(AM59,SUMPRODUCT(--(calc!$AM$3:$AM$67=TRUE),--(ROW(calc!$AM$3:$AM$67)&gt;ROW(AM59)),--(((calc!$AR$3:$AR$67&gt;AR59)*(calc!$AS$3:$AS$67&gt;AS59)+(calc!$AR$3:$AR$67&lt;AR59)*(calc!$AS$3:$AS$67&lt;AS59))&gt;0))-SUMPRODUCT(--(calc!$AM$3:$AM$67=TRUE),--(ROW(calc!$AM$3:$AM$67)&gt;ROW(AM59)),--(((calc!$AR$3:$AR$67&gt;AR59)*(calc!$AS$3:$AS$67&lt;AS59)+(calc!$AR$3:$AR$67&lt;AR59)*(calc!$AS$3:$AS$67&gt;AS59))&gt;0)),0)</f>
        <v/>
      </c>
      <c r="AU59" s="5">
        <f>IF(mos_metrics!K58="","",mos_metrics!K58)</f>
        <v/>
      </c>
      <c r="AV59" s="2">
        <f>AND($J59,ISNUMBER(AU59),correlation!$I$30=1)</f>
        <v/>
      </c>
      <c r="AW59" s="5">
        <f>IF(AV59,$F59,"")</f>
        <v/>
      </c>
      <c r="AX59" s="5">
        <f>IF(AV59,AU59*correlation!$J$30,"")</f>
        <v/>
      </c>
      <c r="AY59" s="5">
        <f>IF(AND(AV59,ISNUMBER(correlation!$F$30)),AX59*correlation!$F$30+correlation!$G$30,"")</f>
        <v/>
      </c>
      <c r="AZ59" s="5">
        <f>IF(AND(AV59,ISNUMBER(AY59)),(AW59-AY59)^2,"")</f>
        <v/>
      </c>
      <c r="BA59" s="5">
        <f>IF(AV59,1+SUMPRODUCT(--(calc!$AV$3:$AV$67=TRUE),--(calc!$AW$3:$AW$67&gt;AW59))+(SUMPRODUCT(--(calc!$AV$3:$AV$67=TRUE),--(calc!$AW$3:$AW$67=AW59))-1)/2,"")</f>
        <v/>
      </c>
      <c r="BB59" s="5">
        <f>IF(AV59,1+SUMPRODUCT(--(calc!$AV$3:$AV$67=TRUE),--(calc!$AX$3:$AX$67&gt;AX59))+(SUMPRODUCT(--(calc!$AV$3:$AV$67=TRUE),--(calc!$AX$3:$AX$67=AX59))-1)/2,"")</f>
        <v/>
      </c>
      <c r="BC59" s="5">
        <f>IF(AV59,SUMPRODUCT(--(calc!$AV$3:$AV$67=TRUE),--(ROW(calc!$AV$3:$AV$67)&gt;ROW(AV59)),--(((calc!$BA$3:$BA$67&gt;BA59)*(calc!$BB$3:$BB$67&gt;BB59)+(calc!$BA$3:$BA$67&lt;BA59)*(calc!$BB$3:$BB$67&lt;BB59))&gt;0))-SUMPRODUCT(--(calc!$AV$3:$AV$67=TRUE),--(ROW(calc!$AV$3:$AV$67)&gt;ROW(AV59)),--(((calc!$BA$3:$BA$67&gt;BA59)*(calc!$BB$3:$BB$67&lt;BB59)+(calc!$BA$3:$BA$67&lt;BA59)*(calc!$BB$3:$BB$67&gt;BB59))&gt;0)),0)</f>
        <v/>
      </c>
      <c r="BD59" s="5">
        <f>IF(mos_metrics!L58="","",mos_metrics!L58)</f>
        <v/>
      </c>
      <c r="BE59" s="2">
        <f>AND($J59,ISNUMBER(BD59),correlation!$I$31=1)</f>
        <v/>
      </c>
      <c r="BF59" s="5">
        <f>IF(BE59,$F59,"")</f>
        <v/>
      </c>
      <c r="BG59" s="5">
        <f>IF(BE59,BD59*correlation!$J$31,"")</f>
        <v/>
      </c>
      <c r="BH59" s="5">
        <f>IF(AND(BE59,ISNUMBER(correlation!$F$31)),BG59*correlation!$F$31+correlation!$G$31,"")</f>
        <v/>
      </c>
      <c r="BI59" s="5">
        <f>IF(AND(BE59,ISNUMBER(BH59)),(BF59-BH59)^2,"")</f>
        <v/>
      </c>
      <c r="BJ59" s="5">
        <f>IF(BE59,1+SUMPRODUCT(--(calc!$BE$3:$BE$67=TRUE),--(calc!$BF$3:$BF$67&gt;BF59))+(SUMPRODUCT(--(calc!$BE$3:$BE$67=TRUE),--(calc!$BF$3:$BF$67=BF59))-1)/2,"")</f>
        <v/>
      </c>
      <c r="BK59" s="5">
        <f>IF(BE59,1+SUMPRODUCT(--(calc!$BE$3:$BE$67=TRUE),--(calc!$BG$3:$BG$67&gt;BG59))+(SUMPRODUCT(--(calc!$BE$3:$BE$67=TRUE),--(calc!$BG$3:$BG$67=BG59))-1)/2,"")</f>
        <v/>
      </c>
      <c r="BL59" s="5">
        <f>IF(BE59,SUMPRODUCT(--(calc!$BE$3:$BE$67=TRUE),--(ROW(calc!$BE$3:$BE$67)&gt;ROW(BE59)),--(((calc!$BJ$3:$BJ$67&gt;BJ59)*(calc!$BK$3:$BK$67&gt;BK59)+(calc!$BJ$3:$BJ$67&lt;BJ59)*(calc!$BK$3:$BK$67&lt;BK59))&gt;0))-SUMPRODUCT(--(calc!$BE$3:$BE$67=TRUE),--(ROW(calc!$BE$3:$BE$67)&gt;ROW(BE59)),--(((calc!$BJ$3:$BJ$67&gt;BJ59)*(calc!$BK$3:$BK$67&lt;BK59)+(calc!$BJ$3:$BJ$67&lt;BJ59)*(calc!$BK$3:$BK$67&gt;BK59))&gt;0)),0)</f>
        <v/>
      </c>
      <c r="BM59" s="5">
        <f>IF(mos_metrics!M58="","",mos_metrics!M58)</f>
        <v/>
      </c>
      <c r="BN59" s="2">
        <f>AND($J59,ISNUMBER(BM59),correlation!$I$32=1)</f>
        <v/>
      </c>
      <c r="BO59" s="5">
        <f>IF(BN59,$F59,"")</f>
        <v/>
      </c>
      <c r="BP59" s="5">
        <f>IF(BN59,BM59*correlation!$J$32,"")</f>
        <v/>
      </c>
      <c r="BQ59" s="5">
        <f>IF(AND(BN59,ISNUMBER(correlation!$F$32)),BP59*correlation!$F$32+correlation!$G$32,"")</f>
        <v/>
      </c>
      <c r="BR59" s="5">
        <f>IF(AND(BN59,ISNUMBER(BQ59)),(BO59-BQ59)^2,"")</f>
        <v/>
      </c>
      <c r="BS59" s="5">
        <f>IF(BN59,1+SUMPRODUCT(--(calc!$BN$3:$BN$67=TRUE),--(calc!$BO$3:$BO$67&gt;BO59))+(SUMPRODUCT(--(calc!$BN$3:$BN$67=TRUE),--(calc!$BO$3:$BO$67=BO59))-1)/2,"")</f>
        <v/>
      </c>
      <c r="BT59" s="5">
        <f>IF(BN59,1+SUMPRODUCT(--(calc!$BN$3:$BN$67=TRUE),--(calc!$BP$3:$BP$67&gt;BP59))+(SUMPRODUCT(--(calc!$BN$3:$BN$67=TRUE),--(calc!$BP$3:$BP$67=BP59))-1)/2,"")</f>
        <v/>
      </c>
      <c r="BU59" s="5">
        <f>IF(BN59,SUMPRODUCT(--(calc!$BN$3:$BN$67=TRUE),--(ROW(calc!$BN$3:$BN$67)&gt;ROW(BN59)),--(((calc!$BS$3:$BS$67&gt;BS59)*(calc!$BT$3:$BT$67&gt;BT59)+(calc!$BS$3:$BS$67&lt;BS59)*(calc!$BT$3:$BT$67&lt;BT59))&gt;0))-SUMPRODUCT(--(calc!$BN$3:$BN$67=TRUE),--(ROW(calc!$BN$3:$BN$67)&gt;ROW(BN59)),--(((calc!$BS$3:$BS$67&gt;BS59)*(calc!$BT$3:$BT$67&lt;BT59)+(calc!$BS$3:$BS$67&lt;BS59)*(calc!$BT$3:$BT$67&gt;BT59))&gt;0)),0)</f>
        <v/>
      </c>
    </row>
    <row r="60">
      <c r="A60" s="2">
        <f>mos_metrics!A59</f>
        <v/>
      </c>
      <c r="B60" s="2">
        <f>mos_metrics!B59</f>
        <v/>
      </c>
      <c r="C60" s="2">
        <f>mos_metrics!C59</f>
        <v/>
      </c>
      <c r="D60" s="2">
        <f>mos_metrics!D59</f>
        <v/>
      </c>
      <c r="E60" s="2">
        <f>mos_metrics!E59</f>
        <v/>
      </c>
      <c r="F60" s="2">
        <f>mos_metrics!F59</f>
        <v/>
      </c>
      <c r="G60" s="2">
        <f>IF($B60="","",IFERROR(VLOOKUP($B60,correlation!$A$2:$B$6,2,FALSE),1))</f>
        <v/>
      </c>
      <c r="H60" s="2">
        <f>IF($E60="","",IFERROR(VLOOKUP($E60,correlation!$D$2:$E$8,2,FALSE),1))</f>
        <v/>
      </c>
      <c r="I60" s="2">
        <f>ISNUMBER($F60)</f>
        <v/>
      </c>
      <c r="J60" s="2">
        <f>AND($G60=1,$H60=1,$I60)</f>
        <v/>
      </c>
      <c r="K60" s="5">
        <f>IF(mos_metrics!G59="","",mos_metrics!G59)</f>
        <v/>
      </c>
      <c r="L60" s="2">
        <f>AND($J60,ISNUMBER(K60),correlation!$I$26=1)</f>
        <v/>
      </c>
      <c r="M60" s="5">
        <f>IF(L60,$F60,"")</f>
        <v/>
      </c>
      <c r="N60" s="5">
        <f>IF(L60,K60*correlation!$J$26,"")</f>
        <v/>
      </c>
      <c r="O60" s="5">
        <f>IF(AND(L60,ISNUMBER(correlation!$F$26)),N60*correlation!$F$26+correlation!$G$26,"")</f>
        <v/>
      </c>
      <c r="P60" s="5">
        <f>IF(AND(L60,ISNUMBER(O60)),(M60-O60)^2,"")</f>
        <v/>
      </c>
      <c r="Q60" s="5">
        <f>IF(L60,1+SUMPRODUCT(--(calc!$L$3:$L$67=TRUE),--(calc!$M$3:$M$67&gt;M60))+(SUMPRODUCT(--(calc!$L$3:$L$67=TRUE),--(calc!$M$3:$M$67=M60))-1)/2,"")</f>
        <v/>
      </c>
      <c r="R60" s="5">
        <f>IF(L60,1+SUMPRODUCT(--(calc!$L$3:$L$67=TRUE),--(calc!$N$3:$N$67&gt;N60))+(SUMPRODUCT(--(calc!$L$3:$L$67=TRUE),--(calc!$N$3:$N$67=N60))-1)/2,"")</f>
        <v/>
      </c>
      <c r="S60" s="5">
        <f>IF(L60,SUMPRODUCT(--(calc!$L$3:$L$67=TRUE),--(ROW(calc!$L$3:$L$67)&gt;ROW(L60)),--(((calc!$Q$3:$Q$67&gt;Q60)*(calc!$R$3:$R$67&gt;R60)+(calc!$Q$3:$Q$67&lt;Q60)*(calc!$R$3:$R$67&lt;R60))&gt;0))-SUMPRODUCT(--(calc!$L$3:$L$67=TRUE),--(ROW(calc!$L$3:$L$67)&gt;ROW(L60)),--(((calc!$Q$3:$Q$67&gt;Q60)*(calc!$R$3:$R$67&lt;R60)+(calc!$Q$3:$Q$67&lt;Q60)*(calc!$R$3:$R$67&gt;R60))&gt;0)),0)</f>
        <v/>
      </c>
      <c r="T60" s="5">
        <f>IF(mos_metrics!H59="","",mos_metrics!H59)</f>
        <v/>
      </c>
      <c r="U60" s="2">
        <f>AND($J60,ISNUMBER(T60),correlation!$I$27=1)</f>
        <v/>
      </c>
      <c r="V60" s="5">
        <f>IF(U60,$F60,"")</f>
        <v/>
      </c>
      <c r="W60" s="5">
        <f>IF(U60,T60*correlation!$J$27,"")</f>
        <v/>
      </c>
      <c r="X60" s="5">
        <f>IF(AND(U60,ISNUMBER(correlation!$F$27)),W60*correlation!$F$27+correlation!$G$27,"")</f>
        <v/>
      </c>
      <c r="Y60" s="5">
        <f>IF(AND(U60,ISNUMBER(X60)),(V60-X60)^2,"")</f>
        <v/>
      </c>
      <c r="Z60" s="5">
        <f>IF(U60,1+SUMPRODUCT(--(calc!$U$3:$U$67=TRUE),--(calc!$V$3:$V$67&gt;V60))+(SUMPRODUCT(--(calc!$U$3:$U$67=TRUE),--(calc!$V$3:$V$67=V60))-1)/2,"")</f>
        <v/>
      </c>
      <c r="AA60" s="5">
        <f>IF(U60,1+SUMPRODUCT(--(calc!$U$3:$U$67=TRUE),--(calc!$W$3:$W$67&gt;W60))+(SUMPRODUCT(--(calc!$U$3:$U$67=TRUE),--(calc!$W$3:$W$67=W60))-1)/2,"")</f>
        <v/>
      </c>
      <c r="AB60" s="5">
        <f>IF(U60,SUMPRODUCT(--(calc!$U$3:$U$67=TRUE),--(ROW(calc!$U$3:$U$67)&gt;ROW(U60)),--(((calc!$Z$3:$Z$67&gt;Z60)*(calc!$AA$3:$AA$67&gt;AA60)+(calc!$Z$3:$Z$67&lt;Z60)*(calc!$AA$3:$AA$67&lt;AA60))&gt;0))-SUMPRODUCT(--(calc!$U$3:$U$67=TRUE),--(ROW(calc!$U$3:$U$67)&gt;ROW(U60)),--(((calc!$Z$3:$Z$67&gt;Z60)*(calc!$AA$3:$AA$67&lt;AA60)+(calc!$Z$3:$Z$67&lt;Z60)*(calc!$AA$3:$AA$67&gt;AA60))&gt;0)),0)</f>
        <v/>
      </c>
      <c r="AC60" s="5">
        <f>IF(mos_metrics!I59="","",mos_metrics!I59)</f>
        <v/>
      </c>
      <c r="AD60" s="2">
        <f>AND($J60,ISNUMBER(AC60),correlation!$I$28=1)</f>
        <v/>
      </c>
      <c r="AE60" s="5">
        <f>IF(AD60,$F60,"")</f>
        <v/>
      </c>
      <c r="AF60" s="5">
        <f>IF(AD60,AC60*correlation!$J$28,"")</f>
        <v/>
      </c>
      <c r="AG60" s="5">
        <f>IF(AND(AD60,ISNUMBER(correlation!$F$28)),AF60*correlation!$F$28+correlation!$G$28,"")</f>
        <v/>
      </c>
      <c r="AH60" s="5">
        <f>IF(AND(AD60,ISNUMBER(AG60)),(AE60-AG60)^2,"")</f>
        <v/>
      </c>
      <c r="AI60" s="5">
        <f>IF(AD60,1+SUMPRODUCT(--(calc!$AD$3:$AD$67=TRUE),--(calc!$AE$3:$AE$67&gt;AE60))+(SUMPRODUCT(--(calc!$AD$3:$AD$67=TRUE),--(calc!$AE$3:$AE$67=AE60))-1)/2,"")</f>
        <v/>
      </c>
      <c r="AJ60" s="5">
        <f>IF(AD60,1+SUMPRODUCT(--(calc!$AD$3:$AD$67=TRUE),--(calc!$AF$3:$AF$67&gt;AF60))+(SUMPRODUCT(--(calc!$AD$3:$AD$67=TRUE),--(calc!$AF$3:$AF$67=AF60))-1)/2,"")</f>
        <v/>
      </c>
      <c r="AK60" s="5">
        <f>IF(AD60,SUMPRODUCT(--(calc!$AD$3:$AD$67=TRUE),--(ROW(calc!$AD$3:$AD$67)&gt;ROW(AD60)),--(((calc!$AI$3:$AI$67&gt;AI60)*(calc!$AJ$3:$AJ$67&gt;AJ60)+(calc!$AI$3:$AI$67&lt;AI60)*(calc!$AJ$3:$AJ$67&lt;AJ60))&gt;0))-SUMPRODUCT(--(calc!$AD$3:$AD$67=TRUE),--(ROW(calc!$AD$3:$AD$67)&gt;ROW(AD60)),--(((calc!$AI$3:$AI$67&gt;AI60)*(calc!$AJ$3:$AJ$67&lt;AJ60)+(calc!$AI$3:$AI$67&lt;AI60)*(calc!$AJ$3:$AJ$67&gt;AJ60))&gt;0)),0)</f>
        <v/>
      </c>
      <c r="AL60" s="5">
        <f>IF(mos_metrics!J59="","",mos_metrics!J59)</f>
        <v/>
      </c>
      <c r="AM60" s="2">
        <f>AND($J60,ISNUMBER(AL60),correlation!$I$29=1)</f>
        <v/>
      </c>
      <c r="AN60" s="5">
        <f>IF(AM60,$F60,"")</f>
        <v/>
      </c>
      <c r="AO60" s="5">
        <f>IF(AM60,AL60*correlation!$J$29,"")</f>
        <v/>
      </c>
      <c r="AP60" s="5">
        <f>IF(AND(AM60,ISNUMBER(correlation!$F$29)),AO60*correlation!$F$29+correlation!$G$29,"")</f>
        <v/>
      </c>
      <c r="AQ60" s="5">
        <f>IF(AND(AM60,ISNUMBER(AP60)),(AN60-AP60)^2,"")</f>
        <v/>
      </c>
      <c r="AR60" s="5">
        <f>IF(AM60,1+SUMPRODUCT(--(calc!$AM$3:$AM$67=TRUE),--(calc!$AN$3:$AN$67&gt;AN60))+(SUMPRODUCT(--(calc!$AM$3:$AM$67=TRUE),--(calc!$AN$3:$AN$67=AN60))-1)/2,"")</f>
        <v/>
      </c>
      <c r="AS60" s="5">
        <f>IF(AM60,1+SUMPRODUCT(--(calc!$AM$3:$AM$67=TRUE),--(calc!$AO$3:$AO$67&gt;AO60))+(SUMPRODUCT(--(calc!$AM$3:$AM$67=TRUE),--(calc!$AO$3:$AO$67=AO60))-1)/2,"")</f>
        <v/>
      </c>
      <c r="AT60" s="5">
        <f>IF(AM60,SUMPRODUCT(--(calc!$AM$3:$AM$67=TRUE),--(ROW(calc!$AM$3:$AM$67)&gt;ROW(AM60)),--(((calc!$AR$3:$AR$67&gt;AR60)*(calc!$AS$3:$AS$67&gt;AS60)+(calc!$AR$3:$AR$67&lt;AR60)*(calc!$AS$3:$AS$67&lt;AS60))&gt;0))-SUMPRODUCT(--(calc!$AM$3:$AM$67=TRUE),--(ROW(calc!$AM$3:$AM$67)&gt;ROW(AM60)),--(((calc!$AR$3:$AR$67&gt;AR60)*(calc!$AS$3:$AS$67&lt;AS60)+(calc!$AR$3:$AR$67&lt;AR60)*(calc!$AS$3:$AS$67&gt;AS60))&gt;0)),0)</f>
        <v/>
      </c>
      <c r="AU60" s="5">
        <f>IF(mos_metrics!K59="","",mos_metrics!K59)</f>
        <v/>
      </c>
      <c r="AV60" s="2">
        <f>AND($J60,ISNUMBER(AU60),correlation!$I$30=1)</f>
        <v/>
      </c>
      <c r="AW60" s="5">
        <f>IF(AV60,$F60,"")</f>
        <v/>
      </c>
      <c r="AX60" s="5">
        <f>IF(AV60,AU60*correlation!$J$30,"")</f>
        <v/>
      </c>
      <c r="AY60" s="5">
        <f>IF(AND(AV60,ISNUMBER(correlation!$F$30)),AX60*correlation!$F$30+correlation!$G$30,"")</f>
        <v/>
      </c>
      <c r="AZ60" s="5">
        <f>IF(AND(AV60,ISNUMBER(AY60)),(AW60-AY60)^2,"")</f>
        <v/>
      </c>
      <c r="BA60" s="5">
        <f>IF(AV60,1+SUMPRODUCT(--(calc!$AV$3:$AV$67=TRUE),--(calc!$AW$3:$AW$67&gt;AW60))+(SUMPRODUCT(--(calc!$AV$3:$AV$67=TRUE),--(calc!$AW$3:$AW$67=AW60))-1)/2,"")</f>
        <v/>
      </c>
      <c r="BB60" s="5">
        <f>IF(AV60,1+SUMPRODUCT(--(calc!$AV$3:$AV$67=TRUE),--(calc!$AX$3:$AX$67&gt;AX60))+(SUMPRODUCT(--(calc!$AV$3:$AV$67=TRUE),--(calc!$AX$3:$AX$67=AX60))-1)/2,"")</f>
        <v/>
      </c>
      <c r="BC60" s="5">
        <f>IF(AV60,SUMPRODUCT(--(calc!$AV$3:$AV$67=TRUE),--(ROW(calc!$AV$3:$AV$67)&gt;ROW(AV60)),--(((calc!$BA$3:$BA$67&gt;BA60)*(calc!$BB$3:$BB$67&gt;BB60)+(calc!$BA$3:$BA$67&lt;BA60)*(calc!$BB$3:$BB$67&lt;BB60))&gt;0))-SUMPRODUCT(--(calc!$AV$3:$AV$67=TRUE),--(ROW(calc!$AV$3:$AV$67)&gt;ROW(AV60)),--(((calc!$BA$3:$BA$67&gt;BA60)*(calc!$BB$3:$BB$67&lt;BB60)+(calc!$BA$3:$BA$67&lt;BA60)*(calc!$BB$3:$BB$67&gt;BB60))&gt;0)),0)</f>
        <v/>
      </c>
      <c r="BD60" s="5">
        <f>IF(mos_metrics!L59="","",mos_metrics!L59)</f>
        <v/>
      </c>
      <c r="BE60" s="2">
        <f>AND($J60,ISNUMBER(BD60),correlation!$I$31=1)</f>
        <v/>
      </c>
      <c r="BF60" s="5">
        <f>IF(BE60,$F60,"")</f>
        <v/>
      </c>
      <c r="BG60" s="5">
        <f>IF(BE60,BD60*correlation!$J$31,"")</f>
        <v/>
      </c>
      <c r="BH60" s="5">
        <f>IF(AND(BE60,ISNUMBER(correlation!$F$31)),BG60*correlation!$F$31+correlation!$G$31,"")</f>
        <v/>
      </c>
      <c r="BI60" s="5">
        <f>IF(AND(BE60,ISNUMBER(BH60)),(BF60-BH60)^2,"")</f>
        <v/>
      </c>
      <c r="BJ60" s="5">
        <f>IF(BE60,1+SUMPRODUCT(--(calc!$BE$3:$BE$67=TRUE),--(calc!$BF$3:$BF$67&gt;BF60))+(SUMPRODUCT(--(calc!$BE$3:$BE$67=TRUE),--(calc!$BF$3:$BF$67=BF60))-1)/2,"")</f>
        <v/>
      </c>
      <c r="BK60" s="5">
        <f>IF(BE60,1+SUMPRODUCT(--(calc!$BE$3:$BE$67=TRUE),--(calc!$BG$3:$BG$67&gt;BG60))+(SUMPRODUCT(--(calc!$BE$3:$BE$67=TRUE),--(calc!$BG$3:$BG$67=BG60))-1)/2,"")</f>
        <v/>
      </c>
      <c r="BL60" s="5">
        <f>IF(BE60,SUMPRODUCT(--(calc!$BE$3:$BE$67=TRUE),--(ROW(calc!$BE$3:$BE$67)&gt;ROW(BE60)),--(((calc!$BJ$3:$BJ$67&gt;BJ60)*(calc!$BK$3:$BK$67&gt;BK60)+(calc!$BJ$3:$BJ$67&lt;BJ60)*(calc!$BK$3:$BK$67&lt;BK60))&gt;0))-SUMPRODUCT(--(calc!$BE$3:$BE$67=TRUE),--(ROW(calc!$BE$3:$BE$67)&gt;ROW(BE60)),--(((calc!$BJ$3:$BJ$67&gt;BJ60)*(calc!$BK$3:$BK$67&lt;BK60)+(calc!$BJ$3:$BJ$67&lt;BJ60)*(calc!$BK$3:$BK$67&gt;BK60))&gt;0)),0)</f>
        <v/>
      </c>
      <c r="BM60" s="5">
        <f>IF(mos_metrics!M59="","",mos_metrics!M59)</f>
        <v/>
      </c>
      <c r="BN60" s="2">
        <f>AND($J60,ISNUMBER(BM60),correlation!$I$32=1)</f>
        <v/>
      </c>
      <c r="BO60" s="5">
        <f>IF(BN60,$F60,"")</f>
        <v/>
      </c>
      <c r="BP60" s="5">
        <f>IF(BN60,BM60*correlation!$J$32,"")</f>
        <v/>
      </c>
      <c r="BQ60" s="5">
        <f>IF(AND(BN60,ISNUMBER(correlation!$F$32)),BP60*correlation!$F$32+correlation!$G$32,"")</f>
        <v/>
      </c>
      <c r="BR60" s="5">
        <f>IF(AND(BN60,ISNUMBER(BQ60)),(BO60-BQ60)^2,"")</f>
        <v/>
      </c>
      <c r="BS60" s="5">
        <f>IF(BN60,1+SUMPRODUCT(--(calc!$BN$3:$BN$67=TRUE),--(calc!$BO$3:$BO$67&gt;BO60))+(SUMPRODUCT(--(calc!$BN$3:$BN$67=TRUE),--(calc!$BO$3:$BO$67=BO60))-1)/2,"")</f>
        <v/>
      </c>
      <c r="BT60" s="5">
        <f>IF(BN60,1+SUMPRODUCT(--(calc!$BN$3:$BN$67=TRUE),--(calc!$BP$3:$BP$67&gt;BP60))+(SUMPRODUCT(--(calc!$BN$3:$BN$67=TRUE),--(calc!$BP$3:$BP$67=BP60))-1)/2,"")</f>
        <v/>
      </c>
      <c r="BU60" s="5">
        <f>IF(BN60,SUMPRODUCT(--(calc!$BN$3:$BN$67=TRUE),--(ROW(calc!$BN$3:$BN$67)&gt;ROW(BN60)),--(((calc!$BS$3:$BS$67&gt;BS60)*(calc!$BT$3:$BT$67&gt;BT60)+(calc!$BS$3:$BS$67&lt;BS60)*(calc!$BT$3:$BT$67&lt;BT60))&gt;0))-SUMPRODUCT(--(calc!$BN$3:$BN$67=TRUE),--(ROW(calc!$BN$3:$BN$67)&gt;ROW(BN60)),--(((calc!$BS$3:$BS$67&gt;BS60)*(calc!$BT$3:$BT$67&lt;BT60)+(calc!$BS$3:$BS$67&lt;BS60)*(calc!$BT$3:$BT$67&gt;BT60))&gt;0)),0)</f>
        <v/>
      </c>
    </row>
    <row r="61">
      <c r="A61" s="2">
        <f>mos_metrics!A60</f>
        <v/>
      </c>
      <c r="B61" s="2">
        <f>mos_metrics!B60</f>
        <v/>
      </c>
      <c r="C61" s="2">
        <f>mos_metrics!C60</f>
        <v/>
      </c>
      <c r="D61" s="2">
        <f>mos_metrics!D60</f>
        <v/>
      </c>
      <c r="E61" s="2">
        <f>mos_metrics!E60</f>
        <v/>
      </c>
      <c r="F61" s="2">
        <f>mos_metrics!F60</f>
        <v/>
      </c>
      <c r="G61" s="2">
        <f>IF($B61="","",IFERROR(VLOOKUP($B61,correlation!$A$2:$B$6,2,FALSE),1))</f>
        <v/>
      </c>
      <c r="H61" s="2">
        <f>IF($E61="","",IFERROR(VLOOKUP($E61,correlation!$D$2:$E$8,2,FALSE),1))</f>
        <v/>
      </c>
      <c r="I61" s="2">
        <f>ISNUMBER($F61)</f>
        <v/>
      </c>
      <c r="J61" s="2">
        <f>AND($G61=1,$H61=1,$I61)</f>
        <v/>
      </c>
      <c r="K61" s="5">
        <f>IF(mos_metrics!G60="","",mos_metrics!G60)</f>
        <v/>
      </c>
      <c r="L61" s="2">
        <f>AND($J61,ISNUMBER(K61),correlation!$I$26=1)</f>
        <v/>
      </c>
      <c r="M61" s="5">
        <f>IF(L61,$F61,"")</f>
        <v/>
      </c>
      <c r="N61" s="5">
        <f>IF(L61,K61*correlation!$J$26,"")</f>
        <v/>
      </c>
      <c r="O61" s="5">
        <f>IF(AND(L61,ISNUMBER(correlation!$F$26)),N61*correlation!$F$26+correlation!$G$26,"")</f>
        <v/>
      </c>
      <c r="P61" s="5">
        <f>IF(AND(L61,ISNUMBER(O61)),(M61-O61)^2,"")</f>
        <v/>
      </c>
      <c r="Q61" s="5">
        <f>IF(L61,1+SUMPRODUCT(--(calc!$L$3:$L$67=TRUE),--(calc!$M$3:$M$67&gt;M61))+(SUMPRODUCT(--(calc!$L$3:$L$67=TRUE),--(calc!$M$3:$M$67=M61))-1)/2,"")</f>
        <v/>
      </c>
      <c r="R61" s="5">
        <f>IF(L61,1+SUMPRODUCT(--(calc!$L$3:$L$67=TRUE),--(calc!$N$3:$N$67&gt;N61))+(SUMPRODUCT(--(calc!$L$3:$L$67=TRUE),--(calc!$N$3:$N$67=N61))-1)/2,"")</f>
        <v/>
      </c>
      <c r="S61" s="5">
        <f>IF(L61,SUMPRODUCT(--(calc!$L$3:$L$67=TRUE),--(ROW(calc!$L$3:$L$67)&gt;ROW(L61)),--(((calc!$Q$3:$Q$67&gt;Q61)*(calc!$R$3:$R$67&gt;R61)+(calc!$Q$3:$Q$67&lt;Q61)*(calc!$R$3:$R$67&lt;R61))&gt;0))-SUMPRODUCT(--(calc!$L$3:$L$67=TRUE),--(ROW(calc!$L$3:$L$67)&gt;ROW(L61)),--(((calc!$Q$3:$Q$67&gt;Q61)*(calc!$R$3:$R$67&lt;R61)+(calc!$Q$3:$Q$67&lt;Q61)*(calc!$R$3:$R$67&gt;R61))&gt;0)),0)</f>
        <v/>
      </c>
      <c r="T61" s="5">
        <f>IF(mos_metrics!H60="","",mos_metrics!H60)</f>
        <v/>
      </c>
      <c r="U61" s="2">
        <f>AND($J61,ISNUMBER(T61),correlation!$I$27=1)</f>
        <v/>
      </c>
      <c r="V61" s="5">
        <f>IF(U61,$F61,"")</f>
        <v/>
      </c>
      <c r="W61" s="5">
        <f>IF(U61,T61*correlation!$J$27,"")</f>
        <v/>
      </c>
      <c r="X61" s="5">
        <f>IF(AND(U61,ISNUMBER(correlation!$F$27)),W61*correlation!$F$27+correlation!$G$27,"")</f>
        <v/>
      </c>
      <c r="Y61" s="5">
        <f>IF(AND(U61,ISNUMBER(X61)),(V61-X61)^2,"")</f>
        <v/>
      </c>
      <c r="Z61" s="5">
        <f>IF(U61,1+SUMPRODUCT(--(calc!$U$3:$U$67=TRUE),--(calc!$V$3:$V$67&gt;V61))+(SUMPRODUCT(--(calc!$U$3:$U$67=TRUE),--(calc!$V$3:$V$67=V61))-1)/2,"")</f>
        <v/>
      </c>
      <c r="AA61" s="5">
        <f>IF(U61,1+SUMPRODUCT(--(calc!$U$3:$U$67=TRUE),--(calc!$W$3:$W$67&gt;W61))+(SUMPRODUCT(--(calc!$U$3:$U$67=TRUE),--(calc!$W$3:$W$67=W61))-1)/2,"")</f>
        <v/>
      </c>
      <c r="AB61" s="5">
        <f>IF(U61,SUMPRODUCT(--(calc!$U$3:$U$67=TRUE),--(ROW(calc!$U$3:$U$67)&gt;ROW(U61)),--(((calc!$Z$3:$Z$67&gt;Z61)*(calc!$AA$3:$AA$67&gt;AA61)+(calc!$Z$3:$Z$67&lt;Z61)*(calc!$AA$3:$AA$67&lt;AA61))&gt;0))-SUMPRODUCT(--(calc!$U$3:$U$67=TRUE),--(ROW(calc!$U$3:$U$67)&gt;ROW(U61)),--(((calc!$Z$3:$Z$67&gt;Z61)*(calc!$AA$3:$AA$67&lt;AA61)+(calc!$Z$3:$Z$67&lt;Z61)*(calc!$AA$3:$AA$67&gt;AA61))&gt;0)),0)</f>
        <v/>
      </c>
      <c r="AC61" s="5">
        <f>IF(mos_metrics!I60="","",mos_metrics!I60)</f>
        <v/>
      </c>
      <c r="AD61" s="2">
        <f>AND($J61,ISNUMBER(AC61),correlation!$I$28=1)</f>
        <v/>
      </c>
      <c r="AE61" s="5">
        <f>IF(AD61,$F61,"")</f>
        <v/>
      </c>
      <c r="AF61" s="5">
        <f>IF(AD61,AC61*correlation!$J$28,"")</f>
        <v/>
      </c>
      <c r="AG61" s="5">
        <f>IF(AND(AD61,ISNUMBER(correlation!$F$28)),AF61*correlation!$F$28+correlation!$G$28,"")</f>
        <v/>
      </c>
      <c r="AH61" s="5">
        <f>IF(AND(AD61,ISNUMBER(AG61)),(AE61-AG61)^2,"")</f>
        <v/>
      </c>
      <c r="AI61" s="5">
        <f>IF(AD61,1+SUMPRODUCT(--(calc!$AD$3:$AD$67=TRUE),--(calc!$AE$3:$AE$67&gt;AE61))+(SUMPRODUCT(--(calc!$AD$3:$AD$67=TRUE),--(calc!$AE$3:$AE$67=AE61))-1)/2,"")</f>
        <v/>
      </c>
      <c r="AJ61" s="5">
        <f>IF(AD61,1+SUMPRODUCT(--(calc!$AD$3:$AD$67=TRUE),--(calc!$AF$3:$AF$67&gt;AF61))+(SUMPRODUCT(--(calc!$AD$3:$AD$67=TRUE),--(calc!$AF$3:$AF$67=AF61))-1)/2,"")</f>
        <v/>
      </c>
      <c r="AK61" s="5">
        <f>IF(AD61,SUMPRODUCT(--(calc!$AD$3:$AD$67=TRUE),--(ROW(calc!$AD$3:$AD$67)&gt;ROW(AD61)),--(((calc!$AI$3:$AI$67&gt;AI61)*(calc!$AJ$3:$AJ$67&gt;AJ61)+(calc!$AI$3:$AI$67&lt;AI61)*(calc!$AJ$3:$AJ$67&lt;AJ61))&gt;0))-SUMPRODUCT(--(calc!$AD$3:$AD$67=TRUE),--(ROW(calc!$AD$3:$AD$67)&gt;ROW(AD61)),--(((calc!$AI$3:$AI$67&gt;AI61)*(calc!$AJ$3:$AJ$67&lt;AJ61)+(calc!$AI$3:$AI$67&lt;AI61)*(calc!$AJ$3:$AJ$67&gt;AJ61))&gt;0)),0)</f>
        <v/>
      </c>
      <c r="AL61" s="5">
        <f>IF(mos_metrics!J60="","",mos_metrics!J60)</f>
        <v/>
      </c>
      <c r="AM61" s="2">
        <f>AND($J61,ISNUMBER(AL61),correlation!$I$29=1)</f>
        <v/>
      </c>
      <c r="AN61" s="5">
        <f>IF(AM61,$F61,"")</f>
        <v/>
      </c>
      <c r="AO61" s="5">
        <f>IF(AM61,AL61*correlation!$J$29,"")</f>
        <v/>
      </c>
      <c r="AP61" s="5">
        <f>IF(AND(AM61,ISNUMBER(correlation!$F$29)),AO61*correlation!$F$29+correlation!$G$29,"")</f>
        <v/>
      </c>
      <c r="AQ61" s="5">
        <f>IF(AND(AM61,ISNUMBER(AP61)),(AN61-AP61)^2,"")</f>
        <v/>
      </c>
      <c r="AR61" s="5">
        <f>IF(AM61,1+SUMPRODUCT(--(calc!$AM$3:$AM$67=TRUE),--(calc!$AN$3:$AN$67&gt;AN61))+(SUMPRODUCT(--(calc!$AM$3:$AM$67=TRUE),--(calc!$AN$3:$AN$67=AN61))-1)/2,"")</f>
        <v/>
      </c>
      <c r="AS61" s="5">
        <f>IF(AM61,1+SUMPRODUCT(--(calc!$AM$3:$AM$67=TRUE),--(calc!$AO$3:$AO$67&gt;AO61))+(SUMPRODUCT(--(calc!$AM$3:$AM$67=TRUE),--(calc!$AO$3:$AO$67=AO61))-1)/2,"")</f>
        <v/>
      </c>
      <c r="AT61" s="5">
        <f>IF(AM61,SUMPRODUCT(--(calc!$AM$3:$AM$67=TRUE),--(ROW(calc!$AM$3:$AM$67)&gt;ROW(AM61)),--(((calc!$AR$3:$AR$67&gt;AR61)*(calc!$AS$3:$AS$67&gt;AS61)+(calc!$AR$3:$AR$67&lt;AR61)*(calc!$AS$3:$AS$67&lt;AS61))&gt;0))-SUMPRODUCT(--(calc!$AM$3:$AM$67=TRUE),--(ROW(calc!$AM$3:$AM$67)&gt;ROW(AM61)),--(((calc!$AR$3:$AR$67&gt;AR61)*(calc!$AS$3:$AS$67&lt;AS61)+(calc!$AR$3:$AR$67&lt;AR61)*(calc!$AS$3:$AS$67&gt;AS61))&gt;0)),0)</f>
        <v/>
      </c>
      <c r="AU61" s="5">
        <f>IF(mos_metrics!K60="","",mos_metrics!K60)</f>
        <v/>
      </c>
      <c r="AV61" s="2">
        <f>AND($J61,ISNUMBER(AU61),correlation!$I$30=1)</f>
        <v/>
      </c>
      <c r="AW61" s="5">
        <f>IF(AV61,$F61,"")</f>
        <v/>
      </c>
      <c r="AX61" s="5">
        <f>IF(AV61,AU61*correlation!$J$30,"")</f>
        <v/>
      </c>
      <c r="AY61" s="5">
        <f>IF(AND(AV61,ISNUMBER(correlation!$F$30)),AX61*correlation!$F$30+correlation!$G$30,"")</f>
        <v/>
      </c>
      <c r="AZ61" s="5">
        <f>IF(AND(AV61,ISNUMBER(AY61)),(AW61-AY61)^2,"")</f>
        <v/>
      </c>
      <c r="BA61" s="5">
        <f>IF(AV61,1+SUMPRODUCT(--(calc!$AV$3:$AV$67=TRUE),--(calc!$AW$3:$AW$67&gt;AW61))+(SUMPRODUCT(--(calc!$AV$3:$AV$67=TRUE),--(calc!$AW$3:$AW$67=AW61))-1)/2,"")</f>
        <v/>
      </c>
      <c r="BB61" s="5">
        <f>IF(AV61,1+SUMPRODUCT(--(calc!$AV$3:$AV$67=TRUE),--(calc!$AX$3:$AX$67&gt;AX61))+(SUMPRODUCT(--(calc!$AV$3:$AV$67=TRUE),--(calc!$AX$3:$AX$67=AX61))-1)/2,"")</f>
        <v/>
      </c>
      <c r="BC61" s="5">
        <f>IF(AV61,SUMPRODUCT(--(calc!$AV$3:$AV$67=TRUE),--(ROW(calc!$AV$3:$AV$67)&gt;ROW(AV61)),--(((calc!$BA$3:$BA$67&gt;BA61)*(calc!$BB$3:$BB$67&gt;BB61)+(calc!$BA$3:$BA$67&lt;BA61)*(calc!$BB$3:$BB$67&lt;BB61))&gt;0))-SUMPRODUCT(--(calc!$AV$3:$AV$67=TRUE),--(ROW(calc!$AV$3:$AV$67)&gt;ROW(AV61)),--(((calc!$BA$3:$BA$67&gt;BA61)*(calc!$BB$3:$BB$67&lt;BB61)+(calc!$BA$3:$BA$67&lt;BA61)*(calc!$BB$3:$BB$67&gt;BB61))&gt;0)),0)</f>
        <v/>
      </c>
      <c r="BD61" s="5">
        <f>IF(mos_metrics!L60="","",mos_metrics!L60)</f>
        <v/>
      </c>
      <c r="BE61" s="2">
        <f>AND($J61,ISNUMBER(BD61),correlation!$I$31=1)</f>
        <v/>
      </c>
      <c r="BF61" s="5">
        <f>IF(BE61,$F61,"")</f>
        <v/>
      </c>
      <c r="BG61" s="5">
        <f>IF(BE61,BD61*correlation!$J$31,"")</f>
        <v/>
      </c>
      <c r="BH61" s="5">
        <f>IF(AND(BE61,ISNUMBER(correlation!$F$31)),BG61*correlation!$F$31+correlation!$G$31,"")</f>
        <v/>
      </c>
      <c r="BI61" s="5">
        <f>IF(AND(BE61,ISNUMBER(BH61)),(BF61-BH61)^2,"")</f>
        <v/>
      </c>
      <c r="BJ61" s="5">
        <f>IF(BE61,1+SUMPRODUCT(--(calc!$BE$3:$BE$67=TRUE),--(calc!$BF$3:$BF$67&gt;BF61))+(SUMPRODUCT(--(calc!$BE$3:$BE$67=TRUE),--(calc!$BF$3:$BF$67=BF61))-1)/2,"")</f>
        <v/>
      </c>
      <c r="BK61" s="5">
        <f>IF(BE61,1+SUMPRODUCT(--(calc!$BE$3:$BE$67=TRUE),--(calc!$BG$3:$BG$67&gt;BG61))+(SUMPRODUCT(--(calc!$BE$3:$BE$67=TRUE),--(calc!$BG$3:$BG$67=BG61))-1)/2,"")</f>
        <v/>
      </c>
      <c r="BL61" s="5">
        <f>IF(BE61,SUMPRODUCT(--(calc!$BE$3:$BE$67=TRUE),--(ROW(calc!$BE$3:$BE$67)&gt;ROW(BE61)),--(((calc!$BJ$3:$BJ$67&gt;BJ61)*(calc!$BK$3:$BK$67&gt;BK61)+(calc!$BJ$3:$BJ$67&lt;BJ61)*(calc!$BK$3:$BK$67&lt;BK61))&gt;0))-SUMPRODUCT(--(calc!$BE$3:$BE$67=TRUE),--(ROW(calc!$BE$3:$BE$67)&gt;ROW(BE61)),--(((calc!$BJ$3:$BJ$67&gt;BJ61)*(calc!$BK$3:$BK$67&lt;BK61)+(calc!$BJ$3:$BJ$67&lt;BJ61)*(calc!$BK$3:$BK$67&gt;BK61))&gt;0)),0)</f>
        <v/>
      </c>
      <c r="BM61" s="5">
        <f>IF(mos_metrics!M60="","",mos_metrics!M60)</f>
        <v/>
      </c>
      <c r="BN61" s="2">
        <f>AND($J61,ISNUMBER(BM61),correlation!$I$32=1)</f>
        <v/>
      </c>
      <c r="BO61" s="5">
        <f>IF(BN61,$F61,"")</f>
        <v/>
      </c>
      <c r="BP61" s="5">
        <f>IF(BN61,BM61*correlation!$J$32,"")</f>
        <v/>
      </c>
      <c r="BQ61" s="5">
        <f>IF(AND(BN61,ISNUMBER(correlation!$F$32)),BP61*correlation!$F$32+correlation!$G$32,"")</f>
        <v/>
      </c>
      <c r="BR61" s="5">
        <f>IF(AND(BN61,ISNUMBER(BQ61)),(BO61-BQ61)^2,"")</f>
        <v/>
      </c>
      <c r="BS61" s="5">
        <f>IF(BN61,1+SUMPRODUCT(--(calc!$BN$3:$BN$67=TRUE),--(calc!$BO$3:$BO$67&gt;BO61))+(SUMPRODUCT(--(calc!$BN$3:$BN$67=TRUE),--(calc!$BO$3:$BO$67=BO61))-1)/2,"")</f>
        <v/>
      </c>
      <c r="BT61" s="5">
        <f>IF(BN61,1+SUMPRODUCT(--(calc!$BN$3:$BN$67=TRUE),--(calc!$BP$3:$BP$67&gt;BP61))+(SUMPRODUCT(--(calc!$BN$3:$BN$67=TRUE),--(calc!$BP$3:$BP$67=BP61))-1)/2,"")</f>
        <v/>
      </c>
      <c r="BU61" s="5">
        <f>IF(BN61,SUMPRODUCT(--(calc!$BN$3:$BN$67=TRUE),--(ROW(calc!$BN$3:$BN$67)&gt;ROW(BN61)),--(((calc!$BS$3:$BS$67&gt;BS61)*(calc!$BT$3:$BT$67&gt;BT61)+(calc!$BS$3:$BS$67&lt;BS61)*(calc!$BT$3:$BT$67&lt;BT61))&gt;0))-SUMPRODUCT(--(calc!$BN$3:$BN$67=TRUE),--(ROW(calc!$BN$3:$BN$67)&gt;ROW(BN61)),--(((calc!$BS$3:$BS$67&gt;BS61)*(calc!$BT$3:$BT$67&lt;BT61)+(calc!$BS$3:$BS$67&lt;BS61)*(calc!$BT$3:$BT$67&gt;BT61))&gt;0)),0)</f>
        <v/>
      </c>
    </row>
    <row r="62">
      <c r="A62" s="2">
        <f>mos_metrics!A61</f>
        <v/>
      </c>
      <c r="B62" s="2">
        <f>mos_metrics!B61</f>
        <v/>
      </c>
      <c r="C62" s="2">
        <f>mos_metrics!C61</f>
        <v/>
      </c>
      <c r="D62" s="2">
        <f>mos_metrics!D61</f>
        <v/>
      </c>
      <c r="E62" s="2">
        <f>mos_metrics!E61</f>
        <v/>
      </c>
      <c r="F62" s="2">
        <f>mos_metrics!F61</f>
        <v/>
      </c>
      <c r="G62" s="2">
        <f>IF($B62="","",IFERROR(VLOOKUP($B62,correlation!$A$2:$B$6,2,FALSE),1))</f>
        <v/>
      </c>
      <c r="H62" s="2">
        <f>IF($E62="","",IFERROR(VLOOKUP($E62,correlation!$D$2:$E$8,2,FALSE),1))</f>
        <v/>
      </c>
      <c r="I62" s="2">
        <f>ISNUMBER($F62)</f>
        <v/>
      </c>
      <c r="J62" s="2">
        <f>AND($G62=1,$H62=1,$I62)</f>
        <v/>
      </c>
      <c r="K62" s="5">
        <f>IF(mos_metrics!G61="","",mos_metrics!G61)</f>
        <v/>
      </c>
      <c r="L62" s="2">
        <f>AND($J62,ISNUMBER(K62),correlation!$I$26=1)</f>
        <v/>
      </c>
      <c r="M62" s="5">
        <f>IF(L62,$F62,"")</f>
        <v/>
      </c>
      <c r="N62" s="5">
        <f>IF(L62,K62*correlation!$J$26,"")</f>
        <v/>
      </c>
      <c r="O62" s="5">
        <f>IF(AND(L62,ISNUMBER(correlation!$F$26)),N62*correlation!$F$26+correlation!$G$26,"")</f>
        <v/>
      </c>
      <c r="P62" s="5">
        <f>IF(AND(L62,ISNUMBER(O62)),(M62-O62)^2,"")</f>
        <v/>
      </c>
      <c r="Q62" s="5">
        <f>IF(L62,1+SUMPRODUCT(--(calc!$L$3:$L$67=TRUE),--(calc!$M$3:$M$67&gt;M62))+(SUMPRODUCT(--(calc!$L$3:$L$67=TRUE),--(calc!$M$3:$M$67=M62))-1)/2,"")</f>
        <v/>
      </c>
      <c r="R62" s="5">
        <f>IF(L62,1+SUMPRODUCT(--(calc!$L$3:$L$67=TRUE),--(calc!$N$3:$N$67&gt;N62))+(SUMPRODUCT(--(calc!$L$3:$L$67=TRUE),--(calc!$N$3:$N$67=N62))-1)/2,"")</f>
        <v/>
      </c>
      <c r="S62" s="5">
        <f>IF(L62,SUMPRODUCT(--(calc!$L$3:$L$67=TRUE),--(ROW(calc!$L$3:$L$67)&gt;ROW(L62)),--(((calc!$Q$3:$Q$67&gt;Q62)*(calc!$R$3:$R$67&gt;R62)+(calc!$Q$3:$Q$67&lt;Q62)*(calc!$R$3:$R$67&lt;R62))&gt;0))-SUMPRODUCT(--(calc!$L$3:$L$67=TRUE),--(ROW(calc!$L$3:$L$67)&gt;ROW(L62)),--(((calc!$Q$3:$Q$67&gt;Q62)*(calc!$R$3:$R$67&lt;R62)+(calc!$Q$3:$Q$67&lt;Q62)*(calc!$R$3:$R$67&gt;R62))&gt;0)),0)</f>
        <v/>
      </c>
      <c r="T62" s="5">
        <f>IF(mos_metrics!H61="","",mos_metrics!H61)</f>
        <v/>
      </c>
      <c r="U62" s="2">
        <f>AND($J62,ISNUMBER(T62),correlation!$I$27=1)</f>
        <v/>
      </c>
      <c r="V62" s="5">
        <f>IF(U62,$F62,"")</f>
        <v/>
      </c>
      <c r="W62" s="5">
        <f>IF(U62,T62*correlation!$J$27,"")</f>
        <v/>
      </c>
      <c r="X62" s="5">
        <f>IF(AND(U62,ISNUMBER(correlation!$F$27)),W62*correlation!$F$27+correlation!$G$27,"")</f>
        <v/>
      </c>
      <c r="Y62" s="5">
        <f>IF(AND(U62,ISNUMBER(X62)),(V62-X62)^2,"")</f>
        <v/>
      </c>
      <c r="Z62" s="5">
        <f>IF(U62,1+SUMPRODUCT(--(calc!$U$3:$U$67=TRUE),--(calc!$V$3:$V$67&gt;V62))+(SUMPRODUCT(--(calc!$U$3:$U$67=TRUE),--(calc!$V$3:$V$67=V62))-1)/2,"")</f>
        <v/>
      </c>
      <c r="AA62" s="5">
        <f>IF(U62,1+SUMPRODUCT(--(calc!$U$3:$U$67=TRUE),--(calc!$W$3:$W$67&gt;W62))+(SUMPRODUCT(--(calc!$U$3:$U$67=TRUE),--(calc!$W$3:$W$67=W62))-1)/2,"")</f>
        <v/>
      </c>
      <c r="AB62" s="5">
        <f>IF(U62,SUMPRODUCT(--(calc!$U$3:$U$67=TRUE),--(ROW(calc!$U$3:$U$67)&gt;ROW(U62)),--(((calc!$Z$3:$Z$67&gt;Z62)*(calc!$AA$3:$AA$67&gt;AA62)+(calc!$Z$3:$Z$67&lt;Z62)*(calc!$AA$3:$AA$67&lt;AA62))&gt;0))-SUMPRODUCT(--(calc!$U$3:$U$67=TRUE),--(ROW(calc!$U$3:$U$67)&gt;ROW(U62)),--(((calc!$Z$3:$Z$67&gt;Z62)*(calc!$AA$3:$AA$67&lt;AA62)+(calc!$Z$3:$Z$67&lt;Z62)*(calc!$AA$3:$AA$67&gt;AA62))&gt;0)),0)</f>
        <v/>
      </c>
      <c r="AC62" s="5">
        <f>IF(mos_metrics!I61="","",mos_metrics!I61)</f>
        <v/>
      </c>
      <c r="AD62" s="2">
        <f>AND($J62,ISNUMBER(AC62),correlation!$I$28=1)</f>
        <v/>
      </c>
      <c r="AE62" s="5">
        <f>IF(AD62,$F62,"")</f>
        <v/>
      </c>
      <c r="AF62" s="5">
        <f>IF(AD62,AC62*correlation!$J$28,"")</f>
        <v/>
      </c>
      <c r="AG62" s="5">
        <f>IF(AND(AD62,ISNUMBER(correlation!$F$28)),AF62*correlation!$F$28+correlation!$G$28,"")</f>
        <v/>
      </c>
      <c r="AH62" s="5">
        <f>IF(AND(AD62,ISNUMBER(AG62)),(AE62-AG62)^2,"")</f>
        <v/>
      </c>
      <c r="AI62" s="5">
        <f>IF(AD62,1+SUMPRODUCT(--(calc!$AD$3:$AD$67=TRUE),--(calc!$AE$3:$AE$67&gt;AE62))+(SUMPRODUCT(--(calc!$AD$3:$AD$67=TRUE),--(calc!$AE$3:$AE$67=AE62))-1)/2,"")</f>
        <v/>
      </c>
      <c r="AJ62" s="5">
        <f>IF(AD62,1+SUMPRODUCT(--(calc!$AD$3:$AD$67=TRUE),--(calc!$AF$3:$AF$67&gt;AF62))+(SUMPRODUCT(--(calc!$AD$3:$AD$67=TRUE),--(calc!$AF$3:$AF$67=AF62))-1)/2,"")</f>
        <v/>
      </c>
      <c r="AK62" s="5">
        <f>IF(AD62,SUMPRODUCT(--(calc!$AD$3:$AD$67=TRUE),--(ROW(calc!$AD$3:$AD$67)&gt;ROW(AD62)),--(((calc!$AI$3:$AI$67&gt;AI62)*(calc!$AJ$3:$AJ$67&gt;AJ62)+(calc!$AI$3:$AI$67&lt;AI62)*(calc!$AJ$3:$AJ$67&lt;AJ62))&gt;0))-SUMPRODUCT(--(calc!$AD$3:$AD$67=TRUE),--(ROW(calc!$AD$3:$AD$67)&gt;ROW(AD62)),--(((calc!$AI$3:$AI$67&gt;AI62)*(calc!$AJ$3:$AJ$67&lt;AJ62)+(calc!$AI$3:$AI$67&lt;AI62)*(calc!$AJ$3:$AJ$67&gt;AJ62))&gt;0)),0)</f>
        <v/>
      </c>
      <c r="AL62" s="5">
        <f>IF(mos_metrics!J61="","",mos_metrics!J61)</f>
        <v/>
      </c>
      <c r="AM62" s="2">
        <f>AND($J62,ISNUMBER(AL62),correlation!$I$29=1)</f>
        <v/>
      </c>
      <c r="AN62" s="5">
        <f>IF(AM62,$F62,"")</f>
        <v/>
      </c>
      <c r="AO62" s="5">
        <f>IF(AM62,AL62*correlation!$J$29,"")</f>
        <v/>
      </c>
      <c r="AP62" s="5">
        <f>IF(AND(AM62,ISNUMBER(correlation!$F$29)),AO62*correlation!$F$29+correlation!$G$29,"")</f>
        <v/>
      </c>
      <c r="AQ62" s="5">
        <f>IF(AND(AM62,ISNUMBER(AP62)),(AN62-AP62)^2,"")</f>
        <v/>
      </c>
      <c r="AR62" s="5">
        <f>IF(AM62,1+SUMPRODUCT(--(calc!$AM$3:$AM$67=TRUE),--(calc!$AN$3:$AN$67&gt;AN62))+(SUMPRODUCT(--(calc!$AM$3:$AM$67=TRUE),--(calc!$AN$3:$AN$67=AN62))-1)/2,"")</f>
        <v/>
      </c>
      <c r="AS62" s="5">
        <f>IF(AM62,1+SUMPRODUCT(--(calc!$AM$3:$AM$67=TRUE),--(calc!$AO$3:$AO$67&gt;AO62))+(SUMPRODUCT(--(calc!$AM$3:$AM$67=TRUE),--(calc!$AO$3:$AO$67=AO62))-1)/2,"")</f>
        <v/>
      </c>
      <c r="AT62" s="5">
        <f>IF(AM62,SUMPRODUCT(--(calc!$AM$3:$AM$67=TRUE),--(ROW(calc!$AM$3:$AM$67)&gt;ROW(AM62)),--(((calc!$AR$3:$AR$67&gt;AR62)*(calc!$AS$3:$AS$67&gt;AS62)+(calc!$AR$3:$AR$67&lt;AR62)*(calc!$AS$3:$AS$67&lt;AS62))&gt;0))-SUMPRODUCT(--(calc!$AM$3:$AM$67=TRUE),--(ROW(calc!$AM$3:$AM$67)&gt;ROW(AM62)),--(((calc!$AR$3:$AR$67&gt;AR62)*(calc!$AS$3:$AS$67&lt;AS62)+(calc!$AR$3:$AR$67&lt;AR62)*(calc!$AS$3:$AS$67&gt;AS62))&gt;0)),0)</f>
        <v/>
      </c>
      <c r="AU62" s="5">
        <f>IF(mos_metrics!K61="","",mos_metrics!K61)</f>
        <v/>
      </c>
      <c r="AV62" s="2">
        <f>AND($J62,ISNUMBER(AU62),correlation!$I$30=1)</f>
        <v/>
      </c>
      <c r="AW62" s="5">
        <f>IF(AV62,$F62,"")</f>
        <v/>
      </c>
      <c r="AX62" s="5">
        <f>IF(AV62,AU62*correlation!$J$30,"")</f>
        <v/>
      </c>
      <c r="AY62" s="5">
        <f>IF(AND(AV62,ISNUMBER(correlation!$F$30)),AX62*correlation!$F$30+correlation!$G$30,"")</f>
        <v/>
      </c>
      <c r="AZ62" s="5">
        <f>IF(AND(AV62,ISNUMBER(AY62)),(AW62-AY62)^2,"")</f>
        <v/>
      </c>
      <c r="BA62" s="5">
        <f>IF(AV62,1+SUMPRODUCT(--(calc!$AV$3:$AV$67=TRUE),--(calc!$AW$3:$AW$67&gt;AW62))+(SUMPRODUCT(--(calc!$AV$3:$AV$67=TRUE),--(calc!$AW$3:$AW$67=AW62))-1)/2,"")</f>
        <v/>
      </c>
      <c r="BB62" s="5">
        <f>IF(AV62,1+SUMPRODUCT(--(calc!$AV$3:$AV$67=TRUE),--(calc!$AX$3:$AX$67&gt;AX62))+(SUMPRODUCT(--(calc!$AV$3:$AV$67=TRUE),--(calc!$AX$3:$AX$67=AX62))-1)/2,"")</f>
        <v/>
      </c>
      <c r="BC62" s="5">
        <f>IF(AV62,SUMPRODUCT(--(calc!$AV$3:$AV$67=TRUE),--(ROW(calc!$AV$3:$AV$67)&gt;ROW(AV62)),--(((calc!$BA$3:$BA$67&gt;BA62)*(calc!$BB$3:$BB$67&gt;BB62)+(calc!$BA$3:$BA$67&lt;BA62)*(calc!$BB$3:$BB$67&lt;BB62))&gt;0))-SUMPRODUCT(--(calc!$AV$3:$AV$67=TRUE),--(ROW(calc!$AV$3:$AV$67)&gt;ROW(AV62)),--(((calc!$BA$3:$BA$67&gt;BA62)*(calc!$BB$3:$BB$67&lt;BB62)+(calc!$BA$3:$BA$67&lt;BA62)*(calc!$BB$3:$BB$67&gt;BB62))&gt;0)),0)</f>
        <v/>
      </c>
      <c r="BD62" s="5">
        <f>IF(mos_metrics!L61="","",mos_metrics!L61)</f>
        <v/>
      </c>
      <c r="BE62" s="2">
        <f>AND($J62,ISNUMBER(BD62),correlation!$I$31=1)</f>
        <v/>
      </c>
      <c r="BF62" s="5">
        <f>IF(BE62,$F62,"")</f>
        <v/>
      </c>
      <c r="BG62" s="5">
        <f>IF(BE62,BD62*correlation!$J$31,"")</f>
        <v/>
      </c>
      <c r="BH62" s="5">
        <f>IF(AND(BE62,ISNUMBER(correlation!$F$31)),BG62*correlation!$F$31+correlation!$G$31,"")</f>
        <v/>
      </c>
      <c r="BI62" s="5">
        <f>IF(AND(BE62,ISNUMBER(BH62)),(BF62-BH62)^2,"")</f>
        <v/>
      </c>
      <c r="BJ62" s="5">
        <f>IF(BE62,1+SUMPRODUCT(--(calc!$BE$3:$BE$67=TRUE),--(calc!$BF$3:$BF$67&gt;BF62))+(SUMPRODUCT(--(calc!$BE$3:$BE$67=TRUE),--(calc!$BF$3:$BF$67=BF62))-1)/2,"")</f>
        <v/>
      </c>
      <c r="BK62" s="5">
        <f>IF(BE62,1+SUMPRODUCT(--(calc!$BE$3:$BE$67=TRUE),--(calc!$BG$3:$BG$67&gt;BG62))+(SUMPRODUCT(--(calc!$BE$3:$BE$67=TRUE),--(calc!$BG$3:$BG$67=BG62))-1)/2,"")</f>
        <v/>
      </c>
      <c r="BL62" s="5">
        <f>IF(BE62,SUMPRODUCT(--(calc!$BE$3:$BE$67=TRUE),--(ROW(calc!$BE$3:$BE$67)&gt;ROW(BE62)),--(((calc!$BJ$3:$BJ$67&gt;BJ62)*(calc!$BK$3:$BK$67&gt;BK62)+(calc!$BJ$3:$BJ$67&lt;BJ62)*(calc!$BK$3:$BK$67&lt;BK62))&gt;0))-SUMPRODUCT(--(calc!$BE$3:$BE$67=TRUE),--(ROW(calc!$BE$3:$BE$67)&gt;ROW(BE62)),--(((calc!$BJ$3:$BJ$67&gt;BJ62)*(calc!$BK$3:$BK$67&lt;BK62)+(calc!$BJ$3:$BJ$67&lt;BJ62)*(calc!$BK$3:$BK$67&gt;BK62))&gt;0)),0)</f>
        <v/>
      </c>
      <c r="BM62" s="5">
        <f>IF(mos_metrics!M61="","",mos_metrics!M61)</f>
        <v/>
      </c>
      <c r="BN62" s="2">
        <f>AND($J62,ISNUMBER(BM62),correlation!$I$32=1)</f>
        <v/>
      </c>
      <c r="BO62" s="5">
        <f>IF(BN62,$F62,"")</f>
        <v/>
      </c>
      <c r="BP62" s="5">
        <f>IF(BN62,BM62*correlation!$J$32,"")</f>
        <v/>
      </c>
      <c r="BQ62" s="5">
        <f>IF(AND(BN62,ISNUMBER(correlation!$F$32)),BP62*correlation!$F$32+correlation!$G$32,"")</f>
        <v/>
      </c>
      <c r="BR62" s="5">
        <f>IF(AND(BN62,ISNUMBER(BQ62)),(BO62-BQ62)^2,"")</f>
        <v/>
      </c>
      <c r="BS62" s="5">
        <f>IF(BN62,1+SUMPRODUCT(--(calc!$BN$3:$BN$67=TRUE),--(calc!$BO$3:$BO$67&gt;BO62))+(SUMPRODUCT(--(calc!$BN$3:$BN$67=TRUE),--(calc!$BO$3:$BO$67=BO62))-1)/2,"")</f>
        <v/>
      </c>
      <c r="BT62" s="5">
        <f>IF(BN62,1+SUMPRODUCT(--(calc!$BN$3:$BN$67=TRUE),--(calc!$BP$3:$BP$67&gt;BP62))+(SUMPRODUCT(--(calc!$BN$3:$BN$67=TRUE),--(calc!$BP$3:$BP$67=BP62))-1)/2,"")</f>
        <v/>
      </c>
      <c r="BU62" s="5">
        <f>IF(BN62,SUMPRODUCT(--(calc!$BN$3:$BN$67=TRUE),--(ROW(calc!$BN$3:$BN$67)&gt;ROW(BN62)),--(((calc!$BS$3:$BS$67&gt;BS62)*(calc!$BT$3:$BT$67&gt;BT62)+(calc!$BS$3:$BS$67&lt;BS62)*(calc!$BT$3:$BT$67&lt;BT62))&gt;0))-SUMPRODUCT(--(calc!$BN$3:$BN$67=TRUE),--(ROW(calc!$BN$3:$BN$67)&gt;ROW(BN62)),--(((calc!$BS$3:$BS$67&gt;BS62)*(calc!$BT$3:$BT$67&lt;BT62)+(calc!$BS$3:$BS$67&lt;BS62)*(calc!$BT$3:$BT$67&gt;BT62))&gt;0)),0)</f>
        <v/>
      </c>
    </row>
    <row r="63">
      <c r="A63" s="2">
        <f>mos_metrics!A62</f>
        <v/>
      </c>
      <c r="B63" s="2">
        <f>mos_metrics!B62</f>
        <v/>
      </c>
      <c r="C63" s="2">
        <f>mos_metrics!C62</f>
        <v/>
      </c>
      <c r="D63" s="2">
        <f>mos_metrics!D62</f>
        <v/>
      </c>
      <c r="E63" s="2">
        <f>mos_metrics!E62</f>
        <v/>
      </c>
      <c r="F63" s="2">
        <f>mos_metrics!F62</f>
        <v/>
      </c>
      <c r="G63" s="2">
        <f>IF($B63="","",IFERROR(VLOOKUP($B63,correlation!$A$2:$B$6,2,FALSE),1))</f>
        <v/>
      </c>
      <c r="H63" s="2">
        <f>IF($E63="","",IFERROR(VLOOKUP($E63,correlation!$D$2:$E$8,2,FALSE),1))</f>
        <v/>
      </c>
      <c r="I63" s="2">
        <f>ISNUMBER($F63)</f>
        <v/>
      </c>
      <c r="J63" s="2">
        <f>AND($G63=1,$H63=1,$I63)</f>
        <v/>
      </c>
      <c r="K63" s="5">
        <f>IF(mos_metrics!G62="","",mos_metrics!G62)</f>
        <v/>
      </c>
      <c r="L63" s="2">
        <f>AND($J63,ISNUMBER(K63),correlation!$I$26=1)</f>
        <v/>
      </c>
      <c r="M63" s="5">
        <f>IF(L63,$F63,"")</f>
        <v/>
      </c>
      <c r="N63" s="5">
        <f>IF(L63,K63*correlation!$J$26,"")</f>
        <v/>
      </c>
      <c r="O63" s="5">
        <f>IF(AND(L63,ISNUMBER(correlation!$F$26)),N63*correlation!$F$26+correlation!$G$26,"")</f>
        <v/>
      </c>
      <c r="P63" s="5">
        <f>IF(AND(L63,ISNUMBER(O63)),(M63-O63)^2,"")</f>
        <v/>
      </c>
      <c r="Q63" s="5">
        <f>IF(L63,1+SUMPRODUCT(--(calc!$L$3:$L$67=TRUE),--(calc!$M$3:$M$67&gt;M63))+(SUMPRODUCT(--(calc!$L$3:$L$67=TRUE),--(calc!$M$3:$M$67=M63))-1)/2,"")</f>
        <v/>
      </c>
      <c r="R63" s="5">
        <f>IF(L63,1+SUMPRODUCT(--(calc!$L$3:$L$67=TRUE),--(calc!$N$3:$N$67&gt;N63))+(SUMPRODUCT(--(calc!$L$3:$L$67=TRUE),--(calc!$N$3:$N$67=N63))-1)/2,"")</f>
        <v/>
      </c>
      <c r="S63" s="5">
        <f>IF(L63,SUMPRODUCT(--(calc!$L$3:$L$67=TRUE),--(ROW(calc!$L$3:$L$67)&gt;ROW(L63)),--(((calc!$Q$3:$Q$67&gt;Q63)*(calc!$R$3:$R$67&gt;R63)+(calc!$Q$3:$Q$67&lt;Q63)*(calc!$R$3:$R$67&lt;R63))&gt;0))-SUMPRODUCT(--(calc!$L$3:$L$67=TRUE),--(ROW(calc!$L$3:$L$67)&gt;ROW(L63)),--(((calc!$Q$3:$Q$67&gt;Q63)*(calc!$R$3:$R$67&lt;R63)+(calc!$Q$3:$Q$67&lt;Q63)*(calc!$R$3:$R$67&gt;R63))&gt;0)),0)</f>
        <v/>
      </c>
      <c r="T63" s="5">
        <f>IF(mos_metrics!H62="","",mos_metrics!H62)</f>
        <v/>
      </c>
      <c r="U63" s="2">
        <f>AND($J63,ISNUMBER(T63),correlation!$I$27=1)</f>
        <v/>
      </c>
      <c r="V63" s="5">
        <f>IF(U63,$F63,"")</f>
        <v/>
      </c>
      <c r="W63" s="5">
        <f>IF(U63,T63*correlation!$J$27,"")</f>
        <v/>
      </c>
      <c r="X63" s="5">
        <f>IF(AND(U63,ISNUMBER(correlation!$F$27)),W63*correlation!$F$27+correlation!$G$27,"")</f>
        <v/>
      </c>
      <c r="Y63" s="5">
        <f>IF(AND(U63,ISNUMBER(X63)),(V63-X63)^2,"")</f>
        <v/>
      </c>
      <c r="Z63" s="5">
        <f>IF(U63,1+SUMPRODUCT(--(calc!$U$3:$U$67=TRUE),--(calc!$V$3:$V$67&gt;V63))+(SUMPRODUCT(--(calc!$U$3:$U$67=TRUE),--(calc!$V$3:$V$67=V63))-1)/2,"")</f>
        <v/>
      </c>
      <c r="AA63" s="5">
        <f>IF(U63,1+SUMPRODUCT(--(calc!$U$3:$U$67=TRUE),--(calc!$W$3:$W$67&gt;W63))+(SUMPRODUCT(--(calc!$U$3:$U$67=TRUE),--(calc!$W$3:$W$67=W63))-1)/2,"")</f>
        <v/>
      </c>
      <c r="AB63" s="5">
        <f>IF(U63,SUMPRODUCT(--(calc!$U$3:$U$67=TRUE),--(ROW(calc!$U$3:$U$67)&gt;ROW(U63)),--(((calc!$Z$3:$Z$67&gt;Z63)*(calc!$AA$3:$AA$67&gt;AA63)+(calc!$Z$3:$Z$67&lt;Z63)*(calc!$AA$3:$AA$67&lt;AA63))&gt;0))-SUMPRODUCT(--(calc!$U$3:$U$67=TRUE),--(ROW(calc!$U$3:$U$67)&gt;ROW(U63)),--(((calc!$Z$3:$Z$67&gt;Z63)*(calc!$AA$3:$AA$67&lt;AA63)+(calc!$Z$3:$Z$67&lt;Z63)*(calc!$AA$3:$AA$67&gt;AA63))&gt;0)),0)</f>
        <v/>
      </c>
      <c r="AC63" s="5">
        <f>IF(mos_metrics!I62="","",mos_metrics!I62)</f>
        <v/>
      </c>
      <c r="AD63" s="2">
        <f>AND($J63,ISNUMBER(AC63),correlation!$I$28=1)</f>
        <v/>
      </c>
      <c r="AE63" s="5">
        <f>IF(AD63,$F63,"")</f>
        <v/>
      </c>
      <c r="AF63" s="5">
        <f>IF(AD63,AC63*correlation!$J$28,"")</f>
        <v/>
      </c>
      <c r="AG63" s="5">
        <f>IF(AND(AD63,ISNUMBER(correlation!$F$28)),AF63*correlation!$F$28+correlation!$G$28,"")</f>
        <v/>
      </c>
      <c r="AH63" s="5">
        <f>IF(AND(AD63,ISNUMBER(AG63)),(AE63-AG63)^2,"")</f>
        <v/>
      </c>
      <c r="AI63" s="5">
        <f>IF(AD63,1+SUMPRODUCT(--(calc!$AD$3:$AD$67=TRUE),--(calc!$AE$3:$AE$67&gt;AE63))+(SUMPRODUCT(--(calc!$AD$3:$AD$67=TRUE),--(calc!$AE$3:$AE$67=AE63))-1)/2,"")</f>
        <v/>
      </c>
      <c r="AJ63" s="5">
        <f>IF(AD63,1+SUMPRODUCT(--(calc!$AD$3:$AD$67=TRUE),--(calc!$AF$3:$AF$67&gt;AF63))+(SUMPRODUCT(--(calc!$AD$3:$AD$67=TRUE),--(calc!$AF$3:$AF$67=AF63))-1)/2,"")</f>
        <v/>
      </c>
      <c r="AK63" s="5">
        <f>IF(AD63,SUMPRODUCT(--(calc!$AD$3:$AD$67=TRUE),--(ROW(calc!$AD$3:$AD$67)&gt;ROW(AD63)),--(((calc!$AI$3:$AI$67&gt;AI63)*(calc!$AJ$3:$AJ$67&gt;AJ63)+(calc!$AI$3:$AI$67&lt;AI63)*(calc!$AJ$3:$AJ$67&lt;AJ63))&gt;0))-SUMPRODUCT(--(calc!$AD$3:$AD$67=TRUE),--(ROW(calc!$AD$3:$AD$67)&gt;ROW(AD63)),--(((calc!$AI$3:$AI$67&gt;AI63)*(calc!$AJ$3:$AJ$67&lt;AJ63)+(calc!$AI$3:$AI$67&lt;AI63)*(calc!$AJ$3:$AJ$67&gt;AJ63))&gt;0)),0)</f>
        <v/>
      </c>
      <c r="AL63" s="5">
        <f>IF(mos_metrics!J62="","",mos_metrics!J62)</f>
        <v/>
      </c>
      <c r="AM63" s="2">
        <f>AND($J63,ISNUMBER(AL63),correlation!$I$29=1)</f>
        <v/>
      </c>
      <c r="AN63" s="5">
        <f>IF(AM63,$F63,"")</f>
        <v/>
      </c>
      <c r="AO63" s="5">
        <f>IF(AM63,AL63*correlation!$J$29,"")</f>
        <v/>
      </c>
      <c r="AP63" s="5">
        <f>IF(AND(AM63,ISNUMBER(correlation!$F$29)),AO63*correlation!$F$29+correlation!$G$29,"")</f>
        <v/>
      </c>
      <c r="AQ63" s="5">
        <f>IF(AND(AM63,ISNUMBER(AP63)),(AN63-AP63)^2,"")</f>
        <v/>
      </c>
      <c r="AR63" s="5">
        <f>IF(AM63,1+SUMPRODUCT(--(calc!$AM$3:$AM$67=TRUE),--(calc!$AN$3:$AN$67&gt;AN63))+(SUMPRODUCT(--(calc!$AM$3:$AM$67=TRUE),--(calc!$AN$3:$AN$67=AN63))-1)/2,"")</f>
        <v/>
      </c>
      <c r="AS63" s="5">
        <f>IF(AM63,1+SUMPRODUCT(--(calc!$AM$3:$AM$67=TRUE),--(calc!$AO$3:$AO$67&gt;AO63))+(SUMPRODUCT(--(calc!$AM$3:$AM$67=TRUE),--(calc!$AO$3:$AO$67=AO63))-1)/2,"")</f>
        <v/>
      </c>
      <c r="AT63" s="5">
        <f>IF(AM63,SUMPRODUCT(--(calc!$AM$3:$AM$67=TRUE),--(ROW(calc!$AM$3:$AM$67)&gt;ROW(AM63)),--(((calc!$AR$3:$AR$67&gt;AR63)*(calc!$AS$3:$AS$67&gt;AS63)+(calc!$AR$3:$AR$67&lt;AR63)*(calc!$AS$3:$AS$67&lt;AS63))&gt;0))-SUMPRODUCT(--(calc!$AM$3:$AM$67=TRUE),--(ROW(calc!$AM$3:$AM$67)&gt;ROW(AM63)),--(((calc!$AR$3:$AR$67&gt;AR63)*(calc!$AS$3:$AS$67&lt;AS63)+(calc!$AR$3:$AR$67&lt;AR63)*(calc!$AS$3:$AS$67&gt;AS63))&gt;0)),0)</f>
        <v/>
      </c>
      <c r="AU63" s="5">
        <f>IF(mos_metrics!K62="","",mos_metrics!K62)</f>
        <v/>
      </c>
      <c r="AV63" s="2">
        <f>AND($J63,ISNUMBER(AU63),correlation!$I$30=1)</f>
        <v/>
      </c>
      <c r="AW63" s="5">
        <f>IF(AV63,$F63,"")</f>
        <v/>
      </c>
      <c r="AX63" s="5">
        <f>IF(AV63,AU63*correlation!$J$30,"")</f>
        <v/>
      </c>
      <c r="AY63" s="5">
        <f>IF(AND(AV63,ISNUMBER(correlation!$F$30)),AX63*correlation!$F$30+correlation!$G$30,"")</f>
        <v/>
      </c>
      <c r="AZ63" s="5">
        <f>IF(AND(AV63,ISNUMBER(AY63)),(AW63-AY63)^2,"")</f>
        <v/>
      </c>
      <c r="BA63" s="5">
        <f>IF(AV63,1+SUMPRODUCT(--(calc!$AV$3:$AV$67=TRUE),--(calc!$AW$3:$AW$67&gt;AW63))+(SUMPRODUCT(--(calc!$AV$3:$AV$67=TRUE),--(calc!$AW$3:$AW$67=AW63))-1)/2,"")</f>
        <v/>
      </c>
      <c r="BB63" s="5">
        <f>IF(AV63,1+SUMPRODUCT(--(calc!$AV$3:$AV$67=TRUE),--(calc!$AX$3:$AX$67&gt;AX63))+(SUMPRODUCT(--(calc!$AV$3:$AV$67=TRUE),--(calc!$AX$3:$AX$67=AX63))-1)/2,"")</f>
        <v/>
      </c>
      <c r="BC63" s="5">
        <f>IF(AV63,SUMPRODUCT(--(calc!$AV$3:$AV$67=TRUE),--(ROW(calc!$AV$3:$AV$67)&gt;ROW(AV63)),--(((calc!$BA$3:$BA$67&gt;BA63)*(calc!$BB$3:$BB$67&gt;BB63)+(calc!$BA$3:$BA$67&lt;BA63)*(calc!$BB$3:$BB$67&lt;BB63))&gt;0))-SUMPRODUCT(--(calc!$AV$3:$AV$67=TRUE),--(ROW(calc!$AV$3:$AV$67)&gt;ROW(AV63)),--(((calc!$BA$3:$BA$67&gt;BA63)*(calc!$BB$3:$BB$67&lt;BB63)+(calc!$BA$3:$BA$67&lt;BA63)*(calc!$BB$3:$BB$67&gt;BB63))&gt;0)),0)</f>
        <v/>
      </c>
      <c r="BD63" s="5">
        <f>IF(mos_metrics!L62="","",mos_metrics!L62)</f>
        <v/>
      </c>
      <c r="BE63" s="2">
        <f>AND($J63,ISNUMBER(BD63),correlation!$I$31=1)</f>
        <v/>
      </c>
      <c r="BF63" s="5">
        <f>IF(BE63,$F63,"")</f>
        <v/>
      </c>
      <c r="BG63" s="5">
        <f>IF(BE63,BD63*correlation!$J$31,"")</f>
        <v/>
      </c>
      <c r="BH63" s="5">
        <f>IF(AND(BE63,ISNUMBER(correlation!$F$31)),BG63*correlation!$F$31+correlation!$G$31,"")</f>
        <v/>
      </c>
      <c r="BI63" s="5">
        <f>IF(AND(BE63,ISNUMBER(BH63)),(BF63-BH63)^2,"")</f>
        <v/>
      </c>
      <c r="BJ63" s="5">
        <f>IF(BE63,1+SUMPRODUCT(--(calc!$BE$3:$BE$67=TRUE),--(calc!$BF$3:$BF$67&gt;BF63))+(SUMPRODUCT(--(calc!$BE$3:$BE$67=TRUE),--(calc!$BF$3:$BF$67=BF63))-1)/2,"")</f>
        <v/>
      </c>
      <c r="BK63" s="5">
        <f>IF(BE63,1+SUMPRODUCT(--(calc!$BE$3:$BE$67=TRUE),--(calc!$BG$3:$BG$67&gt;BG63))+(SUMPRODUCT(--(calc!$BE$3:$BE$67=TRUE),--(calc!$BG$3:$BG$67=BG63))-1)/2,"")</f>
        <v/>
      </c>
      <c r="BL63" s="5">
        <f>IF(BE63,SUMPRODUCT(--(calc!$BE$3:$BE$67=TRUE),--(ROW(calc!$BE$3:$BE$67)&gt;ROW(BE63)),--(((calc!$BJ$3:$BJ$67&gt;BJ63)*(calc!$BK$3:$BK$67&gt;BK63)+(calc!$BJ$3:$BJ$67&lt;BJ63)*(calc!$BK$3:$BK$67&lt;BK63))&gt;0))-SUMPRODUCT(--(calc!$BE$3:$BE$67=TRUE),--(ROW(calc!$BE$3:$BE$67)&gt;ROW(BE63)),--(((calc!$BJ$3:$BJ$67&gt;BJ63)*(calc!$BK$3:$BK$67&lt;BK63)+(calc!$BJ$3:$BJ$67&lt;BJ63)*(calc!$BK$3:$BK$67&gt;BK63))&gt;0)),0)</f>
        <v/>
      </c>
      <c r="BM63" s="5">
        <f>IF(mos_metrics!M62="","",mos_metrics!M62)</f>
        <v/>
      </c>
      <c r="BN63" s="2">
        <f>AND($J63,ISNUMBER(BM63),correlation!$I$32=1)</f>
        <v/>
      </c>
      <c r="BO63" s="5">
        <f>IF(BN63,$F63,"")</f>
        <v/>
      </c>
      <c r="BP63" s="5">
        <f>IF(BN63,BM63*correlation!$J$32,"")</f>
        <v/>
      </c>
      <c r="BQ63" s="5">
        <f>IF(AND(BN63,ISNUMBER(correlation!$F$32)),BP63*correlation!$F$32+correlation!$G$32,"")</f>
        <v/>
      </c>
      <c r="BR63" s="5">
        <f>IF(AND(BN63,ISNUMBER(BQ63)),(BO63-BQ63)^2,"")</f>
        <v/>
      </c>
      <c r="BS63" s="5">
        <f>IF(BN63,1+SUMPRODUCT(--(calc!$BN$3:$BN$67=TRUE),--(calc!$BO$3:$BO$67&gt;BO63))+(SUMPRODUCT(--(calc!$BN$3:$BN$67=TRUE),--(calc!$BO$3:$BO$67=BO63))-1)/2,"")</f>
        <v/>
      </c>
      <c r="BT63" s="5">
        <f>IF(BN63,1+SUMPRODUCT(--(calc!$BN$3:$BN$67=TRUE),--(calc!$BP$3:$BP$67&gt;BP63))+(SUMPRODUCT(--(calc!$BN$3:$BN$67=TRUE),--(calc!$BP$3:$BP$67=BP63))-1)/2,"")</f>
        <v/>
      </c>
      <c r="BU63" s="5">
        <f>IF(BN63,SUMPRODUCT(--(calc!$BN$3:$BN$67=TRUE),--(ROW(calc!$BN$3:$BN$67)&gt;ROW(BN63)),--(((calc!$BS$3:$BS$67&gt;BS63)*(calc!$BT$3:$BT$67&gt;BT63)+(calc!$BS$3:$BS$67&lt;BS63)*(calc!$BT$3:$BT$67&lt;BT63))&gt;0))-SUMPRODUCT(--(calc!$BN$3:$BN$67=TRUE),--(ROW(calc!$BN$3:$BN$67)&gt;ROW(BN63)),--(((calc!$BS$3:$BS$67&gt;BS63)*(calc!$BT$3:$BT$67&lt;BT63)+(calc!$BS$3:$BS$67&lt;BS63)*(calc!$BT$3:$BT$67&gt;BT63))&gt;0)),0)</f>
        <v/>
      </c>
    </row>
    <row r="64">
      <c r="A64" s="2">
        <f>mos_metrics!A63</f>
        <v/>
      </c>
      <c r="B64" s="2">
        <f>mos_metrics!B63</f>
        <v/>
      </c>
      <c r="C64" s="2">
        <f>mos_metrics!C63</f>
        <v/>
      </c>
      <c r="D64" s="2">
        <f>mos_metrics!D63</f>
        <v/>
      </c>
      <c r="E64" s="2">
        <f>mos_metrics!E63</f>
        <v/>
      </c>
      <c r="F64" s="2">
        <f>mos_metrics!F63</f>
        <v/>
      </c>
      <c r="G64" s="2">
        <f>IF($B64="","",IFERROR(VLOOKUP($B64,correlation!$A$2:$B$6,2,FALSE),1))</f>
        <v/>
      </c>
      <c r="H64" s="2">
        <f>IF($E64="","",IFERROR(VLOOKUP($E64,correlation!$D$2:$E$8,2,FALSE),1))</f>
        <v/>
      </c>
      <c r="I64" s="2">
        <f>ISNUMBER($F64)</f>
        <v/>
      </c>
      <c r="J64" s="2">
        <f>AND($G64=1,$H64=1,$I64)</f>
        <v/>
      </c>
      <c r="K64" s="5">
        <f>IF(mos_metrics!G63="","",mos_metrics!G63)</f>
        <v/>
      </c>
      <c r="L64" s="2">
        <f>AND($J64,ISNUMBER(K64),correlation!$I$26=1)</f>
        <v/>
      </c>
      <c r="M64" s="5">
        <f>IF(L64,$F64,"")</f>
        <v/>
      </c>
      <c r="N64" s="5">
        <f>IF(L64,K64*correlation!$J$26,"")</f>
        <v/>
      </c>
      <c r="O64" s="5">
        <f>IF(AND(L64,ISNUMBER(correlation!$F$26)),N64*correlation!$F$26+correlation!$G$26,"")</f>
        <v/>
      </c>
      <c r="P64" s="5">
        <f>IF(AND(L64,ISNUMBER(O64)),(M64-O64)^2,"")</f>
        <v/>
      </c>
      <c r="Q64" s="5">
        <f>IF(L64,1+SUMPRODUCT(--(calc!$L$3:$L$67=TRUE),--(calc!$M$3:$M$67&gt;M64))+(SUMPRODUCT(--(calc!$L$3:$L$67=TRUE),--(calc!$M$3:$M$67=M64))-1)/2,"")</f>
        <v/>
      </c>
      <c r="R64" s="5">
        <f>IF(L64,1+SUMPRODUCT(--(calc!$L$3:$L$67=TRUE),--(calc!$N$3:$N$67&gt;N64))+(SUMPRODUCT(--(calc!$L$3:$L$67=TRUE),--(calc!$N$3:$N$67=N64))-1)/2,"")</f>
        <v/>
      </c>
      <c r="S64" s="5">
        <f>IF(L64,SUMPRODUCT(--(calc!$L$3:$L$67=TRUE),--(ROW(calc!$L$3:$L$67)&gt;ROW(L64)),--(((calc!$Q$3:$Q$67&gt;Q64)*(calc!$R$3:$R$67&gt;R64)+(calc!$Q$3:$Q$67&lt;Q64)*(calc!$R$3:$R$67&lt;R64))&gt;0))-SUMPRODUCT(--(calc!$L$3:$L$67=TRUE),--(ROW(calc!$L$3:$L$67)&gt;ROW(L64)),--(((calc!$Q$3:$Q$67&gt;Q64)*(calc!$R$3:$R$67&lt;R64)+(calc!$Q$3:$Q$67&lt;Q64)*(calc!$R$3:$R$67&gt;R64))&gt;0)),0)</f>
        <v/>
      </c>
      <c r="T64" s="5">
        <f>IF(mos_metrics!H63="","",mos_metrics!H63)</f>
        <v/>
      </c>
      <c r="U64" s="2">
        <f>AND($J64,ISNUMBER(T64),correlation!$I$27=1)</f>
        <v/>
      </c>
      <c r="V64" s="5">
        <f>IF(U64,$F64,"")</f>
        <v/>
      </c>
      <c r="W64" s="5">
        <f>IF(U64,T64*correlation!$J$27,"")</f>
        <v/>
      </c>
      <c r="X64" s="5">
        <f>IF(AND(U64,ISNUMBER(correlation!$F$27)),W64*correlation!$F$27+correlation!$G$27,"")</f>
        <v/>
      </c>
      <c r="Y64" s="5">
        <f>IF(AND(U64,ISNUMBER(X64)),(V64-X64)^2,"")</f>
        <v/>
      </c>
      <c r="Z64" s="5">
        <f>IF(U64,1+SUMPRODUCT(--(calc!$U$3:$U$67=TRUE),--(calc!$V$3:$V$67&gt;V64))+(SUMPRODUCT(--(calc!$U$3:$U$67=TRUE),--(calc!$V$3:$V$67=V64))-1)/2,"")</f>
        <v/>
      </c>
      <c r="AA64" s="5">
        <f>IF(U64,1+SUMPRODUCT(--(calc!$U$3:$U$67=TRUE),--(calc!$W$3:$W$67&gt;W64))+(SUMPRODUCT(--(calc!$U$3:$U$67=TRUE),--(calc!$W$3:$W$67=W64))-1)/2,"")</f>
        <v/>
      </c>
      <c r="AB64" s="5">
        <f>IF(U64,SUMPRODUCT(--(calc!$U$3:$U$67=TRUE),--(ROW(calc!$U$3:$U$67)&gt;ROW(U64)),--(((calc!$Z$3:$Z$67&gt;Z64)*(calc!$AA$3:$AA$67&gt;AA64)+(calc!$Z$3:$Z$67&lt;Z64)*(calc!$AA$3:$AA$67&lt;AA64))&gt;0))-SUMPRODUCT(--(calc!$U$3:$U$67=TRUE),--(ROW(calc!$U$3:$U$67)&gt;ROW(U64)),--(((calc!$Z$3:$Z$67&gt;Z64)*(calc!$AA$3:$AA$67&lt;AA64)+(calc!$Z$3:$Z$67&lt;Z64)*(calc!$AA$3:$AA$67&gt;AA64))&gt;0)),0)</f>
        <v/>
      </c>
      <c r="AC64" s="5">
        <f>IF(mos_metrics!I63="","",mos_metrics!I63)</f>
        <v/>
      </c>
      <c r="AD64" s="2">
        <f>AND($J64,ISNUMBER(AC64),correlation!$I$28=1)</f>
        <v/>
      </c>
      <c r="AE64" s="5">
        <f>IF(AD64,$F64,"")</f>
        <v/>
      </c>
      <c r="AF64" s="5">
        <f>IF(AD64,AC64*correlation!$J$28,"")</f>
        <v/>
      </c>
      <c r="AG64" s="5">
        <f>IF(AND(AD64,ISNUMBER(correlation!$F$28)),AF64*correlation!$F$28+correlation!$G$28,"")</f>
        <v/>
      </c>
      <c r="AH64" s="5">
        <f>IF(AND(AD64,ISNUMBER(AG64)),(AE64-AG64)^2,"")</f>
        <v/>
      </c>
      <c r="AI64" s="5">
        <f>IF(AD64,1+SUMPRODUCT(--(calc!$AD$3:$AD$67=TRUE),--(calc!$AE$3:$AE$67&gt;AE64))+(SUMPRODUCT(--(calc!$AD$3:$AD$67=TRUE),--(calc!$AE$3:$AE$67=AE64))-1)/2,"")</f>
        <v/>
      </c>
      <c r="AJ64" s="5">
        <f>IF(AD64,1+SUMPRODUCT(--(calc!$AD$3:$AD$67=TRUE),--(calc!$AF$3:$AF$67&gt;AF64))+(SUMPRODUCT(--(calc!$AD$3:$AD$67=TRUE),--(calc!$AF$3:$AF$67=AF64))-1)/2,"")</f>
        <v/>
      </c>
      <c r="AK64" s="5">
        <f>IF(AD64,SUMPRODUCT(--(calc!$AD$3:$AD$67=TRUE),--(ROW(calc!$AD$3:$AD$67)&gt;ROW(AD64)),--(((calc!$AI$3:$AI$67&gt;AI64)*(calc!$AJ$3:$AJ$67&gt;AJ64)+(calc!$AI$3:$AI$67&lt;AI64)*(calc!$AJ$3:$AJ$67&lt;AJ64))&gt;0))-SUMPRODUCT(--(calc!$AD$3:$AD$67=TRUE),--(ROW(calc!$AD$3:$AD$67)&gt;ROW(AD64)),--(((calc!$AI$3:$AI$67&gt;AI64)*(calc!$AJ$3:$AJ$67&lt;AJ64)+(calc!$AI$3:$AI$67&lt;AI64)*(calc!$AJ$3:$AJ$67&gt;AJ64))&gt;0)),0)</f>
        <v/>
      </c>
      <c r="AL64" s="5">
        <f>IF(mos_metrics!J63="","",mos_metrics!J63)</f>
        <v/>
      </c>
      <c r="AM64" s="2">
        <f>AND($J64,ISNUMBER(AL64),correlation!$I$29=1)</f>
        <v/>
      </c>
      <c r="AN64" s="5">
        <f>IF(AM64,$F64,"")</f>
        <v/>
      </c>
      <c r="AO64" s="5">
        <f>IF(AM64,AL64*correlation!$J$29,"")</f>
        <v/>
      </c>
      <c r="AP64" s="5">
        <f>IF(AND(AM64,ISNUMBER(correlation!$F$29)),AO64*correlation!$F$29+correlation!$G$29,"")</f>
        <v/>
      </c>
      <c r="AQ64" s="5">
        <f>IF(AND(AM64,ISNUMBER(AP64)),(AN64-AP64)^2,"")</f>
        <v/>
      </c>
      <c r="AR64" s="5">
        <f>IF(AM64,1+SUMPRODUCT(--(calc!$AM$3:$AM$67=TRUE),--(calc!$AN$3:$AN$67&gt;AN64))+(SUMPRODUCT(--(calc!$AM$3:$AM$67=TRUE),--(calc!$AN$3:$AN$67=AN64))-1)/2,"")</f>
        <v/>
      </c>
      <c r="AS64" s="5">
        <f>IF(AM64,1+SUMPRODUCT(--(calc!$AM$3:$AM$67=TRUE),--(calc!$AO$3:$AO$67&gt;AO64))+(SUMPRODUCT(--(calc!$AM$3:$AM$67=TRUE),--(calc!$AO$3:$AO$67=AO64))-1)/2,"")</f>
        <v/>
      </c>
      <c r="AT64" s="5">
        <f>IF(AM64,SUMPRODUCT(--(calc!$AM$3:$AM$67=TRUE),--(ROW(calc!$AM$3:$AM$67)&gt;ROW(AM64)),--(((calc!$AR$3:$AR$67&gt;AR64)*(calc!$AS$3:$AS$67&gt;AS64)+(calc!$AR$3:$AR$67&lt;AR64)*(calc!$AS$3:$AS$67&lt;AS64))&gt;0))-SUMPRODUCT(--(calc!$AM$3:$AM$67=TRUE),--(ROW(calc!$AM$3:$AM$67)&gt;ROW(AM64)),--(((calc!$AR$3:$AR$67&gt;AR64)*(calc!$AS$3:$AS$67&lt;AS64)+(calc!$AR$3:$AR$67&lt;AR64)*(calc!$AS$3:$AS$67&gt;AS64))&gt;0)),0)</f>
        <v/>
      </c>
      <c r="AU64" s="5">
        <f>IF(mos_metrics!K63="","",mos_metrics!K63)</f>
        <v/>
      </c>
      <c r="AV64" s="2">
        <f>AND($J64,ISNUMBER(AU64),correlation!$I$30=1)</f>
        <v/>
      </c>
      <c r="AW64" s="5">
        <f>IF(AV64,$F64,"")</f>
        <v/>
      </c>
      <c r="AX64" s="5">
        <f>IF(AV64,AU64*correlation!$J$30,"")</f>
        <v/>
      </c>
      <c r="AY64" s="5">
        <f>IF(AND(AV64,ISNUMBER(correlation!$F$30)),AX64*correlation!$F$30+correlation!$G$30,"")</f>
        <v/>
      </c>
      <c r="AZ64" s="5">
        <f>IF(AND(AV64,ISNUMBER(AY64)),(AW64-AY64)^2,"")</f>
        <v/>
      </c>
      <c r="BA64" s="5">
        <f>IF(AV64,1+SUMPRODUCT(--(calc!$AV$3:$AV$67=TRUE),--(calc!$AW$3:$AW$67&gt;AW64))+(SUMPRODUCT(--(calc!$AV$3:$AV$67=TRUE),--(calc!$AW$3:$AW$67=AW64))-1)/2,"")</f>
        <v/>
      </c>
      <c r="BB64" s="5">
        <f>IF(AV64,1+SUMPRODUCT(--(calc!$AV$3:$AV$67=TRUE),--(calc!$AX$3:$AX$67&gt;AX64))+(SUMPRODUCT(--(calc!$AV$3:$AV$67=TRUE),--(calc!$AX$3:$AX$67=AX64))-1)/2,"")</f>
        <v/>
      </c>
      <c r="BC64" s="5">
        <f>IF(AV64,SUMPRODUCT(--(calc!$AV$3:$AV$67=TRUE),--(ROW(calc!$AV$3:$AV$67)&gt;ROW(AV64)),--(((calc!$BA$3:$BA$67&gt;BA64)*(calc!$BB$3:$BB$67&gt;BB64)+(calc!$BA$3:$BA$67&lt;BA64)*(calc!$BB$3:$BB$67&lt;BB64))&gt;0))-SUMPRODUCT(--(calc!$AV$3:$AV$67=TRUE),--(ROW(calc!$AV$3:$AV$67)&gt;ROW(AV64)),--(((calc!$BA$3:$BA$67&gt;BA64)*(calc!$BB$3:$BB$67&lt;BB64)+(calc!$BA$3:$BA$67&lt;BA64)*(calc!$BB$3:$BB$67&gt;BB64))&gt;0)),0)</f>
        <v/>
      </c>
      <c r="BD64" s="5">
        <f>IF(mos_metrics!L63="","",mos_metrics!L63)</f>
        <v/>
      </c>
      <c r="BE64" s="2">
        <f>AND($J64,ISNUMBER(BD64),correlation!$I$31=1)</f>
        <v/>
      </c>
      <c r="BF64" s="5">
        <f>IF(BE64,$F64,"")</f>
        <v/>
      </c>
      <c r="BG64" s="5">
        <f>IF(BE64,BD64*correlation!$J$31,"")</f>
        <v/>
      </c>
      <c r="BH64" s="5">
        <f>IF(AND(BE64,ISNUMBER(correlation!$F$31)),BG64*correlation!$F$31+correlation!$G$31,"")</f>
        <v/>
      </c>
      <c r="BI64" s="5">
        <f>IF(AND(BE64,ISNUMBER(BH64)),(BF64-BH64)^2,"")</f>
        <v/>
      </c>
      <c r="BJ64" s="5">
        <f>IF(BE64,1+SUMPRODUCT(--(calc!$BE$3:$BE$67=TRUE),--(calc!$BF$3:$BF$67&gt;BF64))+(SUMPRODUCT(--(calc!$BE$3:$BE$67=TRUE),--(calc!$BF$3:$BF$67=BF64))-1)/2,"")</f>
        <v/>
      </c>
      <c r="BK64" s="5">
        <f>IF(BE64,1+SUMPRODUCT(--(calc!$BE$3:$BE$67=TRUE),--(calc!$BG$3:$BG$67&gt;BG64))+(SUMPRODUCT(--(calc!$BE$3:$BE$67=TRUE),--(calc!$BG$3:$BG$67=BG64))-1)/2,"")</f>
        <v/>
      </c>
      <c r="BL64" s="5">
        <f>IF(BE64,SUMPRODUCT(--(calc!$BE$3:$BE$67=TRUE),--(ROW(calc!$BE$3:$BE$67)&gt;ROW(BE64)),--(((calc!$BJ$3:$BJ$67&gt;BJ64)*(calc!$BK$3:$BK$67&gt;BK64)+(calc!$BJ$3:$BJ$67&lt;BJ64)*(calc!$BK$3:$BK$67&lt;BK64))&gt;0))-SUMPRODUCT(--(calc!$BE$3:$BE$67=TRUE),--(ROW(calc!$BE$3:$BE$67)&gt;ROW(BE64)),--(((calc!$BJ$3:$BJ$67&gt;BJ64)*(calc!$BK$3:$BK$67&lt;BK64)+(calc!$BJ$3:$BJ$67&lt;BJ64)*(calc!$BK$3:$BK$67&gt;BK64))&gt;0)),0)</f>
        <v/>
      </c>
      <c r="BM64" s="5">
        <f>IF(mos_metrics!M63="","",mos_metrics!M63)</f>
        <v/>
      </c>
      <c r="BN64" s="2">
        <f>AND($J64,ISNUMBER(BM64),correlation!$I$32=1)</f>
        <v/>
      </c>
      <c r="BO64" s="5">
        <f>IF(BN64,$F64,"")</f>
        <v/>
      </c>
      <c r="BP64" s="5">
        <f>IF(BN64,BM64*correlation!$J$32,"")</f>
        <v/>
      </c>
      <c r="BQ64" s="5">
        <f>IF(AND(BN64,ISNUMBER(correlation!$F$32)),BP64*correlation!$F$32+correlation!$G$32,"")</f>
        <v/>
      </c>
      <c r="BR64" s="5">
        <f>IF(AND(BN64,ISNUMBER(BQ64)),(BO64-BQ64)^2,"")</f>
        <v/>
      </c>
      <c r="BS64" s="5">
        <f>IF(BN64,1+SUMPRODUCT(--(calc!$BN$3:$BN$67=TRUE),--(calc!$BO$3:$BO$67&gt;BO64))+(SUMPRODUCT(--(calc!$BN$3:$BN$67=TRUE),--(calc!$BO$3:$BO$67=BO64))-1)/2,"")</f>
        <v/>
      </c>
      <c r="BT64" s="5">
        <f>IF(BN64,1+SUMPRODUCT(--(calc!$BN$3:$BN$67=TRUE),--(calc!$BP$3:$BP$67&gt;BP64))+(SUMPRODUCT(--(calc!$BN$3:$BN$67=TRUE),--(calc!$BP$3:$BP$67=BP64))-1)/2,"")</f>
        <v/>
      </c>
      <c r="BU64" s="5">
        <f>IF(BN64,SUMPRODUCT(--(calc!$BN$3:$BN$67=TRUE),--(ROW(calc!$BN$3:$BN$67)&gt;ROW(BN64)),--(((calc!$BS$3:$BS$67&gt;BS64)*(calc!$BT$3:$BT$67&gt;BT64)+(calc!$BS$3:$BS$67&lt;BS64)*(calc!$BT$3:$BT$67&lt;BT64))&gt;0))-SUMPRODUCT(--(calc!$BN$3:$BN$67=TRUE),--(ROW(calc!$BN$3:$BN$67)&gt;ROW(BN64)),--(((calc!$BS$3:$BS$67&gt;BS64)*(calc!$BT$3:$BT$67&lt;BT64)+(calc!$BS$3:$BS$67&lt;BS64)*(calc!$BT$3:$BT$67&gt;BT64))&gt;0)),0)</f>
        <v/>
      </c>
    </row>
    <row r="65">
      <c r="A65" s="2">
        <f>mos_metrics!A64</f>
        <v/>
      </c>
      <c r="B65" s="2">
        <f>mos_metrics!B64</f>
        <v/>
      </c>
      <c r="C65" s="2">
        <f>mos_metrics!C64</f>
        <v/>
      </c>
      <c r="D65" s="2">
        <f>mos_metrics!D64</f>
        <v/>
      </c>
      <c r="E65" s="2">
        <f>mos_metrics!E64</f>
        <v/>
      </c>
      <c r="F65" s="2">
        <f>mos_metrics!F64</f>
        <v/>
      </c>
      <c r="G65" s="2">
        <f>IF($B65="","",IFERROR(VLOOKUP($B65,correlation!$A$2:$B$6,2,FALSE),1))</f>
        <v/>
      </c>
      <c r="H65" s="2">
        <f>IF($E65="","",IFERROR(VLOOKUP($E65,correlation!$D$2:$E$8,2,FALSE),1))</f>
        <v/>
      </c>
      <c r="I65" s="2">
        <f>ISNUMBER($F65)</f>
        <v/>
      </c>
      <c r="J65" s="2">
        <f>AND($G65=1,$H65=1,$I65)</f>
        <v/>
      </c>
      <c r="K65" s="5">
        <f>IF(mos_metrics!G64="","",mos_metrics!G64)</f>
        <v/>
      </c>
      <c r="L65" s="2">
        <f>AND($J65,ISNUMBER(K65),correlation!$I$26=1)</f>
        <v/>
      </c>
      <c r="M65" s="5">
        <f>IF(L65,$F65,"")</f>
        <v/>
      </c>
      <c r="N65" s="5">
        <f>IF(L65,K65*correlation!$J$26,"")</f>
        <v/>
      </c>
      <c r="O65" s="5">
        <f>IF(AND(L65,ISNUMBER(correlation!$F$26)),N65*correlation!$F$26+correlation!$G$26,"")</f>
        <v/>
      </c>
      <c r="P65" s="5">
        <f>IF(AND(L65,ISNUMBER(O65)),(M65-O65)^2,"")</f>
        <v/>
      </c>
      <c r="Q65" s="5">
        <f>IF(L65,1+SUMPRODUCT(--(calc!$L$3:$L$67=TRUE),--(calc!$M$3:$M$67&gt;M65))+(SUMPRODUCT(--(calc!$L$3:$L$67=TRUE),--(calc!$M$3:$M$67=M65))-1)/2,"")</f>
        <v/>
      </c>
      <c r="R65" s="5">
        <f>IF(L65,1+SUMPRODUCT(--(calc!$L$3:$L$67=TRUE),--(calc!$N$3:$N$67&gt;N65))+(SUMPRODUCT(--(calc!$L$3:$L$67=TRUE),--(calc!$N$3:$N$67=N65))-1)/2,"")</f>
        <v/>
      </c>
      <c r="S65" s="5">
        <f>IF(L65,SUMPRODUCT(--(calc!$L$3:$L$67=TRUE),--(ROW(calc!$L$3:$L$67)&gt;ROW(L65)),--(((calc!$Q$3:$Q$67&gt;Q65)*(calc!$R$3:$R$67&gt;R65)+(calc!$Q$3:$Q$67&lt;Q65)*(calc!$R$3:$R$67&lt;R65))&gt;0))-SUMPRODUCT(--(calc!$L$3:$L$67=TRUE),--(ROW(calc!$L$3:$L$67)&gt;ROW(L65)),--(((calc!$Q$3:$Q$67&gt;Q65)*(calc!$R$3:$R$67&lt;R65)+(calc!$Q$3:$Q$67&lt;Q65)*(calc!$R$3:$R$67&gt;R65))&gt;0)),0)</f>
        <v/>
      </c>
      <c r="T65" s="5">
        <f>IF(mos_metrics!H64="","",mos_metrics!H64)</f>
        <v/>
      </c>
      <c r="U65" s="2">
        <f>AND($J65,ISNUMBER(T65),correlation!$I$27=1)</f>
        <v/>
      </c>
      <c r="V65" s="5">
        <f>IF(U65,$F65,"")</f>
        <v/>
      </c>
      <c r="W65" s="5">
        <f>IF(U65,T65*correlation!$J$27,"")</f>
        <v/>
      </c>
      <c r="X65" s="5">
        <f>IF(AND(U65,ISNUMBER(correlation!$F$27)),W65*correlation!$F$27+correlation!$G$27,"")</f>
        <v/>
      </c>
      <c r="Y65" s="5">
        <f>IF(AND(U65,ISNUMBER(X65)),(V65-X65)^2,"")</f>
        <v/>
      </c>
      <c r="Z65" s="5">
        <f>IF(U65,1+SUMPRODUCT(--(calc!$U$3:$U$67=TRUE),--(calc!$V$3:$V$67&gt;V65))+(SUMPRODUCT(--(calc!$U$3:$U$67=TRUE),--(calc!$V$3:$V$67=V65))-1)/2,"")</f>
        <v/>
      </c>
      <c r="AA65" s="5">
        <f>IF(U65,1+SUMPRODUCT(--(calc!$U$3:$U$67=TRUE),--(calc!$W$3:$W$67&gt;W65))+(SUMPRODUCT(--(calc!$U$3:$U$67=TRUE),--(calc!$W$3:$W$67=W65))-1)/2,"")</f>
        <v/>
      </c>
      <c r="AB65" s="5">
        <f>IF(U65,SUMPRODUCT(--(calc!$U$3:$U$67=TRUE),--(ROW(calc!$U$3:$U$67)&gt;ROW(U65)),--(((calc!$Z$3:$Z$67&gt;Z65)*(calc!$AA$3:$AA$67&gt;AA65)+(calc!$Z$3:$Z$67&lt;Z65)*(calc!$AA$3:$AA$67&lt;AA65))&gt;0))-SUMPRODUCT(--(calc!$U$3:$U$67=TRUE),--(ROW(calc!$U$3:$U$67)&gt;ROW(U65)),--(((calc!$Z$3:$Z$67&gt;Z65)*(calc!$AA$3:$AA$67&lt;AA65)+(calc!$Z$3:$Z$67&lt;Z65)*(calc!$AA$3:$AA$67&gt;AA65))&gt;0)),0)</f>
        <v/>
      </c>
      <c r="AC65" s="5">
        <f>IF(mos_metrics!I64="","",mos_metrics!I64)</f>
        <v/>
      </c>
      <c r="AD65" s="2">
        <f>AND($J65,ISNUMBER(AC65),correlation!$I$28=1)</f>
        <v/>
      </c>
      <c r="AE65" s="5">
        <f>IF(AD65,$F65,"")</f>
        <v/>
      </c>
      <c r="AF65" s="5">
        <f>IF(AD65,AC65*correlation!$J$28,"")</f>
        <v/>
      </c>
      <c r="AG65" s="5">
        <f>IF(AND(AD65,ISNUMBER(correlation!$F$28)),AF65*correlation!$F$28+correlation!$G$28,"")</f>
        <v/>
      </c>
      <c r="AH65" s="5">
        <f>IF(AND(AD65,ISNUMBER(AG65)),(AE65-AG65)^2,"")</f>
        <v/>
      </c>
      <c r="AI65" s="5">
        <f>IF(AD65,1+SUMPRODUCT(--(calc!$AD$3:$AD$67=TRUE),--(calc!$AE$3:$AE$67&gt;AE65))+(SUMPRODUCT(--(calc!$AD$3:$AD$67=TRUE),--(calc!$AE$3:$AE$67=AE65))-1)/2,"")</f>
        <v/>
      </c>
      <c r="AJ65" s="5">
        <f>IF(AD65,1+SUMPRODUCT(--(calc!$AD$3:$AD$67=TRUE),--(calc!$AF$3:$AF$67&gt;AF65))+(SUMPRODUCT(--(calc!$AD$3:$AD$67=TRUE),--(calc!$AF$3:$AF$67=AF65))-1)/2,"")</f>
        <v/>
      </c>
      <c r="AK65" s="5">
        <f>IF(AD65,SUMPRODUCT(--(calc!$AD$3:$AD$67=TRUE),--(ROW(calc!$AD$3:$AD$67)&gt;ROW(AD65)),--(((calc!$AI$3:$AI$67&gt;AI65)*(calc!$AJ$3:$AJ$67&gt;AJ65)+(calc!$AI$3:$AI$67&lt;AI65)*(calc!$AJ$3:$AJ$67&lt;AJ65))&gt;0))-SUMPRODUCT(--(calc!$AD$3:$AD$67=TRUE),--(ROW(calc!$AD$3:$AD$67)&gt;ROW(AD65)),--(((calc!$AI$3:$AI$67&gt;AI65)*(calc!$AJ$3:$AJ$67&lt;AJ65)+(calc!$AI$3:$AI$67&lt;AI65)*(calc!$AJ$3:$AJ$67&gt;AJ65))&gt;0)),0)</f>
        <v/>
      </c>
      <c r="AL65" s="5">
        <f>IF(mos_metrics!J64="","",mos_metrics!J64)</f>
        <v/>
      </c>
      <c r="AM65" s="2">
        <f>AND($J65,ISNUMBER(AL65),correlation!$I$29=1)</f>
        <v/>
      </c>
      <c r="AN65" s="5">
        <f>IF(AM65,$F65,"")</f>
        <v/>
      </c>
      <c r="AO65" s="5">
        <f>IF(AM65,AL65*correlation!$J$29,"")</f>
        <v/>
      </c>
      <c r="AP65" s="5">
        <f>IF(AND(AM65,ISNUMBER(correlation!$F$29)),AO65*correlation!$F$29+correlation!$G$29,"")</f>
        <v/>
      </c>
      <c r="AQ65" s="5">
        <f>IF(AND(AM65,ISNUMBER(AP65)),(AN65-AP65)^2,"")</f>
        <v/>
      </c>
      <c r="AR65" s="5">
        <f>IF(AM65,1+SUMPRODUCT(--(calc!$AM$3:$AM$67=TRUE),--(calc!$AN$3:$AN$67&gt;AN65))+(SUMPRODUCT(--(calc!$AM$3:$AM$67=TRUE),--(calc!$AN$3:$AN$67=AN65))-1)/2,"")</f>
        <v/>
      </c>
      <c r="AS65" s="5">
        <f>IF(AM65,1+SUMPRODUCT(--(calc!$AM$3:$AM$67=TRUE),--(calc!$AO$3:$AO$67&gt;AO65))+(SUMPRODUCT(--(calc!$AM$3:$AM$67=TRUE),--(calc!$AO$3:$AO$67=AO65))-1)/2,"")</f>
        <v/>
      </c>
      <c r="AT65" s="5">
        <f>IF(AM65,SUMPRODUCT(--(calc!$AM$3:$AM$67=TRUE),--(ROW(calc!$AM$3:$AM$67)&gt;ROW(AM65)),--(((calc!$AR$3:$AR$67&gt;AR65)*(calc!$AS$3:$AS$67&gt;AS65)+(calc!$AR$3:$AR$67&lt;AR65)*(calc!$AS$3:$AS$67&lt;AS65))&gt;0))-SUMPRODUCT(--(calc!$AM$3:$AM$67=TRUE),--(ROW(calc!$AM$3:$AM$67)&gt;ROW(AM65)),--(((calc!$AR$3:$AR$67&gt;AR65)*(calc!$AS$3:$AS$67&lt;AS65)+(calc!$AR$3:$AR$67&lt;AR65)*(calc!$AS$3:$AS$67&gt;AS65))&gt;0)),0)</f>
        <v/>
      </c>
      <c r="AU65" s="5">
        <f>IF(mos_metrics!K64="","",mos_metrics!K64)</f>
        <v/>
      </c>
      <c r="AV65" s="2">
        <f>AND($J65,ISNUMBER(AU65),correlation!$I$30=1)</f>
        <v/>
      </c>
      <c r="AW65" s="5">
        <f>IF(AV65,$F65,"")</f>
        <v/>
      </c>
      <c r="AX65" s="5">
        <f>IF(AV65,AU65*correlation!$J$30,"")</f>
        <v/>
      </c>
      <c r="AY65" s="5">
        <f>IF(AND(AV65,ISNUMBER(correlation!$F$30)),AX65*correlation!$F$30+correlation!$G$30,"")</f>
        <v/>
      </c>
      <c r="AZ65" s="5">
        <f>IF(AND(AV65,ISNUMBER(AY65)),(AW65-AY65)^2,"")</f>
        <v/>
      </c>
      <c r="BA65" s="5">
        <f>IF(AV65,1+SUMPRODUCT(--(calc!$AV$3:$AV$67=TRUE),--(calc!$AW$3:$AW$67&gt;AW65))+(SUMPRODUCT(--(calc!$AV$3:$AV$67=TRUE),--(calc!$AW$3:$AW$67=AW65))-1)/2,"")</f>
        <v/>
      </c>
      <c r="BB65" s="5">
        <f>IF(AV65,1+SUMPRODUCT(--(calc!$AV$3:$AV$67=TRUE),--(calc!$AX$3:$AX$67&gt;AX65))+(SUMPRODUCT(--(calc!$AV$3:$AV$67=TRUE),--(calc!$AX$3:$AX$67=AX65))-1)/2,"")</f>
        <v/>
      </c>
      <c r="BC65" s="5">
        <f>IF(AV65,SUMPRODUCT(--(calc!$AV$3:$AV$67=TRUE),--(ROW(calc!$AV$3:$AV$67)&gt;ROW(AV65)),--(((calc!$BA$3:$BA$67&gt;BA65)*(calc!$BB$3:$BB$67&gt;BB65)+(calc!$BA$3:$BA$67&lt;BA65)*(calc!$BB$3:$BB$67&lt;BB65))&gt;0))-SUMPRODUCT(--(calc!$AV$3:$AV$67=TRUE),--(ROW(calc!$AV$3:$AV$67)&gt;ROW(AV65)),--(((calc!$BA$3:$BA$67&gt;BA65)*(calc!$BB$3:$BB$67&lt;BB65)+(calc!$BA$3:$BA$67&lt;BA65)*(calc!$BB$3:$BB$67&gt;BB65))&gt;0)),0)</f>
        <v/>
      </c>
      <c r="BD65" s="5">
        <f>IF(mos_metrics!L64="","",mos_metrics!L64)</f>
        <v/>
      </c>
      <c r="BE65" s="2">
        <f>AND($J65,ISNUMBER(BD65),correlation!$I$31=1)</f>
        <v/>
      </c>
      <c r="BF65" s="5">
        <f>IF(BE65,$F65,"")</f>
        <v/>
      </c>
      <c r="BG65" s="5">
        <f>IF(BE65,BD65*correlation!$J$31,"")</f>
        <v/>
      </c>
      <c r="BH65" s="5">
        <f>IF(AND(BE65,ISNUMBER(correlation!$F$31)),BG65*correlation!$F$31+correlation!$G$31,"")</f>
        <v/>
      </c>
      <c r="BI65" s="5">
        <f>IF(AND(BE65,ISNUMBER(BH65)),(BF65-BH65)^2,"")</f>
        <v/>
      </c>
      <c r="BJ65" s="5">
        <f>IF(BE65,1+SUMPRODUCT(--(calc!$BE$3:$BE$67=TRUE),--(calc!$BF$3:$BF$67&gt;BF65))+(SUMPRODUCT(--(calc!$BE$3:$BE$67=TRUE),--(calc!$BF$3:$BF$67=BF65))-1)/2,"")</f>
        <v/>
      </c>
      <c r="BK65" s="5">
        <f>IF(BE65,1+SUMPRODUCT(--(calc!$BE$3:$BE$67=TRUE),--(calc!$BG$3:$BG$67&gt;BG65))+(SUMPRODUCT(--(calc!$BE$3:$BE$67=TRUE),--(calc!$BG$3:$BG$67=BG65))-1)/2,"")</f>
        <v/>
      </c>
      <c r="BL65" s="5">
        <f>IF(BE65,SUMPRODUCT(--(calc!$BE$3:$BE$67=TRUE),--(ROW(calc!$BE$3:$BE$67)&gt;ROW(BE65)),--(((calc!$BJ$3:$BJ$67&gt;BJ65)*(calc!$BK$3:$BK$67&gt;BK65)+(calc!$BJ$3:$BJ$67&lt;BJ65)*(calc!$BK$3:$BK$67&lt;BK65))&gt;0))-SUMPRODUCT(--(calc!$BE$3:$BE$67=TRUE),--(ROW(calc!$BE$3:$BE$67)&gt;ROW(BE65)),--(((calc!$BJ$3:$BJ$67&gt;BJ65)*(calc!$BK$3:$BK$67&lt;BK65)+(calc!$BJ$3:$BJ$67&lt;BJ65)*(calc!$BK$3:$BK$67&gt;BK65))&gt;0)),0)</f>
        <v/>
      </c>
      <c r="BM65" s="5">
        <f>IF(mos_metrics!M64="","",mos_metrics!M64)</f>
        <v/>
      </c>
      <c r="BN65" s="2">
        <f>AND($J65,ISNUMBER(BM65),correlation!$I$32=1)</f>
        <v/>
      </c>
      <c r="BO65" s="5">
        <f>IF(BN65,$F65,"")</f>
        <v/>
      </c>
      <c r="BP65" s="5">
        <f>IF(BN65,BM65*correlation!$J$32,"")</f>
        <v/>
      </c>
      <c r="BQ65" s="5">
        <f>IF(AND(BN65,ISNUMBER(correlation!$F$32)),BP65*correlation!$F$32+correlation!$G$32,"")</f>
        <v/>
      </c>
      <c r="BR65" s="5">
        <f>IF(AND(BN65,ISNUMBER(BQ65)),(BO65-BQ65)^2,"")</f>
        <v/>
      </c>
      <c r="BS65" s="5">
        <f>IF(BN65,1+SUMPRODUCT(--(calc!$BN$3:$BN$67=TRUE),--(calc!$BO$3:$BO$67&gt;BO65))+(SUMPRODUCT(--(calc!$BN$3:$BN$67=TRUE),--(calc!$BO$3:$BO$67=BO65))-1)/2,"")</f>
        <v/>
      </c>
      <c r="BT65" s="5">
        <f>IF(BN65,1+SUMPRODUCT(--(calc!$BN$3:$BN$67=TRUE),--(calc!$BP$3:$BP$67&gt;BP65))+(SUMPRODUCT(--(calc!$BN$3:$BN$67=TRUE),--(calc!$BP$3:$BP$67=BP65))-1)/2,"")</f>
        <v/>
      </c>
      <c r="BU65" s="5">
        <f>IF(BN65,SUMPRODUCT(--(calc!$BN$3:$BN$67=TRUE),--(ROW(calc!$BN$3:$BN$67)&gt;ROW(BN65)),--(((calc!$BS$3:$BS$67&gt;BS65)*(calc!$BT$3:$BT$67&gt;BT65)+(calc!$BS$3:$BS$67&lt;BS65)*(calc!$BT$3:$BT$67&lt;BT65))&gt;0))-SUMPRODUCT(--(calc!$BN$3:$BN$67=TRUE),--(ROW(calc!$BN$3:$BN$67)&gt;ROW(BN65)),--(((calc!$BS$3:$BS$67&gt;BS65)*(calc!$BT$3:$BT$67&lt;BT65)+(calc!$BS$3:$BS$67&lt;BS65)*(calc!$BT$3:$BT$67&gt;BT65))&gt;0)),0)</f>
        <v/>
      </c>
    </row>
    <row r="66">
      <c r="A66" s="2">
        <f>mos_metrics!A65</f>
        <v/>
      </c>
      <c r="B66" s="2">
        <f>mos_metrics!B65</f>
        <v/>
      </c>
      <c r="C66" s="2">
        <f>mos_metrics!C65</f>
        <v/>
      </c>
      <c r="D66" s="2">
        <f>mos_metrics!D65</f>
        <v/>
      </c>
      <c r="E66" s="2">
        <f>mos_metrics!E65</f>
        <v/>
      </c>
      <c r="F66" s="2">
        <f>mos_metrics!F65</f>
        <v/>
      </c>
      <c r="G66" s="2">
        <f>IF($B66="","",IFERROR(VLOOKUP($B66,correlation!$A$2:$B$6,2,FALSE),1))</f>
        <v/>
      </c>
      <c r="H66" s="2">
        <f>IF($E66="","",IFERROR(VLOOKUP($E66,correlation!$D$2:$E$8,2,FALSE),1))</f>
        <v/>
      </c>
      <c r="I66" s="2">
        <f>ISNUMBER($F66)</f>
        <v/>
      </c>
      <c r="J66" s="2">
        <f>AND($G66=1,$H66=1,$I66)</f>
        <v/>
      </c>
      <c r="K66" s="5">
        <f>IF(mos_metrics!G65="","",mos_metrics!G65)</f>
        <v/>
      </c>
      <c r="L66" s="2">
        <f>AND($J66,ISNUMBER(K66),correlation!$I$26=1)</f>
        <v/>
      </c>
      <c r="M66" s="5">
        <f>IF(L66,$F66,"")</f>
        <v/>
      </c>
      <c r="N66" s="5">
        <f>IF(L66,K66*correlation!$J$26,"")</f>
        <v/>
      </c>
      <c r="O66" s="5">
        <f>IF(AND(L66,ISNUMBER(correlation!$F$26)),N66*correlation!$F$26+correlation!$G$26,"")</f>
        <v/>
      </c>
      <c r="P66" s="5">
        <f>IF(AND(L66,ISNUMBER(O66)),(M66-O66)^2,"")</f>
        <v/>
      </c>
      <c r="Q66" s="5">
        <f>IF(L66,1+SUMPRODUCT(--(calc!$L$3:$L$67=TRUE),--(calc!$M$3:$M$67&gt;M66))+(SUMPRODUCT(--(calc!$L$3:$L$67=TRUE),--(calc!$M$3:$M$67=M66))-1)/2,"")</f>
        <v/>
      </c>
      <c r="R66" s="5">
        <f>IF(L66,1+SUMPRODUCT(--(calc!$L$3:$L$67=TRUE),--(calc!$N$3:$N$67&gt;N66))+(SUMPRODUCT(--(calc!$L$3:$L$67=TRUE),--(calc!$N$3:$N$67=N66))-1)/2,"")</f>
        <v/>
      </c>
      <c r="S66" s="5">
        <f>IF(L66,SUMPRODUCT(--(calc!$L$3:$L$67=TRUE),--(ROW(calc!$L$3:$L$67)&gt;ROW(L66)),--(((calc!$Q$3:$Q$67&gt;Q66)*(calc!$R$3:$R$67&gt;R66)+(calc!$Q$3:$Q$67&lt;Q66)*(calc!$R$3:$R$67&lt;R66))&gt;0))-SUMPRODUCT(--(calc!$L$3:$L$67=TRUE),--(ROW(calc!$L$3:$L$67)&gt;ROW(L66)),--(((calc!$Q$3:$Q$67&gt;Q66)*(calc!$R$3:$R$67&lt;R66)+(calc!$Q$3:$Q$67&lt;Q66)*(calc!$R$3:$R$67&gt;R66))&gt;0)),0)</f>
        <v/>
      </c>
      <c r="T66" s="5">
        <f>IF(mos_metrics!H65="","",mos_metrics!H65)</f>
        <v/>
      </c>
      <c r="U66" s="2">
        <f>AND($J66,ISNUMBER(T66),correlation!$I$27=1)</f>
        <v/>
      </c>
      <c r="V66" s="5">
        <f>IF(U66,$F66,"")</f>
        <v/>
      </c>
      <c r="W66" s="5">
        <f>IF(U66,T66*correlation!$J$27,"")</f>
        <v/>
      </c>
      <c r="X66" s="5">
        <f>IF(AND(U66,ISNUMBER(correlation!$F$27)),W66*correlation!$F$27+correlation!$G$27,"")</f>
        <v/>
      </c>
      <c r="Y66" s="5">
        <f>IF(AND(U66,ISNUMBER(X66)),(V66-X66)^2,"")</f>
        <v/>
      </c>
      <c r="Z66" s="5">
        <f>IF(U66,1+SUMPRODUCT(--(calc!$U$3:$U$67=TRUE),--(calc!$V$3:$V$67&gt;V66))+(SUMPRODUCT(--(calc!$U$3:$U$67=TRUE),--(calc!$V$3:$V$67=V66))-1)/2,"")</f>
        <v/>
      </c>
      <c r="AA66" s="5">
        <f>IF(U66,1+SUMPRODUCT(--(calc!$U$3:$U$67=TRUE),--(calc!$W$3:$W$67&gt;W66))+(SUMPRODUCT(--(calc!$U$3:$U$67=TRUE),--(calc!$W$3:$W$67=W66))-1)/2,"")</f>
        <v/>
      </c>
      <c r="AB66" s="5">
        <f>IF(U66,SUMPRODUCT(--(calc!$U$3:$U$67=TRUE),--(ROW(calc!$U$3:$U$67)&gt;ROW(U66)),--(((calc!$Z$3:$Z$67&gt;Z66)*(calc!$AA$3:$AA$67&gt;AA66)+(calc!$Z$3:$Z$67&lt;Z66)*(calc!$AA$3:$AA$67&lt;AA66))&gt;0))-SUMPRODUCT(--(calc!$U$3:$U$67=TRUE),--(ROW(calc!$U$3:$U$67)&gt;ROW(U66)),--(((calc!$Z$3:$Z$67&gt;Z66)*(calc!$AA$3:$AA$67&lt;AA66)+(calc!$Z$3:$Z$67&lt;Z66)*(calc!$AA$3:$AA$67&gt;AA66))&gt;0)),0)</f>
        <v/>
      </c>
      <c r="AC66" s="5">
        <f>IF(mos_metrics!I65="","",mos_metrics!I65)</f>
        <v/>
      </c>
      <c r="AD66" s="2">
        <f>AND($J66,ISNUMBER(AC66),correlation!$I$28=1)</f>
        <v/>
      </c>
      <c r="AE66" s="5">
        <f>IF(AD66,$F66,"")</f>
        <v/>
      </c>
      <c r="AF66" s="5">
        <f>IF(AD66,AC66*correlation!$J$28,"")</f>
        <v/>
      </c>
      <c r="AG66" s="5">
        <f>IF(AND(AD66,ISNUMBER(correlation!$F$28)),AF66*correlation!$F$28+correlation!$G$28,"")</f>
        <v/>
      </c>
      <c r="AH66" s="5">
        <f>IF(AND(AD66,ISNUMBER(AG66)),(AE66-AG66)^2,"")</f>
        <v/>
      </c>
      <c r="AI66" s="5">
        <f>IF(AD66,1+SUMPRODUCT(--(calc!$AD$3:$AD$67=TRUE),--(calc!$AE$3:$AE$67&gt;AE66))+(SUMPRODUCT(--(calc!$AD$3:$AD$67=TRUE),--(calc!$AE$3:$AE$67=AE66))-1)/2,"")</f>
        <v/>
      </c>
      <c r="AJ66" s="5">
        <f>IF(AD66,1+SUMPRODUCT(--(calc!$AD$3:$AD$67=TRUE),--(calc!$AF$3:$AF$67&gt;AF66))+(SUMPRODUCT(--(calc!$AD$3:$AD$67=TRUE),--(calc!$AF$3:$AF$67=AF66))-1)/2,"")</f>
        <v/>
      </c>
      <c r="AK66" s="5">
        <f>IF(AD66,SUMPRODUCT(--(calc!$AD$3:$AD$67=TRUE),--(ROW(calc!$AD$3:$AD$67)&gt;ROW(AD66)),--(((calc!$AI$3:$AI$67&gt;AI66)*(calc!$AJ$3:$AJ$67&gt;AJ66)+(calc!$AI$3:$AI$67&lt;AI66)*(calc!$AJ$3:$AJ$67&lt;AJ66))&gt;0))-SUMPRODUCT(--(calc!$AD$3:$AD$67=TRUE),--(ROW(calc!$AD$3:$AD$67)&gt;ROW(AD66)),--(((calc!$AI$3:$AI$67&gt;AI66)*(calc!$AJ$3:$AJ$67&lt;AJ66)+(calc!$AI$3:$AI$67&lt;AI66)*(calc!$AJ$3:$AJ$67&gt;AJ66))&gt;0)),0)</f>
        <v/>
      </c>
      <c r="AL66" s="5">
        <f>IF(mos_metrics!J65="","",mos_metrics!J65)</f>
        <v/>
      </c>
      <c r="AM66" s="2">
        <f>AND($J66,ISNUMBER(AL66),correlation!$I$29=1)</f>
        <v/>
      </c>
      <c r="AN66" s="5">
        <f>IF(AM66,$F66,"")</f>
        <v/>
      </c>
      <c r="AO66" s="5">
        <f>IF(AM66,AL66*correlation!$J$29,"")</f>
        <v/>
      </c>
      <c r="AP66" s="5">
        <f>IF(AND(AM66,ISNUMBER(correlation!$F$29)),AO66*correlation!$F$29+correlation!$G$29,"")</f>
        <v/>
      </c>
      <c r="AQ66" s="5">
        <f>IF(AND(AM66,ISNUMBER(AP66)),(AN66-AP66)^2,"")</f>
        <v/>
      </c>
      <c r="AR66" s="5">
        <f>IF(AM66,1+SUMPRODUCT(--(calc!$AM$3:$AM$67=TRUE),--(calc!$AN$3:$AN$67&gt;AN66))+(SUMPRODUCT(--(calc!$AM$3:$AM$67=TRUE),--(calc!$AN$3:$AN$67=AN66))-1)/2,"")</f>
        <v/>
      </c>
      <c r="AS66" s="5">
        <f>IF(AM66,1+SUMPRODUCT(--(calc!$AM$3:$AM$67=TRUE),--(calc!$AO$3:$AO$67&gt;AO66))+(SUMPRODUCT(--(calc!$AM$3:$AM$67=TRUE),--(calc!$AO$3:$AO$67=AO66))-1)/2,"")</f>
        <v/>
      </c>
      <c r="AT66" s="5">
        <f>IF(AM66,SUMPRODUCT(--(calc!$AM$3:$AM$67=TRUE),--(ROW(calc!$AM$3:$AM$67)&gt;ROW(AM66)),--(((calc!$AR$3:$AR$67&gt;AR66)*(calc!$AS$3:$AS$67&gt;AS66)+(calc!$AR$3:$AR$67&lt;AR66)*(calc!$AS$3:$AS$67&lt;AS66))&gt;0))-SUMPRODUCT(--(calc!$AM$3:$AM$67=TRUE),--(ROW(calc!$AM$3:$AM$67)&gt;ROW(AM66)),--(((calc!$AR$3:$AR$67&gt;AR66)*(calc!$AS$3:$AS$67&lt;AS66)+(calc!$AR$3:$AR$67&lt;AR66)*(calc!$AS$3:$AS$67&gt;AS66))&gt;0)),0)</f>
        <v/>
      </c>
      <c r="AU66" s="5">
        <f>IF(mos_metrics!K65="","",mos_metrics!K65)</f>
        <v/>
      </c>
      <c r="AV66" s="2">
        <f>AND($J66,ISNUMBER(AU66),correlation!$I$30=1)</f>
        <v/>
      </c>
      <c r="AW66" s="5">
        <f>IF(AV66,$F66,"")</f>
        <v/>
      </c>
      <c r="AX66" s="5">
        <f>IF(AV66,AU66*correlation!$J$30,"")</f>
        <v/>
      </c>
      <c r="AY66" s="5">
        <f>IF(AND(AV66,ISNUMBER(correlation!$F$30)),AX66*correlation!$F$30+correlation!$G$30,"")</f>
        <v/>
      </c>
      <c r="AZ66" s="5">
        <f>IF(AND(AV66,ISNUMBER(AY66)),(AW66-AY66)^2,"")</f>
        <v/>
      </c>
      <c r="BA66" s="5">
        <f>IF(AV66,1+SUMPRODUCT(--(calc!$AV$3:$AV$67=TRUE),--(calc!$AW$3:$AW$67&gt;AW66))+(SUMPRODUCT(--(calc!$AV$3:$AV$67=TRUE),--(calc!$AW$3:$AW$67=AW66))-1)/2,"")</f>
        <v/>
      </c>
      <c r="BB66" s="5">
        <f>IF(AV66,1+SUMPRODUCT(--(calc!$AV$3:$AV$67=TRUE),--(calc!$AX$3:$AX$67&gt;AX66))+(SUMPRODUCT(--(calc!$AV$3:$AV$67=TRUE),--(calc!$AX$3:$AX$67=AX66))-1)/2,"")</f>
        <v/>
      </c>
      <c r="BC66" s="5">
        <f>IF(AV66,SUMPRODUCT(--(calc!$AV$3:$AV$67=TRUE),--(ROW(calc!$AV$3:$AV$67)&gt;ROW(AV66)),--(((calc!$BA$3:$BA$67&gt;BA66)*(calc!$BB$3:$BB$67&gt;BB66)+(calc!$BA$3:$BA$67&lt;BA66)*(calc!$BB$3:$BB$67&lt;BB66))&gt;0))-SUMPRODUCT(--(calc!$AV$3:$AV$67=TRUE),--(ROW(calc!$AV$3:$AV$67)&gt;ROW(AV66)),--(((calc!$BA$3:$BA$67&gt;BA66)*(calc!$BB$3:$BB$67&lt;BB66)+(calc!$BA$3:$BA$67&lt;BA66)*(calc!$BB$3:$BB$67&gt;BB66))&gt;0)),0)</f>
        <v/>
      </c>
      <c r="BD66" s="5">
        <f>IF(mos_metrics!L65="","",mos_metrics!L65)</f>
        <v/>
      </c>
      <c r="BE66" s="2">
        <f>AND($J66,ISNUMBER(BD66),correlation!$I$31=1)</f>
        <v/>
      </c>
      <c r="BF66" s="5">
        <f>IF(BE66,$F66,"")</f>
        <v/>
      </c>
      <c r="BG66" s="5">
        <f>IF(BE66,BD66*correlation!$J$31,"")</f>
        <v/>
      </c>
      <c r="BH66" s="5">
        <f>IF(AND(BE66,ISNUMBER(correlation!$F$31)),BG66*correlation!$F$31+correlation!$G$31,"")</f>
        <v/>
      </c>
      <c r="BI66" s="5">
        <f>IF(AND(BE66,ISNUMBER(BH66)),(BF66-BH66)^2,"")</f>
        <v/>
      </c>
      <c r="BJ66" s="5">
        <f>IF(BE66,1+SUMPRODUCT(--(calc!$BE$3:$BE$67=TRUE),--(calc!$BF$3:$BF$67&gt;BF66))+(SUMPRODUCT(--(calc!$BE$3:$BE$67=TRUE),--(calc!$BF$3:$BF$67=BF66))-1)/2,"")</f>
        <v/>
      </c>
      <c r="BK66" s="5">
        <f>IF(BE66,1+SUMPRODUCT(--(calc!$BE$3:$BE$67=TRUE),--(calc!$BG$3:$BG$67&gt;BG66))+(SUMPRODUCT(--(calc!$BE$3:$BE$67=TRUE),--(calc!$BG$3:$BG$67=BG66))-1)/2,"")</f>
        <v/>
      </c>
      <c r="BL66" s="5">
        <f>IF(BE66,SUMPRODUCT(--(calc!$BE$3:$BE$67=TRUE),--(ROW(calc!$BE$3:$BE$67)&gt;ROW(BE66)),--(((calc!$BJ$3:$BJ$67&gt;BJ66)*(calc!$BK$3:$BK$67&gt;BK66)+(calc!$BJ$3:$BJ$67&lt;BJ66)*(calc!$BK$3:$BK$67&lt;BK66))&gt;0))-SUMPRODUCT(--(calc!$BE$3:$BE$67=TRUE),--(ROW(calc!$BE$3:$BE$67)&gt;ROW(BE66)),--(((calc!$BJ$3:$BJ$67&gt;BJ66)*(calc!$BK$3:$BK$67&lt;BK66)+(calc!$BJ$3:$BJ$67&lt;BJ66)*(calc!$BK$3:$BK$67&gt;BK66))&gt;0)),0)</f>
        <v/>
      </c>
      <c r="BM66" s="5">
        <f>IF(mos_metrics!M65="","",mos_metrics!M65)</f>
        <v/>
      </c>
      <c r="BN66" s="2">
        <f>AND($J66,ISNUMBER(BM66),correlation!$I$32=1)</f>
        <v/>
      </c>
      <c r="BO66" s="5">
        <f>IF(BN66,$F66,"")</f>
        <v/>
      </c>
      <c r="BP66" s="5">
        <f>IF(BN66,BM66*correlation!$J$32,"")</f>
        <v/>
      </c>
      <c r="BQ66" s="5">
        <f>IF(AND(BN66,ISNUMBER(correlation!$F$32)),BP66*correlation!$F$32+correlation!$G$32,"")</f>
        <v/>
      </c>
      <c r="BR66" s="5">
        <f>IF(AND(BN66,ISNUMBER(BQ66)),(BO66-BQ66)^2,"")</f>
        <v/>
      </c>
      <c r="BS66" s="5">
        <f>IF(BN66,1+SUMPRODUCT(--(calc!$BN$3:$BN$67=TRUE),--(calc!$BO$3:$BO$67&gt;BO66))+(SUMPRODUCT(--(calc!$BN$3:$BN$67=TRUE),--(calc!$BO$3:$BO$67=BO66))-1)/2,"")</f>
        <v/>
      </c>
      <c r="BT66" s="5">
        <f>IF(BN66,1+SUMPRODUCT(--(calc!$BN$3:$BN$67=TRUE),--(calc!$BP$3:$BP$67&gt;BP66))+(SUMPRODUCT(--(calc!$BN$3:$BN$67=TRUE),--(calc!$BP$3:$BP$67=BP66))-1)/2,"")</f>
        <v/>
      </c>
      <c r="BU66" s="5">
        <f>IF(BN66,SUMPRODUCT(--(calc!$BN$3:$BN$67=TRUE),--(ROW(calc!$BN$3:$BN$67)&gt;ROW(BN66)),--(((calc!$BS$3:$BS$67&gt;BS66)*(calc!$BT$3:$BT$67&gt;BT66)+(calc!$BS$3:$BS$67&lt;BS66)*(calc!$BT$3:$BT$67&lt;BT66))&gt;0))-SUMPRODUCT(--(calc!$BN$3:$BN$67=TRUE),--(ROW(calc!$BN$3:$BN$67)&gt;ROW(BN66)),--(((calc!$BS$3:$BS$67&gt;BS66)*(calc!$BT$3:$BT$67&lt;BT66)+(calc!$BS$3:$BS$67&lt;BS66)*(calc!$BT$3:$BT$67&gt;BT66))&gt;0)),0)</f>
        <v/>
      </c>
    </row>
    <row r="67">
      <c r="A67" s="2">
        <f>mos_metrics!A66</f>
        <v/>
      </c>
      <c r="B67" s="2">
        <f>mos_metrics!B66</f>
        <v/>
      </c>
      <c r="C67" s="2">
        <f>mos_metrics!C66</f>
        <v/>
      </c>
      <c r="D67" s="2">
        <f>mos_metrics!D66</f>
        <v/>
      </c>
      <c r="E67" s="2">
        <f>mos_metrics!E66</f>
        <v/>
      </c>
      <c r="F67" s="2">
        <f>mos_metrics!F66</f>
        <v/>
      </c>
      <c r="G67" s="2">
        <f>IF($B67="","",IFERROR(VLOOKUP($B67,correlation!$A$2:$B$6,2,FALSE),1))</f>
        <v/>
      </c>
      <c r="H67" s="2">
        <f>IF($E67="","",IFERROR(VLOOKUP($E67,correlation!$D$2:$E$8,2,FALSE),1))</f>
        <v/>
      </c>
      <c r="I67" s="2">
        <f>ISNUMBER($F67)</f>
        <v/>
      </c>
      <c r="J67" s="2">
        <f>AND($G67=1,$H67=1,$I67)</f>
        <v/>
      </c>
      <c r="K67" s="5">
        <f>IF(mos_metrics!G66="","",mos_metrics!G66)</f>
        <v/>
      </c>
      <c r="L67" s="2">
        <f>AND($J67,ISNUMBER(K67),correlation!$I$26=1)</f>
        <v/>
      </c>
      <c r="M67" s="5">
        <f>IF(L67,$F67,"")</f>
        <v/>
      </c>
      <c r="N67" s="5">
        <f>IF(L67,K67*correlation!$J$26,"")</f>
        <v/>
      </c>
      <c r="O67" s="5">
        <f>IF(AND(L67,ISNUMBER(correlation!$F$26)),N67*correlation!$F$26+correlation!$G$26,"")</f>
        <v/>
      </c>
      <c r="P67" s="5">
        <f>IF(AND(L67,ISNUMBER(O67)),(M67-O67)^2,"")</f>
        <v/>
      </c>
      <c r="Q67" s="5">
        <f>IF(L67,1+SUMPRODUCT(--(calc!$L$3:$L$67=TRUE),--(calc!$M$3:$M$67&gt;M67))+(SUMPRODUCT(--(calc!$L$3:$L$67=TRUE),--(calc!$M$3:$M$67=M67))-1)/2,"")</f>
        <v/>
      </c>
      <c r="R67" s="5">
        <f>IF(L67,1+SUMPRODUCT(--(calc!$L$3:$L$67=TRUE),--(calc!$N$3:$N$67&gt;N67))+(SUMPRODUCT(--(calc!$L$3:$L$67=TRUE),--(calc!$N$3:$N$67=N67))-1)/2,"")</f>
        <v/>
      </c>
      <c r="S67" s="5">
        <f>IF(L67,SUMPRODUCT(--(calc!$L$3:$L$67=TRUE),--(ROW(calc!$L$3:$L$67)&gt;ROW(L67)),--(((calc!$Q$3:$Q$67&gt;Q67)*(calc!$R$3:$R$67&gt;R67)+(calc!$Q$3:$Q$67&lt;Q67)*(calc!$R$3:$R$67&lt;R67))&gt;0))-SUMPRODUCT(--(calc!$L$3:$L$67=TRUE),--(ROW(calc!$L$3:$L$67)&gt;ROW(L67)),--(((calc!$Q$3:$Q$67&gt;Q67)*(calc!$R$3:$R$67&lt;R67)+(calc!$Q$3:$Q$67&lt;Q67)*(calc!$R$3:$R$67&gt;R67))&gt;0)),0)</f>
        <v/>
      </c>
      <c r="T67" s="5">
        <f>IF(mos_metrics!H66="","",mos_metrics!H66)</f>
        <v/>
      </c>
      <c r="U67" s="2">
        <f>AND($J67,ISNUMBER(T67),correlation!$I$27=1)</f>
        <v/>
      </c>
      <c r="V67" s="5">
        <f>IF(U67,$F67,"")</f>
        <v/>
      </c>
      <c r="W67" s="5">
        <f>IF(U67,T67*correlation!$J$27,"")</f>
        <v/>
      </c>
      <c r="X67" s="5">
        <f>IF(AND(U67,ISNUMBER(correlation!$F$27)),W67*correlation!$F$27+correlation!$G$27,"")</f>
        <v/>
      </c>
      <c r="Y67" s="5">
        <f>IF(AND(U67,ISNUMBER(X67)),(V67-X67)^2,"")</f>
        <v/>
      </c>
      <c r="Z67" s="5">
        <f>IF(U67,1+SUMPRODUCT(--(calc!$U$3:$U$67=TRUE),--(calc!$V$3:$V$67&gt;V67))+(SUMPRODUCT(--(calc!$U$3:$U$67=TRUE),--(calc!$V$3:$V$67=V67))-1)/2,"")</f>
        <v/>
      </c>
      <c r="AA67" s="5">
        <f>IF(U67,1+SUMPRODUCT(--(calc!$U$3:$U$67=TRUE),--(calc!$W$3:$W$67&gt;W67))+(SUMPRODUCT(--(calc!$U$3:$U$67=TRUE),--(calc!$W$3:$W$67=W67))-1)/2,"")</f>
        <v/>
      </c>
      <c r="AB67" s="5">
        <f>IF(U67,SUMPRODUCT(--(calc!$U$3:$U$67=TRUE),--(ROW(calc!$U$3:$U$67)&gt;ROW(U67)),--(((calc!$Z$3:$Z$67&gt;Z67)*(calc!$AA$3:$AA$67&gt;AA67)+(calc!$Z$3:$Z$67&lt;Z67)*(calc!$AA$3:$AA$67&lt;AA67))&gt;0))-SUMPRODUCT(--(calc!$U$3:$U$67=TRUE),--(ROW(calc!$U$3:$U$67)&gt;ROW(U67)),--(((calc!$Z$3:$Z$67&gt;Z67)*(calc!$AA$3:$AA$67&lt;AA67)+(calc!$Z$3:$Z$67&lt;Z67)*(calc!$AA$3:$AA$67&gt;AA67))&gt;0)),0)</f>
        <v/>
      </c>
      <c r="AC67" s="5">
        <f>IF(mos_metrics!I66="","",mos_metrics!I66)</f>
        <v/>
      </c>
      <c r="AD67" s="2">
        <f>AND($J67,ISNUMBER(AC67),correlation!$I$28=1)</f>
        <v/>
      </c>
      <c r="AE67" s="5">
        <f>IF(AD67,$F67,"")</f>
        <v/>
      </c>
      <c r="AF67" s="5">
        <f>IF(AD67,AC67*correlation!$J$28,"")</f>
        <v/>
      </c>
      <c r="AG67" s="5">
        <f>IF(AND(AD67,ISNUMBER(correlation!$F$28)),AF67*correlation!$F$28+correlation!$G$28,"")</f>
        <v/>
      </c>
      <c r="AH67" s="5">
        <f>IF(AND(AD67,ISNUMBER(AG67)),(AE67-AG67)^2,"")</f>
        <v/>
      </c>
      <c r="AI67" s="5">
        <f>IF(AD67,1+SUMPRODUCT(--(calc!$AD$3:$AD$67=TRUE),--(calc!$AE$3:$AE$67&gt;AE67))+(SUMPRODUCT(--(calc!$AD$3:$AD$67=TRUE),--(calc!$AE$3:$AE$67=AE67))-1)/2,"")</f>
        <v/>
      </c>
      <c r="AJ67" s="5">
        <f>IF(AD67,1+SUMPRODUCT(--(calc!$AD$3:$AD$67=TRUE),--(calc!$AF$3:$AF$67&gt;AF67))+(SUMPRODUCT(--(calc!$AD$3:$AD$67=TRUE),--(calc!$AF$3:$AF$67=AF67))-1)/2,"")</f>
        <v/>
      </c>
      <c r="AK67" s="5">
        <f>IF(AD67,SUMPRODUCT(--(calc!$AD$3:$AD$67=TRUE),--(ROW(calc!$AD$3:$AD$67)&gt;ROW(AD67)),--(((calc!$AI$3:$AI$67&gt;AI67)*(calc!$AJ$3:$AJ$67&gt;AJ67)+(calc!$AI$3:$AI$67&lt;AI67)*(calc!$AJ$3:$AJ$67&lt;AJ67))&gt;0))-SUMPRODUCT(--(calc!$AD$3:$AD$67=TRUE),--(ROW(calc!$AD$3:$AD$67)&gt;ROW(AD67)),--(((calc!$AI$3:$AI$67&gt;AI67)*(calc!$AJ$3:$AJ$67&lt;AJ67)+(calc!$AI$3:$AI$67&lt;AI67)*(calc!$AJ$3:$AJ$67&gt;AJ67))&gt;0)),0)</f>
        <v/>
      </c>
      <c r="AL67" s="5">
        <f>IF(mos_metrics!J66="","",mos_metrics!J66)</f>
        <v/>
      </c>
      <c r="AM67" s="2">
        <f>AND($J67,ISNUMBER(AL67),correlation!$I$29=1)</f>
        <v/>
      </c>
      <c r="AN67" s="5">
        <f>IF(AM67,$F67,"")</f>
        <v/>
      </c>
      <c r="AO67" s="5">
        <f>IF(AM67,AL67*correlation!$J$29,"")</f>
        <v/>
      </c>
      <c r="AP67" s="5">
        <f>IF(AND(AM67,ISNUMBER(correlation!$F$29)),AO67*correlation!$F$29+correlation!$G$29,"")</f>
        <v/>
      </c>
      <c r="AQ67" s="5">
        <f>IF(AND(AM67,ISNUMBER(AP67)),(AN67-AP67)^2,"")</f>
        <v/>
      </c>
      <c r="AR67" s="5">
        <f>IF(AM67,1+SUMPRODUCT(--(calc!$AM$3:$AM$67=TRUE),--(calc!$AN$3:$AN$67&gt;AN67))+(SUMPRODUCT(--(calc!$AM$3:$AM$67=TRUE),--(calc!$AN$3:$AN$67=AN67))-1)/2,"")</f>
        <v/>
      </c>
      <c r="AS67" s="5">
        <f>IF(AM67,1+SUMPRODUCT(--(calc!$AM$3:$AM$67=TRUE),--(calc!$AO$3:$AO$67&gt;AO67))+(SUMPRODUCT(--(calc!$AM$3:$AM$67=TRUE),--(calc!$AO$3:$AO$67=AO67))-1)/2,"")</f>
        <v/>
      </c>
      <c r="AT67" s="5">
        <f>IF(AM67,SUMPRODUCT(--(calc!$AM$3:$AM$67=TRUE),--(ROW(calc!$AM$3:$AM$67)&gt;ROW(AM67)),--(((calc!$AR$3:$AR$67&gt;AR67)*(calc!$AS$3:$AS$67&gt;AS67)+(calc!$AR$3:$AR$67&lt;AR67)*(calc!$AS$3:$AS$67&lt;AS67))&gt;0))-SUMPRODUCT(--(calc!$AM$3:$AM$67=TRUE),--(ROW(calc!$AM$3:$AM$67)&gt;ROW(AM67)),--(((calc!$AR$3:$AR$67&gt;AR67)*(calc!$AS$3:$AS$67&lt;AS67)+(calc!$AR$3:$AR$67&lt;AR67)*(calc!$AS$3:$AS$67&gt;AS67))&gt;0)),0)</f>
        <v/>
      </c>
      <c r="AU67" s="5">
        <f>IF(mos_metrics!K66="","",mos_metrics!K66)</f>
        <v/>
      </c>
      <c r="AV67" s="2">
        <f>AND($J67,ISNUMBER(AU67),correlation!$I$30=1)</f>
        <v/>
      </c>
      <c r="AW67" s="5">
        <f>IF(AV67,$F67,"")</f>
        <v/>
      </c>
      <c r="AX67" s="5">
        <f>IF(AV67,AU67*correlation!$J$30,"")</f>
        <v/>
      </c>
      <c r="AY67" s="5">
        <f>IF(AND(AV67,ISNUMBER(correlation!$F$30)),AX67*correlation!$F$30+correlation!$G$30,"")</f>
        <v/>
      </c>
      <c r="AZ67" s="5">
        <f>IF(AND(AV67,ISNUMBER(AY67)),(AW67-AY67)^2,"")</f>
        <v/>
      </c>
      <c r="BA67" s="5">
        <f>IF(AV67,1+SUMPRODUCT(--(calc!$AV$3:$AV$67=TRUE),--(calc!$AW$3:$AW$67&gt;AW67))+(SUMPRODUCT(--(calc!$AV$3:$AV$67=TRUE),--(calc!$AW$3:$AW$67=AW67))-1)/2,"")</f>
        <v/>
      </c>
      <c r="BB67" s="5">
        <f>IF(AV67,1+SUMPRODUCT(--(calc!$AV$3:$AV$67=TRUE),--(calc!$AX$3:$AX$67&gt;AX67))+(SUMPRODUCT(--(calc!$AV$3:$AV$67=TRUE),--(calc!$AX$3:$AX$67=AX67))-1)/2,"")</f>
        <v/>
      </c>
      <c r="BC67" s="5">
        <f>IF(AV67,SUMPRODUCT(--(calc!$AV$3:$AV$67=TRUE),--(ROW(calc!$AV$3:$AV$67)&gt;ROW(AV67)),--(((calc!$BA$3:$BA$67&gt;BA67)*(calc!$BB$3:$BB$67&gt;BB67)+(calc!$BA$3:$BA$67&lt;BA67)*(calc!$BB$3:$BB$67&lt;BB67))&gt;0))-SUMPRODUCT(--(calc!$AV$3:$AV$67=TRUE),--(ROW(calc!$AV$3:$AV$67)&gt;ROW(AV67)),--(((calc!$BA$3:$BA$67&gt;BA67)*(calc!$BB$3:$BB$67&lt;BB67)+(calc!$BA$3:$BA$67&lt;BA67)*(calc!$BB$3:$BB$67&gt;BB67))&gt;0)),0)</f>
        <v/>
      </c>
      <c r="BD67" s="5">
        <f>IF(mos_metrics!L66="","",mos_metrics!L66)</f>
        <v/>
      </c>
      <c r="BE67" s="2">
        <f>AND($J67,ISNUMBER(BD67),correlation!$I$31=1)</f>
        <v/>
      </c>
      <c r="BF67" s="5">
        <f>IF(BE67,$F67,"")</f>
        <v/>
      </c>
      <c r="BG67" s="5">
        <f>IF(BE67,BD67*correlation!$J$31,"")</f>
        <v/>
      </c>
      <c r="BH67" s="5">
        <f>IF(AND(BE67,ISNUMBER(correlation!$F$31)),BG67*correlation!$F$31+correlation!$G$31,"")</f>
        <v/>
      </c>
      <c r="BI67" s="5">
        <f>IF(AND(BE67,ISNUMBER(BH67)),(BF67-BH67)^2,"")</f>
        <v/>
      </c>
      <c r="BJ67" s="5">
        <f>IF(BE67,1+SUMPRODUCT(--(calc!$BE$3:$BE$67=TRUE),--(calc!$BF$3:$BF$67&gt;BF67))+(SUMPRODUCT(--(calc!$BE$3:$BE$67=TRUE),--(calc!$BF$3:$BF$67=BF67))-1)/2,"")</f>
        <v/>
      </c>
      <c r="BK67" s="5">
        <f>IF(BE67,1+SUMPRODUCT(--(calc!$BE$3:$BE$67=TRUE),--(calc!$BG$3:$BG$67&gt;BG67))+(SUMPRODUCT(--(calc!$BE$3:$BE$67=TRUE),--(calc!$BG$3:$BG$67=BG67))-1)/2,"")</f>
        <v/>
      </c>
      <c r="BL67" s="5">
        <f>IF(BE67,SUMPRODUCT(--(calc!$BE$3:$BE$67=TRUE),--(ROW(calc!$BE$3:$BE$67)&gt;ROW(BE67)),--(((calc!$BJ$3:$BJ$67&gt;BJ67)*(calc!$BK$3:$BK$67&gt;BK67)+(calc!$BJ$3:$BJ$67&lt;BJ67)*(calc!$BK$3:$BK$67&lt;BK67))&gt;0))-SUMPRODUCT(--(calc!$BE$3:$BE$67=TRUE),--(ROW(calc!$BE$3:$BE$67)&gt;ROW(BE67)),--(((calc!$BJ$3:$BJ$67&gt;BJ67)*(calc!$BK$3:$BK$67&lt;BK67)+(calc!$BJ$3:$BJ$67&lt;BJ67)*(calc!$BK$3:$BK$67&gt;BK67))&gt;0)),0)</f>
        <v/>
      </c>
      <c r="BM67" s="5">
        <f>IF(mos_metrics!M66="","",mos_metrics!M66)</f>
        <v/>
      </c>
      <c r="BN67" s="2">
        <f>AND($J67,ISNUMBER(BM67),correlation!$I$32=1)</f>
        <v/>
      </c>
      <c r="BO67" s="5">
        <f>IF(BN67,$F67,"")</f>
        <v/>
      </c>
      <c r="BP67" s="5">
        <f>IF(BN67,BM67*correlation!$J$32,"")</f>
        <v/>
      </c>
      <c r="BQ67" s="5">
        <f>IF(AND(BN67,ISNUMBER(correlation!$F$32)),BP67*correlation!$F$32+correlation!$G$32,"")</f>
        <v/>
      </c>
      <c r="BR67" s="5">
        <f>IF(AND(BN67,ISNUMBER(BQ67)),(BO67-BQ67)^2,"")</f>
        <v/>
      </c>
      <c r="BS67" s="5">
        <f>IF(BN67,1+SUMPRODUCT(--(calc!$BN$3:$BN$67=TRUE),--(calc!$BO$3:$BO$67&gt;BO67))+(SUMPRODUCT(--(calc!$BN$3:$BN$67=TRUE),--(calc!$BO$3:$BO$67=BO67))-1)/2,"")</f>
        <v/>
      </c>
      <c r="BT67" s="5">
        <f>IF(BN67,1+SUMPRODUCT(--(calc!$BN$3:$BN$67=TRUE),--(calc!$BP$3:$BP$67&gt;BP67))+(SUMPRODUCT(--(calc!$BN$3:$BN$67=TRUE),--(calc!$BP$3:$BP$67=BP67))-1)/2,"")</f>
        <v/>
      </c>
      <c r="BU67" s="5">
        <f>IF(BN67,SUMPRODUCT(--(calc!$BN$3:$BN$67=TRUE),--(ROW(calc!$BN$3:$BN$67)&gt;ROW(BN67)),--(((calc!$BS$3:$BS$67&gt;BS67)*(calc!$BT$3:$BT$67&gt;BT67)+(calc!$BS$3:$BS$67&lt;BS67)*(calc!$BT$3:$BT$67&lt;BT67))&gt;0))-SUMPRODUCT(--(calc!$BN$3:$BN$67=TRUE),--(ROW(calc!$BN$3:$BN$67)&gt;ROW(BN67)),--(((calc!$BS$3:$BS$67&gt;BS67)*(calc!$BT$3:$BT$67&lt;BT67)+(calc!$BS$3:$BS$67&lt;BS67)*(calc!$BT$3:$BT$67&gt;BT67))&gt;0)),0)</f>
        <v/>
      </c>
    </row>
    <row r="68">
      <c r="A68" s="2">
        <f>mos_metrics!A67</f>
        <v/>
      </c>
      <c r="B68" s="2">
        <f>mos_metrics!B67</f>
        <v/>
      </c>
      <c r="C68" s="2">
        <f>mos_metrics!C67</f>
        <v/>
      </c>
      <c r="D68" s="2">
        <f>mos_metrics!D67</f>
        <v/>
      </c>
      <c r="E68" s="2">
        <f>mos_metrics!E67</f>
        <v/>
      </c>
      <c r="F68" s="2">
        <f>mos_metrics!F67</f>
        <v/>
      </c>
      <c r="G68" s="2">
        <f>IF($B68="","",IFERROR(VLOOKUP($B68,correlation!$A$2:$B$6,2,FALSE),1))</f>
        <v/>
      </c>
      <c r="H68" s="2">
        <f>IF($E68="","",IFERROR(VLOOKUP($E68,correlation!$D$2:$E$8,2,FALSE),1))</f>
        <v/>
      </c>
      <c r="I68" s="2">
        <f>ISNUMBER($F68)</f>
        <v/>
      </c>
      <c r="J68" s="2">
        <f>AND($G68=1,$H68=1,$I68)</f>
        <v/>
      </c>
      <c r="K68" s="5">
        <f>IF(mos_metrics!G67="","",mos_metrics!G67)</f>
        <v/>
      </c>
      <c r="L68" s="2">
        <f>AND($J68,ISNUMBER(K68),correlation!$I$26=1)</f>
        <v/>
      </c>
      <c r="M68" s="5">
        <f>IF(L68,$F68,"")</f>
        <v/>
      </c>
      <c r="N68" s="5">
        <f>IF(L68,K68*correlation!$J$26,"")</f>
        <v/>
      </c>
      <c r="O68" s="5">
        <f>IF(AND(L68,ISNUMBER(correlation!$F$26)),N68*correlation!$F$26+correlation!$G$26,"")</f>
        <v/>
      </c>
      <c r="P68" s="5">
        <f>IF(AND(L68,ISNUMBER(O68)),(M68-O68)^2,"")</f>
        <v/>
      </c>
      <c r="Q68" s="5">
        <f>IF(L68,1+SUMPRODUCT(--(calc!$L$3:$L$67=TRUE),--(calc!$M$3:$M$67&gt;M68))+(SUMPRODUCT(--(calc!$L$3:$L$67=TRUE),--(calc!$M$3:$M$67=M68))-1)/2,"")</f>
        <v/>
      </c>
      <c r="R68" s="5">
        <f>IF(L68,1+SUMPRODUCT(--(calc!$L$3:$L$67=TRUE),--(calc!$N$3:$N$67&gt;N68))+(SUMPRODUCT(--(calc!$L$3:$L$67=TRUE),--(calc!$N$3:$N$67=N68))-1)/2,"")</f>
        <v/>
      </c>
      <c r="S68" s="5">
        <f>IF(L68,SUMPRODUCT(--(calc!$L$3:$L$67=TRUE),--(ROW(calc!$L$3:$L$67)&gt;ROW(L68)),--(((calc!$Q$3:$Q$67&gt;Q68)*(calc!$R$3:$R$67&gt;R68)+(calc!$Q$3:$Q$67&lt;Q68)*(calc!$R$3:$R$67&lt;R68))&gt;0))-SUMPRODUCT(--(calc!$L$3:$L$67=TRUE),--(ROW(calc!$L$3:$L$67)&gt;ROW(L68)),--(((calc!$Q$3:$Q$67&gt;Q68)*(calc!$R$3:$R$67&lt;R68)+(calc!$Q$3:$Q$67&lt;Q68)*(calc!$R$3:$R$67&gt;R68))&gt;0)),0)</f>
        <v/>
      </c>
      <c r="T68" s="5">
        <f>IF(mos_metrics!H67="","",mos_metrics!H67)</f>
        <v/>
      </c>
      <c r="U68" s="2">
        <f>AND($J68,ISNUMBER(T68),correlation!$I$27=1)</f>
        <v/>
      </c>
      <c r="V68" s="5">
        <f>IF(U68,$F68,"")</f>
        <v/>
      </c>
      <c r="W68" s="5">
        <f>IF(U68,T68*correlation!$J$27,"")</f>
        <v/>
      </c>
      <c r="X68" s="5">
        <f>IF(AND(U68,ISNUMBER(correlation!$F$27)),W68*correlation!$F$27+correlation!$G$27,"")</f>
        <v/>
      </c>
      <c r="Y68" s="5">
        <f>IF(AND(U68,ISNUMBER(X68)),(V68-X68)^2,"")</f>
        <v/>
      </c>
      <c r="Z68" s="5">
        <f>IF(U68,1+SUMPRODUCT(--(calc!$U$3:$U$67=TRUE),--(calc!$V$3:$V$67&gt;V68))+(SUMPRODUCT(--(calc!$U$3:$U$67=TRUE),--(calc!$V$3:$V$67=V68))-1)/2,"")</f>
        <v/>
      </c>
      <c r="AA68" s="5">
        <f>IF(U68,1+SUMPRODUCT(--(calc!$U$3:$U$67=TRUE),--(calc!$W$3:$W$67&gt;W68))+(SUMPRODUCT(--(calc!$U$3:$U$67=TRUE),--(calc!$W$3:$W$67=W68))-1)/2,"")</f>
        <v/>
      </c>
      <c r="AB68" s="5">
        <f>IF(U68,SUMPRODUCT(--(calc!$U$3:$U$67=TRUE),--(ROW(calc!$U$3:$U$67)&gt;ROW(U68)),--(((calc!$Z$3:$Z$67&gt;Z68)*(calc!$AA$3:$AA$67&gt;AA68)+(calc!$Z$3:$Z$67&lt;Z68)*(calc!$AA$3:$AA$67&lt;AA68))&gt;0))-SUMPRODUCT(--(calc!$U$3:$U$67=TRUE),--(ROW(calc!$U$3:$U$67)&gt;ROW(U68)),--(((calc!$Z$3:$Z$67&gt;Z68)*(calc!$AA$3:$AA$67&lt;AA68)+(calc!$Z$3:$Z$67&lt;Z68)*(calc!$AA$3:$AA$67&gt;AA68))&gt;0)),0)</f>
        <v/>
      </c>
      <c r="AC68" s="5">
        <f>IF(mos_metrics!I67="","",mos_metrics!I67)</f>
        <v/>
      </c>
      <c r="AD68" s="2">
        <f>AND($J68,ISNUMBER(AC68),correlation!$I$28=1)</f>
        <v/>
      </c>
      <c r="AE68" s="5">
        <f>IF(AD68,$F68,"")</f>
        <v/>
      </c>
      <c r="AF68" s="5">
        <f>IF(AD68,AC68*correlation!$J$28,"")</f>
        <v/>
      </c>
      <c r="AG68" s="5">
        <f>IF(AND(AD68,ISNUMBER(correlation!$F$28)),AF68*correlation!$F$28+correlation!$G$28,"")</f>
        <v/>
      </c>
      <c r="AH68" s="5">
        <f>IF(AND(AD68,ISNUMBER(AG68)),(AE68-AG68)^2,"")</f>
        <v/>
      </c>
      <c r="AI68" s="5">
        <f>IF(AD68,1+SUMPRODUCT(--(calc!$AD$3:$AD$67=TRUE),--(calc!$AE$3:$AE$67&gt;AE68))+(SUMPRODUCT(--(calc!$AD$3:$AD$67=TRUE),--(calc!$AE$3:$AE$67=AE68))-1)/2,"")</f>
        <v/>
      </c>
      <c r="AJ68" s="5">
        <f>IF(AD68,1+SUMPRODUCT(--(calc!$AD$3:$AD$67=TRUE),--(calc!$AF$3:$AF$67&gt;AF68))+(SUMPRODUCT(--(calc!$AD$3:$AD$67=TRUE),--(calc!$AF$3:$AF$67=AF68))-1)/2,"")</f>
        <v/>
      </c>
      <c r="AK68" s="5">
        <f>IF(AD68,SUMPRODUCT(--(calc!$AD$3:$AD$67=TRUE),--(ROW(calc!$AD$3:$AD$67)&gt;ROW(AD68)),--(((calc!$AI$3:$AI$67&gt;AI68)*(calc!$AJ$3:$AJ$67&gt;AJ68)+(calc!$AI$3:$AI$67&lt;AI68)*(calc!$AJ$3:$AJ$67&lt;AJ68))&gt;0))-SUMPRODUCT(--(calc!$AD$3:$AD$67=TRUE),--(ROW(calc!$AD$3:$AD$67)&gt;ROW(AD68)),--(((calc!$AI$3:$AI$67&gt;AI68)*(calc!$AJ$3:$AJ$67&lt;AJ68)+(calc!$AI$3:$AI$67&lt;AI68)*(calc!$AJ$3:$AJ$67&gt;AJ68))&gt;0)),0)</f>
        <v/>
      </c>
      <c r="AL68" s="5">
        <f>IF(mos_metrics!J67="","",mos_metrics!J67)</f>
        <v/>
      </c>
      <c r="AM68" s="2">
        <f>AND($J68,ISNUMBER(AL68),correlation!$I$29=1)</f>
        <v/>
      </c>
      <c r="AN68" s="5">
        <f>IF(AM68,$F68,"")</f>
        <v/>
      </c>
      <c r="AO68" s="5">
        <f>IF(AM68,AL68*correlation!$J$29,"")</f>
        <v/>
      </c>
      <c r="AP68" s="5">
        <f>IF(AND(AM68,ISNUMBER(correlation!$F$29)),AO68*correlation!$F$29+correlation!$G$29,"")</f>
        <v/>
      </c>
      <c r="AQ68" s="5">
        <f>IF(AND(AM68,ISNUMBER(AP68)),(AN68-AP68)^2,"")</f>
        <v/>
      </c>
      <c r="AR68" s="5">
        <f>IF(AM68,1+SUMPRODUCT(--(calc!$AM$3:$AM$67=TRUE),--(calc!$AN$3:$AN$67&gt;AN68))+(SUMPRODUCT(--(calc!$AM$3:$AM$67=TRUE),--(calc!$AN$3:$AN$67=AN68))-1)/2,"")</f>
        <v/>
      </c>
      <c r="AS68" s="5">
        <f>IF(AM68,1+SUMPRODUCT(--(calc!$AM$3:$AM$67=TRUE),--(calc!$AO$3:$AO$67&gt;AO68))+(SUMPRODUCT(--(calc!$AM$3:$AM$67=TRUE),--(calc!$AO$3:$AO$67=AO68))-1)/2,"")</f>
        <v/>
      </c>
      <c r="AT68" s="5">
        <f>IF(AM68,SUMPRODUCT(--(calc!$AM$3:$AM$67=TRUE),--(ROW(calc!$AM$3:$AM$67)&gt;ROW(AM68)),--(((calc!$AR$3:$AR$67&gt;AR68)*(calc!$AS$3:$AS$67&gt;AS68)+(calc!$AR$3:$AR$67&lt;AR68)*(calc!$AS$3:$AS$67&lt;AS68))&gt;0))-SUMPRODUCT(--(calc!$AM$3:$AM$67=TRUE),--(ROW(calc!$AM$3:$AM$67)&gt;ROW(AM68)),--(((calc!$AR$3:$AR$67&gt;AR68)*(calc!$AS$3:$AS$67&lt;AS68)+(calc!$AR$3:$AR$67&lt;AR68)*(calc!$AS$3:$AS$67&gt;AS68))&gt;0)),0)</f>
        <v/>
      </c>
      <c r="AU68" s="5">
        <f>IF(mos_metrics!K67="","",mos_metrics!K67)</f>
        <v/>
      </c>
      <c r="AV68" s="2">
        <f>AND($J68,ISNUMBER(AU68),correlation!$I$30=1)</f>
        <v/>
      </c>
      <c r="AW68" s="5">
        <f>IF(AV68,$F68,"")</f>
        <v/>
      </c>
      <c r="AX68" s="5">
        <f>IF(AV68,AU68*correlation!$J$30,"")</f>
        <v/>
      </c>
      <c r="AY68" s="5">
        <f>IF(AND(AV68,ISNUMBER(correlation!$F$30)),AX68*correlation!$F$30+correlation!$G$30,"")</f>
        <v/>
      </c>
      <c r="AZ68" s="5">
        <f>IF(AND(AV68,ISNUMBER(AY68)),(AW68-AY68)^2,"")</f>
        <v/>
      </c>
      <c r="BA68" s="5">
        <f>IF(AV68,1+SUMPRODUCT(--(calc!$AV$3:$AV$67=TRUE),--(calc!$AW$3:$AW$67&gt;AW68))+(SUMPRODUCT(--(calc!$AV$3:$AV$67=TRUE),--(calc!$AW$3:$AW$67=AW68))-1)/2,"")</f>
        <v/>
      </c>
      <c r="BB68" s="5">
        <f>IF(AV68,1+SUMPRODUCT(--(calc!$AV$3:$AV$67=TRUE),--(calc!$AX$3:$AX$67&gt;AX68))+(SUMPRODUCT(--(calc!$AV$3:$AV$67=TRUE),--(calc!$AX$3:$AX$67=AX68))-1)/2,"")</f>
        <v/>
      </c>
      <c r="BC68" s="5">
        <f>IF(AV68,SUMPRODUCT(--(calc!$AV$3:$AV$67=TRUE),--(ROW(calc!$AV$3:$AV$67)&gt;ROW(AV68)),--(((calc!$BA$3:$BA$67&gt;BA68)*(calc!$BB$3:$BB$67&gt;BB68)+(calc!$BA$3:$BA$67&lt;BA68)*(calc!$BB$3:$BB$67&lt;BB68))&gt;0))-SUMPRODUCT(--(calc!$AV$3:$AV$67=TRUE),--(ROW(calc!$AV$3:$AV$67)&gt;ROW(AV68)),--(((calc!$BA$3:$BA$67&gt;BA68)*(calc!$BB$3:$BB$67&lt;BB68)+(calc!$BA$3:$BA$67&lt;BA68)*(calc!$BB$3:$BB$67&gt;BB68))&gt;0)),0)</f>
        <v/>
      </c>
      <c r="BD68" s="5">
        <f>IF(mos_metrics!L67="","",mos_metrics!L67)</f>
        <v/>
      </c>
      <c r="BE68" s="2">
        <f>AND($J68,ISNUMBER(BD68),correlation!$I$31=1)</f>
        <v/>
      </c>
      <c r="BF68" s="5">
        <f>IF(BE68,$F68,"")</f>
        <v/>
      </c>
      <c r="BG68" s="5">
        <f>IF(BE68,BD68*correlation!$J$31,"")</f>
        <v/>
      </c>
      <c r="BH68" s="5">
        <f>IF(AND(BE68,ISNUMBER(correlation!$F$31)),BG68*correlation!$F$31+correlation!$G$31,"")</f>
        <v/>
      </c>
      <c r="BI68" s="5">
        <f>IF(AND(BE68,ISNUMBER(BH68)),(BF68-BH68)^2,"")</f>
        <v/>
      </c>
      <c r="BJ68" s="5">
        <f>IF(BE68,1+SUMPRODUCT(--(calc!$BE$3:$BE$67=TRUE),--(calc!$BF$3:$BF$67&gt;BF68))+(SUMPRODUCT(--(calc!$BE$3:$BE$67=TRUE),--(calc!$BF$3:$BF$67=BF68))-1)/2,"")</f>
        <v/>
      </c>
      <c r="BK68" s="5">
        <f>IF(BE68,1+SUMPRODUCT(--(calc!$BE$3:$BE$67=TRUE),--(calc!$BG$3:$BG$67&gt;BG68))+(SUMPRODUCT(--(calc!$BE$3:$BE$67=TRUE),--(calc!$BG$3:$BG$67=BG68))-1)/2,"")</f>
        <v/>
      </c>
      <c r="BL68" s="5">
        <f>IF(BE68,SUMPRODUCT(--(calc!$BE$3:$BE$67=TRUE),--(ROW(calc!$BE$3:$BE$67)&gt;ROW(BE68)),--(((calc!$BJ$3:$BJ$67&gt;BJ68)*(calc!$BK$3:$BK$67&gt;BK68)+(calc!$BJ$3:$BJ$67&lt;BJ68)*(calc!$BK$3:$BK$67&lt;BK68))&gt;0))-SUMPRODUCT(--(calc!$BE$3:$BE$67=TRUE),--(ROW(calc!$BE$3:$BE$67)&gt;ROW(BE68)),--(((calc!$BJ$3:$BJ$67&gt;BJ68)*(calc!$BK$3:$BK$67&lt;BK68)+(calc!$BJ$3:$BJ$67&lt;BJ68)*(calc!$BK$3:$BK$67&gt;BK68))&gt;0)),0)</f>
        <v/>
      </c>
      <c r="BM68" s="5">
        <f>IF(mos_metrics!M67="","",mos_metrics!M67)</f>
        <v/>
      </c>
      <c r="BN68" s="2">
        <f>AND($J68,ISNUMBER(BM68),correlation!$I$32=1)</f>
        <v/>
      </c>
      <c r="BO68" s="5">
        <f>IF(BN68,$F68,"")</f>
        <v/>
      </c>
      <c r="BP68" s="5">
        <f>IF(BN68,BM68*correlation!$J$32,"")</f>
        <v/>
      </c>
      <c r="BQ68" s="5">
        <f>IF(AND(BN68,ISNUMBER(correlation!$F$32)),BP68*correlation!$F$32+correlation!$G$32,"")</f>
        <v/>
      </c>
      <c r="BR68" s="5">
        <f>IF(AND(BN68,ISNUMBER(BQ68)),(BO68-BQ68)^2,"")</f>
        <v/>
      </c>
      <c r="BS68" s="5">
        <f>IF(BN68,1+SUMPRODUCT(--(calc!$BN$3:$BN$67=TRUE),--(calc!$BO$3:$BO$67&gt;BO68))+(SUMPRODUCT(--(calc!$BN$3:$BN$67=TRUE),--(calc!$BO$3:$BO$67=BO68))-1)/2,"")</f>
        <v/>
      </c>
      <c r="BT68" s="5">
        <f>IF(BN68,1+SUMPRODUCT(--(calc!$BN$3:$BN$67=TRUE),--(calc!$BP$3:$BP$67&gt;BP68))+(SUMPRODUCT(--(calc!$BN$3:$BN$67=TRUE),--(calc!$BP$3:$BP$67=BP68))-1)/2,"")</f>
        <v/>
      </c>
      <c r="BU68" s="5">
        <f>IF(BN68,SUMPRODUCT(--(calc!$BN$3:$BN$67=TRUE),--(ROW(calc!$BN$3:$BN$67)&gt;ROW(BN68)),--(((calc!$BS$3:$BS$67&gt;BS68)*(calc!$BT$3:$BT$67&gt;BT68)+(calc!$BS$3:$BS$67&lt;BS68)*(calc!$BT$3:$BT$67&lt;BT68))&gt;0))-SUMPRODUCT(--(calc!$BN$3:$BN$67=TRUE),--(ROW(calc!$BN$3:$BN$67)&gt;ROW(BN68)),--(((calc!$BS$3:$BS$67&gt;BS68)*(calc!$BT$3:$BT$67&lt;BT68)+(calc!$BS$3:$BS$67&lt;BS68)*(calc!$BT$3:$BT$67&gt;BT68))&gt;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cols>
    <col width="34" customWidth="1" min="1" max="1"/>
    <col width="30" customWidth="1" min="2" max="2"/>
    <col width="12" customWidth="1" min="4" max="4"/>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KEY</t>
        </is>
      </c>
      <c r="B1" s="1" t="inlineStr">
        <is>
          <t>ref_name</t>
        </is>
      </c>
      <c r="C1" s="1" t="inlineStr">
        <is>
          <t>dis_name</t>
        </is>
      </c>
      <c r="D1" s="1" t="inlineStr">
        <is>
          <t>trc</t>
        </is>
      </c>
      <c r="E1" s="1" t="inlineStr">
        <is>
          <t>codec</t>
        </is>
      </c>
      <c r="F1" s="1" t="inlineStr">
        <is>
          <t>MOS</t>
        </is>
      </c>
      <c r="G1" s="1" t="inlineStr">
        <is>
          <t>PSNR_avg</t>
        </is>
      </c>
      <c r="H1" s="1" t="inlineStr">
        <is>
          <t>ColorVideoVDP</t>
        </is>
      </c>
      <c r="I1" s="1" t="inlineStr">
        <is>
          <t>VMAF</t>
        </is>
      </c>
      <c r="J1" s="1" t="inlineStr">
        <is>
          <t>WTPSNR</t>
        </is>
      </c>
      <c r="K1" s="1" t="inlineStr">
        <is>
          <t>DeltaE</t>
        </is>
      </c>
      <c r="L1" s="1" t="inlineStr">
        <is>
          <t>PSNR_L0100</t>
        </is>
      </c>
      <c r="M1" s="1" t="inlineStr">
        <is>
          <t>FDIM</t>
        </is>
      </c>
    </row>
    <row r="2">
      <c r="A2" s="2" t="inlineStr">
        <is>
          <t>Chimera13_1000nit.mp4|Chimera13_1000nit_AVS3_QP36.mp4|PQ|AVS</t>
        </is>
      </c>
      <c r="B2" s="2" t="inlineStr">
        <is>
          <t>Chimera13_1000nit.mp4</t>
        </is>
      </c>
      <c r="C2" s="2" t="inlineStr">
        <is>
          <t>Chimera13_1000nit_AVS3_QP36.mp4</t>
        </is>
      </c>
      <c r="D2" s="2" t="inlineStr">
        <is>
          <t>PQ</t>
        </is>
      </c>
      <c r="E2" s="2" t="inlineStr">
        <is>
          <t>AVS</t>
        </is>
      </c>
      <c r="F2" s="5" t="n">
        <v>4.41737983664931</v>
      </c>
      <c r="G2" s="5" t="n">
        <v>48.025987</v>
      </c>
      <c r="H2" s="5" t="n">
        <v>9.284972191</v>
      </c>
      <c r="I2" s="5" t="n">
        <v>94.64424</v>
      </c>
      <c r="J2" s="5" t="n">
        <v>148.579</v>
      </c>
      <c r="K2" s="5" t="n">
        <v>35.067</v>
      </c>
      <c r="L2" s="5" t="n">
        <v>39.027</v>
      </c>
      <c r="M2" s="5" t="n">
        <v>4.23235285161577</v>
      </c>
    </row>
    <row r="3">
      <c r="A3" s="2" t="inlineStr">
        <is>
          <t>Chimera13_1000nit.mp4|Chimera13_1000nit_AVS3_QP40.mp4|PQ|AVS</t>
        </is>
      </c>
      <c r="B3" s="2" t="inlineStr">
        <is>
          <t>Chimera13_1000nit.mp4</t>
        </is>
      </c>
      <c r="C3" s="2" t="inlineStr">
        <is>
          <t>Chimera13_1000nit_AVS3_QP40.mp4</t>
        </is>
      </c>
      <c r="D3" s="2" t="inlineStr">
        <is>
          <t>PQ</t>
        </is>
      </c>
      <c r="E3" s="2" t="inlineStr">
        <is>
          <t>AVS</t>
        </is>
      </c>
      <c r="F3" s="5" t="n">
        <v>4.41766528695161</v>
      </c>
      <c r="G3" s="5" t="n">
        <v>46.958387</v>
      </c>
      <c r="H3" s="5" t="n">
        <v>9.025635719</v>
      </c>
      <c r="I3" s="5" t="n">
        <v>91.30112800000001</v>
      </c>
      <c r="J3" s="5" t="n">
        <v>145.151</v>
      </c>
      <c r="K3" s="5" t="n">
        <v>34.579</v>
      </c>
      <c r="L3" s="5" t="n">
        <v>38.246</v>
      </c>
      <c r="M3" s="5" t="n">
        <v>3.929628562478817</v>
      </c>
    </row>
    <row r="4">
      <c r="A4" s="2" t="inlineStr">
        <is>
          <t>Chimera13_1000nit.mp4|Chimera13_1000nit_AVS3_QP44.mp4|PQ|AVS</t>
        </is>
      </c>
      <c r="B4" s="2" t="inlineStr">
        <is>
          <t>Chimera13_1000nit.mp4</t>
        </is>
      </c>
      <c r="C4" s="2" t="inlineStr">
        <is>
          <t>Chimera13_1000nit_AVS3_QP44.mp4</t>
        </is>
      </c>
      <c r="D4" s="2" t="inlineStr">
        <is>
          <t>PQ</t>
        </is>
      </c>
      <c r="E4" s="2" t="inlineStr">
        <is>
          <t>AVS</t>
        </is>
      </c>
      <c r="F4" s="5" t="n">
        <v>4.1304096783129</v>
      </c>
      <c r="G4" s="5" t="n">
        <v>45.869167</v>
      </c>
      <c r="H4" s="5" t="n">
        <v>8.688585281</v>
      </c>
      <c r="I4" s="5" t="n">
        <v>86.413977</v>
      </c>
      <c r="J4" s="5" t="n">
        <v>141.676</v>
      </c>
      <c r="K4" s="5" t="n">
        <v>34.091</v>
      </c>
      <c r="L4" s="5" t="n">
        <v>37.377</v>
      </c>
      <c r="M4" s="5" t="n">
        <v>3.517475969698713</v>
      </c>
    </row>
    <row r="5">
      <c r="A5" s="2" t="inlineStr">
        <is>
          <t>Chimera13_1000nit.mp4|Chimera13_1000nit_AVS3_QP48.mp4|PQ|AVS</t>
        </is>
      </c>
      <c r="B5" s="2" t="inlineStr">
        <is>
          <t>Chimera13_1000nit.mp4</t>
        </is>
      </c>
      <c r="C5" s="2" t="inlineStr">
        <is>
          <t>Chimera13_1000nit_AVS3_QP48.mp4</t>
        </is>
      </c>
      <c r="D5" s="2" t="inlineStr">
        <is>
          <t>PQ</t>
        </is>
      </c>
      <c r="E5" s="2" t="inlineStr">
        <is>
          <t>AVS</t>
        </is>
      </c>
      <c r="F5" s="5" t="n">
        <v>3.30157357892056</v>
      </c>
      <c r="G5" s="5" t="n">
        <v>44.68459</v>
      </c>
      <c r="H5" s="5" t="n">
        <v>8.314043045</v>
      </c>
      <c r="I5" s="5" t="n">
        <v>80.749852</v>
      </c>
      <c r="J5" s="5" t="n">
        <v>137.914</v>
      </c>
      <c r="K5" s="5" t="n">
        <v>33.562</v>
      </c>
      <c r="L5" s="5" t="n">
        <v>36.545</v>
      </c>
      <c r="M5" s="5" t="n">
        <v>3.074390673704132</v>
      </c>
    </row>
    <row r="6">
      <c r="A6" s="2" t="inlineStr">
        <is>
          <t>Chimera13_1000nit.mp4|Chimera13_1000nit_AlphaVC-P_QP1.mp4|PQ|AlphaVC-P</t>
        </is>
      </c>
      <c r="B6" s="2" t="inlineStr">
        <is>
          <t>Chimera13_1000nit.mp4</t>
        </is>
      </c>
      <c r="C6" s="2" t="inlineStr">
        <is>
          <t>Chimera13_1000nit_AlphaVC-P_QP1.mp4</t>
        </is>
      </c>
      <c r="D6" s="2" t="inlineStr">
        <is>
          <t>PQ</t>
        </is>
      </c>
      <c r="E6" s="2" t="inlineStr">
        <is>
          <t>AlphaVC-P</t>
        </is>
      </c>
      <c r="F6" s="5" t="n">
        <v>4.18467079861679</v>
      </c>
      <c r="G6" s="5" t="n">
        <v>46.849197</v>
      </c>
      <c r="H6" s="5" t="n">
        <v>9.313796043</v>
      </c>
      <c r="I6" s="5" t="n">
        <v>92.347301</v>
      </c>
      <c r="J6" s="5" t="n">
        <v>144.347</v>
      </c>
      <c r="K6" s="5" t="n">
        <v>33.817</v>
      </c>
      <c r="L6" s="5" t="n">
        <v>38.07</v>
      </c>
      <c r="M6" s="5" t="n">
        <v>4.444929360285429</v>
      </c>
    </row>
    <row r="7">
      <c r="A7" s="2" t="inlineStr">
        <is>
          <t>Chimera13_1000nit.mp4|Chimera13_1000nit_AlphaVC-P_QP2.mp4|PQ|AlphaVC-P</t>
        </is>
      </c>
      <c r="B7" s="2" t="inlineStr">
        <is>
          <t>Chimera13_1000nit.mp4</t>
        </is>
      </c>
      <c r="C7" s="2" t="inlineStr">
        <is>
          <t>Chimera13_1000nit_AlphaVC-P_QP2.mp4</t>
        </is>
      </c>
      <c r="D7" s="2" t="inlineStr">
        <is>
          <t>PQ</t>
        </is>
      </c>
      <c r="E7" s="2" t="inlineStr">
        <is>
          <t>AlphaVC-P</t>
        </is>
      </c>
      <c r="F7" s="5" t="n">
        <v>3.796691086546</v>
      </c>
      <c r="G7" s="5" t="n">
        <v>46.168953</v>
      </c>
      <c r="H7" s="5" t="n">
        <v>9.162547112</v>
      </c>
      <c r="I7" s="5" t="n">
        <v>89.482939</v>
      </c>
      <c r="J7" s="5" t="n">
        <v>142.307</v>
      </c>
      <c r="K7" s="5" t="n">
        <v>33.618</v>
      </c>
      <c r="L7" s="5" t="n">
        <v>37.651</v>
      </c>
      <c r="M7" s="5" t="n">
        <v>4.291637704885165</v>
      </c>
    </row>
    <row r="8">
      <c r="A8" s="2" t="inlineStr">
        <is>
          <t>Chimera13_1000nit.mp4|Chimera13_1000nit_AlphaVC-P_QP3.mp4|PQ|AlphaVC-P</t>
        </is>
      </c>
      <c r="B8" s="2" t="inlineStr">
        <is>
          <t>Chimera13_1000nit.mp4</t>
        </is>
      </c>
      <c r="C8" s="2" t="inlineStr">
        <is>
          <t>Chimera13_1000nit_AlphaVC-P_QP3.mp4</t>
        </is>
      </c>
      <c r="D8" s="2" t="inlineStr">
        <is>
          <t>PQ</t>
        </is>
      </c>
      <c r="E8" s="2" t="inlineStr">
        <is>
          <t>AlphaVC-P</t>
        </is>
      </c>
      <c r="F8" s="5" t="n">
        <v>3.33804846472788</v>
      </c>
      <c r="G8" s="5" t="n">
        <v>44.732023</v>
      </c>
      <c r="H8" s="5" t="n">
        <v>8.807581902000001</v>
      </c>
      <c r="I8" s="5" t="n">
        <v>84.074281</v>
      </c>
      <c r="J8" s="5" t="n">
        <v>138.005</v>
      </c>
      <c r="K8" s="5" t="n">
        <v>33.349</v>
      </c>
      <c r="L8" s="5" t="n">
        <v>36.717</v>
      </c>
      <c r="M8" s="5" t="n">
        <v>3.882433853902572</v>
      </c>
    </row>
    <row r="9">
      <c r="A9" s="2" t="inlineStr">
        <is>
          <t>Chimera13_1000nit.mp4|Chimera13_1000nit_AlphaVC-P_QP4.mp4|PQ|AlphaVC-P</t>
        </is>
      </c>
      <c r="B9" s="2" t="inlineStr">
        <is>
          <t>Chimera13_1000nit.mp4</t>
        </is>
      </c>
      <c r="C9" s="2" t="inlineStr">
        <is>
          <t>Chimera13_1000nit_AlphaVC-P_QP4.mp4</t>
        </is>
      </c>
      <c r="D9" s="2" t="inlineStr">
        <is>
          <t>PQ</t>
        </is>
      </c>
      <c r="E9" s="2" t="inlineStr">
        <is>
          <t>AlphaVC-P</t>
        </is>
      </c>
      <c r="F9" s="5" t="n">
        <v>2.90228495933356</v>
      </c>
      <c r="G9" s="5" t="n">
        <v>43.256132</v>
      </c>
      <c r="H9" s="5" t="n">
        <v>8.330446243000001</v>
      </c>
      <c r="I9" s="5" t="n">
        <v>76.94923799999999</v>
      </c>
      <c r="J9" s="5" t="n">
        <v>133.541</v>
      </c>
      <c r="K9" s="5" t="n">
        <v>32.967</v>
      </c>
      <c r="L9" s="5" t="n">
        <v>35.786</v>
      </c>
      <c r="M9" s="5" t="n">
        <v>3.310686832852784</v>
      </c>
    </row>
    <row r="10">
      <c r="A10" s="2" t="inlineStr">
        <is>
          <t>Chimera13_1000nit.mp4|Chimera13_1000nit_AlphaVC-P_QP5.mp4|PQ|AlphaVC-P</t>
        </is>
      </c>
      <c r="B10" s="2" t="inlineStr">
        <is>
          <t>Chimera13_1000nit.mp4</t>
        </is>
      </c>
      <c r="C10" s="2" t="inlineStr">
        <is>
          <t>Chimera13_1000nit_AlphaVC-P_QP5.mp4</t>
        </is>
      </c>
      <c r="D10" s="2" t="inlineStr">
        <is>
          <t>PQ</t>
        </is>
      </c>
      <c r="E10" s="2" t="inlineStr">
        <is>
          <t>AlphaVC-P</t>
        </is>
      </c>
      <c r="F10" s="5" t="n">
        <v>2.24023804977964</v>
      </c>
      <c r="G10" s="5" t="n">
        <v>41.643736</v>
      </c>
      <c r="H10" s="5" t="n">
        <v>7.659561157</v>
      </c>
      <c r="I10" s="5" t="n">
        <v>67.828813</v>
      </c>
      <c r="J10" s="5" t="n">
        <v>128.651</v>
      </c>
      <c r="K10" s="5" t="n">
        <v>32.427</v>
      </c>
      <c r="L10" s="5" t="n">
        <v>34.687</v>
      </c>
      <c r="M10" s="5" t="n">
        <v>2.605042280373367</v>
      </c>
    </row>
    <row r="11">
      <c r="A11" s="2" t="inlineStr">
        <is>
          <t>Chimera13_1000nit.mp4|Chimera13_1000nit_DCVC-RT_QP13.mp4|PQ|DCVC-RT</t>
        </is>
      </c>
      <c r="B11" s="2" t="inlineStr">
        <is>
          <t>Chimera13_1000nit.mp4</t>
        </is>
      </c>
      <c r="C11" s="2" t="inlineStr">
        <is>
          <t>Chimera13_1000nit_DCVC-RT_QP13.mp4</t>
        </is>
      </c>
      <c r="D11" s="2" t="inlineStr">
        <is>
          <t>PQ</t>
        </is>
      </c>
      <c r="E11" s="2" t="inlineStr">
        <is>
          <t>DCVC-RT</t>
        </is>
      </c>
      <c r="F11" s="5" t="n">
        <v>2.26946763297055</v>
      </c>
      <c r="G11" s="5" t="n">
        <v>42.435289</v>
      </c>
      <c r="H11" s="5" t="n">
        <v>7.349668503</v>
      </c>
      <c r="I11" s="5" t="n">
        <v>71.750423</v>
      </c>
      <c r="J11" s="5" t="n">
        <v>130.957</v>
      </c>
      <c r="K11" s="5" t="n">
        <v>32.747</v>
      </c>
      <c r="L11" s="5" t="n">
        <v>35.036</v>
      </c>
      <c r="M11" s="5" t="n">
        <v>2.449133156740349</v>
      </c>
    </row>
    <row r="12">
      <c r="A12" s="2" t="inlineStr">
        <is>
          <t>Chimera13_1000nit.mp4|Chimera13_1000nit_DCVC-RT_QP25.mp4|PQ|DCVC-RT</t>
        </is>
      </c>
      <c r="B12" s="2" t="inlineStr">
        <is>
          <t>Chimera13_1000nit.mp4</t>
        </is>
      </c>
      <c r="C12" s="2" t="inlineStr">
        <is>
          <t>Chimera13_1000nit_DCVC-RT_QP25.mp4</t>
        </is>
      </c>
      <c r="D12" s="2" t="inlineStr">
        <is>
          <t>PQ</t>
        </is>
      </c>
      <c r="E12" s="2" t="inlineStr">
        <is>
          <t>DCVC-RT</t>
        </is>
      </c>
      <c r="F12" s="5" t="n">
        <v>2.59692530590495</v>
      </c>
      <c r="G12" s="5" t="n">
        <v>44.473734</v>
      </c>
      <c r="H12" s="5" t="n">
        <v>8.168332100000001</v>
      </c>
      <c r="I12" s="5" t="n">
        <v>82.649784</v>
      </c>
      <c r="J12" s="5" t="n">
        <v>137.298</v>
      </c>
      <c r="K12" s="5" t="n">
        <v>33.648</v>
      </c>
      <c r="L12" s="5" t="n">
        <v>36.489</v>
      </c>
      <c r="M12" s="5" t="n">
        <v>3.126556080758233</v>
      </c>
    </row>
    <row r="13">
      <c r="A13" s="2" t="inlineStr">
        <is>
          <t>Chimera13_1000nit.mp4|Chimera13_1000nit_DCVC-RT_QP50.mp4|PQ|DCVC-RT</t>
        </is>
      </c>
      <c r="B13" s="2" t="inlineStr">
        <is>
          <t>Chimera13_1000nit.mp4</t>
        </is>
      </c>
      <c r="C13" s="2" t="inlineStr">
        <is>
          <t>Chimera13_1000nit_DCVC-RT_QP50.mp4</t>
        </is>
      </c>
      <c r="D13" s="2" t="inlineStr">
        <is>
          <t>PQ</t>
        </is>
      </c>
      <c r="E13" s="2" t="inlineStr">
        <is>
          <t>DCVC-RT</t>
        </is>
      </c>
      <c r="F13" s="5" t="n">
        <v>4.66765117928825</v>
      </c>
      <c r="G13" s="5" t="n">
        <v>48.043798</v>
      </c>
      <c r="H13" s="5" t="n">
        <v>9.225311279</v>
      </c>
      <c r="I13" s="5" t="n">
        <v>96.288472</v>
      </c>
      <c r="J13" s="5" t="n">
        <v>148.592</v>
      </c>
      <c r="K13" s="5" t="n">
        <v>35.078</v>
      </c>
      <c r="L13" s="5" t="n">
        <v>39.167</v>
      </c>
      <c r="M13" s="5" t="n">
        <v>4.241853042178482</v>
      </c>
    </row>
    <row r="14">
      <c r="A14" s="2" t="inlineStr">
        <is>
          <t>Chimera13_1000nit.mp4|Chimera13_1000nit_EEM_QP0.mp4|PQ|EEM</t>
        </is>
      </c>
      <c r="B14" s="2" t="inlineStr">
        <is>
          <t>Chimera13_1000nit.mp4</t>
        </is>
      </c>
      <c r="C14" s="2" t="inlineStr">
        <is>
          <t>Chimera13_1000nit_EEM_QP0.mp4</t>
        </is>
      </c>
      <c r="D14" s="2" t="inlineStr">
        <is>
          <t>PQ</t>
        </is>
      </c>
      <c r="E14" s="2" t="inlineStr">
        <is>
          <t>EEM</t>
        </is>
      </c>
      <c r="F14" s="5" t="n">
        <v>4.70603982524513</v>
      </c>
      <c r="G14" s="5" t="n">
        <v>48.132814</v>
      </c>
      <c r="H14" s="5" t="n">
        <v>9.309706688</v>
      </c>
      <c r="I14" s="5" t="n">
        <v>96.72148799999999</v>
      </c>
      <c r="J14" s="5" t="n">
        <v>148.642</v>
      </c>
      <c r="K14" s="5" t="n">
        <v>34.556</v>
      </c>
      <c r="L14" s="5" t="n">
        <v>38.901</v>
      </c>
      <c r="M14" s="5" t="n">
        <v>4.305471265985521</v>
      </c>
    </row>
    <row r="15">
      <c r="A15" s="2" t="inlineStr">
        <is>
          <t>Chimera13_1000nit.mp4|Chimera13_1000nit_EEM_QP1.mp4|PQ|EEM</t>
        </is>
      </c>
      <c r="B15" s="2" t="inlineStr">
        <is>
          <t>Chimera13_1000nit.mp4</t>
        </is>
      </c>
      <c r="C15" s="2" t="inlineStr">
        <is>
          <t>Chimera13_1000nit_EEM_QP1.mp4</t>
        </is>
      </c>
      <c r="D15" s="2" t="inlineStr">
        <is>
          <t>PQ</t>
        </is>
      </c>
      <c r="E15" s="2" t="inlineStr">
        <is>
          <t>EEM</t>
        </is>
      </c>
      <c r="F15" s="5" t="n">
        <v>3.73960252372435</v>
      </c>
      <c r="G15" s="5" t="n">
        <v>46.310077</v>
      </c>
      <c r="H15" s="5" t="n">
        <v>8.825772284999999</v>
      </c>
      <c r="I15" s="5" t="n">
        <v>91.738311</v>
      </c>
      <c r="J15" s="5" t="n">
        <v>142.88</v>
      </c>
      <c r="K15" s="5" t="n">
        <v>33.865</v>
      </c>
      <c r="L15" s="5" t="n">
        <v>37.66</v>
      </c>
      <c r="M15" s="5" t="n">
        <v>3.833464770591962</v>
      </c>
    </row>
    <row r="16">
      <c r="A16" s="2" t="inlineStr">
        <is>
          <t>Chimera13_1000nit.mp4|Chimera13_1000nit_EEM_QP2.mp4|PQ|EEM</t>
        </is>
      </c>
      <c r="B16" s="2" t="inlineStr">
        <is>
          <t>Chimera13_1000nit.mp4</t>
        </is>
      </c>
      <c r="C16" s="2" t="inlineStr">
        <is>
          <t>Chimera13_1000nit_EEM_QP2.mp4</t>
        </is>
      </c>
      <c r="D16" s="2" t="inlineStr">
        <is>
          <t>PQ</t>
        </is>
      </c>
      <c r="E16" s="2" t="inlineStr">
        <is>
          <t>EEM</t>
        </is>
      </c>
      <c r="F16" s="5" t="n">
        <v>3.99727644139647</v>
      </c>
      <c r="G16" s="5" t="n">
        <v>45.205878</v>
      </c>
      <c r="H16" s="5" t="n">
        <v>8.551535606</v>
      </c>
      <c r="I16" s="5" t="n">
        <v>88.18741799999999</v>
      </c>
      <c r="J16" s="5" t="n">
        <v>139.265</v>
      </c>
      <c r="K16" s="5" t="n">
        <v>33.002</v>
      </c>
      <c r="L16" s="5" t="n">
        <v>37.013</v>
      </c>
      <c r="M16" s="5" t="n">
        <v>3.5300549448971</v>
      </c>
    </row>
    <row r="17">
      <c r="A17" s="2" t="inlineStr">
        <is>
          <t>Chimera13_1000nit.mp4|Chimera13_1000nit_EEM_QP3.mp4|PQ|EEM</t>
        </is>
      </c>
      <c r="B17" s="2" t="inlineStr">
        <is>
          <t>Chimera13_1000nit.mp4</t>
        </is>
      </c>
      <c r="C17" s="2" t="inlineStr">
        <is>
          <t>Chimera13_1000nit_EEM_QP3.mp4</t>
        </is>
      </c>
      <c r="D17" s="2" t="inlineStr">
        <is>
          <t>PQ</t>
        </is>
      </c>
      <c r="E17" s="2" t="inlineStr">
        <is>
          <t>EEM</t>
        </is>
      </c>
      <c r="F17" s="5" t="n">
        <v>1.74307012692562</v>
      </c>
      <c r="G17" s="5" t="n">
        <v>42.181088</v>
      </c>
      <c r="H17" s="5" t="n">
        <v>7.725559235</v>
      </c>
      <c r="I17" s="5" t="n">
        <v>76.242065</v>
      </c>
      <c r="J17" s="5" t="n">
        <v>129.039</v>
      </c>
      <c r="K17" s="5" t="n">
        <v>30.478</v>
      </c>
      <c r="L17" s="5" t="n">
        <v>35.277</v>
      </c>
      <c r="M17" s="5" t="n">
        <v>2.700825705294875</v>
      </c>
    </row>
    <row r="18">
      <c r="A18" s="2" t="inlineStr">
        <is>
          <t>Chimera13_1000nit.mp4|Chimera13_1000nit_NNVC_QP22.mp4|PQ|NNVC</t>
        </is>
      </c>
      <c r="B18" s="2" t="inlineStr">
        <is>
          <t>Chimera13_1000nit.mp4</t>
        </is>
      </c>
      <c r="C18" s="2" t="inlineStr">
        <is>
          <t>Chimera13_1000nit_NNVC_QP22.mp4</t>
        </is>
      </c>
      <c r="D18" s="2" t="inlineStr">
        <is>
          <t>PQ</t>
        </is>
      </c>
      <c r="E18" s="2" t="inlineStr">
        <is>
          <t>NNVC</t>
        </is>
      </c>
      <c r="F18" s="5" t="n">
        <v>4.81060637440658</v>
      </c>
      <c r="G18" s="5" t="n">
        <v>50.633063</v>
      </c>
      <c r="H18" s="5" t="n">
        <v>9.803483009000001</v>
      </c>
      <c r="I18" s="5" t="n">
        <v>99.620818</v>
      </c>
      <c r="J18" s="5" t="n">
        <v>157.309</v>
      </c>
      <c r="K18" s="5" t="n">
        <v>36.503</v>
      </c>
      <c r="L18" s="5" t="n">
        <v>41.447</v>
      </c>
      <c r="M18" s="5" t="n">
        <v>4.649428424296898</v>
      </c>
    </row>
    <row r="19">
      <c r="A19" s="2" t="inlineStr">
        <is>
          <t>Chimera13_1000nit.mp4|Chimera13_1000nit_NNVC_QP27.mp4|PQ|NNVC</t>
        </is>
      </c>
      <c r="B19" s="2" t="inlineStr">
        <is>
          <t>Chimera13_1000nit.mp4</t>
        </is>
      </c>
      <c r="C19" s="2" t="inlineStr">
        <is>
          <t>Chimera13_1000nit_NNVC_QP27.mp4</t>
        </is>
      </c>
      <c r="D19" s="2" t="inlineStr">
        <is>
          <t>PQ</t>
        </is>
      </c>
      <c r="E19" s="2" t="inlineStr">
        <is>
          <t>NNVC</t>
        </is>
      </c>
      <c r="F19" s="5" t="n">
        <v>4.70101765067285</v>
      </c>
      <c r="G19" s="5" t="n">
        <v>49.201891</v>
      </c>
      <c r="H19" s="5" t="n">
        <v>9.626394272000001</v>
      </c>
      <c r="I19" s="5" t="n">
        <v>97.95628000000001</v>
      </c>
      <c r="J19" s="5" t="n">
        <v>152.655</v>
      </c>
      <c r="K19" s="5" t="n">
        <v>35.783</v>
      </c>
      <c r="L19" s="5" t="n">
        <v>40.353</v>
      </c>
      <c r="M19" s="5" t="n">
        <v>4.504733767642582</v>
      </c>
    </row>
    <row r="20">
      <c r="A20" s="2" t="inlineStr">
        <is>
          <t>Chimera13_1000nit.mp4|Chimera13_1000nit_NNVC_QP32.mp4|PQ|NNVC</t>
        </is>
      </c>
      <c r="B20" s="2" t="inlineStr">
        <is>
          <t>Chimera13_1000nit.mp4</t>
        </is>
      </c>
      <c r="C20" s="2" t="inlineStr">
        <is>
          <t>Chimera13_1000nit_NNVC_QP32.mp4</t>
        </is>
      </c>
      <c r="D20" s="2" t="inlineStr">
        <is>
          <t>PQ</t>
        </is>
      </c>
      <c r="E20" s="2" t="inlineStr">
        <is>
          <t>NNVC</t>
        </is>
      </c>
      <c r="F20" s="5" t="n">
        <v>4.4253004584659</v>
      </c>
      <c r="G20" s="5" t="n">
        <v>47.499853</v>
      </c>
      <c r="H20" s="5" t="n">
        <v>9.306391716</v>
      </c>
      <c r="I20" s="5" t="n">
        <v>94.42438799999999</v>
      </c>
      <c r="J20" s="5" t="n">
        <v>147.167</v>
      </c>
      <c r="K20" s="5" t="n">
        <v>35.01</v>
      </c>
      <c r="L20" s="5" t="n">
        <v>39.105</v>
      </c>
      <c r="M20" s="5" t="n">
        <v>4.185579605806528</v>
      </c>
    </row>
    <row r="21">
      <c r="A21" s="2" t="inlineStr">
        <is>
          <t>Chimera13_1000nit.mp4|Chimera13_1000nit_NNVC_QP42.mp4|PQ|NNVC</t>
        </is>
      </c>
      <c r="B21" s="2" t="inlineStr">
        <is>
          <t>Chimera13_1000nit.mp4</t>
        </is>
      </c>
      <c r="C21" s="2" t="inlineStr">
        <is>
          <t>Chimera13_1000nit_NNVC_QP42.mp4</t>
        </is>
      </c>
      <c r="D21" s="2" t="inlineStr">
        <is>
          <t>PQ</t>
        </is>
      </c>
      <c r="E21" s="2" t="inlineStr">
        <is>
          <t>NNVC</t>
        </is>
      </c>
      <c r="F21" s="5" t="n">
        <v>3.34123384974834</v>
      </c>
      <c r="G21" s="5" t="n">
        <v>43.750026</v>
      </c>
      <c r="H21" s="5" t="n">
        <v>8.238702774</v>
      </c>
      <c r="I21" s="5" t="n">
        <v>79.914282</v>
      </c>
      <c r="J21" s="5" t="n">
        <v>135.177</v>
      </c>
      <c r="K21" s="5" t="n">
        <v>33.083</v>
      </c>
      <c r="L21" s="5" t="n">
        <v>36.477</v>
      </c>
      <c r="M21" s="5" t="n">
        <v>2.985678286869469</v>
      </c>
    </row>
    <row r="22">
      <c r="A22" s="2" t="inlineStr">
        <is>
          <t>Chimera13_1000nit.mp4|Chimera13_1000nit_QP27_3316.mp4|PQ|LTM</t>
        </is>
      </c>
      <c r="B22" s="2" t="inlineStr">
        <is>
          <t>Chimera13_1000nit.mp4</t>
        </is>
      </c>
      <c r="C22" s="2" t="inlineStr">
        <is>
          <t>Chimera13_1000nit_QP27_3316.mp4</t>
        </is>
      </c>
      <c r="D22" s="2" t="inlineStr">
        <is>
          <t>PQ</t>
        </is>
      </c>
      <c r="E22" s="2" t="inlineStr">
        <is>
          <t>LTM</t>
        </is>
      </c>
      <c r="F22" s="5" t="n">
        <v>4.48529105448617</v>
      </c>
      <c r="G22" s="5" t="n">
        <v>46.772213</v>
      </c>
      <c r="H22" s="5" t="n">
        <v>9.173526764</v>
      </c>
      <c r="I22" s="5" t="n">
        <v>92.570939</v>
      </c>
      <c r="J22" s="5" t="n">
        <v>145.181</v>
      </c>
      <c r="K22" s="5" t="n">
        <v>34.966</v>
      </c>
      <c r="L22" s="5" t="n">
        <v>38.554</v>
      </c>
      <c r="M22" s="5" t="n">
        <v>3.954696882285331</v>
      </c>
    </row>
    <row r="23">
      <c r="A23" s="2" t="inlineStr">
        <is>
          <t>Chimera13_1000nit.mp4|Chimera13_1000nit_QP35_3856.mp4|PQ|LTM</t>
        </is>
      </c>
      <c r="B23" s="2" t="inlineStr">
        <is>
          <t>Chimera13_1000nit.mp4</t>
        </is>
      </c>
      <c r="C23" s="2" t="inlineStr">
        <is>
          <t>Chimera13_1000nit_QP35_3856.mp4</t>
        </is>
      </c>
      <c r="D23" s="2" t="inlineStr">
        <is>
          <t>PQ</t>
        </is>
      </c>
      <c r="E23" s="2" t="inlineStr">
        <is>
          <t>LTM</t>
        </is>
      </c>
      <c r="F23" s="5" t="n">
        <v>3.63460952897347</v>
      </c>
      <c r="G23" s="5" t="n">
        <v>44.480113</v>
      </c>
      <c r="H23" s="5" t="n">
        <v>8.280868529999999</v>
      </c>
      <c r="I23" s="5" t="n">
        <v>78.840807</v>
      </c>
      <c r="J23" s="5" t="n">
        <v>138.097</v>
      </c>
      <c r="K23" s="5" t="n">
        <v>34.103</v>
      </c>
      <c r="L23" s="5" t="n">
        <v>36.424</v>
      </c>
      <c r="M23" s="5" t="n">
        <v>2.92363331472971</v>
      </c>
    </row>
    <row r="24">
      <c r="A24" s="2" t="inlineStr">
        <is>
          <t>Chimera13_1000nit.mp4|Chimera13_1000nit_QP37_3991.mp4|PQ|LTM</t>
        </is>
      </c>
      <c r="B24" s="2" t="inlineStr">
        <is>
          <t>Chimera13_1000nit.mp4</t>
        </is>
      </c>
      <c r="C24" s="2" t="inlineStr">
        <is>
          <t>Chimera13_1000nit_QP37_3991.mp4</t>
        </is>
      </c>
      <c r="D24" s="2" t="inlineStr">
        <is>
          <t>PQ</t>
        </is>
      </c>
      <c r="E24" s="2" t="inlineStr">
        <is>
          <t>LTM</t>
        </is>
      </c>
      <c r="F24" s="5" t="n">
        <v>3.34383058318638</v>
      </c>
      <c r="G24" s="5" t="n">
        <v>43.679641</v>
      </c>
      <c r="H24" s="5" t="n">
        <v>7.977667332</v>
      </c>
      <c r="I24" s="5" t="n">
        <v>74.539348</v>
      </c>
      <c r="J24" s="5" t="n">
        <v>135.549</v>
      </c>
      <c r="K24" s="5" t="n">
        <v>33.719</v>
      </c>
      <c r="L24" s="5" t="n">
        <v>35.874</v>
      </c>
      <c r="M24" s="5" t="n">
        <v>2.629654380663128</v>
      </c>
    </row>
    <row r="25">
      <c r="A25" s="2" t="inlineStr">
        <is>
          <t>Chimera13_1000nit.mp4|Chimera13_1000nit_QP42_4329.mp4|PQ|LTM</t>
        </is>
      </c>
      <c r="B25" s="2" t="inlineStr">
        <is>
          <t>Chimera13_1000nit.mp4</t>
        </is>
      </c>
      <c r="C25" s="2" t="inlineStr">
        <is>
          <t>Chimera13_1000nit_QP42_4329.mp4</t>
        </is>
      </c>
      <c r="D25" s="2" t="inlineStr">
        <is>
          <t>PQ</t>
        </is>
      </c>
      <c r="E25" s="2" t="inlineStr">
        <is>
          <t>LTM</t>
        </is>
      </c>
      <c r="F25" s="5" t="n">
        <v>2.1361325415324</v>
      </c>
      <c r="G25" s="5" t="n">
        <v>42.238563</v>
      </c>
      <c r="H25" s="5" t="n">
        <v>7.149297714</v>
      </c>
      <c r="I25" s="5" t="n">
        <v>62.681388</v>
      </c>
      <c r="J25" s="5" t="n">
        <v>131.101</v>
      </c>
      <c r="K25" s="5" t="n">
        <v>33.087</v>
      </c>
      <c r="L25" s="5" t="n">
        <v>34.557</v>
      </c>
      <c r="M25" s="5" t="n">
        <v>2.013463131649393</v>
      </c>
    </row>
    <row r="26">
      <c r="A26" s="2" t="inlineStr">
        <is>
          <t>Chimera13_1000nit.mp4|Chimera13_1000nit_VTM_QP35.mp4|PQ|VTM</t>
        </is>
      </c>
      <c r="B26" s="2" t="inlineStr">
        <is>
          <t>Chimera13_1000nit.mp4</t>
        </is>
      </c>
      <c r="C26" s="2" t="inlineStr">
        <is>
          <t>Chimera13_1000nit_VTM_QP35.mp4</t>
        </is>
      </c>
      <c r="D26" s="2" t="inlineStr">
        <is>
          <t>PQ</t>
        </is>
      </c>
      <c r="E26" s="2" t="inlineStr">
        <is>
          <t>VTM</t>
        </is>
      </c>
      <c r="F26" s="5" t="n">
        <v>4.58057854439378</v>
      </c>
      <c r="G26" s="5" t="n">
        <v>46.694228</v>
      </c>
      <c r="H26" s="5" t="n">
        <v>8.947509766</v>
      </c>
      <c r="I26" s="5" t="n">
        <v>87.597317</v>
      </c>
      <c r="J26" s="5" t="n">
        <v>145.067</v>
      </c>
      <c r="K26" s="5" t="n">
        <v>35.057</v>
      </c>
      <c r="L26" s="5" t="n">
        <v>37.871</v>
      </c>
      <c r="M26" s="5" t="n">
        <v>3.671208450969425</v>
      </c>
    </row>
    <row r="27">
      <c r="A27" s="2" t="inlineStr">
        <is>
          <t>Chimera13_1000nit.mp4|Chimera13_1000nit_VTM_QP37.mp4|PQ|VTM</t>
        </is>
      </c>
      <c r="B27" s="2" t="inlineStr">
        <is>
          <t>Chimera13_1000nit.mp4</t>
        </is>
      </c>
      <c r="C27" s="2" t="inlineStr">
        <is>
          <t>Chimera13_1000nit_VTM_QP37.mp4</t>
        </is>
      </c>
      <c r="D27" s="2" t="inlineStr">
        <is>
          <t>PQ</t>
        </is>
      </c>
      <c r="E27" s="2" t="inlineStr">
        <is>
          <t>VTM</t>
        </is>
      </c>
      <c r="F27" s="5" t="n">
        <v>4.13212573221104</v>
      </c>
      <c r="G27" s="5" t="n">
        <v>45.895474</v>
      </c>
      <c r="H27" s="5" t="n">
        <v>8.703712463</v>
      </c>
      <c r="I27" s="5" t="n">
        <v>84.0633</v>
      </c>
      <c r="J27" s="5" t="n">
        <v>142.502</v>
      </c>
      <c r="K27" s="5" t="n">
        <v>34.657</v>
      </c>
      <c r="L27" s="5" t="n">
        <v>37.306</v>
      </c>
      <c r="M27" s="5" t="n">
        <v>3.376632178255025</v>
      </c>
    </row>
    <row r="28">
      <c r="A28" s="2" t="inlineStr">
        <is>
          <t>Chimera13_1000nit.mp4|Chimera13_1000nit_VTM_QP42.mp4|PQ|VTM</t>
        </is>
      </c>
      <c r="B28" s="2" t="inlineStr">
        <is>
          <t>Chimera13_1000nit.mp4</t>
        </is>
      </c>
      <c r="C28" s="2" t="inlineStr">
        <is>
          <t>Chimera13_1000nit_VTM_QP42.mp4</t>
        </is>
      </c>
      <c r="D28" s="2" t="inlineStr">
        <is>
          <t>PQ</t>
        </is>
      </c>
      <c r="E28" s="2" t="inlineStr">
        <is>
          <t>VTM</t>
        </is>
      </c>
      <c r="F28" s="5" t="n">
        <v>3.37630073203363</v>
      </c>
      <c r="G28" s="5" t="n">
        <v>44.441029</v>
      </c>
      <c r="H28" s="5" t="n">
        <v>8.034006119000001</v>
      </c>
      <c r="I28" s="5" t="n">
        <v>74.146801</v>
      </c>
      <c r="J28" s="5" t="n">
        <v>137.95</v>
      </c>
      <c r="K28" s="5" t="n">
        <v>34.029</v>
      </c>
      <c r="L28" s="5" t="n">
        <v>35.945</v>
      </c>
      <c r="M28" s="5" t="n">
        <v>2.674663566162521</v>
      </c>
    </row>
    <row r="29">
      <c r="A29" s="2" t="inlineStr">
        <is>
          <t>Chimera13_1000nit.mp4|Chimera13_1000nit_VTM_QP47.mp4|PQ|VTM</t>
        </is>
      </c>
      <c r="B29" s="2" t="inlineStr">
        <is>
          <t>Chimera13_1000nit.mp4</t>
        </is>
      </c>
      <c r="C29" s="2" t="inlineStr">
        <is>
          <t>Chimera13_1000nit_VTM_QP47.mp4</t>
        </is>
      </c>
      <c r="D29" s="2" t="inlineStr">
        <is>
          <t>PQ</t>
        </is>
      </c>
      <c r="E29" s="2" t="inlineStr">
        <is>
          <t>VTM</t>
        </is>
      </c>
      <c r="F29" s="5" t="n">
        <v>2.37658371727907</v>
      </c>
      <c r="G29" s="5" t="n">
        <v>42.822538</v>
      </c>
      <c r="H29" s="5" t="n">
        <v>7.187687874</v>
      </c>
      <c r="I29" s="5" t="n">
        <v>61.958812</v>
      </c>
      <c r="J29" s="5" t="n">
        <v>132.863</v>
      </c>
      <c r="K29" s="5" t="n">
        <v>33.172</v>
      </c>
      <c r="L29" s="5" t="n">
        <v>34.55</v>
      </c>
      <c r="M29" s="5" t="n">
        <v>2.00964963391044</v>
      </c>
    </row>
    <row r="30">
      <c r="A30" s="2" t="inlineStr">
        <is>
          <t>Chimera4_1000nit.mp4|Chimera4_1000nit_LCEVC_QP31.mp4|PQ|LTM</t>
        </is>
      </c>
      <c r="B30" s="2" t="inlineStr">
        <is>
          <t>Chimera4_1000nit.mp4</t>
        </is>
      </c>
      <c r="C30" s="2" t="inlineStr">
        <is>
          <t>Chimera4_1000nit_LCEVC_QP31.mp4</t>
        </is>
      </c>
      <c r="D30" s="2" t="inlineStr">
        <is>
          <t>PQ</t>
        </is>
      </c>
      <c r="E30" s="2" t="inlineStr">
        <is>
          <t>LTM</t>
        </is>
      </c>
      <c r="F30" s="5" t="n">
        <v>4.0252430431733</v>
      </c>
      <c r="G30" s="5" t="n">
        <v>42.598654</v>
      </c>
      <c r="H30" s="5" t="n">
        <v>7.437532425</v>
      </c>
      <c r="I30" s="5" t="n">
        <v>77.415487</v>
      </c>
      <c r="J30" s="5" t="n">
        <v>133.862</v>
      </c>
      <c r="K30" s="5" t="n">
        <v>32.723</v>
      </c>
      <c r="L30" s="5" t="n">
        <v>35.461</v>
      </c>
      <c r="M30" s="5" t="n">
        <v>3.391479953875717</v>
      </c>
    </row>
    <row r="31">
      <c r="A31" s="2" t="inlineStr">
        <is>
          <t>Chimera4_1000nit.mp4|Chimera4_1000nit_LCEVC_QP33.mp4|PQ|LTM</t>
        </is>
      </c>
      <c r="B31" s="2" t="inlineStr">
        <is>
          <t>Chimera4_1000nit.mp4</t>
        </is>
      </c>
      <c r="C31" s="2" t="inlineStr">
        <is>
          <t>Chimera4_1000nit_LCEVC_QP33.mp4</t>
        </is>
      </c>
      <c r="D31" s="2" t="inlineStr">
        <is>
          <t>PQ</t>
        </is>
      </c>
      <c r="E31" s="2" t="inlineStr">
        <is>
          <t>LTM</t>
        </is>
      </c>
      <c r="F31" s="5" t="n">
        <v>4.09866354155844</v>
      </c>
      <c r="G31" s="5" t="n">
        <v>42.088171</v>
      </c>
      <c r="H31" s="5" t="n">
        <v>6.887001991</v>
      </c>
      <c r="I31" s="5" t="n">
        <v>72.775794</v>
      </c>
      <c r="J31" s="5" t="n">
        <v>132.319</v>
      </c>
      <c r="K31" s="5" t="n">
        <v>32.502</v>
      </c>
      <c r="L31" s="5" t="n">
        <v>35.057</v>
      </c>
      <c r="M31" s="5" t="n">
        <v>3.022106422971934</v>
      </c>
    </row>
    <row r="32">
      <c r="A32" s="2" t="inlineStr">
        <is>
          <t>Chimera4_1000nit.mp4|Chimera4_1000nit_NNVC_QP35.mp4|PQ|NNVC</t>
        </is>
      </c>
      <c r="B32" s="2" t="inlineStr">
        <is>
          <t>Chimera4_1000nit.mp4</t>
        </is>
      </c>
      <c r="C32" s="2" t="inlineStr">
        <is>
          <t>Chimera4_1000nit_NNVC_QP35.mp4</t>
        </is>
      </c>
      <c r="D32" s="2" t="inlineStr">
        <is>
          <t>PQ</t>
        </is>
      </c>
      <c r="E32" s="2" t="inlineStr">
        <is>
          <t>NNVC</t>
        </is>
      </c>
      <c r="F32" s="5" t="n">
        <v>4.45966295227322</v>
      </c>
      <c r="G32" s="5" t="n">
        <v>43.45318</v>
      </c>
      <c r="H32" s="5" t="n">
        <v>8.30786705</v>
      </c>
      <c r="I32" s="5" t="n">
        <v>83.78681</v>
      </c>
      <c r="J32" s="5" t="n">
        <v>136.201</v>
      </c>
      <c r="K32" s="5" t="n">
        <v>32.957</v>
      </c>
      <c r="L32" s="5" t="n">
        <v>36.269</v>
      </c>
      <c r="M32" s="5" t="n">
        <v>3.899596919964871</v>
      </c>
    </row>
    <row r="33">
      <c r="A33" s="2" t="inlineStr">
        <is>
          <t>Chimera4_1000nit.mp4|Chimera4_1000nit_NNVC_QP37.mp4|PQ|NNVC</t>
        </is>
      </c>
      <c r="B33" s="2" t="inlineStr">
        <is>
          <t>Chimera4_1000nit.mp4</t>
        </is>
      </c>
      <c r="C33" s="2" t="inlineStr">
        <is>
          <t>Chimera4_1000nit_NNVC_QP37.mp4</t>
        </is>
      </c>
      <c r="D33" s="2" t="inlineStr">
        <is>
          <t>PQ</t>
        </is>
      </c>
      <c r="E33" s="2" t="inlineStr">
        <is>
          <t>NNVC</t>
        </is>
      </c>
      <c r="F33" s="5" t="n">
        <v>4.58791017467516</v>
      </c>
      <c r="G33" s="5" t="n">
        <v>42.61754</v>
      </c>
      <c r="H33" s="5" t="n">
        <v>7.854099274</v>
      </c>
      <c r="I33" s="5" t="n">
        <v>80.271862</v>
      </c>
      <c r="J33" s="5" t="n">
        <v>133.62</v>
      </c>
      <c r="K33" s="5" t="n">
        <v>32.537</v>
      </c>
      <c r="L33" s="5" t="n">
        <v>35.846</v>
      </c>
      <c r="M33" s="5" t="n">
        <v>3.59267483469249</v>
      </c>
    </row>
    <row r="34">
      <c r="A34" s="2" t="inlineStr">
        <is>
          <t>Chimera4_1000nit.mp4|Chimera4_1000nit_VTM_QP32.mp4|PQ|VTM</t>
        </is>
      </c>
      <c r="B34" s="2" t="inlineStr">
        <is>
          <t>Chimera4_1000nit.mp4</t>
        </is>
      </c>
      <c r="C34" s="2" t="inlineStr">
        <is>
          <t>Chimera4_1000nit_VTM_QP32.mp4</t>
        </is>
      </c>
      <c r="D34" s="2" t="inlineStr">
        <is>
          <t>PQ</t>
        </is>
      </c>
      <c r="E34" s="2" t="inlineStr">
        <is>
          <t>VTM</t>
        </is>
      </c>
      <c r="F34" s="5" t="n">
        <v>4.74998464079046</v>
      </c>
      <c r="G34" s="5" t="n">
        <v>44.350204</v>
      </c>
      <c r="H34" s="5" t="n">
        <v>8.579772949000001</v>
      </c>
      <c r="I34" s="5" t="n">
        <v>85.010312</v>
      </c>
      <c r="J34" s="5" t="n">
        <v>139.253</v>
      </c>
      <c r="K34" s="5" t="n">
        <v>33.55</v>
      </c>
      <c r="L34" s="5" t="n">
        <v>36.482</v>
      </c>
      <c r="M34" s="5" t="n">
        <v>4.054001685920836</v>
      </c>
    </row>
    <row r="35">
      <c r="A35" s="2" t="inlineStr">
        <is>
          <t>Chimera4_1000nit.mp4|Chimera4_1000nit_VTM_QP40.mp4|PQ|VTM</t>
        </is>
      </c>
      <c r="B35" s="2" t="inlineStr">
        <is>
          <t>Chimera4_1000nit.mp4</t>
        </is>
      </c>
      <c r="C35" s="2" t="inlineStr">
        <is>
          <t>Chimera4_1000nit_VTM_QP40.mp4</t>
        </is>
      </c>
      <c r="D35" s="2" t="inlineStr">
        <is>
          <t>PQ</t>
        </is>
      </c>
      <c r="E35" s="2" t="inlineStr">
        <is>
          <t>VTM</t>
        </is>
      </c>
      <c r="F35" s="5" t="n">
        <v>2.90992619182084</v>
      </c>
      <c r="G35" s="5" t="n">
        <v>42.255915</v>
      </c>
      <c r="H35" s="5" t="n">
        <v>6.490362167</v>
      </c>
      <c r="I35" s="5" t="n">
        <v>68.008836</v>
      </c>
      <c r="J35" s="5" t="n">
        <v>132.879</v>
      </c>
      <c r="K35" s="5" t="n">
        <v>32.639</v>
      </c>
      <c r="L35" s="5" t="n">
        <v>34.79</v>
      </c>
      <c r="M35" s="5" t="n">
        <v>2.762664500177395</v>
      </c>
    </row>
    <row r="36">
      <c r="A36" s="2" t="inlineStr">
        <is>
          <t>FlyingBirds.mp4|FlyingBirds_AVS3_QP36.mp4|PQ|AVS</t>
        </is>
      </c>
      <c r="B36" s="2" t="inlineStr">
        <is>
          <t>FlyingBirds.mp4</t>
        </is>
      </c>
      <c r="C36" s="2" t="inlineStr">
        <is>
          <t>FlyingBirds_AVS3_QP36.mp4</t>
        </is>
      </c>
      <c r="D36" s="2" t="inlineStr">
        <is>
          <t>PQ</t>
        </is>
      </c>
      <c r="E36" s="2" t="inlineStr">
        <is>
          <t>AVS</t>
        </is>
      </c>
      <c r="F36" s="5" t="n">
        <v>4.1496842039063</v>
      </c>
      <c r="G36" s="5" t="n">
        <v>48.222235</v>
      </c>
      <c r="H36" s="5" t="n">
        <v>8.947824477999999</v>
      </c>
      <c r="I36" s="5" t="n">
        <v>87.126476</v>
      </c>
      <c r="J36" s="5" t="n">
        <v>146.621</v>
      </c>
      <c r="K36" s="5" t="n">
        <v>35.912</v>
      </c>
      <c r="L36" s="5" t="n">
        <v>38.235</v>
      </c>
      <c r="M36" s="5" t="n">
        <v>4.187147272884408</v>
      </c>
    </row>
    <row r="37">
      <c r="A37" s="2" t="inlineStr">
        <is>
          <t>FlyingBirds.mp4|FlyingBirds_AVS3_QP40.mp4|PQ|AVS</t>
        </is>
      </c>
      <c r="B37" s="2" t="inlineStr">
        <is>
          <t>FlyingBirds.mp4</t>
        </is>
      </c>
      <c r="C37" s="2" t="inlineStr">
        <is>
          <t>FlyingBirds_AVS3_QP40.mp4</t>
        </is>
      </c>
      <c r="D37" s="2" t="inlineStr">
        <is>
          <t>PQ</t>
        </is>
      </c>
      <c r="E37" s="2" t="inlineStr">
        <is>
          <t>AVS</t>
        </is>
      </c>
      <c r="F37" s="5" t="n">
        <v>3.65526190054223</v>
      </c>
      <c r="G37" s="5" t="n">
        <v>47.238181</v>
      </c>
      <c r="H37" s="5" t="n">
        <v>8.591507912000001</v>
      </c>
      <c r="I37" s="5" t="n">
        <v>82.526948</v>
      </c>
      <c r="J37" s="5" t="n">
        <v>143.541</v>
      </c>
      <c r="K37" s="5" t="n">
        <v>35.416</v>
      </c>
      <c r="L37" s="5" t="n">
        <v>37.528</v>
      </c>
      <c r="M37" s="5" t="n">
        <v>3.860379736190581</v>
      </c>
    </row>
    <row r="38">
      <c r="A38" s="2" t="inlineStr">
        <is>
          <t>FlyingBirds.mp4|FlyingBirds_AVS3_QP44.mp4|PQ|AVS</t>
        </is>
      </c>
      <c r="B38" s="2" t="inlineStr">
        <is>
          <t>FlyingBirds.mp4</t>
        </is>
      </c>
      <c r="C38" s="2" t="inlineStr">
        <is>
          <t>FlyingBirds_AVS3_QP44.mp4</t>
        </is>
      </c>
      <c r="D38" s="2" t="inlineStr">
        <is>
          <t>PQ</t>
        </is>
      </c>
      <c r="E38" s="2" t="inlineStr">
        <is>
          <t>AVS</t>
        </is>
      </c>
      <c r="F38" s="5" t="n">
        <v>2.8580047916287</v>
      </c>
      <c r="G38" s="5" t="n">
        <v>46.224542</v>
      </c>
      <c r="H38" s="5" t="n">
        <v>8.124851227000001</v>
      </c>
      <c r="I38" s="5" t="n">
        <v>76.124403</v>
      </c>
      <c r="J38" s="5" t="n">
        <v>140.376</v>
      </c>
      <c r="K38" s="5" t="n">
        <v>34.898</v>
      </c>
      <c r="L38" s="5" t="n">
        <v>36.724</v>
      </c>
      <c r="M38" s="5" t="n">
        <v>3.385755377507604</v>
      </c>
    </row>
    <row r="39">
      <c r="A39" s="2" t="inlineStr">
        <is>
          <t>FlyingBirds.mp4|FlyingBirds_AVS3_QP48.mp4|PQ|AVS</t>
        </is>
      </c>
      <c r="B39" s="2" t="inlineStr">
        <is>
          <t>FlyingBirds.mp4</t>
        </is>
      </c>
      <c r="C39" s="2" t="inlineStr">
        <is>
          <t>FlyingBirds_AVS3_QP48.mp4</t>
        </is>
      </c>
      <c r="D39" s="2" t="inlineStr">
        <is>
          <t>PQ</t>
        </is>
      </c>
      <c r="E39" s="2" t="inlineStr">
        <is>
          <t>AVS</t>
        </is>
      </c>
      <c r="F39" s="5" t="n">
        <v>2.30521704636802</v>
      </c>
      <c r="G39" s="5" t="n">
        <v>45.232915</v>
      </c>
      <c r="H39" s="5" t="n">
        <v>7.63729763</v>
      </c>
      <c r="I39" s="5" t="n">
        <v>69.273695</v>
      </c>
      <c r="J39" s="5" t="n">
        <v>137.318</v>
      </c>
      <c r="K39" s="5" t="n">
        <v>34.388</v>
      </c>
      <c r="L39" s="5" t="n">
        <v>35.941</v>
      </c>
      <c r="M39" s="5" t="n">
        <v>2.858061688725764</v>
      </c>
    </row>
    <row r="40">
      <c r="A40" s="2" t="inlineStr">
        <is>
          <t>FlyingBirds.mp4|FlyingBirds_AlphaVC-P_QP0.mp4|PQ|AlphaVC-P</t>
        </is>
      </c>
      <c r="B40" s="2" t="inlineStr">
        <is>
          <t>FlyingBirds.mp4</t>
        </is>
      </c>
      <c r="C40" s="2" t="inlineStr">
        <is>
          <t>FlyingBirds_AlphaVC-P_QP0.mp4</t>
        </is>
      </c>
      <c r="D40" s="2" t="inlineStr">
        <is>
          <t>PQ</t>
        </is>
      </c>
      <c r="E40" s="2" t="inlineStr">
        <is>
          <t>AlphaVC-P</t>
        </is>
      </c>
      <c r="F40" s="5" t="n">
        <v>1.6686243212536</v>
      </c>
      <c r="G40" s="5" t="n">
        <v>46.575462</v>
      </c>
      <c r="H40" s="5" t="n">
        <v>8.632493973000001</v>
      </c>
      <c r="I40" s="5" t="n">
        <v>82.72355</v>
      </c>
      <c r="J40" s="5" t="n">
        <v>140.872</v>
      </c>
      <c r="K40" s="5" t="n">
        <v>34.52</v>
      </c>
      <c r="L40" s="5" t="n">
        <v>36.566</v>
      </c>
      <c r="M40" s="5" t="n">
        <v>4.216491618455851</v>
      </c>
    </row>
    <row r="41">
      <c r="A41" s="2" t="inlineStr">
        <is>
          <t>FlyingBirds.mp4|FlyingBirds_AlphaVC-P_QP2.mp4|PQ|AlphaVC-P</t>
        </is>
      </c>
      <c r="B41" s="2" t="inlineStr">
        <is>
          <t>FlyingBirds.mp4</t>
        </is>
      </c>
      <c r="C41" s="2" t="inlineStr">
        <is>
          <t>FlyingBirds_AlphaVC-P_QP2.mp4</t>
        </is>
      </c>
      <c r="D41" s="2" t="inlineStr">
        <is>
          <t>PQ</t>
        </is>
      </c>
      <c r="E41" s="2" t="inlineStr">
        <is>
          <t>AlphaVC-P</t>
        </is>
      </c>
      <c r="F41" s="5" t="n">
        <v>1.74171906064034</v>
      </c>
      <c r="G41" s="5" t="n">
        <v>44.867357</v>
      </c>
      <c r="H41" s="5" t="n">
        <v>8.077094078</v>
      </c>
      <c r="I41" s="5" t="n">
        <v>72.70026900000001</v>
      </c>
      <c r="J41" s="5" t="n">
        <v>135.829</v>
      </c>
      <c r="K41" s="5" t="n">
        <v>33.774</v>
      </c>
      <c r="L41" s="5" t="n">
        <v>35.74</v>
      </c>
      <c r="M41" s="5" t="n">
        <v>3.636647993958587</v>
      </c>
    </row>
    <row r="42">
      <c r="A42" s="2" t="inlineStr">
        <is>
          <t>FlyingBirds.mp4|FlyingBirds_AlphaVC-P_QP3.mp4|PQ|AlphaVC-P</t>
        </is>
      </c>
      <c r="B42" s="2" t="inlineStr">
        <is>
          <t>FlyingBirds.mp4</t>
        </is>
      </c>
      <c r="C42" s="2" t="inlineStr">
        <is>
          <t>FlyingBirds_AlphaVC-P_QP3.mp4</t>
        </is>
      </c>
      <c r="D42" s="2" t="inlineStr">
        <is>
          <t>PQ</t>
        </is>
      </c>
      <c r="E42" s="2" t="inlineStr">
        <is>
          <t>AlphaVC-P</t>
        </is>
      </c>
      <c r="F42" s="5" t="n">
        <v>1.19652957633118</v>
      </c>
      <c r="G42" s="5" t="n">
        <v>42.983106</v>
      </c>
      <c r="H42" s="5" t="n">
        <v>7.498318672</v>
      </c>
      <c r="I42" s="5" t="n">
        <v>64.876572</v>
      </c>
      <c r="J42" s="5" t="n">
        <v>130.346</v>
      </c>
      <c r="K42" s="5" t="n">
        <v>33.101</v>
      </c>
      <c r="L42" s="5" t="n">
        <v>34.749</v>
      </c>
      <c r="M42" s="5" t="n">
        <v>3.055951723927429</v>
      </c>
    </row>
    <row r="43">
      <c r="A43" s="2" t="inlineStr">
        <is>
          <t>FlyingBirds.mp4|FlyingBirds_DCVC-RT_QP25.mp4|PQ|DCVC-RT</t>
        </is>
      </c>
      <c r="B43" s="2" t="inlineStr">
        <is>
          <t>FlyingBirds.mp4</t>
        </is>
      </c>
      <c r="C43" s="2" t="inlineStr">
        <is>
          <t>FlyingBirds_DCVC-RT_QP25.mp4</t>
        </is>
      </c>
      <c r="D43" s="2" t="inlineStr">
        <is>
          <t>PQ</t>
        </is>
      </c>
      <c r="E43" s="2" t="inlineStr">
        <is>
          <t>DCVC-RT</t>
        </is>
      </c>
      <c r="F43" s="5" t="n">
        <v>2.90121499966551</v>
      </c>
      <c r="G43" s="5" t="n">
        <v>45.193498</v>
      </c>
      <c r="H43" s="5" t="n">
        <v>7.5082798</v>
      </c>
      <c r="I43" s="5" t="n">
        <v>66.567924</v>
      </c>
      <c r="J43" s="5" t="n">
        <v>137.181</v>
      </c>
      <c r="K43" s="5" t="n">
        <v>34.685</v>
      </c>
      <c r="L43" s="5" t="n">
        <v>35.957</v>
      </c>
      <c r="M43" s="5" t="n">
        <v>2.571554947486305</v>
      </c>
    </row>
    <row r="44">
      <c r="A44" s="2" t="inlineStr">
        <is>
          <t>FlyingBirds.mp4|FlyingBirds_DCVC-RT_QP38.mp4|PQ|DCVC-RT</t>
        </is>
      </c>
      <c r="B44" s="2" t="inlineStr">
        <is>
          <t>FlyingBirds.mp4</t>
        </is>
      </c>
      <c r="C44" s="2" t="inlineStr">
        <is>
          <t>FlyingBirds_DCVC-RT_QP38.mp4</t>
        </is>
      </c>
      <c r="D44" s="2" t="inlineStr">
        <is>
          <t>PQ</t>
        </is>
      </c>
      <c r="E44" s="2" t="inlineStr">
        <is>
          <t>DCVC-RT</t>
        </is>
      </c>
      <c r="F44" s="5" t="n">
        <v>3.89253366886738</v>
      </c>
      <c r="G44" s="5" t="n">
        <v>46.966664</v>
      </c>
      <c r="H44" s="5" t="n">
        <v>8.422480583</v>
      </c>
      <c r="I44" s="5" t="n">
        <v>80.15205400000001</v>
      </c>
      <c r="J44" s="5" t="n">
        <v>142.662</v>
      </c>
      <c r="K44" s="5" t="n">
        <v>35.5</v>
      </c>
      <c r="L44" s="5" t="n">
        <v>37.363</v>
      </c>
      <c r="M44" s="5" t="n">
        <v>3.57385890048944</v>
      </c>
    </row>
    <row r="45">
      <c r="A45" s="2" t="inlineStr">
        <is>
          <t>FlyingBirds.mp4|FlyingBirds_EEM_QP0.mp4|PQ|EEM</t>
        </is>
      </c>
      <c r="B45" s="2" t="inlineStr">
        <is>
          <t>FlyingBirds.mp4</t>
        </is>
      </c>
      <c r="C45" s="2" t="inlineStr">
        <is>
          <t>FlyingBirds_EEM_QP0.mp4</t>
        </is>
      </c>
      <c r="D45" s="2" t="inlineStr">
        <is>
          <t>PQ</t>
        </is>
      </c>
      <c r="E45" s="2" t="inlineStr">
        <is>
          <t>EEM</t>
        </is>
      </c>
      <c r="F45" s="5" t="n">
        <v>2.30433515667168</v>
      </c>
      <c r="G45" s="5" t="n">
        <v>47.933944</v>
      </c>
      <c r="H45" s="5" t="n">
        <v>8.965553284</v>
      </c>
      <c r="I45" s="5" t="n">
        <v>90.04282600000001</v>
      </c>
      <c r="J45" s="5" t="n">
        <v>144.873</v>
      </c>
      <c r="K45" s="5" t="n">
        <v>34.705</v>
      </c>
      <c r="L45" s="5" t="n">
        <v>37.39</v>
      </c>
      <c r="M45" s="5" t="n">
        <v>4.191700953298968</v>
      </c>
    </row>
    <row r="46">
      <c r="A46" s="2" t="inlineStr">
        <is>
          <t>FlyingBirds.mp4|FlyingBirds_EEM_QP1.mp4|PQ|EEM</t>
        </is>
      </c>
      <c r="B46" s="2" t="inlineStr">
        <is>
          <t>FlyingBirds.mp4</t>
        </is>
      </c>
      <c r="C46" s="2" t="inlineStr">
        <is>
          <t>FlyingBirds_EEM_QP1.mp4</t>
        </is>
      </c>
      <c r="D46" s="2" t="inlineStr">
        <is>
          <t>PQ</t>
        </is>
      </c>
      <c r="E46" s="2" t="inlineStr">
        <is>
          <t>EEM</t>
        </is>
      </c>
      <c r="F46" s="5" t="n">
        <v>1.66311537095635</v>
      </c>
      <c r="G46" s="5" t="n">
        <v>45.948831</v>
      </c>
      <c r="H46" s="5" t="n">
        <v>8.131654739</v>
      </c>
      <c r="I46" s="5" t="n">
        <v>82.00172999999999</v>
      </c>
      <c r="J46" s="5" t="n">
        <v>138.675</v>
      </c>
      <c r="K46" s="5" t="n">
        <v>33.972</v>
      </c>
      <c r="L46" s="5" t="n">
        <v>36.094</v>
      </c>
      <c r="M46" s="5" t="n">
        <v>3.611064477289313</v>
      </c>
    </row>
    <row r="47">
      <c r="A47" s="2" t="inlineStr">
        <is>
          <t>FlyingBirds.mp4|FlyingBirds_EEM_QP2.mp4|PQ|EEM</t>
        </is>
      </c>
      <c r="B47" s="2" t="inlineStr">
        <is>
          <t>FlyingBirds.mp4</t>
        </is>
      </c>
      <c r="C47" s="2" t="inlineStr">
        <is>
          <t>FlyingBirds_EEM_QP2.mp4</t>
        </is>
      </c>
      <c r="D47" s="2" t="inlineStr">
        <is>
          <t>PQ</t>
        </is>
      </c>
      <c r="E47" s="2" t="inlineStr">
        <is>
          <t>EEM</t>
        </is>
      </c>
      <c r="F47" s="5" t="n">
        <v>1.4063548248207</v>
      </c>
      <c r="G47" s="5" t="n">
        <v>44.822855</v>
      </c>
      <c r="H47" s="5" t="n">
        <v>7.695939064</v>
      </c>
      <c r="I47" s="5" t="n">
        <v>76.60040100000001</v>
      </c>
      <c r="J47" s="5" t="n">
        <v>135.008</v>
      </c>
      <c r="K47" s="5" t="n">
        <v>33.235</v>
      </c>
      <c r="L47" s="5" t="n">
        <v>35.467</v>
      </c>
      <c r="M47" s="5" t="n">
        <v>3.190534422888703</v>
      </c>
    </row>
    <row r="48">
      <c r="A48" s="2" t="inlineStr">
        <is>
          <t>FlyingBirds.mp4|FlyingBirds_EEM_QP3.mp4|PQ|EEM</t>
        </is>
      </c>
      <c r="B48" s="2" t="inlineStr">
        <is>
          <t>FlyingBirds.mp4</t>
        </is>
      </c>
      <c r="C48" s="2" t="inlineStr">
        <is>
          <t>FlyingBirds_EEM_QP3.mp4</t>
        </is>
      </c>
      <c r="D48" s="2" t="inlineStr">
        <is>
          <t>PQ</t>
        </is>
      </c>
      <c r="E48" s="2" t="inlineStr">
        <is>
          <t>EEM</t>
        </is>
      </c>
      <c r="F48" s="5" t="n">
        <v>0.953737816432181</v>
      </c>
      <c r="G48" s="5" t="n">
        <v>41.705831</v>
      </c>
      <c r="H48" s="5" t="n">
        <v>6.299559593</v>
      </c>
      <c r="I48" s="5" t="n">
        <v>62.156854</v>
      </c>
      <c r="J48" s="5" t="n">
        <v>124.806</v>
      </c>
      <c r="K48" s="5" t="n">
        <v>31.017</v>
      </c>
      <c r="L48" s="5" t="n">
        <v>33.679</v>
      </c>
      <c r="M48" s="5" t="n">
        <v>2.241744003468236</v>
      </c>
    </row>
    <row r="49">
      <c r="A49" s="2" t="inlineStr">
        <is>
          <t>FlyingBirds.mp4|FlyingBirds_NNVC_QP32.mp4|PQ|NNVC</t>
        </is>
      </c>
      <c r="B49" s="2" t="inlineStr">
        <is>
          <t>FlyingBirds.mp4</t>
        </is>
      </c>
      <c r="C49" s="2" t="inlineStr">
        <is>
          <t>FlyingBirds_NNVC_QP32.mp4</t>
        </is>
      </c>
      <c r="D49" s="2" t="inlineStr">
        <is>
          <t>PQ</t>
        </is>
      </c>
      <c r="E49" s="2" t="inlineStr">
        <is>
          <t>NNVC</t>
        </is>
      </c>
      <c r="F49" s="5" t="n">
        <v>4.69246019727326</v>
      </c>
      <c r="G49" s="5" t="n">
        <v>47.550194</v>
      </c>
      <c r="H49" s="5" t="n">
        <v>8.915079116999999</v>
      </c>
      <c r="I49" s="5" t="n">
        <v>86.433953</v>
      </c>
      <c r="J49" s="5" t="n">
        <v>144.689</v>
      </c>
      <c r="K49" s="5" t="n">
        <v>35.568</v>
      </c>
      <c r="L49" s="5" t="n">
        <v>38.393</v>
      </c>
      <c r="M49" s="5" t="n">
        <v>4.141258014374753</v>
      </c>
    </row>
    <row r="50">
      <c r="A50" s="2" t="inlineStr">
        <is>
          <t>FlyingBirds.mp4|FlyingBirds_NNVC_QP42.mp4|PQ|NNVC</t>
        </is>
      </c>
      <c r="B50" s="2" t="inlineStr">
        <is>
          <t>FlyingBirds.mp4</t>
        </is>
      </c>
      <c r="C50" s="2" t="inlineStr">
        <is>
          <t>FlyingBirds_NNVC_QP42.mp4</t>
        </is>
      </c>
      <c r="D50" s="2" t="inlineStr">
        <is>
          <t>PQ</t>
        </is>
      </c>
      <c r="E50" s="2" t="inlineStr">
        <is>
          <t>NNVC</t>
        </is>
      </c>
      <c r="F50" s="5" t="n">
        <v>3.4312902519053</v>
      </c>
      <c r="G50" s="5" t="n">
        <v>44.194025</v>
      </c>
      <c r="H50" s="5" t="n">
        <v>7.55418396</v>
      </c>
      <c r="I50" s="5" t="n">
        <v>67.281474</v>
      </c>
      <c r="J50" s="5" t="n">
        <v>134.034</v>
      </c>
      <c r="K50" s="5" t="n">
        <v>33.683</v>
      </c>
      <c r="L50" s="5" t="n">
        <v>36.083</v>
      </c>
      <c r="M50" s="5" t="n">
        <v>2.704267444887576</v>
      </c>
    </row>
    <row r="51">
      <c r="A51" s="2" t="inlineStr">
        <is>
          <t>FlyingBirds.mp4|FlyingBirds_QP32_3653.mp4|PQ|LTM</t>
        </is>
      </c>
      <c r="B51" s="2" t="inlineStr">
        <is>
          <t>FlyingBirds.mp4</t>
        </is>
      </c>
      <c r="C51" s="2" t="inlineStr">
        <is>
          <t>FlyingBirds_QP32_3653.mp4</t>
        </is>
      </c>
      <c r="D51" s="2" t="inlineStr">
        <is>
          <t>PQ</t>
        </is>
      </c>
      <c r="E51" s="2" t="inlineStr">
        <is>
          <t>LTM</t>
        </is>
      </c>
      <c r="F51" s="5" t="n">
        <v>4.4747784812293</v>
      </c>
      <c r="G51" s="5" t="n">
        <v>45.947112</v>
      </c>
      <c r="H51" s="5" t="n">
        <v>7.934253693</v>
      </c>
      <c r="I51" s="5" t="n">
        <v>73.244381</v>
      </c>
      <c r="J51" s="5" t="n">
        <v>140.046</v>
      </c>
      <c r="K51" s="5" t="n">
        <v>35.235</v>
      </c>
      <c r="L51" s="5" t="n">
        <v>36.605</v>
      </c>
      <c r="M51" s="5" t="n">
        <v>3.119082368251337</v>
      </c>
    </row>
    <row r="52">
      <c r="A52" s="2" t="inlineStr">
        <is>
          <t>FlyingBirds.mp4|FlyingBirds_QP35_3856.mp4|PQ|LTM</t>
        </is>
      </c>
      <c r="B52" s="2" t="inlineStr">
        <is>
          <t>FlyingBirds.mp4</t>
        </is>
      </c>
      <c r="C52" s="2" t="inlineStr">
        <is>
          <t>FlyingBirds_QP35_3856.mp4</t>
        </is>
      </c>
      <c r="D52" s="2" t="inlineStr">
        <is>
          <t>PQ</t>
        </is>
      </c>
      <c r="E52" s="2" t="inlineStr">
        <is>
          <t>LTM</t>
        </is>
      </c>
      <c r="F52" s="5" t="n">
        <v>3.6907486729626</v>
      </c>
      <c r="G52" s="5" t="n">
        <v>45.311396</v>
      </c>
      <c r="H52" s="5" t="n">
        <v>7.490245819</v>
      </c>
      <c r="I52" s="5" t="n">
        <v>66.415446</v>
      </c>
      <c r="J52" s="5" t="n">
        <v>138.134</v>
      </c>
      <c r="K52" s="5" t="n">
        <v>34.892</v>
      </c>
      <c r="L52" s="5" t="n">
        <v>35.968</v>
      </c>
      <c r="M52" s="5" t="n">
        <v>2.64599297060316</v>
      </c>
    </row>
    <row r="53">
      <c r="A53" s="2" t="inlineStr">
        <is>
          <t>FlyingBirds.mp4|FlyingBirds_QP37_3991.mp4|PQ|LTM</t>
        </is>
      </c>
      <c r="B53" s="2" t="inlineStr">
        <is>
          <t>FlyingBirds.mp4</t>
        </is>
      </c>
      <c r="C53" s="2" t="inlineStr">
        <is>
          <t>FlyingBirds_QP37_3991.mp4</t>
        </is>
      </c>
      <c r="D53" s="2" t="inlineStr">
        <is>
          <t>PQ</t>
        </is>
      </c>
      <c r="E53" s="2" t="inlineStr">
        <is>
          <t>LTM</t>
        </is>
      </c>
      <c r="F53" s="5" t="n">
        <v>3.01919627648008</v>
      </c>
      <c r="G53" s="5" t="n">
        <v>44.786105</v>
      </c>
      <c r="H53" s="5" t="n">
        <v>7.15015173</v>
      </c>
      <c r="I53" s="5" t="n">
        <v>61.083257</v>
      </c>
      <c r="J53" s="5" t="n">
        <v>136.564</v>
      </c>
      <c r="K53" s="5" t="n">
        <v>34.619</v>
      </c>
      <c r="L53" s="5" t="n">
        <v>35.505</v>
      </c>
      <c r="M53" s="5" t="n">
        <v>2.334364982481882</v>
      </c>
    </row>
    <row r="54">
      <c r="A54" s="2" t="inlineStr">
        <is>
          <t>FlyingBirds.mp4|FlyingBirds_QP42_4329.mp4|PQ|LTM</t>
        </is>
      </c>
      <c r="B54" s="2" t="inlineStr">
        <is>
          <t>FlyingBirds.mp4</t>
        </is>
      </c>
      <c r="C54" s="2" t="inlineStr">
        <is>
          <t>FlyingBirds_QP42_4329.mp4</t>
        </is>
      </c>
      <c r="D54" s="2" t="inlineStr">
        <is>
          <t>PQ</t>
        </is>
      </c>
      <c r="E54" s="2" t="inlineStr">
        <is>
          <t>LTM</t>
        </is>
      </c>
      <c r="F54" s="5" t="n">
        <v>1.95813875366037</v>
      </c>
      <c r="G54" s="5" t="n">
        <v>43.709823</v>
      </c>
      <c r="H54" s="5" t="n">
        <v>6.314435959</v>
      </c>
      <c r="I54" s="5" t="n">
        <v>47.200068</v>
      </c>
      <c r="J54" s="5" t="n">
        <v>133.324</v>
      </c>
      <c r="K54" s="5" t="n">
        <v>33.951</v>
      </c>
      <c r="L54" s="5" t="n">
        <v>34.478</v>
      </c>
      <c r="M54" s="5" t="n">
        <v>1.798266406241013</v>
      </c>
    </row>
    <row r="55">
      <c r="A55" s="2" t="inlineStr">
        <is>
          <t>FlyingBirds.mp4|FlyingBirds_VTM_QP32.mp4|PQ|VTM</t>
        </is>
      </c>
      <c r="B55" s="2" t="inlineStr">
        <is>
          <t>FlyingBirds.mp4</t>
        </is>
      </c>
      <c r="C55" s="2" t="inlineStr">
        <is>
          <t>FlyingBirds_VTM_QP32.mp4</t>
        </is>
      </c>
      <c r="D55" s="2" t="inlineStr">
        <is>
          <t>PQ</t>
        </is>
      </c>
      <c r="E55" s="2" t="inlineStr">
        <is>
          <t>VTM</t>
        </is>
      </c>
      <c r="F55" s="5" t="n">
        <v>4.53449371895007</v>
      </c>
      <c r="G55" s="5" t="n">
        <v>47.985557</v>
      </c>
      <c r="H55" s="5" t="n">
        <v>8.70321846</v>
      </c>
      <c r="I55" s="5" t="n">
        <v>83.251909</v>
      </c>
      <c r="J55" s="5" t="n">
        <v>146.436</v>
      </c>
      <c r="K55" s="5" t="n">
        <v>36.029</v>
      </c>
      <c r="L55" s="5" t="n">
        <v>37.902</v>
      </c>
      <c r="M55" s="5" t="n">
        <v>3.98828714580684</v>
      </c>
    </row>
    <row r="56">
      <c r="A56" s="2" t="inlineStr">
        <is>
          <t>FlyingBirds.mp4|FlyingBirds_VTM_QP35.mp4|PQ|VTM</t>
        </is>
      </c>
      <c r="B56" s="2" t="inlineStr">
        <is>
          <t>FlyingBirds.mp4</t>
        </is>
      </c>
      <c r="C56" s="2" t="inlineStr">
        <is>
          <t>FlyingBirds_VTM_QP35.mp4</t>
        </is>
      </c>
      <c r="D56" s="2" t="inlineStr">
        <is>
          <t>PQ</t>
        </is>
      </c>
      <c r="E56" s="2" t="inlineStr">
        <is>
          <t>VTM</t>
        </is>
      </c>
      <c r="F56" s="5" t="n">
        <v>4.29835181970482</v>
      </c>
      <c r="G56" s="5" t="n">
        <v>47.278055</v>
      </c>
      <c r="H56" s="5" t="n">
        <v>8.321463585</v>
      </c>
      <c r="I56" s="5" t="n">
        <v>78.105092</v>
      </c>
      <c r="J56" s="5" t="n">
        <v>144.274</v>
      </c>
      <c r="K56" s="5" t="n">
        <v>35.655</v>
      </c>
      <c r="L56" s="5" t="n">
        <v>37.174</v>
      </c>
      <c r="M56" s="5" t="n">
        <v>3.617972150981425</v>
      </c>
    </row>
    <row r="57">
      <c r="A57" s="2" t="inlineStr">
        <is>
          <t>FlyingBirds.mp4|FlyingBirds_VTM_QP37.mp4|PQ|VTM</t>
        </is>
      </c>
      <c r="B57" s="2" t="inlineStr">
        <is>
          <t>FlyingBirds.mp4</t>
        </is>
      </c>
      <c r="C57" s="2" t="inlineStr">
        <is>
          <t>FlyingBirds_VTM_QP37.mp4</t>
        </is>
      </c>
      <c r="D57" s="2" t="inlineStr">
        <is>
          <t>PQ</t>
        </is>
      </c>
      <c r="E57" s="2" t="inlineStr">
        <is>
          <t>VTM</t>
        </is>
      </c>
      <c r="F57" s="5" t="n">
        <v>3.56818648965047</v>
      </c>
      <c r="G57" s="5" t="n">
        <v>46.688941</v>
      </c>
      <c r="H57" s="5" t="n">
        <v>8.027534485</v>
      </c>
      <c r="I57" s="5" t="n">
        <v>73.90782</v>
      </c>
      <c r="J57" s="5" t="n">
        <v>142.499</v>
      </c>
      <c r="K57" s="5" t="n">
        <v>35.372</v>
      </c>
      <c r="L57" s="5" t="n">
        <v>36.684</v>
      </c>
      <c r="M57" s="5" t="n">
        <v>3.293056641916937</v>
      </c>
    </row>
    <row r="58">
      <c r="A58" s="2" t="inlineStr">
        <is>
          <t>FlyingBirds.mp4|FlyingBirds_VTM_QP42.mp4|PQ|VTM</t>
        </is>
      </c>
      <c r="B58" s="2" t="inlineStr">
        <is>
          <t>FlyingBirds.mp4</t>
        </is>
      </c>
      <c r="C58" s="2" t="inlineStr">
        <is>
          <t>FlyingBirds_VTM_QP42.mp4</t>
        </is>
      </c>
      <c r="D58" s="2" t="inlineStr">
        <is>
          <t>PQ</t>
        </is>
      </c>
      <c r="E58" s="2" t="inlineStr">
        <is>
          <t>VTM</t>
        </is>
      </c>
      <c r="F58" s="5" t="n">
        <v>3.03621731110649</v>
      </c>
      <c r="G58" s="5" t="n">
        <v>45.457934</v>
      </c>
      <c r="H58" s="5" t="n">
        <v>7.253332138</v>
      </c>
      <c r="I58" s="5" t="n">
        <v>62.114092</v>
      </c>
      <c r="J58" s="5" t="n">
        <v>138.74</v>
      </c>
      <c r="K58" s="5" t="n">
        <v>34.681</v>
      </c>
      <c r="L58" s="5" t="n">
        <v>35.479</v>
      </c>
      <c r="M58" s="5" t="n">
        <v>2.477104509344602</v>
      </c>
    </row>
    <row r="59">
      <c r="A59" s="2" t="inlineStr">
        <is>
          <t>Smithy1_1000nit.mp4|Smithy1_1000nit_LCEVC_QP27.mp4|PQ|LTM</t>
        </is>
      </c>
      <c r="B59" s="2" t="inlineStr">
        <is>
          <t>Smithy1_1000nit.mp4</t>
        </is>
      </c>
      <c r="C59" s="2" t="inlineStr">
        <is>
          <t>Smithy1_1000nit_LCEVC_QP27.mp4</t>
        </is>
      </c>
      <c r="D59" s="2" t="inlineStr">
        <is>
          <t>PQ</t>
        </is>
      </c>
      <c r="E59" s="2" t="inlineStr">
        <is>
          <t>LTM</t>
        </is>
      </c>
      <c r="F59" s="5" t="n">
        <v>4.7681894931429</v>
      </c>
      <c r="G59" s="5" t="n">
        <v>42.113291</v>
      </c>
      <c r="H59" s="5" t="n">
        <v>7.687962532</v>
      </c>
      <c r="I59" s="5" t="n">
        <v>86.68174999999999</v>
      </c>
      <c r="J59" s="5" t="n">
        <v>127.115</v>
      </c>
      <c r="K59" s="5" t="n">
        <v>32.805</v>
      </c>
      <c r="L59" s="5" t="n">
        <v>33.36</v>
      </c>
      <c r="M59" s="5" t="n">
        <v>4.031144207505143</v>
      </c>
    </row>
    <row r="60">
      <c r="A60" s="2" t="inlineStr">
        <is>
          <t>Smithy1_1000nit.mp4|Smithy1_1000nit_NNVC_QP37.mp4|PQ|NNVC</t>
        </is>
      </c>
      <c r="B60" s="2" t="inlineStr">
        <is>
          <t>Smithy1_1000nit.mp4</t>
        </is>
      </c>
      <c r="C60" s="2" t="inlineStr">
        <is>
          <t>Smithy1_1000nit_NNVC_QP37.mp4</t>
        </is>
      </c>
      <c r="D60" s="2" t="inlineStr">
        <is>
          <t>PQ</t>
        </is>
      </c>
      <c r="E60" s="2" t="inlineStr">
        <is>
          <t>NNVC</t>
        </is>
      </c>
      <c r="F60" s="5" t="n">
        <v>4.44691148014259</v>
      </c>
      <c r="G60" s="5" t="n">
        <v>40.758551</v>
      </c>
      <c r="H60" s="5" t="n">
        <v>7.067364693</v>
      </c>
      <c r="I60" s="5" t="n">
        <v>81.14328500000001</v>
      </c>
      <c r="J60" s="5" t="n">
        <v>122.629</v>
      </c>
      <c r="K60" s="5" t="n">
        <v>32.218</v>
      </c>
      <c r="L60" s="5" t="n">
        <v>33.083</v>
      </c>
      <c r="M60" s="5" t="n">
        <v>3.820285478218835</v>
      </c>
    </row>
    <row r="61">
      <c r="A61" s="2" t="inlineStr">
        <is>
          <t>Smithy1_1000nit.mp4|Smithy1_1000nit_VTM_QP27.mp4|PQ|VTM</t>
        </is>
      </c>
      <c r="B61" s="2" t="inlineStr">
        <is>
          <t>Smithy1_1000nit.mp4</t>
        </is>
      </c>
      <c r="C61" s="2" t="inlineStr">
        <is>
          <t>Smithy1_1000nit_VTM_QP27.mp4</t>
        </is>
      </c>
      <c r="D61" s="2" t="inlineStr">
        <is>
          <t>PQ</t>
        </is>
      </c>
      <c r="E61" s="2" t="inlineStr">
        <is>
          <t>VTM</t>
        </is>
      </c>
      <c r="F61" s="5" t="n">
        <v>4.89121593513734</v>
      </c>
      <c r="G61" s="5" t="n">
        <v>45.354214</v>
      </c>
      <c r="H61" s="5" t="n">
        <v>9.062156677000001</v>
      </c>
      <c r="I61" s="5" t="n">
        <v>93.453183</v>
      </c>
      <c r="J61" s="5" t="n">
        <v>137.48</v>
      </c>
      <c r="K61" s="5" t="n">
        <v>34.33</v>
      </c>
      <c r="L61" s="5" t="n">
        <v>35.994</v>
      </c>
      <c r="M61" s="5" t="n">
        <v>4.565652118044346</v>
      </c>
    </row>
    <row r="62">
      <c r="A62" s="2" t="inlineStr">
        <is>
          <t>Smithy1_1000nit.mp4|Smithy1_1000nit_VTM_QP40.mp4|PQ|VTM</t>
        </is>
      </c>
      <c r="B62" s="2" t="inlineStr">
        <is>
          <t>Smithy1_1000nit.mp4</t>
        </is>
      </c>
      <c r="C62" s="2" t="inlineStr">
        <is>
          <t>Smithy1_1000nit_VTM_QP40.mp4</t>
        </is>
      </c>
      <c r="D62" s="2" t="inlineStr">
        <is>
          <t>PQ</t>
        </is>
      </c>
      <c r="E62" s="2" t="inlineStr">
        <is>
          <t>VTM</t>
        </is>
      </c>
      <c r="F62" s="5" t="n">
        <v>4.49162144846813</v>
      </c>
      <c r="G62" s="5" t="n">
        <v>41.036247</v>
      </c>
      <c r="H62" s="5" t="n">
        <v>5.691660881</v>
      </c>
      <c r="I62" s="5" t="n">
        <v>72.625513</v>
      </c>
      <c r="J62" s="5" t="n">
        <v>124.131</v>
      </c>
      <c r="K62" s="5" t="n">
        <v>32.021</v>
      </c>
      <c r="L62" s="5" t="n">
        <v>31.97</v>
      </c>
      <c r="M62" s="5" t="n">
        <v>2.97572161805887</v>
      </c>
    </row>
    <row r="63">
      <c r="A63" s="2" t="inlineStr">
        <is>
          <t>Sparks2_1000nit.mp4|Sparks2_1000nit_LCEVC_QP25.mp4|PQ|LTM</t>
        </is>
      </c>
      <c r="B63" s="2" t="inlineStr">
        <is>
          <t>Sparks2_1000nit.mp4</t>
        </is>
      </c>
      <c r="C63" s="2" t="inlineStr">
        <is>
          <t>Sparks2_1000nit_LCEVC_QP25.mp4</t>
        </is>
      </c>
      <c r="D63" s="2" t="inlineStr">
        <is>
          <t>PQ</t>
        </is>
      </c>
      <c r="E63" s="2" t="inlineStr">
        <is>
          <t>LTM</t>
        </is>
      </c>
      <c r="F63" s="5" t="n">
        <v>4.45833690198457</v>
      </c>
      <c r="G63" s="5" t="n">
        <v>43.090608</v>
      </c>
      <c r="H63" s="5" t="n">
        <v>8.656132698</v>
      </c>
      <c r="I63" s="5" t="n">
        <v>83.594461</v>
      </c>
      <c r="J63" s="5" t="n">
        <v>136.295</v>
      </c>
      <c r="K63" s="5" t="n">
        <v>33.813</v>
      </c>
      <c r="L63" s="5" t="n">
        <v>37.838</v>
      </c>
      <c r="M63" s="5" t="n">
        <v>3.798355108775317</v>
      </c>
    </row>
    <row r="64">
      <c r="A64" s="2" t="inlineStr">
        <is>
          <t>Sparks2_1000nit.mp4|Sparks2_1000nit_NNVC_QP35.mp4|PQ|NNVC</t>
        </is>
      </c>
      <c r="B64" s="2" t="inlineStr">
        <is>
          <t>Sparks2_1000nit.mp4</t>
        </is>
      </c>
      <c r="C64" s="2" t="inlineStr">
        <is>
          <t>Sparks2_1000nit_NNVC_QP35.mp4</t>
        </is>
      </c>
      <c r="D64" s="2" t="inlineStr">
        <is>
          <t>PQ</t>
        </is>
      </c>
      <c r="E64" s="2" t="inlineStr">
        <is>
          <t>NNVC</t>
        </is>
      </c>
      <c r="F64" s="5" t="n">
        <v>4.45824134554992</v>
      </c>
      <c r="G64" s="5" t="n">
        <v>42.523944</v>
      </c>
      <c r="H64" s="5" t="n">
        <v>8.091535567999999</v>
      </c>
      <c r="I64" s="5" t="n">
        <v>78.60065</v>
      </c>
      <c r="J64" s="5" t="n">
        <v>134.126</v>
      </c>
      <c r="K64" s="5" t="n">
        <v>33.401</v>
      </c>
      <c r="L64" s="5" t="n">
        <v>37.436</v>
      </c>
      <c r="M64" s="5" t="n">
        <v>3.429059900052834</v>
      </c>
    </row>
    <row r="65">
      <c r="A65" s="2" t="inlineStr">
        <is>
          <t>Sparks2_1000nit.mp4|Sparks2_1000nit_NNVC_QP37.mp4|PQ|NNVC</t>
        </is>
      </c>
      <c r="B65" s="2" t="inlineStr">
        <is>
          <t>Sparks2_1000nit.mp4</t>
        </is>
      </c>
      <c r="C65" s="2" t="inlineStr">
        <is>
          <t>Sparks2_1000nit_NNVC_QP37.mp4</t>
        </is>
      </c>
      <c r="D65" s="2" t="inlineStr">
        <is>
          <t>PQ</t>
        </is>
      </c>
      <c r="E65" s="2" t="inlineStr">
        <is>
          <t>NNVC</t>
        </is>
      </c>
      <c r="F65" s="5" t="n">
        <v>3.82761750018357</v>
      </c>
      <c r="G65" s="5" t="n">
        <v>41.953019</v>
      </c>
      <c r="H65" s="5" t="n">
        <v>7.676650047</v>
      </c>
      <c r="I65" s="5" t="n">
        <v>74.39140399999999</v>
      </c>
      <c r="J65" s="5" t="n">
        <v>132.236</v>
      </c>
      <c r="K65" s="5" t="n">
        <v>33.11</v>
      </c>
      <c r="L65" s="5" t="n">
        <v>37.05</v>
      </c>
      <c r="M65" s="5" t="n">
        <v>3.040622134065257</v>
      </c>
    </row>
    <row r="66">
      <c r="A66" s="2" t="inlineStr">
        <is>
          <t>Sparks2_1000nit.mp4|Sparks2_1000nit_VTM_QP22.mp4|PQ|VTM</t>
        </is>
      </c>
      <c r="B66" s="2" t="inlineStr">
        <is>
          <t>Sparks2_1000nit.mp4</t>
        </is>
      </c>
      <c r="C66" s="2" t="inlineStr">
        <is>
          <t>Sparks2_1000nit_VTM_QP22.mp4</t>
        </is>
      </c>
      <c r="D66" s="2" t="inlineStr">
        <is>
          <t>PQ</t>
        </is>
      </c>
      <c r="E66" s="2" t="inlineStr">
        <is>
          <t>VTM</t>
        </is>
      </c>
      <c r="F66" s="5" t="n">
        <v>4.79051995485047</v>
      </c>
      <c r="G66" s="5" t="n">
        <v>44.912528</v>
      </c>
      <c r="H66" s="5" t="n">
        <v>9.614721297999999</v>
      </c>
      <c r="I66" s="5" t="n">
        <v>93.01511000000001</v>
      </c>
      <c r="J66" s="5" t="n">
        <v>142.458</v>
      </c>
      <c r="K66" s="5" t="n">
        <v>34.714</v>
      </c>
      <c r="L66" s="5" t="n">
        <v>39.246</v>
      </c>
      <c r="M66" s="5" t="n">
        <v>4.483747629910281</v>
      </c>
    </row>
    <row r="67">
      <c r="A67" s="2" t="inlineStr">
        <is>
          <t>Sparks2_1000nit.mp4|Sparks2_1000nit_VTM_QP35.mp4|PQ|VTM</t>
        </is>
      </c>
      <c r="B67" s="2" t="inlineStr">
        <is>
          <t>Sparks2_1000nit.mp4</t>
        </is>
      </c>
      <c r="C67" s="2" t="inlineStr">
        <is>
          <t>Sparks2_1000nit_VTM_QP35.mp4</t>
        </is>
      </c>
      <c r="D67" s="2" t="inlineStr">
        <is>
          <t>PQ</t>
        </is>
      </c>
      <c r="E67" s="2" t="inlineStr">
        <is>
          <t>VTM</t>
        </is>
      </c>
      <c r="F67" s="5" t="n">
        <v>4.19007697499409</v>
      </c>
      <c r="G67" s="5" t="n">
        <v>42.631508</v>
      </c>
      <c r="H67" s="5" t="n">
        <v>7.791589737</v>
      </c>
      <c r="I67" s="5" t="n">
        <v>73.042699</v>
      </c>
      <c r="J67" s="5" t="n">
        <v>134.824</v>
      </c>
      <c r="K67" s="5" t="n">
        <v>33.724</v>
      </c>
      <c r="L67" s="5" t="n">
        <v>37.001</v>
      </c>
      <c r="M67" s="5" t="n">
        <v>3.090049057974713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5" customWidth="1" min="1" max="1"/>
    <col width="60" customWidth="1" min="2" max="2"/>
  </cols>
  <sheetData>
    <row r="1">
      <c r="A1" s="1" t="inlineStr">
        <is>
          <t>MOS-objective metric correlation workbook v0.2 (6 baseline FR operators)</t>
        </is>
      </c>
    </row>
    <row r="2">
      <c r="A2" s="2" t="inlineStr">
        <is>
          <t>用于HDR-VQA验证集，共 66 行视频、6 列客观模型（PSNR、ColorVideoVDP、VMAF、wPSNR、DeltaE、PSNRL100）。</t>
        </is>
      </c>
    </row>
    <row r="4">
      <c r="A4" s="2" t="inlineStr">
        <is>
          <t>用法</t>
        </is>
      </c>
      <c r="B4" s="2" t="inlineStr">
        <is>
          <t xml:space="preserve">将模型预测分数贴进Sheet "mos_metrics"的对应列里, 则Sheet "correlation"会自动计算该模型分数列与MOS列的相关性 </t>
        </is>
      </c>
    </row>
    <row r="5">
      <c r="B5" s="2" t="inlineStr">
        <is>
          <t>Sheet "calc" 是用于计算的中间结果表，无需修改</t>
        </is>
      </c>
    </row>
    <row r="7">
      <c r="A7" s="2" t="inlineStr">
        <is>
          <t>表格计算方式</t>
        </is>
      </c>
      <c r="B7" s="2" t="inlineStr">
        <is>
          <t>Sheet "correlation"中的ref_name和codec控制用于选择使用哪些源序列和编码器对应的视频序列参与相关性计算，将其值设为1则代表参与计算，全为1则代表使用全部序列计算</t>
        </is>
      </c>
    </row>
    <row r="8">
      <c r="B8" s="2" t="inlineStr">
        <is>
          <t>PLCC 和 RMSE计算前仅做一次线性拟合， Slope和Intercept是拟合参数。</t>
        </is>
      </c>
    </row>
    <row r="9">
      <c r="B9" s="2" t="inlineStr">
        <is>
          <t>Direction列代表客观模型分数与MOS分数的方向是否一致，值为1代表分数越大质量越好（与MOS含义一致），值为-1则相反（DeltaE为-1）。</t>
        </is>
      </c>
    </row>
    <row r="11">
      <c r="A11" s="2" t="inlineStr">
        <is>
          <t>包含的模型列:</t>
        </is>
      </c>
      <c r="B11" s="2" t="inlineStr">
        <is>
          <t>PSNR_avg, ColorVideoVDP, VMAF, WTPSNR, DeltaE, PSNR_L0100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2026-07-21T12:52:18Z</dcterms:created>
  <dcterms:modified xmlns:dcterms="http://purl.org/dc/terms/" xmlns:xsi="http://www.w3.org/2001/XMLSchema-instance" xsi:type="dcterms:W3CDTF">2026-07-29T16:10:51Z</dcterms:modified>
</cp:coreProperties>
</file>