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lation" sheetId="1" state="visible" r:id="rId1"/>
    <sheet xmlns:r="http://schemas.openxmlformats.org/officeDocument/2006/relationships" name="calc" sheetId="2" state="visible" r:id="rId2"/>
    <sheet xmlns:r="http://schemas.openxmlformats.org/officeDocument/2006/relationships" name="mos_metrics" sheetId="3" state="visible" r:id="rId3"/>
    <sheet xmlns:r="http://schemas.openxmlformats.org/officeDocument/2006/relationships" name="README"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Times New Roman"/>
      <b val="1"/>
      <color rgb="FFFFFFFF"/>
      <sz val="11"/>
    </font>
    <font>
      <name val="Times New Roman"/>
      <sz val="11"/>
    </font>
    <font>
      <name val="Times New Roman"/>
      <b val="1"/>
      <sz val="11"/>
    </font>
  </fonts>
  <fills count="5">
    <fill>
      <patternFill/>
    </fill>
    <fill>
      <patternFill patternType="gray125"/>
    </fill>
    <fill>
      <patternFill patternType="solid">
        <fgColor rgb="FF24415F"/>
      </patternFill>
    </fill>
    <fill>
      <patternFill patternType="solid">
        <fgColor rgb="FFD9EAF7"/>
      </patternFill>
    </fill>
    <fill>
      <patternFill patternType="solid">
        <fgColor rgb="FF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3" fillId="4"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28" customWidth="1" min="1" max="1"/>
    <col width="12" customWidth="1" min="2" max="2"/>
    <col width="14" customWidth="1" min="5" max="5"/>
    <col width="15.9" customWidth="1" min="8" max="8"/>
    <col width="7.9" customWidth="1" min="9" max="9"/>
    <col width="10.6" customWidth="1" min="10" max="10"/>
    <col width="8.9" customWidth="1" min="11" max="11"/>
  </cols>
  <sheetData>
    <row r="1">
      <c r="A1" s="1" t="inlineStr">
        <is>
          <t>ref_name</t>
        </is>
      </c>
      <c r="B1" s="1" t="inlineStr">
        <is>
          <t>Use</t>
        </is>
      </c>
      <c r="D1" s="1" t="inlineStr">
        <is>
          <t>codec</t>
        </is>
      </c>
      <c r="E1" s="1" t="inlineStr">
        <is>
          <t>Use</t>
        </is>
      </c>
    </row>
    <row r="2">
      <c r="A2" s="2" t="inlineStr">
        <is>
          <t>Buildings2.mp4</t>
        </is>
      </c>
      <c r="B2" s="2" t="n">
        <v>1</v>
      </c>
      <c r="D2" s="2" t="inlineStr">
        <is>
          <t>AVS</t>
        </is>
      </c>
      <c r="E2" s="2" t="n">
        <v>1</v>
      </c>
    </row>
    <row r="3">
      <c r="A3" s="2" t="inlineStr">
        <is>
          <t>Chimera13_1000nit.mp4</t>
        </is>
      </c>
      <c r="B3" s="2" t="n">
        <v>1</v>
      </c>
      <c r="D3" s="2" t="inlineStr">
        <is>
          <t>DCVC-RT</t>
        </is>
      </c>
      <c r="E3" s="2" t="n">
        <v>1</v>
      </c>
    </row>
    <row r="4">
      <c r="A4" s="2" t="inlineStr">
        <is>
          <t>Chimera2_1000nit.mp4</t>
        </is>
      </c>
      <c r="B4" s="2" t="n">
        <v>1</v>
      </c>
      <c r="D4" s="2" t="inlineStr">
        <is>
          <t>EEM</t>
        </is>
      </c>
      <c r="E4" s="2" t="n">
        <v>1</v>
      </c>
    </row>
    <row r="5">
      <c r="A5" s="2" t="inlineStr">
        <is>
          <t>Chimera3_1000nit.mp4</t>
        </is>
      </c>
      <c r="B5" s="2" t="n">
        <v>1</v>
      </c>
      <c r="D5" s="2" t="inlineStr">
        <is>
          <t>LTM</t>
        </is>
      </c>
      <c r="E5" s="2" t="n">
        <v>1</v>
      </c>
    </row>
    <row r="6">
      <c r="A6" s="2" t="inlineStr">
        <is>
          <t>Chimera4_1000nit.mp4</t>
        </is>
      </c>
      <c r="B6" s="2" t="n">
        <v>1</v>
      </c>
      <c r="D6" s="2" t="inlineStr">
        <is>
          <t>NNVC</t>
        </is>
      </c>
      <c r="E6" s="2" t="n">
        <v>1</v>
      </c>
    </row>
    <row r="7">
      <c r="A7" s="2" t="inlineStr">
        <is>
          <t>Coffee1.mp4</t>
        </is>
      </c>
      <c r="B7" s="2" t="n">
        <v>1</v>
      </c>
      <c r="D7" s="2" t="inlineStr">
        <is>
          <t>VTM</t>
        </is>
      </c>
      <c r="E7" s="2" t="n">
        <v>1</v>
      </c>
    </row>
    <row r="8">
      <c r="A8" s="2" t="inlineStr">
        <is>
          <t>DroneShowEnding.mp4</t>
        </is>
      </c>
      <c r="B8" s="2" t="n">
        <v>1</v>
      </c>
      <c r="D8" s="2" t="inlineStr">
        <is>
          <t>AlphaVC-P</t>
        </is>
      </c>
      <c r="E8" s="2" t="n">
        <v>1</v>
      </c>
    </row>
    <row r="9">
      <c r="A9" s="2" t="inlineStr">
        <is>
          <t>FlyingBirds.mp4</t>
        </is>
      </c>
      <c r="B9" s="2" t="n">
        <v>1</v>
      </c>
    </row>
    <row r="10">
      <c r="A10" s="2" t="inlineStr">
        <is>
          <t>Football1_1000nit.mp4</t>
        </is>
      </c>
      <c r="B10" s="2" t="n">
        <v>1</v>
      </c>
    </row>
    <row r="11">
      <c r="A11" s="2" t="inlineStr">
        <is>
          <t>Fountain2.mp4</t>
        </is>
      </c>
      <c r="B11" s="2" t="n">
        <v>1</v>
      </c>
    </row>
    <row r="12">
      <c r="A12" s="2" t="inlineStr">
        <is>
          <t>Nocturne1_1000nit.mp4</t>
        </is>
      </c>
      <c r="B12" s="2" t="n">
        <v>1</v>
      </c>
    </row>
    <row r="13">
      <c r="A13" s="2" t="inlineStr">
        <is>
          <t>Smithy1_1000nit.mp4</t>
        </is>
      </c>
      <c r="B13" s="2" t="n">
        <v>1</v>
      </c>
    </row>
    <row r="14">
      <c r="A14" s="2" t="inlineStr">
        <is>
          <t>Sparks2_1000nit.mp4</t>
        </is>
      </c>
      <c r="B14" s="2" t="n">
        <v>1</v>
      </c>
    </row>
    <row r="15">
      <c r="A15" s="2" t="inlineStr">
        <is>
          <t>Sparks3_1000nit.mp4</t>
        </is>
      </c>
      <c r="B15" s="2" t="n">
        <v>1</v>
      </c>
    </row>
    <row r="16">
      <c r="A16" s="2" t="inlineStr">
        <is>
          <t>TeaStall.mp4</t>
        </is>
      </c>
      <c r="B16" s="2" t="n">
        <v>1</v>
      </c>
    </row>
    <row r="18">
      <c r="A18" s="3" t="inlineStr">
        <is>
          <t>Statistics</t>
        </is>
      </c>
      <c r="B18" s="3" t="inlineStr">
        <is>
          <t>Value</t>
        </is>
      </c>
    </row>
    <row r="19">
      <c r="A19" s="2" t="inlineStr">
        <is>
          <t># videos</t>
        </is>
      </c>
      <c r="B19" s="2" t="n">
        <v>305</v>
      </c>
    </row>
    <row r="20">
      <c r="A20" s="2" t="inlineStr">
        <is>
          <t># metrics</t>
        </is>
      </c>
      <c r="B20" s="2" t="n">
        <v>6</v>
      </c>
    </row>
    <row r="21">
      <c r="A21" s="2" t="inlineStr">
        <is>
          <t># rows with MOS</t>
        </is>
      </c>
      <c r="B21" s="2">
        <f>COUNT(mos_metrics!$F$2:$F$306)</f>
        <v/>
      </c>
    </row>
    <row r="22">
      <c r="A22" s="2" t="inlineStr">
        <is>
          <t># rows included by controls</t>
        </is>
      </c>
      <c r="B22" s="2">
        <f>SUMPRODUCT(--(calc!$J$3:$J$306=TRUE))</f>
        <v/>
      </c>
    </row>
    <row r="23">
      <c r="A23" s="2" t="inlineStr">
        <is>
          <t># source metric columns</t>
        </is>
      </c>
      <c r="B23" s="2" t="n">
        <v>6</v>
      </c>
    </row>
    <row r="25">
      <c r="A25" s="4" t="inlineStr">
        <is>
          <t>Metric</t>
        </is>
      </c>
      <c r="B25" s="4" t="inlineStr">
        <is>
          <t>PLCC</t>
        </is>
      </c>
      <c r="C25" s="4" t="inlineStr">
        <is>
          <t>SROCC</t>
        </is>
      </c>
      <c r="D25" s="4" t="inlineStr">
        <is>
          <t>KROCC</t>
        </is>
      </c>
      <c r="E25" s="4" t="inlineStr">
        <is>
          <t>RMSE</t>
        </is>
      </c>
      <c r="F25" s="4" t="inlineStr">
        <is>
          <t>Slope</t>
        </is>
      </c>
      <c r="G25" s="4" t="inlineStr">
        <is>
          <t>Intercept</t>
        </is>
      </c>
      <c r="H25" s="4" t="inlineStr">
        <is>
          <t>Nonblank source</t>
        </is>
      </c>
      <c r="I25" s="4" t="inlineStr">
        <is>
          <t>Use</t>
        </is>
      </c>
      <c r="J25" s="4" t="inlineStr">
        <is>
          <t>Direction</t>
        </is>
      </c>
      <c r="K25" s="4" t="inlineStr">
        <is>
          <t>N</t>
        </is>
      </c>
    </row>
    <row r="26">
      <c r="A26" s="2">
        <f>mos_metrics!G$1</f>
        <v/>
      </c>
      <c r="B26" s="5">
        <f>IF($K26&gt;=2,IFERROR(CORREL(calc!$M$3:$M$306,calc!$O$3:$O$306),""),"")</f>
        <v/>
      </c>
      <c r="C26" s="5">
        <f>IF($K26&gt;=2,IFERROR(CORREL(calc!$Q$3:$Q$306,calc!$R$3:$R$306),""),"")</f>
        <v/>
      </c>
      <c r="D26" s="5">
        <f>IF($K26&gt;=2,IFERROR(SUM(calc!$S$3:$S$306)/SQRT((($K26*($K26-1)/2)-(SUMPRODUCT(--(calc!$L$3:$L$306=TRUE),COUNTIF(calc!$Q$3:$Q$306,calc!$Q$3:$Q$306)-1)/2))*(($K26*($K26-1)/2)-(SUMPRODUCT(--(calc!$L$3:$L$306=TRUE),COUNTIF(calc!$R$3:$R$306,calc!$R$3:$R$306)-1)/2))),""),"")</f>
        <v/>
      </c>
      <c r="E26" s="5">
        <f>IF($K26&gt;=2,IFERROR(SQRT(SUM(calc!$P$3:$P$306)/$K26),""),"")</f>
        <v/>
      </c>
      <c r="F26" s="5">
        <f>IF($K26&gt;=2,IFERROR(SLOPE(calc!$M$3:$M$306,calc!$N$3:$N$306),""),"")</f>
        <v/>
      </c>
      <c r="G26" s="5">
        <f>IF($K26&gt;=2,IFERROR(INTERCEPT(calc!$M$3:$M$306,calc!$N$3:$N$306),""),"")</f>
        <v/>
      </c>
      <c r="H26" s="2">
        <f>COUNT(mos_metrics!G$2:G$306)</f>
        <v/>
      </c>
      <c r="I26" s="2">
        <f>IF($A26&lt;&gt;"",1,"")</f>
        <v/>
      </c>
      <c r="J26" s="2">
        <f>IF($A26="DeltaE",-1,1)</f>
        <v/>
      </c>
      <c r="K26" s="2">
        <f>SUMPRODUCT(--(calc!$L$3:$L$306=TRUE))</f>
        <v/>
      </c>
    </row>
    <row r="27">
      <c r="A27" s="2">
        <f>mos_metrics!H$1</f>
        <v/>
      </c>
      <c r="B27" s="5">
        <f>IF($K27&gt;=2,IFERROR(CORREL(calc!$V$3:$V$306,calc!$X$3:$X$306),""),"")</f>
        <v/>
      </c>
      <c r="C27" s="5">
        <f>IF($K27&gt;=2,IFERROR(CORREL(calc!$Z$3:$Z$306,calc!$AA$3:$AA$306),""),"")</f>
        <v/>
      </c>
      <c r="D27" s="5">
        <f>IF($K27&gt;=2,IFERROR(SUM(calc!$AB$3:$AB$306)/SQRT((($K27*($K27-1)/2)-(SUMPRODUCT(--(calc!$U$3:$U$306=TRUE),COUNTIF(calc!$Z$3:$Z$306,calc!$Z$3:$Z$306)-1)/2))*(($K27*($K27-1)/2)-(SUMPRODUCT(--(calc!$U$3:$U$306=TRUE),COUNTIF(calc!$AA$3:$AA$306,calc!$AA$3:$AA$306)-1)/2))),""),"")</f>
        <v/>
      </c>
      <c r="E27" s="5">
        <f>IF($K27&gt;=2,IFERROR(SQRT(SUM(calc!$Y$3:$Y$306)/$K27),""),"")</f>
        <v/>
      </c>
      <c r="F27" s="5">
        <f>IF($K27&gt;=2,IFERROR(SLOPE(calc!$V$3:$V$306,calc!$W$3:$W$306),""),"")</f>
        <v/>
      </c>
      <c r="G27" s="5">
        <f>IF($K27&gt;=2,IFERROR(INTERCEPT(calc!$V$3:$V$306,calc!$W$3:$W$306),""),"")</f>
        <v/>
      </c>
      <c r="H27" s="2">
        <f>COUNT(mos_metrics!H$2:H$306)</f>
        <v/>
      </c>
      <c r="I27" s="2">
        <f>IF($A27&lt;&gt;"",1,"")</f>
        <v/>
      </c>
      <c r="J27" s="2">
        <f>IF($A27="DeltaE",-1,1)</f>
        <v/>
      </c>
      <c r="K27" s="2">
        <f>SUMPRODUCT(--(calc!$U$3:$U$306=TRUE))</f>
        <v/>
      </c>
    </row>
    <row r="28">
      <c r="A28" s="2">
        <f>mos_metrics!I$1</f>
        <v/>
      </c>
      <c r="B28" s="5">
        <f>IF($K28&gt;=2,IFERROR(CORREL(calc!$AE$3:$AE$306,calc!$AG$3:$AG$306),""),"")</f>
        <v/>
      </c>
      <c r="C28" s="5">
        <f>IF($K28&gt;=2,IFERROR(CORREL(calc!$AI$3:$AI$306,calc!$AJ$3:$AJ$306),""),"")</f>
        <v/>
      </c>
      <c r="D28" s="5">
        <f>IF($K28&gt;=2,IFERROR(SUM(calc!$AK$3:$AK$306)/SQRT((($K28*($K28-1)/2)-(SUMPRODUCT(--(calc!$AD$3:$AD$306=TRUE),COUNTIF(calc!$AI$3:$AI$306,calc!$AI$3:$AI$306)-1)/2))*(($K28*($K28-1)/2)-(SUMPRODUCT(--(calc!$AD$3:$AD$306=TRUE),COUNTIF(calc!$AJ$3:$AJ$306,calc!$AJ$3:$AJ$306)-1)/2))),""),"")</f>
        <v/>
      </c>
      <c r="E28" s="5">
        <f>IF($K28&gt;=2,IFERROR(SQRT(SUM(calc!$AH$3:$AH$306)/$K28),""),"")</f>
        <v/>
      </c>
      <c r="F28" s="5">
        <f>IF($K28&gt;=2,IFERROR(SLOPE(calc!$AE$3:$AE$306,calc!$AF$3:$AF$306),""),"")</f>
        <v/>
      </c>
      <c r="G28" s="5">
        <f>IF($K28&gt;=2,IFERROR(INTERCEPT(calc!$AE$3:$AE$306,calc!$AF$3:$AF$306),""),"")</f>
        <v/>
      </c>
      <c r="H28" s="2">
        <f>COUNT(mos_metrics!I$2:I$306)</f>
        <v/>
      </c>
      <c r="I28" s="2">
        <f>IF($A28&lt;&gt;"",1,"")</f>
        <v/>
      </c>
      <c r="J28" s="2">
        <f>IF($A28="DeltaE",-1,1)</f>
        <v/>
      </c>
      <c r="K28" s="2">
        <f>SUMPRODUCT(--(calc!$AD$3:$AD$306=TRUE))</f>
        <v/>
      </c>
    </row>
    <row r="29">
      <c r="A29" s="2">
        <f>mos_metrics!J$1</f>
        <v/>
      </c>
      <c r="B29" s="5">
        <f>IF($K29&gt;=2,IFERROR(CORREL(calc!$AN$3:$AN$306,calc!$AP$3:$AP$306),""),"")</f>
        <v/>
      </c>
      <c r="C29" s="5">
        <f>IF($K29&gt;=2,IFERROR(CORREL(calc!$AR$3:$AR$306,calc!$AS$3:$AS$306),""),"")</f>
        <v/>
      </c>
      <c r="D29" s="5">
        <f>IF($K29&gt;=2,IFERROR(SUM(calc!$AT$3:$AT$306)/SQRT((($K29*($K29-1)/2)-(SUMPRODUCT(--(calc!$AM$3:$AM$306=TRUE),COUNTIF(calc!$AR$3:$AR$306,calc!$AR$3:$AR$306)-1)/2))*(($K29*($K29-1)/2)-(SUMPRODUCT(--(calc!$AM$3:$AM$306=TRUE),COUNTIF(calc!$AS$3:$AS$306,calc!$AS$3:$AS$306)-1)/2))),""),"")</f>
        <v/>
      </c>
      <c r="E29" s="5">
        <f>IF($K29&gt;=2,IFERROR(SQRT(SUM(calc!$AQ$3:$AQ$306)/$K29),""),"")</f>
        <v/>
      </c>
      <c r="F29" s="5">
        <f>IF($K29&gt;=2,IFERROR(SLOPE(calc!$AN$3:$AN$306,calc!$AO$3:$AO$306),""),"")</f>
        <v/>
      </c>
      <c r="G29" s="5">
        <f>IF($K29&gt;=2,IFERROR(INTERCEPT(calc!$AN$3:$AN$306,calc!$AO$3:$AO$306),""),"")</f>
        <v/>
      </c>
      <c r="H29" s="2">
        <f>COUNT(mos_metrics!J$2:J$306)</f>
        <v/>
      </c>
      <c r="I29" s="2">
        <f>IF($A29&lt;&gt;"",1,"")</f>
        <v/>
      </c>
      <c r="J29" s="2">
        <f>IF($A29="DeltaE",-1,1)</f>
        <v/>
      </c>
      <c r="K29" s="2">
        <f>SUMPRODUCT(--(calc!$AM$3:$AM$306=TRUE))</f>
        <v/>
      </c>
    </row>
    <row r="30">
      <c r="A30" s="2">
        <f>mos_metrics!K$1</f>
        <v/>
      </c>
      <c r="B30" s="5">
        <f>IF($K30&gt;=2,IFERROR(CORREL(calc!$AW$3:$AW$306,calc!$AY$3:$AY$306),""),"")</f>
        <v/>
      </c>
      <c r="C30" s="5">
        <f>IF($K30&gt;=2,IFERROR(CORREL(calc!$BA$3:$BA$306,calc!$BB$3:$BB$306),""),"")</f>
        <v/>
      </c>
      <c r="D30" s="5">
        <f>IF($K30&gt;=2,IFERROR(SUM(calc!$BC$3:$BC$306)/SQRT((($K30*($K30-1)/2)-(SUMPRODUCT(--(calc!$AV$3:$AV$306=TRUE),COUNTIF(calc!$BA$3:$BA$306,calc!$BA$3:$BA$306)-1)/2))*(($K30*($K30-1)/2)-(SUMPRODUCT(--(calc!$AV$3:$AV$306=TRUE),COUNTIF(calc!$BB$3:$BB$306,calc!$BB$3:$BB$306)-1)/2))),""),"")</f>
        <v/>
      </c>
      <c r="E30" s="5">
        <f>IF($K30&gt;=2,IFERROR(SQRT(SUM(calc!$AZ$3:$AZ$306)/$K30),""),"")</f>
        <v/>
      </c>
      <c r="F30" s="5">
        <f>IF($K30&gt;=2,IFERROR(SLOPE(calc!$AW$3:$AW$306,calc!$AX$3:$AX$306),""),"")</f>
        <v/>
      </c>
      <c r="G30" s="5">
        <f>IF($K30&gt;=2,IFERROR(INTERCEPT(calc!$AW$3:$AW$306,calc!$AX$3:$AX$306),""),"")</f>
        <v/>
      </c>
      <c r="H30" s="2">
        <f>COUNT(mos_metrics!K$2:K$306)</f>
        <v/>
      </c>
      <c r="I30" s="2">
        <f>IF($A30&lt;&gt;"",1,"")</f>
        <v/>
      </c>
      <c r="J30" s="2">
        <f>IF($A30="DeltaE",-1,1)</f>
        <v/>
      </c>
      <c r="K30" s="2">
        <f>SUMPRODUCT(--(calc!$AV$3:$AV$306=TRUE))</f>
        <v/>
      </c>
    </row>
    <row r="31">
      <c r="A31" s="2">
        <f>mos_metrics!L$1</f>
        <v/>
      </c>
      <c r="B31" s="5">
        <f>IF($K31&gt;=2,IFERROR(CORREL(calc!$BF$3:$BF$306,calc!$BH$3:$BH$306),""),"")</f>
        <v/>
      </c>
      <c r="C31" s="5">
        <f>IF($K31&gt;=2,IFERROR(CORREL(calc!$BJ$3:$BJ$306,calc!$BK$3:$BK$306),""),"")</f>
        <v/>
      </c>
      <c r="D31" s="5">
        <f>IF($K31&gt;=2,IFERROR(SUM(calc!$BL$3:$BL$306)/SQRT((($K31*($K31-1)/2)-(SUMPRODUCT(--(calc!$BE$3:$BE$306=TRUE),COUNTIF(calc!$BJ$3:$BJ$306,calc!$BJ$3:$BJ$306)-1)/2))*(($K31*($K31-1)/2)-(SUMPRODUCT(--(calc!$BE$3:$BE$306=TRUE),COUNTIF(calc!$BK$3:$BK$306,calc!$BK$3:$BK$306)-1)/2))),""),"")</f>
        <v/>
      </c>
      <c r="E31" s="5">
        <f>IF($K31&gt;=2,IFERROR(SQRT(SUM(calc!$BI$3:$BI$306)/$K31),""),"")</f>
        <v/>
      </c>
      <c r="F31" s="5">
        <f>IF($K31&gt;=2,IFERROR(SLOPE(calc!$BF$3:$BF$306,calc!$BG$3:$BG$306),""),"")</f>
        <v/>
      </c>
      <c r="G31" s="5">
        <f>IF($K31&gt;=2,IFERROR(INTERCEPT(calc!$BF$3:$BF$306,calc!$BG$3:$BG$306),""),"")</f>
        <v/>
      </c>
      <c r="H31" s="2">
        <f>COUNT(mos_metrics!L$2:L$306)</f>
        <v/>
      </c>
      <c r="I31" s="2">
        <f>IF($A31&lt;&gt;"",1,"")</f>
        <v/>
      </c>
      <c r="J31" s="2">
        <f>IF($A31="DeltaE",-1,1)</f>
        <v/>
      </c>
      <c r="K31" s="2">
        <f>SUMPRODUCT(--(calc!$BE$3:$BE$306=TRUE))</f>
        <v/>
      </c>
    </row>
    <row r="32">
      <c r="A32" s="2">
        <f>mos_metrics!M$1</f>
        <v/>
      </c>
      <c r="B32" s="5">
        <f>IF($K32&gt;=2,IFERROR(CORREL(calc!$BO$3:$BO$306,calc!$BQ$3:$BQ$306),""),"")</f>
        <v/>
      </c>
      <c r="C32" s="5">
        <f>IF($K32&gt;=2,IFERROR(CORREL(calc!$BS$3:$BS$306,calc!$BT$3:$BT$306),""),"")</f>
        <v/>
      </c>
      <c r="D32" s="5">
        <f>IF($K32&gt;=2,IFERROR(SUM(calc!$BU$3:$BU$306)/SQRT((($K32*($K32-1)/2)-(SUMPRODUCT(--(calc!$BN$3:$BN$306=TRUE),COUNTIF(calc!$BS$3:$BS$306,calc!$BS$3:$BS$306)-1)/2))*(($K32*($K32-1)/2)-(SUMPRODUCT(--(calc!$BN$3:$BN$306=TRUE),COUNTIF(calc!$BT$3:$BT$306,calc!$BT$3:$BT$306)-1)/2))),""),"")</f>
        <v/>
      </c>
      <c r="E32" s="5">
        <f>IF($K32&gt;=2,IFERROR(SQRT(SUM(calc!$BR$3:$BR$306)/$K32),""),"")</f>
        <v/>
      </c>
      <c r="F32" s="5">
        <f>IF($K32&gt;=2,IFERROR(SLOPE(calc!$BO$3:$BO$306,calc!$BP$3:$BP$306),""),"")</f>
        <v/>
      </c>
      <c r="G32" s="5">
        <f>IF($K32&gt;=2,IFERROR(INTERCEPT(calc!$BO$3:$BO$306,calc!$BP$3:$BP$306),""),"")</f>
        <v/>
      </c>
      <c r="H32" s="2">
        <f>COUNT(mos_metrics!M$2:M$306)</f>
        <v/>
      </c>
      <c r="I32" s="2">
        <f>IF($A32&lt;&gt;"",1,"")</f>
        <v/>
      </c>
      <c r="J32" s="2">
        <f>IF($A32="DeltaE",-1,1)</f>
        <v/>
      </c>
      <c r="K32" s="2">
        <f>SUMPRODUCT(--(calc!$BN$3:$BN$306=TRUE))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307"/>
  <sheetViews>
    <sheetView workbookViewId="0">
      <selection activeCell="A1" sqref="A1"/>
    </sheetView>
  </sheetViews>
  <sheetFormatPr baseColWidth="8" defaultRowHeight="15"/>
  <cols>
    <col width="36" customWidth="1" min="1" max="1"/>
    <col width="24" customWidth="1" min="2" max="2"/>
    <col width="11" customWidth="1" min="4" max="4"/>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s>
  <sheetData>
    <row r="1">
      <c r="A1" s="1" t="inlineStr">
        <is>
          <t>Source / MOS</t>
        </is>
      </c>
      <c r="G1" s="1" t="inlineStr">
        <is>
          <t>Selection flags</t>
        </is>
      </c>
      <c r="K1" s="1" t="inlineStr">
        <is>
          <t>PSNR_avg_score</t>
        </is>
      </c>
      <c r="T1" s="1" t="inlineStr">
        <is>
          <t>ColorVideoVDP_score</t>
        </is>
      </c>
      <c r="AC1" s="1" t="inlineStr">
        <is>
          <t>VMAF_score</t>
        </is>
      </c>
      <c r="AL1" s="1" t="inlineStr">
        <is>
          <t>WTPSNR_score</t>
        </is>
      </c>
      <c r="AU1" s="1" t="inlineStr">
        <is>
          <t>DeltaE_score</t>
        </is>
      </c>
      <c r="BD1" s="1" t="inlineStr">
        <is>
          <t>PSNR_L0100_score</t>
        </is>
      </c>
      <c r="BM1" s="1" t="inlineStr">
        <is>
          <t>FDIM_score</t>
        </is>
      </c>
    </row>
    <row r="2">
      <c r="A2" s="1" t="inlineStr">
        <is>
          <t>KEY</t>
        </is>
      </c>
      <c r="B2" s="1" t="inlineStr">
        <is>
          <t>ref_name</t>
        </is>
      </c>
      <c r="C2" s="1" t="inlineStr">
        <is>
          <t>dis_name</t>
        </is>
      </c>
      <c r="D2" s="1" t="inlineStr">
        <is>
          <t>trc</t>
        </is>
      </c>
      <c r="E2" s="1" t="inlineStr">
        <is>
          <t>codec</t>
        </is>
      </c>
      <c r="F2" s="1" t="inlineStr">
        <is>
          <t>MOS</t>
        </is>
      </c>
      <c r="G2" s="1" t="inlineStr">
        <is>
          <t>ShowSeq</t>
        </is>
      </c>
      <c r="H2" s="1" t="inlineStr">
        <is>
          <t>ShowCodec</t>
        </is>
      </c>
      <c r="I2" s="1" t="inlineStr">
        <is>
          <t>ValidMOS</t>
        </is>
      </c>
      <c r="J2" s="1" t="inlineStr">
        <is>
          <t>UseBase</t>
        </is>
      </c>
      <c r="K2" s="1" t="inlineStr">
        <is>
          <t>raw</t>
        </is>
      </c>
      <c r="L2" s="1" t="inlineStr">
        <is>
          <t>valid</t>
        </is>
      </c>
      <c r="M2" s="1" t="inlineStr">
        <is>
          <t>mos_used</t>
        </is>
      </c>
      <c r="N2" s="1" t="inlineStr">
        <is>
          <t>score</t>
        </is>
      </c>
      <c r="O2" s="1" t="inlineStr">
        <is>
          <t>fit</t>
        </is>
      </c>
      <c r="P2" s="1" t="inlineStr">
        <is>
          <t>sq_error</t>
        </is>
      </c>
      <c r="Q2" s="1" t="inlineStr">
        <is>
          <t>mos_rank</t>
        </is>
      </c>
      <c r="R2" s="1" t="inlineStr">
        <is>
          <t>score_rank</t>
        </is>
      </c>
      <c r="S2" s="1" t="inlineStr">
        <is>
          <t>kendall_num</t>
        </is>
      </c>
      <c r="T2" s="1" t="inlineStr">
        <is>
          <t>raw</t>
        </is>
      </c>
      <c r="U2" s="1" t="inlineStr">
        <is>
          <t>valid</t>
        </is>
      </c>
      <c r="V2" s="1" t="inlineStr">
        <is>
          <t>mos_used</t>
        </is>
      </c>
      <c r="W2" s="1" t="inlineStr">
        <is>
          <t>score</t>
        </is>
      </c>
      <c r="X2" s="1" t="inlineStr">
        <is>
          <t>fit</t>
        </is>
      </c>
      <c r="Y2" s="1" t="inlineStr">
        <is>
          <t>sq_error</t>
        </is>
      </c>
      <c r="Z2" s="1" t="inlineStr">
        <is>
          <t>mos_rank</t>
        </is>
      </c>
      <c r="AA2" s="1" t="inlineStr">
        <is>
          <t>score_rank</t>
        </is>
      </c>
      <c r="AB2" s="1" t="inlineStr">
        <is>
          <t>kendall_num</t>
        </is>
      </c>
      <c r="AC2" s="1" t="inlineStr">
        <is>
          <t>raw</t>
        </is>
      </c>
      <c r="AD2" s="1" t="inlineStr">
        <is>
          <t>valid</t>
        </is>
      </c>
      <c r="AE2" s="1" t="inlineStr">
        <is>
          <t>mos_used</t>
        </is>
      </c>
      <c r="AF2" s="1" t="inlineStr">
        <is>
          <t>score</t>
        </is>
      </c>
      <c r="AG2" s="1" t="inlineStr">
        <is>
          <t>fit</t>
        </is>
      </c>
      <c r="AH2" s="1" t="inlineStr">
        <is>
          <t>sq_error</t>
        </is>
      </c>
      <c r="AI2" s="1" t="inlineStr">
        <is>
          <t>mos_rank</t>
        </is>
      </c>
      <c r="AJ2" s="1" t="inlineStr">
        <is>
          <t>score_rank</t>
        </is>
      </c>
      <c r="AK2" s="1" t="inlineStr">
        <is>
          <t>kendall_num</t>
        </is>
      </c>
      <c r="AL2" s="1" t="inlineStr">
        <is>
          <t>raw</t>
        </is>
      </c>
      <c r="AM2" s="1" t="inlineStr">
        <is>
          <t>valid</t>
        </is>
      </c>
      <c r="AN2" s="1" t="inlineStr">
        <is>
          <t>mos_used</t>
        </is>
      </c>
      <c r="AO2" s="1" t="inlineStr">
        <is>
          <t>score</t>
        </is>
      </c>
      <c r="AP2" s="1" t="inlineStr">
        <is>
          <t>fit</t>
        </is>
      </c>
      <c r="AQ2" s="1" t="inlineStr">
        <is>
          <t>sq_error</t>
        </is>
      </c>
      <c r="AR2" s="1" t="inlineStr">
        <is>
          <t>mos_rank</t>
        </is>
      </c>
      <c r="AS2" s="1" t="inlineStr">
        <is>
          <t>score_rank</t>
        </is>
      </c>
      <c r="AT2" s="1" t="inlineStr">
        <is>
          <t>kendall_num</t>
        </is>
      </c>
      <c r="AU2" s="1" t="inlineStr">
        <is>
          <t>raw</t>
        </is>
      </c>
      <c r="AV2" s="1" t="inlineStr">
        <is>
          <t>valid</t>
        </is>
      </c>
      <c r="AW2" s="1" t="inlineStr">
        <is>
          <t>mos_used</t>
        </is>
      </c>
      <c r="AX2" s="1" t="inlineStr">
        <is>
          <t>score</t>
        </is>
      </c>
      <c r="AY2" s="1" t="inlineStr">
        <is>
          <t>fit</t>
        </is>
      </c>
      <c r="AZ2" s="1" t="inlineStr">
        <is>
          <t>sq_error</t>
        </is>
      </c>
      <c r="BA2" s="1" t="inlineStr">
        <is>
          <t>mos_rank</t>
        </is>
      </c>
      <c r="BB2" s="1" t="inlineStr">
        <is>
          <t>score_rank</t>
        </is>
      </c>
      <c r="BC2" s="1" t="inlineStr">
        <is>
          <t>kendall_num</t>
        </is>
      </c>
      <c r="BD2" s="1" t="inlineStr">
        <is>
          <t>raw</t>
        </is>
      </c>
      <c r="BE2" s="1" t="inlineStr">
        <is>
          <t>valid</t>
        </is>
      </c>
      <c r="BF2" s="1" t="inlineStr">
        <is>
          <t>mos_used</t>
        </is>
      </c>
      <c r="BG2" s="1" t="inlineStr">
        <is>
          <t>score</t>
        </is>
      </c>
      <c r="BH2" s="1" t="inlineStr">
        <is>
          <t>fit</t>
        </is>
      </c>
      <c r="BI2" s="1" t="inlineStr">
        <is>
          <t>sq_error</t>
        </is>
      </c>
      <c r="BJ2" s="1" t="inlineStr">
        <is>
          <t>mos_rank</t>
        </is>
      </c>
      <c r="BK2" s="1" t="inlineStr">
        <is>
          <t>score_rank</t>
        </is>
      </c>
      <c r="BL2" s="1" t="inlineStr">
        <is>
          <t>kendall_num</t>
        </is>
      </c>
      <c r="BM2" s="1" t="inlineStr">
        <is>
          <t>raw</t>
        </is>
      </c>
      <c r="BN2" s="1" t="inlineStr">
        <is>
          <t>valid</t>
        </is>
      </c>
      <c r="BO2" s="1" t="inlineStr">
        <is>
          <t>mos_used</t>
        </is>
      </c>
      <c r="BP2" s="1" t="inlineStr">
        <is>
          <t>score</t>
        </is>
      </c>
      <c r="BQ2" s="1" t="inlineStr">
        <is>
          <t>fit</t>
        </is>
      </c>
      <c r="BR2" s="1" t="inlineStr">
        <is>
          <t>sq_error</t>
        </is>
      </c>
      <c r="BS2" s="1" t="inlineStr">
        <is>
          <t>mos_rank</t>
        </is>
      </c>
      <c r="BT2" s="1" t="inlineStr">
        <is>
          <t>score_rank</t>
        </is>
      </c>
      <c r="BU2" s="1" t="inlineStr">
        <is>
          <t>kendall_num</t>
        </is>
      </c>
    </row>
    <row r="3">
      <c r="A3" s="2">
        <f>mos_metrics!A2</f>
        <v/>
      </c>
      <c r="B3" s="2">
        <f>mos_metrics!B2</f>
        <v/>
      </c>
      <c r="C3" s="2">
        <f>mos_metrics!C2</f>
        <v/>
      </c>
      <c r="D3" s="2">
        <f>mos_metrics!D2</f>
        <v/>
      </c>
      <c r="E3" s="2">
        <f>mos_metrics!E2</f>
        <v/>
      </c>
      <c r="F3" s="2">
        <f>mos_metrics!F2</f>
        <v/>
      </c>
      <c r="G3" s="2">
        <f>IF($B3="","",IFERROR(VLOOKUP($B3,correlation!$A$2:$B$16,2,FALSE),1))</f>
        <v/>
      </c>
      <c r="H3" s="2">
        <f>IF($E3="","",IFERROR(VLOOKUP($E3,correlation!$D$2:$E$8,2,FALSE),1))</f>
        <v/>
      </c>
      <c r="I3" s="2">
        <f>ISNUMBER($F3)</f>
        <v/>
      </c>
      <c r="J3" s="2">
        <f>AND($G3=1,$H3=1,$I3)</f>
        <v/>
      </c>
      <c r="K3" s="5">
        <f>IF(mos_metrics!G2="","",mos_metrics!G2)</f>
        <v/>
      </c>
      <c r="L3" s="2">
        <f>AND($J3,ISNUMBER(K3),correlation!$I$26=1)</f>
        <v/>
      </c>
      <c r="M3" s="5">
        <f>IF(L3,$F3,"")</f>
        <v/>
      </c>
      <c r="N3" s="5">
        <f>IF(L3,K3*correlation!$J$26,"")</f>
        <v/>
      </c>
      <c r="O3" s="5">
        <f>IF(AND(L3,ISNUMBER(correlation!$F$26)),N3*correlation!$F$26+correlation!$G$26,"")</f>
        <v/>
      </c>
      <c r="P3" s="5">
        <f>IF(AND(L3,ISNUMBER(O3)),(M3-O3)^2,"")</f>
        <v/>
      </c>
      <c r="Q3" s="5">
        <f>IF(L3,1+SUMPRODUCT(--(calc!$L$3:$L$306=TRUE),--(calc!$M$3:$M$306&gt;M3))+(SUMPRODUCT(--(calc!$L$3:$L$306=TRUE),--(calc!$M$3:$M$306=M3))-1)/2,"")</f>
        <v/>
      </c>
      <c r="R3" s="5">
        <f>IF(L3,1+SUMPRODUCT(--(calc!$L$3:$L$306=TRUE),--(calc!$N$3:$N$306&gt;N3))+(SUMPRODUCT(--(calc!$L$3:$L$306=TRUE),--(calc!$N$3:$N$306=N3))-1)/2,"")</f>
        <v/>
      </c>
      <c r="S3" s="5">
        <f>IF(L3,SUMPRODUCT(--(calc!$L$3:$L$306=TRUE),--(ROW(calc!$L$3:$L$306)&gt;ROW(L3)),--(((calc!$Q$3:$Q$306&gt;Q3)*(calc!$R$3:$R$306&gt;R3)+(calc!$Q$3:$Q$306&lt;Q3)*(calc!$R$3:$R$306&lt;R3))&gt;0))-SUMPRODUCT(--(calc!$L$3:$L$306=TRUE),--(ROW(calc!$L$3:$L$306)&gt;ROW(L3)),--(((calc!$Q$3:$Q$306&gt;Q3)*(calc!$R$3:$R$306&lt;R3)+(calc!$Q$3:$Q$306&lt;Q3)*(calc!$R$3:$R$306&gt;R3))&gt;0)),0)</f>
        <v/>
      </c>
      <c r="T3" s="5">
        <f>IF(mos_metrics!H2="","",mos_metrics!H2)</f>
        <v/>
      </c>
      <c r="U3" s="2">
        <f>AND($J3,ISNUMBER(T3),correlation!$I$27=1)</f>
        <v/>
      </c>
      <c r="V3" s="5">
        <f>IF(U3,$F3,"")</f>
        <v/>
      </c>
      <c r="W3" s="5">
        <f>IF(U3,T3*correlation!$J$27,"")</f>
        <v/>
      </c>
      <c r="X3" s="5">
        <f>IF(AND(U3,ISNUMBER(correlation!$F$27)),W3*correlation!$F$27+correlation!$G$27,"")</f>
        <v/>
      </c>
      <c r="Y3" s="5">
        <f>IF(AND(U3,ISNUMBER(X3)),(V3-X3)^2,"")</f>
        <v/>
      </c>
      <c r="Z3" s="5">
        <f>IF(U3,1+SUMPRODUCT(--(calc!$U$3:$U$306=TRUE),--(calc!$V$3:$V$306&gt;V3))+(SUMPRODUCT(--(calc!$U$3:$U$306=TRUE),--(calc!$V$3:$V$306=V3))-1)/2,"")</f>
        <v/>
      </c>
      <c r="AA3" s="5">
        <f>IF(U3,1+SUMPRODUCT(--(calc!$U$3:$U$306=TRUE),--(calc!$W$3:$W$306&gt;W3))+(SUMPRODUCT(--(calc!$U$3:$U$306=TRUE),--(calc!$W$3:$W$306=W3))-1)/2,"")</f>
        <v/>
      </c>
      <c r="AB3" s="5">
        <f>IF(U3,SUMPRODUCT(--(calc!$U$3:$U$306=TRUE),--(ROW(calc!$U$3:$U$306)&gt;ROW(U3)),--(((calc!$Z$3:$Z$306&gt;Z3)*(calc!$AA$3:$AA$306&gt;AA3)+(calc!$Z$3:$Z$306&lt;Z3)*(calc!$AA$3:$AA$306&lt;AA3))&gt;0))-SUMPRODUCT(--(calc!$U$3:$U$306=TRUE),--(ROW(calc!$U$3:$U$306)&gt;ROW(U3)),--(((calc!$Z$3:$Z$306&gt;Z3)*(calc!$AA$3:$AA$306&lt;AA3)+(calc!$Z$3:$Z$306&lt;Z3)*(calc!$AA$3:$AA$306&gt;AA3))&gt;0)),0)</f>
        <v/>
      </c>
      <c r="AC3" s="5">
        <f>IF(mos_metrics!I2="","",mos_metrics!I2)</f>
        <v/>
      </c>
      <c r="AD3" s="2">
        <f>AND($J3,ISNUMBER(AC3),correlation!$I$28=1)</f>
        <v/>
      </c>
      <c r="AE3" s="5">
        <f>IF(AD3,$F3,"")</f>
        <v/>
      </c>
      <c r="AF3" s="5">
        <f>IF(AD3,AC3*correlation!$J$28,"")</f>
        <v/>
      </c>
      <c r="AG3" s="5">
        <f>IF(AND(AD3,ISNUMBER(correlation!$F$28)),AF3*correlation!$F$28+correlation!$G$28,"")</f>
        <v/>
      </c>
      <c r="AH3" s="5">
        <f>IF(AND(AD3,ISNUMBER(AG3)),(AE3-AG3)^2,"")</f>
        <v/>
      </c>
      <c r="AI3" s="5">
        <f>IF(AD3,1+SUMPRODUCT(--(calc!$AD$3:$AD$306=TRUE),--(calc!$AE$3:$AE$306&gt;AE3))+(SUMPRODUCT(--(calc!$AD$3:$AD$306=TRUE),--(calc!$AE$3:$AE$306=AE3))-1)/2,"")</f>
        <v/>
      </c>
      <c r="AJ3" s="5">
        <f>IF(AD3,1+SUMPRODUCT(--(calc!$AD$3:$AD$306=TRUE),--(calc!$AF$3:$AF$306&gt;AF3))+(SUMPRODUCT(--(calc!$AD$3:$AD$306=TRUE),--(calc!$AF$3:$AF$306=AF3))-1)/2,"")</f>
        <v/>
      </c>
      <c r="AK3" s="5">
        <f>IF(AD3,SUMPRODUCT(--(calc!$AD$3:$AD$306=TRUE),--(ROW(calc!$AD$3:$AD$306)&gt;ROW(AD3)),--(((calc!$AI$3:$AI$306&gt;AI3)*(calc!$AJ$3:$AJ$306&gt;AJ3)+(calc!$AI$3:$AI$306&lt;AI3)*(calc!$AJ$3:$AJ$306&lt;AJ3))&gt;0))-SUMPRODUCT(--(calc!$AD$3:$AD$306=TRUE),--(ROW(calc!$AD$3:$AD$306)&gt;ROW(AD3)),--(((calc!$AI$3:$AI$306&gt;AI3)*(calc!$AJ$3:$AJ$306&lt;AJ3)+(calc!$AI$3:$AI$306&lt;AI3)*(calc!$AJ$3:$AJ$306&gt;AJ3))&gt;0)),0)</f>
        <v/>
      </c>
      <c r="AL3" s="5">
        <f>IF(mos_metrics!J2="","",mos_metrics!J2)</f>
        <v/>
      </c>
      <c r="AM3" s="2">
        <f>AND($J3,ISNUMBER(AL3),correlation!$I$29=1)</f>
        <v/>
      </c>
      <c r="AN3" s="5">
        <f>IF(AM3,$F3,"")</f>
        <v/>
      </c>
      <c r="AO3" s="5">
        <f>IF(AM3,AL3*correlation!$J$29,"")</f>
        <v/>
      </c>
      <c r="AP3" s="5">
        <f>IF(AND(AM3,ISNUMBER(correlation!$F$29)),AO3*correlation!$F$29+correlation!$G$29,"")</f>
        <v/>
      </c>
      <c r="AQ3" s="5">
        <f>IF(AND(AM3,ISNUMBER(AP3)),(AN3-AP3)^2,"")</f>
        <v/>
      </c>
      <c r="AR3" s="5">
        <f>IF(AM3,1+SUMPRODUCT(--(calc!$AM$3:$AM$306=TRUE),--(calc!$AN$3:$AN$306&gt;AN3))+(SUMPRODUCT(--(calc!$AM$3:$AM$306=TRUE),--(calc!$AN$3:$AN$306=AN3))-1)/2,"")</f>
        <v/>
      </c>
      <c r="AS3" s="5">
        <f>IF(AM3,1+SUMPRODUCT(--(calc!$AM$3:$AM$306=TRUE),--(calc!$AO$3:$AO$306&gt;AO3))+(SUMPRODUCT(--(calc!$AM$3:$AM$306=TRUE),--(calc!$AO$3:$AO$306=AO3))-1)/2,"")</f>
        <v/>
      </c>
      <c r="AT3" s="5">
        <f>IF(AM3,SUMPRODUCT(--(calc!$AM$3:$AM$306=TRUE),--(ROW(calc!$AM$3:$AM$306)&gt;ROW(AM3)),--(((calc!$AR$3:$AR$306&gt;AR3)*(calc!$AS$3:$AS$306&gt;AS3)+(calc!$AR$3:$AR$306&lt;AR3)*(calc!$AS$3:$AS$306&lt;AS3))&gt;0))-SUMPRODUCT(--(calc!$AM$3:$AM$306=TRUE),--(ROW(calc!$AM$3:$AM$306)&gt;ROW(AM3)),--(((calc!$AR$3:$AR$306&gt;AR3)*(calc!$AS$3:$AS$306&lt;AS3)+(calc!$AR$3:$AR$306&lt;AR3)*(calc!$AS$3:$AS$306&gt;AS3))&gt;0)),0)</f>
        <v/>
      </c>
      <c r="AU3" s="5">
        <f>IF(mos_metrics!K2="","",mos_metrics!K2)</f>
        <v/>
      </c>
      <c r="AV3" s="2">
        <f>AND($J3,ISNUMBER(AU3),correlation!$I$30=1)</f>
        <v/>
      </c>
      <c r="AW3" s="5">
        <f>IF(AV3,$F3,"")</f>
        <v/>
      </c>
      <c r="AX3" s="5">
        <f>IF(AV3,AU3*correlation!$J$30,"")</f>
        <v/>
      </c>
      <c r="AY3" s="5">
        <f>IF(AND(AV3,ISNUMBER(correlation!$F$30)),AX3*correlation!$F$30+correlation!$G$30,"")</f>
        <v/>
      </c>
      <c r="AZ3" s="5">
        <f>IF(AND(AV3,ISNUMBER(AY3)),(AW3-AY3)^2,"")</f>
        <v/>
      </c>
      <c r="BA3" s="5">
        <f>IF(AV3,1+SUMPRODUCT(--(calc!$AV$3:$AV$306=TRUE),--(calc!$AW$3:$AW$306&gt;AW3))+(SUMPRODUCT(--(calc!$AV$3:$AV$306=TRUE),--(calc!$AW$3:$AW$306=AW3))-1)/2,"")</f>
        <v/>
      </c>
      <c r="BB3" s="5">
        <f>IF(AV3,1+SUMPRODUCT(--(calc!$AV$3:$AV$306=TRUE),--(calc!$AX$3:$AX$306&gt;AX3))+(SUMPRODUCT(--(calc!$AV$3:$AV$306=TRUE),--(calc!$AX$3:$AX$306=AX3))-1)/2,"")</f>
        <v/>
      </c>
      <c r="BC3" s="5">
        <f>IF(AV3,SUMPRODUCT(--(calc!$AV$3:$AV$306=TRUE),--(ROW(calc!$AV$3:$AV$306)&gt;ROW(AV3)),--(((calc!$BA$3:$BA$306&gt;BA3)*(calc!$BB$3:$BB$306&gt;BB3)+(calc!$BA$3:$BA$306&lt;BA3)*(calc!$BB$3:$BB$306&lt;BB3))&gt;0))-SUMPRODUCT(--(calc!$AV$3:$AV$306=TRUE),--(ROW(calc!$AV$3:$AV$306)&gt;ROW(AV3)),--(((calc!$BA$3:$BA$306&gt;BA3)*(calc!$BB$3:$BB$306&lt;BB3)+(calc!$BA$3:$BA$306&lt;BA3)*(calc!$BB$3:$BB$306&gt;BB3))&gt;0)),0)</f>
        <v/>
      </c>
      <c r="BD3" s="5">
        <f>IF(mos_metrics!L2="","",mos_metrics!L2)</f>
        <v/>
      </c>
      <c r="BE3" s="2">
        <f>AND($J3,ISNUMBER(BD3),correlation!$I$31=1)</f>
        <v/>
      </c>
      <c r="BF3" s="5">
        <f>IF(BE3,$F3,"")</f>
        <v/>
      </c>
      <c r="BG3" s="5">
        <f>IF(BE3,BD3*correlation!$J$31,"")</f>
        <v/>
      </c>
      <c r="BH3" s="5">
        <f>IF(AND(BE3,ISNUMBER(correlation!$F$31)),BG3*correlation!$F$31+correlation!$G$31,"")</f>
        <v/>
      </c>
      <c r="BI3" s="5">
        <f>IF(AND(BE3,ISNUMBER(BH3)),(BF3-BH3)^2,"")</f>
        <v/>
      </c>
      <c r="BJ3" s="5">
        <f>IF(BE3,1+SUMPRODUCT(--(calc!$BE$3:$BE$306=TRUE),--(calc!$BF$3:$BF$306&gt;BF3))+(SUMPRODUCT(--(calc!$BE$3:$BE$306=TRUE),--(calc!$BF$3:$BF$306=BF3))-1)/2,"")</f>
        <v/>
      </c>
      <c r="BK3" s="5">
        <f>IF(BE3,1+SUMPRODUCT(--(calc!$BE$3:$BE$306=TRUE),--(calc!$BG$3:$BG$306&gt;BG3))+(SUMPRODUCT(--(calc!$BE$3:$BE$306=TRUE),--(calc!$BG$3:$BG$306=BG3))-1)/2,"")</f>
        <v/>
      </c>
      <c r="BL3" s="5">
        <f>IF(BE3,SUMPRODUCT(--(calc!$BE$3:$BE$306=TRUE),--(ROW(calc!$BE$3:$BE$306)&gt;ROW(BE3)),--(((calc!$BJ$3:$BJ$306&gt;BJ3)*(calc!$BK$3:$BK$306&gt;BK3)+(calc!$BJ$3:$BJ$306&lt;BJ3)*(calc!$BK$3:$BK$306&lt;BK3))&gt;0))-SUMPRODUCT(--(calc!$BE$3:$BE$306=TRUE),--(ROW(calc!$BE$3:$BE$306)&gt;ROW(BE3)),--(((calc!$BJ$3:$BJ$306&gt;BJ3)*(calc!$BK$3:$BK$306&lt;BK3)+(calc!$BJ$3:$BJ$306&lt;BJ3)*(calc!$BK$3:$BK$306&gt;BK3))&gt;0)),0)</f>
        <v/>
      </c>
      <c r="BM3" s="5">
        <f>IF(mos_metrics!M2="","",mos_metrics!M2)</f>
        <v/>
      </c>
      <c r="BN3" s="2">
        <f>AND($J3,ISNUMBER(BM3),correlation!$I$32=1)</f>
        <v/>
      </c>
      <c r="BO3" s="5">
        <f>IF(BN3,$F3,"")</f>
        <v/>
      </c>
      <c r="BP3" s="5">
        <f>IF(BN3,BM3*correlation!$J$32,"")</f>
        <v/>
      </c>
      <c r="BQ3" s="5">
        <f>IF(AND(BN3,ISNUMBER(correlation!$F$32)),BP3*correlation!$F$32+correlation!$G$32,"")</f>
        <v/>
      </c>
      <c r="BR3" s="5">
        <f>IF(AND(BN3,ISNUMBER(BQ3)),(BO3-BQ3)^2,"")</f>
        <v/>
      </c>
      <c r="BS3" s="5">
        <f>IF(BN3,1+SUMPRODUCT(--(calc!$BN$3:$BN$306=TRUE),--(calc!$BO$3:$BO$306&gt;BO3))+(SUMPRODUCT(--(calc!$BN$3:$BN$306=TRUE),--(calc!$BO$3:$BO$306=BO3))-1)/2,"")</f>
        <v/>
      </c>
      <c r="BT3" s="5">
        <f>IF(BN3,1+SUMPRODUCT(--(calc!$BN$3:$BN$306=TRUE),--(calc!$BP$3:$BP$306&gt;BP3))+(SUMPRODUCT(--(calc!$BN$3:$BN$306=TRUE),--(calc!$BP$3:$BP$306=BP3))-1)/2,"")</f>
        <v/>
      </c>
      <c r="BU3" s="5">
        <f>IF(BN3,SUMPRODUCT(--(calc!$BN$3:$BN$306=TRUE),--(ROW(calc!$BN$3:$BN$306)&gt;ROW(BN3)),--(((calc!$BS$3:$BS$306&gt;BS3)*(calc!$BT$3:$BT$306&gt;BT3)+(calc!$BS$3:$BS$306&lt;BS3)*(calc!$BT$3:$BT$306&lt;BT3))&gt;0))-SUMPRODUCT(--(calc!$BN$3:$BN$306=TRUE),--(ROW(calc!$BN$3:$BN$306)&gt;ROW(BN3)),--(((calc!$BS$3:$BS$306&gt;BS3)*(calc!$BT$3:$BT$306&lt;BT3)+(calc!$BS$3:$BS$306&lt;BS3)*(calc!$BT$3:$BT$306&gt;BT3))&gt;0)),0)</f>
        <v/>
      </c>
    </row>
    <row r="4">
      <c r="A4" s="2">
        <f>mos_metrics!A3</f>
        <v/>
      </c>
      <c r="B4" s="2">
        <f>mos_metrics!B3</f>
        <v/>
      </c>
      <c r="C4" s="2">
        <f>mos_metrics!C3</f>
        <v/>
      </c>
      <c r="D4" s="2">
        <f>mos_metrics!D3</f>
        <v/>
      </c>
      <c r="E4" s="2">
        <f>mos_metrics!E3</f>
        <v/>
      </c>
      <c r="F4" s="2">
        <f>mos_metrics!F3</f>
        <v/>
      </c>
      <c r="G4" s="2">
        <f>IF($B4="","",IFERROR(VLOOKUP($B4,correlation!$A$2:$B$16,2,FALSE),1))</f>
        <v/>
      </c>
      <c r="H4" s="2">
        <f>IF($E4="","",IFERROR(VLOOKUP($E4,correlation!$D$2:$E$8,2,FALSE),1))</f>
        <v/>
      </c>
      <c r="I4" s="2">
        <f>ISNUMBER($F4)</f>
        <v/>
      </c>
      <c r="J4" s="2">
        <f>AND($G4=1,$H4=1,$I4)</f>
        <v/>
      </c>
      <c r="K4" s="5">
        <f>IF(mos_metrics!G3="","",mos_metrics!G3)</f>
        <v/>
      </c>
      <c r="L4" s="2">
        <f>AND($J4,ISNUMBER(K4),correlation!$I$26=1)</f>
        <v/>
      </c>
      <c r="M4" s="5">
        <f>IF(L4,$F4,"")</f>
        <v/>
      </c>
      <c r="N4" s="5">
        <f>IF(L4,K4*correlation!$J$26,"")</f>
        <v/>
      </c>
      <c r="O4" s="5">
        <f>IF(AND(L4,ISNUMBER(correlation!$F$26)),N4*correlation!$F$26+correlation!$G$26,"")</f>
        <v/>
      </c>
      <c r="P4" s="5">
        <f>IF(AND(L4,ISNUMBER(O4)),(M4-O4)^2,"")</f>
        <v/>
      </c>
      <c r="Q4" s="5">
        <f>IF(L4,1+SUMPRODUCT(--(calc!$L$3:$L$306=TRUE),--(calc!$M$3:$M$306&gt;M4))+(SUMPRODUCT(--(calc!$L$3:$L$306=TRUE),--(calc!$M$3:$M$306=M4))-1)/2,"")</f>
        <v/>
      </c>
      <c r="R4" s="5">
        <f>IF(L4,1+SUMPRODUCT(--(calc!$L$3:$L$306=TRUE),--(calc!$N$3:$N$306&gt;N4))+(SUMPRODUCT(--(calc!$L$3:$L$306=TRUE),--(calc!$N$3:$N$306=N4))-1)/2,"")</f>
        <v/>
      </c>
      <c r="S4" s="5">
        <f>IF(L4,SUMPRODUCT(--(calc!$L$3:$L$306=TRUE),--(ROW(calc!$L$3:$L$306)&gt;ROW(L4)),--(((calc!$Q$3:$Q$306&gt;Q4)*(calc!$R$3:$R$306&gt;R4)+(calc!$Q$3:$Q$306&lt;Q4)*(calc!$R$3:$R$306&lt;R4))&gt;0))-SUMPRODUCT(--(calc!$L$3:$L$306=TRUE),--(ROW(calc!$L$3:$L$306)&gt;ROW(L4)),--(((calc!$Q$3:$Q$306&gt;Q4)*(calc!$R$3:$R$306&lt;R4)+(calc!$Q$3:$Q$306&lt;Q4)*(calc!$R$3:$R$306&gt;R4))&gt;0)),0)</f>
        <v/>
      </c>
      <c r="T4" s="5">
        <f>IF(mos_metrics!H3="","",mos_metrics!H3)</f>
        <v/>
      </c>
      <c r="U4" s="2">
        <f>AND($J4,ISNUMBER(T4),correlation!$I$27=1)</f>
        <v/>
      </c>
      <c r="V4" s="5">
        <f>IF(U4,$F4,"")</f>
        <v/>
      </c>
      <c r="W4" s="5">
        <f>IF(U4,T4*correlation!$J$27,"")</f>
        <v/>
      </c>
      <c r="X4" s="5">
        <f>IF(AND(U4,ISNUMBER(correlation!$F$27)),W4*correlation!$F$27+correlation!$G$27,"")</f>
        <v/>
      </c>
      <c r="Y4" s="5">
        <f>IF(AND(U4,ISNUMBER(X4)),(V4-X4)^2,"")</f>
        <v/>
      </c>
      <c r="Z4" s="5">
        <f>IF(U4,1+SUMPRODUCT(--(calc!$U$3:$U$306=TRUE),--(calc!$V$3:$V$306&gt;V4))+(SUMPRODUCT(--(calc!$U$3:$U$306=TRUE),--(calc!$V$3:$V$306=V4))-1)/2,"")</f>
        <v/>
      </c>
      <c r="AA4" s="5">
        <f>IF(U4,1+SUMPRODUCT(--(calc!$U$3:$U$306=TRUE),--(calc!$W$3:$W$306&gt;W4))+(SUMPRODUCT(--(calc!$U$3:$U$306=TRUE),--(calc!$W$3:$W$306=W4))-1)/2,"")</f>
        <v/>
      </c>
      <c r="AB4" s="5">
        <f>IF(U4,SUMPRODUCT(--(calc!$U$3:$U$306=TRUE),--(ROW(calc!$U$3:$U$306)&gt;ROW(U4)),--(((calc!$Z$3:$Z$306&gt;Z4)*(calc!$AA$3:$AA$306&gt;AA4)+(calc!$Z$3:$Z$306&lt;Z4)*(calc!$AA$3:$AA$306&lt;AA4))&gt;0))-SUMPRODUCT(--(calc!$U$3:$U$306=TRUE),--(ROW(calc!$U$3:$U$306)&gt;ROW(U4)),--(((calc!$Z$3:$Z$306&gt;Z4)*(calc!$AA$3:$AA$306&lt;AA4)+(calc!$Z$3:$Z$306&lt;Z4)*(calc!$AA$3:$AA$306&gt;AA4))&gt;0)),0)</f>
        <v/>
      </c>
      <c r="AC4" s="5">
        <f>IF(mos_metrics!I3="","",mos_metrics!I3)</f>
        <v/>
      </c>
      <c r="AD4" s="2">
        <f>AND($J4,ISNUMBER(AC4),correlation!$I$28=1)</f>
        <v/>
      </c>
      <c r="AE4" s="5">
        <f>IF(AD4,$F4,"")</f>
        <v/>
      </c>
      <c r="AF4" s="5">
        <f>IF(AD4,AC4*correlation!$J$28,"")</f>
        <v/>
      </c>
      <c r="AG4" s="5">
        <f>IF(AND(AD4,ISNUMBER(correlation!$F$28)),AF4*correlation!$F$28+correlation!$G$28,"")</f>
        <v/>
      </c>
      <c r="AH4" s="5">
        <f>IF(AND(AD4,ISNUMBER(AG4)),(AE4-AG4)^2,"")</f>
        <v/>
      </c>
      <c r="AI4" s="5">
        <f>IF(AD4,1+SUMPRODUCT(--(calc!$AD$3:$AD$306=TRUE),--(calc!$AE$3:$AE$306&gt;AE4))+(SUMPRODUCT(--(calc!$AD$3:$AD$306=TRUE),--(calc!$AE$3:$AE$306=AE4))-1)/2,"")</f>
        <v/>
      </c>
      <c r="AJ4" s="5">
        <f>IF(AD4,1+SUMPRODUCT(--(calc!$AD$3:$AD$306=TRUE),--(calc!$AF$3:$AF$306&gt;AF4))+(SUMPRODUCT(--(calc!$AD$3:$AD$306=TRUE),--(calc!$AF$3:$AF$306=AF4))-1)/2,"")</f>
        <v/>
      </c>
      <c r="AK4" s="5">
        <f>IF(AD4,SUMPRODUCT(--(calc!$AD$3:$AD$306=TRUE),--(ROW(calc!$AD$3:$AD$306)&gt;ROW(AD4)),--(((calc!$AI$3:$AI$306&gt;AI4)*(calc!$AJ$3:$AJ$306&gt;AJ4)+(calc!$AI$3:$AI$306&lt;AI4)*(calc!$AJ$3:$AJ$306&lt;AJ4))&gt;0))-SUMPRODUCT(--(calc!$AD$3:$AD$306=TRUE),--(ROW(calc!$AD$3:$AD$306)&gt;ROW(AD4)),--(((calc!$AI$3:$AI$306&gt;AI4)*(calc!$AJ$3:$AJ$306&lt;AJ4)+(calc!$AI$3:$AI$306&lt;AI4)*(calc!$AJ$3:$AJ$306&gt;AJ4))&gt;0)),0)</f>
        <v/>
      </c>
      <c r="AL4" s="5">
        <f>IF(mos_metrics!J3="","",mos_metrics!J3)</f>
        <v/>
      </c>
      <c r="AM4" s="2">
        <f>AND($J4,ISNUMBER(AL4),correlation!$I$29=1)</f>
        <v/>
      </c>
      <c r="AN4" s="5">
        <f>IF(AM4,$F4,"")</f>
        <v/>
      </c>
      <c r="AO4" s="5">
        <f>IF(AM4,AL4*correlation!$J$29,"")</f>
        <v/>
      </c>
      <c r="AP4" s="5">
        <f>IF(AND(AM4,ISNUMBER(correlation!$F$29)),AO4*correlation!$F$29+correlation!$G$29,"")</f>
        <v/>
      </c>
      <c r="AQ4" s="5">
        <f>IF(AND(AM4,ISNUMBER(AP4)),(AN4-AP4)^2,"")</f>
        <v/>
      </c>
      <c r="AR4" s="5">
        <f>IF(AM4,1+SUMPRODUCT(--(calc!$AM$3:$AM$306=TRUE),--(calc!$AN$3:$AN$306&gt;AN4))+(SUMPRODUCT(--(calc!$AM$3:$AM$306=TRUE),--(calc!$AN$3:$AN$306=AN4))-1)/2,"")</f>
        <v/>
      </c>
      <c r="AS4" s="5">
        <f>IF(AM4,1+SUMPRODUCT(--(calc!$AM$3:$AM$306=TRUE),--(calc!$AO$3:$AO$306&gt;AO4))+(SUMPRODUCT(--(calc!$AM$3:$AM$306=TRUE),--(calc!$AO$3:$AO$306=AO4))-1)/2,"")</f>
        <v/>
      </c>
      <c r="AT4" s="5">
        <f>IF(AM4,SUMPRODUCT(--(calc!$AM$3:$AM$306=TRUE),--(ROW(calc!$AM$3:$AM$306)&gt;ROW(AM4)),--(((calc!$AR$3:$AR$306&gt;AR4)*(calc!$AS$3:$AS$306&gt;AS4)+(calc!$AR$3:$AR$306&lt;AR4)*(calc!$AS$3:$AS$306&lt;AS4))&gt;0))-SUMPRODUCT(--(calc!$AM$3:$AM$306=TRUE),--(ROW(calc!$AM$3:$AM$306)&gt;ROW(AM4)),--(((calc!$AR$3:$AR$306&gt;AR4)*(calc!$AS$3:$AS$306&lt;AS4)+(calc!$AR$3:$AR$306&lt;AR4)*(calc!$AS$3:$AS$306&gt;AS4))&gt;0)),0)</f>
        <v/>
      </c>
      <c r="AU4" s="5">
        <f>IF(mos_metrics!K3="","",mos_metrics!K3)</f>
        <v/>
      </c>
      <c r="AV4" s="2">
        <f>AND($J4,ISNUMBER(AU4),correlation!$I$30=1)</f>
        <v/>
      </c>
      <c r="AW4" s="5">
        <f>IF(AV4,$F4,"")</f>
        <v/>
      </c>
      <c r="AX4" s="5">
        <f>IF(AV4,AU4*correlation!$J$30,"")</f>
        <v/>
      </c>
      <c r="AY4" s="5">
        <f>IF(AND(AV4,ISNUMBER(correlation!$F$30)),AX4*correlation!$F$30+correlation!$G$30,"")</f>
        <v/>
      </c>
      <c r="AZ4" s="5">
        <f>IF(AND(AV4,ISNUMBER(AY4)),(AW4-AY4)^2,"")</f>
        <v/>
      </c>
      <c r="BA4" s="5">
        <f>IF(AV4,1+SUMPRODUCT(--(calc!$AV$3:$AV$306=TRUE),--(calc!$AW$3:$AW$306&gt;AW4))+(SUMPRODUCT(--(calc!$AV$3:$AV$306=TRUE),--(calc!$AW$3:$AW$306=AW4))-1)/2,"")</f>
        <v/>
      </c>
      <c r="BB4" s="5">
        <f>IF(AV4,1+SUMPRODUCT(--(calc!$AV$3:$AV$306=TRUE),--(calc!$AX$3:$AX$306&gt;AX4))+(SUMPRODUCT(--(calc!$AV$3:$AV$306=TRUE),--(calc!$AX$3:$AX$306=AX4))-1)/2,"")</f>
        <v/>
      </c>
      <c r="BC4" s="5">
        <f>IF(AV4,SUMPRODUCT(--(calc!$AV$3:$AV$306=TRUE),--(ROW(calc!$AV$3:$AV$306)&gt;ROW(AV4)),--(((calc!$BA$3:$BA$306&gt;BA4)*(calc!$BB$3:$BB$306&gt;BB4)+(calc!$BA$3:$BA$306&lt;BA4)*(calc!$BB$3:$BB$306&lt;BB4))&gt;0))-SUMPRODUCT(--(calc!$AV$3:$AV$306=TRUE),--(ROW(calc!$AV$3:$AV$306)&gt;ROW(AV4)),--(((calc!$BA$3:$BA$306&gt;BA4)*(calc!$BB$3:$BB$306&lt;BB4)+(calc!$BA$3:$BA$306&lt;BA4)*(calc!$BB$3:$BB$306&gt;BB4))&gt;0)),0)</f>
        <v/>
      </c>
      <c r="BD4" s="5">
        <f>IF(mos_metrics!L3="","",mos_metrics!L3)</f>
        <v/>
      </c>
      <c r="BE4" s="2">
        <f>AND($J4,ISNUMBER(BD4),correlation!$I$31=1)</f>
        <v/>
      </c>
      <c r="BF4" s="5">
        <f>IF(BE4,$F4,"")</f>
        <v/>
      </c>
      <c r="BG4" s="5">
        <f>IF(BE4,BD4*correlation!$J$31,"")</f>
        <v/>
      </c>
      <c r="BH4" s="5">
        <f>IF(AND(BE4,ISNUMBER(correlation!$F$31)),BG4*correlation!$F$31+correlation!$G$31,"")</f>
        <v/>
      </c>
      <c r="BI4" s="5">
        <f>IF(AND(BE4,ISNUMBER(BH4)),(BF4-BH4)^2,"")</f>
        <v/>
      </c>
      <c r="BJ4" s="5">
        <f>IF(BE4,1+SUMPRODUCT(--(calc!$BE$3:$BE$306=TRUE),--(calc!$BF$3:$BF$306&gt;BF4))+(SUMPRODUCT(--(calc!$BE$3:$BE$306=TRUE),--(calc!$BF$3:$BF$306=BF4))-1)/2,"")</f>
        <v/>
      </c>
      <c r="BK4" s="5">
        <f>IF(BE4,1+SUMPRODUCT(--(calc!$BE$3:$BE$306=TRUE),--(calc!$BG$3:$BG$306&gt;BG4))+(SUMPRODUCT(--(calc!$BE$3:$BE$306=TRUE),--(calc!$BG$3:$BG$306=BG4))-1)/2,"")</f>
        <v/>
      </c>
      <c r="BL4" s="5">
        <f>IF(BE4,SUMPRODUCT(--(calc!$BE$3:$BE$306=TRUE),--(ROW(calc!$BE$3:$BE$306)&gt;ROW(BE4)),--(((calc!$BJ$3:$BJ$306&gt;BJ4)*(calc!$BK$3:$BK$306&gt;BK4)+(calc!$BJ$3:$BJ$306&lt;BJ4)*(calc!$BK$3:$BK$306&lt;BK4))&gt;0))-SUMPRODUCT(--(calc!$BE$3:$BE$306=TRUE),--(ROW(calc!$BE$3:$BE$306)&gt;ROW(BE4)),--(((calc!$BJ$3:$BJ$306&gt;BJ4)*(calc!$BK$3:$BK$306&lt;BK4)+(calc!$BJ$3:$BJ$306&lt;BJ4)*(calc!$BK$3:$BK$306&gt;BK4))&gt;0)),0)</f>
        <v/>
      </c>
      <c r="BM4" s="5">
        <f>IF(mos_metrics!M3="","",mos_metrics!M3)</f>
        <v/>
      </c>
      <c r="BN4" s="2">
        <f>AND($J4,ISNUMBER(BM4),correlation!$I$32=1)</f>
        <v/>
      </c>
      <c r="BO4" s="5">
        <f>IF(BN4,$F4,"")</f>
        <v/>
      </c>
      <c r="BP4" s="5">
        <f>IF(BN4,BM4*correlation!$J$32,"")</f>
        <v/>
      </c>
      <c r="BQ4" s="5">
        <f>IF(AND(BN4,ISNUMBER(correlation!$F$32)),BP4*correlation!$F$32+correlation!$G$32,"")</f>
        <v/>
      </c>
      <c r="BR4" s="5">
        <f>IF(AND(BN4,ISNUMBER(BQ4)),(BO4-BQ4)^2,"")</f>
        <v/>
      </c>
      <c r="BS4" s="5">
        <f>IF(BN4,1+SUMPRODUCT(--(calc!$BN$3:$BN$306=TRUE),--(calc!$BO$3:$BO$306&gt;BO4))+(SUMPRODUCT(--(calc!$BN$3:$BN$306=TRUE),--(calc!$BO$3:$BO$306=BO4))-1)/2,"")</f>
        <v/>
      </c>
      <c r="BT4" s="5">
        <f>IF(BN4,1+SUMPRODUCT(--(calc!$BN$3:$BN$306=TRUE),--(calc!$BP$3:$BP$306&gt;BP4))+(SUMPRODUCT(--(calc!$BN$3:$BN$306=TRUE),--(calc!$BP$3:$BP$306=BP4))-1)/2,"")</f>
        <v/>
      </c>
      <c r="BU4" s="5">
        <f>IF(BN4,SUMPRODUCT(--(calc!$BN$3:$BN$306=TRUE),--(ROW(calc!$BN$3:$BN$306)&gt;ROW(BN4)),--(((calc!$BS$3:$BS$306&gt;BS4)*(calc!$BT$3:$BT$306&gt;BT4)+(calc!$BS$3:$BS$306&lt;BS4)*(calc!$BT$3:$BT$306&lt;BT4))&gt;0))-SUMPRODUCT(--(calc!$BN$3:$BN$306=TRUE),--(ROW(calc!$BN$3:$BN$306)&gt;ROW(BN4)),--(((calc!$BS$3:$BS$306&gt;BS4)*(calc!$BT$3:$BT$306&lt;BT4)+(calc!$BS$3:$BS$306&lt;BS4)*(calc!$BT$3:$BT$306&gt;BT4))&gt;0)),0)</f>
        <v/>
      </c>
    </row>
    <row r="5">
      <c r="A5" s="2">
        <f>mos_metrics!A4</f>
        <v/>
      </c>
      <c r="B5" s="2">
        <f>mos_metrics!B4</f>
        <v/>
      </c>
      <c r="C5" s="2">
        <f>mos_metrics!C4</f>
        <v/>
      </c>
      <c r="D5" s="2">
        <f>mos_metrics!D4</f>
        <v/>
      </c>
      <c r="E5" s="2">
        <f>mos_metrics!E4</f>
        <v/>
      </c>
      <c r="F5" s="2">
        <f>mos_metrics!F4</f>
        <v/>
      </c>
      <c r="G5" s="2">
        <f>IF($B5="","",IFERROR(VLOOKUP($B5,correlation!$A$2:$B$16,2,FALSE),1))</f>
        <v/>
      </c>
      <c r="H5" s="2">
        <f>IF($E5="","",IFERROR(VLOOKUP($E5,correlation!$D$2:$E$8,2,FALSE),1))</f>
        <v/>
      </c>
      <c r="I5" s="2">
        <f>ISNUMBER($F5)</f>
        <v/>
      </c>
      <c r="J5" s="2">
        <f>AND($G5=1,$H5=1,$I5)</f>
        <v/>
      </c>
      <c r="K5" s="5">
        <f>IF(mos_metrics!G4="","",mos_metrics!G4)</f>
        <v/>
      </c>
      <c r="L5" s="2">
        <f>AND($J5,ISNUMBER(K5),correlation!$I$26=1)</f>
        <v/>
      </c>
      <c r="M5" s="5">
        <f>IF(L5,$F5,"")</f>
        <v/>
      </c>
      <c r="N5" s="5">
        <f>IF(L5,K5*correlation!$J$26,"")</f>
        <v/>
      </c>
      <c r="O5" s="5">
        <f>IF(AND(L5,ISNUMBER(correlation!$F$26)),N5*correlation!$F$26+correlation!$G$26,"")</f>
        <v/>
      </c>
      <c r="P5" s="5">
        <f>IF(AND(L5,ISNUMBER(O5)),(M5-O5)^2,"")</f>
        <v/>
      </c>
      <c r="Q5" s="5">
        <f>IF(L5,1+SUMPRODUCT(--(calc!$L$3:$L$306=TRUE),--(calc!$M$3:$M$306&gt;M5))+(SUMPRODUCT(--(calc!$L$3:$L$306=TRUE),--(calc!$M$3:$M$306=M5))-1)/2,"")</f>
        <v/>
      </c>
      <c r="R5" s="5">
        <f>IF(L5,1+SUMPRODUCT(--(calc!$L$3:$L$306=TRUE),--(calc!$N$3:$N$306&gt;N5))+(SUMPRODUCT(--(calc!$L$3:$L$306=TRUE),--(calc!$N$3:$N$306=N5))-1)/2,"")</f>
        <v/>
      </c>
      <c r="S5" s="5">
        <f>IF(L5,SUMPRODUCT(--(calc!$L$3:$L$306=TRUE),--(ROW(calc!$L$3:$L$306)&gt;ROW(L5)),--(((calc!$Q$3:$Q$306&gt;Q5)*(calc!$R$3:$R$306&gt;R5)+(calc!$Q$3:$Q$306&lt;Q5)*(calc!$R$3:$R$306&lt;R5))&gt;0))-SUMPRODUCT(--(calc!$L$3:$L$306=TRUE),--(ROW(calc!$L$3:$L$306)&gt;ROW(L5)),--(((calc!$Q$3:$Q$306&gt;Q5)*(calc!$R$3:$R$306&lt;R5)+(calc!$Q$3:$Q$306&lt;Q5)*(calc!$R$3:$R$306&gt;R5))&gt;0)),0)</f>
        <v/>
      </c>
      <c r="T5" s="5">
        <f>IF(mos_metrics!H4="","",mos_metrics!H4)</f>
        <v/>
      </c>
      <c r="U5" s="2">
        <f>AND($J5,ISNUMBER(T5),correlation!$I$27=1)</f>
        <v/>
      </c>
      <c r="V5" s="5">
        <f>IF(U5,$F5,"")</f>
        <v/>
      </c>
      <c r="W5" s="5">
        <f>IF(U5,T5*correlation!$J$27,"")</f>
        <v/>
      </c>
      <c r="X5" s="5">
        <f>IF(AND(U5,ISNUMBER(correlation!$F$27)),W5*correlation!$F$27+correlation!$G$27,"")</f>
        <v/>
      </c>
      <c r="Y5" s="5">
        <f>IF(AND(U5,ISNUMBER(X5)),(V5-X5)^2,"")</f>
        <v/>
      </c>
      <c r="Z5" s="5">
        <f>IF(U5,1+SUMPRODUCT(--(calc!$U$3:$U$306=TRUE),--(calc!$V$3:$V$306&gt;V5))+(SUMPRODUCT(--(calc!$U$3:$U$306=TRUE),--(calc!$V$3:$V$306=V5))-1)/2,"")</f>
        <v/>
      </c>
      <c r="AA5" s="5">
        <f>IF(U5,1+SUMPRODUCT(--(calc!$U$3:$U$306=TRUE),--(calc!$W$3:$W$306&gt;W5))+(SUMPRODUCT(--(calc!$U$3:$U$306=TRUE),--(calc!$W$3:$W$306=W5))-1)/2,"")</f>
        <v/>
      </c>
      <c r="AB5" s="5">
        <f>IF(U5,SUMPRODUCT(--(calc!$U$3:$U$306=TRUE),--(ROW(calc!$U$3:$U$306)&gt;ROW(U5)),--(((calc!$Z$3:$Z$306&gt;Z5)*(calc!$AA$3:$AA$306&gt;AA5)+(calc!$Z$3:$Z$306&lt;Z5)*(calc!$AA$3:$AA$306&lt;AA5))&gt;0))-SUMPRODUCT(--(calc!$U$3:$U$306=TRUE),--(ROW(calc!$U$3:$U$306)&gt;ROW(U5)),--(((calc!$Z$3:$Z$306&gt;Z5)*(calc!$AA$3:$AA$306&lt;AA5)+(calc!$Z$3:$Z$306&lt;Z5)*(calc!$AA$3:$AA$306&gt;AA5))&gt;0)),0)</f>
        <v/>
      </c>
      <c r="AC5" s="5">
        <f>IF(mos_metrics!I4="","",mos_metrics!I4)</f>
        <v/>
      </c>
      <c r="AD5" s="2">
        <f>AND($J5,ISNUMBER(AC5),correlation!$I$28=1)</f>
        <v/>
      </c>
      <c r="AE5" s="5">
        <f>IF(AD5,$F5,"")</f>
        <v/>
      </c>
      <c r="AF5" s="5">
        <f>IF(AD5,AC5*correlation!$J$28,"")</f>
        <v/>
      </c>
      <c r="AG5" s="5">
        <f>IF(AND(AD5,ISNUMBER(correlation!$F$28)),AF5*correlation!$F$28+correlation!$G$28,"")</f>
        <v/>
      </c>
      <c r="AH5" s="5">
        <f>IF(AND(AD5,ISNUMBER(AG5)),(AE5-AG5)^2,"")</f>
        <v/>
      </c>
      <c r="AI5" s="5">
        <f>IF(AD5,1+SUMPRODUCT(--(calc!$AD$3:$AD$306=TRUE),--(calc!$AE$3:$AE$306&gt;AE5))+(SUMPRODUCT(--(calc!$AD$3:$AD$306=TRUE),--(calc!$AE$3:$AE$306=AE5))-1)/2,"")</f>
        <v/>
      </c>
      <c r="AJ5" s="5">
        <f>IF(AD5,1+SUMPRODUCT(--(calc!$AD$3:$AD$306=TRUE),--(calc!$AF$3:$AF$306&gt;AF5))+(SUMPRODUCT(--(calc!$AD$3:$AD$306=TRUE),--(calc!$AF$3:$AF$306=AF5))-1)/2,"")</f>
        <v/>
      </c>
      <c r="AK5" s="5">
        <f>IF(AD5,SUMPRODUCT(--(calc!$AD$3:$AD$306=TRUE),--(ROW(calc!$AD$3:$AD$306)&gt;ROW(AD5)),--(((calc!$AI$3:$AI$306&gt;AI5)*(calc!$AJ$3:$AJ$306&gt;AJ5)+(calc!$AI$3:$AI$306&lt;AI5)*(calc!$AJ$3:$AJ$306&lt;AJ5))&gt;0))-SUMPRODUCT(--(calc!$AD$3:$AD$306=TRUE),--(ROW(calc!$AD$3:$AD$306)&gt;ROW(AD5)),--(((calc!$AI$3:$AI$306&gt;AI5)*(calc!$AJ$3:$AJ$306&lt;AJ5)+(calc!$AI$3:$AI$306&lt;AI5)*(calc!$AJ$3:$AJ$306&gt;AJ5))&gt;0)),0)</f>
        <v/>
      </c>
      <c r="AL5" s="5">
        <f>IF(mos_metrics!J4="","",mos_metrics!J4)</f>
        <v/>
      </c>
      <c r="AM5" s="2">
        <f>AND($J5,ISNUMBER(AL5),correlation!$I$29=1)</f>
        <v/>
      </c>
      <c r="AN5" s="5">
        <f>IF(AM5,$F5,"")</f>
        <v/>
      </c>
      <c r="AO5" s="5">
        <f>IF(AM5,AL5*correlation!$J$29,"")</f>
        <v/>
      </c>
      <c r="AP5" s="5">
        <f>IF(AND(AM5,ISNUMBER(correlation!$F$29)),AO5*correlation!$F$29+correlation!$G$29,"")</f>
        <v/>
      </c>
      <c r="AQ5" s="5">
        <f>IF(AND(AM5,ISNUMBER(AP5)),(AN5-AP5)^2,"")</f>
        <v/>
      </c>
      <c r="AR5" s="5">
        <f>IF(AM5,1+SUMPRODUCT(--(calc!$AM$3:$AM$306=TRUE),--(calc!$AN$3:$AN$306&gt;AN5))+(SUMPRODUCT(--(calc!$AM$3:$AM$306=TRUE),--(calc!$AN$3:$AN$306=AN5))-1)/2,"")</f>
        <v/>
      </c>
      <c r="AS5" s="5">
        <f>IF(AM5,1+SUMPRODUCT(--(calc!$AM$3:$AM$306=TRUE),--(calc!$AO$3:$AO$306&gt;AO5))+(SUMPRODUCT(--(calc!$AM$3:$AM$306=TRUE),--(calc!$AO$3:$AO$306=AO5))-1)/2,"")</f>
        <v/>
      </c>
      <c r="AT5" s="5">
        <f>IF(AM5,SUMPRODUCT(--(calc!$AM$3:$AM$306=TRUE),--(ROW(calc!$AM$3:$AM$306)&gt;ROW(AM5)),--(((calc!$AR$3:$AR$306&gt;AR5)*(calc!$AS$3:$AS$306&gt;AS5)+(calc!$AR$3:$AR$306&lt;AR5)*(calc!$AS$3:$AS$306&lt;AS5))&gt;0))-SUMPRODUCT(--(calc!$AM$3:$AM$306=TRUE),--(ROW(calc!$AM$3:$AM$306)&gt;ROW(AM5)),--(((calc!$AR$3:$AR$306&gt;AR5)*(calc!$AS$3:$AS$306&lt;AS5)+(calc!$AR$3:$AR$306&lt;AR5)*(calc!$AS$3:$AS$306&gt;AS5))&gt;0)),0)</f>
        <v/>
      </c>
      <c r="AU5" s="5">
        <f>IF(mos_metrics!K4="","",mos_metrics!K4)</f>
        <v/>
      </c>
      <c r="AV5" s="2">
        <f>AND($J5,ISNUMBER(AU5),correlation!$I$30=1)</f>
        <v/>
      </c>
      <c r="AW5" s="5">
        <f>IF(AV5,$F5,"")</f>
        <v/>
      </c>
      <c r="AX5" s="5">
        <f>IF(AV5,AU5*correlation!$J$30,"")</f>
        <v/>
      </c>
      <c r="AY5" s="5">
        <f>IF(AND(AV5,ISNUMBER(correlation!$F$30)),AX5*correlation!$F$30+correlation!$G$30,"")</f>
        <v/>
      </c>
      <c r="AZ5" s="5">
        <f>IF(AND(AV5,ISNUMBER(AY5)),(AW5-AY5)^2,"")</f>
        <v/>
      </c>
      <c r="BA5" s="5">
        <f>IF(AV5,1+SUMPRODUCT(--(calc!$AV$3:$AV$306=TRUE),--(calc!$AW$3:$AW$306&gt;AW5))+(SUMPRODUCT(--(calc!$AV$3:$AV$306=TRUE),--(calc!$AW$3:$AW$306=AW5))-1)/2,"")</f>
        <v/>
      </c>
      <c r="BB5" s="5">
        <f>IF(AV5,1+SUMPRODUCT(--(calc!$AV$3:$AV$306=TRUE),--(calc!$AX$3:$AX$306&gt;AX5))+(SUMPRODUCT(--(calc!$AV$3:$AV$306=TRUE),--(calc!$AX$3:$AX$306=AX5))-1)/2,"")</f>
        <v/>
      </c>
      <c r="BC5" s="5">
        <f>IF(AV5,SUMPRODUCT(--(calc!$AV$3:$AV$306=TRUE),--(ROW(calc!$AV$3:$AV$306)&gt;ROW(AV5)),--(((calc!$BA$3:$BA$306&gt;BA5)*(calc!$BB$3:$BB$306&gt;BB5)+(calc!$BA$3:$BA$306&lt;BA5)*(calc!$BB$3:$BB$306&lt;BB5))&gt;0))-SUMPRODUCT(--(calc!$AV$3:$AV$306=TRUE),--(ROW(calc!$AV$3:$AV$306)&gt;ROW(AV5)),--(((calc!$BA$3:$BA$306&gt;BA5)*(calc!$BB$3:$BB$306&lt;BB5)+(calc!$BA$3:$BA$306&lt;BA5)*(calc!$BB$3:$BB$306&gt;BB5))&gt;0)),0)</f>
        <v/>
      </c>
      <c r="BD5" s="5">
        <f>IF(mos_metrics!L4="","",mos_metrics!L4)</f>
        <v/>
      </c>
      <c r="BE5" s="2">
        <f>AND($J5,ISNUMBER(BD5),correlation!$I$31=1)</f>
        <v/>
      </c>
      <c r="BF5" s="5">
        <f>IF(BE5,$F5,"")</f>
        <v/>
      </c>
      <c r="BG5" s="5">
        <f>IF(BE5,BD5*correlation!$J$31,"")</f>
        <v/>
      </c>
      <c r="BH5" s="5">
        <f>IF(AND(BE5,ISNUMBER(correlation!$F$31)),BG5*correlation!$F$31+correlation!$G$31,"")</f>
        <v/>
      </c>
      <c r="BI5" s="5">
        <f>IF(AND(BE5,ISNUMBER(BH5)),(BF5-BH5)^2,"")</f>
        <v/>
      </c>
      <c r="BJ5" s="5">
        <f>IF(BE5,1+SUMPRODUCT(--(calc!$BE$3:$BE$306=TRUE),--(calc!$BF$3:$BF$306&gt;BF5))+(SUMPRODUCT(--(calc!$BE$3:$BE$306=TRUE),--(calc!$BF$3:$BF$306=BF5))-1)/2,"")</f>
        <v/>
      </c>
      <c r="BK5" s="5">
        <f>IF(BE5,1+SUMPRODUCT(--(calc!$BE$3:$BE$306=TRUE),--(calc!$BG$3:$BG$306&gt;BG5))+(SUMPRODUCT(--(calc!$BE$3:$BE$306=TRUE),--(calc!$BG$3:$BG$306=BG5))-1)/2,"")</f>
        <v/>
      </c>
      <c r="BL5" s="5">
        <f>IF(BE5,SUMPRODUCT(--(calc!$BE$3:$BE$306=TRUE),--(ROW(calc!$BE$3:$BE$306)&gt;ROW(BE5)),--(((calc!$BJ$3:$BJ$306&gt;BJ5)*(calc!$BK$3:$BK$306&gt;BK5)+(calc!$BJ$3:$BJ$306&lt;BJ5)*(calc!$BK$3:$BK$306&lt;BK5))&gt;0))-SUMPRODUCT(--(calc!$BE$3:$BE$306=TRUE),--(ROW(calc!$BE$3:$BE$306)&gt;ROW(BE5)),--(((calc!$BJ$3:$BJ$306&gt;BJ5)*(calc!$BK$3:$BK$306&lt;BK5)+(calc!$BJ$3:$BJ$306&lt;BJ5)*(calc!$BK$3:$BK$306&gt;BK5))&gt;0)),0)</f>
        <v/>
      </c>
      <c r="BM5" s="5">
        <f>IF(mos_metrics!M4="","",mos_metrics!M4)</f>
        <v/>
      </c>
      <c r="BN5" s="2">
        <f>AND($J5,ISNUMBER(BM5),correlation!$I$32=1)</f>
        <v/>
      </c>
      <c r="BO5" s="5">
        <f>IF(BN5,$F5,"")</f>
        <v/>
      </c>
      <c r="BP5" s="5">
        <f>IF(BN5,BM5*correlation!$J$32,"")</f>
        <v/>
      </c>
      <c r="BQ5" s="5">
        <f>IF(AND(BN5,ISNUMBER(correlation!$F$32)),BP5*correlation!$F$32+correlation!$G$32,"")</f>
        <v/>
      </c>
      <c r="BR5" s="5">
        <f>IF(AND(BN5,ISNUMBER(BQ5)),(BO5-BQ5)^2,"")</f>
        <v/>
      </c>
      <c r="BS5" s="5">
        <f>IF(BN5,1+SUMPRODUCT(--(calc!$BN$3:$BN$306=TRUE),--(calc!$BO$3:$BO$306&gt;BO5))+(SUMPRODUCT(--(calc!$BN$3:$BN$306=TRUE),--(calc!$BO$3:$BO$306=BO5))-1)/2,"")</f>
        <v/>
      </c>
      <c r="BT5" s="5">
        <f>IF(BN5,1+SUMPRODUCT(--(calc!$BN$3:$BN$306=TRUE),--(calc!$BP$3:$BP$306&gt;BP5))+(SUMPRODUCT(--(calc!$BN$3:$BN$306=TRUE),--(calc!$BP$3:$BP$306=BP5))-1)/2,"")</f>
        <v/>
      </c>
      <c r="BU5" s="5">
        <f>IF(BN5,SUMPRODUCT(--(calc!$BN$3:$BN$306=TRUE),--(ROW(calc!$BN$3:$BN$306)&gt;ROW(BN5)),--(((calc!$BS$3:$BS$306&gt;BS5)*(calc!$BT$3:$BT$306&gt;BT5)+(calc!$BS$3:$BS$306&lt;BS5)*(calc!$BT$3:$BT$306&lt;BT5))&gt;0))-SUMPRODUCT(--(calc!$BN$3:$BN$306=TRUE),--(ROW(calc!$BN$3:$BN$306)&gt;ROW(BN5)),--(((calc!$BS$3:$BS$306&gt;BS5)*(calc!$BT$3:$BT$306&lt;BT5)+(calc!$BS$3:$BS$306&lt;BS5)*(calc!$BT$3:$BT$306&gt;BT5))&gt;0)),0)</f>
        <v/>
      </c>
    </row>
    <row r="6">
      <c r="A6" s="2">
        <f>mos_metrics!A5</f>
        <v/>
      </c>
      <c r="B6" s="2">
        <f>mos_metrics!B5</f>
        <v/>
      </c>
      <c r="C6" s="2">
        <f>mos_metrics!C5</f>
        <v/>
      </c>
      <c r="D6" s="2">
        <f>mos_metrics!D5</f>
        <v/>
      </c>
      <c r="E6" s="2">
        <f>mos_metrics!E5</f>
        <v/>
      </c>
      <c r="F6" s="2">
        <f>mos_metrics!F5</f>
        <v/>
      </c>
      <c r="G6" s="2">
        <f>IF($B6="","",IFERROR(VLOOKUP($B6,correlation!$A$2:$B$16,2,FALSE),1))</f>
        <v/>
      </c>
      <c r="H6" s="2">
        <f>IF($E6="","",IFERROR(VLOOKUP($E6,correlation!$D$2:$E$8,2,FALSE),1))</f>
        <v/>
      </c>
      <c r="I6" s="2">
        <f>ISNUMBER($F6)</f>
        <v/>
      </c>
      <c r="J6" s="2">
        <f>AND($G6=1,$H6=1,$I6)</f>
        <v/>
      </c>
      <c r="K6" s="5">
        <f>IF(mos_metrics!G5="","",mos_metrics!G5)</f>
        <v/>
      </c>
      <c r="L6" s="2">
        <f>AND($J6,ISNUMBER(K6),correlation!$I$26=1)</f>
        <v/>
      </c>
      <c r="M6" s="5">
        <f>IF(L6,$F6,"")</f>
        <v/>
      </c>
      <c r="N6" s="5">
        <f>IF(L6,K6*correlation!$J$26,"")</f>
        <v/>
      </c>
      <c r="O6" s="5">
        <f>IF(AND(L6,ISNUMBER(correlation!$F$26)),N6*correlation!$F$26+correlation!$G$26,"")</f>
        <v/>
      </c>
      <c r="P6" s="5">
        <f>IF(AND(L6,ISNUMBER(O6)),(M6-O6)^2,"")</f>
        <v/>
      </c>
      <c r="Q6" s="5">
        <f>IF(L6,1+SUMPRODUCT(--(calc!$L$3:$L$306=TRUE),--(calc!$M$3:$M$306&gt;M6))+(SUMPRODUCT(--(calc!$L$3:$L$306=TRUE),--(calc!$M$3:$M$306=M6))-1)/2,"")</f>
        <v/>
      </c>
      <c r="R6" s="5">
        <f>IF(L6,1+SUMPRODUCT(--(calc!$L$3:$L$306=TRUE),--(calc!$N$3:$N$306&gt;N6))+(SUMPRODUCT(--(calc!$L$3:$L$306=TRUE),--(calc!$N$3:$N$306=N6))-1)/2,"")</f>
        <v/>
      </c>
      <c r="S6" s="5">
        <f>IF(L6,SUMPRODUCT(--(calc!$L$3:$L$306=TRUE),--(ROW(calc!$L$3:$L$306)&gt;ROW(L6)),--(((calc!$Q$3:$Q$306&gt;Q6)*(calc!$R$3:$R$306&gt;R6)+(calc!$Q$3:$Q$306&lt;Q6)*(calc!$R$3:$R$306&lt;R6))&gt;0))-SUMPRODUCT(--(calc!$L$3:$L$306=TRUE),--(ROW(calc!$L$3:$L$306)&gt;ROW(L6)),--(((calc!$Q$3:$Q$306&gt;Q6)*(calc!$R$3:$R$306&lt;R6)+(calc!$Q$3:$Q$306&lt;Q6)*(calc!$R$3:$R$306&gt;R6))&gt;0)),0)</f>
        <v/>
      </c>
      <c r="T6" s="5">
        <f>IF(mos_metrics!H5="","",mos_metrics!H5)</f>
        <v/>
      </c>
      <c r="U6" s="2">
        <f>AND($J6,ISNUMBER(T6),correlation!$I$27=1)</f>
        <v/>
      </c>
      <c r="V6" s="5">
        <f>IF(U6,$F6,"")</f>
        <v/>
      </c>
      <c r="W6" s="5">
        <f>IF(U6,T6*correlation!$J$27,"")</f>
        <v/>
      </c>
      <c r="X6" s="5">
        <f>IF(AND(U6,ISNUMBER(correlation!$F$27)),W6*correlation!$F$27+correlation!$G$27,"")</f>
        <v/>
      </c>
      <c r="Y6" s="5">
        <f>IF(AND(U6,ISNUMBER(X6)),(V6-X6)^2,"")</f>
        <v/>
      </c>
      <c r="Z6" s="5">
        <f>IF(U6,1+SUMPRODUCT(--(calc!$U$3:$U$306=TRUE),--(calc!$V$3:$V$306&gt;V6))+(SUMPRODUCT(--(calc!$U$3:$U$306=TRUE),--(calc!$V$3:$V$306=V6))-1)/2,"")</f>
        <v/>
      </c>
      <c r="AA6" s="5">
        <f>IF(U6,1+SUMPRODUCT(--(calc!$U$3:$U$306=TRUE),--(calc!$W$3:$W$306&gt;W6))+(SUMPRODUCT(--(calc!$U$3:$U$306=TRUE),--(calc!$W$3:$W$306=W6))-1)/2,"")</f>
        <v/>
      </c>
      <c r="AB6" s="5">
        <f>IF(U6,SUMPRODUCT(--(calc!$U$3:$U$306=TRUE),--(ROW(calc!$U$3:$U$306)&gt;ROW(U6)),--(((calc!$Z$3:$Z$306&gt;Z6)*(calc!$AA$3:$AA$306&gt;AA6)+(calc!$Z$3:$Z$306&lt;Z6)*(calc!$AA$3:$AA$306&lt;AA6))&gt;0))-SUMPRODUCT(--(calc!$U$3:$U$306=TRUE),--(ROW(calc!$U$3:$U$306)&gt;ROW(U6)),--(((calc!$Z$3:$Z$306&gt;Z6)*(calc!$AA$3:$AA$306&lt;AA6)+(calc!$Z$3:$Z$306&lt;Z6)*(calc!$AA$3:$AA$306&gt;AA6))&gt;0)),0)</f>
        <v/>
      </c>
      <c r="AC6" s="5">
        <f>IF(mos_metrics!I5="","",mos_metrics!I5)</f>
        <v/>
      </c>
      <c r="AD6" s="2">
        <f>AND($J6,ISNUMBER(AC6),correlation!$I$28=1)</f>
        <v/>
      </c>
      <c r="AE6" s="5">
        <f>IF(AD6,$F6,"")</f>
        <v/>
      </c>
      <c r="AF6" s="5">
        <f>IF(AD6,AC6*correlation!$J$28,"")</f>
        <v/>
      </c>
      <c r="AG6" s="5">
        <f>IF(AND(AD6,ISNUMBER(correlation!$F$28)),AF6*correlation!$F$28+correlation!$G$28,"")</f>
        <v/>
      </c>
      <c r="AH6" s="5">
        <f>IF(AND(AD6,ISNUMBER(AG6)),(AE6-AG6)^2,"")</f>
        <v/>
      </c>
      <c r="AI6" s="5">
        <f>IF(AD6,1+SUMPRODUCT(--(calc!$AD$3:$AD$306=TRUE),--(calc!$AE$3:$AE$306&gt;AE6))+(SUMPRODUCT(--(calc!$AD$3:$AD$306=TRUE),--(calc!$AE$3:$AE$306=AE6))-1)/2,"")</f>
        <v/>
      </c>
      <c r="AJ6" s="5">
        <f>IF(AD6,1+SUMPRODUCT(--(calc!$AD$3:$AD$306=TRUE),--(calc!$AF$3:$AF$306&gt;AF6))+(SUMPRODUCT(--(calc!$AD$3:$AD$306=TRUE),--(calc!$AF$3:$AF$306=AF6))-1)/2,"")</f>
        <v/>
      </c>
      <c r="AK6" s="5">
        <f>IF(AD6,SUMPRODUCT(--(calc!$AD$3:$AD$306=TRUE),--(ROW(calc!$AD$3:$AD$306)&gt;ROW(AD6)),--(((calc!$AI$3:$AI$306&gt;AI6)*(calc!$AJ$3:$AJ$306&gt;AJ6)+(calc!$AI$3:$AI$306&lt;AI6)*(calc!$AJ$3:$AJ$306&lt;AJ6))&gt;0))-SUMPRODUCT(--(calc!$AD$3:$AD$306=TRUE),--(ROW(calc!$AD$3:$AD$306)&gt;ROW(AD6)),--(((calc!$AI$3:$AI$306&gt;AI6)*(calc!$AJ$3:$AJ$306&lt;AJ6)+(calc!$AI$3:$AI$306&lt;AI6)*(calc!$AJ$3:$AJ$306&gt;AJ6))&gt;0)),0)</f>
        <v/>
      </c>
      <c r="AL6" s="5">
        <f>IF(mos_metrics!J5="","",mos_metrics!J5)</f>
        <v/>
      </c>
      <c r="AM6" s="2">
        <f>AND($J6,ISNUMBER(AL6),correlation!$I$29=1)</f>
        <v/>
      </c>
      <c r="AN6" s="5">
        <f>IF(AM6,$F6,"")</f>
        <v/>
      </c>
      <c r="AO6" s="5">
        <f>IF(AM6,AL6*correlation!$J$29,"")</f>
        <v/>
      </c>
      <c r="AP6" s="5">
        <f>IF(AND(AM6,ISNUMBER(correlation!$F$29)),AO6*correlation!$F$29+correlation!$G$29,"")</f>
        <v/>
      </c>
      <c r="AQ6" s="5">
        <f>IF(AND(AM6,ISNUMBER(AP6)),(AN6-AP6)^2,"")</f>
        <v/>
      </c>
      <c r="AR6" s="5">
        <f>IF(AM6,1+SUMPRODUCT(--(calc!$AM$3:$AM$306=TRUE),--(calc!$AN$3:$AN$306&gt;AN6))+(SUMPRODUCT(--(calc!$AM$3:$AM$306=TRUE),--(calc!$AN$3:$AN$306=AN6))-1)/2,"")</f>
        <v/>
      </c>
      <c r="AS6" s="5">
        <f>IF(AM6,1+SUMPRODUCT(--(calc!$AM$3:$AM$306=TRUE),--(calc!$AO$3:$AO$306&gt;AO6))+(SUMPRODUCT(--(calc!$AM$3:$AM$306=TRUE),--(calc!$AO$3:$AO$306=AO6))-1)/2,"")</f>
        <v/>
      </c>
      <c r="AT6" s="5">
        <f>IF(AM6,SUMPRODUCT(--(calc!$AM$3:$AM$306=TRUE),--(ROW(calc!$AM$3:$AM$306)&gt;ROW(AM6)),--(((calc!$AR$3:$AR$306&gt;AR6)*(calc!$AS$3:$AS$306&gt;AS6)+(calc!$AR$3:$AR$306&lt;AR6)*(calc!$AS$3:$AS$306&lt;AS6))&gt;0))-SUMPRODUCT(--(calc!$AM$3:$AM$306=TRUE),--(ROW(calc!$AM$3:$AM$306)&gt;ROW(AM6)),--(((calc!$AR$3:$AR$306&gt;AR6)*(calc!$AS$3:$AS$306&lt;AS6)+(calc!$AR$3:$AR$306&lt;AR6)*(calc!$AS$3:$AS$306&gt;AS6))&gt;0)),0)</f>
        <v/>
      </c>
      <c r="AU6" s="5">
        <f>IF(mos_metrics!K5="","",mos_metrics!K5)</f>
        <v/>
      </c>
      <c r="AV6" s="2">
        <f>AND($J6,ISNUMBER(AU6),correlation!$I$30=1)</f>
        <v/>
      </c>
      <c r="AW6" s="5">
        <f>IF(AV6,$F6,"")</f>
        <v/>
      </c>
      <c r="AX6" s="5">
        <f>IF(AV6,AU6*correlation!$J$30,"")</f>
        <v/>
      </c>
      <c r="AY6" s="5">
        <f>IF(AND(AV6,ISNUMBER(correlation!$F$30)),AX6*correlation!$F$30+correlation!$G$30,"")</f>
        <v/>
      </c>
      <c r="AZ6" s="5">
        <f>IF(AND(AV6,ISNUMBER(AY6)),(AW6-AY6)^2,"")</f>
        <v/>
      </c>
      <c r="BA6" s="5">
        <f>IF(AV6,1+SUMPRODUCT(--(calc!$AV$3:$AV$306=TRUE),--(calc!$AW$3:$AW$306&gt;AW6))+(SUMPRODUCT(--(calc!$AV$3:$AV$306=TRUE),--(calc!$AW$3:$AW$306=AW6))-1)/2,"")</f>
        <v/>
      </c>
      <c r="BB6" s="5">
        <f>IF(AV6,1+SUMPRODUCT(--(calc!$AV$3:$AV$306=TRUE),--(calc!$AX$3:$AX$306&gt;AX6))+(SUMPRODUCT(--(calc!$AV$3:$AV$306=TRUE),--(calc!$AX$3:$AX$306=AX6))-1)/2,"")</f>
        <v/>
      </c>
      <c r="BC6" s="5">
        <f>IF(AV6,SUMPRODUCT(--(calc!$AV$3:$AV$306=TRUE),--(ROW(calc!$AV$3:$AV$306)&gt;ROW(AV6)),--(((calc!$BA$3:$BA$306&gt;BA6)*(calc!$BB$3:$BB$306&gt;BB6)+(calc!$BA$3:$BA$306&lt;BA6)*(calc!$BB$3:$BB$306&lt;BB6))&gt;0))-SUMPRODUCT(--(calc!$AV$3:$AV$306=TRUE),--(ROW(calc!$AV$3:$AV$306)&gt;ROW(AV6)),--(((calc!$BA$3:$BA$306&gt;BA6)*(calc!$BB$3:$BB$306&lt;BB6)+(calc!$BA$3:$BA$306&lt;BA6)*(calc!$BB$3:$BB$306&gt;BB6))&gt;0)),0)</f>
        <v/>
      </c>
      <c r="BD6" s="5">
        <f>IF(mos_metrics!L5="","",mos_metrics!L5)</f>
        <v/>
      </c>
      <c r="BE6" s="2">
        <f>AND($J6,ISNUMBER(BD6),correlation!$I$31=1)</f>
        <v/>
      </c>
      <c r="BF6" s="5">
        <f>IF(BE6,$F6,"")</f>
        <v/>
      </c>
      <c r="BG6" s="5">
        <f>IF(BE6,BD6*correlation!$J$31,"")</f>
        <v/>
      </c>
      <c r="BH6" s="5">
        <f>IF(AND(BE6,ISNUMBER(correlation!$F$31)),BG6*correlation!$F$31+correlation!$G$31,"")</f>
        <v/>
      </c>
      <c r="BI6" s="5">
        <f>IF(AND(BE6,ISNUMBER(BH6)),(BF6-BH6)^2,"")</f>
        <v/>
      </c>
      <c r="BJ6" s="5">
        <f>IF(BE6,1+SUMPRODUCT(--(calc!$BE$3:$BE$306=TRUE),--(calc!$BF$3:$BF$306&gt;BF6))+(SUMPRODUCT(--(calc!$BE$3:$BE$306=TRUE),--(calc!$BF$3:$BF$306=BF6))-1)/2,"")</f>
        <v/>
      </c>
      <c r="BK6" s="5">
        <f>IF(BE6,1+SUMPRODUCT(--(calc!$BE$3:$BE$306=TRUE),--(calc!$BG$3:$BG$306&gt;BG6))+(SUMPRODUCT(--(calc!$BE$3:$BE$306=TRUE),--(calc!$BG$3:$BG$306=BG6))-1)/2,"")</f>
        <v/>
      </c>
      <c r="BL6" s="5">
        <f>IF(BE6,SUMPRODUCT(--(calc!$BE$3:$BE$306=TRUE),--(ROW(calc!$BE$3:$BE$306)&gt;ROW(BE6)),--(((calc!$BJ$3:$BJ$306&gt;BJ6)*(calc!$BK$3:$BK$306&gt;BK6)+(calc!$BJ$3:$BJ$306&lt;BJ6)*(calc!$BK$3:$BK$306&lt;BK6))&gt;0))-SUMPRODUCT(--(calc!$BE$3:$BE$306=TRUE),--(ROW(calc!$BE$3:$BE$306)&gt;ROW(BE6)),--(((calc!$BJ$3:$BJ$306&gt;BJ6)*(calc!$BK$3:$BK$306&lt;BK6)+(calc!$BJ$3:$BJ$306&lt;BJ6)*(calc!$BK$3:$BK$306&gt;BK6))&gt;0)),0)</f>
        <v/>
      </c>
      <c r="BM6" s="5">
        <f>IF(mos_metrics!M5="","",mos_metrics!M5)</f>
        <v/>
      </c>
      <c r="BN6" s="2">
        <f>AND($J6,ISNUMBER(BM6),correlation!$I$32=1)</f>
        <v/>
      </c>
      <c r="BO6" s="5">
        <f>IF(BN6,$F6,"")</f>
        <v/>
      </c>
      <c r="BP6" s="5">
        <f>IF(BN6,BM6*correlation!$J$32,"")</f>
        <v/>
      </c>
      <c r="BQ6" s="5">
        <f>IF(AND(BN6,ISNUMBER(correlation!$F$32)),BP6*correlation!$F$32+correlation!$G$32,"")</f>
        <v/>
      </c>
      <c r="BR6" s="5">
        <f>IF(AND(BN6,ISNUMBER(BQ6)),(BO6-BQ6)^2,"")</f>
        <v/>
      </c>
      <c r="BS6" s="5">
        <f>IF(BN6,1+SUMPRODUCT(--(calc!$BN$3:$BN$306=TRUE),--(calc!$BO$3:$BO$306&gt;BO6))+(SUMPRODUCT(--(calc!$BN$3:$BN$306=TRUE),--(calc!$BO$3:$BO$306=BO6))-1)/2,"")</f>
        <v/>
      </c>
      <c r="BT6" s="5">
        <f>IF(BN6,1+SUMPRODUCT(--(calc!$BN$3:$BN$306=TRUE),--(calc!$BP$3:$BP$306&gt;BP6))+(SUMPRODUCT(--(calc!$BN$3:$BN$306=TRUE),--(calc!$BP$3:$BP$306=BP6))-1)/2,"")</f>
        <v/>
      </c>
      <c r="BU6" s="5">
        <f>IF(BN6,SUMPRODUCT(--(calc!$BN$3:$BN$306=TRUE),--(ROW(calc!$BN$3:$BN$306)&gt;ROW(BN6)),--(((calc!$BS$3:$BS$306&gt;BS6)*(calc!$BT$3:$BT$306&gt;BT6)+(calc!$BS$3:$BS$306&lt;BS6)*(calc!$BT$3:$BT$306&lt;BT6))&gt;0))-SUMPRODUCT(--(calc!$BN$3:$BN$306=TRUE),--(ROW(calc!$BN$3:$BN$306)&gt;ROW(BN6)),--(((calc!$BS$3:$BS$306&gt;BS6)*(calc!$BT$3:$BT$306&lt;BT6)+(calc!$BS$3:$BS$306&lt;BS6)*(calc!$BT$3:$BT$306&gt;BT6))&gt;0)),0)</f>
        <v/>
      </c>
    </row>
    <row r="7">
      <c r="A7" s="2">
        <f>mos_metrics!A6</f>
        <v/>
      </c>
      <c r="B7" s="2">
        <f>mos_metrics!B6</f>
        <v/>
      </c>
      <c r="C7" s="2">
        <f>mos_metrics!C6</f>
        <v/>
      </c>
      <c r="D7" s="2">
        <f>mos_metrics!D6</f>
        <v/>
      </c>
      <c r="E7" s="2">
        <f>mos_metrics!E6</f>
        <v/>
      </c>
      <c r="F7" s="2">
        <f>mos_metrics!F6</f>
        <v/>
      </c>
      <c r="G7" s="2">
        <f>IF($B7="","",IFERROR(VLOOKUP($B7,correlation!$A$2:$B$16,2,FALSE),1))</f>
        <v/>
      </c>
      <c r="H7" s="2">
        <f>IF($E7="","",IFERROR(VLOOKUP($E7,correlation!$D$2:$E$8,2,FALSE),1))</f>
        <v/>
      </c>
      <c r="I7" s="2">
        <f>ISNUMBER($F7)</f>
        <v/>
      </c>
      <c r="J7" s="2">
        <f>AND($G7=1,$H7=1,$I7)</f>
        <v/>
      </c>
      <c r="K7" s="5">
        <f>IF(mos_metrics!G6="","",mos_metrics!G6)</f>
        <v/>
      </c>
      <c r="L7" s="2">
        <f>AND($J7,ISNUMBER(K7),correlation!$I$26=1)</f>
        <v/>
      </c>
      <c r="M7" s="5">
        <f>IF(L7,$F7,"")</f>
        <v/>
      </c>
      <c r="N7" s="5">
        <f>IF(L7,K7*correlation!$J$26,"")</f>
        <v/>
      </c>
      <c r="O7" s="5">
        <f>IF(AND(L7,ISNUMBER(correlation!$F$26)),N7*correlation!$F$26+correlation!$G$26,"")</f>
        <v/>
      </c>
      <c r="P7" s="5">
        <f>IF(AND(L7,ISNUMBER(O7)),(M7-O7)^2,"")</f>
        <v/>
      </c>
      <c r="Q7" s="5">
        <f>IF(L7,1+SUMPRODUCT(--(calc!$L$3:$L$306=TRUE),--(calc!$M$3:$M$306&gt;M7))+(SUMPRODUCT(--(calc!$L$3:$L$306=TRUE),--(calc!$M$3:$M$306=M7))-1)/2,"")</f>
        <v/>
      </c>
      <c r="R7" s="5">
        <f>IF(L7,1+SUMPRODUCT(--(calc!$L$3:$L$306=TRUE),--(calc!$N$3:$N$306&gt;N7))+(SUMPRODUCT(--(calc!$L$3:$L$306=TRUE),--(calc!$N$3:$N$306=N7))-1)/2,"")</f>
        <v/>
      </c>
      <c r="S7" s="5">
        <f>IF(L7,SUMPRODUCT(--(calc!$L$3:$L$306=TRUE),--(ROW(calc!$L$3:$L$306)&gt;ROW(L7)),--(((calc!$Q$3:$Q$306&gt;Q7)*(calc!$R$3:$R$306&gt;R7)+(calc!$Q$3:$Q$306&lt;Q7)*(calc!$R$3:$R$306&lt;R7))&gt;0))-SUMPRODUCT(--(calc!$L$3:$L$306=TRUE),--(ROW(calc!$L$3:$L$306)&gt;ROW(L7)),--(((calc!$Q$3:$Q$306&gt;Q7)*(calc!$R$3:$R$306&lt;R7)+(calc!$Q$3:$Q$306&lt;Q7)*(calc!$R$3:$R$306&gt;R7))&gt;0)),0)</f>
        <v/>
      </c>
      <c r="T7" s="5">
        <f>IF(mos_metrics!H6="","",mos_metrics!H6)</f>
        <v/>
      </c>
      <c r="U7" s="2">
        <f>AND($J7,ISNUMBER(T7),correlation!$I$27=1)</f>
        <v/>
      </c>
      <c r="V7" s="5">
        <f>IF(U7,$F7,"")</f>
        <v/>
      </c>
      <c r="W7" s="5">
        <f>IF(U7,T7*correlation!$J$27,"")</f>
        <v/>
      </c>
      <c r="X7" s="5">
        <f>IF(AND(U7,ISNUMBER(correlation!$F$27)),W7*correlation!$F$27+correlation!$G$27,"")</f>
        <v/>
      </c>
      <c r="Y7" s="5">
        <f>IF(AND(U7,ISNUMBER(X7)),(V7-X7)^2,"")</f>
        <v/>
      </c>
      <c r="Z7" s="5">
        <f>IF(U7,1+SUMPRODUCT(--(calc!$U$3:$U$306=TRUE),--(calc!$V$3:$V$306&gt;V7))+(SUMPRODUCT(--(calc!$U$3:$U$306=TRUE),--(calc!$V$3:$V$306=V7))-1)/2,"")</f>
        <v/>
      </c>
      <c r="AA7" s="5">
        <f>IF(U7,1+SUMPRODUCT(--(calc!$U$3:$U$306=TRUE),--(calc!$W$3:$W$306&gt;W7))+(SUMPRODUCT(--(calc!$U$3:$U$306=TRUE),--(calc!$W$3:$W$306=W7))-1)/2,"")</f>
        <v/>
      </c>
      <c r="AB7" s="5">
        <f>IF(U7,SUMPRODUCT(--(calc!$U$3:$U$306=TRUE),--(ROW(calc!$U$3:$U$306)&gt;ROW(U7)),--(((calc!$Z$3:$Z$306&gt;Z7)*(calc!$AA$3:$AA$306&gt;AA7)+(calc!$Z$3:$Z$306&lt;Z7)*(calc!$AA$3:$AA$306&lt;AA7))&gt;0))-SUMPRODUCT(--(calc!$U$3:$U$306=TRUE),--(ROW(calc!$U$3:$U$306)&gt;ROW(U7)),--(((calc!$Z$3:$Z$306&gt;Z7)*(calc!$AA$3:$AA$306&lt;AA7)+(calc!$Z$3:$Z$306&lt;Z7)*(calc!$AA$3:$AA$306&gt;AA7))&gt;0)),0)</f>
        <v/>
      </c>
      <c r="AC7" s="5">
        <f>IF(mos_metrics!I6="","",mos_metrics!I6)</f>
        <v/>
      </c>
      <c r="AD7" s="2">
        <f>AND($J7,ISNUMBER(AC7),correlation!$I$28=1)</f>
        <v/>
      </c>
      <c r="AE7" s="5">
        <f>IF(AD7,$F7,"")</f>
        <v/>
      </c>
      <c r="AF7" s="5">
        <f>IF(AD7,AC7*correlation!$J$28,"")</f>
        <v/>
      </c>
      <c r="AG7" s="5">
        <f>IF(AND(AD7,ISNUMBER(correlation!$F$28)),AF7*correlation!$F$28+correlation!$G$28,"")</f>
        <v/>
      </c>
      <c r="AH7" s="5">
        <f>IF(AND(AD7,ISNUMBER(AG7)),(AE7-AG7)^2,"")</f>
        <v/>
      </c>
      <c r="AI7" s="5">
        <f>IF(AD7,1+SUMPRODUCT(--(calc!$AD$3:$AD$306=TRUE),--(calc!$AE$3:$AE$306&gt;AE7))+(SUMPRODUCT(--(calc!$AD$3:$AD$306=TRUE),--(calc!$AE$3:$AE$306=AE7))-1)/2,"")</f>
        <v/>
      </c>
      <c r="AJ7" s="5">
        <f>IF(AD7,1+SUMPRODUCT(--(calc!$AD$3:$AD$306=TRUE),--(calc!$AF$3:$AF$306&gt;AF7))+(SUMPRODUCT(--(calc!$AD$3:$AD$306=TRUE),--(calc!$AF$3:$AF$306=AF7))-1)/2,"")</f>
        <v/>
      </c>
      <c r="AK7" s="5">
        <f>IF(AD7,SUMPRODUCT(--(calc!$AD$3:$AD$306=TRUE),--(ROW(calc!$AD$3:$AD$306)&gt;ROW(AD7)),--(((calc!$AI$3:$AI$306&gt;AI7)*(calc!$AJ$3:$AJ$306&gt;AJ7)+(calc!$AI$3:$AI$306&lt;AI7)*(calc!$AJ$3:$AJ$306&lt;AJ7))&gt;0))-SUMPRODUCT(--(calc!$AD$3:$AD$306=TRUE),--(ROW(calc!$AD$3:$AD$306)&gt;ROW(AD7)),--(((calc!$AI$3:$AI$306&gt;AI7)*(calc!$AJ$3:$AJ$306&lt;AJ7)+(calc!$AI$3:$AI$306&lt;AI7)*(calc!$AJ$3:$AJ$306&gt;AJ7))&gt;0)),0)</f>
        <v/>
      </c>
      <c r="AL7" s="5">
        <f>IF(mos_metrics!J6="","",mos_metrics!J6)</f>
        <v/>
      </c>
      <c r="AM7" s="2">
        <f>AND($J7,ISNUMBER(AL7),correlation!$I$29=1)</f>
        <v/>
      </c>
      <c r="AN7" s="5">
        <f>IF(AM7,$F7,"")</f>
        <v/>
      </c>
      <c r="AO7" s="5">
        <f>IF(AM7,AL7*correlation!$J$29,"")</f>
        <v/>
      </c>
      <c r="AP7" s="5">
        <f>IF(AND(AM7,ISNUMBER(correlation!$F$29)),AO7*correlation!$F$29+correlation!$G$29,"")</f>
        <v/>
      </c>
      <c r="AQ7" s="5">
        <f>IF(AND(AM7,ISNUMBER(AP7)),(AN7-AP7)^2,"")</f>
        <v/>
      </c>
      <c r="AR7" s="5">
        <f>IF(AM7,1+SUMPRODUCT(--(calc!$AM$3:$AM$306=TRUE),--(calc!$AN$3:$AN$306&gt;AN7))+(SUMPRODUCT(--(calc!$AM$3:$AM$306=TRUE),--(calc!$AN$3:$AN$306=AN7))-1)/2,"")</f>
        <v/>
      </c>
      <c r="AS7" s="5">
        <f>IF(AM7,1+SUMPRODUCT(--(calc!$AM$3:$AM$306=TRUE),--(calc!$AO$3:$AO$306&gt;AO7))+(SUMPRODUCT(--(calc!$AM$3:$AM$306=TRUE),--(calc!$AO$3:$AO$306=AO7))-1)/2,"")</f>
        <v/>
      </c>
      <c r="AT7" s="5">
        <f>IF(AM7,SUMPRODUCT(--(calc!$AM$3:$AM$306=TRUE),--(ROW(calc!$AM$3:$AM$306)&gt;ROW(AM7)),--(((calc!$AR$3:$AR$306&gt;AR7)*(calc!$AS$3:$AS$306&gt;AS7)+(calc!$AR$3:$AR$306&lt;AR7)*(calc!$AS$3:$AS$306&lt;AS7))&gt;0))-SUMPRODUCT(--(calc!$AM$3:$AM$306=TRUE),--(ROW(calc!$AM$3:$AM$306)&gt;ROW(AM7)),--(((calc!$AR$3:$AR$306&gt;AR7)*(calc!$AS$3:$AS$306&lt;AS7)+(calc!$AR$3:$AR$306&lt;AR7)*(calc!$AS$3:$AS$306&gt;AS7))&gt;0)),0)</f>
        <v/>
      </c>
      <c r="AU7" s="5">
        <f>IF(mos_metrics!K6="","",mos_metrics!K6)</f>
        <v/>
      </c>
      <c r="AV7" s="2">
        <f>AND($J7,ISNUMBER(AU7),correlation!$I$30=1)</f>
        <v/>
      </c>
      <c r="AW7" s="5">
        <f>IF(AV7,$F7,"")</f>
        <v/>
      </c>
      <c r="AX7" s="5">
        <f>IF(AV7,AU7*correlation!$J$30,"")</f>
        <v/>
      </c>
      <c r="AY7" s="5">
        <f>IF(AND(AV7,ISNUMBER(correlation!$F$30)),AX7*correlation!$F$30+correlation!$G$30,"")</f>
        <v/>
      </c>
      <c r="AZ7" s="5">
        <f>IF(AND(AV7,ISNUMBER(AY7)),(AW7-AY7)^2,"")</f>
        <v/>
      </c>
      <c r="BA7" s="5">
        <f>IF(AV7,1+SUMPRODUCT(--(calc!$AV$3:$AV$306=TRUE),--(calc!$AW$3:$AW$306&gt;AW7))+(SUMPRODUCT(--(calc!$AV$3:$AV$306=TRUE),--(calc!$AW$3:$AW$306=AW7))-1)/2,"")</f>
        <v/>
      </c>
      <c r="BB7" s="5">
        <f>IF(AV7,1+SUMPRODUCT(--(calc!$AV$3:$AV$306=TRUE),--(calc!$AX$3:$AX$306&gt;AX7))+(SUMPRODUCT(--(calc!$AV$3:$AV$306=TRUE),--(calc!$AX$3:$AX$306=AX7))-1)/2,"")</f>
        <v/>
      </c>
      <c r="BC7" s="5">
        <f>IF(AV7,SUMPRODUCT(--(calc!$AV$3:$AV$306=TRUE),--(ROW(calc!$AV$3:$AV$306)&gt;ROW(AV7)),--(((calc!$BA$3:$BA$306&gt;BA7)*(calc!$BB$3:$BB$306&gt;BB7)+(calc!$BA$3:$BA$306&lt;BA7)*(calc!$BB$3:$BB$306&lt;BB7))&gt;0))-SUMPRODUCT(--(calc!$AV$3:$AV$306=TRUE),--(ROW(calc!$AV$3:$AV$306)&gt;ROW(AV7)),--(((calc!$BA$3:$BA$306&gt;BA7)*(calc!$BB$3:$BB$306&lt;BB7)+(calc!$BA$3:$BA$306&lt;BA7)*(calc!$BB$3:$BB$306&gt;BB7))&gt;0)),0)</f>
        <v/>
      </c>
      <c r="BD7" s="5">
        <f>IF(mos_metrics!L6="","",mos_metrics!L6)</f>
        <v/>
      </c>
      <c r="BE7" s="2">
        <f>AND($J7,ISNUMBER(BD7),correlation!$I$31=1)</f>
        <v/>
      </c>
      <c r="BF7" s="5">
        <f>IF(BE7,$F7,"")</f>
        <v/>
      </c>
      <c r="BG7" s="5">
        <f>IF(BE7,BD7*correlation!$J$31,"")</f>
        <v/>
      </c>
      <c r="BH7" s="5">
        <f>IF(AND(BE7,ISNUMBER(correlation!$F$31)),BG7*correlation!$F$31+correlation!$G$31,"")</f>
        <v/>
      </c>
      <c r="BI7" s="5">
        <f>IF(AND(BE7,ISNUMBER(BH7)),(BF7-BH7)^2,"")</f>
        <v/>
      </c>
      <c r="BJ7" s="5">
        <f>IF(BE7,1+SUMPRODUCT(--(calc!$BE$3:$BE$306=TRUE),--(calc!$BF$3:$BF$306&gt;BF7))+(SUMPRODUCT(--(calc!$BE$3:$BE$306=TRUE),--(calc!$BF$3:$BF$306=BF7))-1)/2,"")</f>
        <v/>
      </c>
      <c r="BK7" s="5">
        <f>IF(BE7,1+SUMPRODUCT(--(calc!$BE$3:$BE$306=TRUE),--(calc!$BG$3:$BG$306&gt;BG7))+(SUMPRODUCT(--(calc!$BE$3:$BE$306=TRUE),--(calc!$BG$3:$BG$306=BG7))-1)/2,"")</f>
        <v/>
      </c>
      <c r="BL7" s="5">
        <f>IF(BE7,SUMPRODUCT(--(calc!$BE$3:$BE$306=TRUE),--(ROW(calc!$BE$3:$BE$306)&gt;ROW(BE7)),--(((calc!$BJ$3:$BJ$306&gt;BJ7)*(calc!$BK$3:$BK$306&gt;BK7)+(calc!$BJ$3:$BJ$306&lt;BJ7)*(calc!$BK$3:$BK$306&lt;BK7))&gt;0))-SUMPRODUCT(--(calc!$BE$3:$BE$306=TRUE),--(ROW(calc!$BE$3:$BE$306)&gt;ROW(BE7)),--(((calc!$BJ$3:$BJ$306&gt;BJ7)*(calc!$BK$3:$BK$306&lt;BK7)+(calc!$BJ$3:$BJ$306&lt;BJ7)*(calc!$BK$3:$BK$306&gt;BK7))&gt;0)),0)</f>
        <v/>
      </c>
      <c r="BM7" s="5">
        <f>IF(mos_metrics!M6="","",mos_metrics!M6)</f>
        <v/>
      </c>
      <c r="BN7" s="2">
        <f>AND($J7,ISNUMBER(BM7),correlation!$I$32=1)</f>
        <v/>
      </c>
      <c r="BO7" s="5">
        <f>IF(BN7,$F7,"")</f>
        <v/>
      </c>
      <c r="BP7" s="5">
        <f>IF(BN7,BM7*correlation!$J$32,"")</f>
        <v/>
      </c>
      <c r="BQ7" s="5">
        <f>IF(AND(BN7,ISNUMBER(correlation!$F$32)),BP7*correlation!$F$32+correlation!$G$32,"")</f>
        <v/>
      </c>
      <c r="BR7" s="5">
        <f>IF(AND(BN7,ISNUMBER(BQ7)),(BO7-BQ7)^2,"")</f>
        <v/>
      </c>
      <c r="BS7" s="5">
        <f>IF(BN7,1+SUMPRODUCT(--(calc!$BN$3:$BN$306=TRUE),--(calc!$BO$3:$BO$306&gt;BO7))+(SUMPRODUCT(--(calc!$BN$3:$BN$306=TRUE),--(calc!$BO$3:$BO$306=BO7))-1)/2,"")</f>
        <v/>
      </c>
      <c r="BT7" s="5">
        <f>IF(BN7,1+SUMPRODUCT(--(calc!$BN$3:$BN$306=TRUE),--(calc!$BP$3:$BP$306&gt;BP7))+(SUMPRODUCT(--(calc!$BN$3:$BN$306=TRUE),--(calc!$BP$3:$BP$306=BP7))-1)/2,"")</f>
        <v/>
      </c>
      <c r="BU7" s="5">
        <f>IF(BN7,SUMPRODUCT(--(calc!$BN$3:$BN$306=TRUE),--(ROW(calc!$BN$3:$BN$306)&gt;ROW(BN7)),--(((calc!$BS$3:$BS$306&gt;BS7)*(calc!$BT$3:$BT$306&gt;BT7)+(calc!$BS$3:$BS$306&lt;BS7)*(calc!$BT$3:$BT$306&lt;BT7))&gt;0))-SUMPRODUCT(--(calc!$BN$3:$BN$306=TRUE),--(ROW(calc!$BN$3:$BN$306)&gt;ROW(BN7)),--(((calc!$BS$3:$BS$306&gt;BS7)*(calc!$BT$3:$BT$306&lt;BT7)+(calc!$BS$3:$BS$306&lt;BS7)*(calc!$BT$3:$BT$306&gt;BT7))&gt;0)),0)</f>
        <v/>
      </c>
    </row>
    <row r="8">
      <c r="A8" s="2">
        <f>mos_metrics!A7</f>
        <v/>
      </c>
      <c r="B8" s="2">
        <f>mos_metrics!B7</f>
        <v/>
      </c>
      <c r="C8" s="2">
        <f>mos_metrics!C7</f>
        <v/>
      </c>
      <c r="D8" s="2">
        <f>mos_metrics!D7</f>
        <v/>
      </c>
      <c r="E8" s="2">
        <f>mos_metrics!E7</f>
        <v/>
      </c>
      <c r="F8" s="2">
        <f>mos_metrics!F7</f>
        <v/>
      </c>
      <c r="G8" s="2">
        <f>IF($B8="","",IFERROR(VLOOKUP($B8,correlation!$A$2:$B$16,2,FALSE),1))</f>
        <v/>
      </c>
      <c r="H8" s="2">
        <f>IF($E8="","",IFERROR(VLOOKUP($E8,correlation!$D$2:$E$8,2,FALSE),1))</f>
        <v/>
      </c>
      <c r="I8" s="2">
        <f>ISNUMBER($F8)</f>
        <v/>
      </c>
      <c r="J8" s="2">
        <f>AND($G8=1,$H8=1,$I8)</f>
        <v/>
      </c>
      <c r="K8" s="5">
        <f>IF(mos_metrics!G7="","",mos_metrics!G7)</f>
        <v/>
      </c>
      <c r="L8" s="2">
        <f>AND($J8,ISNUMBER(K8),correlation!$I$26=1)</f>
        <v/>
      </c>
      <c r="M8" s="5">
        <f>IF(L8,$F8,"")</f>
        <v/>
      </c>
      <c r="N8" s="5">
        <f>IF(L8,K8*correlation!$J$26,"")</f>
        <v/>
      </c>
      <c r="O8" s="5">
        <f>IF(AND(L8,ISNUMBER(correlation!$F$26)),N8*correlation!$F$26+correlation!$G$26,"")</f>
        <v/>
      </c>
      <c r="P8" s="5">
        <f>IF(AND(L8,ISNUMBER(O8)),(M8-O8)^2,"")</f>
        <v/>
      </c>
      <c r="Q8" s="5">
        <f>IF(L8,1+SUMPRODUCT(--(calc!$L$3:$L$306=TRUE),--(calc!$M$3:$M$306&gt;M8))+(SUMPRODUCT(--(calc!$L$3:$L$306=TRUE),--(calc!$M$3:$M$306=M8))-1)/2,"")</f>
        <v/>
      </c>
      <c r="R8" s="5">
        <f>IF(L8,1+SUMPRODUCT(--(calc!$L$3:$L$306=TRUE),--(calc!$N$3:$N$306&gt;N8))+(SUMPRODUCT(--(calc!$L$3:$L$306=TRUE),--(calc!$N$3:$N$306=N8))-1)/2,"")</f>
        <v/>
      </c>
      <c r="S8" s="5">
        <f>IF(L8,SUMPRODUCT(--(calc!$L$3:$L$306=TRUE),--(ROW(calc!$L$3:$L$306)&gt;ROW(L8)),--(((calc!$Q$3:$Q$306&gt;Q8)*(calc!$R$3:$R$306&gt;R8)+(calc!$Q$3:$Q$306&lt;Q8)*(calc!$R$3:$R$306&lt;R8))&gt;0))-SUMPRODUCT(--(calc!$L$3:$L$306=TRUE),--(ROW(calc!$L$3:$L$306)&gt;ROW(L8)),--(((calc!$Q$3:$Q$306&gt;Q8)*(calc!$R$3:$R$306&lt;R8)+(calc!$Q$3:$Q$306&lt;Q8)*(calc!$R$3:$R$306&gt;R8))&gt;0)),0)</f>
        <v/>
      </c>
      <c r="T8" s="5">
        <f>IF(mos_metrics!H7="","",mos_metrics!H7)</f>
        <v/>
      </c>
      <c r="U8" s="2">
        <f>AND($J8,ISNUMBER(T8),correlation!$I$27=1)</f>
        <v/>
      </c>
      <c r="V8" s="5">
        <f>IF(U8,$F8,"")</f>
        <v/>
      </c>
      <c r="W8" s="5">
        <f>IF(U8,T8*correlation!$J$27,"")</f>
        <v/>
      </c>
      <c r="X8" s="5">
        <f>IF(AND(U8,ISNUMBER(correlation!$F$27)),W8*correlation!$F$27+correlation!$G$27,"")</f>
        <v/>
      </c>
      <c r="Y8" s="5">
        <f>IF(AND(U8,ISNUMBER(X8)),(V8-X8)^2,"")</f>
        <v/>
      </c>
      <c r="Z8" s="5">
        <f>IF(U8,1+SUMPRODUCT(--(calc!$U$3:$U$306=TRUE),--(calc!$V$3:$V$306&gt;V8))+(SUMPRODUCT(--(calc!$U$3:$U$306=TRUE),--(calc!$V$3:$V$306=V8))-1)/2,"")</f>
        <v/>
      </c>
      <c r="AA8" s="5">
        <f>IF(U8,1+SUMPRODUCT(--(calc!$U$3:$U$306=TRUE),--(calc!$W$3:$W$306&gt;W8))+(SUMPRODUCT(--(calc!$U$3:$U$306=TRUE),--(calc!$W$3:$W$306=W8))-1)/2,"")</f>
        <v/>
      </c>
      <c r="AB8" s="5">
        <f>IF(U8,SUMPRODUCT(--(calc!$U$3:$U$306=TRUE),--(ROW(calc!$U$3:$U$306)&gt;ROW(U8)),--(((calc!$Z$3:$Z$306&gt;Z8)*(calc!$AA$3:$AA$306&gt;AA8)+(calc!$Z$3:$Z$306&lt;Z8)*(calc!$AA$3:$AA$306&lt;AA8))&gt;0))-SUMPRODUCT(--(calc!$U$3:$U$306=TRUE),--(ROW(calc!$U$3:$U$306)&gt;ROW(U8)),--(((calc!$Z$3:$Z$306&gt;Z8)*(calc!$AA$3:$AA$306&lt;AA8)+(calc!$Z$3:$Z$306&lt;Z8)*(calc!$AA$3:$AA$306&gt;AA8))&gt;0)),0)</f>
        <v/>
      </c>
      <c r="AC8" s="5">
        <f>IF(mos_metrics!I7="","",mos_metrics!I7)</f>
        <v/>
      </c>
      <c r="AD8" s="2">
        <f>AND($J8,ISNUMBER(AC8),correlation!$I$28=1)</f>
        <v/>
      </c>
      <c r="AE8" s="5">
        <f>IF(AD8,$F8,"")</f>
        <v/>
      </c>
      <c r="AF8" s="5">
        <f>IF(AD8,AC8*correlation!$J$28,"")</f>
        <v/>
      </c>
      <c r="AG8" s="5">
        <f>IF(AND(AD8,ISNUMBER(correlation!$F$28)),AF8*correlation!$F$28+correlation!$G$28,"")</f>
        <v/>
      </c>
      <c r="AH8" s="5">
        <f>IF(AND(AD8,ISNUMBER(AG8)),(AE8-AG8)^2,"")</f>
        <v/>
      </c>
      <c r="AI8" s="5">
        <f>IF(AD8,1+SUMPRODUCT(--(calc!$AD$3:$AD$306=TRUE),--(calc!$AE$3:$AE$306&gt;AE8))+(SUMPRODUCT(--(calc!$AD$3:$AD$306=TRUE),--(calc!$AE$3:$AE$306=AE8))-1)/2,"")</f>
        <v/>
      </c>
      <c r="AJ8" s="5">
        <f>IF(AD8,1+SUMPRODUCT(--(calc!$AD$3:$AD$306=TRUE),--(calc!$AF$3:$AF$306&gt;AF8))+(SUMPRODUCT(--(calc!$AD$3:$AD$306=TRUE),--(calc!$AF$3:$AF$306=AF8))-1)/2,"")</f>
        <v/>
      </c>
      <c r="AK8" s="5">
        <f>IF(AD8,SUMPRODUCT(--(calc!$AD$3:$AD$306=TRUE),--(ROW(calc!$AD$3:$AD$306)&gt;ROW(AD8)),--(((calc!$AI$3:$AI$306&gt;AI8)*(calc!$AJ$3:$AJ$306&gt;AJ8)+(calc!$AI$3:$AI$306&lt;AI8)*(calc!$AJ$3:$AJ$306&lt;AJ8))&gt;0))-SUMPRODUCT(--(calc!$AD$3:$AD$306=TRUE),--(ROW(calc!$AD$3:$AD$306)&gt;ROW(AD8)),--(((calc!$AI$3:$AI$306&gt;AI8)*(calc!$AJ$3:$AJ$306&lt;AJ8)+(calc!$AI$3:$AI$306&lt;AI8)*(calc!$AJ$3:$AJ$306&gt;AJ8))&gt;0)),0)</f>
        <v/>
      </c>
      <c r="AL8" s="5">
        <f>IF(mos_metrics!J7="","",mos_metrics!J7)</f>
        <v/>
      </c>
      <c r="AM8" s="2">
        <f>AND($J8,ISNUMBER(AL8),correlation!$I$29=1)</f>
        <v/>
      </c>
      <c r="AN8" s="5">
        <f>IF(AM8,$F8,"")</f>
        <v/>
      </c>
      <c r="AO8" s="5">
        <f>IF(AM8,AL8*correlation!$J$29,"")</f>
        <v/>
      </c>
      <c r="AP8" s="5">
        <f>IF(AND(AM8,ISNUMBER(correlation!$F$29)),AO8*correlation!$F$29+correlation!$G$29,"")</f>
        <v/>
      </c>
      <c r="AQ8" s="5">
        <f>IF(AND(AM8,ISNUMBER(AP8)),(AN8-AP8)^2,"")</f>
        <v/>
      </c>
      <c r="AR8" s="5">
        <f>IF(AM8,1+SUMPRODUCT(--(calc!$AM$3:$AM$306=TRUE),--(calc!$AN$3:$AN$306&gt;AN8))+(SUMPRODUCT(--(calc!$AM$3:$AM$306=TRUE),--(calc!$AN$3:$AN$306=AN8))-1)/2,"")</f>
        <v/>
      </c>
      <c r="AS8" s="5">
        <f>IF(AM8,1+SUMPRODUCT(--(calc!$AM$3:$AM$306=TRUE),--(calc!$AO$3:$AO$306&gt;AO8))+(SUMPRODUCT(--(calc!$AM$3:$AM$306=TRUE),--(calc!$AO$3:$AO$306=AO8))-1)/2,"")</f>
        <v/>
      </c>
      <c r="AT8" s="5">
        <f>IF(AM8,SUMPRODUCT(--(calc!$AM$3:$AM$306=TRUE),--(ROW(calc!$AM$3:$AM$306)&gt;ROW(AM8)),--(((calc!$AR$3:$AR$306&gt;AR8)*(calc!$AS$3:$AS$306&gt;AS8)+(calc!$AR$3:$AR$306&lt;AR8)*(calc!$AS$3:$AS$306&lt;AS8))&gt;0))-SUMPRODUCT(--(calc!$AM$3:$AM$306=TRUE),--(ROW(calc!$AM$3:$AM$306)&gt;ROW(AM8)),--(((calc!$AR$3:$AR$306&gt;AR8)*(calc!$AS$3:$AS$306&lt;AS8)+(calc!$AR$3:$AR$306&lt;AR8)*(calc!$AS$3:$AS$306&gt;AS8))&gt;0)),0)</f>
        <v/>
      </c>
      <c r="AU8" s="5">
        <f>IF(mos_metrics!K7="","",mos_metrics!K7)</f>
        <v/>
      </c>
      <c r="AV8" s="2">
        <f>AND($J8,ISNUMBER(AU8),correlation!$I$30=1)</f>
        <v/>
      </c>
      <c r="AW8" s="5">
        <f>IF(AV8,$F8,"")</f>
        <v/>
      </c>
      <c r="AX8" s="5">
        <f>IF(AV8,AU8*correlation!$J$30,"")</f>
        <v/>
      </c>
      <c r="AY8" s="5">
        <f>IF(AND(AV8,ISNUMBER(correlation!$F$30)),AX8*correlation!$F$30+correlation!$G$30,"")</f>
        <v/>
      </c>
      <c r="AZ8" s="5">
        <f>IF(AND(AV8,ISNUMBER(AY8)),(AW8-AY8)^2,"")</f>
        <v/>
      </c>
      <c r="BA8" s="5">
        <f>IF(AV8,1+SUMPRODUCT(--(calc!$AV$3:$AV$306=TRUE),--(calc!$AW$3:$AW$306&gt;AW8))+(SUMPRODUCT(--(calc!$AV$3:$AV$306=TRUE),--(calc!$AW$3:$AW$306=AW8))-1)/2,"")</f>
        <v/>
      </c>
      <c r="BB8" s="5">
        <f>IF(AV8,1+SUMPRODUCT(--(calc!$AV$3:$AV$306=TRUE),--(calc!$AX$3:$AX$306&gt;AX8))+(SUMPRODUCT(--(calc!$AV$3:$AV$306=TRUE),--(calc!$AX$3:$AX$306=AX8))-1)/2,"")</f>
        <v/>
      </c>
      <c r="BC8" s="5">
        <f>IF(AV8,SUMPRODUCT(--(calc!$AV$3:$AV$306=TRUE),--(ROW(calc!$AV$3:$AV$306)&gt;ROW(AV8)),--(((calc!$BA$3:$BA$306&gt;BA8)*(calc!$BB$3:$BB$306&gt;BB8)+(calc!$BA$3:$BA$306&lt;BA8)*(calc!$BB$3:$BB$306&lt;BB8))&gt;0))-SUMPRODUCT(--(calc!$AV$3:$AV$306=TRUE),--(ROW(calc!$AV$3:$AV$306)&gt;ROW(AV8)),--(((calc!$BA$3:$BA$306&gt;BA8)*(calc!$BB$3:$BB$306&lt;BB8)+(calc!$BA$3:$BA$306&lt;BA8)*(calc!$BB$3:$BB$306&gt;BB8))&gt;0)),0)</f>
        <v/>
      </c>
      <c r="BD8" s="5">
        <f>IF(mos_metrics!L7="","",mos_metrics!L7)</f>
        <v/>
      </c>
      <c r="BE8" s="2">
        <f>AND($J8,ISNUMBER(BD8),correlation!$I$31=1)</f>
        <v/>
      </c>
      <c r="BF8" s="5">
        <f>IF(BE8,$F8,"")</f>
        <v/>
      </c>
      <c r="BG8" s="5">
        <f>IF(BE8,BD8*correlation!$J$31,"")</f>
        <v/>
      </c>
      <c r="BH8" s="5">
        <f>IF(AND(BE8,ISNUMBER(correlation!$F$31)),BG8*correlation!$F$31+correlation!$G$31,"")</f>
        <v/>
      </c>
      <c r="BI8" s="5">
        <f>IF(AND(BE8,ISNUMBER(BH8)),(BF8-BH8)^2,"")</f>
        <v/>
      </c>
      <c r="BJ8" s="5">
        <f>IF(BE8,1+SUMPRODUCT(--(calc!$BE$3:$BE$306=TRUE),--(calc!$BF$3:$BF$306&gt;BF8))+(SUMPRODUCT(--(calc!$BE$3:$BE$306=TRUE),--(calc!$BF$3:$BF$306=BF8))-1)/2,"")</f>
        <v/>
      </c>
      <c r="BK8" s="5">
        <f>IF(BE8,1+SUMPRODUCT(--(calc!$BE$3:$BE$306=TRUE),--(calc!$BG$3:$BG$306&gt;BG8))+(SUMPRODUCT(--(calc!$BE$3:$BE$306=TRUE),--(calc!$BG$3:$BG$306=BG8))-1)/2,"")</f>
        <v/>
      </c>
      <c r="BL8" s="5">
        <f>IF(BE8,SUMPRODUCT(--(calc!$BE$3:$BE$306=TRUE),--(ROW(calc!$BE$3:$BE$306)&gt;ROW(BE8)),--(((calc!$BJ$3:$BJ$306&gt;BJ8)*(calc!$BK$3:$BK$306&gt;BK8)+(calc!$BJ$3:$BJ$306&lt;BJ8)*(calc!$BK$3:$BK$306&lt;BK8))&gt;0))-SUMPRODUCT(--(calc!$BE$3:$BE$306=TRUE),--(ROW(calc!$BE$3:$BE$306)&gt;ROW(BE8)),--(((calc!$BJ$3:$BJ$306&gt;BJ8)*(calc!$BK$3:$BK$306&lt;BK8)+(calc!$BJ$3:$BJ$306&lt;BJ8)*(calc!$BK$3:$BK$306&gt;BK8))&gt;0)),0)</f>
        <v/>
      </c>
      <c r="BM8" s="5">
        <f>IF(mos_metrics!M7="","",mos_metrics!M7)</f>
        <v/>
      </c>
      <c r="BN8" s="2">
        <f>AND($J8,ISNUMBER(BM8),correlation!$I$32=1)</f>
        <v/>
      </c>
      <c r="BO8" s="5">
        <f>IF(BN8,$F8,"")</f>
        <v/>
      </c>
      <c r="BP8" s="5">
        <f>IF(BN8,BM8*correlation!$J$32,"")</f>
        <v/>
      </c>
      <c r="BQ8" s="5">
        <f>IF(AND(BN8,ISNUMBER(correlation!$F$32)),BP8*correlation!$F$32+correlation!$G$32,"")</f>
        <v/>
      </c>
      <c r="BR8" s="5">
        <f>IF(AND(BN8,ISNUMBER(BQ8)),(BO8-BQ8)^2,"")</f>
        <v/>
      </c>
      <c r="BS8" s="5">
        <f>IF(BN8,1+SUMPRODUCT(--(calc!$BN$3:$BN$306=TRUE),--(calc!$BO$3:$BO$306&gt;BO8))+(SUMPRODUCT(--(calc!$BN$3:$BN$306=TRUE),--(calc!$BO$3:$BO$306=BO8))-1)/2,"")</f>
        <v/>
      </c>
      <c r="BT8" s="5">
        <f>IF(BN8,1+SUMPRODUCT(--(calc!$BN$3:$BN$306=TRUE),--(calc!$BP$3:$BP$306&gt;BP8))+(SUMPRODUCT(--(calc!$BN$3:$BN$306=TRUE),--(calc!$BP$3:$BP$306=BP8))-1)/2,"")</f>
        <v/>
      </c>
      <c r="BU8" s="5">
        <f>IF(BN8,SUMPRODUCT(--(calc!$BN$3:$BN$306=TRUE),--(ROW(calc!$BN$3:$BN$306)&gt;ROW(BN8)),--(((calc!$BS$3:$BS$306&gt;BS8)*(calc!$BT$3:$BT$306&gt;BT8)+(calc!$BS$3:$BS$306&lt;BS8)*(calc!$BT$3:$BT$306&lt;BT8))&gt;0))-SUMPRODUCT(--(calc!$BN$3:$BN$306=TRUE),--(ROW(calc!$BN$3:$BN$306)&gt;ROW(BN8)),--(((calc!$BS$3:$BS$306&gt;BS8)*(calc!$BT$3:$BT$306&lt;BT8)+(calc!$BS$3:$BS$306&lt;BS8)*(calc!$BT$3:$BT$306&gt;BT8))&gt;0)),0)</f>
        <v/>
      </c>
    </row>
    <row r="9">
      <c r="A9" s="2">
        <f>mos_metrics!A8</f>
        <v/>
      </c>
      <c r="B9" s="2">
        <f>mos_metrics!B8</f>
        <v/>
      </c>
      <c r="C9" s="2">
        <f>mos_metrics!C8</f>
        <v/>
      </c>
      <c r="D9" s="2">
        <f>mos_metrics!D8</f>
        <v/>
      </c>
      <c r="E9" s="2">
        <f>mos_metrics!E8</f>
        <v/>
      </c>
      <c r="F9" s="2">
        <f>mos_metrics!F8</f>
        <v/>
      </c>
      <c r="G9" s="2">
        <f>IF($B9="","",IFERROR(VLOOKUP($B9,correlation!$A$2:$B$16,2,FALSE),1))</f>
        <v/>
      </c>
      <c r="H9" s="2">
        <f>IF($E9="","",IFERROR(VLOOKUP($E9,correlation!$D$2:$E$8,2,FALSE),1))</f>
        <v/>
      </c>
      <c r="I9" s="2">
        <f>ISNUMBER($F9)</f>
        <v/>
      </c>
      <c r="J9" s="2">
        <f>AND($G9=1,$H9=1,$I9)</f>
        <v/>
      </c>
      <c r="K9" s="5">
        <f>IF(mos_metrics!G8="","",mos_metrics!G8)</f>
        <v/>
      </c>
      <c r="L9" s="2">
        <f>AND($J9,ISNUMBER(K9),correlation!$I$26=1)</f>
        <v/>
      </c>
      <c r="M9" s="5">
        <f>IF(L9,$F9,"")</f>
        <v/>
      </c>
      <c r="N9" s="5">
        <f>IF(L9,K9*correlation!$J$26,"")</f>
        <v/>
      </c>
      <c r="O9" s="5">
        <f>IF(AND(L9,ISNUMBER(correlation!$F$26)),N9*correlation!$F$26+correlation!$G$26,"")</f>
        <v/>
      </c>
      <c r="P9" s="5">
        <f>IF(AND(L9,ISNUMBER(O9)),(M9-O9)^2,"")</f>
        <v/>
      </c>
      <c r="Q9" s="5">
        <f>IF(L9,1+SUMPRODUCT(--(calc!$L$3:$L$306=TRUE),--(calc!$M$3:$M$306&gt;M9))+(SUMPRODUCT(--(calc!$L$3:$L$306=TRUE),--(calc!$M$3:$M$306=M9))-1)/2,"")</f>
        <v/>
      </c>
      <c r="R9" s="5">
        <f>IF(L9,1+SUMPRODUCT(--(calc!$L$3:$L$306=TRUE),--(calc!$N$3:$N$306&gt;N9))+(SUMPRODUCT(--(calc!$L$3:$L$306=TRUE),--(calc!$N$3:$N$306=N9))-1)/2,"")</f>
        <v/>
      </c>
      <c r="S9" s="5">
        <f>IF(L9,SUMPRODUCT(--(calc!$L$3:$L$306=TRUE),--(ROW(calc!$L$3:$L$306)&gt;ROW(L9)),--(((calc!$Q$3:$Q$306&gt;Q9)*(calc!$R$3:$R$306&gt;R9)+(calc!$Q$3:$Q$306&lt;Q9)*(calc!$R$3:$R$306&lt;R9))&gt;0))-SUMPRODUCT(--(calc!$L$3:$L$306=TRUE),--(ROW(calc!$L$3:$L$306)&gt;ROW(L9)),--(((calc!$Q$3:$Q$306&gt;Q9)*(calc!$R$3:$R$306&lt;R9)+(calc!$Q$3:$Q$306&lt;Q9)*(calc!$R$3:$R$306&gt;R9))&gt;0)),0)</f>
        <v/>
      </c>
      <c r="T9" s="5">
        <f>IF(mos_metrics!H8="","",mos_metrics!H8)</f>
        <v/>
      </c>
      <c r="U9" s="2">
        <f>AND($J9,ISNUMBER(T9),correlation!$I$27=1)</f>
        <v/>
      </c>
      <c r="V9" s="5">
        <f>IF(U9,$F9,"")</f>
        <v/>
      </c>
      <c r="W9" s="5">
        <f>IF(U9,T9*correlation!$J$27,"")</f>
        <v/>
      </c>
      <c r="X9" s="5">
        <f>IF(AND(U9,ISNUMBER(correlation!$F$27)),W9*correlation!$F$27+correlation!$G$27,"")</f>
        <v/>
      </c>
      <c r="Y9" s="5">
        <f>IF(AND(U9,ISNUMBER(X9)),(V9-X9)^2,"")</f>
        <v/>
      </c>
      <c r="Z9" s="5">
        <f>IF(U9,1+SUMPRODUCT(--(calc!$U$3:$U$306=TRUE),--(calc!$V$3:$V$306&gt;V9))+(SUMPRODUCT(--(calc!$U$3:$U$306=TRUE),--(calc!$V$3:$V$306=V9))-1)/2,"")</f>
        <v/>
      </c>
      <c r="AA9" s="5">
        <f>IF(U9,1+SUMPRODUCT(--(calc!$U$3:$U$306=TRUE),--(calc!$W$3:$W$306&gt;W9))+(SUMPRODUCT(--(calc!$U$3:$U$306=TRUE),--(calc!$W$3:$W$306=W9))-1)/2,"")</f>
        <v/>
      </c>
      <c r="AB9" s="5">
        <f>IF(U9,SUMPRODUCT(--(calc!$U$3:$U$306=TRUE),--(ROW(calc!$U$3:$U$306)&gt;ROW(U9)),--(((calc!$Z$3:$Z$306&gt;Z9)*(calc!$AA$3:$AA$306&gt;AA9)+(calc!$Z$3:$Z$306&lt;Z9)*(calc!$AA$3:$AA$306&lt;AA9))&gt;0))-SUMPRODUCT(--(calc!$U$3:$U$306=TRUE),--(ROW(calc!$U$3:$U$306)&gt;ROW(U9)),--(((calc!$Z$3:$Z$306&gt;Z9)*(calc!$AA$3:$AA$306&lt;AA9)+(calc!$Z$3:$Z$306&lt;Z9)*(calc!$AA$3:$AA$306&gt;AA9))&gt;0)),0)</f>
        <v/>
      </c>
      <c r="AC9" s="5">
        <f>IF(mos_metrics!I8="","",mos_metrics!I8)</f>
        <v/>
      </c>
      <c r="AD9" s="2">
        <f>AND($J9,ISNUMBER(AC9),correlation!$I$28=1)</f>
        <v/>
      </c>
      <c r="AE9" s="5">
        <f>IF(AD9,$F9,"")</f>
        <v/>
      </c>
      <c r="AF9" s="5">
        <f>IF(AD9,AC9*correlation!$J$28,"")</f>
        <v/>
      </c>
      <c r="AG9" s="5">
        <f>IF(AND(AD9,ISNUMBER(correlation!$F$28)),AF9*correlation!$F$28+correlation!$G$28,"")</f>
        <v/>
      </c>
      <c r="AH9" s="5">
        <f>IF(AND(AD9,ISNUMBER(AG9)),(AE9-AG9)^2,"")</f>
        <v/>
      </c>
      <c r="AI9" s="5">
        <f>IF(AD9,1+SUMPRODUCT(--(calc!$AD$3:$AD$306=TRUE),--(calc!$AE$3:$AE$306&gt;AE9))+(SUMPRODUCT(--(calc!$AD$3:$AD$306=TRUE),--(calc!$AE$3:$AE$306=AE9))-1)/2,"")</f>
        <v/>
      </c>
      <c r="AJ9" s="5">
        <f>IF(AD9,1+SUMPRODUCT(--(calc!$AD$3:$AD$306=TRUE),--(calc!$AF$3:$AF$306&gt;AF9))+(SUMPRODUCT(--(calc!$AD$3:$AD$306=TRUE),--(calc!$AF$3:$AF$306=AF9))-1)/2,"")</f>
        <v/>
      </c>
      <c r="AK9" s="5">
        <f>IF(AD9,SUMPRODUCT(--(calc!$AD$3:$AD$306=TRUE),--(ROW(calc!$AD$3:$AD$306)&gt;ROW(AD9)),--(((calc!$AI$3:$AI$306&gt;AI9)*(calc!$AJ$3:$AJ$306&gt;AJ9)+(calc!$AI$3:$AI$306&lt;AI9)*(calc!$AJ$3:$AJ$306&lt;AJ9))&gt;0))-SUMPRODUCT(--(calc!$AD$3:$AD$306=TRUE),--(ROW(calc!$AD$3:$AD$306)&gt;ROW(AD9)),--(((calc!$AI$3:$AI$306&gt;AI9)*(calc!$AJ$3:$AJ$306&lt;AJ9)+(calc!$AI$3:$AI$306&lt;AI9)*(calc!$AJ$3:$AJ$306&gt;AJ9))&gt;0)),0)</f>
        <v/>
      </c>
      <c r="AL9" s="5">
        <f>IF(mos_metrics!J8="","",mos_metrics!J8)</f>
        <v/>
      </c>
      <c r="AM9" s="2">
        <f>AND($J9,ISNUMBER(AL9),correlation!$I$29=1)</f>
        <v/>
      </c>
      <c r="AN9" s="5">
        <f>IF(AM9,$F9,"")</f>
        <v/>
      </c>
      <c r="AO9" s="5">
        <f>IF(AM9,AL9*correlation!$J$29,"")</f>
        <v/>
      </c>
      <c r="AP9" s="5">
        <f>IF(AND(AM9,ISNUMBER(correlation!$F$29)),AO9*correlation!$F$29+correlation!$G$29,"")</f>
        <v/>
      </c>
      <c r="AQ9" s="5">
        <f>IF(AND(AM9,ISNUMBER(AP9)),(AN9-AP9)^2,"")</f>
        <v/>
      </c>
      <c r="AR9" s="5">
        <f>IF(AM9,1+SUMPRODUCT(--(calc!$AM$3:$AM$306=TRUE),--(calc!$AN$3:$AN$306&gt;AN9))+(SUMPRODUCT(--(calc!$AM$3:$AM$306=TRUE),--(calc!$AN$3:$AN$306=AN9))-1)/2,"")</f>
        <v/>
      </c>
      <c r="AS9" s="5">
        <f>IF(AM9,1+SUMPRODUCT(--(calc!$AM$3:$AM$306=TRUE),--(calc!$AO$3:$AO$306&gt;AO9))+(SUMPRODUCT(--(calc!$AM$3:$AM$306=TRUE),--(calc!$AO$3:$AO$306=AO9))-1)/2,"")</f>
        <v/>
      </c>
      <c r="AT9" s="5">
        <f>IF(AM9,SUMPRODUCT(--(calc!$AM$3:$AM$306=TRUE),--(ROW(calc!$AM$3:$AM$306)&gt;ROW(AM9)),--(((calc!$AR$3:$AR$306&gt;AR9)*(calc!$AS$3:$AS$306&gt;AS9)+(calc!$AR$3:$AR$306&lt;AR9)*(calc!$AS$3:$AS$306&lt;AS9))&gt;0))-SUMPRODUCT(--(calc!$AM$3:$AM$306=TRUE),--(ROW(calc!$AM$3:$AM$306)&gt;ROW(AM9)),--(((calc!$AR$3:$AR$306&gt;AR9)*(calc!$AS$3:$AS$306&lt;AS9)+(calc!$AR$3:$AR$306&lt;AR9)*(calc!$AS$3:$AS$306&gt;AS9))&gt;0)),0)</f>
        <v/>
      </c>
      <c r="AU9" s="5">
        <f>IF(mos_metrics!K8="","",mos_metrics!K8)</f>
        <v/>
      </c>
      <c r="AV9" s="2">
        <f>AND($J9,ISNUMBER(AU9),correlation!$I$30=1)</f>
        <v/>
      </c>
      <c r="AW9" s="5">
        <f>IF(AV9,$F9,"")</f>
        <v/>
      </c>
      <c r="AX9" s="5">
        <f>IF(AV9,AU9*correlation!$J$30,"")</f>
        <v/>
      </c>
      <c r="AY9" s="5">
        <f>IF(AND(AV9,ISNUMBER(correlation!$F$30)),AX9*correlation!$F$30+correlation!$G$30,"")</f>
        <v/>
      </c>
      <c r="AZ9" s="5">
        <f>IF(AND(AV9,ISNUMBER(AY9)),(AW9-AY9)^2,"")</f>
        <v/>
      </c>
      <c r="BA9" s="5">
        <f>IF(AV9,1+SUMPRODUCT(--(calc!$AV$3:$AV$306=TRUE),--(calc!$AW$3:$AW$306&gt;AW9))+(SUMPRODUCT(--(calc!$AV$3:$AV$306=TRUE),--(calc!$AW$3:$AW$306=AW9))-1)/2,"")</f>
        <v/>
      </c>
      <c r="BB9" s="5">
        <f>IF(AV9,1+SUMPRODUCT(--(calc!$AV$3:$AV$306=TRUE),--(calc!$AX$3:$AX$306&gt;AX9))+(SUMPRODUCT(--(calc!$AV$3:$AV$306=TRUE),--(calc!$AX$3:$AX$306=AX9))-1)/2,"")</f>
        <v/>
      </c>
      <c r="BC9" s="5">
        <f>IF(AV9,SUMPRODUCT(--(calc!$AV$3:$AV$306=TRUE),--(ROW(calc!$AV$3:$AV$306)&gt;ROW(AV9)),--(((calc!$BA$3:$BA$306&gt;BA9)*(calc!$BB$3:$BB$306&gt;BB9)+(calc!$BA$3:$BA$306&lt;BA9)*(calc!$BB$3:$BB$306&lt;BB9))&gt;0))-SUMPRODUCT(--(calc!$AV$3:$AV$306=TRUE),--(ROW(calc!$AV$3:$AV$306)&gt;ROW(AV9)),--(((calc!$BA$3:$BA$306&gt;BA9)*(calc!$BB$3:$BB$306&lt;BB9)+(calc!$BA$3:$BA$306&lt;BA9)*(calc!$BB$3:$BB$306&gt;BB9))&gt;0)),0)</f>
        <v/>
      </c>
      <c r="BD9" s="5">
        <f>IF(mos_metrics!L8="","",mos_metrics!L8)</f>
        <v/>
      </c>
      <c r="BE9" s="2">
        <f>AND($J9,ISNUMBER(BD9),correlation!$I$31=1)</f>
        <v/>
      </c>
      <c r="BF9" s="5">
        <f>IF(BE9,$F9,"")</f>
        <v/>
      </c>
      <c r="BG9" s="5">
        <f>IF(BE9,BD9*correlation!$J$31,"")</f>
        <v/>
      </c>
      <c r="BH9" s="5">
        <f>IF(AND(BE9,ISNUMBER(correlation!$F$31)),BG9*correlation!$F$31+correlation!$G$31,"")</f>
        <v/>
      </c>
      <c r="BI9" s="5">
        <f>IF(AND(BE9,ISNUMBER(BH9)),(BF9-BH9)^2,"")</f>
        <v/>
      </c>
      <c r="BJ9" s="5">
        <f>IF(BE9,1+SUMPRODUCT(--(calc!$BE$3:$BE$306=TRUE),--(calc!$BF$3:$BF$306&gt;BF9))+(SUMPRODUCT(--(calc!$BE$3:$BE$306=TRUE),--(calc!$BF$3:$BF$306=BF9))-1)/2,"")</f>
        <v/>
      </c>
      <c r="BK9" s="5">
        <f>IF(BE9,1+SUMPRODUCT(--(calc!$BE$3:$BE$306=TRUE),--(calc!$BG$3:$BG$306&gt;BG9))+(SUMPRODUCT(--(calc!$BE$3:$BE$306=TRUE),--(calc!$BG$3:$BG$306=BG9))-1)/2,"")</f>
        <v/>
      </c>
      <c r="BL9" s="5">
        <f>IF(BE9,SUMPRODUCT(--(calc!$BE$3:$BE$306=TRUE),--(ROW(calc!$BE$3:$BE$306)&gt;ROW(BE9)),--(((calc!$BJ$3:$BJ$306&gt;BJ9)*(calc!$BK$3:$BK$306&gt;BK9)+(calc!$BJ$3:$BJ$306&lt;BJ9)*(calc!$BK$3:$BK$306&lt;BK9))&gt;0))-SUMPRODUCT(--(calc!$BE$3:$BE$306=TRUE),--(ROW(calc!$BE$3:$BE$306)&gt;ROW(BE9)),--(((calc!$BJ$3:$BJ$306&gt;BJ9)*(calc!$BK$3:$BK$306&lt;BK9)+(calc!$BJ$3:$BJ$306&lt;BJ9)*(calc!$BK$3:$BK$306&gt;BK9))&gt;0)),0)</f>
        <v/>
      </c>
      <c r="BM9" s="5">
        <f>IF(mos_metrics!M8="","",mos_metrics!M8)</f>
        <v/>
      </c>
      <c r="BN9" s="2">
        <f>AND($J9,ISNUMBER(BM9),correlation!$I$32=1)</f>
        <v/>
      </c>
      <c r="BO9" s="5">
        <f>IF(BN9,$F9,"")</f>
        <v/>
      </c>
      <c r="BP9" s="5">
        <f>IF(BN9,BM9*correlation!$J$32,"")</f>
        <v/>
      </c>
      <c r="BQ9" s="5">
        <f>IF(AND(BN9,ISNUMBER(correlation!$F$32)),BP9*correlation!$F$32+correlation!$G$32,"")</f>
        <v/>
      </c>
      <c r="BR9" s="5">
        <f>IF(AND(BN9,ISNUMBER(BQ9)),(BO9-BQ9)^2,"")</f>
        <v/>
      </c>
      <c r="BS9" s="5">
        <f>IF(BN9,1+SUMPRODUCT(--(calc!$BN$3:$BN$306=TRUE),--(calc!$BO$3:$BO$306&gt;BO9))+(SUMPRODUCT(--(calc!$BN$3:$BN$306=TRUE),--(calc!$BO$3:$BO$306=BO9))-1)/2,"")</f>
        <v/>
      </c>
      <c r="BT9" s="5">
        <f>IF(BN9,1+SUMPRODUCT(--(calc!$BN$3:$BN$306=TRUE),--(calc!$BP$3:$BP$306&gt;BP9))+(SUMPRODUCT(--(calc!$BN$3:$BN$306=TRUE),--(calc!$BP$3:$BP$306=BP9))-1)/2,"")</f>
        <v/>
      </c>
      <c r="BU9" s="5">
        <f>IF(BN9,SUMPRODUCT(--(calc!$BN$3:$BN$306=TRUE),--(ROW(calc!$BN$3:$BN$306)&gt;ROW(BN9)),--(((calc!$BS$3:$BS$306&gt;BS9)*(calc!$BT$3:$BT$306&gt;BT9)+(calc!$BS$3:$BS$306&lt;BS9)*(calc!$BT$3:$BT$306&lt;BT9))&gt;0))-SUMPRODUCT(--(calc!$BN$3:$BN$306=TRUE),--(ROW(calc!$BN$3:$BN$306)&gt;ROW(BN9)),--(((calc!$BS$3:$BS$306&gt;BS9)*(calc!$BT$3:$BT$306&lt;BT9)+(calc!$BS$3:$BS$306&lt;BS9)*(calc!$BT$3:$BT$306&gt;BT9))&gt;0)),0)</f>
        <v/>
      </c>
    </row>
    <row r="10">
      <c r="A10" s="2">
        <f>mos_metrics!A9</f>
        <v/>
      </c>
      <c r="B10" s="2">
        <f>mos_metrics!B9</f>
        <v/>
      </c>
      <c r="C10" s="2">
        <f>mos_metrics!C9</f>
        <v/>
      </c>
      <c r="D10" s="2">
        <f>mos_metrics!D9</f>
        <v/>
      </c>
      <c r="E10" s="2">
        <f>mos_metrics!E9</f>
        <v/>
      </c>
      <c r="F10" s="2">
        <f>mos_metrics!F9</f>
        <v/>
      </c>
      <c r="G10" s="2">
        <f>IF($B10="","",IFERROR(VLOOKUP($B10,correlation!$A$2:$B$16,2,FALSE),1))</f>
        <v/>
      </c>
      <c r="H10" s="2">
        <f>IF($E10="","",IFERROR(VLOOKUP($E10,correlation!$D$2:$E$8,2,FALSE),1))</f>
        <v/>
      </c>
      <c r="I10" s="2">
        <f>ISNUMBER($F10)</f>
        <v/>
      </c>
      <c r="J10" s="2">
        <f>AND($G10=1,$H10=1,$I10)</f>
        <v/>
      </c>
      <c r="K10" s="5">
        <f>IF(mos_metrics!G9="","",mos_metrics!G9)</f>
        <v/>
      </c>
      <c r="L10" s="2">
        <f>AND($J10,ISNUMBER(K10),correlation!$I$26=1)</f>
        <v/>
      </c>
      <c r="M10" s="5">
        <f>IF(L10,$F10,"")</f>
        <v/>
      </c>
      <c r="N10" s="5">
        <f>IF(L10,K10*correlation!$J$26,"")</f>
        <v/>
      </c>
      <c r="O10" s="5">
        <f>IF(AND(L10,ISNUMBER(correlation!$F$26)),N10*correlation!$F$26+correlation!$G$26,"")</f>
        <v/>
      </c>
      <c r="P10" s="5">
        <f>IF(AND(L10,ISNUMBER(O10)),(M10-O10)^2,"")</f>
        <v/>
      </c>
      <c r="Q10" s="5">
        <f>IF(L10,1+SUMPRODUCT(--(calc!$L$3:$L$306=TRUE),--(calc!$M$3:$M$306&gt;M10))+(SUMPRODUCT(--(calc!$L$3:$L$306=TRUE),--(calc!$M$3:$M$306=M10))-1)/2,"")</f>
        <v/>
      </c>
      <c r="R10" s="5">
        <f>IF(L10,1+SUMPRODUCT(--(calc!$L$3:$L$306=TRUE),--(calc!$N$3:$N$306&gt;N10))+(SUMPRODUCT(--(calc!$L$3:$L$306=TRUE),--(calc!$N$3:$N$306=N10))-1)/2,"")</f>
        <v/>
      </c>
      <c r="S10" s="5">
        <f>IF(L10,SUMPRODUCT(--(calc!$L$3:$L$306=TRUE),--(ROW(calc!$L$3:$L$306)&gt;ROW(L10)),--(((calc!$Q$3:$Q$306&gt;Q10)*(calc!$R$3:$R$306&gt;R10)+(calc!$Q$3:$Q$306&lt;Q10)*(calc!$R$3:$R$306&lt;R10))&gt;0))-SUMPRODUCT(--(calc!$L$3:$L$306=TRUE),--(ROW(calc!$L$3:$L$306)&gt;ROW(L10)),--(((calc!$Q$3:$Q$306&gt;Q10)*(calc!$R$3:$R$306&lt;R10)+(calc!$Q$3:$Q$306&lt;Q10)*(calc!$R$3:$R$306&gt;R10))&gt;0)),0)</f>
        <v/>
      </c>
      <c r="T10" s="5">
        <f>IF(mos_metrics!H9="","",mos_metrics!H9)</f>
        <v/>
      </c>
      <c r="U10" s="2">
        <f>AND($J10,ISNUMBER(T10),correlation!$I$27=1)</f>
        <v/>
      </c>
      <c r="V10" s="5">
        <f>IF(U10,$F10,"")</f>
        <v/>
      </c>
      <c r="W10" s="5">
        <f>IF(U10,T10*correlation!$J$27,"")</f>
        <v/>
      </c>
      <c r="X10" s="5">
        <f>IF(AND(U10,ISNUMBER(correlation!$F$27)),W10*correlation!$F$27+correlation!$G$27,"")</f>
        <v/>
      </c>
      <c r="Y10" s="5">
        <f>IF(AND(U10,ISNUMBER(X10)),(V10-X10)^2,"")</f>
        <v/>
      </c>
      <c r="Z10" s="5">
        <f>IF(U10,1+SUMPRODUCT(--(calc!$U$3:$U$306=TRUE),--(calc!$V$3:$V$306&gt;V10))+(SUMPRODUCT(--(calc!$U$3:$U$306=TRUE),--(calc!$V$3:$V$306=V10))-1)/2,"")</f>
        <v/>
      </c>
      <c r="AA10" s="5">
        <f>IF(U10,1+SUMPRODUCT(--(calc!$U$3:$U$306=TRUE),--(calc!$W$3:$W$306&gt;W10))+(SUMPRODUCT(--(calc!$U$3:$U$306=TRUE),--(calc!$W$3:$W$306=W10))-1)/2,"")</f>
        <v/>
      </c>
      <c r="AB10" s="5">
        <f>IF(U10,SUMPRODUCT(--(calc!$U$3:$U$306=TRUE),--(ROW(calc!$U$3:$U$306)&gt;ROW(U10)),--(((calc!$Z$3:$Z$306&gt;Z10)*(calc!$AA$3:$AA$306&gt;AA10)+(calc!$Z$3:$Z$306&lt;Z10)*(calc!$AA$3:$AA$306&lt;AA10))&gt;0))-SUMPRODUCT(--(calc!$U$3:$U$306=TRUE),--(ROW(calc!$U$3:$U$306)&gt;ROW(U10)),--(((calc!$Z$3:$Z$306&gt;Z10)*(calc!$AA$3:$AA$306&lt;AA10)+(calc!$Z$3:$Z$306&lt;Z10)*(calc!$AA$3:$AA$306&gt;AA10))&gt;0)),0)</f>
        <v/>
      </c>
      <c r="AC10" s="5">
        <f>IF(mos_metrics!I9="","",mos_metrics!I9)</f>
        <v/>
      </c>
      <c r="AD10" s="2">
        <f>AND($J10,ISNUMBER(AC10),correlation!$I$28=1)</f>
        <v/>
      </c>
      <c r="AE10" s="5">
        <f>IF(AD10,$F10,"")</f>
        <v/>
      </c>
      <c r="AF10" s="5">
        <f>IF(AD10,AC10*correlation!$J$28,"")</f>
        <v/>
      </c>
      <c r="AG10" s="5">
        <f>IF(AND(AD10,ISNUMBER(correlation!$F$28)),AF10*correlation!$F$28+correlation!$G$28,"")</f>
        <v/>
      </c>
      <c r="AH10" s="5">
        <f>IF(AND(AD10,ISNUMBER(AG10)),(AE10-AG10)^2,"")</f>
        <v/>
      </c>
      <c r="AI10" s="5">
        <f>IF(AD10,1+SUMPRODUCT(--(calc!$AD$3:$AD$306=TRUE),--(calc!$AE$3:$AE$306&gt;AE10))+(SUMPRODUCT(--(calc!$AD$3:$AD$306=TRUE),--(calc!$AE$3:$AE$306=AE10))-1)/2,"")</f>
        <v/>
      </c>
      <c r="AJ10" s="5">
        <f>IF(AD10,1+SUMPRODUCT(--(calc!$AD$3:$AD$306=TRUE),--(calc!$AF$3:$AF$306&gt;AF10))+(SUMPRODUCT(--(calc!$AD$3:$AD$306=TRUE),--(calc!$AF$3:$AF$306=AF10))-1)/2,"")</f>
        <v/>
      </c>
      <c r="AK10" s="5">
        <f>IF(AD10,SUMPRODUCT(--(calc!$AD$3:$AD$306=TRUE),--(ROW(calc!$AD$3:$AD$306)&gt;ROW(AD10)),--(((calc!$AI$3:$AI$306&gt;AI10)*(calc!$AJ$3:$AJ$306&gt;AJ10)+(calc!$AI$3:$AI$306&lt;AI10)*(calc!$AJ$3:$AJ$306&lt;AJ10))&gt;0))-SUMPRODUCT(--(calc!$AD$3:$AD$306=TRUE),--(ROW(calc!$AD$3:$AD$306)&gt;ROW(AD10)),--(((calc!$AI$3:$AI$306&gt;AI10)*(calc!$AJ$3:$AJ$306&lt;AJ10)+(calc!$AI$3:$AI$306&lt;AI10)*(calc!$AJ$3:$AJ$306&gt;AJ10))&gt;0)),0)</f>
        <v/>
      </c>
      <c r="AL10" s="5">
        <f>IF(mos_metrics!J9="","",mos_metrics!J9)</f>
        <v/>
      </c>
      <c r="AM10" s="2">
        <f>AND($J10,ISNUMBER(AL10),correlation!$I$29=1)</f>
        <v/>
      </c>
      <c r="AN10" s="5">
        <f>IF(AM10,$F10,"")</f>
        <v/>
      </c>
      <c r="AO10" s="5">
        <f>IF(AM10,AL10*correlation!$J$29,"")</f>
        <v/>
      </c>
      <c r="AP10" s="5">
        <f>IF(AND(AM10,ISNUMBER(correlation!$F$29)),AO10*correlation!$F$29+correlation!$G$29,"")</f>
        <v/>
      </c>
      <c r="AQ10" s="5">
        <f>IF(AND(AM10,ISNUMBER(AP10)),(AN10-AP10)^2,"")</f>
        <v/>
      </c>
      <c r="AR10" s="5">
        <f>IF(AM10,1+SUMPRODUCT(--(calc!$AM$3:$AM$306=TRUE),--(calc!$AN$3:$AN$306&gt;AN10))+(SUMPRODUCT(--(calc!$AM$3:$AM$306=TRUE),--(calc!$AN$3:$AN$306=AN10))-1)/2,"")</f>
        <v/>
      </c>
      <c r="AS10" s="5">
        <f>IF(AM10,1+SUMPRODUCT(--(calc!$AM$3:$AM$306=TRUE),--(calc!$AO$3:$AO$306&gt;AO10))+(SUMPRODUCT(--(calc!$AM$3:$AM$306=TRUE),--(calc!$AO$3:$AO$306=AO10))-1)/2,"")</f>
        <v/>
      </c>
      <c r="AT10" s="5">
        <f>IF(AM10,SUMPRODUCT(--(calc!$AM$3:$AM$306=TRUE),--(ROW(calc!$AM$3:$AM$306)&gt;ROW(AM10)),--(((calc!$AR$3:$AR$306&gt;AR10)*(calc!$AS$3:$AS$306&gt;AS10)+(calc!$AR$3:$AR$306&lt;AR10)*(calc!$AS$3:$AS$306&lt;AS10))&gt;0))-SUMPRODUCT(--(calc!$AM$3:$AM$306=TRUE),--(ROW(calc!$AM$3:$AM$306)&gt;ROW(AM10)),--(((calc!$AR$3:$AR$306&gt;AR10)*(calc!$AS$3:$AS$306&lt;AS10)+(calc!$AR$3:$AR$306&lt;AR10)*(calc!$AS$3:$AS$306&gt;AS10))&gt;0)),0)</f>
        <v/>
      </c>
      <c r="AU10" s="5">
        <f>IF(mos_metrics!K9="","",mos_metrics!K9)</f>
        <v/>
      </c>
      <c r="AV10" s="2">
        <f>AND($J10,ISNUMBER(AU10),correlation!$I$30=1)</f>
        <v/>
      </c>
      <c r="AW10" s="5">
        <f>IF(AV10,$F10,"")</f>
        <v/>
      </c>
      <c r="AX10" s="5">
        <f>IF(AV10,AU10*correlation!$J$30,"")</f>
        <v/>
      </c>
      <c r="AY10" s="5">
        <f>IF(AND(AV10,ISNUMBER(correlation!$F$30)),AX10*correlation!$F$30+correlation!$G$30,"")</f>
        <v/>
      </c>
      <c r="AZ10" s="5">
        <f>IF(AND(AV10,ISNUMBER(AY10)),(AW10-AY10)^2,"")</f>
        <v/>
      </c>
      <c r="BA10" s="5">
        <f>IF(AV10,1+SUMPRODUCT(--(calc!$AV$3:$AV$306=TRUE),--(calc!$AW$3:$AW$306&gt;AW10))+(SUMPRODUCT(--(calc!$AV$3:$AV$306=TRUE),--(calc!$AW$3:$AW$306=AW10))-1)/2,"")</f>
        <v/>
      </c>
      <c r="BB10" s="5">
        <f>IF(AV10,1+SUMPRODUCT(--(calc!$AV$3:$AV$306=TRUE),--(calc!$AX$3:$AX$306&gt;AX10))+(SUMPRODUCT(--(calc!$AV$3:$AV$306=TRUE),--(calc!$AX$3:$AX$306=AX10))-1)/2,"")</f>
        <v/>
      </c>
      <c r="BC10" s="5">
        <f>IF(AV10,SUMPRODUCT(--(calc!$AV$3:$AV$306=TRUE),--(ROW(calc!$AV$3:$AV$306)&gt;ROW(AV10)),--(((calc!$BA$3:$BA$306&gt;BA10)*(calc!$BB$3:$BB$306&gt;BB10)+(calc!$BA$3:$BA$306&lt;BA10)*(calc!$BB$3:$BB$306&lt;BB10))&gt;0))-SUMPRODUCT(--(calc!$AV$3:$AV$306=TRUE),--(ROW(calc!$AV$3:$AV$306)&gt;ROW(AV10)),--(((calc!$BA$3:$BA$306&gt;BA10)*(calc!$BB$3:$BB$306&lt;BB10)+(calc!$BA$3:$BA$306&lt;BA10)*(calc!$BB$3:$BB$306&gt;BB10))&gt;0)),0)</f>
        <v/>
      </c>
      <c r="BD10" s="5">
        <f>IF(mos_metrics!L9="","",mos_metrics!L9)</f>
        <v/>
      </c>
      <c r="BE10" s="2">
        <f>AND($J10,ISNUMBER(BD10),correlation!$I$31=1)</f>
        <v/>
      </c>
      <c r="BF10" s="5">
        <f>IF(BE10,$F10,"")</f>
        <v/>
      </c>
      <c r="BG10" s="5">
        <f>IF(BE10,BD10*correlation!$J$31,"")</f>
        <v/>
      </c>
      <c r="BH10" s="5">
        <f>IF(AND(BE10,ISNUMBER(correlation!$F$31)),BG10*correlation!$F$31+correlation!$G$31,"")</f>
        <v/>
      </c>
      <c r="BI10" s="5">
        <f>IF(AND(BE10,ISNUMBER(BH10)),(BF10-BH10)^2,"")</f>
        <v/>
      </c>
      <c r="BJ10" s="5">
        <f>IF(BE10,1+SUMPRODUCT(--(calc!$BE$3:$BE$306=TRUE),--(calc!$BF$3:$BF$306&gt;BF10))+(SUMPRODUCT(--(calc!$BE$3:$BE$306=TRUE),--(calc!$BF$3:$BF$306=BF10))-1)/2,"")</f>
        <v/>
      </c>
      <c r="BK10" s="5">
        <f>IF(BE10,1+SUMPRODUCT(--(calc!$BE$3:$BE$306=TRUE),--(calc!$BG$3:$BG$306&gt;BG10))+(SUMPRODUCT(--(calc!$BE$3:$BE$306=TRUE),--(calc!$BG$3:$BG$306=BG10))-1)/2,"")</f>
        <v/>
      </c>
      <c r="BL10" s="5">
        <f>IF(BE10,SUMPRODUCT(--(calc!$BE$3:$BE$306=TRUE),--(ROW(calc!$BE$3:$BE$306)&gt;ROW(BE10)),--(((calc!$BJ$3:$BJ$306&gt;BJ10)*(calc!$BK$3:$BK$306&gt;BK10)+(calc!$BJ$3:$BJ$306&lt;BJ10)*(calc!$BK$3:$BK$306&lt;BK10))&gt;0))-SUMPRODUCT(--(calc!$BE$3:$BE$306=TRUE),--(ROW(calc!$BE$3:$BE$306)&gt;ROW(BE10)),--(((calc!$BJ$3:$BJ$306&gt;BJ10)*(calc!$BK$3:$BK$306&lt;BK10)+(calc!$BJ$3:$BJ$306&lt;BJ10)*(calc!$BK$3:$BK$306&gt;BK10))&gt;0)),0)</f>
        <v/>
      </c>
      <c r="BM10" s="5">
        <f>IF(mos_metrics!M9="","",mos_metrics!M9)</f>
        <v/>
      </c>
      <c r="BN10" s="2">
        <f>AND($J10,ISNUMBER(BM10),correlation!$I$32=1)</f>
        <v/>
      </c>
      <c r="BO10" s="5">
        <f>IF(BN10,$F10,"")</f>
        <v/>
      </c>
      <c r="BP10" s="5">
        <f>IF(BN10,BM10*correlation!$J$32,"")</f>
        <v/>
      </c>
      <c r="BQ10" s="5">
        <f>IF(AND(BN10,ISNUMBER(correlation!$F$32)),BP10*correlation!$F$32+correlation!$G$32,"")</f>
        <v/>
      </c>
      <c r="BR10" s="5">
        <f>IF(AND(BN10,ISNUMBER(BQ10)),(BO10-BQ10)^2,"")</f>
        <v/>
      </c>
      <c r="BS10" s="5">
        <f>IF(BN10,1+SUMPRODUCT(--(calc!$BN$3:$BN$306=TRUE),--(calc!$BO$3:$BO$306&gt;BO10))+(SUMPRODUCT(--(calc!$BN$3:$BN$306=TRUE),--(calc!$BO$3:$BO$306=BO10))-1)/2,"")</f>
        <v/>
      </c>
      <c r="BT10" s="5">
        <f>IF(BN10,1+SUMPRODUCT(--(calc!$BN$3:$BN$306=TRUE),--(calc!$BP$3:$BP$306&gt;BP10))+(SUMPRODUCT(--(calc!$BN$3:$BN$306=TRUE),--(calc!$BP$3:$BP$306=BP10))-1)/2,"")</f>
        <v/>
      </c>
      <c r="BU10" s="5">
        <f>IF(BN10,SUMPRODUCT(--(calc!$BN$3:$BN$306=TRUE),--(ROW(calc!$BN$3:$BN$306)&gt;ROW(BN10)),--(((calc!$BS$3:$BS$306&gt;BS10)*(calc!$BT$3:$BT$306&gt;BT10)+(calc!$BS$3:$BS$306&lt;BS10)*(calc!$BT$3:$BT$306&lt;BT10))&gt;0))-SUMPRODUCT(--(calc!$BN$3:$BN$306=TRUE),--(ROW(calc!$BN$3:$BN$306)&gt;ROW(BN10)),--(((calc!$BS$3:$BS$306&gt;BS10)*(calc!$BT$3:$BT$306&lt;BT10)+(calc!$BS$3:$BS$306&lt;BS10)*(calc!$BT$3:$BT$306&gt;BT10))&gt;0)),0)</f>
        <v/>
      </c>
    </row>
    <row r="11">
      <c r="A11" s="2">
        <f>mos_metrics!A10</f>
        <v/>
      </c>
      <c r="B11" s="2">
        <f>mos_metrics!B10</f>
        <v/>
      </c>
      <c r="C11" s="2">
        <f>mos_metrics!C10</f>
        <v/>
      </c>
      <c r="D11" s="2">
        <f>mos_metrics!D10</f>
        <v/>
      </c>
      <c r="E11" s="2">
        <f>mos_metrics!E10</f>
        <v/>
      </c>
      <c r="F11" s="2">
        <f>mos_metrics!F10</f>
        <v/>
      </c>
      <c r="G11" s="2">
        <f>IF($B11="","",IFERROR(VLOOKUP($B11,correlation!$A$2:$B$16,2,FALSE),1))</f>
        <v/>
      </c>
      <c r="H11" s="2">
        <f>IF($E11="","",IFERROR(VLOOKUP($E11,correlation!$D$2:$E$8,2,FALSE),1))</f>
        <v/>
      </c>
      <c r="I11" s="2">
        <f>ISNUMBER($F11)</f>
        <v/>
      </c>
      <c r="J11" s="2">
        <f>AND($G11=1,$H11=1,$I11)</f>
        <v/>
      </c>
      <c r="K11" s="5">
        <f>IF(mos_metrics!G10="","",mos_metrics!G10)</f>
        <v/>
      </c>
      <c r="L11" s="2">
        <f>AND($J11,ISNUMBER(K11),correlation!$I$26=1)</f>
        <v/>
      </c>
      <c r="M11" s="5">
        <f>IF(L11,$F11,"")</f>
        <v/>
      </c>
      <c r="N11" s="5">
        <f>IF(L11,K11*correlation!$J$26,"")</f>
        <v/>
      </c>
      <c r="O11" s="5">
        <f>IF(AND(L11,ISNUMBER(correlation!$F$26)),N11*correlation!$F$26+correlation!$G$26,"")</f>
        <v/>
      </c>
      <c r="P11" s="5">
        <f>IF(AND(L11,ISNUMBER(O11)),(M11-O11)^2,"")</f>
        <v/>
      </c>
      <c r="Q11" s="5">
        <f>IF(L11,1+SUMPRODUCT(--(calc!$L$3:$L$306=TRUE),--(calc!$M$3:$M$306&gt;M11))+(SUMPRODUCT(--(calc!$L$3:$L$306=TRUE),--(calc!$M$3:$M$306=M11))-1)/2,"")</f>
        <v/>
      </c>
      <c r="R11" s="5">
        <f>IF(L11,1+SUMPRODUCT(--(calc!$L$3:$L$306=TRUE),--(calc!$N$3:$N$306&gt;N11))+(SUMPRODUCT(--(calc!$L$3:$L$306=TRUE),--(calc!$N$3:$N$306=N11))-1)/2,"")</f>
        <v/>
      </c>
      <c r="S11" s="5">
        <f>IF(L11,SUMPRODUCT(--(calc!$L$3:$L$306=TRUE),--(ROW(calc!$L$3:$L$306)&gt;ROW(L11)),--(((calc!$Q$3:$Q$306&gt;Q11)*(calc!$R$3:$R$306&gt;R11)+(calc!$Q$3:$Q$306&lt;Q11)*(calc!$R$3:$R$306&lt;R11))&gt;0))-SUMPRODUCT(--(calc!$L$3:$L$306=TRUE),--(ROW(calc!$L$3:$L$306)&gt;ROW(L11)),--(((calc!$Q$3:$Q$306&gt;Q11)*(calc!$R$3:$R$306&lt;R11)+(calc!$Q$3:$Q$306&lt;Q11)*(calc!$R$3:$R$306&gt;R11))&gt;0)),0)</f>
        <v/>
      </c>
      <c r="T11" s="5">
        <f>IF(mos_metrics!H10="","",mos_metrics!H10)</f>
        <v/>
      </c>
      <c r="U11" s="2">
        <f>AND($J11,ISNUMBER(T11),correlation!$I$27=1)</f>
        <v/>
      </c>
      <c r="V11" s="5">
        <f>IF(U11,$F11,"")</f>
        <v/>
      </c>
      <c r="W11" s="5">
        <f>IF(U11,T11*correlation!$J$27,"")</f>
        <v/>
      </c>
      <c r="X11" s="5">
        <f>IF(AND(U11,ISNUMBER(correlation!$F$27)),W11*correlation!$F$27+correlation!$G$27,"")</f>
        <v/>
      </c>
      <c r="Y11" s="5">
        <f>IF(AND(U11,ISNUMBER(X11)),(V11-X11)^2,"")</f>
        <v/>
      </c>
      <c r="Z11" s="5">
        <f>IF(U11,1+SUMPRODUCT(--(calc!$U$3:$U$306=TRUE),--(calc!$V$3:$V$306&gt;V11))+(SUMPRODUCT(--(calc!$U$3:$U$306=TRUE),--(calc!$V$3:$V$306=V11))-1)/2,"")</f>
        <v/>
      </c>
      <c r="AA11" s="5">
        <f>IF(U11,1+SUMPRODUCT(--(calc!$U$3:$U$306=TRUE),--(calc!$W$3:$W$306&gt;W11))+(SUMPRODUCT(--(calc!$U$3:$U$306=TRUE),--(calc!$W$3:$W$306=W11))-1)/2,"")</f>
        <v/>
      </c>
      <c r="AB11" s="5">
        <f>IF(U11,SUMPRODUCT(--(calc!$U$3:$U$306=TRUE),--(ROW(calc!$U$3:$U$306)&gt;ROW(U11)),--(((calc!$Z$3:$Z$306&gt;Z11)*(calc!$AA$3:$AA$306&gt;AA11)+(calc!$Z$3:$Z$306&lt;Z11)*(calc!$AA$3:$AA$306&lt;AA11))&gt;0))-SUMPRODUCT(--(calc!$U$3:$U$306=TRUE),--(ROW(calc!$U$3:$U$306)&gt;ROW(U11)),--(((calc!$Z$3:$Z$306&gt;Z11)*(calc!$AA$3:$AA$306&lt;AA11)+(calc!$Z$3:$Z$306&lt;Z11)*(calc!$AA$3:$AA$306&gt;AA11))&gt;0)),0)</f>
        <v/>
      </c>
      <c r="AC11" s="5">
        <f>IF(mos_metrics!I10="","",mos_metrics!I10)</f>
        <v/>
      </c>
      <c r="AD11" s="2">
        <f>AND($J11,ISNUMBER(AC11),correlation!$I$28=1)</f>
        <v/>
      </c>
      <c r="AE11" s="5">
        <f>IF(AD11,$F11,"")</f>
        <v/>
      </c>
      <c r="AF11" s="5">
        <f>IF(AD11,AC11*correlation!$J$28,"")</f>
        <v/>
      </c>
      <c r="AG11" s="5">
        <f>IF(AND(AD11,ISNUMBER(correlation!$F$28)),AF11*correlation!$F$28+correlation!$G$28,"")</f>
        <v/>
      </c>
      <c r="AH11" s="5">
        <f>IF(AND(AD11,ISNUMBER(AG11)),(AE11-AG11)^2,"")</f>
        <v/>
      </c>
      <c r="AI11" s="5">
        <f>IF(AD11,1+SUMPRODUCT(--(calc!$AD$3:$AD$306=TRUE),--(calc!$AE$3:$AE$306&gt;AE11))+(SUMPRODUCT(--(calc!$AD$3:$AD$306=TRUE),--(calc!$AE$3:$AE$306=AE11))-1)/2,"")</f>
        <v/>
      </c>
      <c r="AJ11" s="5">
        <f>IF(AD11,1+SUMPRODUCT(--(calc!$AD$3:$AD$306=TRUE),--(calc!$AF$3:$AF$306&gt;AF11))+(SUMPRODUCT(--(calc!$AD$3:$AD$306=TRUE),--(calc!$AF$3:$AF$306=AF11))-1)/2,"")</f>
        <v/>
      </c>
      <c r="AK11" s="5">
        <f>IF(AD11,SUMPRODUCT(--(calc!$AD$3:$AD$306=TRUE),--(ROW(calc!$AD$3:$AD$306)&gt;ROW(AD11)),--(((calc!$AI$3:$AI$306&gt;AI11)*(calc!$AJ$3:$AJ$306&gt;AJ11)+(calc!$AI$3:$AI$306&lt;AI11)*(calc!$AJ$3:$AJ$306&lt;AJ11))&gt;0))-SUMPRODUCT(--(calc!$AD$3:$AD$306=TRUE),--(ROW(calc!$AD$3:$AD$306)&gt;ROW(AD11)),--(((calc!$AI$3:$AI$306&gt;AI11)*(calc!$AJ$3:$AJ$306&lt;AJ11)+(calc!$AI$3:$AI$306&lt;AI11)*(calc!$AJ$3:$AJ$306&gt;AJ11))&gt;0)),0)</f>
        <v/>
      </c>
      <c r="AL11" s="5">
        <f>IF(mos_metrics!J10="","",mos_metrics!J10)</f>
        <v/>
      </c>
      <c r="AM11" s="2">
        <f>AND($J11,ISNUMBER(AL11),correlation!$I$29=1)</f>
        <v/>
      </c>
      <c r="AN11" s="5">
        <f>IF(AM11,$F11,"")</f>
        <v/>
      </c>
      <c r="AO11" s="5">
        <f>IF(AM11,AL11*correlation!$J$29,"")</f>
        <v/>
      </c>
      <c r="AP11" s="5">
        <f>IF(AND(AM11,ISNUMBER(correlation!$F$29)),AO11*correlation!$F$29+correlation!$G$29,"")</f>
        <v/>
      </c>
      <c r="AQ11" s="5">
        <f>IF(AND(AM11,ISNUMBER(AP11)),(AN11-AP11)^2,"")</f>
        <v/>
      </c>
      <c r="AR11" s="5">
        <f>IF(AM11,1+SUMPRODUCT(--(calc!$AM$3:$AM$306=TRUE),--(calc!$AN$3:$AN$306&gt;AN11))+(SUMPRODUCT(--(calc!$AM$3:$AM$306=TRUE),--(calc!$AN$3:$AN$306=AN11))-1)/2,"")</f>
        <v/>
      </c>
      <c r="AS11" s="5">
        <f>IF(AM11,1+SUMPRODUCT(--(calc!$AM$3:$AM$306=TRUE),--(calc!$AO$3:$AO$306&gt;AO11))+(SUMPRODUCT(--(calc!$AM$3:$AM$306=TRUE),--(calc!$AO$3:$AO$306=AO11))-1)/2,"")</f>
        <v/>
      </c>
      <c r="AT11" s="5">
        <f>IF(AM11,SUMPRODUCT(--(calc!$AM$3:$AM$306=TRUE),--(ROW(calc!$AM$3:$AM$306)&gt;ROW(AM11)),--(((calc!$AR$3:$AR$306&gt;AR11)*(calc!$AS$3:$AS$306&gt;AS11)+(calc!$AR$3:$AR$306&lt;AR11)*(calc!$AS$3:$AS$306&lt;AS11))&gt;0))-SUMPRODUCT(--(calc!$AM$3:$AM$306=TRUE),--(ROW(calc!$AM$3:$AM$306)&gt;ROW(AM11)),--(((calc!$AR$3:$AR$306&gt;AR11)*(calc!$AS$3:$AS$306&lt;AS11)+(calc!$AR$3:$AR$306&lt;AR11)*(calc!$AS$3:$AS$306&gt;AS11))&gt;0)),0)</f>
        <v/>
      </c>
      <c r="AU11" s="5">
        <f>IF(mos_metrics!K10="","",mos_metrics!K10)</f>
        <v/>
      </c>
      <c r="AV11" s="2">
        <f>AND($J11,ISNUMBER(AU11),correlation!$I$30=1)</f>
        <v/>
      </c>
      <c r="AW11" s="5">
        <f>IF(AV11,$F11,"")</f>
        <v/>
      </c>
      <c r="AX11" s="5">
        <f>IF(AV11,AU11*correlation!$J$30,"")</f>
        <v/>
      </c>
      <c r="AY11" s="5">
        <f>IF(AND(AV11,ISNUMBER(correlation!$F$30)),AX11*correlation!$F$30+correlation!$G$30,"")</f>
        <v/>
      </c>
      <c r="AZ11" s="5">
        <f>IF(AND(AV11,ISNUMBER(AY11)),(AW11-AY11)^2,"")</f>
        <v/>
      </c>
      <c r="BA11" s="5">
        <f>IF(AV11,1+SUMPRODUCT(--(calc!$AV$3:$AV$306=TRUE),--(calc!$AW$3:$AW$306&gt;AW11))+(SUMPRODUCT(--(calc!$AV$3:$AV$306=TRUE),--(calc!$AW$3:$AW$306=AW11))-1)/2,"")</f>
        <v/>
      </c>
      <c r="BB11" s="5">
        <f>IF(AV11,1+SUMPRODUCT(--(calc!$AV$3:$AV$306=TRUE),--(calc!$AX$3:$AX$306&gt;AX11))+(SUMPRODUCT(--(calc!$AV$3:$AV$306=TRUE),--(calc!$AX$3:$AX$306=AX11))-1)/2,"")</f>
        <v/>
      </c>
      <c r="BC11" s="5">
        <f>IF(AV11,SUMPRODUCT(--(calc!$AV$3:$AV$306=TRUE),--(ROW(calc!$AV$3:$AV$306)&gt;ROW(AV11)),--(((calc!$BA$3:$BA$306&gt;BA11)*(calc!$BB$3:$BB$306&gt;BB11)+(calc!$BA$3:$BA$306&lt;BA11)*(calc!$BB$3:$BB$306&lt;BB11))&gt;0))-SUMPRODUCT(--(calc!$AV$3:$AV$306=TRUE),--(ROW(calc!$AV$3:$AV$306)&gt;ROW(AV11)),--(((calc!$BA$3:$BA$306&gt;BA11)*(calc!$BB$3:$BB$306&lt;BB11)+(calc!$BA$3:$BA$306&lt;BA11)*(calc!$BB$3:$BB$306&gt;BB11))&gt;0)),0)</f>
        <v/>
      </c>
      <c r="BD11" s="5">
        <f>IF(mos_metrics!L10="","",mos_metrics!L10)</f>
        <v/>
      </c>
      <c r="BE11" s="2">
        <f>AND($J11,ISNUMBER(BD11),correlation!$I$31=1)</f>
        <v/>
      </c>
      <c r="BF11" s="5">
        <f>IF(BE11,$F11,"")</f>
        <v/>
      </c>
      <c r="BG11" s="5">
        <f>IF(BE11,BD11*correlation!$J$31,"")</f>
        <v/>
      </c>
      <c r="BH11" s="5">
        <f>IF(AND(BE11,ISNUMBER(correlation!$F$31)),BG11*correlation!$F$31+correlation!$G$31,"")</f>
        <v/>
      </c>
      <c r="BI11" s="5">
        <f>IF(AND(BE11,ISNUMBER(BH11)),(BF11-BH11)^2,"")</f>
        <v/>
      </c>
      <c r="BJ11" s="5">
        <f>IF(BE11,1+SUMPRODUCT(--(calc!$BE$3:$BE$306=TRUE),--(calc!$BF$3:$BF$306&gt;BF11))+(SUMPRODUCT(--(calc!$BE$3:$BE$306=TRUE),--(calc!$BF$3:$BF$306=BF11))-1)/2,"")</f>
        <v/>
      </c>
      <c r="BK11" s="5">
        <f>IF(BE11,1+SUMPRODUCT(--(calc!$BE$3:$BE$306=TRUE),--(calc!$BG$3:$BG$306&gt;BG11))+(SUMPRODUCT(--(calc!$BE$3:$BE$306=TRUE),--(calc!$BG$3:$BG$306=BG11))-1)/2,"")</f>
        <v/>
      </c>
      <c r="BL11" s="5">
        <f>IF(BE11,SUMPRODUCT(--(calc!$BE$3:$BE$306=TRUE),--(ROW(calc!$BE$3:$BE$306)&gt;ROW(BE11)),--(((calc!$BJ$3:$BJ$306&gt;BJ11)*(calc!$BK$3:$BK$306&gt;BK11)+(calc!$BJ$3:$BJ$306&lt;BJ11)*(calc!$BK$3:$BK$306&lt;BK11))&gt;0))-SUMPRODUCT(--(calc!$BE$3:$BE$306=TRUE),--(ROW(calc!$BE$3:$BE$306)&gt;ROW(BE11)),--(((calc!$BJ$3:$BJ$306&gt;BJ11)*(calc!$BK$3:$BK$306&lt;BK11)+(calc!$BJ$3:$BJ$306&lt;BJ11)*(calc!$BK$3:$BK$306&gt;BK11))&gt;0)),0)</f>
        <v/>
      </c>
      <c r="BM11" s="5">
        <f>IF(mos_metrics!M10="","",mos_metrics!M10)</f>
        <v/>
      </c>
      <c r="BN11" s="2">
        <f>AND($J11,ISNUMBER(BM11),correlation!$I$32=1)</f>
        <v/>
      </c>
      <c r="BO11" s="5">
        <f>IF(BN11,$F11,"")</f>
        <v/>
      </c>
      <c r="BP11" s="5">
        <f>IF(BN11,BM11*correlation!$J$32,"")</f>
        <v/>
      </c>
      <c r="BQ11" s="5">
        <f>IF(AND(BN11,ISNUMBER(correlation!$F$32)),BP11*correlation!$F$32+correlation!$G$32,"")</f>
        <v/>
      </c>
      <c r="BR11" s="5">
        <f>IF(AND(BN11,ISNUMBER(BQ11)),(BO11-BQ11)^2,"")</f>
        <v/>
      </c>
      <c r="BS11" s="5">
        <f>IF(BN11,1+SUMPRODUCT(--(calc!$BN$3:$BN$306=TRUE),--(calc!$BO$3:$BO$306&gt;BO11))+(SUMPRODUCT(--(calc!$BN$3:$BN$306=TRUE),--(calc!$BO$3:$BO$306=BO11))-1)/2,"")</f>
        <v/>
      </c>
      <c r="BT11" s="5">
        <f>IF(BN11,1+SUMPRODUCT(--(calc!$BN$3:$BN$306=TRUE),--(calc!$BP$3:$BP$306&gt;BP11))+(SUMPRODUCT(--(calc!$BN$3:$BN$306=TRUE),--(calc!$BP$3:$BP$306=BP11))-1)/2,"")</f>
        <v/>
      </c>
      <c r="BU11" s="5">
        <f>IF(BN11,SUMPRODUCT(--(calc!$BN$3:$BN$306=TRUE),--(ROW(calc!$BN$3:$BN$306)&gt;ROW(BN11)),--(((calc!$BS$3:$BS$306&gt;BS11)*(calc!$BT$3:$BT$306&gt;BT11)+(calc!$BS$3:$BS$306&lt;BS11)*(calc!$BT$3:$BT$306&lt;BT11))&gt;0))-SUMPRODUCT(--(calc!$BN$3:$BN$306=TRUE),--(ROW(calc!$BN$3:$BN$306)&gt;ROW(BN11)),--(((calc!$BS$3:$BS$306&gt;BS11)*(calc!$BT$3:$BT$306&lt;BT11)+(calc!$BS$3:$BS$306&lt;BS11)*(calc!$BT$3:$BT$306&gt;BT11))&gt;0)),0)</f>
        <v/>
      </c>
    </row>
    <row r="12">
      <c r="A12" s="2">
        <f>mos_metrics!A11</f>
        <v/>
      </c>
      <c r="B12" s="2">
        <f>mos_metrics!B11</f>
        <v/>
      </c>
      <c r="C12" s="2">
        <f>mos_metrics!C11</f>
        <v/>
      </c>
      <c r="D12" s="2">
        <f>mos_metrics!D11</f>
        <v/>
      </c>
      <c r="E12" s="2">
        <f>mos_metrics!E11</f>
        <v/>
      </c>
      <c r="F12" s="2">
        <f>mos_metrics!F11</f>
        <v/>
      </c>
      <c r="G12" s="2">
        <f>IF($B12="","",IFERROR(VLOOKUP($B12,correlation!$A$2:$B$16,2,FALSE),1))</f>
        <v/>
      </c>
      <c r="H12" s="2">
        <f>IF($E12="","",IFERROR(VLOOKUP($E12,correlation!$D$2:$E$8,2,FALSE),1))</f>
        <v/>
      </c>
      <c r="I12" s="2">
        <f>ISNUMBER($F12)</f>
        <v/>
      </c>
      <c r="J12" s="2">
        <f>AND($G12=1,$H12=1,$I12)</f>
        <v/>
      </c>
      <c r="K12" s="5">
        <f>IF(mos_metrics!G11="","",mos_metrics!G11)</f>
        <v/>
      </c>
      <c r="L12" s="2">
        <f>AND($J12,ISNUMBER(K12),correlation!$I$26=1)</f>
        <v/>
      </c>
      <c r="M12" s="5">
        <f>IF(L12,$F12,"")</f>
        <v/>
      </c>
      <c r="N12" s="5">
        <f>IF(L12,K12*correlation!$J$26,"")</f>
        <v/>
      </c>
      <c r="O12" s="5">
        <f>IF(AND(L12,ISNUMBER(correlation!$F$26)),N12*correlation!$F$26+correlation!$G$26,"")</f>
        <v/>
      </c>
      <c r="P12" s="5">
        <f>IF(AND(L12,ISNUMBER(O12)),(M12-O12)^2,"")</f>
        <v/>
      </c>
      <c r="Q12" s="5">
        <f>IF(L12,1+SUMPRODUCT(--(calc!$L$3:$L$306=TRUE),--(calc!$M$3:$M$306&gt;M12))+(SUMPRODUCT(--(calc!$L$3:$L$306=TRUE),--(calc!$M$3:$M$306=M12))-1)/2,"")</f>
        <v/>
      </c>
      <c r="R12" s="5">
        <f>IF(L12,1+SUMPRODUCT(--(calc!$L$3:$L$306=TRUE),--(calc!$N$3:$N$306&gt;N12))+(SUMPRODUCT(--(calc!$L$3:$L$306=TRUE),--(calc!$N$3:$N$306=N12))-1)/2,"")</f>
        <v/>
      </c>
      <c r="S12" s="5">
        <f>IF(L12,SUMPRODUCT(--(calc!$L$3:$L$306=TRUE),--(ROW(calc!$L$3:$L$306)&gt;ROW(L12)),--(((calc!$Q$3:$Q$306&gt;Q12)*(calc!$R$3:$R$306&gt;R12)+(calc!$Q$3:$Q$306&lt;Q12)*(calc!$R$3:$R$306&lt;R12))&gt;0))-SUMPRODUCT(--(calc!$L$3:$L$306=TRUE),--(ROW(calc!$L$3:$L$306)&gt;ROW(L12)),--(((calc!$Q$3:$Q$306&gt;Q12)*(calc!$R$3:$R$306&lt;R12)+(calc!$Q$3:$Q$306&lt;Q12)*(calc!$R$3:$R$306&gt;R12))&gt;0)),0)</f>
        <v/>
      </c>
      <c r="T12" s="5">
        <f>IF(mos_metrics!H11="","",mos_metrics!H11)</f>
        <v/>
      </c>
      <c r="U12" s="2">
        <f>AND($J12,ISNUMBER(T12),correlation!$I$27=1)</f>
        <v/>
      </c>
      <c r="V12" s="5">
        <f>IF(U12,$F12,"")</f>
        <v/>
      </c>
      <c r="W12" s="5">
        <f>IF(U12,T12*correlation!$J$27,"")</f>
        <v/>
      </c>
      <c r="X12" s="5">
        <f>IF(AND(U12,ISNUMBER(correlation!$F$27)),W12*correlation!$F$27+correlation!$G$27,"")</f>
        <v/>
      </c>
      <c r="Y12" s="5">
        <f>IF(AND(U12,ISNUMBER(X12)),(V12-X12)^2,"")</f>
        <v/>
      </c>
      <c r="Z12" s="5">
        <f>IF(U12,1+SUMPRODUCT(--(calc!$U$3:$U$306=TRUE),--(calc!$V$3:$V$306&gt;V12))+(SUMPRODUCT(--(calc!$U$3:$U$306=TRUE),--(calc!$V$3:$V$306=V12))-1)/2,"")</f>
        <v/>
      </c>
      <c r="AA12" s="5">
        <f>IF(U12,1+SUMPRODUCT(--(calc!$U$3:$U$306=TRUE),--(calc!$W$3:$W$306&gt;W12))+(SUMPRODUCT(--(calc!$U$3:$U$306=TRUE),--(calc!$W$3:$W$306=W12))-1)/2,"")</f>
        <v/>
      </c>
      <c r="AB12" s="5">
        <f>IF(U12,SUMPRODUCT(--(calc!$U$3:$U$306=TRUE),--(ROW(calc!$U$3:$U$306)&gt;ROW(U12)),--(((calc!$Z$3:$Z$306&gt;Z12)*(calc!$AA$3:$AA$306&gt;AA12)+(calc!$Z$3:$Z$306&lt;Z12)*(calc!$AA$3:$AA$306&lt;AA12))&gt;0))-SUMPRODUCT(--(calc!$U$3:$U$306=TRUE),--(ROW(calc!$U$3:$U$306)&gt;ROW(U12)),--(((calc!$Z$3:$Z$306&gt;Z12)*(calc!$AA$3:$AA$306&lt;AA12)+(calc!$Z$3:$Z$306&lt;Z12)*(calc!$AA$3:$AA$306&gt;AA12))&gt;0)),0)</f>
        <v/>
      </c>
      <c r="AC12" s="5">
        <f>IF(mos_metrics!I11="","",mos_metrics!I11)</f>
        <v/>
      </c>
      <c r="AD12" s="2">
        <f>AND($J12,ISNUMBER(AC12),correlation!$I$28=1)</f>
        <v/>
      </c>
      <c r="AE12" s="5">
        <f>IF(AD12,$F12,"")</f>
        <v/>
      </c>
      <c r="AF12" s="5">
        <f>IF(AD12,AC12*correlation!$J$28,"")</f>
        <v/>
      </c>
      <c r="AG12" s="5">
        <f>IF(AND(AD12,ISNUMBER(correlation!$F$28)),AF12*correlation!$F$28+correlation!$G$28,"")</f>
        <v/>
      </c>
      <c r="AH12" s="5">
        <f>IF(AND(AD12,ISNUMBER(AG12)),(AE12-AG12)^2,"")</f>
        <v/>
      </c>
      <c r="AI12" s="5">
        <f>IF(AD12,1+SUMPRODUCT(--(calc!$AD$3:$AD$306=TRUE),--(calc!$AE$3:$AE$306&gt;AE12))+(SUMPRODUCT(--(calc!$AD$3:$AD$306=TRUE),--(calc!$AE$3:$AE$306=AE12))-1)/2,"")</f>
        <v/>
      </c>
      <c r="AJ12" s="5">
        <f>IF(AD12,1+SUMPRODUCT(--(calc!$AD$3:$AD$306=TRUE),--(calc!$AF$3:$AF$306&gt;AF12))+(SUMPRODUCT(--(calc!$AD$3:$AD$306=TRUE),--(calc!$AF$3:$AF$306=AF12))-1)/2,"")</f>
        <v/>
      </c>
      <c r="AK12" s="5">
        <f>IF(AD12,SUMPRODUCT(--(calc!$AD$3:$AD$306=TRUE),--(ROW(calc!$AD$3:$AD$306)&gt;ROW(AD12)),--(((calc!$AI$3:$AI$306&gt;AI12)*(calc!$AJ$3:$AJ$306&gt;AJ12)+(calc!$AI$3:$AI$306&lt;AI12)*(calc!$AJ$3:$AJ$306&lt;AJ12))&gt;0))-SUMPRODUCT(--(calc!$AD$3:$AD$306=TRUE),--(ROW(calc!$AD$3:$AD$306)&gt;ROW(AD12)),--(((calc!$AI$3:$AI$306&gt;AI12)*(calc!$AJ$3:$AJ$306&lt;AJ12)+(calc!$AI$3:$AI$306&lt;AI12)*(calc!$AJ$3:$AJ$306&gt;AJ12))&gt;0)),0)</f>
        <v/>
      </c>
      <c r="AL12" s="5">
        <f>IF(mos_metrics!J11="","",mos_metrics!J11)</f>
        <v/>
      </c>
      <c r="AM12" s="2">
        <f>AND($J12,ISNUMBER(AL12),correlation!$I$29=1)</f>
        <v/>
      </c>
      <c r="AN12" s="5">
        <f>IF(AM12,$F12,"")</f>
        <v/>
      </c>
      <c r="AO12" s="5">
        <f>IF(AM12,AL12*correlation!$J$29,"")</f>
        <v/>
      </c>
      <c r="AP12" s="5">
        <f>IF(AND(AM12,ISNUMBER(correlation!$F$29)),AO12*correlation!$F$29+correlation!$G$29,"")</f>
        <v/>
      </c>
      <c r="AQ12" s="5">
        <f>IF(AND(AM12,ISNUMBER(AP12)),(AN12-AP12)^2,"")</f>
        <v/>
      </c>
      <c r="AR12" s="5">
        <f>IF(AM12,1+SUMPRODUCT(--(calc!$AM$3:$AM$306=TRUE),--(calc!$AN$3:$AN$306&gt;AN12))+(SUMPRODUCT(--(calc!$AM$3:$AM$306=TRUE),--(calc!$AN$3:$AN$306=AN12))-1)/2,"")</f>
        <v/>
      </c>
      <c r="AS12" s="5">
        <f>IF(AM12,1+SUMPRODUCT(--(calc!$AM$3:$AM$306=TRUE),--(calc!$AO$3:$AO$306&gt;AO12))+(SUMPRODUCT(--(calc!$AM$3:$AM$306=TRUE),--(calc!$AO$3:$AO$306=AO12))-1)/2,"")</f>
        <v/>
      </c>
      <c r="AT12" s="5">
        <f>IF(AM12,SUMPRODUCT(--(calc!$AM$3:$AM$306=TRUE),--(ROW(calc!$AM$3:$AM$306)&gt;ROW(AM12)),--(((calc!$AR$3:$AR$306&gt;AR12)*(calc!$AS$3:$AS$306&gt;AS12)+(calc!$AR$3:$AR$306&lt;AR12)*(calc!$AS$3:$AS$306&lt;AS12))&gt;0))-SUMPRODUCT(--(calc!$AM$3:$AM$306=TRUE),--(ROW(calc!$AM$3:$AM$306)&gt;ROW(AM12)),--(((calc!$AR$3:$AR$306&gt;AR12)*(calc!$AS$3:$AS$306&lt;AS12)+(calc!$AR$3:$AR$306&lt;AR12)*(calc!$AS$3:$AS$306&gt;AS12))&gt;0)),0)</f>
        <v/>
      </c>
      <c r="AU12" s="5">
        <f>IF(mos_metrics!K11="","",mos_metrics!K11)</f>
        <v/>
      </c>
      <c r="AV12" s="2">
        <f>AND($J12,ISNUMBER(AU12),correlation!$I$30=1)</f>
        <v/>
      </c>
      <c r="AW12" s="5">
        <f>IF(AV12,$F12,"")</f>
        <v/>
      </c>
      <c r="AX12" s="5">
        <f>IF(AV12,AU12*correlation!$J$30,"")</f>
        <v/>
      </c>
      <c r="AY12" s="5">
        <f>IF(AND(AV12,ISNUMBER(correlation!$F$30)),AX12*correlation!$F$30+correlation!$G$30,"")</f>
        <v/>
      </c>
      <c r="AZ12" s="5">
        <f>IF(AND(AV12,ISNUMBER(AY12)),(AW12-AY12)^2,"")</f>
        <v/>
      </c>
      <c r="BA12" s="5">
        <f>IF(AV12,1+SUMPRODUCT(--(calc!$AV$3:$AV$306=TRUE),--(calc!$AW$3:$AW$306&gt;AW12))+(SUMPRODUCT(--(calc!$AV$3:$AV$306=TRUE),--(calc!$AW$3:$AW$306=AW12))-1)/2,"")</f>
        <v/>
      </c>
      <c r="BB12" s="5">
        <f>IF(AV12,1+SUMPRODUCT(--(calc!$AV$3:$AV$306=TRUE),--(calc!$AX$3:$AX$306&gt;AX12))+(SUMPRODUCT(--(calc!$AV$3:$AV$306=TRUE),--(calc!$AX$3:$AX$306=AX12))-1)/2,"")</f>
        <v/>
      </c>
      <c r="BC12" s="5">
        <f>IF(AV12,SUMPRODUCT(--(calc!$AV$3:$AV$306=TRUE),--(ROW(calc!$AV$3:$AV$306)&gt;ROW(AV12)),--(((calc!$BA$3:$BA$306&gt;BA12)*(calc!$BB$3:$BB$306&gt;BB12)+(calc!$BA$3:$BA$306&lt;BA12)*(calc!$BB$3:$BB$306&lt;BB12))&gt;0))-SUMPRODUCT(--(calc!$AV$3:$AV$306=TRUE),--(ROW(calc!$AV$3:$AV$306)&gt;ROW(AV12)),--(((calc!$BA$3:$BA$306&gt;BA12)*(calc!$BB$3:$BB$306&lt;BB12)+(calc!$BA$3:$BA$306&lt;BA12)*(calc!$BB$3:$BB$306&gt;BB12))&gt;0)),0)</f>
        <v/>
      </c>
      <c r="BD12" s="5">
        <f>IF(mos_metrics!L11="","",mos_metrics!L11)</f>
        <v/>
      </c>
      <c r="BE12" s="2">
        <f>AND($J12,ISNUMBER(BD12),correlation!$I$31=1)</f>
        <v/>
      </c>
      <c r="BF12" s="5">
        <f>IF(BE12,$F12,"")</f>
        <v/>
      </c>
      <c r="BG12" s="5">
        <f>IF(BE12,BD12*correlation!$J$31,"")</f>
        <v/>
      </c>
      <c r="BH12" s="5">
        <f>IF(AND(BE12,ISNUMBER(correlation!$F$31)),BG12*correlation!$F$31+correlation!$G$31,"")</f>
        <v/>
      </c>
      <c r="BI12" s="5">
        <f>IF(AND(BE12,ISNUMBER(BH12)),(BF12-BH12)^2,"")</f>
        <v/>
      </c>
      <c r="BJ12" s="5">
        <f>IF(BE12,1+SUMPRODUCT(--(calc!$BE$3:$BE$306=TRUE),--(calc!$BF$3:$BF$306&gt;BF12))+(SUMPRODUCT(--(calc!$BE$3:$BE$306=TRUE),--(calc!$BF$3:$BF$306=BF12))-1)/2,"")</f>
        <v/>
      </c>
      <c r="BK12" s="5">
        <f>IF(BE12,1+SUMPRODUCT(--(calc!$BE$3:$BE$306=TRUE),--(calc!$BG$3:$BG$306&gt;BG12))+(SUMPRODUCT(--(calc!$BE$3:$BE$306=TRUE),--(calc!$BG$3:$BG$306=BG12))-1)/2,"")</f>
        <v/>
      </c>
      <c r="BL12" s="5">
        <f>IF(BE12,SUMPRODUCT(--(calc!$BE$3:$BE$306=TRUE),--(ROW(calc!$BE$3:$BE$306)&gt;ROW(BE12)),--(((calc!$BJ$3:$BJ$306&gt;BJ12)*(calc!$BK$3:$BK$306&gt;BK12)+(calc!$BJ$3:$BJ$306&lt;BJ12)*(calc!$BK$3:$BK$306&lt;BK12))&gt;0))-SUMPRODUCT(--(calc!$BE$3:$BE$306=TRUE),--(ROW(calc!$BE$3:$BE$306)&gt;ROW(BE12)),--(((calc!$BJ$3:$BJ$306&gt;BJ12)*(calc!$BK$3:$BK$306&lt;BK12)+(calc!$BJ$3:$BJ$306&lt;BJ12)*(calc!$BK$3:$BK$306&gt;BK12))&gt;0)),0)</f>
        <v/>
      </c>
      <c r="BM12" s="5">
        <f>IF(mos_metrics!M11="","",mos_metrics!M11)</f>
        <v/>
      </c>
      <c r="BN12" s="2">
        <f>AND($J12,ISNUMBER(BM12),correlation!$I$32=1)</f>
        <v/>
      </c>
      <c r="BO12" s="5">
        <f>IF(BN12,$F12,"")</f>
        <v/>
      </c>
      <c r="BP12" s="5">
        <f>IF(BN12,BM12*correlation!$J$32,"")</f>
        <v/>
      </c>
      <c r="BQ12" s="5">
        <f>IF(AND(BN12,ISNUMBER(correlation!$F$32)),BP12*correlation!$F$32+correlation!$G$32,"")</f>
        <v/>
      </c>
      <c r="BR12" s="5">
        <f>IF(AND(BN12,ISNUMBER(BQ12)),(BO12-BQ12)^2,"")</f>
        <v/>
      </c>
      <c r="BS12" s="5">
        <f>IF(BN12,1+SUMPRODUCT(--(calc!$BN$3:$BN$306=TRUE),--(calc!$BO$3:$BO$306&gt;BO12))+(SUMPRODUCT(--(calc!$BN$3:$BN$306=TRUE),--(calc!$BO$3:$BO$306=BO12))-1)/2,"")</f>
        <v/>
      </c>
      <c r="BT12" s="5">
        <f>IF(BN12,1+SUMPRODUCT(--(calc!$BN$3:$BN$306=TRUE),--(calc!$BP$3:$BP$306&gt;BP12))+(SUMPRODUCT(--(calc!$BN$3:$BN$306=TRUE),--(calc!$BP$3:$BP$306=BP12))-1)/2,"")</f>
        <v/>
      </c>
      <c r="BU12" s="5">
        <f>IF(BN12,SUMPRODUCT(--(calc!$BN$3:$BN$306=TRUE),--(ROW(calc!$BN$3:$BN$306)&gt;ROW(BN12)),--(((calc!$BS$3:$BS$306&gt;BS12)*(calc!$BT$3:$BT$306&gt;BT12)+(calc!$BS$3:$BS$306&lt;BS12)*(calc!$BT$3:$BT$306&lt;BT12))&gt;0))-SUMPRODUCT(--(calc!$BN$3:$BN$306=TRUE),--(ROW(calc!$BN$3:$BN$306)&gt;ROW(BN12)),--(((calc!$BS$3:$BS$306&gt;BS12)*(calc!$BT$3:$BT$306&lt;BT12)+(calc!$BS$3:$BS$306&lt;BS12)*(calc!$BT$3:$BT$306&gt;BT12))&gt;0)),0)</f>
        <v/>
      </c>
    </row>
    <row r="13">
      <c r="A13" s="2">
        <f>mos_metrics!A12</f>
        <v/>
      </c>
      <c r="B13" s="2">
        <f>mos_metrics!B12</f>
        <v/>
      </c>
      <c r="C13" s="2">
        <f>mos_metrics!C12</f>
        <v/>
      </c>
      <c r="D13" s="2">
        <f>mos_metrics!D12</f>
        <v/>
      </c>
      <c r="E13" s="2">
        <f>mos_metrics!E12</f>
        <v/>
      </c>
      <c r="F13" s="2">
        <f>mos_metrics!F12</f>
        <v/>
      </c>
      <c r="G13" s="2">
        <f>IF($B13="","",IFERROR(VLOOKUP($B13,correlation!$A$2:$B$16,2,FALSE),1))</f>
        <v/>
      </c>
      <c r="H13" s="2">
        <f>IF($E13="","",IFERROR(VLOOKUP($E13,correlation!$D$2:$E$8,2,FALSE),1))</f>
        <v/>
      </c>
      <c r="I13" s="2">
        <f>ISNUMBER($F13)</f>
        <v/>
      </c>
      <c r="J13" s="2">
        <f>AND($G13=1,$H13=1,$I13)</f>
        <v/>
      </c>
      <c r="K13" s="5">
        <f>IF(mos_metrics!G12="","",mos_metrics!G12)</f>
        <v/>
      </c>
      <c r="L13" s="2">
        <f>AND($J13,ISNUMBER(K13),correlation!$I$26=1)</f>
        <v/>
      </c>
      <c r="M13" s="5">
        <f>IF(L13,$F13,"")</f>
        <v/>
      </c>
      <c r="N13" s="5">
        <f>IF(L13,K13*correlation!$J$26,"")</f>
        <v/>
      </c>
      <c r="O13" s="5">
        <f>IF(AND(L13,ISNUMBER(correlation!$F$26)),N13*correlation!$F$26+correlation!$G$26,"")</f>
        <v/>
      </c>
      <c r="P13" s="5">
        <f>IF(AND(L13,ISNUMBER(O13)),(M13-O13)^2,"")</f>
        <v/>
      </c>
      <c r="Q13" s="5">
        <f>IF(L13,1+SUMPRODUCT(--(calc!$L$3:$L$306=TRUE),--(calc!$M$3:$M$306&gt;M13))+(SUMPRODUCT(--(calc!$L$3:$L$306=TRUE),--(calc!$M$3:$M$306=M13))-1)/2,"")</f>
        <v/>
      </c>
      <c r="R13" s="5">
        <f>IF(L13,1+SUMPRODUCT(--(calc!$L$3:$L$306=TRUE),--(calc!$N$3:$N$306&gt;N13))+(SUMPRODUCT(--(calc!$L$3:$L$306=TRUE),--(calc!$N$3:$N$306=N13))-1)/2,"")</f>
        <v/>
      </c>
      <c r="S13" s="5">
        <f>IF(L13,SUMPRODUCT(--(calc!$L$3:$L$306=TRUE),--(ROW(calc!$L$3:$L$306)&gt;ROW(L13)),--(((calc!$Q$3:$Q$306&gt;Q13)*(calc!$R$3:$R$306&gt;R13)+(calc!$Q$3:$Q$306&lt;Q13)*(calc!$R$3:$R$306&lt;R13))&gt;0))-SUMPRODUCT(--(calc!$L$3:$L$306=TRUE),--(ROW(calc!$L$3:$L$306)&gt;ROW(L13)),--(((calc!$Q$3:$Q$306&gt;Q13)*(calc!$R$3:$R$306&lt;R13)+(calc!$Q$3:$Q$306&lt;Q13)*(calc!$R$3:$R$306&gt;R13))&gt;0)),0)</f>
        <v/>
      </c>
      <c r="T13" s="5">
        <f>IF(mos_metrics!H12="","",mos_metrics!H12)</f>
        <v/>
      </c>
      <c r="U13" s="2">
        <f>AND($J13,ISNUMBER(T13),correlation!$I$27=1)</f>
        <v/>
      </c>
      <c r="V13" s="5">
        <f>IF(U13,$F13,"")</f>
        <v/>
      </c>
      <c r="W13" s="5">
        <f>IF(U13,T13*correlation!$J$27,"")</f>
        <v/>
      </c>
      <c r="X13" s="5">
        <f>IF(AND(U13,ISNUMBER(correlation!$F$27)),W13*correlation!$F$27+correlation!$G$27,"")</f>
        <v/>
      </c>
      <c r="Y13" s="5">
        <f>IF(AND(U13,ISNUMBER(X13)),(V13-X13)^2,"")</f>
        <v/>
      </c>
      <c r="Z13" s="5">
        <f>IF(U13,1+SUMPRODUCT(--(calc!$U$3:$U$306=TRUE),--(calc!$V$3:$V$306&gt;V13))+(SUMPRODUCT(--(calc!$U$3:$U$306=TRUE),--(calc!$V$3:$V$306=V13))-1)/2,"")</f>
        <v/>
      </c>
      <c r="AA13" s="5">
        <f>IF(U13,1+SUMPRODUCT(--(calc!$U$3:$U$306=TRUE),--(calc!$W$3:$W$306&gt;W13))+(SUMPRODUCT(--(calc!$U$3:$U$306=TRUE),--(calc!$W$3:$W$306=W13))-1)/2,"")</f>
        <v/>
      </c>
      <c r="AB13" s="5">
        <f>IF(U13,SUMPRODUCT(--(calc!$U$3:$U$306=TRUE),--(ROW(calc!$U$3:$U$306)&gt;ROW(U13)),--(((calc!$Z$3:$Z$306&gt;Z13)*(calc!$AA$3:$AA$306&gt;AA13)+(calc!$Z$3:$Z$306&lt;Z13)*(calc!$AA$3:$AA$306&lt;AA13))&gt;0))-SUMPRODUCT(--(calc!$U$3:$U$306=TRUE),--(ROW(calc!$U$3:$U$306)&gt;ROW(U13)),--(((calc!$Z$3:$Z$306&gt;Z13)*(calc!$AA$3:$AA$306&lt;AA13)+(calc!$Z$3:$Z$306&lt;Z13)*(calc!$AA$3:$AA$306&gt;AA13))&gt;0)),0)</f>
        <v/>
      </c>
      <c r="AC13" s="5">
        <f>IF(mos_metrics!I12="","",mos_metrics!I12)</f>
        <v/>
      </c>
      <c r="AD13" s="2">
        <f>AND($J13,ISNUMBER(AC13),correlation!$I$28=1)</f>
        <v/>
      </c>
      <c r="AE13" s="5">
        <f>IF(AD13,$F13,"")</f>
        <v/>
      </c>
      <c r="AF13" s="5">
        <f>IF(AD13,AC13*correlation!$J$28,"")</f>
        <v/>
      </c>
      <c r="AG13" s="5">
        <f>IF(AND(AD13,ISNUMBER(correlation!$F$28)),AF13*correlation!$F$28+correlation!$G$28,"")</f>
        <v/>
      </c>
      <c r="AH13" s="5">
        <f>IF(AND(AD13,ISNUMBER(AG13)),(AE13-AG13)^2,"")</f>
        <v/>
      </c>
      <c r="AI13" s="5">
        <f>IF(AD13,1+SUMPRODUCT(--(calc!$AD$3:$AD$306=TRUE),--(calc!$AE$3:$AE$306&gt;AE13))+(SUMPRODUCT(--(calc!$AD$3:$AD$306=TRUE),--(calc!$AE$3:$AE$306=AE13))-1)/2,"")</f>
        <v/>
      </c>
      <c r="AJ13" s="5">
        <f>IF(AD13,1+SUMPRODUCT(--(calc!$AD$3:$AD$306=TRUE),--(calc!$AF$3:$AF$306&gt;AF13))+(SUMPRODUCT(--(calc!$AD$3:$AD$306=TRUE),--(calc!$AF$3:$AF$306=AF13))-1)/2,"")</f>
        <v/>
      </c>
      <c r="AK13" s="5">
        <f>IF(AD13,SUMPRODUCT(--(calc!$AD$3:$AD$306=TRUE),--(ROW(calc!$AD$3:$AD$306)&gt;ROW(AD13)),--(((calc!$AI$3:$AI$306&gt;AI13)*(calc!$AJ$3:$AJ$306&gt;AJ13)+(calc!$AI$3:$AI$306&lt;AI13)*(calc!$AJ$3:$AJ$306&lt;AJ13))&gt;0))-SUMPRODUCT(--(calc!$AD$3:$AD$306=TRUE),--(ROW(calc!$AD$3:$AD$306)&gt;ROW(AD13)),--(((calc!$AI$3:$AI$306&gt;AI13)*(calc!$AJ$3:$AJ$306&lt;AJ13)+(calc!$AI$3:$AI$306&lt;AI13)*(calc!$AJ$3:$AJ$306&gt;AJ13))&gt;0)),0)</f>
        <v/>
      </c>
      <c r="AL13" s="5">
        <f>IF(mos_metrics!J12="","",mos_metrics!J12)</f>
        <v/>
      </c>
      <c r="AM13" s="2">
        <f>AND($J13,ISNUMBER(AL13),correlation!$I$29=1)</f>
        <v/>
      </c>
      <c r="AN13" s="5">
        <f>IF(AM13,$F13,"")</f>
        <v/>
      </c>
      <c r="AO13" s="5">
        <f>IF(AM13,AL13*correlation!$J$29,"")</f>
        <v/>
      </c>
      <c r="AP13" s="5">
        <f>IF(AND(AM13,ISNUMBER(correlation!$F$29)),AO13*correlation!$F$29+correlation!$G$29,"")</f>
        <v/>
      </c>
      <c r="AQ13" s="5">
        <f>IF(AND(AM13,ISNUMBER(AP13)),(AN13-AP13)^2,"")</f>
        <v/>
      </c>
      <c r="AR13" s="5">
        <f>IF(AM13,1+SUMPRODUCT(--(calc!$AM$3:$AM$306=TRUE),--(calc!$AN$3:$AN$306&gt;AN13))+(SUMPRODUCT(--(calc!$AM$3:$AM$306=TRUE),--(calc!$AN$3:$AN$306=AN13))-1)/2,"")</f>
        <v/>
      </c>
      <c r="AS13" s="5">
        <f>IF(AM13,1+SUMPRODUCT(--(calc!$AM$3:$AM$306=TRUE),--(calc!$AO$3:$AO$306&gt;AO13))+(SUMPRODUCT(--(calc!$AM$3:$AM$306=TRUE),--(calc!$AO$3:$AO$306=AO13))-1)/2,"")</f>
        <v/>
      </c>
      <c r="AT13" s="5">
        <f>IF(AM13,SUMPRODUCT(--(calc!$AM$3:$AM$306=TRUE),--(ROW(calc!$AM$3:$AM$306)&gt;ROW(AM13)),--(((calc!$AR$3:$AR$306&gt;AR13)*(calc!$AS$3:$AS$306&gt;AS13)+(calc!$AR$3:$AR$306&lt;AR13)*(calc!$AS$3:$AS$306&lt;AS13))&gt;0))-SUMPRODUCT(--(calc!$AM$3:$AM$306=TRUE),--(ROW(calc!$AM$3:$AM$306)&gt;ROW(AM13)),--(((calc!$AR$3:$AR$306&gt;AR13)*(calc!$AS$3:$AS$306&lt;AS13)+(calc!$AR$3:$AR$306&lt;AR13)*(calc!$AS$3:$AS$306&gt;AS13))&gt;0)),0)</f>
        <v/>
      </c>
      <c r="AU13" s="5">
        <f>IF(mos_metrics!K12="","",mos_metrics!K12)</f>
        <v/>
      </c>
      <c r="AV13" s="2">
        <f>AND($J13,ISNUMBER(AU13),correlation!$I$30=1)</f>
        <v/>
      </c>
      <c r="AW13" s="5">
        <f>IF(AV13,$F13,"")</f>
        <v/>
      </c>
      <c r="AX13" s="5">
        <f>IF(AV13,AU13*correlation!$J$30,"")</f>
        <v/>
      </c>
      <c r="AY13" s="5">
        <f>IF(AND(AV13,ISNUMBER(correlation!$F$30)),AX13*correlation!$F$30+correlation!$G$30,"")</f>
        <v/>
      </c>
      <c r="AZ13" s="5">
        <f>IF(AND(AV13,ISNUMBER(AY13)),(AW13-AY13)^2,"")</f>
        <v/>
      </c>
      <c r="BA13" s="5">
        <f>IF(AV13,1+SUMPRODUCT(--(calc!$AV$3:$AV$306=TRUE),--(calc!$AW$3:$AW$306&gt;AW13))+(SUMPRODUCT(--(calc!$AV$3:$AV$306=TRUE),--(calc!$AW$3:$AW$306=AW13))-1)/2,"")</f>
        <v/>
      </c>
      <c r="BB13" s="5">
        <f>IF(AV13,1+SUMPRODUCT(--(calc!$AV$3:$AV$306=TRUE),--(calc!$AX$3:$AX$306&gt;AX13))+(SUMPRODUCT(--(calc!$AV$3:$AV$306=TRUE),--(calc!$AX$3:$AX$306=AX13))-1)/2,"")</f>
        <v/>
      </c>
      <c r="BC13" s="5">
        <f>IF(AV13,SUMPRODUCT(--(calc!$AV$3:$AV$306=TRUE),--(ROW(calc!$AV$3:$AV$306)&gt;ROW(AV13)),--(((calc!$BA$3:$BA$306&gt;BA13)*(calc!$BB$3:$BB$306&gt;BB13)+(calc!$BA$3:$BA$306&lt;BA13)*(calc!$BB$3:$BB$306&lt;BB13))&gt;0))-SUMPRODUCT(--(calc!$AV$3:$AV$306=TRUE),--(ROW(calc!$AV$3:$AV$306)&gt;ROW(AV13)),--(((calc!$BA$3:$BA$306&gt;BA13)*(calc!$BB$3:$BB$306&lt;BB13)+(calc!$BA$3:$BA$306&lt;BA13)*(calc!$BB$3:$BB$306&gt;BB13))&gt;0)),0)</f>
        <v/>
      </c>
      <c r="BD13" s="5">
        <f>IF(mos_metrics!L12="","",mos_metrics!L12)</f>
        <v/>
      </c>
      <c r="BE13" s="2">
        <f>AND($J13,ISNUMBER(BD13),correlation!$I$31=1)</f>
        <v/>
      </c>
      <c r="BF13" s="5">
        <f>IF(BE13,$F13,"")</f>
        <v/>
      </c>
      <c r="BG13" s="5">
        <f>IF(BE13,BD13*correlation!$J$31,"")</f>
        <v/>
      </c>
      <c r="BH13" s="5">
        <f>IF(AND(BE13,ISNUMBER(correlation!$F$31)),BG13*correlation!$F$31+correlation!$G$31,"")</f>
        <v/>
      </c>
      <c r="BI13" s="5">
        <f>IF(AND(BE13,ISNUMBER(BH13)),(BF13-BH13)^2,"")</f>
        <v/>
      </c>
      <c r="BJ13" s="5">
        <f>IF(BE13,1+SUMPRODUCT(--(calc!$BE$3:$BE$306=TRUE),--(calc!$BF$3:$BF$306&gt;BF13))+(SUMPRODUCT(--(calc!$BE$3:$BE$306=TRUE),--(calc!$BF$3:$BF$306=BF13))-1)/2,"")</f>
        <v/>
      </c>
      <c r="BK13" s="5">
        <f>IF(BE13,1+SUMPRODUCT(--(calc!$BE$3:$BE$306=TRUE),--(calc!$BG$3:$BG$306&gt;BG13))+(SUMPRODUCT(--(calc!$BE$3:$BE$306=TRUE),--(calc!$BG$3:$BG$306=BG13))-1)/2,"")</f>
        <v/>
      </c>
      <c r="BL13" s="5">
        <f>IF(BE13,SUMPRODUCT(--(calc!$BE$3:$BE$306=TRUE),--(ROW(calc!$BE$3:$BE$306)&gt;ROW(BE13)),--(((calc!$BJ$3:$BJ$306&gt;BJ13)*(calc!$BK$3:$BK$306&gt;BK13)+(calc!$BJ$3:$BJ$306&lt;BJ13)*(calc!$BK$3:$BK$306&lt;BK13))&gt;0))-SUMPRODUCT(--(calc!$BE$3:$BE$306=TRUE),--(ROW(calc!$BE$3:$BE$306)&gt;ROW(BE13)),--(((calc!$BJ$3:$BJ$306&gt;BJ13)*(calc!$BK$3:$BK$306&lt;BK13)+(calc!$BJ$3:$BJ$306&lt;BJ13)*(calc!$BK$3:$BK$306&gt;BK13))&gt;0)),0)</f>
        <v/>
      </c>
      <c r="BM13" s="5">
        <f>IF(mos_metrics!M12="","",mos_metrics!M12)</f>
        <v/>
      </c>
      <c r="BN13" s="2">
        <f>AND($J13,ISNUMBER(BM13),correlation!$I$32=1)</f>
        <v/>
      </c>
      <c r="BO13" s="5">
        <f>IF(BN13,$F13,"")</f>
        <v/>
      </c>
      <c r="BP13" s="5">
        <f>IF(BN13,BM13*correlation!$J$32,"")</f>
        <v/>
      </c>
      <c r="BQ13" s="5">
        <f>IF(AND(BN13,ISNUMBER(correlation!$F$32)),BP13*correlation!$F$32+correlation!$G$32,"")</f>
        <v/>
      </c>
      <c r="BR13" s="5">
        <f>IF(AND(BN13,ISNUMBER(BQ13)),(BO13-BQ13)^2,"")</f>
        <v/>
      </c>
      <c r="BS13" s="5">
        <f>IF(BN13,1+SUMPRODUCT(--(calc!$BN$3:$BN$306=TRUE),--(calc!$BO$3:$BO$306&gt;BO13))+(SUMPRODUCT(--(calc!$BN$3:$BN$306=TRUE),--(calc!$BO$3:$BO$306=BO13))-1)/2,"")</f>
        <v/>
      </c>
      <c r="BT13" s="5">
        <f>IF(BN13,1+SUMPRODUCT(--(calc!$BN$3:$BN$306=TRUE),--(calc!$BP$3:$BP$306&gt;BP13))+(SUMPRODUCT(--(calc!$BN$3:$BN$306=TRUE),--(calc!$BP$3:$BP$306=BP13))-1)/2,"")</f>
        <v/>
      </c>
      <c r="BU13" s="5">
        <f>IF(BN13,SUMPRODUCT(--(calc!$BN$3:$BN$306=TRUE),--(ROW(calc!$BN$3:$BN$306)&gt;ROW(BN13)),--(((calc!$BS$3:$BS$306&gt;BS13)*(calc!$BT$3:$BT$306&gt;BT13)+(calc!$BS$3:$BS$306&lt;BS13)*(calc!$BT$3:$BT$306&lt;BT13))&gt;0))-SUMPRODUCT(--(calc!$BN$3:$BN$306=TRUE),--(ROW(calc!$BN$3:$BN$306)&gt;ROW(BN13)),--(((calc!$BS$3:$BS$306&gt;BS13)*(calc!$BT$3:$BT$306&lt;BT13)+(calc!$BS$3:$BS$306&lt;BS13)*(calc!$BT$3:$BT$306&gt;BT13))&gt;0)),0)</f>
        <v/>
      </c>
    </row>
    <row r="14">
      <c r="A14" s="2">
        <f>mos_metrics!A13</f>
        <v/>
      </c>
      <c r="B14" s="2">
        <f>mos_metrics!B13</f>
        <v/>
      </c>
      <c r="C14" s="2">
        <f>mos_metrics!C13</f>
        <v/>
      </c>
      <c r="D14" s="2">
        <f>mos_metrics!D13</f>
        <v/>
      </c>
      <c r="E14" s="2">
        <f>mos_metrics!E13</f>
        <v/>
      </c>
      <c r="F14" s="2">
        <f>mos_metrics!F13</f>
        <v/>
      </c>
      <c r="G14" s="2">
        <f>IF($B14="","",IFERROR(VLOOKUP($B14,correlation!$A$2:$B$16,2,FALSE),1))</f>
        <v/>
      </c>
      <c r="H14" s="2">
        <f>IF($E14="","",IFERROR(VLOOKUP($E14,correlation!$D$2:$E$8,2,FALSE),1))</f>
        <v/>
      </c>
      <c r="I14" s="2">
        <f>ISNUMBER($F14)</f>
        <v/>
      </c>
      <c r="J14" s="2">
        <f>AND($G14=1,$H14=1,$I14)</f>
        <v/>
      </c>
      <c r="K14" s="5">
        <f>IF(mos_metrics!G13="","",mos_metrics!G13)</f>
        <v/>
      </c>
      <c r="L14" s="2">
        <f>AND($J14,ISNUMBER(K14),correlation!$I$26=1)</f>
        <v/>
      </c>
      <c r="M14" s="5">
        <f>IF(L14,$F14,"")</f>
        <v/>
      </c>
      <c r="N14" s="5">
        <f>IF(L14,K14*correlation!$J$26,"")</f>
        <v/>
      </c>
      <c r="O14" s="5">
        <f>IF(AND(L14,ISNUMBER(correlation!$F$26)),N14*correlation!$F$26+correlation!$G$26,"")</f>
        <v/>
      </c>
      <c r="P14" s="5">
        <f>IF(AND(L14,ISNUMBER(O14)),(M14-O14)^2,"")</f>
        <v/>
      </c>
      <c r="Q14" s="5">
        <f>IF(L14,1+SUMPRODUCT(--(calc!$L$3:$L$306=TRUE),--(calc!$M$3:$M$306&gt;M14))+(SUMPRODUCT(--(calc!$L$3:$L$306=TRUE),--(calc!$M$3:$M$306=M14))-1)/2,"")</f>
        <v/>
      </c>
      <c r="R14" s="5">
        <f>IF(L14,1+SUMPRODUCT(--(calc!$L$3:$L$306=TRUE),--(calc!$N$3:$N$306&gt;N14))+(SUMPRODUCT(--(calc!$L$3:$L$306=TRUE),--(calc!$N$3:$N$306=N14))-1)/2,"")</f>
        <v/>
      </c>
      <c r="S14" s="5">
        <f>IF(L14,SUMPRODUCT(--(calc!$L$3:$L$306=TRUE),--(ROW(calc!$L$3:$L$306)&gt;ROW(L14)),--(((calc!$Q$3:$Q$306&gt;Q14)*(calc!$R$3:$R$306&gt;R14)+(calc!$Q$3:$Q$306&lt;Q14)*(calc!$R$3:$R$306&lt;R14))&gt;0))-SUMPRODUCT(--(calc!$L$3:$L$306=TRUE),--(ROW(calc!$L$3:$L$306)&gt;ROW(L14)),--(((calc!$Q$3:$Q$306&gt;Q14)*(calc!$R$3:$R$306&lt;R14)+(calc!$Q$3:$Q$306&lt;Q14)*(calc!$R$3:$R$306&gt;R14))&gt;0)),0)</f>
        <v/>
      </c>
      <c r="T14" s="5">
        <f>IF(mos_metrics!H13="","",mos_metrics!H13)</f>
        <v/>
      </c>
      <c r="U14" s="2">
        <f>AND($J14,ISNUMBER(T14),correlation!$I$27=1)</f>
        <v/>
      </c>
      <c r="V14" s="5">
        <f>IF(U14,$F14,"")</f>
        <v/>
      </c>
      <c r="W14" s="5">
        <f>IF(U14,T14*correlation!$J$27,"")</f>
        <v/>
      </c>
      <c r="X14" s="5">
        <f>IF(AND(U14,ISNUMBER(correlation!$F$27)),W14*correlation!$F$27+correlation!$G$27,"")</f>
        <v/>
      </c>
      <c r="Y14" s="5">
        <f>IF(AND(U14,ISNUMBER(X14)),(V14-X14)^2,"")</f>
        <v/>
      </c>
      <c r="Z14" s="5">
        <f>IF(U14,1+SUMPRODUCT(--(calc!$U$3:$U$306=TRUE),--(calc!$V$3:$V$306&gt;V14))+(SUMPRODUCT(--(calc!$U$3:$U$306=TRUE),--(calc!$V$3:$V$306=V14))-1)/2,"")</f>
        <v/>
      </c>
      <c r="AA14" s="5">
        <f>IF(U14,1+SUMPRODUCT(--(calc!$U$3:$U$306=TRUE),--(calc!$W$3:$W$306&gt;W14))+(SUMPRODUCT(--(calc!$U$3:$U$306=TRUE),--(calc!$W$3:$W$306=W14))-1)/2,"")</f>
        <v/>
      </c>
      <c r="AB14" s="5">
        <f>IF(U14,SUMPRODUCT(--(calc!$U$3:$U$306=TRUE),--(ROW(calc!$U$3:$U$306)&gt;ROW(U14)),--(((calc!$Z$3:$Z$306&gt;Z14)*(calc!$AA$3:$AA$306&gt;AA14)+(calc!$Z$3:$Z$306&lt;Z14)*(calc!$AA$3:$AA$306&lt;AA14))&gt;0))-SUMPRODUCT(--(calc!$U$3:$U$306=TRUE),--(ROW(calc!$U$3:$U$306)&gt;ROW(U14)),--(((calc!$Z$3:$Z$306&gt;Z14)*(calc!$AA$3:$AA$306&lt;AA14)+(calc!$Z$3:$Z$306&lt;Z14)*(calc!$AA$3:$AA$306&gt;AA14))&gt;0)),0)</f>
        <v/>
      </c>
      <c r="AC14" s="5">
        <f>IF(mos_metrics!I13="","",mos_metrics!I13)</f>
        <v/>
      </c>
      <c r="AD14" s="2">
        <f>AND($J14,ISNUMBER(AC14),correlation!$I$28=1)</f>
        <v/>
      </c>
      <c r="AE14" s="5">
        <f>IF(AD14,$F14,"")</f>
        <v/>
      </c>
      <c r="AF14" s="5">
        <f>IF(AD14,AC14*correlation!$J$28,"")</f>
        <v/>
      </c>
      <c r="AG14" s="5">
        <f>IF(AND(AD14,ISNUMBER(correlation!$F$28)),AF14*correlation!$F$28+correlation!$G$28,"")</f>
        <v/>
      </c>
      <c r="AH14" s="5">
        <f>IF(AND(AD14,ISNUMBER(AG14)),(AE14-AG14)^2,"")</f>
        <v/>
      </c>
      <c r="AI14" s="5">
        <f>IF(AD14,1+SUMPRODUCT(--(calc!$AD$3:$AD$306=TRUE),--(calc!$AE$3:$AE$306&gt;AE14))+(SUMPRODUCT(--(calc!$AD$3:$AD$306=TRUE),--(calc!$AE$3:$AE$306=AE14))-1)/2,"")</f>
        <v/>
      </c>
      <c r="AJ14" s="5">
        <f>IF(AD14,1+SUMPRODUCT(--(calc!$AD$3:$AD$306=TRUE),--(calc!$AF$3:$AF$306&gt;AF14))+(SUMPRODUCT(--(calc!$AD$3:$AD$306=TRUE),--(calc!$AF$3:$AF$306=AF14))-1)/2,"")</f>
        <v/>
      </c>
      <c r="AK14" s="5">
        <f>IF(AD14,SUMPRODUCT(--(calc!$AD$3:$AD$306=TRUE),--(ROW(calc!$AD$3:$AD$306)&gt;ROW(AD14)),--(((calc!$AI$3:$AI$306&gt;AI14)*(calc!$AJ$3:$AJ$306&gt;AJ14)+(calc!$AI$3:$AI$306&lt;AI14)*(calc!$AJ$3:$AJ$306&lt;AJ14))&gt;0))-SUMPRODUCT(--(calc!$AD$3:$AD$306=TRUE),--(ROW(calc!$AD$3:$AD$306)&gt;ROW(AD14)),--(((calc!$AI$3:$AI$306&gt;AI14)*(calc!$AJ$3:$AJ$306&lt;AJ14)+(calc!$AI$3:$AI$306&lt;AI14)*(calc!$AJ$3:$AJ$306&gt;AJ14))&gt;0)),0)</f>
        <v/>
      </c>
      <c r="AL14" s="5">
        <f>IF(mos_metrics!J13="","",mos_metrics!J13)</f>
        <v/>
      </c>
      <c r="AM14" s="2">
        <f>AND($J14,ISNUMBER(AL14),correlation!$I$29=1)</f>
        <v/>
      </c>
      <c r="AN14" s="5">
        <f>IF(AM14,$F14,"")</f>
        <v/>
      </c>
      <c r="AO14" s="5">
        <f>IF(AM14,AL14*correlation!$J$29,"")</f>
        <v/>
      </c>
      <c r="AP14" s="5">
        <f>IF(AND(AM14,ISNUMBER(correlation!$F$29)),AO14*correlation!$F$29+correlation!$G$29,"")</f>
        <v/>
      </c>
      <c r="AQ14" s="5">
        <f>IF(AND(AM14,ISNUMBER(AP14)),(AN14-AP14)^2,"")</f>
        <v/>
      </c>
      <c r="AR14" s="5">
        <f>IF(AM14,1+SUMPRODUCT(--(calc!$AM$3:$AM$306=TRUE),--(calc!$AN$3:$AN$306&gt;AN14))+(SUMPRODUCT(--(calc!$AM$3:$AM$306=TRUE),--(calc!$AN$3:$AN$306=AN14))-1)/2,"")</f>
        <v/>
      </c>
      <c r="AS14" s="5">
        <f>IF(AM14,1+SUMPRODUCT(--(calc!$AM$3:$AM$306=TRUE),--(calc!$AO$3:$AO$306&gt;AO14))+(SUMPRODUCT(--(calc!$AM$3:$AM$306=TRUE),--(calc!$AO$3:$AO$306=AO14))-1)/2,"")</f>
        <v/>
      </c>
      <c r="AT14" s="5">
        <f>IF(AM14,SUMPRODUCT(--(calc!$AM$3:$AM$306=TRUE),--(ROW(calc!$AM$3:$AM$306)&gt;ROW(AM14)),--(((calc!$AR$3:$AR$306&gt;AR14)*(calc!$AS$3:$AS$306&gt;AS14)+(calc!$AR$3:$AR$306&lt;AR14)*(calc!$AS$3:$AS$306&lt;AS14))&gt;0))-SUMPRODUCT(--(calc!$AM$3:$AM$306=TRUE),--(ROW(calc!$AM$3:$AM$306)&gt;ROW(AM14)),--(((calc!$AR$3:$AR$306&gt;AR14)*(calc!$AS$3:$AS$306&lt;AS14)+(calc!$AR$3:$AR$306&lt;AR14)*(calc!$AS$3:$AS$306&gt;AS14))&gt;0)),0)</f>
        <v/>
      </c>
      <c r="AU14" s="5">
        <f>IF(mos_metrics!K13="","",mos_metrics!K13)</f>
        <v/>
      </c>
      <c r="AV14" s="2">
        <f>AND($J14,ISNUMBER(AU14),correlation!$I$30=1)</f>
        <v/>
      </c>
      <c r="AW14" s="5">
        <f>IF(AV14,$F14,"")</f>
        <v/>
      </c>
      <c r="AX14" s="5">
        <f>IF(AV14,AU14*correlation!$J$30,"")</f>
        <v/>
      </c>
      <c r="AY14" s="5">
        <f>IF(AND(AV14,ISNUMBER(correlation!$F$30)),AX14*correlation!$F$30+correlation!$G$30,"")</f>
        <v/>
      </c>
      <c r="AZ14" s="5">
        <f>IF(AND(AV14,ISNUMBER(AY14)),(AW14-AY14)^2,"")</f>
        <v/>
      </c>
      <c r="BA14" s="5">
        <f>IF(AV14,1+SUMPRODUCT(--(calc!$AV$3:$AV$306=TRUE),--(calc!$AW$3:$AW$306&gt;AW14))+(SUMPRODUCT(--(calc!$AV$3:$AV$306=TRUE),--(calc!$AW$3:$AW$306=AW14))-1)/2,"")</f>
        <v/>
      </c>
      <c r="BB14" s="5">
        <f>IF(AV14,1+SUMPRODUCT(--(calc!$AV$3:$AV$306=TRUE),--(calc!$AX$3:$AX$306&gt;AX14))+(SUMPRODUCT(--(calc!$AV$3:$AV$306=TRUE),--(calc!$AX$3:$AX$306=AX14))-1)/2,"")</f>
        <v/>
      </c>
      <c r="BC14" s="5">
        <f>IF(AV14,SUMPRODUCT(--(calc!$AV$3:$AV$306=TRUE),--(ROW(calc!$AV$3:$AV$306)&gt;ROW(AV14)),--(((calc!$BA$3:$BA$306&gt;BA14)*(calc!$BB$3:$BB$306&gt;BB14)+(calc!$BA$3:$BA$306&lt;BA14)*(calc!$BB$3:$BB$306&lt;BB14))&gt;0))-SUMPRODUCT(--(calc!$AV$3:$AV$306=TRUE),--(ROW(calc!$AV$3:$AV$306)&gt;ROW(AV14)),--(((calc!$BA$3:$BA$306&gt;BA14)*(calc!$BB$3:$BB$306&lt;BB14)+(calc!$BA$3:$BA$306&lt;BA14)*(calc!$BB$3:$BB$306&gt;BB14))&gt;0)),0)</f>
        <v/>
      </c>
      <c r="BD14" s="5">
        <f>IF(mos_metrics!L13="","",mos_metrics!L13)</f>
        <v/>
      </c>
      <c r="BE14" s="2">
        <f>AND($J14,ISNUMBER(BD14),correlation!$I$31=1)</f>
        <v/>
      </c>
      <c r="BF14" s="5">
        <f>IF(BE14,$F14,"")</f>
        <v/>
      </c>
      <c r="BG14" s="5">
        <f>IF(BE14,BD14*correlation!$J$31,"")</f>
        <v/>
      </c>
      <c r="BH14" s="5">
        <f>IF(AND(BE14,ISNUMBER(correlation!$F$31)),BG14*correlation!$F$31+correlation!$G$31,"")</f>
        <v/>
      </c>
      <c r="BI14" s="5">
        <f>IF(AND(BE14,ISNUMBER(BH14)),(BF14-BH14)^2,"")</f>
        <v/>
      </c>
      <c r="BJ14" s="5">
        <f>IF(BE14,1+SUMPRODUCT(--(calc!$BE$3:$BE$306=TRUE),--(calc!$BF$3:$BF$306&gt;BF14))+(SUMPRODUCT(--(calc!$BE$3:$BE$306=TRUE),--(calc!$BF$3:$BF$306=BF14))-1)/2,"")</f>
        <v/>
      </c>
      <c r="BK14" s="5">
        <f>IF(BE14,1+SUMPRODUCT(--(calc!$BE$3:$BE$306=TRUE),--(calc!$BG$3:$BG$306&gt;BG14))+(SUMPRODUCT(--(calc!$BE$3:$BE$306=TRUE),--(calc!$BG$3:$BG$306=BG14))-1)/2,"")</f>
        <v/>
      </c>
      <c r="BL14" s="5">
        <f>IF(BE14,SUMPRODUCT(--(calc!$BE$3:$BE$306=TRUE),--(ROW(calc!$BE$3:$BE$306)&gt;ROW(BE14)),--(((calc!$BJ$3:$BJ$306&gt;BJ14)*(calc!$BK$3:$BK$306&gt;BK14)+(calc!$BJ$3:$BJ$306&lt;BJ14)*(calc!$BK$3:$BK$306&lt;BK14))&gt;0))-SUMPRODUCT(--(calc!$BE$3:$BE$306=TRUE),--(ROW(calc!$BE$3:$BE$306)&gt;ROW(BE14)),--(((calc!$BJ$3:$BJ$306&gt;BJ14)*(calc!$BK$3:$BK$306&lt;BK14)+(calc!$BJ$3:$BJ$306&lt;BJ14)*(calc!$BK$3:$BK$306&gt;BK14))&gt;0)),0)</f>
        <v/>
      </c>
      <c r="BM14" s="5">
        <f>IF(mos_metrics!M13="","",mos_metrics!M13)</f>
        <v/>
      </c>
      <c r="BN14" s="2">
        <f>AND($J14,ISNUMBER(BM14),correlation!$I$32=1)</f>
        <v/>
      </c>
      <c r="BO14" s="5">
        <f>IF(BN14,$F14,"")</f>
        <v/>
      </c>
      <c r="BP14" s="5">
        <f>IF(BN14,BM14*correlation!$J$32,"")</f>
        <v/>
      </c>
      <c r="BQ14" s="5">
        <f>IF(AND(BN14,ISNUMBER(correlation!$F$32)),BP14*correlation!$F$32+correlation!$G$32,"")</f>
        <v/>
      </c>
      <c r="BR14" s="5">
        <f>IF(AND(BN14,ISNUMBER(BQ14)),(BO14-BQ14)^2,"")</f>
        <v/>
      </c>
      <c r="BS14" s="5">
        <f>IF(BN14,1+SUMPRODUCT(--(calc!$BN$3:$BN$306=TRUE),--(calc!$BO$3:$BO$306&gt;BO14))+(SUMPRODUCT(--(calc!$BN$3:$BN$306=TRUE),--(calc!$BO$3:$BO$306=BO14))-1)/2,"")</f>
        <v/>
      </c>
      <c r="BT14" s="5">
        <f>IF(BN14,1+SUMPRODUCT(--(calc!$BN$3:$BN$306=TRUE),--(calc!$BP$3:$BP$306&gt;BP14))+(SUMPRODUCT(--(calc!$BN$3:$BN$306=TRUE),--(calc!$BP$3:$BP$306=BP14))-1)/2,"")</f>
        <v/>
      </c>
      <c r="BU14" s="5">
        <f>IF(BN14,SUMPRODUCT(--(calc!$BN$3:$BN$306=TRUE),--(ROW(calc!$BN$3:$BN$306)&gt;ROW(BN14)),--(((calc!$BS$3:$BS$306&gt;BS14)*(calc!$BT$3:$BT$306&gt;BT14)+(calc!$BS$3:$BS$306&lt;BS14)*(calc!$BT$3:$BT$306&lt;BT14))&gt;0))-SUMPRODUCT(--(calc!$BN$3:$BN$306=TRUE),--(ROW(calc!$BN$3:$BN$306)&gt;ROW(BN14)),--(((calc!$BS$3:$BS$306&gt;BS14)*(calc!$BT$3:$BT$306&lt;BT14)+(calc!$BS$3:$BS$306&lt;BS14)*(calc!$BT$3:$BT$306&gt;BT14))&gt;0)),0)</f>
        <v/>
      </c>
    </row>
    <row r="15">
      <c r="A15" s="2">
        <f>mos_metrics!A14</f>
        <v/>
      </c>
      <c r="B15" s="2">
        <f>mos_metrics!B14</f>
        <v/>
      </c>
      <c r="C15" s="2">
        <f>mos_metrics!C14</f>
        <v/>
      </c>
      <c r="D15" s="2">
        <f>mos_metrics!D14</f>
        <v/>
      </c>
      <c r="E15" s="2">
        <f>mos_metrics!E14</f>
        <v/>
      </c>
      <c r="F15" s="2">
        <f>mos_metrics!F14</f>
        <v/>
      </c>
      <c r="G15" s="2">
        <f>IF($B15="","",IFERROR(VLOOKUP($B15,correlation!$A$2:$B$16,2,FALSE),1))</f>
        <v/>
      </c>
      <c r="H15" s="2">
        <f>IF($E15="","",IFERROR(VLOOKUP($E15,correlation!$D$2:$E$8,2,FALSE),1))</f>
        <v/>
      </c>
      <c r="I15" s="2">
        <f>ISNUMBER($F15)</f>
        <v/>
      </c>
      <c r="J15" s="2">
        <f>AND($G15=1,$H15=1,$I15)</f>
        <v/>
      </c>
      <c r="K15" s="5">
        <f>IF(mos_metrics!G14="","",mos_metrics!G14)</f>
        <v/>
      </c>
      <c r="L15" s="2">
        <f>AND($J15,ISNUMBER(K15),correlation!$I$26=1)</f>
        <v/>
      </c>
      <c r="M15" s="5">
        <f>IF(L15,$F15,"")</f>
        <v/>
      </c>
      <c r="N15" s="5">
        <f>IF(L15,K15*correlation!$J$26,"")</f>
        <v/>
      </c>
      <c r="O15" s="5">
        <f>IF(AND(L15,ISNUMBER(correlation!$F$26)),N15*correlation!$F$26+correlation!$G$26,"")</f>
        <v/>
      </c>
      <c r="P15" s="5">
        <f>IF(AND(L15,ISNUMBER(O15)),(M15-O15)^2,"")</f>
        <v/>
      </c>
      <c r="Q15" s="5">
        <f>IF(L15,1+SUMPRODUCT(--(calc!$L$3:$L$306=TRUE),--(calc!$M$3:$M$306&gt;M15))+(SUMPRODUCT(--(calc!$L$3:$L$306=TRUE),--(calc!$M$3:$M$306=M15))-1)/2,"")</f>
        <v/>
      </c>
      <c r="R15" s="5">
        <f>IF(L15,1+SUMPRODUCT(--(calc!$L$3:$L$306=TRUE),--(calc!$N$3:$N$306&gt;N15))+(SUMPRODUCT(--(calc!$L$3:$L$306=TRUE),--(calc!$N$3:$N$306=N15))-1)/2,"")</f>
        <v/>
      </c>
      <c r="S15" s="5">
        <f>IF(L15,SUMPRODUCT(--(calc!$L$3:$L$306=TRUE),--(ROW(calc!$L$3:$L$306)&gt;ROW(L15)),--(((calc!$Q$3:$Q$306&gt;Q15)*(calc!$R$3:$R$306&gt;R15)+(calc!$Q$3:$Q$306&lt;Q15)*(calc!$R$3:$R$306&lt;R15))&gt;0))-SUMPRODUCT(--(calc!$L$3:$L$306=TRUE),--(ROW(calc!$L$3:$L$306)&gt;ROW(L15)),--(((calc!$Q$3:$Q$306&gt;Q15)*(calc!$R$3:$R$306&lt;R15)+(calc!$Q$3:$Q$306&lt;Q15)*(calc!$R$3:$R$306&gt;R15))&gt;0)),0)</f>
        <v/>
      </c>
      <c r="T15" s="5">
        <f>IF(mos_metrics!H14="","",mos_metrics!H14)</f>
        <v/>
      </c>
      <c r="U15" s="2">
        <f>AND($J15,ISNUMBER(T15),correlation!$I$27=1)</f>
        <v/>
      </c>
      <c r="V15" s="5">
        <f>IF(U15,$F15,"")</f>
        <v/>
      </c>
      <c r="W15" s="5">
        <f>IF(U15,T15*correlation!$J$27,"")</f>
        <v/>
      </c>
      <c r="X15" s="5">
        <f>IF(AND(U15,ISNUMBER(correlation!$F$27)),W15*correlation!$F$27+correlation!$G$27,"")</f>
        <v/>
      </c>
      <c r="Y15" s="5">
        <f>IF(AND(U15,ISNUMBER(X15)),(V15-X15)^2,"")</f>
        <v/>
      </c>
      <c r="Z15" s="5">
        <f>IF(U15,1+SUMPRODUCT(--(calc!$U$3:$U$306=TRUE),--(calc!$V$3:$V$306&gt;V15))+(SUMPRODUCT(--(calc!$U$3:$U$306=TRUE),--(calc!$V$3:$V$306=V15))-1)/2,"")</f>
        <v/>
      </c>
      <c r="AA15" s="5">
        <f>IF(U15,1+SUMPRODUCT(--(calc!$U$3:$U$306=TRUE),--(calc!$W$3:$W$306&gt;W15))+(SUMPRODUCT(--(calc!$U$3:$U$306=TRUE),--(calc!$W$3:$W$306=W15))-1)/2,"")</f>
        <v/>
      </c>
      <c r="AB15" s="5">
        <f>IF(U15,SUMPRODUCT(--(calc!$U$3:$U$306=TRUE),--(ROW(calc!$U$3:$U$306)&gt;ROW(U15)),--(((calc!$Z$3:$Z$306&gt;Z15)*(calc!$AA$3:$AA$306&gt;AA15)+(calc!$Z$3:$Z$306&lt;Z15)*(calc!$AA$3:$AA$306&lt;AA15))&gt;0))-SUMPRODUCT(--(calc!$U$3:$U$306=TRUE),--(ROW(calc!$U$3:$U$306)&gt;ROW(U15)),--(((calc!$Z$3:$Z$306&gt;Z15)*(calc!$AA$3:$AA$306&lt;AA15)+(calc!$Z$3:$Z$306&lt;Z15)*(calc!$AA$3:$AA$306&gt;AA15))&gt;0)),0)</f>
        <v/>
      </c>
      <c r="AC15" s="5">
        <f>IF(mos_metrics!I14="","",mos_metrics!I14)</f>
        <v/>
      </c>
      <c r="AD15" s="2">
        <f>AND($J15,ISNUMBER(AC15),correlation!$I$28=1)</f>
        <v/>
      </c>
      <c r="AE15" s="5">
        <f>IF(AD15,$F15,"")</f>
        <v/>
      </c>
      <c r="AF15" s="5">
        <f>IF(AD15,AC15*correlation!$J$28,"")</f>
        <v/>
      </c>
      <c r="AG15" s="5">
        <f>IF(AND(AD15,ISNUMBER(correlation!$F$28)),AF15*correlation!$F$28+correlation!$G$28,"")</f>
        <v/>
      </c>
      <c r="AH15" s="5">
        <f>IF(AND(AD15,ISNUMBER(AG15)),(AE15-AG15)^2,"")</f>
        <v/>
      </c>
      <c r="AI15" s="5">
        <f>IF(AD15,1+SUMPRODUCT(--(calc!$AD$3:$AD$306=TRUE),--(calc!$AE$3:$AE$306&gt;AE15))+(SUMPRODUCT(--(calc!$AD$3:$AD$306=TRUE),--(calc!$AE$3:$AE$306=AE15))-1)/2,"")</f>
        <v/>
      </c>
      <c r="AJ15" s="5">
        <f>IF(AD15,1+SUMPRODUCT(--(calc!$AD$3:$AD$306=TRUE),--(calc!$AF$3:$AF$306&gt;AF15))+(SUMPRODUCT(--(calc!$AD$3:$AD$306=TRUE),--(calc!$AF$3:$AF$306=AF15))-1)/2,"")</f>
        <v/>
      </c>
      <c r="AK15" s="5">
        <f>IF(AD15,SUMPRODUCT(--(calc!$AD$3:$AD$306=TRUE),--(ROW(calc!$AD$3:$AD$306)&gt;ROW(AD15)),--(((calc!$AI$3:$AI$306&gt;AI15)*(calc!$AJ$3:$AJ$306&gt;AJ15)+(calc!$AI$3:$AI$306&lt;AI15)*(calc!$AJ$3:$AJ$306&lt;AJ15))&gt;0))-SUMPRODUCT(--(calc!$AD$3:$AD$306=TRUE),--(ROW(calc!$AD$3:$AD$306)&gt;ROW(AD15)),--(((calc!$AI$3:$AI$306&gt;AI15)*(calc!$AJ$3:$AJ$306&lt;AJ15)+(calc!$AI$3:$AI$306&lt;AI15)*(calc!$AJ$3:$AJ$306&gt;AJ15))&gt;0)),0)</f>
        <v/>
      </c>
      <c r="AL15" s="5">
        <f>IF(mos_metrics!J14="","",mos_metrics!J14)</f>
        <v/>
      </c>
      <c r="AM15" s="2">
        <f>AND($J15,ISNUMBER(AL15),correlation!$I$29=1)</f>
        <v/>
      </c>
      <c r="AN15" s="5">
        <f>IF(AM15,$F15,"")</f>
        <v/>
      </c>
      <c r="AO15" s="5">
        <f>IF(AM15,AL15*correlation!$J$29,"")</f>
        <v/>
      </c>
      <c r="AP15" s="5">
        <f>IF(AND(AM15,ISNUMBER(correlation!$F$29)),AO15*correlation!$F$29+correlation!$G$29,"")</f>
        <v/>
      </c>
      <c r="AQ15" s="5">
        <f>IF(AND(AM15,ISNUMBER(AP15)),(AN15-AP15)^2,"")</f>
        <v/>
      </c>
      <c r="AR15" s="5">
        <f>IF(AM15,1+SUMPRODUCT(--(calc!$AM$3:$AM$306=TRUE),--(calc!$AN$3:$AN$306&gt;AN15))+(SUMPRODUCT(--(calc!$AM$3:$AM$306=TRUE),--(calc!$AN$3:$AN$306=AN15))-1)/2,"")</f>
        <v/>
      </c>
      <c r="AS15" s="5">
        <f>IF(AM15,1+SUMPRODUCT(--(calc!$AM$3:$AM$306=TRUE),--(calc!$AO$3:$AO$306&gt;AO15))+(SUMPRODUCT(--(calc!$AM$3:$AM$306=TRUE),--(calc!$AO$3:$AO$306=AO15))-1)/2,"")</f>
        <v/>
      </c>
      <c r="AT15" s="5">
        <f>IF(AM15,SUMPRODUCT(--(calc!$AM$3:$AM$306=TRUE),--(ROW(calc!$AM$3:$AM$306)&gt;ROW(AM15)),--(((calc!$AR$3:$AR$306&gt;AR15)*(calc!$AS$3:$AS$306&gt;AS15)+(calc!$AR$3:$AR$306&lt;AR15)*(calc!$AS$3:$AS$306&lt;AS15))&gt;0))-SUMPRODUCT(--(calc!$AM$3:$AM$306=TRUE),--(ROW(calc!$AM$3:$AM$306)&gt;ROW(AM15)),--(((calc!$AR$3:$AR$306&gt;AR15)*(calc!$AS$3:$AS$306&lt;AS15)+(calc!$AR$3:$AR$306&lt;AR15)*(calc!$AS$3:$AS$306&gt;AS15))&gt;0)),0)</f>
        <v/>
      </c>
      <c r="AU15" s="5">
        <f>IF(mos_metrics!K14="","",mos_metrics!K14)</f>
        <v/>
      </c>
      <c r="AV15" s="2">
        <f>AND($J15,ISNUMBER(AU15),correlation!$I$30=1)</f>
        <v/>
      </c>
      <c r="AW15" s="5">
        <f>IF(AV15,$F15,"")</f>
        <v/>
      </c>
      <c r="AX15" s="5">
        <f>IF(AV15,AU15*correlation!$J$30,"")</f>
        <v/>
      </c>
      <c r="AY15" s="5">
        <f>IF(AND(AV15,ISNUMBER(correlation!$F$30)),AX15*correlation!$F$30+correlation!$G$30,"")</f>
        <v/>
      </c>
      <c r="AZ15" s="5">
        <f>IF(AND(AV15,ISNUMBER(AY15)),(AW15-AY15)^2,"")</f>
        <v/>
      </c>
      <c r="BA15" s="5">
        <f>IF(AV15,1+SUMPRODUCT(--(calc!$AV$3:$AV$306=TRUE),--(calc!$AW$3:$AW$306&gt;AW15))+(SUMPRODUCT(--(calc!$AV$3:$AV$306=TRUE),--(calc!$AW$3:$AW$306=AW15))-1)/2,"")</f>
        <v/>
      </c>
      <c r="BB15" s="5">
        <f>IF(AV15,1+SUMPRODUCT(--(calc!$AV$3:$AV$306=TRUE),--(calc!$AX$3:$AX$306&gt;AX15))+(SUMPRODUCT(--(calc!$AV$3:$AV$306=TRUE),--(calc!$AX$3:$AX$306=AX15))-1)/2,"")</f>
        <v/>
      </c>
      <c r="BC15" s="5">
        <f>IF(AV15,SUMPRODUCT(--(calc!$AV$3:$AV$306=TRUE),--(ROW(calc!$AV$3:$AV$306)&gt;ROW(AV15)),--(((calc!$BA$3:$BA$306&gt;BA15)*(calc!$BB$3:$BB$306&gt;BB15)+(calc!$BA$3:$BA$306&lt;BA15)*(calc!$BB$3:$BB$306&lt;BB15))&gt;0))-SUMPRODUCT(--(calc!$AV$3:$AV$306=TRUE),--(ROW(calc!$AV$3:$AV$306)&gt;ROW(AV15)),--(((calc!$BA$3:$BA$306&gt;BA15)*(calc!$BB$3:$BB$306&lt;BB15)+(calc!$BA$3:$BA$306&lt;BA15)*(calc!$BB$3:$BB$306&gt;BB15))&gt;0)),0)</f>
        <v/>
      </c>
      <c r="BD15" s="5">
        <f>IF(mos_metrics!L14="","",mos_metrics!L14)</f>
        <v/>
      </c>
      <c r="BE15" s="2">
        <f>AND($J15,ISNUMBER(BD15),correlation!$I$31=1)</f>
        <v/>
      </c>
      <c r="BF15" s="5">
        <f>IF(BE15,$F15,"")</f>
        <v/>
      </c>
      <c r="BG15" s="5">
        <f>IF(BE15,BD15*correlation!$J$31,"")</f>
        <v/>
      </c>
      <c r="BH15" s="5">
        <f>IF(AND(BE15,ISNUMBER(correlation!$F$31)),BG15*correlation!$F$31+correlation!$G$31,"")</f>
        <v/>
      </c>
      <c r="BI15" s="5">
        <f>IF(AND(BE15,ISNUMBER(BH15)),(BF15-BH15)^2,"")</f>
        <v/>
      </c>
      <c r="BJ15" s="5">
        <f>IF(BE15,1+SUMPRODUCT(--(calc!$BE$3:$BE$306=TRUE),--(calc!$BF$3:$BF$306&gt;BF15))+(SUMPRODUCT(--(calc!$BE$3:$BE$306=TRUE),--(calc!$BF$3:$BF$306=BF15))-1)/2,"")</f>
        <v/>
      </c>
      <c r="BK15" s="5">
        <f>IF(BE15,1+SUMPRODUCT(--(calc!$BE$3:$BE$306=TRUE),--(calc!$BG$3:$BG$306&gt;BG15))+(SUMPRODUCT(--(calc!$BE$3:$BE$306=TRUE),--(calc!$BG$3:$BG$306=BG15))-1)/2,"")</f>
        <v/>
      </c>
      <c r="BL15" s="5">
        <f>IF(BE15,SUMPRODUCT(--(calc!$BE$3:$BE$306=TRUE),--(ROW(calc!$BE$3:$BE$306)&gt;ROW(BE15)),--(((calc!$BJ$3:$BJ$306&gt;BJ15)*(calc!$BK$3:$BK$306&gt;BK15)+(calc!$BJ$3:$BJ$306&lt;BJ15)*(calc!$BK$3:$BK$306&lt;BK15))&gt;0))-SUMPRODUCT(--(calc!$BE$3:$BE$306=TRUE),--(ROW(calc!$BE$3:$BE$306)&gt;ROW(BE15)),--(((calc!$BJ$3:$BJ$306&gt;BJ15)*(calc!$BK$3:$BK$306&lt;BK15)+(calc!$BJ$3:$BJ$306&lt;BJ15)*(calc!$BK$3:$BK$306&gt;BK15))&gt;0)),0)</f>
        <v/>
      </c>
      <c r="BM15" s="5">
        <f>IF(mos_metrics!M14="","",mos_metrics!M14)</f>
        <v/>
      </c>
      <c r="BN15" s="2">
        <f>AND($J15,ISNUMBER(BM15),correlation!$I$32=1)</f>
        <v/>
      </c>
      <c r="BO15" s="5">
        <f>IF(BN15,$F15,"")</f>
        <v/>
      </c>
      <c r="BP15" s="5">
        <f>IF(BN15,BM15*correlation!$J$32,"")</f>
        <v/>
      </c>
      <c r="BQ15" s="5">
        <f>IF(AND(BN15,ISNUMBER(correlation!$F$32)),BP15*correlation!$F$32+correlation!$G$32,"")</f>
        <v/>
      </c>
      <c r="BR15" s="5">
        <f>IF(AND(BN15,ISNUMBER(BQ15)),(BO15-BQ15)^2,"")</f>
        <v/>
      </c>
      <c r="BS15" s="5">
        <f>IF(BN15,1+SUMPRODUCT(--(calc!$BN$3:$BN$306=TRUE),--(calc!$BO$3:$BO$306&gt;BO15))+(SUMPRODUCT(--(calc!$BN$3:$BN$306=TRUE),--(calc!$BO$3:$BO$306=BO15))-1)/2,"")</f>
        <v/>
      </c>
      <c r="BT15" s="5">
        <f>IF(BN15,1+SUMPRODUCT(--(calc!$BN$3:$BN$306=TRUE),--(calc!$BP$3:$BP$306&gt;BP15))+(SUMPRODUCT(--(calc!$BN$3:$BN$306=TRUE),--(calc!$BP$3:$BP$306=BP15))-1)/2,"")</f>
        <v/>
      </c>
      <c r="BU15" s="5">
        <f>IF(BN15,SUMPRODUCT(--(calc!$BN$3:$BN$306=TRUE),--(ROW(calc!$BN$3:$BN$306)&gt;ROW(BN15)),--(((calc!$BS$3:$BS$306&gt;BS15)*(calc!$BT$3:$BT$306&gt;BT15)+(calc!$BS$3:$BS$306&lt;BS15)*(calc!$BT$3:$BT$306&lt;BT15))&gt;0))-SUMPRODUCT(--(calc!$BN$3:$BN$306=TRUE),--(ROW(calc!$BN$3:$BN$306)&gt;ROW(BN15)),--(((calc!$BS$3:$BS$306&gt;BS15)*(calc!$BT$3:$BT$306&lt;BT15)+(calc!$BS$3:$BS$306&lt;BS15)*(calc!$BT$3:$BT$306&gt;BT15))&gt;0)),0)</f>
        <v/>
      </c>
    </row>
    <row r="16">
      <c r="A16" s="2">
        <f>mos_metrics!A15</f>
        <v/>
      </c>
      <c r="B16" s="2">
        <f>mos_metrics!B15</f>
        <v/>
      </c>
      <c r="C16" s="2">
        <f>mos_metrics!C15</f>
        <v/>
      </c>
      <c r="D16" s="2">
        <f>mos_metrics!D15</f>
        <v/>
      </c>
      <c r="E16" s="2">
        <f>mos_metrics!E15</f>
        <v/>
      </c>
      <c r="F16" s="2">
        <f>mos_metrics!F15</f>
        <v/>
      </c>
      <c r="G16" s="2">
        <f>IF($B16="","",IFERROR(VLOOKUP($B16,correlation!$A$2:$B$16,2,FALSE),1))</f>
        <v/>
      </c>
      <c r="H16" s="2">
        <f>IF($E16="","",IFERROR(VLOOKUP($E16,correlation!$D$2:$E$8,2,FALSE),1))</f>
        <v/>
      </c>
      <c r="I16" s="2">
        <f>ISNUMBER($F16)</f>
        <v/>
      </c>
      <c r="J16" s="2">
        <f>AND($G16=1,$H16=1,$I16)</f>
        <v/>
      </c>
      <c r="K16" s="5">
        <f>IF(mos_metrics!G15="","",mos_metrics!G15)</f>
        <v/>
      </c>
      <c r="L16" s="2">
        <f>AND($J16,ISNUMBER(K16),correlation!$I$26=1)</f>
        <v/>
      </c>
      <c r="M16" s="5">
        <f>IF(L16,$F16,"")</f>
        <v/>
      </c>
      <c r="N16" s="5">
        <f>IF(L16,K16*correlation!$J$26,"")</f>
        <v/>
      </c>
      <c r="O16" s="5">
        <f>IF(AND(L16,ISNUMBER(correlation!$F$26)),N16*correlation!$F$26+correlation!$G$26,"")</f>
        <v/>
      </c>
      <c r="P16" s="5">
        <f>IF(AND(L16,ISNUMBER(O16)),(M16-O16)^2,"")</f>
        <v/>
      </c>
      <c r="Q16" s="5">
        <f>IF(L16,1+SUMPRODUCT(--(calc!$L$3:$L$306=TRUE),--(calc!$M$3:$M$306&gt;M16))+(SUMPRODUCT(--(calc!$L$3:$L$306=TRUE),--(calc!$M$3:$M$306=M16))-1)/2,"")</f>
        <v/>
      </c>
      <c r="R16" s="5">
        <f>IF(L16,1+SUMPRODUCT(--(calc!$L$3:$L$306=TRUE),--(calc!$N$3:$N$306&gt;N16))+(SUMPRODUCT(--(calc!$L$3:$L$306=TRUE),--(calc!$N$3:$N$306=N16))-1)/2,"")</f>
        <v/>
      </c>
      <c r="S16" s="5">
        <f>IF(L16,SUMPRODUCT(--(calc!$L$3:$L$306=TRUE),--(ROW(calc!$L$3:$L$306)&gt;ROW(L16)),--(((calc!$Q$3:$Q$306&gt;Q16)*(calc!$R$3:$R$306&gt;R16)+(calc!$Q$3:$Q$306&lt;Q16)*(calc!$R$3:$R$306&lt;R16))&gt;0))-SUMPRODUCT(--(calc!$L$3:$L$306=TRUE),--(ROW(calc!$L$3:$L$306)&gt;ROW(L16)),--(((calc!$Q$3:$Q$306&gt;Q16)*(calc!$R$3:$R$306&lt;R16)+(calc!$Q$3:$Q$306&lt;Q16)*(calc!$R$3:$R$306&gt;R16))&gt;0)),0)</f>
        <v/>
      </c>
      <c r="T16" s="5">
        <f>IF(mos_metrics!H15="","",mos_metrics!H15)</f>
        <v/>
      </c>
      <c r="U16" s="2">
        <f>AND($J16,ISNUMBER(T16),correlation!$I$27=1)</f>
        <v/>
      </c>
      <c r="V16" s="5">
        <f>IF(U16,$F16,"")</f>
        <v/>
      </c>
      <c r="W16" s="5">
        <f>IF(U16,T16*correlation!$J$27,"")</f>
        <v/>
      </c>
      <c r="X16" s="5">
        <f>IF(AND(U16,ISNUMBER(correlation!$F$27)),W16*correlation!$F$27+correlation!$G$27,"")</f>
        <v/>
      </c>
      <c r="Y16" s="5">
        <f>IF(AND(U16,ISNUMBER(X16)),(V16-X16)^2,"")</f>
        <v/>
      </c>
      <c r="Z16" s="5">
        <f>IF(U16,1+SUMPRODUCT(--(calc!$U$3:$U$306=TRUE),--(calc!$V$3:$V$306&gt;V16))+(SUMPRODUCT(--(calc!$U$3:$U$306=TRUE),--(calc!$V$3:$V$306=V16))-1)/2,"")</f>
        <v/>
      </c>
      <c r="AA16" s="5">
        <f>IF(U16,1+SUMPRODUCT(--(calc!$U$3:$U$306=TRUE),--(calc!$W$3:$W$306&gt;W16))+(SUMPRODUCT(--(calc!$U$3:$U$306=TRUE),--(calc!$W$3:$W$306=W16))-1)/2,"")</f>
        <v/>
      </c>
      <c r="AB16" s="5">
        <f>IF(U16,SUMPRODUCT(--(calc!$U$3:$U$306=TRUE),--(ROW(calc!$U$3:$U$306)&gt;ROW(U16)),--(((calc!$Z$3:$Z$306&gt;Z16)*(calc!$AA$3:$AA$306&gt;AA16)+(calc!$Z$3:$Z$306&lt;Z16)*(calc!$AA$3:$AA$306&lt;AA16))&gt;0))-SUMPRODUCT(--(calc!$U$3:$U$306=TRUE),--(ROW(calc!$U$3:$U$306)&gt;ROW(U16)),--(((calc!$Z$3:$Z$306&gt;Z16)*(calc!$AA$3:$AA$306&lt;AA16)+(calc!$Z$3:$Z$306&lt;Z16)*(calc!$AA$3:$AA$306&gt;AA16))&gt;0)),0)</f>
        <v/>
      </c>
      <c r="AC16" s="5">
        <f>IF(mos_metrics!I15="","",mos_metrics!I15)</f>
        <v/>
      </c>
      <c r="AD16" s="2">
        <f>AND($J16,ISNUMBER(AC16),correlation!$I$28=1)</f>
        <v/>
      </c>
      <c r="AE16" s="5">
        <f>IF(AD16,$F16,"")</f>
        <v/>
      </c>
      <c r="AF16" s="5">
        <f>IF(AD16,AC16*correlation!$J$28,"")</f>
        <v/>
      </c>
      <c r="AG16" s="5">
        <f>IF(AND(AD16,ISNUMBER(correlation!$F$28)),AF16*correlation!$F$28+correlation!$G$28,"")</f>
        <v/>
      </c>
      <c r="AH16" s="5">
        <f>IF(AND(AD16,ISNUMBER(AG16)),(AE16-AG16)^2,"")</f>
        <v/>
      </c>
      <c r="AI16" s="5">
        <f>IF(AD16,1+SUMPRODUCT(--(calc!$AD$3:$AD$306=TRUE),--(calc!$AE$3:$AE$306&gt;AE16))+(SUMPRODUCT(--(calc!$AD$3:$AD$306=TRUE),--(calc!$AE$3:$AE$306=AE16))-1)/2,"")</f>
        <v/>
      </c>
      <c r="AJ16" s="5">
        <f>IF(AD16,1+SUMPRODUCT(--(calc!$AD$3:$AD$306=TRUE),--(calc!$AF$3:$AF$306&gt;AF16))+(SUMPRODUCT(--(calc!$AD$3:$AD$306=TRUE),--(calc!$AF$3:$AF$306=AF16))-1)/2,"")</f>
        <v/>
      </c>
      <c r="AK16" s="5">
        <f>IF(AD16,SUMPRODUCT(--(calc!$AD$3:$AD$306=TRUE),--(ROW(calc!$AD$3:$AD$306)&gt;ROW(AD16)),--(((calc!$AI$3:$AI$306&gt;AI16)*(calc!$AJ$3:$AJ$306&gt;AJ16)+(calc!$AI$3:$AI$306&lt;AI16)*(calc!$AJ$3:$AJ$306&lt;AJ16))&gt;0))-SUMPRODUCT(--(calc!$AD$3:$AD$306=TRUE),--(ROW(calc!$AD$3:$AD$306)&gt;ROW(AD16)),--(((calc!$AI$3:$AI$306&gt;AI16)*(calc!$AJ$3:$AJ$306&lt;AJ16)+(calc!$AI$3:$AI$306&lt;AI16)*(calc!$AJ$3:$AJ$306&gt;AJ16))&gt;0)),0)</f>
        <v/>
      </c>
      <c r="AL16" s="5">
        <f>IF(mos_metrics!J15="","",mos_metrics!J15)</f>
        <v/>
      </c>
      <c r="AM16" s="2">
        <f>AND($J16,ISNUMBER(AL16),correlation!$I$29=1)</f>
        <v/>
      </c>
      <c r="AN16" s="5">
        <f>IF(AM16,$F16,"")</f>
        <v/>
      </c>
      <c r="AO16" s="5">
        <f>IF(AM16,AL16*correlation!$J$29,"")</f>
        <v/>
      </c>
      <c r="AP16" s="5">
        <f>IF(AND(AM16,ISNUMBER(correlation!$F$29)),AO16*correlation!$F$29+correlation!$G$29,"")</f>
        <v/>
      </c>
      <c r="AQ16" s="5">
        <f>IF(AND(AM16,ISNUMBER(AP16)),(AN16-AP16)^2,"")</f>
        <v/>
      </c>
      <c r="AR16" s="5">
        <f>IF(AM16,1+SUMPRODUCT(--(calc!$AM$3:$AM$306=TRUE),--(calc!$AN$3:$AN$306&gt;AN16))+(SUMPRODUCT(--(calc!$AM$3:$AM$306=TRUE),--(calc!$AN$3:$AN$306=AN16))-1)/2,"")</f>
        <v/>
      </c>
      <c r="AS16" s="5">
        <f>IF(AM16,1+SUMPRODUCT(--(calc!$AM$3:$AM$306=TRUE),--(calc!$AO$3:$AO$306&gt;AO16))+(SUMPRODUCT(--(calc!$AM$3:$AM$306=TRUE),--(calc!$AO$3:$AO$306=AO16))-1)/2,"")</f>
        <v/>
      </c>
      <c r="AT16" s="5">
        <f>IF(AM16,SUMPRODUCT(--(calc!$AM$3:$AM$306=TRUE),--(ROW(calc!$AM$3:$AM$306)&gt;ROW(AM16)),--(((calc!$AR$3:$AR$306&gt;AR16)*(calc!$AS$3:$AS$306&gt;AS16)+(calc!$AR$3:$AR$306&lt;AR16)*(calc!$AS$3:$AS$306&lt;AS16))&gt;0))-SUMPRODUCT(--(calc!$AM$3:$AM$306=TRUE),--(ROW(calc!$AM$3:$AM$306)&gt;ROW(AM16)),--(((calc!$AR$3:$AR$306&gt;AR16)*(calc!$AS$3:$AS$306&lt;AS16)+(calc!$AR$3:$AR$306&lt;AR16)*(calc!$AS$3:$AS$306&gt;AS16))&gt;0)),0)</f>
        <v/>
      </c>
      <c r="AU16" s="5">
        <f>IF(mos_metrics!K15="","",mos_metrics!K15)</f>
        <v/>
      </c>
      <c r="AV16" s="2">
        <f>AND($J16,ISNUMBER(AU16),correlation!$I$30=1)</f>
        <v/>
      </c>
      <c r="AW16" s="5">
        <f>IF(AV16,$F16,"")</f>
        <v/>
      </c>
      <c r="AX16" s="5">
        <f>IF(AV16,AU16*correlation!$J$30,"")</f>
        <v/>
      </c>
      <c r="AY16" s="5">
        <f>IF(AND(AV16,ISNUMBER(correlation!$F$30)),AX16*correlation!$F$30+correlation!$G$30,"")</f>
        <v/>
      </c>
      <c r="AZ16" s="5">
        <f>IF(AND(AV16,ISNUMBER(AY16)),(AW16-AY16)^2,"")</f>
        <v/>
      </c>
      <c r="BA16" s="5">
        <f>IF(AV16,1+SUMPRODUCT(--(calc!$AV$3:$AV$306=TRUE),--(calc!$AW$3:$AW$306&gt;AW16))+(SUMPRODUCT(--(calc!$AV$3:$AV$306=TRUE),--(calc!$AW$3:$AW$306=AW16))-1)/2,"")</f>
        <v/>
      </c>
      <c r="BB16" s="5">
        <f>IF(AV16,1+SUMPRODUCT(--(calc!$AV$3:$AV$306=TRUE),--(calc!$AX$3:$AX$306&gt;AX16))+(SUMPRODUCT(--(calc!$AV$3:$AV$306=TRUE),--(calc!$AX$3:$AX$306=AX16))-1)/2,"")</f>
        <v/>
      </c>
      <c r="BC16" s="5">
        <f>IF(AV16,SUMPRODUCT(--(calc!$AV$3:$AV$306=TRUE),--(ROW(calc!$AV$3:$AV$306)&gt;ROW(AV16)),--(((calc!$BA$3:$BA$306&gt;BA16)*(calc!$BB$3:$BB$306&gt;BB16)+(calc!$BA$3:$BA$306&lt;BA16)*(calc!$BB$3:$BB$306&lt;BB16))&gt;0))-SUMPRODUCT(--(calc!$AV$3:$AV$306=TRUE),--(ROW(calc!$AV$3:$AV$306)&gt;ROW(AV16)),--(((calc!$BA$3:$BA$306&gt;BA16)*(calc!$BB$3:$BB$306&lt;BB16)+(calc!$BA$3:$BA$306&lt;BA16)*(calc!$BB$3:$BB$306&gt;BB16))&gt;0)),0)</f>
        <v/>
      </c>
      <c r="BD16" s="5">
        <f>IF(mos_metrics!L15="","",mos_metrics!L15)</f>
        <v/>
      </c>
      <c r="BE16" s="2">
        <f>AND($J16,ISNUMBER(BD16),correlation!$I$31=1)</f>
        <v/>
      </c>
      <c r="BF16" s="5">
        <f>IF(BE16,$F16,"")</f>
        <v/>
      </c>
      <c r="BG16" s="5">
        <f>IF(BE16,BD16*correlation!$J$31,"")</f>
        <v/>
      </c>
      <c r="BH16" s="5">
        <f>IF(AND(BE16,ISNUMBER(correlation!$F$31)),BG16*correlation!$F$31+correlation!$G$31,"")</f>
        <v/>
      </c>
      <c r="BI16" s="5">
        <f>IF(AND(BE16,ISNUMBER(BH16)),(BF16-BH16)^2,"")</f>
        <v/>
      </c>
      <c r="BJ16" s="5">
        <f>IF(BE16,1+SUMPRODUCT(--(calc!$BE$3:$BE$306=TRUE),--(calc!$BF$3:$BF$306&gt;BF16))+(SUMPRODUCT(--(calc!$BE$3:$BE$306=TRUE),--(calc!$BF$3:$BF$306=BF16))-1)/2,"")</f>
        <v/>
      </c>
      <c r="BK16" s="5">
        <f>IF(BE16,1+SUMPRODUCT(--(calc!$BE$3:$BE$306=TRUE),--(calc!$BG$3:$BG$306&gt;BG16))+(SUMPRODUCT(--(calc!$BE$3:$BE$306=TRUE),--(calc!$BG$3:$BG$306=BG16))-1)/2,"")</f>
        <v/>
      </c>
      <c r="BL16" s="5">
        <f>IF(BE16,SUMPRODUCT(--(calc!$BE$3:$BE$306=TRUE),--(ROW(calc!$BE$3:$BE$306)&gt;ROW(BE16)),--(((calc!$BJ$3:$BJ$306&gt;BJ16)*(calc!$BK$3:$BK$306&gt;BK16)+(calc!$BJ$3:$BJ$306&lt;BJ16)*(calc!$BK$3:$BK$306&lt;BK16))&gt;0))-SUMPRODUCT(--(calc!$BE$3:$BE$306=TRUE),--(ROW(calc!$BE$3:$BE$306)&gt;ROW(BE16)),--(((calc!$BJ$3:$BJ$306&gt;BJ16)*(calc!$BK$3:$BK$306&lt;BK16)+(calc!$BJ$3:$BJ$306&lt;BJ16)*(calc!$BK$3:$BK$306&gt;BK16))&gt;0)),0)</f>
        <v/>
      </c>
      <c r="BM16" s="5">
        <f>IF(mos_metrics!M15="","",mos_metrics!M15)</f>
        <v/>
      </c>
      <c r="BN16" s="2">
        <f>AND($J16,ISNUMBER(BM16),correlation!$I$32=1)</f>
        <v/>
      </c>
      <c r="BO16" s="5">
        <f>IF(BN16,$F16,"")</f>
        <v/>
      </c>
      <c r="BP16" s="5">
        <f>IF(BN16,BM16*correlation!$J$32,"")</f>
        <v/>
      </c>
      <c r="BQ16" s="5">
        <f>IF(AND(BN16,ISNUMBER(correlation!$F$32)),BP16*correlation!$F$32+correlation!$G$32,"")</f>
        <v/>
      </c>
      <c r="BR16" s="5">
        <f>IF(AND(BN16,ISNUMBER(BQ16)),(BO16-BQ16)^2,"")</f>
        <v/>
      </c>
      <c r="BS16" s="5">
        <f>IF(BN16,1+SUMPRODUCT(--(calc!$BN$3:$BN$306=TRUE),--(calc!$BO$3:$BO$306&gt;BO16))+(SUMPRODUCT(--(calc!$BN$3:$BN$306=TRUE),--(calc!$BO$3:$BO$306=BO16))-1)/2,"")</f>
        <v/>
      </c>
      <c r="BT16" s="5">
        <f>IF(BN16,1+SUMPRODUCT(--(calc!$BN$3:$BN$306=TRUE),--(calc!$BP$3:$BP$306&gt;BP16))+(SUMPRODUCT(--(calc!$BN$3:$BN$306=TRUE),--(calc!$BP$3:$BP$306=BP16))-1)/2,"")</f>
        <v/>
      </c>
      <c r="BU16" s="5">
        <f>IF(BN16,SUMPRODUCT(--(calc!$BN$3:$BN$306=TRUE),--(ROW(calc!$BN$3:$BN$306)&gt;ROW(BN16)),--(((calc!$BS$3:$BS$306&gt;BS16)*(calc!$BT$3:$BT$306&gt;BT16)+(calc!$BS$3:$BS$306&lt;BS16)*(calc!$BT$3:$BT$306&lt;BT16))&gt;0))-SUMPRODUCT(--(calc!$BN$3:$BN$306=TRUE),--(ROW(calc!$BN$3:$BN$306)&gt;ROW(BN16)),--(((calc!$BS$3:$BS$306&gt;BS16)*(calc!$BT$3:$BT$306&lt;BT16)+(calc!$BS$3:$BS$306&lt;BS16)*(calc!$BT$3:$BT$306&gt;BT16))&gt;0)),0)</f>
        <v/>
      </c>
    </row>
    <row r="17">
      <c r="A17" s="2">
        <f>mos_metrics!A16</f>
        <v/>
      </c>
      <c r="B17" s="2">
        <f>mos_metrics!B16</f>
        <v/>
      </c>
      <c r="C17" s="2">
        <f>mos_metrics!C16</f>
        <v/>
      </c>
      <c r="D17" s="2">
        <f>mos_metrics!D16</f>
        <v/>
      </c>
      <c r="E17" s="2">
        <f>mos_metrics!E16</f>
        <v/>
      </c>
      <c r="F17" s="2">
        <f>mos_metrics!F16</f>
        <v/>
      </c>
      <c r="G17" s="2">
        <f>IF($B17="","",IFERROR(VLOOKUP($B17,correlation!$A$2:$B$16,2,FALSE),1))</f>
        <v/>
      </c>
      <c r="H17" s="2">
        <f>IF($E17="","",IFERROR(VLOOKUP($E17,correlation!$D$2:$E$8,2,FALSE),1))</f>
        <v/>
      </c>
      <c r="I17" s="2">
        <f>ISNUMBER($F17)</f>
        <v/>
      </c>
      <c r="J17" s="2">
        <f>AND($G17=1,$H17=1,$I17)</f>
        <v/>
      </c>
      <c r="K17" s="5">
        <f>IF(mos_metrics!G16="","",mos_metrics!G16)</f>
        <v/>
      </c>
      <c r="L17" s="2">
        <f>AND($J17,ISNUMBER(K17),correlation!$I$26=1)</f>
        <v/>
      </c>
      <c r="M17" s="5">
        <f>IF(L17,$F17,"")</f>
        <v/>
      </c>
      <c r="N17" s="5">
        <f>IF(L17,K17*correlation!$J$26,"")</f>
        <v/>
      </c>
      <c r="O17" s="5">
        <f>IF(AND(L17,ISNUMBER(correlation!$F$26)),N17*correlation!$F$26+correlation!$G$26,"")</f>
        <v/>
      </c>
      <c r="P17" s="5">
        <f>IF(AND(L17,ISNUMBER(O17)),(M17-O17)^2,"")</f>
        <v/>
      </c>
      <c r="Q17" s="5">
        <f>IF(L17,1+SUMPRODUCT(--(calc!$L$3:$L$306=TRUE),--(calc!$M$3:$M$306&gt;M17))+(SUMPRODUCT(--(calc!$L$3:$L$306=TRUE),--(calc!$M$3:$M$306=M17))-1)/2,"")</f>
        <v/>
      </c>
      <c r="R17" s="5">
        <f>IF(L17,1+SUMPRODUCT(--(calc!$L$3:$L$306=TRUE),--(calc!$N$3:$N$306&gt;N17))+(SUMPRODUCT(--(calc!$L$3:$L$306=TRUE),--(calc!$N$3:$N$306=N17))-1)/2,"")</f>
        <v/>
      </c>
      <c r="S17" s="5">
        <f>IF(L17,SUMPRODUCT(--(calc!$L$3:$L$306=TRUE),--(ROW(calc!$L$3:$L$306)&gt;ROW(L17)),--(((calc!$Q$3:$Q$306&gt;Q17)*(calc!$R$3:$R$306&gt;R17)+(calc!$Q$3:$Q$306&lt;Q17)*(calc!$R$3:$R$306&lt;R17))&gt;0))-SUMPRODUCT(--(calc!$L$3:$L$306=TRUE),--(ROW(calc!$L$3:$L$306)&gt;ROW(L17)),--(((calc!$Q$3:$Q$306&gt;Q17)*(calc!$R$3:$R$306&lt;R17)+(calc!$Q$3:$Q$306&lt;Q17)*(calc!$R$3:$R$306&gt;R17))&gt;0)),0)</f>
        <v/>
      </c>
      <c r="T17" s="5">
        <f>IF(mos_metrics!H16="","",mos_metrics!H16)</f>
        <v/>
      </c>
      <c r="U17" s="2">
        <f>AND($J17,ISNUMBER(T17),correlation!$I$27=1)</f>
        <v/>
      </c>
      <c r="V17" s="5">
        <f>IF(U17,$F17,"")</f>
        <v/>
      </c>
      <c r="W17" s="5">
        <f>IF(U17,T17*correlation!$J$27,"")</f>
        <v/>
      </c>
      <c r="X17" s="5">
        <f>IF(AND(U17,ISNUMBER(correlation!$F$27)),W17*correlation!$F$27+correlation!$G$27,"")</f>
        <v/>
      </c>
      <c r="Y17" s="5">
        <f>IF(AND(U17,ISNUMBER(X17)),(V17-X17)^2,"")</f>
        <v/>
      </c>
      <c r="Z17" s="5">
        <f>IF(U17,1+SUMPRODUCT(--(calc!$U$3:$U$306=TRUE),--(calc!$V$3:$V$306&gt;V17))+(SUMPRODUCT(--(calc!$U$3:$U$306=TRUE),--(calc!$V$3:$V$306=V17))-1)/2,"")</f>
        <v/>
      </c>
      <c r="AA17" s="5">
        <f>IF(U17,1+SUMPRODUCT(--(calc!$U$3:$U$306=TRUE),--(calc!$W$3:$W$306&gt;W17))+(SUMPRODUCT(--(calc!$U$3:$U$306=TRUE),--(calc!$W$3:$W$306=W17))-1)/2,"")</f>
        <v/>
      </c>
      <c r="AB17" s="5">
        <f>IF(U17,SUMPRODUCT(--(calc!$U$3:$U$306=TRUE),--(ROW(calc!$U$3:$U$306)&gt;ROW(U17)),--(((calc!$Z$3:$Z$306&gt;Z17)*(calc!$AA$3:$AA$306&gt;AA17)+(calc!$Z$3:$Z$306&lt;Z17)*(calc!$AA$3:$AA$306&lt;AA17))&gt;0))-SUMPRODUCT(--(calc!$U$3:$U$306=TRUE),--(ROW(calc!$U$3:$U$306)&gt;ROW(U17)),--(((calc!$Z$3:$Z$306&gt;Z17)*(calc!$AA$3:$AA$306&lt;AA17)+(calc!$Z$3:$Z$306&lt;Z17)*(calc!$AA$3:$AA$306&gt;AA17))&gt;0)),0)</f>
        <v/>
      </c>
      <c r="AC17" s="5">
        <f>IF(mos_metrics!I16="","",mos_metrics!I16)</f>
        <v/>
      </c>
      <c r="AD17" s="2">
        <f>AND($J17,ISNUMBER(AC17),correlation!$I$28=1)</f>
        <v/>
      </c>
      <c r="AE17" s="5">
        <f>IF(AD17,$F17,"")</f>
        <v/>
      </c>
      <c r="AF17" s="5">
        <f>IF(AD17,AC17*correlation!$J$28,"")</f>
        <v/>
      </c>
      <c r="AG17" s="5">
        <f>IF(AND(AD17,ISNUMBER(correlation!$F$28)),AF17*correlation!$F$28+correlation!$G$28,"")</f>
        <v/>
      </c>
      <c r="AH17" s="5">
        <f>IF(AND(AD17,ISNUMBER(AG17)),(AE17-AG17)^2,"")</f>
        <v/>
      </c>
      <c r="AI17" s="5">
        <f>IF(AD17,1+SUMPRODUCT(--(calc!$AD$3:$AD$306=TRUE),--(calc!$AE$3:$AE$306&gt;AE17))+(SUMPRODUCT(--(calc!$AD$3:$AD$306=TRUE),--(calc!$AE$3:$AE$306=AE17))-1)/2,"")</f>
        <v/>
      </c>
      <c r="AJ17" s="5">
        <f>IF(AD17,1+SUMPRODUCT(--(calc!$AD$3:$AD$306=TRUE),--(calc!$AF$3:$AF$306&gt;AF17))+(SUMPRODUCT(--(calc!$AD$3:$AD$306=TRUE),--(calc!$AF$3:$AF$306=AF17))-1)/2,"")</f>
        <v/>
      </c>
      <c r="AK17" s="5">
        <f>IF(AD17,SUMPRODUCT(--(calc!$AD$3:$AD$306=TRUE),--(ROW(calc!$AD$3:$AD$306)&gt;ROW(AD17)),--(((calc!$AI$3:$AI$306&gt;AI17)*(calc!$AJ$3:$AJ$306&gt;AJ17)+(calc!$AI$3:$AI$306&lt;AI17)*(calc!$AJ$3:$AJ$306&lt;AJ17))&gt;0))-SUMPRODUCT(--(calc!$AD$3:$AD$306=TRUE),--(ROW(calc!$AD$3:$AD$306)&gt;ROW(AD17)),--(((calc!$AI$3:$AI$306&gt;AI17)*(calc!$AJ$3:$AJ$306&lt;AJ17)+(calc!$AI$3:$AI$306&lt;AI17)*(calc!$AJ$3:$AJ$306&gt;AJ17))&gt;0)),0)</f>
        <v/>
      </c>
      <c r="AL17" s="5">
        <f>IF(mos_metrics!J16="","",mos_metrics!J16)</f>
        <v/>
      </c>
      <c r="AM17" s="2">
        <f>AND($J17,ISNUMBER(AL17),correlation!$I$29=1)</f>
        <v/>
      </c>
      <c r="AN17" s="5">
        <f>IF(AM17,$F17,"")</f>
        <v/>
      </c>
      <c r="AO17" s="5">
        <f>IF(AM17,AL17*correlation!$J$29,"")</f>
        <v/>
      </c>
      <c r="AP17" s="5">
        <f>IF(AND(AM17,ISNUMBER(correlation!$F$29)),AO17*correlation!$F$29+correlation!$G$29,"")</f>
        <v/>
      </c>
      <c r="AQ17" s="5">
        <f>IF(AND(AM17,ISNUMBER(AP17)),(AN17-AP17)^2,"")</f>
        <v/>
      </c>
      <c r="AR17" s="5">
        <f>IF(AM17,1+SUMPRODUCT(--(calc!$AM$3:$AM$306=TRUE),--(calc!$AN$3:$AN$306&gt;AN17))+(SUMPRODUCT(--(calc!$AM$3:$AM$306=TRUE),--(calc!$AN$3:$AN$306=AN17))-1)/2,"")</f>
        <v/>
      </c>
      <c r="AS17" s="5">
        <f>IF(AM17,1+SUMPRODUCT(--(calc!$AM$3:$AM$306=TRUE),--(calc!$AO$3:$AO$306&gt;AO17))+(SUMPRODUCT(--(calc!$AM$3:$AM$306=TRUE),--(calc!$AO$3:$AO$306=AO17))-1)/2,"")</f>
        <v/>
      </c>
      <c r="AT17" s="5">
        <f>IF(AM17,SUMPRODUCT(--(calc!$AM$3:$AM$306=TRUE),--(ROW(calc!$AM$3:$AM$306)&gt;ROW(AM17)),--(((calc!$AR$3:$AR$306&gt;AR17)*(calc!$AS$3:$AS$306&gt;AS17)+(calc!$AR$3:$AR$306&lt;AR17)*(calc!$AS$3:$AS$306&lt;AS17))&gt;0))-SUMPRODUCT(--(calc!$AM$3:$AM$306=TRUE),--(ROW(calc!$AM$3:$AM$306)&gt;ROW(AM17)),--(((calc!$AR$3:$AR$306&gt;AR17)*(calc!$AS$3:$AS$306&lt;AS17)+(calc!$AR$3:$AR$306&lt;AR17)*(calc!$AS$3:$AS$306&gt;AS17))&gt;0)),0)</f>
        <v/>
      </c>
      <c r="AU17" s="5">
        <f>IF(mos_metrics!K16="","",mos_metrics!K16)</f>
        <v/>
      </c>
      <c r="AV17" s="2">
        <f>AND($J17,ISNUMBER(AU17),correlation!$I$30=1)</f>
        <v/>
      </c>
      <c r="AW17" s="5">
        <f>IF(AV17,$F17,"")</f>
        <v/>
      </c>
      <c r="AX17" s="5">
        <f>IF(AV17,AU17*correlation!$J$30,"")</f>
        <v/>
      </c>
      <c r="AY17" s="5">
        <f>IF(AND(AV17,ISNUMBER(correlation!$F$30)),AX17*correlation!$F$30+correlation!$G$30,"")</f>
        <v/>
      </c>
      <c r="AZ17" s="5">
        <f>IF(AND(AV17,ISNUMBER(AY17)),(AW17-AY17)^2,"")</f>
        <v/>
      </c>
      <c r="BA17" s="5">
        <f>IF(AV17,1+SUMPRODUCT(--(calc!$AV$3:$AV$306=TRUE),--(calc!$AW$3:$AW$306&gt;AW17))+(SUMPRODUCT(--(calc!$AV$3:$AV$306=TRUE),--(calc!$AW$3:$AW$306=AW17))-1)/2,"")</f>
        <v/>
      </c>
      <c r="BB17" s="5">
        <f>IF(AV17,1+SUMPRODUCT(--(calc!$AV$3:$AV$306=TRUE),--(calc!$AX$3:$AX$306&gt;AX17))+(SUMPRODUCT(--(calc!$AV$3:$AV$306=TRUE),--(calc!$AX$3:$AX$306=AX17))-1)/2,"")</f>
        <v/>
      </c>
      <c r="BC17" s="5">
        <f>IF(AV17,SUMPRODUCT(--(calc!$AV$3:$AV$306=TRUE),--(ROW(calc!$AV$3:$AV$306)&gt;ROW(AV17)),--(((calc!$BA$3:$BA$306&gt;BA17)*(calc!$BB$3:$BB$306&gt;BB17)+(calc!$BA$3:$BA$306&lt;BA17)*(calc!$BB$3:$BB$306&lt;BB17))&gt;0))-SUMPRODUCT(--(calc!$AV$3:$AV$306=TRUE),--(ROW(calc!$AV$3:$AV$306)&gt;ROW(AV17)),--(((calc!$BA$3:$BA$306&gt;BA17)*(calc!$BB$3:$BB$306&lt;BB17)+(calc!$BA$3:$BA$306&lt;BA17)*(calc!$BB$3:$BB$306&gt;BB17))&gt;0)),0)</f>
        <v/>
      </c>
      <c r="BD17" s="5">
        <f>IF(mos_metrics!L16="","",mos_metrics!L16)</f>
        <v/>
      </c>
      <c r="BE17" s="2">
        <f>AND($J17,ISNUMBER(BD17),correlation!$I$31=1)</f>
        <v/>
      </c>
      <c r="BF17" s="5">
        <f>IF(BE17,$F17,"")</f>
        <v/>
      </c>
      <c r="BG17" s="5">
        <f>IF(BE17,BD17*correlation!$J$31,"")</f>
        <v/>
      </c>
      <c r="BH17" s="5">
        <f>IF(AND(BE17,ISNUMBER(correlation!$F$31)),BG17*correlation!$F$31+correlation!$G$31,"")</f>
        <v/>
      </c>
      <c r="BI17" s="5">
        <f>IF(AND(BE17,ISNUMBER(BH17)),(BF17-BH17)^2,"")</f>
        <v/>
      </c>
      <c r="BJ17" s="5">
        <f>IF(BE17,1+SUMPRODUCT(--(calc!$BE$3:$BE$306=TRUE),--(calc!$BF$3:$BF$306&gt;BF17))+(SUMPRODUCT(--(calc!$BE$3:$BE$306=TRUE),--(calc!$BF$3:$BF$306=BF17))-1)/2,"")</f>
        <v/>
      </c>
      <c r="BK17" s="5">
        <f>IF(BE17,1+SUMPRODUCT(--(calc!$BE$3:$BE$306=TRUE),--(calc!$BG$3:$BG$306&gt;BG17))+(SUMPRODUCT(--(calc!$BE$3:$BE$306=TRUE),--(calc!$BG$3:$BG$306=BG17))-1)/2,"")</f>
        <v/>
      </c>
      <c r="BL17" s="5">
        <f>IF(BE17,SUMPRODUCT(--(calc!$BE$3:$BE$306=TRUE),--(ROW(calc!$BE$3:$BE$306)&gt;ROW(BE17)),--(((calc!$BJ$3:$BJ$306&gt;BJ17)*(calc!$BK$3:$BK$306&gt;BK17)+(calc!$BJ$3:$BJ$306&lt;BJ17)*(calc!$BK$3:$BK$306&lt;BK17))&gt;0))-SUMPRODUCT(--(calc!$BE$3:$BE$306=TRUE),--(ROW(calc!$BE$3:$BE$306)&gt;ROW(BE17)),--(((calc!$BJ$3:$BJ$306&gt;BJ17)*(calc!$BK$3:$BK$306&lt;BK17)+(calc!$BJ$3:$BJ$306&lt;BJ17)*(calc!$BK$3:$BK$306&gt;BK17))&gt;0)),0)</f>
        <v/>
      </c>
      <c r="BM17" s="5">
        <f>IF(mos_metrics!M16="","",mos_metrics!M16)</f>
        <v/>
      </c>
      <c r="BN17" s="2">
        <f>AND($J17,ISNUMBER(BM17),correlation!$I$32=1)</f>
        <v/>
      </c>
      <c r="BO17" s="5">
        <f>IF(BN17,$F17,"")</f>
        <v/>
      </c>
      <c r="BP17" s="5">
        <f>IF(BN17,BM17*correlation!$J$32,"")</f>
        <v/>
      </c>
      <c r="BQ17" s="5">
        <f>IF(AND(BN17,ISNUMBER(correlation!$F$32)),BP17*correlation!$F$32+correlation!$G$32,"")</f>
        <v/>
      </c>
      <c r="BR17" s="5">
        <f>IF(AND(BN17,ISNUMBER(BQ17)),(BO17-BQ17)^2,"")</f>
        <v/>
      </c>
      <c r="BS17" s="5">
        <f>IF(BN17,1+SUMPRODUCT(--(calc!$BN$3:$BN$306=TRUE),--(calc!$BO$3:$BO$306&gt;BO17))+(SUMPRODUCT(--(calc!$BN$3:$BN$306=TRUE),--(calc!$BO$3:$BO$306=BO17))-1)/2,"")</f>
        <v/>
      </c>
      <c r="BT17" s="5">
        <f>IF(BN17,1+SUMPRODUCT(--(calc!$BN$3:$BN$306=TRUE),--(calc!$BP$3:$BP$306&gt;BP17))+(SUMPRODUCT(--(calc!$BN$3:$BN$306=TRUE),--(calc!$BP$3:$BP$306=BP17))-1)/2,"")</f>
        <v/>
      </c>
      <c r="BU17" s="5">
        <f>IF(BN17,SUMPRODUCT(--(calc!$BN$3:$BN$306=TRUE),--(ROW(calc!$BN$3:$BN$306)&gt;ROW(BN17)),--(((calc!$BS$3:$BS$306&gt;BS17)*(calc!$BT$3:$BT$306&gt;BT17)+(calc!$BS$3:$BS$306&lt;BS17)*(calc!$BT$3:$BT$306&lt;BT17))&gt;0))-SUMPRODUCT(--(calc!$BN$3:$BN$306=TRUE),--(ROW(calc!$BN$3:$BN$306)&gt;ROW(BN17)),--(((calc!$BS$3:$BS$306&gt;BS17)*(calc!$BT$3:$BT$306&lt;BT17)+(calc!$BS$3:$BS$306&lt;BS17)*(calc!$BT$3:$BT$306&gt;BT17))&gt;0)),0)</f>
        <v/>
      </c>
    </row>
    <row r="18">
      <c r="A18" s="2">
        <f>mos_metrics!A17</f>
        <v/>
      </c>
      <c r="B18" s="2">
        <f>mos_metrics!B17</f>
        <v/>
      </c>
      <c r="C18" s="2">
        <f>mos_metrics!C17</f>
        <v/>
      </c>
      <c r="D18" s="2">
        <f>mos_metrics!D17</f>
        <v/>
      </c>
      <c r="E18" s="2">
        <f>mos_metrics!E17</f>
        <v/>
      </c>
      <c r="F18" s="2">
        <f>mos_metrics!F17</f>
        <v/>
      </c>
      <c r="G18" s="2">
        <f>IF($B18="","",IFERROR(VLOOKUP($B18,correlation!$A$2:$B$16,2,FALSE),1))</f>
        <v/>
      </c>
      <c r="H18" s="2">
        <f>IF($E18="","",IFERROR(VLOOKUP($E18,correlation!$D$2:$E$8,2,FALSE),1))</f>
        <v/>
      </c>
      <c r="I18" s="2">
        <f>ISNUMBER($F18)</f>
        <v/>
      </c>
      <c r="J18" s="2">
        <f>AND($G18=1,$H18=1,$I18)</f>
        <v/>
      </c>
      <c r="K18" s="5">
        <f>IF(mos_metrics!G17="","",mos_metrics!G17)</f>
        <v/>
      </c>
      <c r="L18" s="2">
        <f>AND($J18,ISNUMBER(K18),correlation!$I$26=1)</f>
        <v/>
      </c>
      <c r="M18" s="5">
        <f>IF(L18,$F18,"")</f>
        <v/>
      </c>
      <c r="N18" s="5">
        <f>IF(L18,K18*correlation!$J$26,"")</f>
        <v/>
      </c>
      <c r="O18" s="5">
        <f>IF(AND(L18,ISNUMBER(correlation!$F$26)),N18*correlation!$F$26+correlation!$G$26,"")</f>
        <v/>
      </c>
      <c r="P18" s="5">
        <f>IF(AND(L18,ISNUMBER(O18)),(M18-O18)^2,"")</f>
        <v/>
      </c>
      <c r="Q18" s="5">
        <f>IF(L18,1+SUMPRODUCT(--(calc!$L$3:$L$306=TRUE),--(calc!$M$3:$M$306&gt;M18))+(SUMPRODUCT(--(calc!$L$3:$L$306=TRUE),--(calc!$M$3:$M$306=M18))-1)/2,"")</f>
        <v/>
      </c>
      <c r="R18" s="5">
        <f>IF(L18,1+SUMPRODUCT(--(calc!$L$3:$L$306=TRUE),--(calc!$N$3:$N$306&gt;N18))+(SUMPRODUCT(--(calc!$L$3:$L$306=TRUE),--(calc!$N$3:$N$306=N18))-1)/2,"")</f>
        <v/>
      </c>
      <c r="S18" s="5">
        <f>IF(L18,SUMPRODUCT(--(calc!$L$3:$L$306=TRUE),--(ROW(calc!$L$3:$L$306)&gt;ROW(L18)),--(((calc!$Q$3:$Q$306&gt;Q18)*(calc!$R$3:$R$306&gt;R18)+(calc!$Q$3:$Q$306&lt;Q18)*(calc!$R$3:$R$306&lt;R18))&gt;0))-SUMPRODUCT(--(calc!$L$3:$L$306=TRUE),--(ROW(calc!$L$3:$L$306)&gt;ROW(L18)),--(((calc!$Q$3:$Q$306&gt;Q18)*(calc!$R$3:$R$306&lt;R18)+(calc!$Q$3:$Q$306&lt;Q18)*(calc!$R$3:$R$306&gt;R18))&gt;0)),0)</f>
        <v/>
      </c>
      <c r="T18" s="5">
        <f>IF(mos_metrics!H17="","",mos_metrics!H17)</f>
        <v/>
      </c>
      <c r="U18" s="2">
        <f>AND($J18,ISNUMBER(T18),correlation!$I$27=1)</f>
        <v/>
      </c>
      <c r="V18" s="5">
        <f>IF(U18,$F18,"")</f>
        <v/>
      </c>
      <c r="W18" s="5">
        <f>IF(U18,T18*correlation!$J$27,"")</f>
        <v/>
      </c>
      <c r="X18" s="5">
        <f>IF(AND(U18,ISNUMBER(correlation!$F$27)),W18*correlation!$F$27+correlation!$G$27,"")</f>
        <v/>
      </c>
      <c r="Y18" s="5">
        <f>IF(AND(U18,ISNUMBER(X18)),(V18-X18)^2,"")</f>
        <v/>
      </c>
      <c r="Z18" s="5">
        <f>IF(U18,1+SUMPRODUCT(--(calc!$U$3:$U$306=TRUE),--(calc!$V$3:$V$306&gt;V18))+(SUMPRODUCT(--(calc!$U$3:$U$306=TRUE),--(calc!$V$3:$V$306=V18))-1)/2,"")</f>
        <v/>
      </c>
      <c r="AA18" s="5">
        <f>IF(U18,1+SUMPRODUCT(--(calc!$U$3:$U$306=TRUE),--(calc!$W$3:$W$306&gt;W18))+(SUMPRODUCT(--(calc!$U$3:$U$306=TRUE),--(calc!$W$3:$W$306=W18))-1)/2,"")</f>
        <v/>
      </c>
      <c r="AB18" s="5">
        <f>IF(U18,SUMPRODUCT(--(calc!$U$3:$U$306=TRUE),--(ROW(calc!$U$3:$U$306)&gt;ROW(U18)),--(((calc!$Z$3:$Z$306&gt;Z18)*(calc!$AA$3:$AA$306&gt;AA18)+(calc!$Z$3:$Z$306&lt;Z18)*(calc!$AA$3:$AA$306&lt;AA18))&gt;0))-SUMPRODUCT(--(calc!$U$3:$U$306=TRUE),--(ROW(calc!$U$3:$U$306)&gt;ROW(U18)),--(((calc!$Z$3:$Z$306&gt;Z18)*(calc!$AA$3:$AA$306&lt;AA18)+(calc!$Z$3:$Z$306&lt;Z18)*(calc!$AA$3:$AA$306&gt;AA18))&gt;0)),0)</f>
        <v/>
      </c>
      <c r="AC18" s="5">
        <f>IF(mos_metrics!I17="","",mos_metrics!I17)</f>
        <v/>
      </c>
      <c r="AD18" s="2">
        <f>AND($J18,ISNUMBER(AC18),correlation!$I$28=1)</f>
        <v/>
      </c>
      <c r="AE18" s="5">
        <f>IF(AD18,$F18,"")</f>
        <v/>
      </c>
      <c r="AF18" s="5">
        <f>IF(AD18,AC18*correlation!$J$28,"")</f>
        <v/>
      </c>
      <c r="AG18" s="5">
        <f>IF(AND(AD18,ISNUMBER(correlation!$F$28)),AF18*correlation!$F$28+correlation!$G$28,"")</f>
        <v/>
      </c>
      <c r="AH18" s="5">
        <f>IF(AND(AD18,ISNUMBER(AG18)),(AE18-AG18)^2,"")</f>
        <v/>
      </c>
      <c r="AI18" s="5">
        <f>IF(AD18,1+SUMPRODUCT(--(calc!$AD$3:$AD$306=TRUE),--(calc!$AE$3:$AE$306&gt;AE18))+(SUMPRODUCT(--(calc!$AD$3:$AD$306=TRUE),--(calc!$AE$3:$AE$306=AE18))-1)/2,"")</f>
        <v/>
      </c>
      <c r="AJ18" s="5">
        <f>IF(AD18,1+SUMPRODUCT(--(calc!$AD$3:$AD$306=TRUE),--(calc!$AF$3:$AF$306&gt;AF18))+(SUMPRODUCT(--(calc!$AD$3:$AD$306=TRUE),--(calc!$AF$3:$AF$306=AF18))-1)/2,"")</f>
        <v/>
      </c>
      <c r="AK18" s="5">
        <f>IF(AD18,SUMPRODUCT(--(calc!$AD$3:$AD$306=TRUE),--(ROW(calc!$AD$3:$AD$306)&gt;ROW(AD18)),--(((calc!$AI$3:$AI$306&gt;AI18)*(calc!$AJ$3:$AJ$306&gt;AJ18)+(calc!$AI$3:$AI$306&lt;AI18)*(calc!$AJ$3:$AJ$306&lt;AJ18))&gt;0))-SUMPRODUCT(--(calc!$AD$3:$AD$306=TRUE),--(ROW(calc!$AD$3:$AD$306)&gt;ROW(AD18)),--(((calc!$AI$3:$AI$306&gt;AI18)*(calc!$AJ$3:$AJ$306&lt;AJ18)+(calc!$AI$3:$AI$306&lt;AI18)*(calc!$AJ$3:$AJ$306&gt;AJ18))&gt;0)),0)</f>
        <v/>
      </c>
      <c r="AL18" s="5">
        <f>IF(mos_metrics!J17="","",mos_metrics!J17)</f>
        <v/>
      </c>
      <c r="AM18" s="2">
        <f>AND($J18,ISNUMBER(AL18),correlation!$I$29=1)</f>
        <v/>
      </c>
      <c r="AN18" s="5">
        <f>IF(AM18,$F18,"")</f>
        <v/>
      </c>
      <c r="AO18" s="5">
        <f>IF(AM18,AL18*correlation!$J$29,"")</f>
        <v/>
      </c>
      <c r="AP18" s="5">
        <f>IF(AND(AM18,ISNUMBER(correlation!$F$29)),AO18*correlation!$F$29+correlation!$G$29,"")</f>
        <v/>
      </c>
      <c r="AQ18" s="5">
        <f>IF(AND(AM18,ISNUMBER(AP18)),(AN18-AP18)^2,"")</f>
        <v/>
      </c>
      <c r="AR18" s="5">
        <f>IF(AM18,1+SUMPRODUCT(--(calc!$AM$3:$AM$306=TRUE),--(calc!$AN$3:$AN$306&gt;AN18))+(SUMPRODUCT(--(calc!$AM$3:$AM$306=TRUE),--(calc!$AN$3:$AN$306=AN18))-1)/2,"")</f>
        <v/>
      </c>
      <c r="AS18" s="5">
        <f>IF(AM18,1+SUMPRODUCT(--(calc!$AM$3:$AM$306=TRUE),--(calc!$AO$3:$AO$306&gt;AO18))+(SUMPRODUCT(--(calc!$AM$3:$AM$306=TRUE),--(calc!$AO$3:$AO$306=AO18))-1)/2,"")</f>
        <v/>
      </c>
      <c r="AT18" s="5">
        <f>IF(AM18,SUMPRODUCT(--(calc!$AM$3:$AM$306=TRUE),--(ROW(calc!$AM$3:$AM$306)&gt;ROW(AM18)),--(((calc!$AR$3:$AR$306&gt;AR18)*(calc!$AS$3:$AS$306&gt;AS18)+(calc!$AR$3:$AR$306&lt;AR18)*(calc!$AS$3:$AS$306&lt;AS18))&gt;0))-SUMPRODUCT(--(calc!$AM$3:$AM$306=TRUE),--(ROW(calc!$AM$3:$AM$306)&gt;ROW(AM18)),--(((calc!$AR$3:$AR$306&gt;AR18)*(calc!$AS$3:$AS$306&lt;AS18)+(calc!$AR$3:$AR$306&lt;AR18)*(calc!$AS$3:$AS$306&gt;AS18))&gt;0)),0)</f>
        <v/>
      </c>
      <c r="AU18" s="5">
        <f>IF(mos_metrics!K17="","",mos_metrics!K17)</f>
        <v/>
      </c>
      <c r="AV18" s="2">
        <f>AND($J18,ISNUMBER(AU18),correlation!$I$30=1)</f>
        <v/>
      </c>
      <c r="AW18" s="5">
        <f>IF(AV18,$F18,"")</f>
        <v/>
      </c>
      <c r="AX18" s="5">
        <f>IF(AV18,AU18*correlation!$J$30,"")</f>
        <v/>
      </c>
      <c r="AY18" s="5">
        <f>IF(AND(AV18,ISNUMBER(correlation!$F$30)),AX18*correlation!$F$30+correlation!$G$30,"")</f>
        <v/>
      </c>
      <c r="AZ18" s="5">
        <f>IF(AND(AV18,ISNUMBER(AY18)),(AW18-AY18)^2,"")</f>
        <v/>
      </c>
      <c r="BA18" s="5">
        <f>IF(AV18,1+SUMPRODUCT(--(calc!$AV$3:$AV$306=TRUE),--(calc!$AW$3:$AW$306&gt;AW18))+(SUMPRODUCT(--(calc!$AV$3:$AV$306=TRUE),--(calc!$AW$3:$AW$306=AW18))-1)/2,"")</f>
        <v/>
      </c>
      <c r="BB18" s="5">
        <f>IF(AV18,1+SUMPRODUCT(--(calc!$AV$3:$AV$306=TRUE),--(calc!$AX$3:$AX$306&gt;AX18))+(SUMPRODUCT(--(calc!$AV$3:$AV$306=TRUE),--(calc!$AX$3:$AX$306=AX18))-1)/2,"")</f>
        <v/>
      </c>
      <c r="BC18" s="5">
        <f>IF(AV18,SUMPRODUCT(--(calc!$AV$3:$AV$306=TRUE),--(ROW(calc!$AV$3:$AV$306)&gt;ROW(AV18)),--(((calc!$BA$3:$BA$306&gt;BA18)*(calc!$BB$3:$BB$306&gt;BB18)+(calc!$BA$3:$BA$306&lt;BA18)*(calc!$BB$3:$BB$306&lt;BB18))&gt;0))-SUMPRODUCT(--(calc!$AV$3:$AV$306=TRUE),--(ROW(calc!$AV$3:$AV$306)&gt;ROW(AV18)),--(((calc!$BA$3:$BA$306&gt;BA18)*(calc!$BB$3:$BB$306&lt;BB18)+(calc!$BA$3:$BA$306&lt;BA18)*(calc!$BB$3:$BB$306&gt;BB18))&gt;0)),0)</f>
        <v/>
      </c>
      <c r="BD18" s="5">
        <f>IF(mos_metrics!L17="","",mos_metrics!L17)</f>
        <v/>
      </c>
      <c r="BE18" s="2">
        <f>AND($J18,ISNUMBER(BD18),correlation!$I$31=1)</f>
        <v/>
      </c>
      <c r="BF18" s="5">
        <f>IF(BE18,$F18,"")</f>
        <v/>
      </c>
      <c r="BG18" s="5">
        <f>IF(BE18,BD18*correlation!$J$31,"")</f>
        <v/>
      </c>
      <c r="BH18" s="5">
        <f>IF(AND(BE18,ISNUMBER(correlation!$F$31)),BG18*correlation!$F$31+correlation!$G$31,"")</f>
        <v/>
      </c>
      <c r="BI18" s="5">
        <f>IF(AND(BE18,ISNUMBER(BH18)),(BF18-BH18)^2,"")</f>
        <v/>
      </c>
      <c r="BJ18" s="5">
        <f>IF(BE18,1+SUMPRODUCT(--(calc!$BE$3:$BE$306=TRUE),--(calc!$BF$3:$BF$306&gt;BF18))+(SUMPRODUCT(--(calc!$BE$3:$BE$306=TRUE),--(calc!$BF$3:$BF$306=BF18))-1)/2,"")</f>
        <v/>
      </c>
      <c r="BK18" s="5">
        <f>IF(BE18,1+SUMPRODUCT(--(calc!$BE$3:$BE$306=TRUE),--(calc!$BG$3:$BG$306&gt;BG18))+(SUMPRODUCT(--(calc!$BE$3:$BE$306=TRUE),--(calc!$BG$3:$BG$306=BG18))-1)/2,"")</f>
        <v/>
      </c>
      <c r="BL18" s="5">
        <f>IF(BE18,SUMPRODUCT(--(calc!$BE$3:$BE$306=TRUE),--(ROW(calc!$BE$3:$BE$306)&gt;ROW(BE18)),--(((calc!$BJ$3:$BJ$306&gt;BJ18)*(calc!$BK$3:$BK$306&gt;BK18)+(calc!$BJ$3:$BJ$306&lt;BJ18)*(calc!$BK$3:$BK$306&lt;BK18))&gt;0))-SUMPRODUCT(--(calc!$BE$3:$BE$306=TRUE),--(ROW(calc!$BE$3:$BE$306)&gt;ROW(BE18)),--(((calc!$BJ$3:$BJ$306&gt;BJ18)*(calc!$BK$3:$BK$306&lt;BK18)+(calc!$BJ$3:$BJ$306&lt;BJ18)*(calc!$BK$3:$BK$306&gt;BK18))&gt;0)),0)</f>
        <v/>
      </c>
      <c r="BM18" s="5">
        <f>IF(mos_metrics!M17="","",mos_metrics!M17)</f>
        <v/>
      </c>
      <c r="BN18" s="2">
        <f>AND($J18,ISNUMBER(BM18),correlation!$I$32=1)</f>
        <v/>
      </c>
      <c r="BO18" s="5">
        <f>IF(BN18,$F18,"")</f>
        <v/>
      </c>
      <c r="BP18" s="5">
        <f>IF(BN18,BM18*correlation!$J$32,"")</f>
        <v/>
      </c>
      <c r="BQ18" s="5">
        <f>IF(AND(BN18,ISNUMBER(correlation!$F$32)),BP18*correlation!$F$32+correlation!$G$32,"")</f>
        <v/>
      </c>
      <c r="BR18" s="5">
        <f>IF(AND(BN18,ISNUMBER(BQ18)),(BO18-BQ18)^2,"")</f>
        <v/>
      </c>
      <c r="BS18" s="5">
        <f>IF(BN18,1+SUMPRODUCT(--(calc!$BN$3:$BN$306=TRUE),--(calc!$BO$3:$BO$306&gt;BO18))+(SUMPRODUCT(--(calc!$BN$3:$BN$306=TRUE),--(calc!$BO$3:$BO$306=BO18))-1)/2,"")</f>
        <v/>
      </c>
      <c r="BT18" s="5">
        <f>IF(BN18,1+SUMPRODUCT(--(calc!$BN$3:$BN$306=TRUE),--(calc!$BP$3:$BP$306&gt;BP18))+(SUMPRODUCT(--(calc!$BN$3:$BN$306=TRUE),--(calc!$BP$3:$BP$306=BP18))-1)/2,"")</f>
        <v/>
      </c>
      <c r="BU18" s="5">
        <f>IF(BN18,SUMPRODUCT(--(calc!$BN$3:$BN$306=TRUE),--(ROW(calc!$BN$3:$BN$306)&gt;ROW(BN18)),--(((calc!$BS$3:$BS$306&gt;BS18)*(calc!$BT$3:$BT$306&gt;BT18)+(calc!$BS$3:$BS$306&lt;BS18)*(calc!$BT$3:$BT$306&lt;BT18))&gt;0))-SUMPRODUCT(--(calc!$BN$3:$BN$306=TRUE),--(ROW(calc!$BN$3:$BN$306)&gt;ROW(BN18)),--(((calc!$BS$3:$BS$306&gt;BS18)*(calc!$BT$3:$BT$306&lt;BT18)+(calc!$BS$3:$BS$306&lt;BS18)*(calc!$BT$3:$BT$306&gt;BT18))&gt;0)),0)</f>
        <v/>
      </c>
    </row>
    <row r="19">
      <c r="A19" s="2">
        <f>mos_metrics!A18</f>
        <v/>
      </c>
      <c r="B19" s="2">
        <f>mos_metrics!B18</f>
        <v/>
      </c>
      <c r="C19" s="2">
        <f>mos_metrics!C18</f>
        <v/>
      </c>
      <c r="D19" s="2">
        <f>mos_metrics!D18</f>
        <v/>
      </c>
      <c r="E19" s="2">
        <f>mos_metrics!E18</f>
        <v/>
      </c>
      <c r="F19" s="2">
        <f>mos_metrics!F18</f>
        <v/>
      </c>
      <c r="G19" s="2">
        <f>IF($B19="","",IFERROR(VLOOKUP($B19,correlation!$A$2:$B$16,2,FALSE),1))</f>
        <v/>
      </c>
      <c r="H19" s="2">
        <f>IF($E19="","",IFERROR(VLOOKUP($E19,correlation!$D$2:$E$8,2,FALSE),1))</f>
        <v/>
      </c>
      <c r="I19" s="2">
        <f>ISNUMBER($F19)</f>
        <v/>
      </c>
      <c r="J19" s="2">
        <f>AND($G19=1,$H19=1,$I19)</f>
        <v/>
      </c>
      <c r="K19" s="5">
        <f>IF(mos_metrics!G18="","",mos_metrics!G18)</f>
        <v/>
      </c>
      <c r="L19" s="2">
        <f>AND($J19,ISNUMBER(K19),correlation!$I$26=1)</f>
        <v/>
      </c>
      <c r="M19" s="5">
        <f>IF(L19,$F19,"")</f>
        <v/>
      </c>
      <c r="N19" s="5">
        <f>IF(L19,K19*correlation!$J$26,"")</f>
        <v/>
      </c>
      <c r="O19" s="5">
        <f>IF(AND(L19,ISNUMBER(correlation!$F$26)),N19*correlation!$F$26+correlation!$G$26,"")</f>
        <v/>
      </c>
      <c r="P19" s="5">
        <f>IF(AND(L19,ISNUMBER(O19)),(M19-O19)^2,"")</f>
        <v/>
      </c>
      <c r="Q19" s="5">
        <f>IF(L19,1+SUMPRODUCT(--(calc!$L$3:$L$306=TRUE),--(calc!$M$3:$M$306&gt;M19))+(SUMPRODUCT(--(calc!$L$3:$L$306=TRUE),--(calc!$M$3:$M$306=M19))-1)/2,"")</f>
        <v/>
      </c>
      <c r="R19" s="5">
        <f>IF(L19,1+SUMPRODUCT(--(calc!$L$3:$L$306=TRUE),--(calc!$N$3:$N$306&gt;N19))+(SUMPRODUCT(--(calc!$L$3:$L$306=TRUE),--(calc!$N$3:$N$306=N19))-1)/2,"")</f>
        <v/>
      </c>
      <c r="S19" s="5">
        <f>IF(L19,SUMPRODUCT(--(calc!$L$3:$L$306=TRUE),--(ROW(calc!$L$3:$L$306)&gt;ROW(L19)),--(((calc!$Q$3:$Q$306&gt;Q19)*(calc!$R$3:$R$306&gt;R19)+(calc!$Q$3:$Q$306&lt;Q19)*(calc!$R$3:$R$306&lt;R19))&gt;0))-SUMPRODUCT(--(calc!$L$3:$L$306=TRUE),--(ROW(calc!$L$3:$L$306)&gt;ROW(L19)),--(((calc!$Q$3:$Q$306&gt;Q19)*(calc!$R$3:$R$306&lt;R19)+(calc!$Q$3:$Q$306&lt;Q19)*(calc!$R$3:$R$306&gt;R19))&gt;0)),0)</f>
        <v/>
      </c>
      <c r="T19" s="5">
        <f>IF(mos_metrics!H18="","",mos_metrics!H18)</f>
        <v/>
      </c>
      <c r="U19" s="2">
        <f>AND($J19,ISNUMBER(T19),correlation!$I$27=1)</f>
        <v/>
      </c>
      <c r="V19" s="5">
        <f>IF(U19,$F19,"")</f>
        <v/>
      </c>
      <c r="W19" s="5">
        <f>IF(U19,T19*correlation!$J$27,"")</f>
        <v/>
      </c>
      <c r="X19" s="5">
        <f>IF(AND(U19,ISNUMBER(correlation!$F$27)),W19*correlation!$F$27+correlation!$G$27,"")</f>
        <v/>
      </c>
      <c r="Y19" s="5">
        <f>IF(AND(U19,ISNUMBER(X19)),(V19-X19)^2,"")</f>
        <v/>
      </c>
      <c r="Z19" s="5">
        <f>IF(U19,1+SUMPRODUCT(--(calc!$U$3:$U$306=TRUE),--(calc!$V$3:$V$306&gt;V19))+(SUMPRODUCT(--(calc!$U$3:$U$306=TRUE),--(calc!$V$3:$V$306=V19))-1)/2,"")</f>
        <v/>
      </c>
      <c r="AA19" s="5">
        <f>IF(U19,1+SUMPRODUCT(--(calc!$U$3:$U$306=TRUE),--(calc!$W$3:$W$306&gt;W19))+(SUMPRODUCT(--(calc!$U$3:$U$306=TRUE),--(calc!$W$3:$W$306=W19))-1)/2,"")</f>
        <v/>
      </c>
      <c r="AB19" s="5">
        <f>IF(U19,SUMPRODUCT(--(calc!$U$3:$U$306=TRUE),--(ROW(calc!$U$3:$U$306)&gt;ROW(U19)),--(((calc!$Z$3:$Z$306&gt;Z19)*(calc!$AA$3:$AA$306&gt;AA19)+(calc!$Z$3:$Z$306&lt;Z19)*(calc!$AA$3:$AA$306&lt;AA19))&gt;0))-SUMPRODUCT(--(calc!$U$3:$U$306=TRUE),--(ROW(calc!$U$3:$U$306)&gt;ROW(U19)),--(((calc!$Z$3:$Z$306&gt;Z19)*(calc!$AA$3:$AA$306&lt;AA19)+(calc!$Z$3:$Z$306&lt;Z19)*(calc!$AA$3:$AA$306&gt;AA19))&gt;0)),0)</f>
        <v/>
      </c>
      <c r="AC19" s="5">
        <f>IF(mos_metrics!I18="","",mos_metrics!I18)</f>
        <v/>
      </c>
      <c r="AD19" s="2">
        <f>AND($J19,ISNUMBER(AC19),correlation!$I$28=1)</f>
        <v/>
      </c>
      <c r="AE19" s="5">
        <f>IF(AD19,$F19,"")</f>
        <v/>
      </c>
      <c r="AF19" s="5">
        <f>IF(AD19,AC19*correlation!$J$28,"")</f>
        <v/>
      </c>
      <c r="AG19" s="5">
        <f>IF(AND(AD19,ISNUMBER(correlation!$F$28)),AF19*correlation!$F$28+correlation!$G$28,"")</f>
        <v/>
      </c>
      <c r="AH19" s="5">
        <f>IF(AND(AD19,ISNUMBER(AG19)),(AE19-AG19)^2,"")</f>
        <v/>
      </c>
      <c r="AI19" s="5">
        <f>IF(AD19,1+SUMPRODUCT(--(calc!$AD$3:$AD$306=TRUE),--(calc!$AE$3:$AE$306&gt;AE19))+(SUMPRODUCT(--(calc!$AD$3:$AD$306=TRUE),--(calc!$AE$3:$AE$306=AE19))-1)/2,"")</f>
        <v/>
      </c>
      <c r="AJ19" s="5">
        <f>IF(AD19,1+SUMPRODUCT(--(calc!$AD$3:$AD$306=TRUE),--(calc!$AF$3:$AF$306&gt;AF19))+(SUMPRODUCT(--(calc!$AD$3:$AD$306=TRUE),--(calc!$AF$3:$AF$306=AF19))-1)/2,"")</f>
        <v/>
      </c>
      <c r="AK19" s="5">
        <f>IF(AD19,SUMPRODUCT(--(calc!$AD$3:$AD$306=TRUE),--(ROW(calc!$AD$3:$AD$306)&gt;ROW(AD19)),--(((calc!$AI$3:$AI$306&gt;AI19)*(calc!$AJ$3:$AJ$306&gt;AJ19)+(calc!$AI$3:$AI$306&lt;AI19)*(calc!$AJ$3:$AJ$306&lt;AJ19))&gt;0))-SUMPRODUCT(--(calc!$AD$3:$AD$306=TRUE),--(ROW(calc!$AD$3:$AD$306)&gt;ROW(AD19)),--(((calc!$AI$3:$AI$306&gt;AI19)*(calc!$AJ$3:$AJ$306&lt;AJ19)+(calc!$AI$3:$AI$306&lt;AI19)*(calc!$AJ$3:$AJ$306&gt;AJ19))&gt;0)),0)</f>
        <v/>
      </c>
      <c r="AL19" s="5">
        <f>IF(mos_metrics!J18="","",mos_metrics!J18)</f>
        <v/>
      </c>
      <c r="AM19" s="2">
        <f>AND($J19,ISNUMBER(AL19),correlation!$I$29=1)</f>
        <v/>
      </c>
      <c r="AN19" s="5">
        <f>IF(AM19,$F19,"")</f>
        <v/>
      </c>
      <c r="AO19" s="5">
        <f>IF(AM19,AL19*correlation!$J$29,"")</f>
        <v/>
      </c>
      <c r="AP19" s="5">
        <f>IF(AND(AM19,ISNUMBER(correlation!$F$29)),AO19*correlation!$F$29+correlation!$G$29,"")</f>
        <v/>
      </c>
      <c r="AQ19" s="5">
        <f>IF(AND(AM19,ISNUMBER(AP19)),(AN19-AP19)^2,"")</f>
        <v/>
      </c>
      <c r="AR19" s="5">
        <f>IF(AM19,1+SUMPRODUCT(--(calc!$AM$3:$AM$306=TRUE),--(calc!$AN$3:$AN$306&gt;AN19))+(SUMPRODUCT(--(calc!$AM$3:$AM$306=TRUE),--(calc!$AN$3:$AN$306=AN19))-1)/2,"")</f>
        <v/>
      </c>
      <c r="AS19" s="5">
        <f>IF(AM19,1+SUMPRODUCT(--(calc!$AM$3:$AM$306=TRUE),--(calc!$AO$3:$AO$306&gt;AO19))+(SUMPRODUCT(--(calc!$AM$3:$AM$306=TRUE),--(calc!$AO$3:$AO$306=AO19))-1)/2,"")</f>
        <v/>
      </c>
      <c r="AT19" s="5">
        <f>IF(AM19,SUMPRODUCT(--(calc!$AM$3:$AM$306=TRUE),--(ROW(calc!$AM$3:$AM$306)&gt;ROW(AM19)),--(((calc!$AR$3:$AR$306&gt;AR19)*(calc!$AS$3:$AS$306&gt;AS19)+(calc!$AR$3:$AR$306&lt;AR19)*(calc!$AS$3:$AS$306&lt;AS19))&gt;0))-SUMPRODUCT(--(calc!$AM$3:$AM$306=TRUE),--(ROW(calc!$AM$3:$AM$306)&gt;ROW(AM19)),--(((calc!$AR$3:$AR$306&gt;AR19)*(calc!$AS$3:$AS$306&lt;AS19)+(calc!$AR$3:$AR$306&lt;AR19)*(calc!$AS$3:$AS$306&gt;AS19))&gt;0)),0)</f>
        <v/>
      </c>
      <c r="AU19" s="5">
        <f>IF(mos_metrics!K18="","",mos_metrics!K18)</f>
        <v/>
      </c>
      <c r="AV19" s="2">
        <f>AND($J19,ISNUMBER(AU19),correlation!$I$30=1)</f>
        <v/>
      </c>
      <c r="AW19" s="5">
        <f>IF(AV19,$F19,"")</f>
        <v/>
      </c>
      <c r="AX19" s="5">
        <f>IF(AV19,AU19*correlation!$J$30,"")</f>
        <v/>
      </c>
      <c r="AY19" s="5">
        <f>IF(AND(AV19,ISNUMBER(correlation!$F$30)),AX19*correlation!$F$30+correlation!$G$30,"")</f>
        <v/>
      </c>
      <c r="AZ19" s="5">
        <f>IF(AND(AV19,ISNUMBER(AY19)),(AW19-AY19)^2,"")</f>
        <v/>
      </c>
      <c r="BA19" s="5">
        <f>IF(AV19,1+SUMPRODUCT(--(calc!$AV$3:$AV$306=TRUE),--(calc!$AW$3:$AW$306&gt;AW19))+(SUMPRODUCT(--(calc!$AV$3:$AV$306=TRUE),--(calc!$AW$3:$AW$306=AW19))-1)/2,"")</f>
        <v/>
      </c>
      <c r="BB19" s="5">
        <f>IF(AV19,1+SUMPRODUCT(--(calc!$AV$3:$AV$306=TRUE),--(calc!$AX$3:$AX$306&gt;AX19))+(SUMPRODUCT(--(calc!$AV$3:$AV$306=TRUE),--(calc!$AX$3:$AX$306=AX19))-1)/2,"")</f>
        <v/>
      </c>
      <c r="BC19" s="5">
        <f>IF(AV19,SUMPRODUCT(--(calc!$AV$3:$AV$306=TRUE),--(ROW(calc!$AV$3:$AV$306)&gt;ROW(AV19)),--(((calc!$BA$3:$BA$306&gt;BA19)*(calc!$BB$3:$BB$306&gt;BB19)+(calc!$BA$3:$BA$306&lt;BA19)*(calc!$BB$3:$BB$306&lt;BB19))&gt;0))-SUMPRODUCT(--(calc!$AV$3:$AV$306=TRUE),--(ROW(calc!$AV$3:$AV$306)&gt;ROW(AV19)),--(((calc!$BA$3:$BA$306&gt;BA19)*(calc!$BB$3:$BB$306&lt;BB19)+(calc!$BA$3:$BA$306&lt;BA19)*(calc!$BB$3:$BB$306&gt;BB19))&gt;0)),0)</f>
        <v/>
      </c>
      <c r="BD19" s="5">
        <f>IF(mos_metrics!L18="","",mos_metrics!L18)</f>
        <v/>
      </c>
      <c r="BE19" s="2">
        <f>AND($J19,ISNUMBER(BD19),correlation!$I$31=1)</f>
        <v/>
      </c>
      <c r="BF19" s="5">
        <f>IF(BE19,$F19,"")</f>
        <v/>
      </c>
      <c r="BG19" s="5">
        <f>IF(BE19,BD19*correlation!$J$31,"")</f>
        <v/>
      </c>
      <c r="BH19" s="5">
        <f>IF(AND(BE19,ISNUMBER(correlation!$F$31)),BG19*correlation!$F$31+correlation!$G$31,"")</f>
        <v/>
      </c>
      <c r="BI19" s="5">
        <f>IF(AND(BE19,ISNUMBER(BH19)),(BF19-BH19)^2,"")</f>
        <v/>
      </c>
      <c r="BJ19" s="5">
        <f>IF(BE19,1+SUMPRODUCT(--(calc!$BE$3:$BE$306=TRUE),--(calc!$BF$3:$BF$306&gt;BF19))+(SUMPRODUCT(--(calc!$BE$3:$BE$306=TRUE),--(calc!$BF$3:$BF$306=BF19))-1)/2,"")</f>
        <v/>
      </c>
      <c r="BK19" s="5">
        <f>IF(BE19,1+SUMPRODUCT(--(calc!$BE$3:$BE$306=TRUE),--(calc!$BG$3:$BG$306&gt;BG19))+(SUMPRODUCT(--(calc!$BE$3:$BE$306=TRUE),--(calc!$BG$3:$BG$306=BG19))-1)/2,"")</f>
        <v/>
      </c>
      <c r="BL19" s="5">
        <f>IF(BE19,SUMPRODUCT(--(calc!$BE$3:$BE$306=TRUE),--(ROW(calc!$BE$3:$BE$306)&gt;ROW(BE19)),--(((calc!$BJ$3:$BJ$306&gt;BJ19)*(calc!$BK$3:$BK$306&gt;BK19)+(calc!$BJ$3:$BJ$306&lt;BJ19)*(calc!$BK$3:$BK$306&lt;BK19))&gt;0))-SUMPRODUCT(--(calc!$BE$3:$BE$306=TRUE),--(ROW(calc!$BE$3:$BE$306)&gt;ROW(BE19)),--(((calc!$BJ$3:$BJ$306&gt;BJ19)*(calc!$BK$3:$BK$306&lt;BK19)+(calc!$BJ$3:$BJ$306&lt;BJ19)*(calc!$BK$3:$BK$306&gt;BK19))&gt;0)),0)</f>
        <v/>
      </c>
      <c r="BM19" s="5">
        <f>IF(mos_metrics!M18="","",mos_metrics!M18)</f>
        <v/>
      </c>
      <c r="BN19" s="2">
        <f>AND($J19,ISNUMBER(BM19),correlation!$I$32=1)</f>
        <v/>
      </c>
      <c r="BO19" s="5">
        <f>IF(BN19,$F19,"")</f>
        <v/>
      </c>
      <c r="BP19" s="5">
        <f>IF(BN19,BM19*correlation!$J$32,"")</f>
        <v/>
      </c>
      <c r="BQ19" s="5">
        <f>IF(AND(BN19,ISNUMBER(correlation!$F$32)),BP19*correlation!$F$32+correlation!$G$32,"")</f>
        <v/>
      </c>
      <c r="BR19" s="5">
        <f>IF(AND(BN19,ISNUMBER(BQ19)),(BO19-BQ19)^2,"")</f>
        <v/>
      </c>
      <c r="BS19" s="5">
        <f>IF(BN19,1+SUMPRODUCT(--(calc!$BN$3:$BN$306=TRUE),--(calc!$BO$3:$BO$306&gt;BO19))+(SUMPRODUCT(--(calc!$BN$3:$BN$306=TRUE),--(calc!$BO$3:$BO$306=BO19))-1)/2,"")</f>
        <v/>
      </c>
      <c r="BT19" s="5">
        <f>IF(BN19,1+SUMPRODUCT(--(calc!$BN$3:$BN$306=TRUE),--(calc!$BP$3:$BP$306&gt;BP19))+(SUMPRODUCT(--(calc!$BN$3:$BN$306=TRUE),--(calc!$BP$3:$BP$306=BP19))-1)/2,"")</f>
        <v/>
      </c>
      <c r="BU19" s="5">
        <f>IF(BN19,SUMPRODUCT(--(calc!$BN$3:$BN$306=TRUE),--(ROW(calc!$BN$3:$BN$306)&gt;ROW(BN19)),--(((calc!$BS$3:$BS$306&gt;BS19)*(calc!$BT$3:$BT$306&gt;BT19)+(calc!$BS$3:$BS$306&lt;BS19)*(calc!$BT$3:$BT$306&lt;BT19))&gt;0))-SUMPRODUCT(--(calc!$BN$3:$BN$306=TRUE),--(ROW(calc!$BN$3:$BN$306)&gt;ROW(BN19)),--(((calc!$BS$3:$BS$306&gt;BS19)*(calc!$BT$3:$BT$306&lt;BT19)+(calc!$BS$3:$BS$306&lt;BS19)*(calc!$BT$3:$BT$306&gt;BT19))&gt;0)),0)</f>
        <v/>
      </c>
    </row>
    <row r="20">
      <c r="A20" s="2">
        <f>mos_metrics!A19</f>
        <v/>
      </c>
      <c r="B20" s="2">
        <f>mos_metrics!B19</f>
        <v/>
      </c>
      <c r="C20" s="2">
        <f>mos_metrics!C19</f>
        <v/>
      </c>
      <c r="D20" s="2">
        <f>mos_metrics!D19</f>
        <v/>
      </c>
      <c r="E20" s="2">
        <f>mos_metrics!E19</f>
        <v/>
      </c>
      <c r="F20" s="2">
        <f>mos_metrics!F19</f>
        <v/>
      </c>
      <c r="G20" s="2">
        <f>IF($B20="","",IFERROR(VLOOKUP($B20,correlation!$A$2:$B$16,2,FALSE),1))</f>
        <v/>
      </c>
      <c r="H20" s="2">
        <f>IF($E20="","",IFERROR(VLOOKUP($E20,correlation!$D$2:$E$8,2,FALSE),1))</f>
        <v/>
      </c>
      <c r="I20" s="2">
        <f>ISNUMBER($F20)</f>
        <v/>
      </c>
      <c r="J20" s="2">
        <f>AND($G20=1,$H20=1,$I20)</f>
        <v/>
      </c>
      <c r="K20" s="5">
        <f>IF(mos_metrics!G19="","",mos_metrics!G19)</f>
        <v/>
      </c>
      <c r="L20" s="2">
        <f>AND($J20,ISNUMBER(K20),correlation!$I$26=1)</f>
        <v/>
      </c>
      <c r="M20" s="5">
        <f>IF(L20,$F20,"")</f>
        <v/>
      </c>
      <c r="N20" s="5">
        <f>IF(L20,K20*correlation!$J$26,"")</f>
        <v/>
      </c>
      <c r="O20" s="5">
        <f>IF(AND(L20,ISNUMBER(correlation!$F$26)),N20*correlation!$F$26+correlation!$G$26,"")</f>
        <v/>
      </c>
      <c r="P20" s="5">
        <f>IF(AND(L20,ISNUMBER(O20)),(M20-O20)^2,"")</f>
        <v/>
      </c>
      <c r="Q20" s="5">
        <f>IF(L20,1+SUMPRODUCT(--(calc!$L$3:$L$306=TRUE),--(calc!$M$3:$M$306&gt;M20))+(SUMPRODUCT(--(calc!$L$3:$L$306=TRUE),--(calc!$M$3:$M$306=M20))-1)/2,"")</f>
        <v/>
      </c>
      <c r="R20" s="5">
        <f>IF(L20,1+SUMPRODUCT(--(calc!$L$3:$L$306=TRUE),--(calc!$N$3:$N$306&gt;N20))+(SUMPRODUCT(--(calc!$L$3:$L$306=TRUE),--(calc!$N$3:$N$306=N20))-1)/2,"")</f>
        <v/>
      </c>
      <c r="S20" s="5">
        <f>IF(L20,SUMPRODUCT(--(calc!$L$3:$L$306=TRUE),--(ROW(calc!$L$3:$L$306)&gt;ROW(L20)),--(((calc!$Q$3:$Q$306&gt;Q20)*(calc!$R$3:$R$306&gt;R20)+(calc!$Q$3:$Q$306&lt;Q20)*(calc!$R$3:$R$306&lt;R20))&gt;0))-SUMPRODUCT(--(calc!$L$3:$L$306=TRUE),--(ROW(calc!$L$3:$L$306)&gt;ROW(L20)),--(((calc!$Q$3:$Q$306&gt;Q20)*(calc!$R$3:$R$306&lt;R20)+(calc!$Q$3:$Q$306&lt;Q20)*(calc!$R$3:$R$306&gt;R20))&gt;0)),0)</f>
        <v/>
      </c>
      <c r="T20" s="5">
        <f>IF(mos_metrics!H19="","",mos_metrics!H19)</f>
        <v/>
      </c>
      <c r="U20" s="2">
        <f>AND($J20,ISNUMBER(T20),correlation!$I$27=1)</f>
        <v/>
      </c>
      <c r="V20" s="5">
        <f>IF(U20,$F20,"")</f>
        <v/>
      </c>
      <c r="W20" s="5">
        <f>IF(U20,T20*correlation!$J$27,"")</f>
        <v/>
      </c>
      <c r="X20" s="5">
        <f>IF(AND(U20,ISNUMBER(correlation!$F$27)),W20*correlation!$F$27+correlation!$G$27,"")</f>
        <v/>
      </c>
      <c r="Y20" s="5">
        <f>IF(AND(U20,ISNUMBER(X20)),(V20-X20)^2,"")</f>
        <v/>
      </c>
      <c r="Z20" s="5">
        <f>IF(U20,1+SUMPRODUCT(--(calc!$U$3:$U$306=TRUE),--(calc!$V$3:$V$306&gt;V20))+(SUMPRODUCT(--(calc!$U$3:$U$306=TRUE),--(calc!$V$3:$V$306=V20))-1)/2,"")</f>
        <v/>
      </c>
      <c r="AA20" s="5">
        <f>IF(U20,1+SUMPRODUCT(--(calc!$U$3:$U$306=TRUE),--(calc!$W$3:$W$306&gt;W20))+(SUMPRODUCT(--(calc!$U$3:$U$306=TRUE),--(calc!$W$3:$W$306=W20))-1)/2,"")</f>
        <v/>
      </c>
      <c r="AB20" s="5">
        <f>IF(U20,SUMPRODUCT(--(calc!$U$3:$U$306=TRUE),--(ROW(calc!$U$3:$U$306)&gt;ROW(U20)),--(((calc!$Z$3:$Z$306&gt;Z20)*(calc!$AA$3:$AA$306&gt;AA20)+(calc!$Z$3:$Z$306&lt;Z20)*(calc!$AA$3:$AA$306&lt;AA20))&gt;0))-SUMPRODUCT(--(calc!$U$3:$U$306=TRUE),--(ROW(calc!$U$3:$U$306)&gt;ROW(U20)),--(((calc!$Z$3:$Z$306&gt;Z20)*(calc!$AA$3:$AA$306&lt;AA20)+(calc!$Z$3:$Z$306&lt;Z20)*(calc!$AA$3:$AA$306&gt;AA20))&gt;0)),0)</f>
        <v/>
      </c>
      <c r="AC20" s="5">
        <f>IF(mos_metrics!I19="","",mos_metrics!I19)</f>
        <v/>
      </c>
      <c r="AD20" s="2">
        <f>AND($J20,ISNUMBER(AC20),correlation!$I$28=1)</f>
        <v/>
      </c>
      <c r="AE20" s="5">
        <f>IF(AD20,$F20,"")</f>
        <v/>
      </c>
      <c r="AF20" s="5">
        <f>IF(AD20,AC20*correlation!$J$28,"")</f>
        <v/>
      </c>
      <c r="AG20" s="5">
        <f>IF(AND(AD20,ISNUMBER(correlation!$F$28)),AF20*correlation!$F$28+correlation!$G$28,"")</f>
        <v/>
      </c>
      <c r="AH20" s="5">
        <f>IF(AND(AD20,ISNUMBER(AG20)),(AE20-AG20)^2,"")</f>
        <v/>
      </c>
      <c r="AI20" s="5">
        <f>IF(AD20,1+SUMPRODUCT(--(calc!$AD$3:$AD$306=TRUE),--(calc!$AE$3:$AE$306&gt;AE20))+(SUMPRODUCT(--(calc!$AD$3:$AD$306=TRUE),--(calc!$AE$3:$AE$306=AE20))-1)/2,"")</f>
        <v/>
      </c>
      <c r="AJ20" s="5">
        <f>IF(AD20,1+SUMPRODUCT(--(calc!$AD$3:$AD$306=TRUE),--(calc!$AF$3:$AF$306&gt;AF20))+(SUMPRODUCT(--(calc!$AD$3:$AD$306=TRUE),--(calc!$AF$3:$AF$306=AF20))-1)/2,"")</f>
        <v/>
      </c>
      <c r="AK20" s="5">
        <f>IF(AD20,SUMPRODUCT(--(calc!$AD$3:$AD$306=TRUE),--(ROW(calc!$AD$3:$AD$306)&gt;ROW(AD20)),--(((calc!$AI$3:$AI$306&gt;AI20)*(calc!$AJ$3:$AJ$306&gt;AJ20)+(calc!$AI$3:$AI$306&lt;AI20)*(calc!$AJ$3:$AJ$306&lt;AJ20))&gt;0))-SUMPRODUCT(--(calc!$AD$3:$AD$306=TRUE),--(ROW(calc!$AD$3:$AD$306)&gt;ROW(AD20)),--(((calc!$AI$3:$AI$306&gt;AI20)*(calc!$AJ$3:$AJ$306&lt;AJ20)+(calc!$AI$3:$AI$306&lt;AI20)*(calc!$AJ$3:$AJ$306&gt;AJ20))&gt;0)),0)</f>
        <v/>
      </c>
      <c r="AL20" s="5">
        <f>IF(mos_metrics!J19="","",mos_metrics!J19)</f>
        <v/>
      </c>
      <c r="AM20" s="2">
        <f>AND($J20,ISNUMBER(AL20),correlation!$I$29=1)</f>
        <v/>
      </c>
      <c r="AN20" s="5">
        <f>IF(AM20,$F20,"")</f>
        <v/>
      </c>
      <c r="AO20" s="5">
        <f>IF(AM20,AL20*correlation!$J$29,"")</f>
        <v/>
      </c>
      <c r="AP20" s="5">
        <f>IF(AND(AM20,ISNUMBER(correlation!$F$29)),AO20*correlation!$F$29+correlation!$G$29,"")</f>
        <v/>
      </c>
      <c r="AQ20" s="5">
        <f>IF(AND(AM20,ISNUMBER(AP20)),(AN20-AP20)^2,"")</f>
        <v/>
      </c>
      <c r="AR20" s="5">
        <f>IF(AM20,1+SUMPRODUCT(--(calc!$AM$3:$AM$306=TRUE),--(calc!$AN$3:$AN$306&gt;AN20))+(SUMPRODUCT(--(calc!$AM$3:$AM$306=TRUE),--(calc!$AN$3:$AN$306=AN20))-1)/2,"")</f>
        <v/>
      </c>
      <c r="AS20" s="5">
        <f>IF(AM20,1+SUMPRODUCT(--(calc!$AM$3:$AM$306=TRUE),--(calc!$AO$3:$AO$306&gt;AO20))+(SUMPRODUCT(--(calc!$AM$3:$AM$306=TRUE),--(calc!$AO$3:$AO$306=AO20))-1)/2,"")</f>
        <v/>
      </c>
      <c r="AT20" s="5">
        <f>IF(AM20,SUMPRODUCT(--(calc!$AM$3:$AM$306=TRUE),--(ROW(calc!$AM$3:$AM$306)&gt;ROW(AM20)),--(((calc!$AR$3:$AR$306&gt;AR20)*(calc!$AS$3:$AS$306&gt;AS20)+(calc!$AR$3:$AR$306&lt;AR20)*(calc!$AS$3:$AS$306&lt;AS20))&gt;0))-SUMPRODUCT(--(calc!$AM$3:$AM$306=TRUE),--(ROW(calc!$AM$3:$AM$306)&gt;ROW(AM20)),--(((calc!$AR$3:$AR$306&gt;AR20)*(calc!$AS$3:$AS$306&lt;AS20)+(calc!$AR$3:$AR$306&lt;AR20)*(calc!$AS$3:$AS$306&gt;AS20))&gt;0)),0)</f>
        <v/>
      </c>
      <c r="AU20" s="5">
        <f>IF(mos_metrics!K19="","",mos_metrics!K19)</f>
        <v/>
      </c>
      <c r="AV20" s="2">
        <f>AND($J20,ISNUMBER(AU20),correlation!$I$30=1)</f>
        <v/>
      </c>
      <c r="AW20" s="5">
        <f>IF(AV20,$F20,"")</f>
        <v/>
      </c>
      <c r="AX20" s="5">
        <f>IF(AV20,AU20*correlation!$J$30,"")</f>
        <v/>
      </c>
      <c r="AY20" s="5">
        <f>IF(AND(AV20,ISNUMBER(correlation!$F$30)),AX20*correlation!$F$30+correlation!$G$30,"")</f>
        <v/>
      </c>
      <c r="AZ20" s="5">
        <f>IF(AND(AV20,ISNUMBER(AY20)),(AW20-AY20)^2,"")</f>
        <v/>
      </c>
      <c r="BA20" s="5">
        <f>IF(AV20,1+SUMPRODUCT(--(calc!$AV$3:$AV$306=TRUE),--(calc!$AW$3:$AW$306&gt;AW20))+(SUMPRODUCT(--(calc!$AV$3:$AV$306=TRUE),--(calc!$AW$3:$AW$306=AW20))-1)/2,"")</f>
        <v/>
      </c>
      <c r="BB20" s="5">
        <f>IF(AV20,1+SUMPRODUCT(--(calc!$AV$3:$AV$306=TRUE),--(calc!$AX$3:$AX$306&gt;AX20))+(SUMPRODUCT(--(calc!$AV$3:$AV$306=TRUE),--(calc!$AX$3:$AX$306=AX20))-1)/2,"")</f>
        <v/>
      </c>
      <c r="BC20" s="5">
        <f>IF(AV20,SUMPRODUCT(--(calc!$AV$3:$AV$306=TRUE),--(ROW(calc!$AV$3:$AV$306)&gt;ROW(AV20)),--(((calc!$BA$3:$BA$306&gt;BA20)*(calc!$BB$3:$BB$306&gt;BB20)+(calc!$BA$3:$BA$306&lt;BA20)*(calc!$BB$3:$BB$306&lt;BB20))&gt;0))-SUMPRODUCT(--(calc!$AV$3:$AV$306=TRUE),--(ROW(calc!$AV$3:$AV$306)&gt;ROW(AV20)),--(((calc!$BA$3:$BA$306&gt;BA20)*(calc!$BB$3:$BB$306&lt;BB20)+(calc!$BA$3:$BA$306&lt;BA20)*(calc!$BB$3:$BB$306&gt;BB20))&gt;0)),0)</f>
        <v/>
      </c>
      <c r="BD20" s="5">
        <f>IF(mos_metrics!L19="","",mos_metrics!L19)</f>
        <v/>
      </c>
      <c r="BE20" s="2">
        <f>AND($J20,ISNUMBER(BD20),correlation!$I$31=1)</f>
        <v/>
      </c>
      <c r="BF20" s="5">
        <f>IF(BE20,$F20,"")</f>
        <v/>
      </c>
      <c r="BG20" s="5">
        <f>IF(BE20,BD20*correlation!$J$31,"")</f>
        <v/>
      </c>
      <c r="BH20" s="5">
        <f>IF(AND(BE20,ISNUMBER(correlation!$F$31)),BG20*correlation!$F$31+correlation!$G$31,"")</f>
        <v/>
      </c>
      <c r="BI20" s="5">
        <f>IF(AND(BE20,ISNUMBER(BH20)),(BF20-BH20)^2,"")</f>
        <v/>
      </c>
      <c r="BJ20" s="5">
        <f>IF(BE20,1+SUMPRODUCT(--(calc!$BE$3:$BE$306=TRUE),--(calc!$BF$3:$BF$306&gt;BF20))+(SUMPRODUCT(--(calc!$BE$3:$BE$306=TRUE),--(calc!$BF$3:$BF$306=BF20))-1)/2,"")</f>
        <v/>
      </c>
      <c r="BK20" s="5">
        <f>IF(BE20,1+SUMPRODUCT(--(calc!$BE$3:$BE$306=TRUE),--(calc!$BG$3:$BG$306&gt;BG20))+(SUMPRODUCT(--(calc!$BE$3:$BE$306=TRUE),--(calc!$BG$3:$BG$306=BG20))-1)/2,"")</f>
        <v/>
      </c>
      <c r="BL20" s="5">
        <f>IF(BE20,SUMPRODUCT(--(calc!$BE$3:$BE$306=TRUE),--(ROW(calc!$BE$3:$BE$306)&gt;ROW(BE20)),--(((calc!$BJ$3:$BJ$306&gt;BJ20)*(calc!$BK$3:$BK$306&gt;BK20)+(calc!$BJ$3:$BJ$306&lt;BJ20)*(calc!$BK$3:$BK$306&lt;BK20))&gt;0))-SUMPRODUCT(--(calc!$BE$3:$BE$306=TRUE),--(ROW(calc!$BE$3:$BE$306)&gt;ROW(BE20)),--(((calc!$BJ$3:$BJ$306&gt;BJ20)*(calc!$BK$3:$BK$306&lt;BK20)+(calc!$BJ$3:$BJ$306&lt;BJ20)*(calc!$BK$3:$BK$306&gt;BK20))&gt;0)),0)</f>
        <v/>
      </c>
      <c r="BM20" s="5">
        <f>IF(mos_metrics!M19="","",mos_metrics!M19)</f>
        <v/>
      </c>
      <c r="BN20" s="2">
        <f>AND($J20,ISNUMBER(BM20),correlation!$I$32=1)</f>
        <v/>
      </c>
      <c r="BO20" s="5">
        <f>IF(BN20,$F20,"")</f>
        <v/>
      </c>
      <c r="BP20" s="5">
        <f>IF(BN20,BM20*correlation!$J$32,"")</f>
        <v/>
      </c>
      <c r="BQ20" s="5">
        <f>IF(AND(BN20,ISNUMBER(correlation!$F$32)),BP20*correlation!$F$32+correlation!$G$32,"")</f>
        <v/>
      </c>
      <c r="BR20" s="5">
        <f>IF(AND(BN20,ISNUMBER(BQ20)),(BO20-BQ20)^2,"")</f>
        <v/>
      </c>
      <c r="BS20" s="5">
        <f>IF(BN20,1+SUMPRODUCT(--(calc!$BN$3:$BN$306=TRUE),--(calc!$BO$3:$BO$306&gt;BO20))+(SUMPRODUCT(--(calc!$BN$3:$BN$306=TRUE),--(calc!$BO$3:$BO$306=BO20))-1)/2,"")</f>
        <v/>
      </c>
      <c r="BT20" s="5">
        <f>IF(BN20,1+SUMPRODUCT(--(calc!$BN$3:$BN$306=TRUE),--(calc!$BP$3:$BP$306&gt;BP20))+(SUMPRODUCT(--(calc!$BN$3:$BN$306=TRUE),--(calc!$BP$3:$BP$306=BP20))-1)/2,"")</f>
        <v/>
      </c>
      <c r="BU20" s="5">
        <f>IF(BN20,SUMPRODUCT(--(calc!$BN$3:$BN$306=TRUE),--(ROW(calc!$BN$3:$BN$306)&gt;ROW(BN20)),--(((calc!$BS$3:$BS$306&gt;BS20)*(calc!$BT$3:$BT$306&gt;BT20)+(calc!$BS$3:$BS$306&lt;BS20)*(calc!$BT$3:$BT$306&lt;BT20))&gt;0))-SUMPRODUCT(--(calc!$BN$3:$BN$306=TRUE),--(ROW(calc!$BN$3:$BN$306)&gt;ROW(BN20)),--(((calc!$BS$3:$BS$306&gt;BS20)*(calc!$BT$3:$BT$306&lt;BT20)+(calc!$BS$3:$BS$306&lt;BS20)*(calc!$BT$3:$BT$306&gt;BT20))&gt;0)),0)</f>
        <v/>
      </c>
    </row>
    <row r="21">
      <c r="A21" s="2">
        <f>mos_metrics!A20</f>
        <v/>
      </c>
      <c r="B21" s="2">
        <f>mos_metrics!B20</f>
        <v/>
      </c>
      <c r="C21" s="2">
        <f>mos_metrics!C20</f>
        <v/>
      </c>
      <c r="D21" s="2">
        <f>mos_metrics!D20</f>
        <v/>
      </c>
      <c r="E21" s="2">
        <f>mos_metrics!E20</f>
        <v/>
      </c>
      <c r="F21" s="2">
        <f>mos_metrics!F20</f>
        <v/>
      </c>
      <c r="G21" s="2">
        <f>IF($B21="","",IFERROR(VLOOKUP($B21,correlation!$A$2:$B$16,2,FALSE),1))</f>
        <v/>
      </c>
      <c r="H21" s="2">
        <f>IF($E21="","",IFERROR(VLOOKUP($E21,correlation!$D$2:$E$8,2,FALSE),1))</f>
        <v/>
      </c>
      <c r="I21" s="2">
        <f>ISNUMBER($F21)</f>
        <v/>
      </c>
      <c r="J21" s="2">
        <f>AND($G21=1,$H21=1,$I21)</f>
        <v/>
      </c>
      <c r="K21" s="5">
        <f>IF(mos_metrics!G20="","",mos_metrics!G20)</f>
        <v/>
      </c>
      <c r="L21" s="2">
        <f>AND($J21,ISNUMBER(K21),correlation!$I$26=1)</f>
        <v/>
      </c>
      <c r="M21" s="5">
        <f>IF(L21,$F21,"")</f>
        <v/>
      </c>
      <c r="N21" s="5">
        <f>IF(L21,K21*correlation!$J$26,"")</f>
        <v/>
      </c>
      <c r="O21" s="5">
        <f>IF(AND(L21,ISNUMBER(correlation!$F$26)),N21*correlation!$F$26+correlation!$G$26,"")</f>
        <v/>
      </c>
      <c r="P21" s="5">
        <f>IF(AND(L21,ISNUMBER(O21)),(M21-O21)^2,"")</f>
        <v/>
      </c>
      <c r="Q21" s="5">
        <f>IF(L21,1+SUMPRODUCT(--(calc!$L$3:$L$306=TRUE),--(calc!$M$3:$M$306&gt;M21))+(SUMPRODUCT(--(calc!$L$3:$L$306=TRUE),--(calc!$M$3:$M$306=M21))-1)/2,"")</f>
        <v/>
      </c>
      <c r="R21" s="5">
        <f>IF(L21,1+SUMPRODUCT(--(calc!$L$3:$L$306=TRUE),--(calc!$N$3:$N$306&gt;N21))+(SUMPRODUCT(--(calc!$L$3:$L$306=TRUE),--(calc!$N$3:$N$306=N21))-1)/2,"")</f>
        <v/>
      </c>
      <c r="S21" s="5">
        <f>IF(L21,SUMPRODUCT(--(calc!$L$3:$L$306=TRUE),--(ROW(calc!$L$3:$L$306)&gt;ROW(L21)),--(((calc!$Q$3:$Q$306&gt;Q21)*(calc!$R$3:$R$306&gt;R21)+(calc!$Q$3:$Q$306&lt;Q21)*(calc!$R$3:$R$306&lt;R21))&gt;0))-SUMPRODUCT(--(calc!$L$3:$L$306=TRUE),--(ROW(calc!$L$3:$L$306)&gt;ROW(L21)),--(((calc!$Q$3:$Q$306&gt;Q21)*(calc!$R$3:$R$306&lt;R21)+(calc!$Q$3:$Q$306&lt;Q21)*(calc!$R$3:$R$306&gt;R21))&gt;0)),0)</f>
        <v/>
      </c>
      <c r="T21" s="5">
        <f>IF(mos_metrics!H20="","",mos_metrics!H20)</f>
        <v/>
      </c>
      <c r="U21" s="2">
        <f>AND($J21,ISNUMBER(T21),correlation!$I$27=1)</f>
        <v/>
      </c>
      <c r="V21" s="5">
        <f>IF(U21,$F21,"")</f>
        <v/>
      </c>
      <c r="W21" s="5">
        <f>IF(U21,T21*correlation!$J$27,"")</f>
        <v/>
      </c>
      <c r="X21" s="5">
        <f>IF(AND(U21,ISNUMBER(correlation!$F$27)),W21*correlation!$F$27+correlation!$G$27,"")</f>
        <v/>
      </c>
      <c r="Y21" s="5">
        <f>IF(AND(U21,ISNUMBER(X21)),(V21-X21)^2,"")</f>
        <v/>
      </c>
      <c r="Z21" s="5">
        <f>IF(U21,1+SUMPRODUCT(--(calc!$U$3:$U$306=TRUE),--(calc!$V$3:$V$306&gt;V21))+(SUMPRODUCT(--(calc!$U$3:$U$306=TRUE),--(calc!$V$3:$V$306=V21))-1)/2,"")</f>
        <v/>
      </c>
      <c r="AA21" s="5">
        <f>IF(U21,1+SUMPRODUCT(--(calc!$U$3:$U$306=TRUE),--(calc!$W$3:$W$306&gt;W21))+(SUMPRODUCT(--(calc!$U$3:$U$306=TRUE),--(calc!$W$3:$W$306=W21))-1)/2,"")</f>
        <v/>
      </c>
      <c r="AB21" s="5">
        <f>IF(U21,SUMPRODUCT(--(calc!$U$3:$U$306=TRUE),--(ROW(calc!$U$3:$U$306)&gt;ROW(U21)),--(((calc!$Z$3:$Z$306&gt;Z21)*(calc!$AA$3:$AA$306&gt;AA21)+(calc!$Z$3:$Z$306&lt;Z21)*(calc!$AA$3:$AA$306&lt;AA21))&gt;0))-SUMPRODUCT(--(calc!$U$3:$U$306=TRUE),--(ROW(calc!$U$3:$U$306)&gt;ROW(U21)),--(((calc!$Z$3:$Z$306&gt;Z21)*(calc!$AA$3:$AA$306&lt;AA21)+(calc!$Z$3:$Z$306&lt;Z21)*(calc!$AA$3:$AA$306&gt;AA21))&gt;0)),0)</f>
        <v/>
      </c>
      <c r="AC21" s="5">
        <f>IF(mos_metrics!I20="","",mos_metrics!I20)</f>
        <v/>
      </c>
      <c r="AD21" s="2">
        <f>AND($J21,ISNUMBER(AC21),correlation!$I$28=1)</f>
        <v/>
      </c>
      <c r="AE21" s="5">
        <f>IF(AD21,$F21,"")</f>
        <v/>
      </c>
      <c r="AF21" s="5">
        <f>IF(AD21,AC21*correlation!$J$28,"")</f>
        <v/>
      </c>
      <c r="AG21" s="5">
        <f>IF(AND(AD21,ISNUMBER(correlation!$F$28)),AF21*correlation!$F$28+correlation!$G$28,"")</f>
        <v/>
      </c>
      <c r="AH21" s="5">
        <f>IF(AND(AD21,ISNUMBER(AG21)),(AE21-AG21)^2,"")</f>
        <v/>
      </c>
      <c r="AI21" s="5">
        <f>IF(AD21,1+SUMPRODUCT(--(calc!$AD$3:$AD$306=TRUE),--(calc!$AE$3:$AE$306&gt;AE21))+(SUMPRODUCT(--(calc!$AD$3:$AD$306=TRUE),--(calc!$AE$3:$AE$306=AE21))-1)/2,"")</f>
        <v/>
      </c>
      <c r="AJ21" s="5">
        <f>IF(AD21,1+SUMPRODUCT(--(calc!$AD$3:$AD$306=TRUE),--(calc!$AF$3:$AF$306&gt;AF21))+(SUMPRODUCT(--(calc!$AD$3:$AD$306=TRUE),--(calc!$AF$3:$AF$306=AF21))-1)/2,"")</f>
        <v/>
      </c>
      <c r="AK21" s="5">
        <f>IF(AD21,SUMPRODUCT(--(calc!$AD$3:$AD$306=TRUE),--(ROW(calc!$AD$3:$AD$306)&gt;ROW(AD21)),--(((calc!$AI$3:$AI$306&gt;AI21)*(calc!$AJ$3:$AJ$306&gt;AJ21)+(calc!$AI$3:$AI$306&lt;AI21)*(calc!$AJ$3:$AJ$306&lt;AJ21))&gt;0))-SUMPRODUCT(--(calc!$AD$3:$AD$306=TRUE),--(ROW(calc!$AD$3:$AD$306)&gt;ROW(AD21)),--(((calc!$AI$3:$AI$306&gt;AI21)*(calc!$AJ$3:$AJ$306&lt;AJ21)+(calc!$AI$3:$AI$306&lt;AI21)*(calc!$AJ$3:$AJ$306&gt;AJ21))&gt;0)),0)</f>
        <v/>
      </c>
      <c r="AL21" s="5">
        <f>IF(mos_metrics!J20="","",mos_metrics!J20)</f>
        <v/>
      </c>
      <c r="AM21" s="2">
        <f>AND($J21,ISNUMBER(AL21),correlation!$I$29=1)</f>
        <v/>
      </c>
      <c r="AN21" s="5">
        <f>IF(AM21,$F21,"")</f>
        <v/>
      </c>
      <c r="AO21" s="5">
        <f>IF(AM21,AL21*correlation!$J$29,"")</f>
        <v/>
      </c>
      <c r="AP21" s="5">
        <f>IF(AND(AM21,ISNUMBER(correlation!$F$29)),AO21*correlation!$F$29+correlation!$G$29,"")</f>
        <v/>
      </c>
      <c r="AQ21" s="5">
        <f>IF(AND(AM21,ISNUMBER(AP21)),(AN21-AP21)^2,"")</f>
        <v/>
      </c>
      <c r="AR21" s="5">
        <f>IF(AM21,1+SUMPRODUCT(--(calc!$AM$3:$AM$306=TRUE),--(calc!$AN$3:$AN$306&gt;AN21))+(SUMPRODUCT(--(calc!$AM$3:$AM$306=TRUE),--(calc!$AN$3:$AN$306=AN21))-1)/2,"")</f>
        <v/>
      </c>
      <c r="AS21" s="5">
        <f>IF(AM21,1+SUMPRODUCT(--(calc!$AM$3:$AM$306=TRUE),--(calc!$AO$3:$AO$306&gt;AO21))+(SUMPRODUCT(--(calc!$AM$3:$AM$306=TRUE),--(calc!$AO$3:$AO$306=AO21))-1)/2,"")</f>
        <v/>
      </c>
      <c r="AT21" s="5">
        <f>IF(AM21,SUMPRODUCT(--(calc!$AM$3:$AM$306=TRUE),--(ROW(calc!$AM$3:$AM$306)&gt;ROW(AM21)),--(((calc!$AR$3:$AR$306&gt;AR21)*(calc!$AS$3:$AS$306&gt;AS21)+(calc!$AR$3:$AR$306&lt;AR21)*(calc!$AS$3:$AS$306&lt;AS21))&gt;0))-SUMPRODUCT(--(calc!$AM$3:$AM$306=TRUE),--(ROW(calc!$AM$3:$AM$306)&gt;ROW(AM21)),--(((calc!$AR$3:$AR$306&gt;AR21)*(calc!$AS$3:$AS$306&lt;AS21)+(calc!$AR$3:$AR$306&lt;AR21)*(calc!$AS$3:$AS$306&gt;AS21))&gt;0)),0)</f>
        <v/>
      </c>
      <c r="AU21" s="5">
        <f>IF(mos_metrics!K20="","",mos_metrics!K20)</f>
        <v/>
      </c>
      <c r="AV21" s="2">
        <f>AND($J21,ISNUMBER(AU21),correlation!$I$30=1)</f>
        <v/>
      </c>
      <c r="AW21" s="5">
        <f>IF(AV21,$F21,"")</f>
        <v/>
      </c>
      <c r="AX21" s="5">
        <f>IF(AV21,AU21*correlation!$J$30,"")</f>
        <v/>
      </c>
      <c r="AY21" s="5">
        <f>IF(AND(AV21,ISNUMBER(correlation!$F$30)),AX21*correlation!$F$30+correlation!$G$30,"")</f>
        <v/>
      </c>
      <c r="AZ21" s="5">
        <f>IF(AND(AV21,ISNUMBER(AY21)),(AW21-AY21)^2,"")</f>
        <v/>
      </c>
      <c r="BA21" s="5">
        <f>IF(AV21,1+SUMPRODUCT(--(calc!$AV$3:$AV$306=TRUE),--(calc!$AW$3:$AW$306&gt;AW21))+(SUMPRODUCT(--(calc!$AV$3:$AV$306=TRUE),--(calc!$AW$3:$AW$306=AW21))-1)/2,"")</f>
        <v/>
      </c>
      <c r="BB21" s="5">
        <f>IF(AV21,1+SUMPRODUCT(--(calc!$AV$3:$AV$306=TRUE),--(calc!$AX$3:$AX$306&gt;AX21))+(SUMPRODUCT(--(calc!$AV$3:$AV$306=TRUE),--(calc!$AX$3:$AX$306=AX21))-1)/2,"")</f>
        <v/>
      </c>
      <c r="BC21" s="5">
        <f>IF(AV21,SUMPRODUCT(--(calc!$AV$3:$AV$306=TRUE),--(ROW(calc!$AV$3:$AV$306)&gt;ROW(AV21)),--(((calc!$BA$3:$BA$306&gt;BA21)*(calc!$BB$3:$BB$306&gt;BB21)+(calc!$BA$3:$BA$306&lt;BA21)*(calc!$BB$3:$BB$306&lt;BB21))&gt;0))-SUMPRODUCT(--(calc!$AV$3:$AV$306=TRUE),--(ROW(calc!$AV$3:$AV$306)&gt;ROW(AV21)),--(((calc!$BA$3:$BA$306&gt;BA21)*(calc!$BB$3:$BB$306&lt;BB21)+(calc!$BA$3:$BA$306&lt;BA21)*(calc!$BB$3:$BB$306&gt;BB21))&gt;0)),0)</f>
        <v/>
      </c>
      <c r="BD21" s="5">
        <f>IF(mos_metrics!L20="","",mos_metrics!L20)</f>
        <v/>
      </c>
      <c r="BE21" s="2">
        <f>AND($J21,ISNUMBER(BD21),correlation!$I$31=1)</f>
        <v/>
      </c>
      <c r="BF21" s="5">
        <f>IF(BE21,$F21,"")</f>
        <v/>
      </c>
      <c r="BG21" s="5">
        <f>IF(BE21,BD21*correlation!$J$31,"")</f>
        <v/>
      </c>
      <c r="BH21" s="5">
        <f>IF(AND(BE21,ISNUMBER(correlation!$F$31)),BG21*correlation!$F$31+correlation!$G$31,"")</f>
        <v/>
      </c>
      <c r="BI21" s="5">
        <f>IF(AND(BE21,ISNUMBER(BH21)),(BF21-BH21)^2,"")</f>
        <v/>
      </c>
      <c r="BJ21" s="5">
        <f>IF(BE21,1+SUMPRODUCT(--(calc!$BE$3:$BE$306=TRUE),--(calc!$BF$3:$BF$306&gt;BF21))+(SUMPRODUCT(--(calc!$BE$3:$BE$306=TRUE),--(calc!$BF$3:$BF$306=BF21))-1)/2,"")</f>
        <v/>
      </c>
      <c r="BK21" s="5">
        <f>IF(BE21,1+SUMPRODUCT(--(calc!$BE$3:$BE$306=TRUE),--(calc!$BG$3:$BG$306&gt;BG21))+(SUMPRODUCT(--(calc!$BE$3:$BE$306=TRUE),--(calc!$BG$3:$BG$306=BG21))-1)/2,"")</f>
        <v/>
      </c>
      <c r="BL21" s="5">
        <f>IF(BE21,SUMPRODUCT(--(calc!$BE$3:$BE$306=TRUE),--(ROW(calc!$BE$3:$BE$306)&gt;ROW(BE21)),--(((calc!$BJ$3:$BJ$306&gt;BJ21)*(calc!$BK$3:$BK$306&gt;BK21)+(calc!$BJ$3:$BJ$306&lt;BJ21)*(calc!$BK$3:$BK$306&lt;BK21))&gt;0))-SUMPRODUCT(--(calc!$BE$3:$BE$306=TRUE),--(ROW(calc!$BE$3:$BE$306)&gt;ROW(BE21)),--(((calc!$BJ$3:$BJ$306&gt;BJ21)*(calc!$BK$3:$BK$306&lt;BK21)+(calc!$BJ$3:$BJ$306&lt;BJ21)*(calc!$BK$3:$BK$306&gt;BK21))&gt;0)),0)</f>
        <v/>
      </c>
      <c r="BM21" s="5">
        <f>IF(mos_metrics!M20="","",mos_metrics!M20)</f>
        <v/>
      </c>
      <c r="BN21" s="2">
        <f>AND($J21,ISNUMBER(BM21),correlation!$I$32=1)</f>
        <v/>
      </c>
      <c r="BO21" s="5">
        <f>IF(BN21,$F21,"")</f>
        <v/>
      </c>
      <c r="BP21" s="5">
        <f>IF(BN21,BM21*correlation!$J$32,"")</f>
        <v/>
      </c>
      <c r="BQ21" s="5">
        <f>IF(AND(BN21,ISNUMBER(correlation!$F$32)),BP21*correlation!$F$32+correlation!$G$32,"")</f>
        <v/>
      </c>
      <c r="BR21" s="5">
        <f>IF(AND(BN21,ISNUMBER(BQ21)),(BO21-BQ21)^2,"")</f>
        <v/>
      </c>
      <c r="BS21" s="5">
        <f>IF(BN21,1+SUMPRODUCT(--(calc!$BN$3:$BN$306=TRUE),--(calc!$BO$3:$BO$306&gt;BO21))+(SUMPRODUCT(--(calc!$BN$3:$BN$306=TRUE),--(calc!$BO$3:$BO$306=BO21))-1)/2,"")</f>
        <v/>
      </c>
      <c r="BT21" s="5">
        <f>IF(BN21,1+SUMPRODUCT(--(calc!$BN$3:$BN$306=TRUE),--(calc!$BP$3:$BP$306&gt;BP21))+(SUMPRODUCT(--(calc!$BN$3:$BN$306=TRUE),--(calc!$BP$3:$BP$306=BP21))-1)/2,"")</f>
        <v/>
      </c>
      <c r="BU21" s="5">
        <f>IF(BN21,SUMPRODUCT(--(calc!$BN$3:$BN$306=TRUE),--(ROW(calc!$BN$3:$BN$306)&gt;ROW(BN21)),--(((calc!$BS$3:$BS$306&gt;BS21)*(calc!$BT$3:$BT$306&gt;BT21)+(calc!$BS$3:$BS$306&lt;BS21)*(calc!$BT$3:$BT$306&lt;BT21))&gt;0))-SUMPRODUCT(--(calc!$BN$3:$BN$306=TRUE),--(ROW(calc!$BN$3:$BN$306)&gt;ROW(BN21)),--(((calc!$BS$3:$BS$306&gt;BS21)*(calc!$BT$3:$BT$306&lt;BT21)+(calc!$BS$3:$BS$306&lt;BS21)*(calc!$BT$3:$BT$306&gt;BT21))&gt;0)),0)</f>
        <v/>
      </c>
    </row>
    <row r="22">
      <c r="A22" s="2">
        <f>mos_metrics!A21</f>
        <v/>
      </c>
      <c r="B22" s="2">
        <f>mos_metrics!B21</f>
        <v/>
      </c>
      <c r="C22" s="2">
        <f>mos_metrics!C21</f>
        <v/>
      </c>
      <c r="D22" s="2">
        <f>mos_metrics!D21</f>
        <v/>
      </c>
      <c r="E22" s="2">
        <f>mos_metrics!E21</f>
        <v/>
      </c>
      <c r="F22" s="2">
        <f>mos_metrics!F21</f>
        <v/>
      </c>
      <c r="G22" s="2">
        <f>IF($B22="","",IFERROR(VLOOKUP($B22,correlation!$A$2:$B$16,2,FALSE),1))</f>
        <v/>
      </c>
      <c r="H22" s="2">
        <f>IF($E22="","",IFERROR(VLOOKUP($E22,correlation!$D$2:$E$8,2,FALSE),1))</f>
        <v/>
      </c>
      <c r="I22" s="2">
        <f>ISNUMBER($F22)</f>
        <v/>
      </c>
      <c r="J22" s="2">
        <f>AND($G22=1,$H22=1,$I22)</f>
        <v/>
      </c>
      <c r="K22" s="5">
        <f>IF(mos_metrics!G21="","",mos_metrics!G21)</f>
        <v/>
      </c>
      <c r="L22" s="2">
        <f>AND($J22,ISNUMBER(K22),correlation!$I$26=1)</f>
        <v/>
      </c>
      <c r="M22" s="5">
        <f>IF(L22,$F22,"")</f>
        <v/>
      </c>
      <c r="N22" s="5">
        <f>IF(L22,K22*correlation!$J$26,"")</f>
        <v/>
      </c>
      <c r="O22" s="5">
        <f>IF(AND(L22,ISNUMBER(correlation!$F$26)),N22*correlation!$F$26+correlation!$G$26,"")</f>
        <v/>
      </c>
      <c r="P22" s="5">
        <f>IF(AND(L22,ISNUMBER(O22)),(M22-O22)^2,"")</f>
        <v/>
      </c>
      <c r="Q22" s="5">
        <f>IF(L22,1+SUMPRODUCT(--(calc!$L$3:$L$306=TRUE),--(calc!$M$3:$M$306&gt;M22))+(SUMPRODUCT(--(calc!$L$3:$L$306=TRUE),--(calc!$M$3:$M$306=M22))-1)/2,"")</f>
        <v/>
      </c>
      <c r="R22" s="5">
        <f>IF(L22,1+SUMPRODUCT(--(calc!$L$3:$L$306=TRUE),--(calc!$N$3:$N$306&gt;N22))+(SUMPRODUCT(--(calc!$L$3:$L$306=TRUE),--(calc!$N$3:$N$306=N22))-1)/2,"")</f>
        <v/>
      </c>
      <c r="S22" s="5">
        <f>IF(L22,SUMPRODUCT(--(calc!$L$3:$L$306=TRUE),--(ROW(calc!$L$3:$L$306)&gt;ROW(L22)),--(((calc!$Q$3:$Q$306&gt;Q22)*(calc!$R$3:$R$306&gt;R22)+(calc!$Q$3:$Q$306&lt;Q22)*(calc!$R$3:$R$306&lt;R22))&gt;0))-SUMPRODUCT(--(calc!$L$3:$L$306=TRUE),--(ROW(calc!$L$3:$L$306)&gt;ROW(L22)),--(((calc!$Q$3:$Q$306&gt;Q22)*(calc!$R$3:$R$306&lt;R22)+(calc!$Q$3:$Q$306&lt;Q22)*(calc!$R$3:$R$306&gt;R22))&gt;0)),0)</f>
        <v/>
      </c>
      <c r="T22" s="5">
        <f>IF(mos_metrics!H21="","",mos_metrics!H21)</f>
        <v/>
      </c>
      <c r="U22" s="2">
        <f>AND($J22,ISNUMBER(T22),correlation!$I$27=1)</f>
        <v/>
      </c>
      <c r="V22" s="5">
        <f>IF(U22,$F22,"")</f>
        <v/>
      </c>
      <c r="W22" s="5">
        <f>IF(U22,T22*correlation!$J$27,"")</f>
        <v/>
      </c>
      <c r="X22" s="5">
        <f>IF(AND(U22,ISNUMBER(correlation!$F$27)),W22*correlation!$F$27+correlation!$G$27,"")</f>
        <v/>
      </c>
      <c r="Y22" s="5">
        <f>IF(AND(U22,ISNUMBER(X22)),(V22-X22)^2,"")</f>
        <v/>
      </c>
      <c r="Z22" s="5">
        <f>IF(U22,1+SUMPRODUCT(--(calc!$U$3:$U$306=TRUE),--(calc!$V$3:$V$306&gt;V22))+(SUMPRODUCT(--(calc!$U$3:$U$306=TRUE),--(calc!$V$3:$V$306=V22))-1)/2,"")</f>
        <v/>
      </c>
      <c r="AA22" s="5">
        <f>IF(U22,1+SUMPRODUCT(--(calc!$U$3:$U$306=TRUE),--(calc!$W$3:$W$306&gt;W22))+(SUMPRODUCT(--(calc!$U$3:$U$306=TRUE),--(calc!$W$3:$W$306=W22))-1)/2,"")</f>
        <v/>
      </c>
      <c r="AB22" s="5">
        <f>IF(U22,SUMPRODUCT(--(calc!$U$3:$U$306=TRUE),--(ROW(calc!$U$3:$U$306)&gt;ROW(U22)),--(((calc!$Z$3:$Z$306&gt;Z22)*(calc!$AA$3:$AA$306&gt;AA22)+(calc!$Z$3:$Z$306&lt;Z22)*(calc!$AA$3:$AA$306&lt;AA22))&gt;0))-SUMPRODUCT(--(calc!$U$3:$U$306=TRUE),--(ROW(calc!$U$3:$U$306)&gt;ROW(U22)),--(((calc!$Z$3:$Z$306&gt;Z22)*(calc!$AA$3:$AA$306&lt;AA22)+(calc!$Z$3:$Z$306&lt;Z22)*(calc!$AA$3:$AA$306&gt;AA22))&gt;0)),0)</f>
        <v/>
      </c>
      <c r="AC22" s="5">
        <f>IF(mos_metrics!I21="","",mos_metrics!I21)</f>
        <v/>
      </c>
      <c r="AD22" s="2">
        <f>AND($J22,ISNUMBER(AC22),correlation!$I$28=1)</f>
        <v/>
      </c>
      <c r="AE22" s="5">
        <f>IF(AD22,$F22,"")</f>
        <v/>
      </c>
      <c r="AF22" s="5">
        <f>IF(AD22,AC22*correlation!$J$28,"")</f>
        <v/>
      </c>
      <c r="AG22" s="5">
        <f>IF(AND(AD22,ISNUMBER(correlation!$F$28)),AF22*correlation!$F$28+correlation!$G$28,"")</f>
        <v/>
      </c>
      <c r="AH22" s="5">
        <f>IF(AND(AD22,ISNUMBER(AG22)),(AE22-AG22)^2,"")</f>
        <v/>
      </c>
      <c r="AI22" s="5">
        <f>IF(AD22,1+SUMPRODUCT(--(calc!$AD$3:$AD$306=TRUE),--(calc!$AE$3:$AE$306&gt;AE22))+(SUMPRODUCT(--(calc!$AD$3:$AD$306=TRUE),--(calc!$AE$3:$AE$306=AE22))-1)/2,"")</f>
        <v/>
      </c>
      <c r="AJ22" s="5">
        <f>IF(AD22,1+SUMPRODUCT(--(calc!$AD$3:$AD$306=TRUE),--(calc!$AF$3:$AF$306&gt;AF22))+(SUMPRODUCT(--(calc!$AD$3:$AD$306=TRUE),--(calc!$AF$3:$AF$306=AF22))-1)/2,"")</f>
        <v/>
      </c>
      <c r="AK22" s="5">
        <f>IF(AD22,SUMPRODUCT(--(calc!$AD$3:$AD$306=TRUE),--(ROW(calc!$AD$3:$AD$306)&gt;ROW(AD22)),--(((calc!$AI$3:$AI$306&gt;AI22)*(calc!$AJ$3:$AJ$306&gt;AJ22)+(calc!$AI$3:$AI$306&lt;AI22)*(calc!$AJ$3:$AJ$306&lt;AJ22))&gt;0))-SUMPRODUCT(--(calc!$AD$3:$AD$306=TRUE),--(ROW(calc!$AD$3:$AD$306)&gt;ROW(AD22)),--(((calc!$AI$3:$AI$306&gt;AI22)*(calc!$AJ$3:$AJ$306&lt;AJ22)+(calc!$AI$3:$AI$306&lt;AI22)*(calc!$AJ$3:$AJ$306&gt;AJ22))&gt;0)),0)</f>
        <v/>
      </c>
      <c r="AL22" s="5">
        <f>IF(mos_metrics!J21="","",mos_metrics!J21)</f>
        <v/>
      </c>
      <c r="AM22" s="2">
        <f>AND($J22,ISNUMBER(AL22),correlation!$I$29=1)</f>
        <v/>
      </c>
      <c r="AN22" s="5">
        <f>IF(AM22,$F22,"")</f>
        <v/>
      </c>
      <c r="AO22" s="5">
        <f>IF(AM22,AL22*correlation!$J$29,"")</f>
        <v/>
      </c>
      <c r="AP22" s="5">
        <f>IF(AND(AM22,ISNUMBER(correlation!$F$29)),AO22*correlation!$F$29+correlation!$G$29,"")</f>
        <v/>
      </c>
      <c r="AQ22" s="5">
        <f>IF(AND(AM22,ISNUMBER(AP22)),(AN22-AP22)^2,"")</f>
        <v/>
      </c>
      <c r="AR22" s="5">
        <f>IF(AM22,1+SUMPRODUCT(--(calc!$AM$3:$AM$306=TRUE),--(calc!$AN$3:$AN$306&gt;AN22))+(SUMPRODUCT(--(calc!$AM$3:$AM$306=TRUE),--(calc!$AN$3:$AN$306=AN22))-1)/2,"")</f>
        <v/>
      </c>
      <c r="AS22" s="5">
        <f>IF(AM22,1+SUMPRODUCT(--(calc!$AM$3:$AM$306=TRUE),--(calc!$AO$3:$AO$306&gt;AO22))+(SUMPRODUCT(--(calc!$AM$3:$AM$306=TRUE),--(calc!$AO$3:$AO$306=AO22))-1)/2,"")</f>
        <v/>
      </c>
      <c r="AT22" s="5">
        <f>IF(AM22,SUMPRODUCT(--(calc!$AM$3:$AM$306=TRUE),--(ROW(calc!$AM$3:$AM$306)&gt;ROW(AM22)),--(((calc!$AR$3:$AR$306&gt;AR22)*(calc!$AS$3:$AS$306&gt;AS22)+(calc!$AR$3:$AR$306&lt;AR22)*(calc!$AS$3:$AS$306&lt;AS22))&gt;0))-SUMPRODUCT(--(calc!$AM$3:$AM$306=TRUE),--(ROW(calc!$AM$3:$AM$306)&gt;ROW(AM22)),--(((calc!$AR$3:$AR$306&gt;AR22)*(calc!$AS$3:$AS$306&lt;AS22)+(calc!$AR$3:$AR$306&lt;AR22)*(calc!$AS$3:$AS$306&gt;AS22))&gt;0)),0)</f>
        <v/>
      </c>
      <c r="AU22" s="5">
        <f>IF(mos_metrics!K21="","",mos_metrics!K21)</f>
        <v/>
      </c>
      <c r="AV22" s="2">
        <f>AND($J22,ISNUMBER(AU22),correlation!$I$30=1)</f>
        <v/>
      </c>
      <c r="AW22" s="5">
        <f>IF(AV22,$F22,"")</f>
        <v/>
      </c>
      <c r="AX22" s="5">
        <f>IF(AV22,AU22*correlation!$J$30,"")</f>
        <v/>
      </c>
      <c r="AY22" s="5">
        <f>IF(AND(AV22,ISNUMBER(correlation!$F$30)),AX22*correlation!$F$30+correlation!$G$30,"")</f>
        <v/>
      </c>
      <c r="AZ22" s="5">
        <f>IF(AND(AV22,ISNUMBER(AY22)),(AW22-AY22)^2,"")</f>
        <v/>
      </c>
      <c r="BA22" s="5">
        <f>IF(AV22,1+SUMPRODUCT(--(calc!$AV$3:$AV$306=TRUE),--(calc!$AW$3:$AW$306&gt;AW22))+(SUMPRODUCT(--(calc!$AV$3:$AV$306=TRUE),--(calc!$AW$3:$AW$306=AW22))-1)/2,"")</f>
        <v/>
      </c>
      <c r="BB22" s="5">
        <f>IF(AV22,1+SUMPRODUCT(--(calc!$AV$3:$AV$306=TRUE),--(calc!$AX$3:$AX$306&gt;AX22))+(SUMPRODUCT(--(calc!$AV$3:$AV$306=TRUE),--(calc!$AX$3:$AX$306=AX22))-1)/2,"")</f>
        <v/>
      </c>
      <c r="BC22" s="5">
        <f>IF(AV22,SUMPRODUCT(--(calc!$AV$3:$AV$306=TRUE),--(ROW(calc!$AV$3:$AV$306)&gt;ROW(AV22)),--(((calc!$BA$3:$BA$306&gt;BA22)*(calc!$BB$3:$BB$306&gt;BB22)+(calc!$BA$3:$BA$306&lt;BA22)*(calc!$BB$3:$BB$306&lt;BB22))&gt;0))-SUMPRODUCT(--(calc!$AV$3:$AV$306=TRUE),--(ROW(calc!$AV$3:$AV$306)&gt;ROW(AV22)),--(((calc!$BA$3:$BA$306&gt;BA22)*(calc!$BB$3:$BB$306&lt;BB22)+(calc!$BA$3:$BA$306&lt;BA22)*(calc!$BB$3:$BB$306&gt;BB22))&gt;0)),0)</f>
        <v/>
      </c>
      <c r="BD22" s="5">
        <f>IF(mos_metrics!L21="","",mos_metrics!L21)</f>
        <v/>
      </c>
      <c r="BE22" s="2">
        <f>AND($J22,ISNUMBER(BD22),correlation!$I$31=1)</f>
        <v/>
      </c>
      <c r="BF22" s="5">
        <f>IF(BE22,$F22,"")</f>
        <v/>
      </c>
      <c r="BG22" s="5">
        <f>IF(BE22,BD22*correlation!$J$31,"")</f>
        <v/>
      </c>
      <c r="BH22" s="5">
        <f>IF(AND(BE22,ISNUMBER(correlation!$F$31)),BG22*correlation!$F$31+correlation!$G$31,"")</f>
        <v/>
      </c>
      <c r="BI22" s="5">
        <f>IF(AND(BE22,ISNUMBER(BH22)),(BF22-BH22)^2,"")</f>
        <v/>
      </c>
      <c r="BJ22" s="5">
        <f>IF(BE22,1+SUMPRODUCT(--(calc!$BE$3:$BE$306=TRUE),--(calc!$BF$3:$BF$306&gt;BF22))+(SUMPRODUCT(--(calc!$BE$3:$BE$306=TRUE),--(calc!$BF$3:$BF$306=BF22))-1)/2,"")</f>
        <v/>
      </c>
      <c r="BK22" s="5">
        <f>IF(BE22,1+SUMPRODUCT(--(calc!$BE$3:$BE$306=TRUE),--(calc!$BG$3:$BG$306&gt;BG22))+(SUMPRODUCT(--(calc!$BE$3:$BE$306=TRUE),--(calc!$BG$3:$BG$306=BG22))-1)/2,"")</f>
        <v/>
      </c>
      <c r="BL22" s="5">
        <f>IF(BE22,SUMPRODUCT(--(calc!$BE$3:$BE$306=TRUE),--(ROW(calc!$BE$3:$BE$306)&gt;ROW(BE22)),--(((calc!$BJ$3:$BJ$306&gt;BJ22)*(calc!$BK$3:$BK$306&gt;BK22)+(calc!$BJ$3:$BJ$306&lt;BJ22)*(calc!$BK$3:$BK$306&lt;BK22))&gt;0))-SUMPRODUCT(--(calc!$BE$3:$BE$306=TRUE),--(ROW(calc!$BE$3:$BE$306)&gt;ROW(BE22)),--(((calc!$BJ$3:$BJ$306&gt;BJ22)*(calc!$BK$3:$BK$306&lt;BK22)+(calc!$BJ$3:$BJ$306&lt;BJ22)*(calc!$BK$3:$BK$306&gt;BK22))&gt;0)),0)</f>
        <v/>
      </c>
      <c r="BM22" s="5">
        <f>IF(mos_metrics!M21="","",mos_metrics!M21)</f>
        <v/>
      </c>
      <c r="BN22" s="2">
        <f>AND($J22,ISNUMBER(BM22),correlation!$I$32=1)</f>
        <v/>
      </c>
      <c r="BO22" s="5">
        <f>IF(BN22,$F22,"")</f>
        <v/>
      </c>
      <c r="BP22" s="5">
        <f>IF(BN22,BM22*correlation!$J$32,"")</f>
        <v/>
      </c>
      <c r="BQ22" s="5">
        <f>IF(AND(BN22,ISNUMBER(correlation!$F$32)),BP22*correlation!$F$32+correlation!$G$32,"")</f>
        <v/>
      </c>
      <c r="BR22" s="5">
        <f>IF(AND(BN22,ISNUMBER(BQ22)),(BO22-BQ22)^2,"")</f>
        <v/>
      </c>
      <c r="BS22" s="5">
        <f>IF(BN22,1+SUMPRODUCT(--(calc!$BN$3:$BN$306=TRUE),--(calc!$BO$3:$BO$306&gt;BO22))+(SUMPRODUCT(--(calc!$BN$3:$BN$306=TRUE),--(calc!$BO$3:$BO$306=BO22))-1)/2,"")</f>
        <v/>
      </c>
      <c r="BT22" s="5">
        <f>IF(BN22,1+SUMPRODUCT(--(calc!$BN$3:$BN$306=TRUE),--(calc!$BP$3:$BP$306&gt;BP22))+(SUMPRODUCT(--(calc!$BN$3:$BN$306=TRUE),--(calc!$BP$3:$BP$306=BP22))-1)/2,"")</f>
        <v/>
      </c>
      <c r="BU22" s="5">
        <f>IF(BN22,SUMPRODUCT(--(calc!$BN$3:$BN$306=TRUE),--(ROW(calc!$BN$3:$BN$306)&gt;ROW(BN22)),--(((calc!$BS$3:$BS$306&gt;BS22)*(calc!$BT$3:$BT$306&gt;BT22)+(calc!$BS$3:$BS$306&lt;BS22)*(calc!$BT$3:$BT$306&lt;BT22))&gt;0))-SUMPRODUCT(--(calc!$BN$3:$BN$306=TRUE),--(ROW(calc!$BN$3:$BN$306)&gt;ROW(BN22)),--(((calc!$BS$3:$BS$306&gt;BS22)*(calc!$BT$3:$BT$306&lt;BT22)+(calc!$BS$3:$BS$306&lt;BS22)*(calc!$BT$3:$BT$306&gt;BT22))&gt;0)),0)</f>
        <v/>
      </c>
    </row>
    <row r="23">
      <c r="A23" s="2">
        <f>mos_metrics!A22</f>
        <v/>
      </c>
      <c r="B23" s="2">
        <f>mos_metrics!B22</f>
        <v/>
      </c>
      <c r="C23" s="2">
        <f>mos_metrics!C22</f>
        <v/>
      </c>
      <c r="D23" s="2">
        <f>mos_metrics!D22</f>
        <v/>
      </c>
      <c r="E23" s="2">
        <f>mos_metrics!E22</f>
        <v/>
      </c>
      <c r="F23" s="2">
        <f>mos_metrics!F22</f>
        <v/>
      </c>
      <c r="G23" s="2">
        <f>IF($B23="","",IFERROR(VLOOKUP($B23,correlation!$A$2:$B$16,2,FALSE),1))</f>
        <v/>
      </c>
      <c r="H23" s="2">
        <f>IF($E23="","",IFERROR(VLOOKUP($E23,correlation!$D$2:$E$8,2,FALSE),1))</f>
        <v/>
      </c>
      <c r="I23" s="2">
        <f>ISNUMBER($F23)</f>
        <v/>
      </c>
      <c r="J23" s="2">
        <f>AND($G23=1,$H23=1,$I23)</f>
        <v/>
      </c>
      <c r="K23" s="5">
        <f>IF(mos_metrics!G22="","",mos_metrics!G22)</f>
        <v/>
      </c>
      <c r="L23" s="2">
        <f>AND($J23,ISNUMBER(K23),correlation!$I$26=1)</f>
        <v/>
      </c>
      <c r="M23" s="5">
        <f>IF(L23,$F23,"")</f>
        <v/>
      </c>
      <c r="N23" s="5">
        <f>IF(L23,K23*correlation!$J$26,"")</f>
        <v/>
      </c>
      <c r="O23" s="5">
        <f>IF(AND(L23,ISNUMBER(correlation!$F$26)),N23*correlation!$F$26+correlation!$G$26,"")</f>
        <v/>
      </c>
      <c r="P23" s="5">
        <f>IF(AND(L23,ISNUMBER(O23)),(M23-O23)^2,"")</f>
        <v/>
      </c>
      <c r="Q23" s="5">
        <f>IF(L23,1+SUMPRODUCT(--(calc!$L$3:$L$306=TRUE),--(calc!$M$3:$M$306&gt;M23))+(SUMPRODUCT(--(calc!$L$3:$L$306=TRUE),--(calc!$M$3:$M$306=M23))-1)/2,"")</f>
        <v/>
      </c>
      <c r="R23" s="5">
        <f>IF(L23,1+SUMPRODUCT(--(calc!$L$3:$L$306=TRUE),--(calc!$N$3:$N$306&gt;N23))+(SUMPRODUCT(--(calc!$L$3:$L$306=TRUE),--(calc!$N$3:$N$306=N23))-1)/2,"")</f>
        <v/>
      </c>
      <c r="S23" s="5">
        <f>IF(L23,SUMPRODUCT(--(calc!$L$3:$L$306=TRUE),--(ROW(calc!$L$3:$L$306)&gt;ROW(L23)),--(((calc!$Q$3:$Q$306&gt;Q23)*(calc!$R$3:$R$306&gt;R23)+(calc!$Q$3:$Q$306&lt;Q23)*(calc!$R$3:$R$306&lt;R23))&gt;0))-SUMPRODUCT(--(calc!$L$3:$L$306=TRUE),--(ROW(calc!$L$3:$L$306)&gt;ROW(L23)),--(((calc!$Q$3:$Q$306&gt;Q23)*(calc!$R$3:$R$306&lt;R23)+(calc!$Q$3:$Q$306&lt;Q23)*(calc!$R$3:$R$306&gt;R23))&gt;0)),0)</f>
        <v/>
      </c>
      <c r="T23" s="5">
        <f>IF(mos_metrics!H22="","",mos_metrics!H22)</f>
        <v/>
      </c>
      <c r="U23" s="2">
        <f>AND($J23,ISNUMBER(T23),correlation!$I$27=1)</f>
        <v/>
      </c>
      <c r="V23" s="5">
        <f>IF(U23,$F23,"")</f>
        <v/>
      </c>
      <c r="W23" s="5">
        <f>IF(U23,T23*correlation!$J$27,"")</f>
        <v/>
      </c>
      <c r="X23" s="5">
        <f>IF(AND(U23,ISNUMBER(correlation!$F$27)),W23*correlation!$F$27+correlation!$G$27,"")</f>
        <v/>
      </c>
      <c r="Y23" s="5">
        <f>IF(AND(U23,ISNUMBER(X23)),(V23-X23)^2,"")</f>
        <v/>
      </c>
      <c r="Z23" s="5">
        <f>IF(U23,1+SUMPRODUCT(--(calc!$U$3:$U$306=TRUE),--(calc!$V$3:$V$306&gt;V23))+(SUMPRODUCT(--(calc!$U$3:$U$306=TRUE),--(calc!$V$3:$V$306=V23))-1)/2,"")</f>
        <v/>
      </c>
      <c r="AA23" s="5">
        <f>IF(U23,1+SUMPRODUCT(--(calc!$U$3:$U$306=TRUE),--(calc!$W$3:$W$306&gt;W23))+(SUMPRODUCT(--(calc!$U$3:$U$306=TRUE),--(calc!$W$3:$W$306=W23))-1)/2,"")</f>
        <v/>
      </c>
      <c r="AB23" s="5">
        <f>IF(U23,SUMPRODUCT(--(calc!$U$3:$U$306=TRUE),--(ROW(calc!$U$3:$U$306)&gt;ROW(U23)),--(((calc!$Z$3:$Z$306&gt;Z23)*(calc!$AA$3:$AA$306&gt;AA23)+(calc!$Z$3:$Z$306&lt;Z23)*(calc!$AA$3:$AA$306&lt;AA23))&gt;0))-SUMPRODUCT(--(calc!$U$3:$U$306=TRUE),--(ROW(calc!$U$3:$U$306)&gt;ROW(U23)),--(((calc!$Z$3:$Z$306&gt;Z23)*(calc!$AA$3:$AA$306&lt;AA23)+(calc!$Z$3:$Z$306&lt;Z23)*(calc!$AA$3:$AA$306&gt;AA23))&gt;0)),0)</f>
        <v/>
      </c>
      <c r="AC23" s="5">
        <f>IF(mos_metrics!I22="","",mos_metrics!I22)</f>
        <v/>
      </c>
      <c r="AD23" s="2">
        <f>AND($J23,ISNUMBER(AC23),correlation!$I$28=1)</f>
        <v/>
      </c>
      <c r="AE23" s="5">
        <f>IF(AD23,$F23,"")</f>
        <v/>
      </c>
      <c r="AF23" s="5">
        <f>IF(AD23,AC23*correlation!$J$28,"")</f>
        <v/>
      </c>
      <c r="AG23" s="5">
        <f>IF(AND(AD23,ISNUMBER(correlation!$F$28)),AF23*correlation!$F$28+correlation!$G$28,"")</f>
        <v/>
      </c>
      <c r="AH23" s="5">
        <f>IF(AND(AD23,ISNUMBER(AG23)),(AE23-AG23)^2,"")</f>
        <v/>
      </c>
      <c r="AI23" s="5">
        <f>IF(AD23,1+SUMPRODUCT(--(calc!$AD$3:$AD$306=TRUE),--(calc!$AE$3:$AE$306&gt;AE23))+(SUMPRODUCT(--(calc!$AD$3:$AD$306=TRUE),--(calc!$AE$3:$AE$306=AE23))-1)/2,"")</f>
        <v/>
      </c>
      <c r="AJ23" s="5">
        <f>IF(AD23,1+SUMPRODUCT(--(calc!$AD$3:$AD$306=TRUE),--(calc!$AF$3:$AF$306&gt;AF23))+(SUMPRODUCT(--(calc!$AD$3:$AD$306=TRUE),--(calc!$AF$3:$AF$306=AF23))-1)/2,"")</f>
        <v/>
      </c>
      <c r="AK23" s="5">
        <f>IF(AD23,SUMPRODUCT(--(calc!$AD$3:$AD$306=TRUE),--(ROW(calc!$AD$3:$AD$306)&gt;ROW(AD23)),--(((calc!$AI$3:$AI$306&gt;AI23)*(calc!$AJ$3:$AJ$306&gt;AJ23)+(calc!$AI$3:$AI$306&lt;AI23)*(calc!$AJ$3:$AJ$306&lt;AJ23))&gt;0))-SUMPRODUCT(--(calc!$AD$3:$AD$306=TRUE),--(ROW(calc!$AD$3:$AD$306)&gt;ROW(AD23)),--(((calc!$AI$3:$AI$306&gt;AI23)*(calc!$AJ$3:$AJ$306&lt;AJ23)+(calc!$AI$3:$AI$306&lt;AI23)*(calc!$AJ$3:$AJ$306&gt;AJ23))&gt;0)),0)</f>
        <v/>
      </c>
      <c r="AL23" s="5">
        <f>IF(mos_metrics!J22="","",mos_metrics!J22)</f>
        <v/>
      </c>
      <c r="AM23" s="2">
        <f>AND($J23,ISNUMBER(AL23),correlation!$I$29=1)</f>
        <v/>
      </c>
      <c r="AN23" s="5">
        <f>IF(AM23,$F23,"")</f>
        <v/>
      </c>
      <c r="AO23" s="5">
        <f>IF(AM23,AL23*correlation!$J$29,"")</f>
        <v/>
      </c>
      <c r="AP23" s="5">
        <f>IF(AND(AM23,ISNUMBER(correlation!$F$29)),AO23*correlation!$F$29+correlation!$G$29,"")</f>
        <v/>
      </c>
      <c r="AQ23" s="5">
        <f>IF(AND(AM23,ISNUMBER(AP23)),(AN23-AP23)^2,"")</f>
        <v/>
      </c>
      <c r="AR23" s="5">
        <f>IF(AM23,1+SUMPRODUCT(--(calc!$AM$3:$AM$306=TRUE),--(calc!$AN$3:$AN$306&gt;AN23))+(SUMPRODUCT(--(calc!$AM$3:$AM$306=TRUE),--(calc!$AN$3:$AN$306=AN23))-1)/2,"")</f>
        <v/>
      </c>
      <c r="AS23" s="5">
        <f>IF(AM23,1+SUMPRODUCT(--(calc!$AM$3:$AM$306=TRUE),--(calc!$AO$3:$AO$306&gt;AO23))+(SUMPRODUCT(--(calc!$AM$3:$AM$306=TRUE),--(calc!$AO$3:$AO$306=AO23))-1)/2,"")</f>
        <v/>
      </c>
      <c r="AT23" s="5">
        <f>IF(AM23,SUMPRODUCT(--(calc!$AM$3:$AM$306=TRUE),--(ROW(calc!$AM$3:$AM$306)&gt;ROW(AM23)),--(((calc!$AR$3:$AR$306&gt;AR23)*(calc!$AS$3:$AS$306&gt;AS23)+(calc!$AR$3:$AR$306&lt;AR23)*(calc!$AS$3:$AS$306&lt;AS23))&gt;0))-SUMPRODUCT(--(calc!$AM$3:$AM$306=TRUE),--(ROW(calc!$AM$3:$AM$306)&gt;ROW(AM23)),--(((calc!$AR$3:$AR$306&gt;AR23)*(calc!$AS$3:$AS$306&lt;AS23)+(calc!$AR$3:$AR$306&lt;AR23)*(calc!$AS$3:$AS$306&gt;AS23))&gt;0)),0)</f>
        <v/>
      </c>
      <c r="AU23" s="5">
        <f>IF(mos_metrics!K22="","",mos_metrics!K22)</f>
        <v/>
      </c>
      <c r="AV23" s="2">
        <f>AND($J23,ISNUMBER(AU23),correlation!$I$30=1)</f>
        <v/>
      </c>
      <c r="AW23" s="5">
        <f>IF(AV23,$F23,"")</f>
        <v/>
      </c>
      <c r="AX23" s="5">
        <f>IF(AV23,AU23*correlation!$J$30,"")</f>
        <v/>
      </c>
      <c r="AY23" s="5">
        <f>IF(AND(AV23,ISNUMBER(correlation!$F$30)),AX23*correlation!$F$30+correlation!$G$30,"")</f>
        <v/>
      </c>
      <c r="AZ23" s="5">
        <f>IF(AND(AV23,ISNUMBER(AY23)),(AW23-AY23)^2,"")</f>
        <v/>
      </c>
      <c r="BA23" s="5">
        <f>IF(AV23,1+SUMPRODUCT(--(calc!$AV$3:$AV$306=TRUE),--(calc!$AW$3:$AW$306&gt;AW23))+(SUMPRODUCT(--(calc!$AV$3:$AV$306=TRUE),--(calc!$AW$3:$AW$306=AW23))-1)/2,"")</f>
        <v/>
      </c>
      <c r="BB23" s="5">
        <f>IF(AV23,1+SUMPRODUCT(--(calc!$AV$3:$AV$306=TRUE),--(calc!$AX$3:$AX$306&gt;AX23))+(SUMPRODUCT(--(calc!$AV$3:$AV$306=TRUE),--(calc!$AX$3:$AX$306=AX23))-1)/2,"")</f>
        <v/>
      </c>
      <c r="BC23" s="5">
        <f>IF(AV23,SUMPRODUCT(--(calc!$AV$3:$AV$306=TRUE),--(ROW(calc!$AV$3:$AV$306)&gt;ROW(AV23)),--(((calc!$BA$3:$BA$306&gt;BA23)*(calc!$BB$3:$BB$306&gt;BB23)+(calc!$BA$3:$BA$306&lt;BA23)*(calc!$BB$3:$BB$306&lt;BB23))&gt;0))-SUMPRODUCT(--(calc!$AV$3:$AV$306=TRUE),--(ROW(calc!$AV$3:$AV$306)&gt;ROW(AV23)),--(((calc!$BA$3:$BA$306&gt;BA23)*(calc!$BB$3:$BB$306&lt;BB23)+(calc!$BA$3:$BA$306&lt;BA23)*(calc!$BB$3:$BB$306&gt;BB23))&gt;0)),0)</f>
        <v/>
      </c>
      <c r="BD23" s="5">
        <f>IF(mos_metrics!L22="","",mos_metrics!L22)</f>
        <v/>
      </c>
      <c r="BE23" s="2">
        <f>AND($J23,ISNUMBER(BD23),correlation!$I$31=1)</f>
        <v/>
      </c>
      <c r="BF23" s="5">
        <f>IF(BE23,$F23,"")</f>
        <v/>
      </c>
      <c r="BG23" s="5">
        <f>IF(BE23,BD23*correlation!$J$31,"")</f>
        <v/>
      </c>
      <c r="BH23" s="5">
        <f>IF(AND(BE23,ISNUMBER(correlation!$F$31)),BG23*correlation!$F$31+correlation!$G$31,"")</f>
        <v/>
      </c>
      <c r="BI23" s="5">
        <f>IF(AND(BE23,ISNUMBER(BH23)),(BF23-BH23)^2,"")</f>
        <v/>
      </c>
      <c r="BJ23" s="5">
        <f>IF(BE23,1+SUMPRODUCT(--(calc!$BE$3:$BE$306=TRUE),--(calc!$BF$3:$BF$306&gt;BF23))+(SUMPRODUCT(--(calc!$BE$3:$BE$306=TRUE),--(calc!$BF$3:$BF$306=BF23))-1)/2,"")</f>
        <v/>
      </c>
      <c r="BK23" s="5">
        <f>IF(BE23,1+SUMPRODUCT(--(calc!$BE$3:$BE$306=TRUE),--(calc!$BG$3:$BG$306&gt;BG23))+(SUMPRODUCT(--(calc!$BE$3:$BE$306=TRUE),--(calc!$BG$3:$BG$306=BG23))-1)/2,"")</f>
        <v/>
      </c>
      <c r="BL23" s="5">
        <f>IF(BE23,SUMPRODUCT(--(calc!$BE$3:$BE$306=TRUE),--(ROW(calc!$BE$3:$BE$306)&gt;ROW(BE23)),--(((calc!$BJ$3:$BJ$306&gt;BJ23)*(calc!$BK$3:$BK$306&gt;BK23)+(calc!$BJ$3:$BJ$306&lt;BJ23)*(calc!$BK$3:$BK$306&lt;BK23))&gt;0))-SUMPRODUCT(--(calc!$BE$3:$BE$306=TRUE),--(ROW(calc!$BE$3:$BE$306)&gt;ROW(BE23)),--(((calc!$BJ$3:$BJ$306&gt;BJ23)*(calc!$BK$3:$BK$306&lt;BK23)+(calc!$BJ$3:$BJ$306&lt;BJ23)*(calc!$BK$3:$BK$306&gt;BK23))&gt;0)),0)</f>
        <v/>
      </c>
      <c r="BM23" s="5">
        <f>IF(mos_metrics!M22="","",mos_metrics!M22)</f>
        <v/>
      </c>
      <c r="BN23" s="2">
        <f>AND($J23,ISNUMBER(BM23),correlation!$I$32=1)</f>
        <v/>
      </c>
      <c r="BO23" s="5">
        <f>IF(BN23,$F23,"")</f>
        <v/>
      </c>
      <c r="BP23" s="5">
        <f>IF(BN23,BM23*correlation!$J$32,"")</f>
        <v/>
      </c>
      <c r="BQ23" s="5">
        <f>IF(AND(BN23,ISNUMBER(correlation!$F$32)),BP23*correlation!$F$32+correlation!$G$32,"")</f>
        <v/>
      </c>
      <c r="BR23" s="5">
        <f>IF(AND(BN23,ISNUMBER(BQ23)),(BO23-BQ23)^2,"")</f>
        <v/>
      </c>
      <c r="BS23" s="5">
        <f>IF(BN23,1+SUMPRODUCT(--(calc!$BN$3:$BN$306=TRUE),--(calc!$BO$3:$BO$306&gt;BO23))+(SUMPRODUCT(--(calc!$BN$3:$BN$306=TRUE),--(calc!$BO$3:$BO$306=BO23))-1)/2,"")</f>
        <v/>
      </c>
      <c r="BT23" s="5">
        <f>IF(BN23,1+SUMPRODUCT(--(calc!$BN$3:$BN$306=TRUE),--(calc!$BP$3:$BP$306&gt;BP23))+(SUMPRODUCT(--(calc!$BN$3:$BN$306=TRUE),--(calc!$BP$3:$BP$306=BP23))-1)/2,"")</f>
        <v/>
      </c>
      <c r="BU23" s="5">
        <f>IF(BN23,SUMPRODUCT(--(calc!$BN$3:$BN$306=TRUE),--(ROW(calc!$BN$3:$BN$306)&gt;ROW(BN23)),--(((calc!$BS$3:$BS$306&gt;BS23)*(calc!$BT$3:$BT$306&gt;BT23)+(calc!$BS$3:$BS$306&lt;BS23)*(calc!$BT$3:$BT$306&lt;BT23))&gt;0))-SUMPRODUCT(--(calc!$BN$3:$BN$306=TRUE),--(ROW(calc!$BN$3:$BN$306)&gt;ROW(BN23)),--(((calc!$BS$3:$BS$306&gt;BS23)*(calc!$BT$3:$BT$306&lt;BT23)+(calc!$BS$3:$BS$306&lt;BS23)*(calc!$BT$3:$BT$306&gt;BT23))&gt;0)),0)</f>
        <v/>
      </c>
    </row>
    <row r="24">
      <c r="A24" s="2">
        <f>mos_metrics!A23</f>
        <v/>
      </c>
      <c r="B24" s="2">
        <f>mos_metrics!B23</f>
        <v/>
      </c>
      <c r="C24" s="2">
        <f>mos_metrics!C23</f>
        <v/>
      </c>
      <c r="D24" s="2">
        <f>mos_metrics!D23</f>
        <v/>
      </c>
      <c r="E24" s="2">
        <f>mos_metrics!E23</f>
        <v/>
      </c>
      <c r="F24" s="2">
        <f>mos_metrics!F23</f>
        <v/>
      </c>
      <c r="G24" s="2">
        <f>IF($B24="","",IFERROR(VLOOKUP($B24,correlation!$A$2:$B$16,2,FALSE),1))</f>
        <v/>
      </c>
      <c r="H24" s="2">
        <f>IF($E24="","",IFERROR(VLOOKUP($E24,correlation!$D$2:$E$8,2,FALSE),1))</f>
        <v/>
      </c>
      <c r="I24" s="2">
        <f>ISNUMBER($F24)</f>
        <v/>
      </c>
      <c r="J24" s="2">
        <f>AND($G24=1,$H24=1,$I24)</f>
        <v/>
      </c>
      <c r="K24" s="5">
        <f>IF(mos_metrics!G23="","",mos_metrics!G23)</f>
        <v/>
      </c>
      <c r="L24" s="2">
        <f>AND($J24,ISNUMBER(K24),correlation!$I$26=1)</f>
        <v/>
      </c>
      <c r="M24" s="5">
        <f>IF(L24,$F24,"")</f>
        <v/>
      </c>
      <c r="N24" s="5">
        <f>IF(L24,K24*correlation!$J$26,"")</f>
        <v/>
      </c>
      <c r="O24" s="5">
        <f>IF(AND(L24,ISNUMBER(correlation!$F$26)),N24*correlation!$F$26+correlation!$G$26,"")</f>
        <v/>
      </c>
      <c r="P24" s="5">
        <f>IF(AND(L24,ISNUMBER(O24)),(M24-O24)^2,"")</f>
        <v/>
      </c>
      <c r="Q24" s="5">
        <f>IF(L24,1+SUMPRODUCT(--(calc!$L$3:$L$306=TRUE),--(calc!$M$3:$M$306&gt;M24))+(SUMPRODUCT(--(calc!$L$3:$L$306=TRUE),--(calc!$M$3:$M$306=M24))-1)/2,"")</f>
        <v/>
      </c>
      <c r="R24" s="5">
        <f>IF(L24,1+SUMPRODUCT(--(calc!$L$3:$L$306=TRUE),--(calc!$N$3:$N$306&gt;N24))+(SUMPRODUCT(--(calc!$L$3:$L$306=TRUE),--(calc!$N$3:$N$306=N24))-1)/2,"")</f>
        <v/>
      </c>
      <c r="S24" s="5">
        <f>IF(L24,SUMPRODUCT(--(calc!$L$3:$L$306=TRUE),--(ROW(calc!$L$3:$L$306)&gt;ROW(L24)),--(((calc!$Q$3:$Q$306&gt;Q24)*(calc!$R$3:$R$306&gt;R24)+(calc!$Q$3:$Q$306&lt;Q24)*(calc!$R$3:$R$306&lt;R24))&gt;0))-SUMPRODUCT(--(calc!$L$3:$L$306=TRUE),--(ROW(calc!$L$3:$L$306)&gt;ROW(L24)),--(((calc!$Q$3:$Q$306&gt;Q24)*(calc!$R$3:$R$306&lt;R24)+(calc!$Q$3:$Q$306&lt;Q24)*(calc!$R$3:$R$306&gt;R24))&gt;0)),0)</f>
        <v/>
      </c>
      <c r="T24" s="5">
        <f>IF(mos_metrics!H23="","",mos_metrics!H23)</f>
        <v/>
      </c>
      <c r="U24" s="2">
        <f>AND($J24,ISNUMBER(T24),correlation!$I$27=1)</f>
        <v/>
      </c>
      <c r="V24" s="5">
        <f>IF(U24,$F24,"")</f>
        <v/>
      </c>
      <c r="W24" s="5">
        <f>IF(U24,T24*correlation!$J$27,"")</f>
        <v/>
      </c>
      <c r="X24" s="5">
        <f>IF(AND(U24,ISNUMBER(correlation!$F$27)),W24*correlation!$F$27+correlation!$G$27,"")</f>
        <v/>
      </c>
      <c r="Y24" s="5">
        <f>IF(AND(U24,ISNUMBER(X24)),(V24-X24)^2,"")</f>
        <v/>
      </c>
      <c r="Z24" s="5">
        <f>IF(U24,1+SUMPRODUCT(--(calc!$U$3:$U$306=TRUE),--(calc!$V$3:$V$306&gt;V24))+(SUMPRODUCT(--(calc!$U$3:$U$306=TRUE),--(calc!$V$3:$V$306=V24))-1)/2,"")</f>
        <v/>
      </c>
      <c r="AA24" s="5">
        <f>IF(U24,1+SUMPRODUCT(--(calc!$U$3:$U$306=TRUE),--(calc!$W$3:$W$306&gt;W24))+(SUMPRODUCT(--(calc!$U$3:$U$306=TRUE),--(calc!$W$3:$W$306=W24))-1)/2,"")</f>
        <v/>
      </c>
      <c r="AB24" s="5">
        <f>IF(U24,SUMPRODUCT(--(calc!$U$3:$U$306=TRUE),--(ROW(calc!$U$3:$U$306)&gt;ROW(U24)),--(((calc!$Z$3:$Z$306&gt;Z24)*(calc!$AA$3:$AA$306&gt;AA24)+(calc!$Z$3:$Z$306&lt;Z24)*(calc!$AA$3:$AA$306&lt;AA24))&gt;0))-SUMPRODUCT(--(calc!$U$3:$U$306=TRUE),--(ROW(calc!$U$3:$U$306)&gt;ROW(U24)),--(((calc!$Z$3:$Z$306&gt;Z24)*(calc!$AA$3:$AA$306&lt;AA24)+(calc!$Z$3:$Z$306&lt;Z24)*(calc!$AA$3:$AA$306&gt;AA24))&gt;0)),0)</f>
        <v/>
      </c>
      <c r="AC24" s="5">
        <f>IF(mos_metrics!I23="","",mos_metrics!I23)</f>
        <v/>
      </c>
      <c r="AD24" s="2">
        <f>AND($J24,ISNUMBER(AC24),correlation!$I$28=1)</f>
        <v/>
      </c>
      <c r="AE24" s="5">
        <f>IF(AD24,$F24,"")</f>
        <v/>
      </c>
      <c r="AF24" s="5">
        <f>IF(AD24,AC24*correlation!$J$28,"")</f>
        <v/>
      </c>
      <c r="AG24" s="5">
        <f>IF(AND(AD24,ISNUMBER(correlation!$F$28)),AF24*correlation!$F$28+correlation!$G$28,"")</f>
        <v/>
      </c>
      <c r="AH24" s="5">
        <f>IF(AND(AD24,ISNUMBER(AG24)),(AE24-AG24)^2,"")</f>
        <v/>
      </c>
      <c r="AI24" s="5">
        <f>IF(AD24,1+SUMPRODUCT(--(calc!$AD$3:$AD$306=TRUE),--(calc!$AE$3:$AE$306&gt;AE24))+(SUMPRODUCT(--(calc!$AD$3:$AD$306=TRUE),--(calc!$AE$3:$AE$306=AE24))-1)/2,"")</f>
        <v/>
      </c>
      <c r="AJ24" s="5">
        <f>IF(AD24,1+SUMPRODUCT(--(calc!$AD$3:$AD$306=TRUE),--(calc!$AF$3:$AF$306&gt;AF24))+(SUMPRODUCT(--(calc!$AD$3:$AD$306=TRUE),--(calc!$AF$3:$AF$306=AF24))-1)/2,"")</f>
        <v/>
      </c>
      <c r="AK24" s="5">
        <f>IF(AD24,SUMPRODUCT(--(calc!$AD$3:$AD$306=TRUE),--(ROW(calc!$AD$3:$AD$306)&gt;ROW(AD24)),--(((calc!$AI$3:$AI$306&gt;AI24)*(calc!$AJ$3:$AJ$306&gt;AJ24)+(calc!$AI$3:$AI$306&lt;AI24)*(calc!$AJ$3:$AJ$306&lt;AJ24))&gt;0))-SUMPRODUCT(--(calc!$AD$3:$AD$306=TRUE),--(ROW(calc!$AD$3:$AD$306)&gt;ROW(AD24)),--(((calc!$AI$3:$AI$306&gt;AI24)*(calc!$AJ$3:$AJ$306&lt;AJ24)+(calc!$AI$3:$AI$306&lt;AI24)*(calc!$AJ$3:$AJ$306&gt;AJ24))&gt;0)),0)</f>
        <v/>
      </c>
      <c r="AL24" s="5">
        <f>IF(mos_metrics!J23="","",mos_metrics!J23)</f>
        <v/>
      </c>
      <c r="AM24" s="2">
        <f>AND($J24,ISNUMBER(AL24),correlation!$I$29=1)</f>
        <v/>
      </c>
      <c r="AN24" s="5">
        <f>IF(AM24,$F24,"")</f>
        <v/>
      </c>
      <c r="AO24" s="5">
        <f>IF(AM24,AL24*correlation!$J$29,"")</f>
        <v/>
      </c>
      <c r="AP24" s="5">
        <f>IF(AND(AM24,ISNUMBER(correlation!$F$29)),AO24*correlation!$F$29+correlation!$G$29,"")</f>
        <v/>
      </c>
      <c r="AQ24" s="5">
        <f>IF(AND(AM24,ISNUMBER(AP24)),(AN24-AP24)^2,"")</f>
        <v/>
      </c>
      <c r="AR24" s="5">
        <f>IF(AM24,1+SUMPRODUCT(--(calc!$AM$3:$AM$306=TRUE),--(calc!$AN$3:$AN$306&gt;AN24))+(SUMPRODUCT(--(calc!$AM$3:$AM$306=TRUE),--(calc!$AN$3:$AN$306=AN24))-1)/2,"")</f>
        <v/>
      </c>
      <c r="AS24" s="5">
        <f>IF(AM24,1+SUMPRODUCT(--(calc!$AM$3:$AM$306=TRUE),--(calc!$AO$3:$AO$306&gt;AO24))+(SUMPRODUCT(--(calc!$AM$3:$AM$306=TRUE),--(calc!$AO$3:$AO$306=AO24))-1)/2,"")</f>
        <v/>
      </c>
      <c r="AT24" s="5">
        <f>IF(AM24,SUMPRODUCT(--(calc!$AM$3:$AM$306=TRUE),--(ROW(calc!$AM$3:$AM$306)&gt;ROW(AM24)),--(((calc!$AR$3:$AR$306&gt;AR24)*(calc!$AS$3:$AS$306&gt;AS24)+(calc!$AR$3:$AR$306&lt;AR24)*(calc!$AS$3:$AS$306&lt;AS24))&gt;0))-SUMPRODUCT(--(calc!$AM$3:$AM$306=TRUE),--(ROW(calc!$AM$3:$AM$306)&gt;ROW(AM24)),--(((calc!$AR$3:$AR$306&gt;AR24)*(calc!$AS$3:$AS$306&lt;AS24)+(calc!$AR$3:$AR$306&lt;AR24)*(calc!$AS$3:$AS$306&gt;AS24))&gt;0)),0)</f>
        <v/>
      </c>
      <c r="AU24" s="5">
        <f>IF(mos_metrics!K23="","",mos_metrics!K23)</f>
        <v/>
      </c>
      <c r="AV24" s="2">
        <f>AND($J24,ISNUMBER(AU24),correlation!$I$30=1)</f>
        <v/>
      </c>
      <c r="AW24" s="5">
        <f>IF(AV24,$F24,"")</f>
        <v/>
      </c>
      <c r="AX24" s="5">
        <f>IF(AV24,AU24*correlation!$J$30,"")</f>
        <v/>
      </c>
      <c r="AY24" s="5">
        <f>IF(AND(AV24,ISNUMBER(correlation!$F$30)),AX24*correlation!$F$30+correlation!$G$30,"")</f>
        <v/>
      </c>
      <c r="AZ24" s="5">
        <f>IF(AND(AV24,ISNUMBER(AY24)),(AW24-AY24)^2,"")</f>
        <v/>
      </c>
      <c r="BA24" s="5">
        <f>IF(AV24,1+SUMPRODUCT(--(calc!$AV$3:$AV$306=TRUE),--(calc!$AW$3:$AW$306&gt;AW24))+(SUMPRODUCT(--(calc!$AV$3:$AV$306=TRUE),--(calc!$AW$3:$AW$306=AW24))-1)/2,"")</f>
        <v/>
      </c>
      <c r="BB24" s="5">
        <f>IF(AV24,1+SUMPRODUCT(--(calc!$AV$3:$AV$306=TRUE),--(calc!$AX$3:$AX$306&gt;AX24))+(SUMPRODUCT(--(calc!$AV$3:$AV$306=TRUE),--(calc!$AX$3:$AX$306=AX24))-1)/2,"")</f>
        <v/>
      </c>
      <c r="BC24" s="5">
        <f>IF(AV24,SUMPRODUCT(--(calc!$AV$3:$AV$306=TRUE),--(ROW(calc!$AV$3:$AV$306)&gt;ROW(AV24)),--(((calc!$BA$3:$BA$306&gt;BA24)*(calc!$BB$3:$BB$306&gt;BB24)+(calc!$BA$3:$BA$306&lt;BA24)*(calc!$BB$3:$BB$306&lt;BB24))&gt;0))-SUMPRODUCT(--(calc!$AV$3:$AV$306=TRUE),--(ROW(calc!$AV$3:$AV$306)&gt;ROW(AV24)),--(((calc!$BA$3:$BA$306&gt;BA24)*(calc!$BB$3:$BB$306&lt;BB24)+(calc!$BA$3:$BA$306&lt;BA24)*(calc!$BB$3:$BB$306&gt;BB24))&gt;0)),0)</f>
        <v/>
      </c>
      <c r="BD24" s="5">
        <f>IF(mos_metrics!L23="","",mos_metrics!L23)</f>
        <v/>
      </c>
      <c r="BE24" s="2">
        <f>AND($J24,ISNUMBER(BD24),correlation!$I$31=1)</f>
        <v/>
      </c>
      <c r="BF24" s="5">
        <f>IF(BE24,$F24,"")</f>
        <v/>
      </c>
      <c r="BG24" s="5">
        <f>IF(BE24,BD24*correlation!$J$31,"")</f>
        <v/>
      </c>
      <c r="BH24" s="5">
        <f>IF(AND(BE24,ISNUMBER(correlation!$F$31)),BG24*correlation!$F$31+correlation!$G$31,"")</f>
        <v/>
      </c>
      <c r="BI24" s="5">
        <f>IF(AND(BE24,ISNUMBER(BH24)),(BF24-BH24)^2,"")</f>
        <v/>
      </c>
      <c r="BJ24" s="5">
        <f>IF(BE24,1+SUMPRODUCT(--(calc!$BE$3:$BE$306=TRUE),--(calc!$BF$3:$BF$306&gt;BF24))+(SUMPRODUCT(--(calc!$BE$3:$BE$306=TRUE),--(calc!$BF$3:$BF$306=BF24))-1)/2,"")</f>
        <v/>
      </c>
      <c r="BK24" s="5">
        <f>IF(BE24,1+SUMPRODUCT(--(calc!$BE$3:$BE$306=TRUE),--(calc!$BG$3:$BG$306&gt;BG24))+(SUMPRODUCT(--(calc!$BE$3:$BE$306=TRUE),--(calc!$BG$3:$BG$306=BG24))-1)/2,"")</f>
        <v/>
      </c>
      <c r="BL24" s="5">
        <f>IF(BE24,SUMPRODUCT(--(calc!$BE$3:$BE$306=TRUE),--(ROW(calc!$BE$3:$BE$306)&gt;ROW(BE24)),--(((calc!$BJ$3:$BJ$306&gt;BJ24)*(calc!$BK$3:$BK$306&gt;BK24)+(calc!$BJ$3:$BJ$306&lt;BJ24)*(calc!$BK$3:$BK$306&lt;BK24))&gt;0))-SUMPRODUCT(--(calc!$BE$3:$BE$306=TRUE),--(ROW(calc!$BE$3:$BE$306)&gt;ROW(BE24)),--(((calc!$BJ$3:$BJ$306&gt;BJ24)*(calc!$BK$3:$BK$306&lt;BK24)+(calc!$BJ$3:$BJ$306&lt;BJ24)*(calc!$BK$3:$BK$306&gt;BK24))&gt;0)),0)</f>
        <v/>
      </c>
      <c r="BM24" s="5">
        <f>IF(mos_metrics!M23="","",mos_metrics!M23)</f>
        <v/>
      </c>
      <c r="BN24" s="2">
        <f>AND($J24,ISNUMBER(BM24),correlation!$I$32=1)</f>
        <v/>
      </c>
      <c r="BO24" s="5">
        <f>IF(BN24,$F24,"")</f>
        <v/>
      </c>
      <c r="BP24" s="5">
        <f>IF(BN24,BM24*correlation!$J$32,"")</f>
        <v/>
      </c>
      <c r="BQ24" s="5">
        <f>IF(AND(BN24,ISNUMBER(correlation!$F$32)),BP24*correlation!$F$32+correlation!$G$32,"")</f>
        <v/>
      </c>
      <c r="BR24" s="5">
        <f>IF(AND(BN24,ISNUMBER(BQ24)),(BO24-BQ24)^2,"")</f>
        <v/>
      </c>
      <c r="BS24" s="5">
        <f>IF(BN24,1+SUMPRODUCT(--(calc!$BN$3:$BN$306=TRUE),--(calc!$BO$3:$BO$306&gt;BO24))+(SUMPRODUCT(--(calc!$BN$3:$BN$306=TRUE),--(calc!$BO$3:$BO$306=BO24))-1)/2,"")</f>
        <v/>
      </c>
      <c r="BT24" s="5">
        <f>IF(BN24,1+SUMPRODUCT(--(calc!$BN$3:$BN$306=TRUE),--(calc!$BP$3:$BP$306&gt;BP24))+(SUMPRODUCT(--(calc!$BN$3:$BN$306=TRUE),--(calc!$BP$3:$BP$306=BP24))-1)/2,"")</f>
        <v/>
      </c>
      <c r="BU24" s="5">
        <f>IF(BN24,SUMPRODUCT(--(calc!$BN$3:$BN$306=TRUE),--(ROW(calc!$BN$3:$BN$306)&gt;ROW(BN24)),--(((calc!$BS$3:$BS$306&gt;BS24)*(calc!$BT$3:$BT$306&gt;BT24)+(calc!$BS$3:$BS$306&lt;BS24)*(calc!$BT$3:$BT$306&lt;BT24))&gt;0))-SUMPRODUCT(--(calc!$BN$3:$BN$306=TRUE),--(ROW(calc!$BN$3:$BN$306)&gt;ROW(BN24)),--(((calc!$BS$3:$BS$306&gt;BS24)*(calc!$BT$3:$BT$306&lt;BT24)+(calc!$BS$3:$BS$306&lt;BS24)*(calc!$BT$3:$BT$306&gt;BT24))&gt;0)),0)</f>
        <v/>
      </c>
    </row>
    <row r="25">
      <c r="A25" s="2">
        <f>mos_metrics!A24</f>
        <v/>
      </c>
      <c r="B25" s="2">
        <f>mos_metrics!B24</f>
        <v/>
      </c>
      <c r="C25" s="2">
        <f>mos_metrics!C24</f>
        <v/>
      </c>
      <c r="D25" s="2">
        <f>mos_metrics!D24</f>
        <v/>
      </c>
      <c r="E25" s="2">
        <f>mos_metrics!E24</f>
        <v/>
      </c>
      <c r="F25" s="2">
        <f>mos_metrics!F24</f>
        <v/>
      </c>
      <c r="G25" s="2">
        <f>IF($B25="","",IFERROR(VLOOKUP($B25,correlation!$A$2:$B$16,2,FALSE),1))</f>
        <v/>
      </c>
      <c r="H25" s="2">
        <f>IF($E25="","",IFERROR(VLOOKUP($E25,correlation!$D$2:$E$8,2,FALSE),1))</f>
        <v/>
      </c>
      <c r="I25" s="2">
        <f>ISNUMBER($F25)</f>
        <v/>
      </c>
      <c r="J25" s="2">
        <f>AND($G25=1,$H25=1,$I25)</f>
        <v/>
      </c>
      <c r="K25" s="5">
        <f>IF(mos_metrics!G24="","",mos_metrics!G24)</f>
        <v/>
      </c>
      <c r="L25" s="2">
        <f>AND($J25,ISNUMBER(K25),correlation!$I$26=1)</f>
        <v/>
      </c>
      <c r="M25" s="5">
        <f>IF(L25,$F25,"")</f>
        <v/>
      </c>
      <c r="N25" s="5">
        <f>IF(L25,K25*correlation!$J$26,"")</f>
        <v/>
      </c>
      <c r="O25" s="5">
        <f>IF(AND(L25,ISNUMBER(correlation!$F$26)),N25*correlation!$F$26+correlation!$G$26,"")</f>
        <v/>
      </c>
      <c r="P25" s="5">
        <f>IF(AND(L25,ISNUMBER(O25)),(M25-O25)^2,"")</f>
        <v/>
      </c>
      <c r="Q25" s="5">
        <f>IF(L25,1+SUMPRODUCT(--(calc!$L$3:$L$306=TRUE),--(calc!$M$3:$M$306&gt;M25))+(SUMPRODUCT(--(calc!$L$3:$L$306=TRUE),--(calc!$M$3:$M$306=M25))-1)/2,"")</f>
        <v/>
      </c>
      <c r="R25" s="5">
        <f>IF(L25,1+SUMPRODUCT(--(calc!$L$3:$L$306=TRUE),--(calc!$N$3:$N$306&gt;N25))+(SUMPRODUCT(--(calc!$L$3:$L$306=TRUE),--(calc!$N$3:$N$306=N25))-1)/2,"")</f>
        <v/>
      </c>
      <c r="S25" s="5">
        <f>IF(L25,SUMPRODUCT(--(calc!$L$3:$L$306=TRUE),--(ROW(calc!$L$3:$L$306)&gt;ROW(L25)),--(((calc!$Q$3:$Q$306&gt;Q25)*(calc!$R$3:$R$306&gt;R25)+(calc!$Q$3:$Q$306&lt;Q25)*(calc!$R$3:$R$306&lt;R25))&gt;0))-SUMPRODUCT(--(calc!$L$3:$L$306=TRUE),--(ROW(calc!$L$3:$L$306)&gt;ROW(L25)),--(((calc!$Q$3:$Q$306&gt;Q25)*(calc!$R$3:$R$306&lt;R25)+(calc!$Q$3:$Q$306&lt;Q25)*(calc!$R$3:$R$306&gt;R25))&gt;0)),0)</f>
        <v/>
      </c>
      <c r="T25" s="5">
        <f>IF(mos_metrics!H24="","",mos_metrics!H24)</f>
        <v/>
      </c>
      <c r="U25" s="2">
        <f>AND($J25,ISNUMBER(T25),correlation!$I$27=1)</f>
        <v/>
      </c>
      <c r="V25" s="5">
        <f>IF(U25,$F25,"")</f>
        <v/>
      </c>
      <c r="W25" s="5">
        <f>IF(U25,T25*correlation!$J$27,"")</f>
        <v/>
      </c>
      <c r="X25" s="5">
        <f>IF(AND(U25,ISNUMBER(correlation!$F$27)),W25*correlation!$F$27+correlation!$G$27,"")</f>
        <v/>
      </c>
      <c r="Y25" s="5">
        <f>IF(AND(U25,ISNUMBER(X25)),(V25-X25)^2,"")</f>
        <v/>
      </c>
      <c r="Z25" s="5">
        <f>IF(U25,1+SUMPRODUCT(--(calc!$U$3:$U$306=TRUE),--(calc!$V$3:$V$306&gt;V25))+(SUMPRODUCT(--(calc!$U$3:$U$306=TRUE),--(calc!$V$3:$V$306=V25))-1)/2,"")</f>
        <v/>
      </c>
      <c r="AA25" s="5">
        <f>IF(U25,1+SUMPRODUCT(--(calc!$U$3:$U$306=TRUE),--(calc!$W$3:$W$306&gt;W25))+(SUMPRODUCT(--(calc!$U$3:$U$306=TRUE),--(calc!$W$3:$W$306=W25))-1)/2,"")</f>
        <v/>
      </c>
      <c r="AB25" s="5">
        <f>IF(U25,SUMPRODUCT(--(calc!$U$3:$U$306=TRUE),--(ROW(calc!$U$3:$U$306)&gt;ROW(U25)),--(((calc!$Z$3:$Z$306&gt;Z25)*(calc!$AA$3:$AA$306&gt;AA25)+(calc!$Z$3:$Z$306&lt;Z25)*(calc!$AA$3:$AA$306&lt;AA25))&gt;0))-SUMPRODUCT(--(calc!$U$3:$U$306=TRUE),--(ROW(calc!$U$3:$U$306)&gt;ROW(U25)),--(((calc!$Z$3:$Z$306&gt;Z25)*(calc!$AA$3:$AA$306&lt;AA25)+(calc!$Z$3:$Z$306&lt;Z25)*(calc!$AA$3:$AA$306&gt;AA25))&gt;0)),0)</f>
        <v/>
      </c>
      <c r="AC25" s="5">
        <f>IF(mos_metrics!I24="","",mos_metrics!I24)</f>
        <v/>
      </c>
      <c r="AD25" s="2">
        <f>AND($J25,ISNUMBER(AC25),correlation!$I$28=1)</f>
        <v/>
      </c>
      <c r="AE25" s="5">
        <f>IF(AD25,$F25,"")</f>
        <v/>
      </c>
      <c r="AF25" s="5">
        <f>IF(AD25,AC25*correlation!$J$28,"")</f>
        <v/>
      </c>
      <c r="AG25" s="5">
        <f>IF(AND(AD25,ISNUMBER(correlation!$F$28)),AF25*correlation!$F$28+correlation!$G$28,"")</f>
        <v/>
      </c>
      <c r="AH25" s="5">
        <f>IF(AND(AD25,ISNUMBER(AG25)),(AE25-AG25)^2,"")</f>
        <v/>
      </c>
      <c r="AI25" s="5">
        <f>IF(AD25,1+SUMPRODUCT(--(calc!$AD$3:$AD$306=TRUE),--(calc!$AE$3:$AE$306&gt;AE25))+(SUMPRODUCT(--(calc!$AD$3:$AD$306=TRUE),--(calc!$AE$3:$AE$306=AE25))-1)/2,"")</f>
        <v/>
      </c>
      <c r="AJ25" s="5">
        <f>IF(AD25,1+SUMPRODUCT(--(calc!$AD$3:$AD$306=TRUE),--(calc!$AF$3:$AF$306&gt;AF25))+(SUMPRODUCT(--(calc!$AD$3:$AD$306=TRUE),--(calc!$AF$3:$AF$306=AF25))-1)/2,"")</f>
        <v/>
      </c>
      <c r="AK25" s="5">
        <f>IF(AD25,SUMPRODUCT(--(calc!$AD$3:$AD$306=TRUE),--(ROW(calc!$AD$3:$AD$306)&gt;ROW(AD25)),--(((calc!$AI$3:$AI$306&gt;AI25)*(calc!$AJ$3:$AJ$306&gt;AJ25)+(calc!$AI$3:$AI$306&lt;AI25)*(calc!$AJ$3:$AJ$306&lt;AJ25))&gt;0))-SUMPRODUCT(--(calc!$AD$3:$AD$306=TRUE),--(ROW(calc!$AD$3:$AD$306)&gt;ROW(AD25)),--(((calc!$AI$3:$AI$306&gt;AI25)*(calc!$AJ$3:$AJ$306&lt;AJ25)+(calc!$AI$3:$AI$306&lt;AI25)*(calc!$AJ$3:$AJ$306&gt;AJ25))&gt;0)),0)</f>
        <v/>
      </c>
      <c r="AL25" s="5">
        <f>IF(mos_metrics!J24="","",mos_metrics!J24)</f>
        <v/>
      </c>
      <c r="AM25" s="2">
        <f>AND($J25,ISNUMBER(AL25),correlation!$I$29=1)</f>
        <v/>
      </c>
      <c r="AN25" s="5">
        <f>IF(AM25,$F25,"")</f>
        <v/>
      </c>
      <c r="AO25" s="5">
        <f>IF(AM25,AL25*correlation!$J$29,"")</f>
        <v/>
      </c>
      <c r="AP25" s="5">
        <f>IF(AND(AM25,ISNUMBER(correlation!$F$29)),AO25*correlation!$F$29+correlation!$G$29,"")</f>
        <v/>
      </c>
      <c r="AQ25" s="5">
        <f>IF(AND(AM25,ISNUMBER(AP25)),(AN25-AP25)^2,"")</f>
        <v/>
      </c>
      <c r="AR25" s="5">
        <f>IF(AM25,1+SUMPRODUCT(--(calc!$AM$3:$AM$306=TRUE),--(calc!$AN$3:$AN$306&gt;AN25))+(SUMPRODUCT(--(calc!$AM$3:$AM$306=TRUE),--(calc!$AN$3:$AN$306=AN25))-1)/2,"")</f>
        <v/>
      </c>
      <c r="AS25" s="5">
        <f>IF(AM25,1+SUMPRODUCT(--(calc!$AM$3:$AM$306=TRUE),--(calc!$AO$3:$AO$306&gt;AO25))+(SUMPRODUCT(--(calc!$AM$3:$AM$306=TRUE),--(calc!$AO$3:$AO$306=AO25))-1)/2,"")</f>
        <v/>
      </c>
      <c r="AT25" s="5">
        <f>IF(AM25,SUMPRODUCT(--(calc!$AM$3:$AM$306=TRUE),--(ROW(calc!$AM$3:$AM$306)&gt;ROW(AM25)),--(((calc!$AR$3:$AR$306&gt;AR25)*(calc!$AS$3:$AS$306&gt;AS25)+(calc!$AR$3:$AR$306&lt;AR25)*(calc!$AS$3:$AS$306&lt;AS25))&gt;0))-SUMPRODUCT(--(calc!$AM$3:$AM$306=TRUE),--(ROW(calc!$AM$3:$AM$306)&gt;ROW(AM25)),--(((calc!$AR$3:$AR$306&gt;AR25)*(calc!$AS$3:$AS$306&lt;AS25)+(calc!$AR$3:$AR$306&lt;AR25)*(calc!$AS$3:$AS$306&gt;AS25))&gt;0)),0)</f>
        <v/>
      </c>
      <c r="AU25" s="5">
        <f>IF(mos_metrics!K24="","",mos_metrics!K24)</f>
        <v/>
      </c>
      <c r="AV25" s="2">
        <f>AND($J25,ISNUMBER(AU25),correlation!$I$30=1)</f>
        <v/>
      </c>
      <c r="AW25" s="5">
        <f>IF(AV25,$F25,"")</f>
        <v/>
      </c>
      <c r="AX25" s="5">
        <f>IF(AV25,AU25*correlation!$J$30,"")</f>
        <v/>
      </c>
      <c r="AY25" s="5">
        <f>IF(AND(AV25,ISNUMBER(correlation!$F$30)),AX25*correlation!$F$30+correlation!$G$30,"")</f>
        <v/>
      </c>
      <c r="AZ25" s="5">
        <f>IF(AND(AV25,ISNUMBER(AY25)),(AW25-AY25)^2,"")</f>
        <v/>
      </c>
      <c r="BA25" s="5">
        <f>IF(AV25,1+SUMPRODUCT(--(calc!$AV$3:$AV$306=TRUE),--(calc!$AW$3:$AW$306&gt;AW25))+(SUMPRODUCT(--(calc!$AV$3:$AV$306=TRUE),--(calc!$AW$3:$AW$306=AW25))-1)/2,"")</f>
        <v/>
      </c>
      <c r="BB25" s="5">
        <f>IF(AV25,1+SUMPRODUCT(--(calc!$AV$3:$AV$306=TRUE),--(calc!$AX$3:$AX$306&gt;AX25))+(SUMPRODUCT(--(calc!$AV$3:$AV$306=TRUE),--(calc!$AX$3:$AX$306=AX25))-1)/2,"")</f>
        <v/>
      </c>
      <c r="BC25" s="5">
        <f>IF(AV25,SUMPRODUCT(--(calc!$AV$3:$AV$306=TRUE),--(ROW(calc!$AV$3:$AV$306)&gt;ROW(AV25)),--(((calc!$BA$3:$BA$306&gt;BA25)*(calc!$BB$3:$BB$306&gt;BB25)+(calc!$BA$3:$BA$306&lt;BA25)*(calc!$BB$3:$BB$306&lt;BB25))&gt;0))-SUMPRODUCT(--(calc!$AV$3:$AV$306=TRUE),--(ROW(calc!$AV$3:$AV$306)&gt;ROW(AV25)),--(((calc!$BA$3:$BA$306&gt;BA25)*(calc!$BB$3:$BB$306&lt;BB25)+(calc!$BA$3:$BA$306&lt;BA25)*(calc!$BB$3:$BB$306&gt;BB25))&gt;0)),0)</f>
        <v/>
      </c>
      <c r="BD25" s="5">
        <f>IF(mos_metrics!L24="","",mos_metrics!L24)</f>
        <v/>
      </c>
      <c r="BE25" s="2">
        <f>AND($J25,ISNUMBER(BD25),correlation!$I$31=1)</f>
        <v/>
      </c>
      <c r="BF25" s="5">
        <f>IF(BE25,$F25,"")</f>
        <v/>
      </c>
      <c r="BG25" s="5">
        <f>IF(BE25,BD25*correlation!$J$31,"")</f>
        <v/>
      </c>
      <c r="BH25" s="5">
        <f>IF(AND(BE25,ISNUMBER(correlation!$F$31)),BG25*correlation!$F$31+correlation!$G$31,"")</f>
        <v/>
      </c>
      <c r="BI25" s="5">
        <f>IF(AND(BE25,ISNUMBER(BH25)),(BF25-BH25)^2,"")</f>
        <v/>
      </c>
      <c r="BJ25" s="5">
        <f>IF(BE25,1+SUMPRODUCT(--(calc!$BE$3:$BE$306=TRUE),--(calc!$BF$3:$BF$306&gt;BF25))+(SUMPRODUCT(--(calc!$BE$3:$BE$306=TRUE),--(calc!$BF$3:$BF$306=BF25))-1)/2,"")</f>
        <v/>
      </c>
      <c r="BK25" s="5">
        <f>IF(BE25,1+SUMPRODUCT(--(calc!$BE$3:$BE$306=TRUE),--(calc!$BG$3:$BG$306&gt;BG25))+(SUMPRODUCT(--(calc!$BE$3:$BE$306=TRUE),--(calc!$BG$3:$BG$306=BG25))-1)/2,"")</f>
        <v/>
      </c>
      <c r="BL25" s="5">
        <f>IF(BE25,SUMPRODUCT(--(calc!$BE$3:$BE$306=TRUE),--(ROW(calc!$BE$3:$BE$306)&gt;ROW(BE25)),--(((calc!$BJ$3:$BJ$306&gt;BJ25)*(calc!$BK$3:$BK$306&gt;BK25)+(calc!$BJ$3:$BJ$306&lt;BJ25)*(calc!$BK$3:$BK$306&lt;BK25))&gt;0))-SUMPRODUCT(--(calc!$BE$3:$BE$306=TRUE),--(ROW(calc!$BE$3:$BE$306)&gt;ROW(BE25)),--(((calc!$BJ$3:$BJ$306&gt;BJ25)*(calc!$BK$3:$BK$306&lt;BK25)+(calc!$BJ$3:$BJ$306&lt;BJ25)*(calc!$BK$3:$BK$306&gt;BK25))&gt;0)),0)</f>
        <v/>
      </c>
      <c r="BM25" s="5">
        <f>IF(mos_metrics!M24="","",mos_metrics!M24)</f>
        <v/>
      </c>
      <c r="BN25" s="2">
        <f>AND($J25,ISNUMBER(BM25),correlation!$I$32=1)</f>
        <v/>
      </c>
      <c r="BO25" s="5">
        <f>IF(BN25,$F25,"")</f>
        <v/>
      </c>
      <c r="BP25" s="5">
        <f>IF(BN25,BM25*correlation!$J$32,"")</f>
        <v/>
      </c>
      <c r="BQ25" s="5">
        <f>IF(AND(BN25,ISNUMBER(correlation!$F$32)),BP25*correlation!$F$32+correlation!$G$32,"")</f>
        <v/>
      </c>
      <c r="BR25" s="5">
        <f>IF(AND(BN25,ISNUMBER(BQ25)),(BO25-BQ25)^2,"")</f>
        <v/>
      </c>
      <c r="BS25" s="5">
        <f>IF(BN25,1+SUMPRODUCT(--(calc!$BN$3:$BN$306=TRUE),--(calc!$BO$3:$BO$306&gt;BO25))+(SUMPRODUCT(--(calc!$BN$3:$BN$306=TRUE),--(calc!$BO$3:$BO$306=BO25))-1)/2,"")</f>
        <v/>
      </c>
      <c r="BT25" s="5">
        <f>IF(BN25,1+SUMPRODUCT(--(calc!$BN$3:$BN$306=TRUE),--(calc!$BP$3:$BP$306&gt;BP25))+(SUMPRODUCT(--(calc!$BN$3:$BN$306=TRUE),--(calc!$BP$3:$BP$306=BP25))-1)/2,"")</f>
        <v/>
      </c>
      <c r="BU25" s="5">
        <f>IF(BN25,SUMPRODUCT(--(calc!$BN$3:$BN$306=TRUE),--(ROW(calc!$BN$3:$BN$306)&gt;ROW(BN25)),--(((calc!$BS$3:$BS$306&gt;BS25)*(calc!$BT$3:$BT$306&gt;BT25)+(calc!$BS$3:$BS$306&lt;BS25)*(calc!$BT$3:$BT$306&lt;BT25))&gt;0))-SUMPRODUCT(--(calc!$BN$3:$BN$306=TRUE),--(ROW(calc!$BN$3:$BN$306)&gt;ROW(BN25)),--(((calc!$BS$3:$BS$306&gt;BS25)*(calc!$BT$3:$BT$306&lt;BT25)+(calc!$BS$3:$BS$306&lt;BS25)*(calc!$BT$3:$BT$306&gt;BT25))&gt;0)),0)</f>
        <v/>
      </c>
    </row>
    <row r="26">
      <c r="A26" s="2">
        <f>mos_metrics!A25</f>
        <v/>
      </c>
      <c r="B26" s="2">
        <f>mos_metrics!B25</f>
        <v/>
      </c>
      <c r="C26" s="2">
        <f>mos_metrics!C25</f>
        <v/>
      </c>
      <c r="D26" s="2">
        <f>mos_metrics!D25</f>
        <v/>
      </c>
      <c r="E26" s="2">
        <f>mos_metrics!E25</f>
        <v/>
      </c>
      <c r="F26" s="2">
        <f>mos_metrics!F25</f>
        <v/>
      </c>
      <c r="G26" s="2">
        <f>IF($B26="","",IFERROR(VLOOKUP($B26,correlation!$A$2:$B$16,2,FALSE),1))</f>
        <v/>
      </c>
      <c r="H26" s="2">
        <f>IF($E26="","",IFERROR(VLOOKUP($E26,correlation!$D$2:$E$8,2,FALSE),1))</f>
        <v/>
      </c>
      <c r="I26" s="2">
        <f>ISNUMBER($F26)</f>
        <v/>
      </c>
      <c r="J26" s="2">
        <f>AND($G26=1,$H26=1,$I26)</f>
        <v/>
      </c>
      <c r="K26" s="5">
        <f>IF(mos_metrics!G25="","",mos_metrics!G25)</f>
        <v/>
      </c>
      <c r="L26" s="2">
        <f>AND($J26,ISNUMBER(K26),correlation!$I$26=1)</f>
        <v/>
      </c>
      <c r="M26" s="5">
        <f>IF(L26,$F26,"")</f>
        <v/>
      </c>
      <c r="N26" s="5">
        <f>IF(L26,K26*correlation!$J$26,"")</f>
        <v/>
      </c>
      <c r="O26" s="5">
        <f>IF(AND(L26,ISNUMBER(correlation!$F$26)),N26*correlation!$F$26+correlation!$G$26,"")</f>
        <v/>
      </c>
      <c r="P26" s="5">
        <f>IF(AND(L26,ISNUMBER(O26)),(M26-O26)^2,"")</f>
        <v/>
      </c>
      <c r="Q26" s="5">
        <f>IF(L26,1+SUMPRODUCT(--(calc!$L$3:$L$306=TRUE),--(calc!$M$3:$M$306&gt;M26))+(SUMPRODUCT(--(calc!$L$3:$L$306=TRUE),--(calc!$M$3:$M$306=M26))-1)/2,"")</f>
        <v/>
      </c>
      <c r="R26" s="5">
        <f>IF(L26,1+SUMPRODUCT(--(calc!$L$3:$L$306=TRUE),--(calc!$N$3:$N$306&gt;N26))+(SUMPRODUCT(--(calc!$L$3:$L$306=TRUE),--(calc!$N$3:$N$306=N26))-1)/2,"")</f>
        <v/>
      </c>
      <c r="S26" s="5">
        <f>IF(L26,SUMPRODUCT(--(calc!$L$3:$L$306=TRUE),--(ROW(calc!$L$3:$L$306)&gt;ROW(L26)),--(((calc!$Q$3:$Q$306&gt;Q26)*(calc!$R$3:$R$306&gt;R26)+(calc!$Q$3:$Q$306&lt;Q26)*(calc!$R$3:$R$306&lt;R26))&gt;0))-SUMPRODUCT(--(calc!$L$3:$L$306=TRUE),--(ROW(calc!$L$3:$L$306)&gt;ROW(L26)),--(((calc!$Q$3:$Q$306&gt;Q26)*(calc!$R$3:$R$306&lt;R26)+(calc!$Q$3:$Q$306&lt;Q26)*(calc!$R$3:$R$306&gt;R26))&gt;0)),0)</f>
        <v/>
      </c>
      <c r="T26" s="5">
        <f>IF(mos_metrics!H25="","",mos_metrics!H25)</f>
        <v/>
      </c>
      <c r="U26" s="2">
        <f>AND($J26,ISNUMBER(T26),correlation!$I$27=1)</f>
        <v/>
      </c>
      <c r="V26" s="5">
        <f>IF(U26,$F26,"")</f>
        <v/>
      </c>
      <c r="W26" s="5">
        <f>IF(U26,T26*correlation!$J$27,"")</f>
        <v/>
      </c>
      <c r="X26" s="5">
        <f>IF(AND(U26,ISNUMBER(correlation!$F$27)),W26*correlation!$F$27+correlation!$G$27,"")</f>
        <v/>
      </c>
      <c r="Y26" s="5">
        <f>IF(AND(U26,ISNUMBER(X26)),(V26-X26)^2,"")</f>
        <v/>
      </c>
      <c r="Z26" s="5">
        <f>IF(U26,1+SUMPRODUCT(--(calc!$U$3:$U$306=TRUE),--(calc!$V$3:$V$306&gt;V26))+(SUMPRODUCT(--(calc!$U$3:$U$306=TRUE),--(calc!$V$3:$V$306=V26))-1)/2,"")</f>
        <v/>
      </c>
      <c r="AA26" s="5">
        <f>IF(U26,1+SUMPRODUCT(--(calc!$U$3:$U$306=TRUE),--(calc!$W$3:$W$306&gt;W26))+(SUMPRODUCT(--(calc!$U$3:$U$306=TRUE),--(calc!$W$3:$W$306=W26))-1)/2,"")</f>
        <v/>
      </c>
      <c r="AB26" s="5">
        <f>IF(U26,SUMPRODUCT(--(calc!$U$3:$U$306=TRUE),--(ROW(calc!$U$3:$U$306)&gt;ROW(U26)),--(((calc!$Z$3:$Z$306&gt;Z26)*(calc!$AA$3:$AA$306&gt;AA26)+(calc!$Z$3:$Z$306&lt;Z26)*(calc!$AA$3:$AA$306&lt;AA26))&gt;0))-SUMPRODUCT(--(calc!$U$3:$U$306=TRUE),--(ROW(calc!$U$3:$U$306)&gt;ROW(U26)),--(((calc!$Z$3:$Z$306&gt;Z26)*(calc!$AA$3:$AA$306&lt;AA26)+(calc!$Z$3:$Z$306&lt;Z26)*(calc!$AA$3:$AA$306&gt;AA26))&gt;0)),0)</f>
        <v/>
      </c>
      <c r="AC26" s="5">
        <f>IF(mos_metrics!I25="","",mos_metrics!I25)</f>
        <v/>
      </c>
      <c r="AD26" s="2">
        <f>AND($J26,ISNUMBER(AC26),correlation!$I$28=1)</f>
        <v/>
      </c>
      <c r="AE26" s="5">
        <f>IF(AD26,$F26,"")</f>
        <v/>
      </c>
      <c r="AF26" s="5">
        <f>IF(AD26,AC26*correlation!$J$28,"")</f>
        <v/>
      </c>
      <c r="AG26" s="5">
        <f>IF(AND(AD26,ISNUMBER(correlation!$F$28)),AF26*correlation!$F$28+correlation!$G$28,"")</f>
        <v/>
      </c>
      <c r="AH26" s="5">
        <f>IF(AND(AD26,ISNUMBER(AG26)),(AE26-AG26)^2,"")</f>
        <v/>
      </c>
      <c r="AI26" s="5">
        <f>IF(AD26,1+SUMPRODUCT(--(calc!$AD$3:$AD$306=TRUE),--(calc!$AE$3:$AE$306&gt;AE26))+(SUMPRODUCT(--(calc!$AD$3:$AD$306=TRUE),--(calc!$AE$3:$AE$306=AE26))-1)/2,"")</f>
        <v/>
      </c>
      <c r="AJ26" s="5">
        <f>IF(AD26,1+SUMPRODUCT(--(calc!$AD$3:$AD$306=TRUE),--(calc!$AF$3:$AF$306&gt;AF26))+(SUMPRODUCT(--(calc!$AD$3:$AD$306=TRUE),--(calc!$AF$3:$AF$306=AF26))-1)/2,"")</f>
        <v/>
      </c>
      <c r="AK26" s="5">
        <f>IF(AD26,SUMPRODUCT(--(calc!$AD$3:$AD$306=TRUE),--(ROW(calc!$AD$3:$AD$306)&gt;ROW(AD26)),--(((calc!$AI$3:$AI$306&gt;AI26)*(calc!$AJ$3:$AJ$306&gt;AJ26)+(calc!$AI$3:$AI$306&lt;AI26)*(calc!$AJ$3:$AJ$306&lt;AJ26))&gt;0))-SUMPRODUCT(--(calc!$AD$3:$AD$306=TRUE),--(ROW(calc!$AD$3:$AD$306)&gt;ROW(AD26)),--(((calc!$AI$3:$AI$306&gt;AI26)*(calc!$AJ$3:$AJ$306&lt;AJ26)+(calc!$AI$3:$AI$306&lt;AI26)*(calc!$AJ$3:$AJ$306&gt;AJ26))&gt;0)),0)</f>
        <v/>
      </c>
      <c r="AL26" s="5">
        <f>IF(mos_metrics!J25="","",mos_metrics!J25)</f>
        <v/>
      </c>
      <c r="AM26" s="2">
        <f>AND($J26,ISNUMBER(AL26),correlation!$I$29=1)</f>
        <v/>
      </c>
      <c r="AN26" s="5">
        <f>IF(AM26,$F26,"")</f>
        <v/>
      </c>
      <c r="AO26" s="5">
        <f>IF(AM26,AL26*correlation!$J$29,"")</f>
        <v/>
      </c>
      <c r="AP26" s="5">
        <f>IF(AND(AM26,ISNUMBER(correlation!$F$29)),AO26*correlation!$F$29+correlation!$G$29,"")</f>
        <v/>
      </c>
      <c r="AQ26" s="5">
        <f>IF(AND(AM26,ISNUMBER(AP26)),(AN26-AP26)^2,"")</f>
        <v/>
      </c>
      <c r="AR26" s="5">
        <f>IF(AM26,1+SUMPRODUCT(--(calc!$AM$3:$AM$306=TRUE),--(calc!$AN$3:$AN$306&gt;AN26))+(SUMPRODUCT(--(calc!$AM$3:$AM$306=TRUE),--(calc!$AN$3:$AN$306=AN26))-1)/2,"")</f>
        <v/>
      </c>
      <c r="AS26" s="5">
        <f>IF(AM26,1+SUMPRODUCT(--(calc!$AM$3:$AM$306=TRUE),--(calc!$AO$3:$AO$306&gt;AO26))+(SUMPRODUCT(--(calc!$AM$3:$AM$306=TRUE),--(calc!$AO$3:$AO$306=AO26))-1)/2,"")</f>
        <v/>
      </c>
      <c r="AT26" s="5">
        <f>IF(AM26,SUMPRODUCT(--(calc!$AM$3:$AM$306=TRUE),--(ROW(calc!$AM$3:$AM$306)&gt;ROW(AM26)),--(((calc!$AR$3:$AR$306&gt;AR26)*(calc!$AS$3:$AS$306&gt;AS26)+(calc!$AR$3:$AR$306&lt;AR26)*(calc!$AS$3:$AS$306&lt;AS26))&gt;0))-SUMPRODUCT(--(calc!$AM$3:$AM$306=TRUE),--(ROW(calc!$AM$3:$AM$306)&gt;ROW(AM26)),--(((calc!$AR$3:$AR$306&gt;AR26)*(calc!$AS$3:$AS$306&lt;AS26)+(calc!$AR$3:$AR$306&lt;AR26)*(calc!$AS$3:$AS$306&gt;AS26))&gt;0)),0)</f>
        <v/>
      </c>
      <c r="AU26" s="5">
        <f>IF(mos_metrics!K25="","",mos_metrics!K25)</f>
        <v/>
      </c>
      <c r="AV26" s="2">
        <f>AND($J26,ISNUMBER(AU26),correlation!$I$30=1)</f>
        <v/>
      </c>
      <c r="AW26" s="5">
        <f>IF(AV26,$F26,"")</f>
        <v/>
      </c>
      <c r="AX26" s="5">
        <f>IF(AV26,AU26*correlation!$J$30,"")</f>
        <v/>
      </c>
      <c r="AY26" s="5">
        <f>IF(AND(AV26,ISNUMBER(correlation!$F$30)),AX26*correlation!$F$30+correlation!$G$30,"")</f>
        <v/>
      </c>
      <c r="AZ26" s="5">
        <f>IF(AND(AV26,ISNUMBER(AY26)),(AW26-AY26)^2,"")</f>
        <v/>
      </c>
      <c r="BA26" s="5">
        <f>IF(AV26,1+SUMPRODUCT(--(calc!$AV$3:$AV$306=TRUE),--(calc!$AW$3:$AW$306&gt;AW26))+(SUMPRODUCT(--(calc!$AV$3:$AV$306=TRUE),--(calc!$AW$3:$AW$306=AW26))-1)/2,"")</f>
        <v/>
      </c>
      <c r="BB26" s="5">
        <f>IF(AV26,1+SUMPRODUCT(--(calc!$AV$3:$AV$306=TRUE),--(calc!$AX$3:$AX$306&gt;AX26))+(SUMPRODUCT(--(calc!$AV$3:$AV$306=TRUE),--(calc!$AX$3:$AX$306=AX26))-1)/2,"")</f>
        <v/>
      </c>
      <c r="BC26" s="5">
        <f>IF(AV26,SUMPRODUCT(--(calc!$AV$3:$AV$306=TRUE),--(ROW(calc!$AV$3:$AV$306)&gt;ROW(AV26)),--(((calc!$BA$3:$BA$306&gt;BA26)*(calc!$BB$3:$BB$306&gt;BB26)+(calc!$BA$3:$BA$306&lt;BA26)*(calc!$BB$3:$BB$306&lt;BB26))&gt;0))-SUMPRODUCT(--(calc!$AV$3:$AV$306=TRUE),--(ROW(calc!$AV$3:$AV$306)&gt;ROW(AV26)),--(((calc!$BA$3:$BA$306&gt;BA26)*(calc!$BB$3:$BB$306&lt;BB26)+(calc!$BA$3:$BA$306&lt;BA26)*(calc!$BB$3:$BB$306&gt;BB26))&gt;0)),0)</f>
        <v/>
      </c>
      <c r="BD26" s="5">
        <f>IF(mos_metrics!L25="","",mos_metrics!L25)</f>
        <v/>
      </c>
      <c r="BE26" s="2">
        <f>AND($J26,ISNUMBER(BD26),correlation!$I$31=1)</f>
        <v/>
      </c>
      <c r="BF26" s="5">
        <f>IF(BE26,$F26,"")</f>
        <v/>
      </c>
      <c r="BG26" s="5">
        <f>IF(BE26,BD26*correlation!$J$31,"")</f>
        <v/>
      </c>
      <c r="BH26" s="5">
        <f>IF(AND(BE26,ISNUMBER(correlation!$F$31)),BG26*correlation!$F$31+correlation!$G$31,"")</f>
        <v/>
      </c>
      <c r="BI26" s="5">
        <f>IF(AND(BE26,ISNUMBER(BH26)),(BF26-BH26)^2,"")</f>
        <v/>
      </c>
      <c r="BJ26" s="5">
        <f>IF(BE26,1+SUMPRODUCT(--(calc!$BE$3:$BE$306=TRUE),--(calc!$BF$3:$BF$306&gt;BF26))+(SUMPRODUCT(--(calc!$BE$3:$BE$306=TRUE),--(calc!$BF$3:$BF$306=BF26))-1)/2,"")</f>
        <v/>
      </c>
      <c r="BK26" s="5">
        <f>IF(BE26,1+SUMPRODUCT(--(calc!$BE$3:$BE$306=TRUE),--(calc!$BG$3:$BG$306&gt;BG26))+(SUMPRODUCT(--(calc!$BE$3:$BE$306=TRUE),--(calc!$BG$3:$BG$306=BG26))-1)/2,"")</f>
        <v/>
      </c>
      <c r="BL26" s="5">
        <f>IF(BE26,SUMPRODUCT(--(calc!$BE$3:$BE$306=TRUE),--(ROW(calc!$BE$3:$BE$306)&gt;ROW(BE26)),--(((calc!$BJ$3:$BJ$306&gt;BJ26)*(calc!$BK$3:$BK$306&gt;BK26)+(calc!$BJ$3:$BJ$306&lt;BJ26)*(calc!$BK$3:$BK$306&lt;BK26))&gt;0))-SUMPRODUCT(--(calc!$BE$3:$BE$306=TRUE),--(ROW(calc!$BE$3:$BE$306)&gt;ROW(BE26)),--(((calc!$BJ$3:$BJ$306&gt;BJ26)*(calc!$BK$3:$BK$306&lt;BK26)+(calc!$BJ$3:$BJ$306&lt;BJ26)*(calc!$BK$3:$BK$306&gt;BK26))&gt;0)),0)</f>
        <v/>
      </c>
      <c r="BM26" s="5">
        <f>IF(mos_metrics!M25="","",mos_metrics!M25)</f>
        <v/>
      </c>
      <c r="BN26" s="2">
        <f>AND($J26,ISNUMBER(BM26),correlation!$I$32=1)</f>
        <v/>
      </c>
      <c r="BO26" s="5">
        <f>IF(BN26,$F26,"")</f>
        <v/>
      </c>
      <c r="BP26" s="5">
        <f>IF(BN26,BM26*correlation!$J$32,"")</f>
        <v/>
      </c>
      <c r="BQ26" s="5">
        <f>IF(AND(BN26,ISNUMBER(correlation!$F$32)),BP26*correlation!$F$32+correlation!$G$32,"")</f>
        <v/>
      </c>
      <c r="BR26" s="5">
        <f>IF(AND(BN26,ISNUMBER(BQ26)),(BO26-BQ26)^2,"")</f>
        <v/>
      </c>
      <c r="BS26" s="5">
        <f>IF(BN26,1+SUMPRODUCT(--(calc!$BN$3:$BN$306=TRUE),--(calc!$BO$3:$BO$306&gt;BO26))+(SUMPRODUCT(--(calc!$BN$3:$BN$306=TRUE),--(calc!$BO$3:$BO$306=BO26))-1)/2,"")</f>
        <v/>
      </c>
      <c r="BT26" s="5">
        <f>IF(BN26,1+SUMPRODUCT(--(calc!$BN$3:$BN$306=TRUE),--(calc!$BP$3:$BP$306&gt;BP26))+(SUMPRODUCT(--(calc!$BN$3:$BN$306=TRUE),--(calc!$BP$3:$BP$306=BP26))-1)/2,"")</f>
        <v/>
      </c>
      <c r="BU26" s="5">
        <f>IF(BN26,SUMPRODUCT(--(calc!$BN$3:$BN$306=TRUE),--(ROW(calc!$BN$3:$BN$306)&gt;ROW(BN26)),--(((calc!$BS$3:$BS$306&gt;BS26)*(calc!$BT$3:$BT$306&gt;BT26)+(calc!$BS$3:$BS$306&lt;BS26)*(calc!$BT$3:$BT$306&lt;BT26))&gt;0))-SUMPRODUCT(--(calc!$BN$3:$BN$306=TRUE),--(ROW(calc!$BN$3:$BN$306)&gt;ROW(BN26)),--(((calc!$BS$3:$BS$306&gt;BS26)*(calc!$BT$3:$BT$306&lt;BT26)+(calc!$BS$3:$BS$306&lt;BS26)*(calc!$BT$3:$BT$306&gt;BT26))&gt;0)),0)</f>
        <v/>
      </c>
    </row>
    <row r="27">
      <c r="A27" s="2">
        <f>mos_metrics!A26</f>
        <v/>
      </c>
      <c r="B27" s="2">
        <f>mos_metrics!B26</f>
        <v/>
      </c>
      <c r="C27" s="2">
        <f>mos_metrics!C26</f>
        <v/>
      </c>
      <c r="D27" s="2">
        <f>mos_metrics!D26</f>
        <v/>
      </c>
      <c r="E27" s="2">
        <f>mos_metrics!E26</f>
        <v/>
      </c>
      <c r="F27" s="2">
        <f>mos_metrics!F26</f>
        <v/>
      </c>
      <c r="G27" s="2">
        <f>IF($B27="","",IFERROR(VLOOKUP($B27,correlation!$A$2:$B$16,2,FALSE),1))</f>
        <v/>
      </c>
      <c r="H27" s="2">
        <f>IF($E27="","",IFERROR(VLOOKUP($E27,correlation!$D$2:$E$8,2,FALSE),1))</f>
        <v/>
      </c>
      <c r="I27" s="2">
        <f>ISNUMBER($F27)</f>
        <v/>
      </c>
      <c r="J27" s="2">
        <f>AND($G27=1,$H27=1,$I27)</f>
        <v/>
      </c>
      <c r="K27" s="5">
        <f>IF(mos_metrics!G26="","",mos_metrics!G26)</f>
        <v/>
      </c>
      <c r="L27" s="2">
        <f>AND($J27,ISNUMBER(K27),correlation!$I$26=1)</f>
        <v/>
      </c>
      <c r="M27" s="5">
        <f>IF(L27,$F27,"")</f>
        <v/>
      </c>
      <c r="N27" s="5">
        <f>IF(L27,K27*correlation!$J$26,"")</f>
        <v/>
      </c>
      <c r="O27" s="5">
        <f>IF(AND(L27,ISNUMBER(correlation!$F$26)),N27*correlation!$F$26+correlation!$G$26,"")</f>
        <v/>
      </c>
      <c r="P27" s="5">
        <f>IF(AND(L27,ISNUMBER(O27)),(M27-O27)^2,"")</f>
        <v/>
      </c>
      <c r="Q27" s="5">
        <f>IF(L27,1+SUMPRODUCT(--(calc!$L$3:$L$306=TRUE),--(calc!$M$3:$M$306&gt;M27))+(SUMPRODUCT(--(calc!$L$3:$L$306=TRUE),--(calc!$M$3:$M$306=M27))-1)/2,"")</f>
        <v/>
      </c>
      <c r="R27" s="5">
        <f>IF(L27,1+SUMPRODUCT(--(calc!$L$3:$L$306=TRUE),--(calc!$N$3:$N$306&gt;N27))+(SUMPRODUCT(--(calc!$L$3:$L$306=TRUE),--(calc!$N$3:$N$306=N27))-1)/2,"")</f>
        <v/>
      </c>
      <c r="S27" s="5">
        <f>IF(L27,SUMPRODUCT(--(calc!$L$3:$L$306=TRUE),--(ROW(calc!$L$3:$L$306)&gt;ROW(L27)),--(((calc!$Q$3:$Q$306&gt;Q27)*(calc!$R$3:$R$306&gt;R27)+(calc!$Q$3:$Q$306&lt;Q27)*(calc!$R$3:$R$306&lt;R27))&gt;0))-SUMPRODUCT(--(calc!$L$3:$L$306=TRUE),--(ROW(calc!$L$3:$L$306)&gt;ROW(L27)),--(((calc!$Q$3:$Q$306&gt;Q27)*(calc!$R$3:$R$306&lt;R27)+(calc!$Q$3:$Q$306&lt;Q27)*(calc!$R$3:$R$306&gt;R27))&gt;0)),0)</f>
        <v/>
      </c>
      <c r="T27" s="5">
        <f>IF(mos_metrics!H26="","",mos_metrics!H26)</f>
        <v/>
      </c>
      <c r="U27" s="2">
        <f>AND($J27,ISNUMBER(T27),correlation!$I$27=1)</f>
        <v/>
      </c>
      <c r="V27" s="5">
        <f>IF(U27,$F27,"")</f>
        <v/>
      </c>
      <c r="W27" s="5">
        <f>IF(U27,T27*correlation!$J$27,"")</f>
        <v/>
      </c>
      <c r="X27" s="5">
        <f>IF(AND(U27,ISNUMBER(correlation!$F$27)),W27*correlation!$F$27+correlation!$G$27,"")</f>
        <v/>
      </c>
      <c r="Y27" s="5">
        <f>IF(AND(U27,ISNUMBER(X27)),(V27-X27)^2,"")</f>
        <v/>
      </c>
      <c r="Z27" s="5">
        <f>IF(U27,1+SUMPRODUCT(--(calc!$U$3:$U$306=TRUE),--(calc!$V$3:$V$306&gt;V27))+(SUMPRODUCT(--(calc!$U$3:$U$306=TRUE),--(calc!$V$3:$V$306=V27))-1)/2,"")</f>
        <v/>
      </c>
      <c r="AA27" s="5">
        <f>IF(U27,1+SUMPRODUCT(--(calc!$U$3:$U$306=TRUE),--(calc!$W$3:$W$306&gt;W27))+(SUMPRODUCT(--(calc!$U$3:$U$306=TRUE),--(calc!$W$3:$W$306=W27))-1)/2,"")</f>
        <v/>
      </c>
      <c r="AB27" s="5">
        <f>IF(U27,SUMPRODUCT(--(calc!$U$3:$U$306=TRUE),--(ROW(calc!$U$3:$U$306)&gt;ROW(U27)),--(((calc!$Z$3:$Z$306&gt;Z27)*(calc!$AA$3:$AA$306&gt;AA27)+(calc!$Z$3:$Z$306&lt;Z27)*(calc!$AA$3:$AA$306&lt;AA27))&gt;0))-SUMPRODUCT(--(calc!$U$3:$U$306=TRUE),--(ROW(calc!$U$3:$U$306)&gt;ROW(U27)),--(((calc!$Z$3:$Z$306&gt;Z27)*(calc!$AA$3:$AA$306&lt;AA27)+(calc!$Z$3:$Z$306&lt;Z27)*(calc!$AA$3:$AA$306&gt;AA27))&gt;0)),0)</f>
        <v/>
      </c>
      <c r="AC27" s="5">
        <f>IF(mos_metrics!I26="","",mos_metrics!I26)</f>
        <v/>
      </c>
      <c r="AD27" s="2">
        <f>AND($J27,ISNUMBER(AC27),correlation!$I$28=1)</f>
        <v/>
      </c>
      <c r="AE27" s="5">
        <f>IF(AD27,$F27,"")</f>
        <v/>
      </c>
      <c r="AF27" s="5">
        <f>IF(AD27,AC27*correlation!$J$28,"")</f>
        <v/>
      </c>
      <c r="AG27" s="5">
        <f>IF(AND(AD27,ISNUMBER(correlation!$F$28)),AF27*correlation!$F$28+correlation!$G$28,"")</f>
        <v/>
      </c>
      <c r="AH27" s="5">
        <f>IF(AND(AD27,ISNUMBER(AG27)),(AE27-AG27)^2,"")</f>
        <v/>
      </c>
      <c r="AI27" s="5">
        <f>IF(AD27,1+SUMPRODUCT(--(calc!$AD$3:$AD$306=TRUE),--(calc!$AE$3:$AE$306&gt;AE27))+(SUMPRODUCT(--(calc!$AD$3:$AD$306=TRUE),--(calc!$AE$3:$AE$306=AE27))-1)/2,"")</f>
        <v/>
      </c>
      <c r="AJ27" s="5">
        <f>IF(AD27,1+SUMPRODUCT(--(calc!$AD$3:$AD$306=TRUE),--(calc!$AF$3:$AF$306&gt;AF27))+(SUMPRODUCT(--(calc!$AD$3:$AD$306=TRUE),--(calc!$AF$3:$AF$306=AF27))-1)/2,"")</f>
        <v/>
      </c>
      <c r="AK27" s="5">
        <f>IF(AD27,SUMPRODUCT(--(calc!$AD$3:$AD$306=TRUE),--(ROW(calc!$AD$3:$AD$306)&gt;ROW(AD27)),--(((calc!$AI$3:$AI$306&gt;AI27)*(calc!$AJ$3:$AJ$306&gt;AJ27)+(calc!$AI$3:$AI$306&lt;AI27)*(calc!$AJ$3:$AJ$306&lt;AJ27))&gt;0))-SUMPRODUCT(--(calc!$AD$3:$AD$306=TRUE),--(ROW(calc!$AD$3:$AD$306)&gt;ROW(AD27)),--(((calc!$AI$3:$AI$306&gt;AI27)*(calc!$AJ$3:$AJ$306&lt;AJ27)+(calc!$AI$3:$AI$306&lt;AI27)*(calc!$AJ$3:$AJ$306&gt;AJ27))&gt;0)),0)</f>
        <v/>
      </c>
      <c r="AL27" s="5">
        <f>IF(mos_metrics!J26="","",mos_metrics!J26)</f>
        <v/>
      </c>
      <c r="AM27" s="2">
        <f>AND($J27,ISNUMBER(AL27),correlation!$I$29=1)</f>
        <v/>
      </c>
      <c r="AN27" s="5">
        <f>IF(AM27,$F27,"")</f>
        <v/>
      </c>
      <c r="AO27" s="5">
        <f>IF(AM27,AL27*correlation!$J$29,"")</f>
        <v/>
      </c>
      <c r="AP27" s="5">
        <f>IF(AND(AM27,ISNUMBER(correlation!$F$29)),AO27*correlation!$F$29+correlation!$G$29,"")</f>
        <v/>
      </c>
      <c r="AQ27" s="5">
        <f>IF(AND(AM27,ISNUMBER(AP27)),(AN27-AP27)^2,"")</f>
        <v/>
      </c>
      <c r="AR27" s="5">
        <f>IF(AM27,1+SUMPRODUCT(--(calc!$AM$3:$AM$306=TRUE),--(calc!$AN$3:$AN$306&gt;AN27))+(SUMPRODUCT(--(calc!$AM$3:$AM$306=TRUE),--(calc!$AN$3:$AN$306=AN27))-1)/2,"")</f>
        <v/>
      </c>
      <c r="AS27" s="5">
        <f>IF(AM27,1+SUMPRODUCT(--(calc!$AM$3:$AM$306=TRUE),--(calc!$AO$3:$AO$306&gt;AO27))+(SUMPRODUCT(--(calc!$AM$3:$AM$306=TRUE),--(calc!$AO$3:$AO$306=AO27))-1)/2,"")</f>
        <v/>
      </c>
      <c r="AT27" s="5">
        <f>IF(AM27,SUMPRODUCT(--(calc!$AM$3:$AM$306=TRUE),--(ROW(calc!$AM$3:$AM$306)&gt;ROW(AM27)),--(((calc!$AR$3:$AR$306&gt;AR27)*(calc!$AS$3:$AS$306&gt;AS27)+(calc!$AR$3:$AR$306&lt;AR27)*(calc!$AS$3:$AS$306&lt;AS27))&gt;0))-SUMPRODUCT(--(calc!$AM$3:$AM$306=TRUE),--(ROW(calc!$AM$3:$AM$306)&gt;ROW(AM27)),--(((calc!$AR$3:$AR$306&gt;AR27)*(calc!$AS$3:$AS$306&lt;AS27)+(calc!$AR$3:$AR$306&lt;AR27)*(calc!$AS$3:$AS$306&gt;AS27))&gt;0)),0)</f>
        <v/>
      </c>
      <c r="AU27" s="5">
        <f>IF(mos_metrics!K26="","",mos_metrics!K26)</f>
        <v/>
      </c>
      <c r="AV27" s="2">
        <f>AND($J27,ISNUMBER(AU27),correlation!$I$30=1)</f>
        <v/>
      </c>
      <c r="AW27" s="5">
        <f>IF(AV27,$F27,"")</f>
        <v/>
      </c>
      <c r="AX27" s="5">
        <f>IF(AV27,AU27*correlation!$J$30,"")</f>
        <v/>
      </c>
      <c r="AY27" s="5">
        <f>IF(AND(AV27,ISNUMBER(correlation!$F$30)),AX27*correlation!$F$30+correlation!$G$30,"")</f>
        <v/>
      </c>
      <c r="AZ27" s="5">
        <f>IF(AND(AV27,ISNUMBER(AY27)),(AW27-AY27)^2,"")</f>
        <v/>
      </c>
      <c r="BA27" s="5">
        <f>IF(AV27,1+SUMPRODUCT(--(calc!$AV$3:$AV$306=TRUE),--(calc!$AW$3:$AW$306&gt;AW27))+(SUMPRODUCT(--(calc!$AV$3:$AV$306=TRUE),--(calc!$AW$3:$AW$306=AW27))-1)/2,"")</f>
        <v/>
      </c>
      <c r="BB27" s="5">
        <f>IF(AV27,1+SUMPRODUCT(--(calc!$AV$3:$AV$306=TRUE),--(calc!$AX$3:$AX$306&gt;AX27))+(SUMPRODUCT(--(calc!$AV$3:$AV$306=TRUE),--(calc!$AX$3:$AX$306=AX27))-1)/2,"")</f>
        <v/>
      </c>
      <c r="BC27" s="5">
        <f>IF(AV27,SUMPRODUCT(--(calc!$AV$3:$AV$306=TRUE),--(ROW(calc!$AV$3:$AV$306)&gt;ROW(AV27)),--(((calc!$BA$3:$BA$306&gt;BA27)*(calc!$BB$3:$BB$306&gt;BB27)+(calc!$BA$3:$BA$306&lt;BA27)*(calc!$BB$3:$BB$306&lt;BB27))&gt;0))-SUMPRODUCT(--(calc!$AV$3:$AV$306=TRUE),--(ROW(calc!$AV$3:$AV$306)&gt;ROW(AV27)),--(((calc!$BA$3:$BA$306&gt;BA27)*(calc!$BB$3:$BB$306&lt;BB27)+(calc!$BA$3:$BA$306&lt;BA27)*(calc!$BB$3:$BB$306&gt;BB27))&gt;0)),0)</f>
        <v/>
      </c>
      <c r="BD27" s="5">
        <f>IF(mos_metrics!L26="","",mos_metrics!L26)</f>
        <v/>
      </c>
      <c r="BE27" s="2">
        <f>AND($J27,ISNUMBER(BD27),correlation!$I$31=1)</f>
        <v/>
      </c>
      <c r="BF27" s="5">
        <f>IF(BE27,$F27,"")</f>
        <v/>
      </c>
      <c r="BG27" s="5">
        <f>IF(BE27,BD27*correlation!$J$31,"")</f>
        <v/>
      </c>
      <c r="BH27" s="5">
        <f>IF(AND(BE27,ISNUMBER(correlation!$F$31)),BG27*correlation!$F$31+correlation!$G$31,"")</f>
        <v/>
      </c>
      <c r="BI27" s="5">
        <f>IF(AND(BE27,ISNUMBER(BH27)),(BF27-BH27)^2,"")</f>
        <v/>
      </c>
      <c r="BJ27" s="5">
        <f>IF(BE27,1+SUMPRODUCT(--(calc!$BE$3:$BE$306=TRUE),--(calc!$BF$3:$BF$306&gt;BF27))+(SUMPRODUCT(--(calc!$BE$3:$BE$306=TRUE),--(calc!$BF$3:$BF$306=BF27))-1)/2,"")</f>
        <v/>
      </c>
      <c r="BK27" s="5">
        <f>IF(BE27,1+SUMPRODUCT(--(calc!$BE$3:$BE$306=TRUE),--(calc!$BG$3:$BG$306&gt;BG27))+(SUMPRODUCT(--(calc!$BE$3:$BE$306=TRUE),--(calc!$BG$3:$BG$306=BG27))-1)/2,"")</f>
        <v/>
      </c>
      <c r="BL27" s="5">
        <f>IF(BE27,SUMPRODUCT(--(calc!$BE$3:$BE$306=TRUE),--(ROW(calc!$BE$3:$BE$306)&gt;ROW(BE27)),--(((calc!$BJ$3:$BJ$306&gt;BJ27)*(calc!$BK$3:$BK$306&gt;BK27)+(calc!$BJ$3:$BJ$306&lt;BJ27)*(calc!$BK$3:$BK$306&lt;BK27))&gt;0))-SUMPRODUCT(--(calc!$BE$3:$BE$306=TRUE),--(ROW(calc!$BE$3:$BE$306)&gt;ROW(BE27)),--(((calc!$BJ$3:$BJ$306&gt;BJ27)*(calc!$BK$3:$BK$306&lt;BK27)+(calc!$BJ$3:$BJ$306&lt;BJ27)*(calc!$BK$3:$BK$306&gt;BK27))&gt;0)),0)</f>
        <v/>
      </c>
      <c r="BM27" s="5">
        <f>IF(mos_metrics!M26="","",mos_metrics!M26)</f>
        <v/>
      </c>
      <c r="BN27" s="2">
        <f>AND($J27,ISNUMBER(BM27),correlation!$I$32=1)</f>
        <v/>
      </c>
      <c r="BO27" s="5">
        <f>IF(BN27,$F27,"")</f>
        <v/>
      </c>
      <c r="BP27" s="5">
        <f>IF(BN27,BM27*correlation!$J$32,"")</f>
        <v/>
      </c>
      <c r="BQ27" s="5">
        <f>IF(AND(BN27,ISNUMBER(correlation!$F$32)),BP27*correlation!$F$32+correlation!$G$32,"")</f>
        <v/>
      </c>
      <c r="BR27" s="5">
        <f>IF(AND(BN27,ISNUMBER(BQ27)),(BO27-BQ27)^2,"")</f>
        <v/>
      </c>
      <c r="BS27" s="5">
        <f>IF(BN27,1+SUMPRODUCT(--(calc!$BN$3:$BN$306=TRUE),--(calc!$BO$3:$BO$306&gt;BO27))+(SUMPRODUCT(--(calc!$BN$3:$BN$306=TRUE),--(calc!$BO$3:$BO$306=BO27))-1)/2,"")</f>
        <v/>
      </c>
      <c r="BT27" s="5">
        <f>IF(BN27,1+SUMPRODUCT(--(calc!$BN$3:$BN$306=TRUE),--(calc!$BP$3:$BP$306&gt;BP27))+(SUMPRODUCT(--(calc!$BN$3:$BN$306=TRUE),--(calc!$BP$3:$BP$306=BP27))-1)/2,"")</f>
        <v/>
      </c>
      <c r="BU27" s="5">
        <f>IF(BN27,SUMPRODUCT(--(calc!$BN$3:$BN$306=TRUE),--(ROW(calc!$BN$3:$BN$306)&gt;ROW(BN27)),--(((calc!$BS$3:$BS$306&gt;BS27)*(calc!$BT$3:$BT$306&gt;BT27)+(calc!$BS$3:$BS$306&lt;BS27)*(calc!$BT$3:$BT$306&lt;BT27))&gt;0))-SUMPRODUCT(--(calc!$BN$3:$BN$306=TRUE),--(ROW(calc!$BN$3:$BN$306)&gt;ROW(BN27)),--(((calc!$BS$3:$BS$306&gt;BS27)*(calc!$BT$3:$BT$306&lt;BT27)+(calc!$BS$3:$BS$306&lt;BS27)*(calc!$BT$3:$BT$306&gt;BT27))&gt;0)),0)</f>
        <v/>
      </c>
    </row>
    <row r="28">
      <c r="A28" s="2">
        <f>mos_metrics!A27</f>
        <v/>
      </c>
      <c r="B28" s="2">
        <f>mos_metrics!B27</f>
        <v/>
      </c>
      <c r="C28" s="2">
        <f>mos_metrics!C27</f>
        <v/>
      </c>
      <c r="D28" s="2">
        <f>mos_metrics!D27</f>
        <v/>
      </c>
      <c r="E28" s="2">
        <f>mos_metrics!E27</f>
        <v/>
      </c>
      <c r="F28" s="2">
        <f>mos_metrics!F27</f>
        <v/>
      </c>
      <c r="G28" s="2">
        <f>IF($B28="","",IFERROR(VLOOKUP($B28,correlation!$A$2:$B$16,2,FALSE),1))</f>
        <v/>
      </c>
      <c r="H28" s="2">
        <f>IF($E28="","",IFERROR(VLOOKUP($E28,correlation!$D$2:$E$8,2,FALSE),1))</f>
        <v/>
      </c>
      <c r="I28" s="2">
        <f>ISNUMBER($F28)</f>
        <v/>
      </c>
      <c r="J28" s="2">
        <f>AND($G28=1,$H28=1,$I28)</f>
        <v/>
      </c>
      <c r="K28" s="5">
        <f>IF(mos_metrics!G27="","",mos_metrics!G27)</f>
        <v/>
      </c>
      <c r="L28" s="2">
        <f>AND($J28,ISNUMBER(K28),correlation!$I$26=1)</f>
        <v/>
      </c>
      <c r="M28" s="5">
        <f>IF(L28,$F28,"")</f>
        <v/>
      </c>
      <c r="N28" s="5">
        <f>IF(L28,K28*correlation!$J$26,"")</f>
        <v/>
      </c>
      <c r="O28" s="5">
        <f>IF(AND(L28,ISNUMBER(correlation!$F$26)),N28*correlation!$F$26+correlation!$G$26,"")</f>
        <v/>
      </c>
      <c r="P28" s="5">
        <f>IF(AND(L28,ISNUMBER(O28)),(M28-O28)^2,"")</f>
        <v/>
      </c>
      <c r="Q28" s="5">
        <f>IF(L28,1+SUMPRODUCT(--(calc!$L$3:$L$306=TRUE),--(calc!$M$3:$M$306&gt;M28))+(SUMPRODUCT(--(calc!$L$3:$L$306=TRUE),--(calc!$M$3:$M$306=M28))-1)/2,"")</f>
        <v/>
      </c>
      <c r="R28" s="5">
        <f>IF(L28,1+SUMPRODUCT(--(calc!$L$3:$L$306=TRUE),--(calc!$N$3:$N$306&gt;N28))+(SUMPRODUCT(--(calc!$L$3:$L$306=TRUE),--(calc!$N$3:$N$306=N28))-1)/2,"")</f>
        <v/>
      </c>
      <c r="S28" s="5">
        <f>IF(L28,SUMPRODUCT(--(calc!$L$3:$L$306=TRUE),--(ROW(calc!$L$3:$L$306)&gt;ROW(L28)),--(((calc!$Q$3:$Q$306&gt;Q28)*(calc!$R$3:$R$306&gt;R28)+(calc!$Q$3:$Q$306&lt;Q28)*(calc!$R$3:$R$306&lt;R28))&gt;0))-SUMPRODUCT(--(calc!$L$3:$L$306=TRUE),--(ROW(calc!$L$3:$L$306)&gt;ROW(L28)),--(((calc!$Q$3:$Q$306&gt;Q28)*(calc!$R$3:$R$306&lt;R28)+(calc!$Q$3:$Q$306&lt;Q28)*(calc!$R$3:$R$306&gt;R28))&gt;0)),0)</f>
        <v/>
      </c>
      <c r="T28" s="5">
        <f>IF(mos_metrics!H27="","",mos_metrics!H27)</f>
        <v/>
      </c>
      <c r="U28" s="2">
        <f>AND($J28,ISNUMBER(T28),correlation!$I$27=1)</f>
        <v/>
      </c>
      <c r="V28" s="5">
        <f>IF(U28,$F28,"")</f>
        <v/>
      </c>
      <c r="W28" s="5">
        <f>IF(U28,T28*correlation!$J$27,"")</f>
        <v/>
      </c>
      <c r="X28" s="5">
        <f>IF(AND(U28,ISNUMBER(correlation!$F$27)),W28*correlation!$F$27+correlation!$G$27,"")</f>
        <v/>
      </c>
      <c r="Y28" s="5">
        <f>IF(AND(U28,ISNUMBER(X28)),(V28-X28)^2,"")</f>
        <v/>
      </c>
      <c r="Z28" s="5">
        <f>IF(U28,1+SUMPRODUCT(--(calc!$U$3:$U$306=TRUE),--(calc!$V$3:$V$306&gt;V28))+(SUMPRODUCT(--(calc!$U$3:$U$306=TRUE),--(calc!$V$3:$V$306=V28))-1)/2,"")</f>
        <v/>
      </c>
      <c r="AA28" s="5">
        <f>IF(U28,1+SUMPRODUCT(--(calc!$U$3:$U$306=TRUE),--(calc!$W$3:$W$306&gt;W28))+(SUMPRODUCT(--(calc!$U$3:$U$306=TRUE),--(calc!$W$3:$W$306=W28))-1)/2,"")</f>
        <v/>
      </c>
      <c r="AB28" s="5">
        <f>IF(U28,SUMPRODUCT(--(calc!$U$3:$U$306=TRUE),--(ROW(calc!$U$3:$U$306)&gt;ROW(U28)),--(((calc!$Z$3:$Z$306&gt;Z28)*(calc!$AA$3:$AA$306&gt;AA28)+(calc!$Z$3:$Z$306&lt;Z28)*(calc!$AA$3:$AA$306&lt;AA28))&gt;0))-SUMPRODUCT(--(calc!$U$3:$U$306=TRUE),--(ROW(calc!$U$3:$U$306)&gt;ROW(U28)),--(((calc!$Z$3:$Z$306&gt;Z28)*(calc!$AA$3:$AA$306&lt;AA28)+(calc!$Z$3:$Z$306&lt;Z28)*(calc!$AA$3:$AA$306&gt;AA28))&gt;0)),0)</f>
        <v/>
      </c>
      <c r="AC28" s="5">
        <f>IF(mos_metrics!I27="","",mos_metrics!I27)</f>
        <v/>
      </c>
      <c r="AD28" s="2">
        <f>AND($J28,ISNUMBER(AC28),correlation!$I$28=1)</f>
        <v/>
      </c>
      <c r="AE28" s="5">
        <f>IF(AD28,$F28,"")</f>
        <v/>
      </c>
      <c r="AF28" s="5">
        <f>IF(AD28,AC28*correlation!$J$28,"")</f>
        <v/>
      </c>
      <c r="AG28" s="5">
        <f>IF(AND(AD28,ISNUMBER(correlation!$F$28)),AF28*correlation!$F$28+correlation!$G$28,"")</f>
        <v/>
      </c>
      <c r="AH28" s="5">
        <f>IF(AND(AD28,ISNUMBER(AG28)),(AE28-AG28)^2,"")</f>
        <v/>
      </c>
      <c r="AI28" s="5">
        <f>IF(AD28,1+SUMPRODUCT(--(calc!$AD$3:$AD$306=TRUE),--(calc!$AE$3:$AE$306&gt;AE28))+(SUMPRODUCT(--(calc!$AD$3:$AD$306=TRUE),--(calc!$AE$3:$AE$306=AE28))-1)/2,"")</f>
        <v/>
      </c>
      <c r="AJ28" s="5">
        <f>IF(AD28,1+SUMPRODUCT(--(calc!$AD$3:$AD$306=TRUE),--(calc!$AF$3:$AF$306&gt;AF28))+(SUMPRODUCT(--(calc!$AD$3:$AD$306=TRUE),--(calc!$AF$3:$AF$306=AF28))-1)/2,"")</f>
        <v/>
      </c>
      <c r="AK28" s="5">
        <f>IF(AD28,SUMPRODUCT(--(calc!$AD$3:$AD$306=TRUE),--(ROW(calc!$AD$3:$AD$306)&gt;ROW(AD28)),--(((calc!$AI$3:$AI$306&gt;AI28)*(calc!$AJ$3:$AJ$306&gt;AJ28)+(calc!$AI$3:$AI$306&lt;AI28)*(calc!$AJ$3:$AJ$306&lt;AJ28))&gt;0))-SUMPRODUCT(--(calc!$AD$3:$AD$306=TRUE),--(ROW(calc!$AD$3:$AD$306)&gt;ROW(AD28)),--(((calc!$AI$3:$AI$306&gt;AI28)*(calc!$AJ$3:$AJ$306&lt;AJ28)+(calc!$AI$3:$AI$306&lt;AI28)*(calc!$AJ$3:$AJ$306&gt;AJ28))&gt;0)),0)</f>
        <v/>
      </c>
      <c r="AL28" s="5">
        <f>IF(mos_metrics!J27="","",mos_metrics!J27)</f>
        <v/>
      </c>
      <c r="AM28" s="2">
        <f>AND($J28,ISNUMBER(AL28),correlation!$I$29=1)</f>
        <v/>
      </c>
      <c r="AN28" s="5">
        <f>IF(AM28,$F28,"")</f>
        <v/>
      </c>
      <c r="AO28" s="5">
        <f>IF(AM28,AL28*correlation!$J$29,"")</f>
        <v/>
      </c>
      <c r="AP28" s="5">
        <f>IF(AND(AM28,ISNUMBER(correlation!$F$29)),AO28*correlation!$F$29+correlation!$G$29,"")</f>
        <v/>
      </c>
      <c r="AQ28" s="5">
        <f>IF(AND(AM28,ISNUMBER(AP28)),(AN28-AP28)^2,"")</f>
        <v/>
      </c>
      <c r="AR28" s="5">
        <f>IF(AM28,1+SUMPRODUCT(--(calc!$AM$3:$AM$306=TRUE),--(calc!$AN$3:$AN$306&gt;AN28))+(SUMPRODUCT(--(calc!$AM$3:$AM$306=TRUE),--(calc!$AN$3:$AN$306=AN28))-1)/2,"")</f>
        <v/>
      </c>
      <c r="AS28" s="5">
        <f>IF(AM28,1+SUMPRODUCT(--(calc!$AM$3:$AM$306=TRUE),--(calc!$AO$3:$AO$306&gt;AO28))+(SUMPRODUCT(--(calc!$AM$3:$AM$306=TRUE),--(calc!$AO$3:$AO$306=AO28))-1)/2,"")</f>
        <v/>
      </c>
      <c r="AT28" s="5">
        <f>IF(AM28,SUMPRODUCT(--(calc!$AM$3:$AM$306=TRUE),--(ROW(calc!$AM$3:$AM$306)&gt;ROW(AM28)),--(((calc!$AR$3:$AR$306&gt;AR28)*(calc!$AS$3:$AS$306&gt;AS28)+(calc!$AR$3:$AR$306&lt;AR28)*(calc!$AS$3:$AS$306&lt;AS28))&gt;0))-SUMPRODUCT(--(calc!$AM$3:$AM$306=TRUE),--(ROW(calc!$AM$3:$AM$306)&gt;ROW(AM28)),--(((calc!$AR$3:$AR$306&gt;AR28)*(calc!$AS$3:$AS$306&lt;AS28)+(calc!$AR$3:$AR$306&lt;AR28)*(calc!$AS$3:$AS$306&gt;AS28))&gt;0)),0)</f>
        <v/>
      </c>
      <c r="AU28" s="5">
        <f>IF(mos_metrics!K27="","",mos_metrics!K27)</f>
        <v/>
      </c>
      <c r="AV28" s="2">
        <f>AND($J28,ISNUMBER(AU28),correlation!$I$30=1)</f>
        <v/>
      </c>
      <c r="AW28" s="5">
        <f>IF(AV28,$F28,"")</f>
        <v/>
      </c>
      <c r="AX28" s="5">
        <f>IF(AV28,AU28*correlation!$J$30,"")</f>
        <v/>
      </c>
      <c r="AY28" s="5">
        <f>IF(AND(AV28,ISNUMBER(correlation!$F$30)),AX28*correlation!$F$30+correlation!$G$30,"")</f>
        <v/>
      </c>
      <c r="AZ28" s="5">
        <f>IF(AND(AV28,ISNUMBER(AY28)),(AW28-AY28)^2,"")</f>
        <v/>
      </c>
      <c r="BA28" s="5">
        <f>IF(AV28,1+SUMPRODUCT(--(calc!$AV$3:$AV$306=TRUE),--(calc!$AW$3:$AW$306&gt;AW28))+(SUMPRODUCT(--(calc!$AV$3:$AV$306=TRUE),--(calc!$AW$3:$AW$306=AW28))-1)/2,"")</f>
        <v/>
      </c>
      <c r="BB28" s="5">
        <f>IF(AV28,1+SUMPRODUCT(--(calc!$AV$3:$AV$306=TRUE),--(calc!$AX$3:$AX$306&gt;AX28))+(SUMPRODUCT(--(calc!$AV$3:$AV$306=TRUE),--(calc!$AX$3:$AX$306=AX28))-1)/2,"")</f>
        <v/>
      </c>
      <c r="BC28" s="5">
        <f>IF(AV28,SUMPRODUCT(--(calc!$AV$3:$AV$306=TRUE),--(ROW(calc!$AV$3:$AV$306)&gt;ROW(AV28)),--(((calc!$BA$3:$BA$306&gt;BA28)*(calc!$BB$3:$BB$306&gt;BB28)+(calc!$BA$3:$BA$306&lt;BA28)*(calc!$BB$3:$BB$306&lt;BB28))&gt;0))-SUMPRODUCT(--(calc!$AV$3:$AV$306=TRUE),--(ROW(calc!$AV$3:$AV$306)&gt;ROW(AV28)),--(((calc!$BA$3:$BA$306&gt;BA28)*(calc!$BB$3:$BB$306&lt;BB28)+(calc!$BA$3:$BA$306&lt;BA28)*(calc!$BB$3:$BB$306&gt;BB28))&gt;0)),0)</f>
        <v/>
      </c>
      <c r="BD28" s="5">
        <f>IF(mos_metrics!L27="","",mos_metrics!L27)</f>
        <v/>
      </c>
      <c r="BE28" s="2">
        <f>AND($J28,ISNUMBER(BD28),correlation!$I$31=1)</f>
        <v/>
      </c>
      <c r="BF28" s="5">
        <f>IF(BE28,$F28,"")</f>
        <v/>
      </c>
      <c r="BG28" s="5">
        <f>IF(BE28,BD28*correlation!$J$31,"")</f>
        <v/>
      </c>
      <c r="BH28" s="5">
        <f>IF(AND(BE28,ISNUMBER(correlation!$F$31)),BG28*correlation!$F$31+correlation!$G$31,"")</f>
        <v/>
      </c>
      <c r="BI28" s="5">
        <f>IF(AND(BE28,ISNUMBER(BH28)),(BF28-BH28)^2,"")</f>
        <v/>
      </c>
      <c r="BJ28" s="5">
        <f>IF(BE28,1+SUMPRODUCT(--(calc!$BE$3:$BE$306=TRUE),--(calc!$BF$3:$BF$306&gt;BF28))+(SUMPRODUCT(--(calc!$BE$3:$BE$306=TRUE),--(calc!$BF$3:$BF$306=BF28))-1)/2,"")</f>
        <v/>
      </c>
      <c r="BK28" s="5">
        <f>IF(BE28,1+SUMPRODUCT(--(calc!$BE$3:$BE$306=TRUE),--(calc!$BG$3:$BG$306&gt;BG28))+(SUMPRODUCT(--(calc!$BE$3:$BE$306=TRUE),--(calc!$BG$3:$BG$306=BG28))-1)/2,"")</f>
        <v/>
      </c>
      <c r="BL28" s="5">
        <f>IF(BE28,SUMPRODUCT(--(calc!$BE$3:$BE$306=TRUE),--(ROW(calc!$BE$3:$BE$306)&gt;ROW(BE28)),--(((calc!$BJ$3:$BJ$306&gt;BJ28)*(calc!$BK$3:$BK$306&gt;BK28)+(calc!$BJ$3:$BJ$306&lt;BJ28)*(calc!$BK$3:$BK$306&lt;BK28))&gt;0))-SUMPRODUCT(--(calc!$BE$3:$BE$306=TRUE),--(ROW(calc!$BE$3:$BE$306)&gt;ROW(BE28)),--(((calc!$BJ$3:$BJ$306&gt;BJ28)*(calc!$BK$3:$BK$306&lt;BK28)+(calc!$BJ$3:$BJ$306&lt;BJ28)*(calc!$BK$3:$BK$306&gt;BK28))&gt;0)),0)</f>
        <v/>
      </c>
      <c r="BM28" s="5">
        <f>IF(mos_metrics!M27="","",mos_metrics!M27)</f>
        <v/>
      </c>
      <c r="BN28" s="2">
        <f>AND($J28,ISNUMBER(BM28),correlation!$I$32=1)</f>
        <v/>
      </c>
      <c r="BO28" s="5">
        <f>IF(BN28,$F28,"")</f>
        <v/>
      </c>
      <c r="BP28" s="5">
        <f>IF(BN28,BM28*correlation!$J$32,"")</f>
        <v/>
      </c>
      <c r="BQ28" s="5">
        <f>IF(AND(BN28,ISNUMBER(correlation!$F$32)),BP28*correlation!$F$32+correlation!$G$32,"")</f>
        <v/>
      </c>
      <c r="BR28" s="5">
        <f>IF(AND(BN28,ISNUMBER(BQ28)),(BO28-BQ28)^2,"")</f>
        <v/>
      </c>
      <c r="BS28" s="5">
        <f>IF(BN28,1+SUMPRODUCT(--(calc!$BN$3:$BN$306=TRUE),--(calc!$BO$3:$BO$306&gt;BO28))+(SUMPRODUCT(--(calc!$BN$3:$BN$306=TRUE),--(calc!$BO$3:$BO$306=BO28))-1)/2,"")</f>
        <v/>
      </c>
      <c r="BT28" s="5">
        <f>IF(BN28,1+SUMPRODUCT(--(calc!$BN$3:$BN$306=TRUE),--(calc!$BP$3:$BP$306&gt;BP28))+(SUMPRODUCT(--(calc!$BN$3:$BN$306=TRUE),--(calc!$BP$3:$BP$306=BP28))-1)/2,"")</f>
        <v/>
      </c>
      <c r="BU28" s="5">
        <f>IF(BN28,SUMPRODUCT(--(calc!$BN$3:$BN$306=TRUE),--(ROW(calc!$BN$3:$BN$306)&gt;ROW(BN28)),--(((calc!$BS$3:$BS$306&gt;BS28)*(calc!$BT$3:$BT$306&gt;BT28)+(calc!$BS$3:$BS$306&lt;BS28)*(calc!$BT$3:$BT$306&lt;BT28))&gt;0))-SUMPRODUCT(--(calc!$BN$3:$BN$306=TRUE),--(ROW(calc!$BN$3:$BN$306)&gt;ROW(BN28)),--(((calc!$BS$3:$BS$306&gt;BS28)*(calc!$BT$3:$BT$306&lt;BT28)+(calc!$BS$3:$BS$306&lt;BS28)*(calc!$BT$3:$BT$306&gt;BT28))&gt;0)),0)</f>
        <v/>
      </c>
    </row>
    <row r="29">
      <c r="A29" s="2">
        <f>mos_metrics!A28</f>
        <v/>
      </c>
      <c r="B29" s="2">
        <f>mos_metrics!B28</f>
        <v/>
      </c>
      <c r="C29" s="2">
        <f>mos_metrics!C28</f>
        <v/>
      </c>
      <c r="D29" s="2">
        <f>mos_metrics!D28</f>
        <v/>
      </c>
      <c r="E29" s="2">
        <f>mos_metrics!E28</f>
        <v/>
      </c>
      <c r="F29" s="2">
        <f>mos_metrics!F28</f>
        <v/>
      </c>
      <c r="G29" s="2">
        <f>IF($B29="","",IFERROR(VLOOKUP($B29,correlation!$A$2:$B$16,2,FALSE),1))</f>
        <v/>
      </c>
      <c r="H29" s="2">
        <f>IF($E29="","",IFERROR(VLOOKUP($E29,correlation!$D$2:$E$8,2,FALSE),1))</f>
        <v/>
      </c>
      <c r="I29" s="2">
        <f>ISNUMBER($F29)</f>
        <v/>
      </c>
      <c r="J29" s="2">
        <f>AND($G29=1,$H29=1,$I29)</f>
        <v/>
      </c>
      <c r="K29" s="5">
        <f>IF(mos_metrics!G28="","",mos_metrics!G28)</f>
        <v/>
      </c>
      <c r="L29" s="2">
        <f>AND($J29,ISNUMBER(K29),correlation!$I$26=1)</f>
        <v/>
      </c>
      <c r="M29" s="5">
        <f>IF(L29,$F29,"")</f>
        <v/>
      </c>
      <c r="N29" s="5">
        <f>IF(L29,K29*correlation!$J$26,"")</f>
        <v/>
      </c>
      <c r="O29" s="5">
        <f>IF(AND(L29,ISNUMBER(correlation!$F$26)),N29*correlation!$F$26+correlation!$G$26,"")</f>
        <v/>
      </c>
      <c r="P29" s="5">
        <f>IF(AND(L29,ISNUMBER(O29)),(M29-O29)^2,"")</f>
        <v/>
      </c>
      <c r="Q29" s="5">
        <f>IF(L29,1+SUMPRODUCT(--(calc!$L$3:$L$306=TRUE),--(calc!$M$3:$M$306&gt;M29))+(SUMPRODUCT(--(calc!$L$3:$L$306=TRUE),--(calc!$M$3:$M$306=M29))-1)/2,"")</f>
        <v/>
      </c>
      <c r="R29" s="5">
        <f>IF(L29,1+SUMPRODUCT(--(calc!$L$3:$L$306=TRUE),--(calc!$N$3:$N$306&gt;N29))+(SUMPRODUCT(--(calc!$L$3:$L$306=TRUE),--(calc!$N$3:$N$306=N29))-1)/2,"")</f>
        <v/>
      </c>
      <c r="S29" s="5">
        <f>IF(L29,SUMPRODUCT(--(calc!$L$3:$L$306=TRUE),--(ROW(calc!$L$3:$L$306)&gt;ROW(L29)),--(((calc!$Q$3:$Q$306&gt;Q29)*(calc!$R$3:$R$306&gt;R29)+(calc!$Q$3:$Q$306&lt;Q29)*(calc!$R$3:$R$306&lt;R29))&gt;0))-SUMPRODUCT(--(calc!$L$3:$L$306=TRUE),--(ROW(calc!$L$3:$L$306)&gt;ROW(L29)),--(((calc!$Q$3:$Q$306&gt;Q29)*(calc!$R$3:$R$306&lt;R29)+(calc!$Q$3:$Q$306&lt;Q29)*(calc!$R$3:$R$306&gt;R29))&gt;0)),0)</f>
        <v/>
      </c>
      <c r="T29" s="5">
        <f>IF(mos_metrics!H28="","",mos_metrics!H28)</f>
        <v/>
      </c>
      <c r="U29" s="2">
        <f>AND($J29,ISNUMBER(T29),correlation!$I$27=1)</f>
        <v/>
      </c>
      <c r="V29" s="5">
        <f>IF(U29,$F29,"")</f>
        <v/>
      </c>
      <c r="W29" s="5">
        <f>IF(U29,T29*correlation!$J$27,"")</f>
        <v/>
      </c>
      <c r="X29" s="5">
        <f>IF(AND(U29,ISNUMBER(correlation!$F$27)),W29*correlation!$F$27+correlation!$G$27,"")</f>
        <v/>
      </c>
      <c r="Y29" s="5">
        <f>IF(AND(U29,ISNUMBER(X29)),(V29-X29)^2,"")</f>
        <v/>
      </c>
      <c r="Z29" s="5">
        <f>IF(U29,1+SUMPRODUCT(--(calc!$U$3:$U$306=TRUE),--(calc!$V$3:$V$306&gt;V29))+(SUMPRODUCT(--(calc!$U$3:$U$306=TRUE),--(calc!$V$3:$V$306=V29))-1)/2,"")</f>
        <v/>
      </c>
      <c r="AA29" s="5">
        <f>IF(U29,1+SUMPRODUCT(--(calc!$U$3:$U$306=TRUE),--(calc!$W$3:$W$306&gt;W29))+(SUMPRODUCT(--(calc!$U$3:$U$306=TRUE),--(calc!$W$3:$W$306=W29))-1)/2,"")</f>
        <v/>
      </c>
      <c r="AB29" s="5">
        <f>IF(U29,SUMPRODUCT(--(calc!$U$3:$U$306=TRUE),--(ROW(calc!$U$3:$U$306)&gt;ROW(U29)),--(((calc!$Z$3:$Z$306&gt;Z29)*(calc!$AA$3:$AA$306&gt;AA29)+(calc!$Z$3:$Z$306&lt;Z29)*(calc!$AA$3:$AA$306&lt;AA29))&gt;0))-SUMPRODUCT(--(calc!$U$3:$U$306=TRUE),--(ROW(calc!$U$3:$U$306)&gt;ROW(U29)),--(((calc!$Z$3:$Z$306&gt;Z29)*(calc!$AA$3:$AA$306&lt;AA29)+(calc!$Z$3:$Z$306&lt;Z29)*(calc!$AA$3:$AA$306&gt;AA29))&gt;0)),0)</f>
        <v/>
      </c>
      <c r="AC29" s="5">
        <f>IF(mos_metrics!I28="","",mos_metrics!I28)</f>
        <v/>
      </c>
      <c r="AD29" s="2">
        <f>AND($J29,ISNUMBER(AC29),correlation!$I$28=1)</f>
        <v/>
      </c>
      <c r="AE29" s="5">
        <f>IF(AD29,$F29,"")</f>
        <v/>
      </c>
      <c r="AF29" s="5">
        <f>IF(AD29,AC29*correlation!$J$28,"")</f>
        <v/>
      </c>
      <c r="AG29" s="5">
        <f>IF(AND(AD29,ISNUMBER(correlation!$F$28)),AF29*correlation!$F$28+correlation!$G$28,"")</f>
        <v/>
      </c>
      <c r="AH29" s="5">
        <f>IF(AND(AD29,ISNUMBER(AG29)),(AE29-AG29)^2,"")</f>
        <v/>
      </c>
      <c r="AI29" s="5">
        <f>IF(AD29,1+SUMPRODUCT(--(calc!$AD$3:$AD$306=TRUE),--(calc!$AE$3:$AE$306&gt;AE29))+(SUMPRODUCT(--(calc!$AD$3:$AD$306=TRUE),--(calc!$AE$3:$AE$306=AE29))-1)/2,"")</f>
        <v/>
      </c>
      <c r="AJ29" s="5">
        <f>IF(AD29,1+SUMPRODUCT(--(calc!$AD$3:$AD$306=TRUE),--(calc!$AF$3:$AF$306&gt;AF29))+(SUMPRODUCT(--(calc!$AD$3:$AD$306=TRUE),--(calc!$AF$3:$AF$306=AF29))-1)/2,"")</f>
        <v/>
      </c>
      <c r="AK29" s="5">
        <f>IF(AD29,SUMPRODUCT(--(calc!$AD$3:$AD$306=TRUE),--(ROW(calc!$AD$3:$AD$306)&gt;ROW(AD29)),--(((calc!$AI$3:$AI$306&gt;AI29)*(calc!$AJ$3:$AJ$306&gt;AJ29)+(calc!$AI$3:$AI$306&lt;AI29)*(calc!$AJ$3:$AJ$306&lt;AJ29))&gt;0))-SUMPRODUCT(--(calc!$AD$3:$AD$306=TRUE),--(ROW(calc!$AD$3:$AD$306)&gt;ROW(AD29)),--(((calc!$AI$3:$AI$306&gt;AI29)*(calc!$AJ$3:$AJ$306&lt;AJ29)+(calc!$AI$3:$AI$306&lt;AI29)*(calc!$AJ$3:$AJ$306&gt;AJ29))&gt;0)),0)</f>
        <v/>
      </c>
      <c r="AL29" s="5">
        <f>IF(mos_metrics!J28="","",mos_metrics!J28)</f>
        <v/>
      </c>
      <c r="AM29" s="2">
        <f>AND($J29,ISNUMBER(AL29),correlation!$I$29=1)</f>
        <v/>
      </c>
      <c r="AN29" s="5">
        <f>IF(AM29,$F29,"")</f>
        <v/>
      </c>
      <c r="AO29" s="5">
        <f>IF(AM29,AL29*correlation!$J$29,"")</f>
        <v/>
      </c>
      <c r="AP29" s="5">
        <f>IF(AND(AM29,ISNUMBER(correlation!$F$29)),AO29*correlation!$F$29+correlation!$G$29,"")</f>
        <v/>
      </c>
      <c r="AQ29" s="5">
        <f>IF(AND(AM29,ISNUMBER(AP29)),(AN29-AP29)^2,"")</f>
        <v/>
      </c>
      <c r="AR29" s="5">
        <f>IF(AM29,1+SUMPRODUCT(--(calc!$AM$3:$AM$306=TRUE),--(calc!$AN$3:$AN$306&gt;AN29))+(SUMPRODUCT(--(calc!$AM$3:$AM$306=TRUE),--(calc!$AN$3:$AN$306=AN29))-1)/2,"")</f>
        <v/>
      </c>
      <c r="AS29" s="5">
        <f>IF(AM29,1+SUMPRODUCT(--(calc!$AM$3:$AM$306=TRUE),--(calc!$AO$3:$AO$306&gt;AO29))+(SUMPRODUCT(--(calc!$AM$3:$AM$306=TRUE),--(calc!$AO$3:$AO$306=AO29))-1)/2,"")</f>
        <v/>
      </c>
      <c r="AT29" s="5">
        <f>IF(AM29,SUMPRODUCT(--(calc!$AM$3:$AM$306=TRUE),--(ROW(calc!$AM$3:$AM$306)&gt;ROW(AM29)),--(((calc!$AR$3:$AR$306&gt;AR29)*(calc!$AS$3:$AS$306&gt;AS29)+(calc!$AR$3:$AR$306&lt;AR29)*(calc!$AS$3:$AS$306&lt;AS29))&gt;0))-SUMPRODUCT(--(calc!$AM$3:$AM$306=TRUE),--(ROW(calc!$AM$3:$AM$306)&gt;ROW(AM29)),--(((calc!$AR$3:$AR$306&gt;AR29)*(calc!$AS$3:$AS$306&lt;AS29)+(calc!$AR$3:$AR$306&lt;AR29)*(calc!$AS$3:$AS$306&gt;AS29))&gt;0)),0)</f>
        <v/>
      </c>
      <c r="AU29" s="5">
        <f>IF(mos_metrics!K28="","",mos_metrics!K28)</f>
        <v/>
      </c>
      <c r="AV29" s="2">
        <f>AND($J29,ISNUMBER(AU29),correlation!$I$30=1)</f>
        <v/>
      </c>
      <c r="AW29" s="5">
        <f>IF(AV29,$F29,"")</f>
        <v/>
      </c>
      <c r="AX29" s="5">
        <f>IF(AV29,AU29*correlation!$J$30,"")</f>
        <v/>
      </c>
      <c r="AY29" s="5">
        <f>IF(AND(AV29,ISNUMBER(correlation!$F$30)),AX29*correlation!$F$30+correlation!$G$30,"")</f>
        <v/>
      </c>
      <c r="AZ29" s="5">
        <f>IF(AND(AV29,ISNUMBER(AY29)),(AW29-AY29)^2,"")</f>
        <v/>
      </c>
      <c r="BA29" s="5">
        <f>IF(AV29,1+SUMPRODUCT(--(calc!$AV$3:$AV$306=TRUE),--(calc!$AW$3:$AW$306&gt;AW29))+(SUMPRODUCT(--(calc!$AV$3:$AV$306=TRUE),--(calc!$AW$3:$AW$306=AW29))-1)/2,"")</f>
        <v/>
      </c>
      <c r="BB29" s="5">
        <f>IF(AV29,1+SUMPRODUCT(--(calc!$AV$3:$AV$306=TRUE),--(calc!$AX$3:$AX$306&gt;AX29))+(SUMPRODUCT(--(calc!$AV$3:$AV$306=TRUE),--(calc!$AX$3:$AX$306=AX29))-1)/2,"")</f>
        <v/>
      </c>
      <c r="BC29" s="5">
        <f>IF(AV29,SUMPRODUCT(--(calc!$AV$3:$AV$306=TRUE),--(ROW(calc!$AV$3:$AV$306)&gt;ROW(AV29)),--(((calc!$BA$3:$BA$306&gt;BA29)*(calc!$BB$3:$BB$306&gt;BB29)+(calc!$BA$3:$BA$306&lt;BA29)*(calc!$BB$3:$BB$306&lt;BB29))&gt;0))-SUMPRODUCT(--(calc!$AV$3:$AV$306=TRUE),--(ROW(calc!$AV$3:$AV$306)&gt;ROW(AV29)),--(((calc!$BA$3:$BA$306&gt;BA29)*(calc!$BB$3:$BB$306&lt;BB29)+(calc!$BA$3:$BA$306&lt;BA29)*(calc!$BB$3:$BB$306&gt;BB29))&gt;0)),0)</f>
        <v/>
      </c>
      <c r="BD29" s="5">
        <f>IF(mos_metrics!L28="","",mos_metrics!L28)</f>
        <v/>
      </c>
      <c r="BE29" s="2">
        <f>AND($J29,ISNUMBER(BD29),correlation!$I$31=1)</f>
        <v/>
      </c>
      <c r="BF29" s="5">
        <f>IF(BE29,$F29,"")</f>
        <v/>
      </c>
      <c r="BG29" s="5">
        <f>IF(BE29,BD29*correlation!$J$31,"")</f>
        <v/>
      </c>
      <c r="BH29" s="5">
        <f>IF(AND(BE29,ISNUMBER(correlation!$F$31)),BG29*correlation!$F$31+correlation!$G$31,"")</f>
        <v/>
      </c>
      <c r="BI29" s="5">
        <f>IF(AND(BE29,ISNUMBER(BH29)),(BF29-BH29)^2,"")</f>
        <v/>
      </c>
      <c r="BJ29" s="5">
        <f>IF(BE29,1+SUMPRODUCT(--(calc!$BE$3:$BE$306=TRUE),--(calc!$BF$3:$BF$306&gt;BF29))+(SUMPRODUCT(--(calc!$BE$3:$BE$306=TRUE),--(calc!$BF$3:$BF$306=BF29))-1)/2,"")</f>
        <v/>
      </c>
      <c r="BK29" s="5">
        <f>IF(BE29,1+SUMPRODUCT(--(calc!$BE$3:$BE$306=TRUE),--(calc!$BG$3:$BG$306&gt;BG29))+(SUMPRODUCT(--(calc!$BE$3:$BE$306=TRUE),--(calc!$BG$3:$BG$306=BG29))-1)/2,"")</f>
        <v/>
      </c>
      <c r="BL29" s="5">
        <f>IF(BE29,SUMPRODUCT(--(calc!$BE$3:$BE$306=TRUE),--(ROW(calc!$BE$3:$BE$306)&gt;ROW(BE29)),--(((calc!$BJ$3:$BJ$306&gt;BJ29)*(calc!$BK$3:$BK$306&gt;BK29)+(calc!$BJ$3:$BJ$306&lt;BJ29)*(calc!$BK$3:$BK$306&lt;BK29))&gt;0))-SUMPRODUCT(--(calc!$BE$3:$BE$306=TRUE),--(ROW(calc!$BE$3:$BE$306)&gt;ROW(BE29)),--(((calc!$BJ$3:$BJ$306&gt;BJ29)*(calc!$BK$3:$BK$306&lt;BK29)+(calc!$BJ$3:$BJ$306&lt;BJ29)*(calc!$BK$3:$BK$306&gt;BK29))&gt;0)),0)</f>
        <v/>
      </c>
      <c r="BM29" s="5">
        <f>IF(mos_metrics!M28="","",mos_metrics!M28)</f>
        <v/>
      </c>
      <c r="BN29" s="2">
        <f>AND($J29,ISNUMBER(BM29),correlation!$I$32=1)</f>
        <v/>
      </c>
      <c r="BO29" s="5">
        <f>IF(BN29,$F29,"")</f>
        <v/>
      </c>
      <c r="BP29" s="5">
        <f>IF(BN29,BM29*correlation!$J$32,"")</f>
        <v/>
      </c>
      <c r="BQ29" s="5">
        <f>IF(AND(BN29,ISNUMBER(correlation!$F$32)),BP29*correlation!$F$32+correlation!$G$32,"")</f>
        <v/>
      </c>
      <c r="BR29" s="5">
        <f>IF(AND(BN29,ISNUMBER(BQ29)),(BO29-BQ29)^2,"")</f>
        <v/>
      </c>
      <c r="BS29" s="5">
        <f>IF(BN29,1+SUMPRODUCT(--(calc!$BN$3:$BN$306=TRUE),--(calc!$BO$3:$BO$306&gt;BO29))+(SUMPRODUCT(--(calc!$BN$3:$BN$306=TRUE),--(calc!$BO$3:$BO$306=BO29))-1)/2,"")</f>
        <v/>
      </c>
      <c r="BT29" s="5">
        <f>IF(BN29,1+SUMPRODUCT(--(calc!$BN$3:$BN$306=TRUE),--(calc!$BP$3:$BP$306&gt;BP29))+(SUMPRODUCT(--(calc!$BN$3:$BN$306=TRUE),--(calc!$BP$3:$BP$306=BP29))-1)/2,"")</f>
        <v/>
      </c>
      <c r="BU29" s="5">
        <f>IF(BN29,SUMPRODUCT(--(calc!$BN$3:$BN$306=TRUE),--(ROW(calc!$BN$3:$BN$306)&gt;ROW(BN29)),--(((calc!$BS$3:$BS$306&gt;BS29)*(calc!$BT$3:$BT$306&gt;BT29)+(calc!$BS$3:$BS$306&lt;BS29)*(calc!$BT$3:$BT$306&lt;BT29))&gt;0))-SUMPRODUCT(--(calc!$BN$3:$BN$306=TRUE),--(ROW(calc!$BN$3:$BN$306)&gt;ROW(BN29)),--(((calc!$BS$3:$BS$306&gt;BS29)*(calc!$BT$3:$BT$306&lt;BT29)+(calc!$BS$3:$BS$306&lt;BS29)*(calc!$BT$3:$BT$306&gt;BT29))&gt;0)),0)</f>
        <v/>
      </c>
    </row>
    <row r="30">
      <c r="A30" s="2">
        <f>mos_metrics!A29</f>
        <v/>
      </c>
      <c r="B30" s="2">
        <f>mos_metrics!B29</f>
        <v/>
      </c>
      <c r="C30" s="2">
        <f>mos_metrics!C29</f>
        <v/>
      </c>
      <c r="D30" s="2">
        <f>mos_metrics!D29</f>
        <v/>
      </c>
      <c r="E30" s="2">
        <f>mos_metrics!E29</f>
        <v/>
      </c>
      <c r="F30" s="2">
        <f>mos_metrics!F29</f>
        <v/>
      </c>
      <c r="G30" s="2">
        <f>IF($B30="","",IFERROR(VLOOKUP($B30,correlation!$A$2:$B$16,2,FALSE),1))</f>
        <v/>
      </c>
      <c r="H30" s="2">
        <f>IF($E30="","",IFERROR(VLOOKUP($E30,correlation!$D$2:$E$8,2,FALSE),1))</f>
        <v/>
      </c>
      <c r="I30" s="2">
        <f>ISNUMBER($F30)</f>
        <v/>
      </c>
      <c r="J30" s="2">
        <f>AND($G30=1,$H30=1,$I30)</f>
        <v/>
      </c>
      <c r="K30" s="5">
        <f>IF(mos_metrics!G29="","",mos_metrics!G29)</f>
        <v/>
      </c>
      <c r="L30" s="2">
        <f>AND($J30,ISNUMBER(K30),correlation!$I$26=1)</f>
        <v/>
      </c>
      <c r="M30" s="5">
        <f>IF(L30,$F30,"")</f>
        <v/>
      </c>
      <c r="N30" s="5">
        <f>IF(L30,K30*correlation!$J$26,"")</f>
        <v/>
      </c>
      <c r="O30" s="5">
        <f>IF(AND(L30,ISNUMBER(correlation!$F$26)),N30*correlation!$F$26+correlation!$G$26,"")</f>
        <v/>
      </c>
      <c r="P30" s="5">
        <f>IF(AND(L30,ISNUMBER(O30)),(M30-O30)^2,"")</f>
        <v/>
      </c>
      <c r="Q30" s="5">
        <f>IF(L30,1+SUMPRODUCT(--(calc!$L$3:$L$306=TRUE),--(calc!$M$3:$M$306&gt;M30))+(SUMPRODUCT(--(calc!$L$3:$L$306=TRUE),--(calc!$M$3:$M$306=M30))-1)/2,"")</f>
        <v/>
      </c>
      <c r="R30" s="5">
        <f>IF(L30,1+SUMPRODUCT(--(calc!$L$3:$L$306=TRUE),--(calc!$N$3:$N$306&gt;N30))+(SUMPRODUCT(--(calc!$L$3:$L$306=TRUE),--(calc!$N$3:$N$306=N30))-1)/2,"")</f>
        <v/>
      </c>
      <c r="S30" s="5">
        <f>IF(L30,SUMPRODUCT(--(calc!$L$3:$L$306=TRUE),--(ROW(calc!$L$3:$L$306)&gt;ROW(L30)),--(((calc!$Q$3:$Q$306&gt;Q30)*(calc!$R$3:$R$306&gt;R30)+(calc!$Q$3:$Q$306&lt;Q30)*(calc!$R$3:$R$306&lt;R30))&gt;0))-SUMPRODUCT(--(calc!$L$3:$L$306=TRUE),--(ROW(calc!$L$3:$L$306)&gt;ROW(L30)),--(((calc!$Q$3:$Q$306&gt;Q30)*(calc!$R$3:$R$306&lt;R30)+(calc!$Q$3:$Q$306&lt;Q30)*(calc!$R$3:$R$306&gt;R30))&gt;0)),0)</f>
        <v/>
      </c>
      <c r="T30" s="5">
        <f>IF(mos_metrics!H29="","",mos_metrics!H29)</f>
        <v/>
      </c>
      <c r="U30" s="2">
        <f>AND($J30,ISNUMBER(T30),correlation!$I$27=1)</f>
        <v/>
      </c>
      <c r="V30" s="5">
        <f>IF(U30,$F30,"")</f>
        <v/>
      </c>
      <c r="W30" s="5">
        <f>IF(U30,T30*correlation!$J$27,"")</f>
        <v/>
      </c>
      <c r="X30" s="5">
        <f>IF(AND(U30,ISNUMBER(correlation!$F$27)),W30*correlation!$F$27+correlation!$G$27,"")</f>
        <v/>
      </c>
      <c r="Y30" s="5">
        <f>IF(AND(U30,ISNUMBER(X30)),(V30-X30)^2,"")</f>
        <v/>
      </c>
      <c r="Z30" s="5">
        <f>IF(U30,1+SUMPRODUCT(--(calc!$U$3:$U$306=TRUE),--(calc!$V$3:$V$306&gt;V30))+(SUMPRODUCT(--(calc!$U$3:$U$306=TRUE),--(calc!$V$3:$V$306=V30))-1)/2,"")</f>
        <v/>
      </c>
      <c r="AA30" s="5">
        <f>IF(U30,1+SUMPRODUCT(--(calc!$U$3:$U$306=TRUE),--(calc!$W$3:$W$306&gt;W30))+(SUMPRODUCT(--(calc!$U$3:$U$306=TRUE),--(calc!$W$3:$W$306=W30))-1)/2,"")</f>
        <v/>
      </c>
      <c r="AB30" s="5">
        <f>IF(U30,SUMPRODUCT(--(calc!$U$3:$U$306=TRUE),--(ROW(calc!$U$3:$U$306)&gt;ROW(U30)),--(((calc!$Z$3:$Z$306&gt;Z30)*(calc!$AA$3:$AA$306&gt;AA30)+(calc!$Z$3:$Z$306&lt;Z30)*(calc!$AA$3:$AA$306&lt;AA30))&gt;0))-SUMPRODUCT(--(calc!$U$3:$U$306=TRUE),--(ROW(calc!$U$3:$U$306)&gt;ROW(U30)),--(((calc!$Z$3:$Z$306&gt;Z30)*(calc!$AA$3:$AA$306&lt;AA30)+(calc!$Z$3:$Z$306&lt;Z30)*(calc!$AA$3:$AA$306&gt;AA30))&gt;0)),0)</f>
        <v/>
      </c>
      <c r="AC30" s="5">
        <f>IF(mos_metrics!I29="","",mos_metrics!I29)</f>
        <v/>
      </c>
      <c r="AD30" s="2">
        <f>AND($J30,ISNUMBER(AC30),correlation!$I$28=1)</f>
        <v/>
      </c>
      <c r="AE30" s="5">
        <f>IF(AD30,$F30,"")</f>
        <v/>
      </c>
      <c r="AF30" s="5">
        <f>IF(AD30,AC30*correlation!$J$28,"")</f>
        <v/>
      </c>
      <c r="AG30" s="5">
        <f>IF(AND(AD30,ISNUMBER(correlation!$F$28)),AF30*correlation!$F$28+correlation!$G$28,"")</f>
        <v/>
      </c>
      <c r="AH30" s="5">
        <f>IF(AND(AD30,ISNUMBER(AG30)),(AE30-AG30)^2,"")</f>
        <v/>
      </c>
      <c r="AI30" s="5">
        <f>IF(AD30,1+SUMPRODUCT(--(calc!$AD$3:$AD$306=TRUE),--(calc!$AE$3:$AE$306&gt;AE30))+(SUMPRODUCT(--(calc!$AD$3:$AD$306=TRUE),--(calc!$AE$3:$AE$306=AE30))-1)/2,"")</f>
        <v/>
      </c>
      <c r="AJ30" s="5">
        <f>IF(AD30,1+SUMPRODUCT(--(calc!$AD$3:$AD$306=TRUE),--(calc!$AF$3:$AF$306&gt;AF30))+(SUMPRODUCT(--(calc!$AD$3:$AD$306=TRUE),--(calc!$AF$3:$AF$306=AF30))-1)/2,"")</f>
        <v/>
      </c>
      <c r="AK30" s="5">
        <f>IF(AD30,SUMPRODUCT(--(calc!$AD$3:$AD$306=TRUE),--(ROW(calc!$AD$3:$AD$306)&gt;ROW(AD30)),--(((calc!$AI$3:$AI$306&gt;AI30)*(calc!$AJ$3:$AJ$306&gt;AJ30)+(calc!$AI$3:$AI$306&lt;AI30)*(calc!$AJ$3:$AJ$306&lt;AJ30))&gt;0))-SUMPRODUCT(--(calc!$AD$3:$AD$306=TRUE),--(ROW(calc!$AD$3:$AD$306)&gt;ROW(AD30)),--(((calc!$AI$3:$AI$306&gt;AI30)*(calc!$AJ$3:$AJ$306&lt;AJ30)+(calc!$AI$3:$AI$306&lt;AI30)*(calc!$AJ$3:$AJ$306&gt;AJ30))&gt;0)),0)</f>
        <v/>
      </c>
      <c r="AL30" s="5">
        <f>IF(mos_metrics!J29="","",mos_metrics!J29)</f>
        <v/>
      </c>
      <c r="AM30" s="2">
        <f>AND($J30,ISNUMBER(AL30),correlation!$I$29=1)</f>
        <v/>
      </c>
      <c r="AN30" s="5">
        <f>IF(AM30,$F30,"")</f>
        <v/>
      </c>
      <c r="AO30" s="5">
        <f>IF(AM30,AL30*correlation!$J$29,"")</f>
        <v/>
      </c>
      <c r="AP30" s="5">
        <f>IF(AND(AM30,ISNUMBER(correlation!$F$29)),AO30*correlation!$F$29+correlation!$G$29,"")</f>
        <v/>
      </c>
      <c r="AQ30" s="5">
        <f>IF(AND(AM30,ISNUMBER(AP30)),(AN30-AP30)^2,"")</f>
        <v/>
      </c>
      <c r="AR30" s="5">
        <f>IF(AM30,1+SUMPRODUCT(--(calc!$AM$3:$AM$306=TRUE),--(calc!$AN$3:$AN$306&gt;AN30))+(SUMPRODUCT(--(calc!$AM$3:$AM$306=TRUE),--(calc!$AN$3:$AN$306=AN30))-1)/2,"")</f>
        <v/>
      </c>
      <c r="AS30" s="5">
        <f>IF(AM30,1+SUMPRODUCT(--(calc!$AM$3:$AM$306=TRUE),--(calc!$AO$3:$AO$306&gt;AO30))+(SUMPRODUCT(--(calc!$AM$3:$AM$306=TRUE),--(calc!$AO$3:$AO$306=AO30))-1)/2,"")</f>
        <v/>
      </c>
      <c r="AT30" s="5">
        <f>IF(AM30,SUMPRODUCT(--(calc!$AM$3:$AM$306=TRUE),--(ROW(calc!$AM$3:$AM$306)&gt;ROW(AM30)),--(((calc!$AR$3:$AR$306&gt;AR30)*(calc!$AS$3:$AS$306&gt;AS30)+(calc!$AR$3:$AR$306&lt;AR30)*(calc!$AS$3:$AS$306&lt;AS30))&gt;0))-SUMPRODUCT(--(calc!$AM$3:$AM$306=TRUE),--(ROW(calc!$AM$3:$AM$306)&gt;ROW(AM30)),--(((calc!$AR$3:$AR$306&gt;AR30)*(calc!$AS$3:$AS$306&lt;AS30)+(calc!$AR$3:$AR$306&lt;AR30)*(calc!$AS$3:$AS$306&gt;AS30))&gt;0)),0)</f>
        <v/>
      </c>
      <c r="AU30" s="5">
        <f>IF(mos_metrics!K29="","",mos_metrics!K29)</f>
        <v/>
      </c>
      <c r="AV30" s="2">
        <f>AND($J30,ISNUMBER(AU30),correlation!$I$30=1)</f>
        <v/>
      </c>
      <c r="AW30" s="5">
        <f>IF(AV30,$F30,"")</f>
        <v/>
      </c>
      <c r="AX30" s="5">
        <f>IF(AV30,AU30*correlation!$J$30,"")</f>
        <v/>
      </c>
      <c r="AY30" s="5">
        <f>IF(AND(AV30,ISNUMBER(correlation!$F$30)),AX30*correlation!$F$30+correlation!$G$30,"")</f>
        <v/>
      </c>
      <c r="AZ30" s="5">
        <f>IF(AND(AV30,ISNUMBER(AY30)),(AW30-AY30)^2,"")</f>
        <v/>
      </c>
      <c r="BA30" s="5">
        <f>IF(AV30,1+SUMPRODUCT(--(calc!$AV$3:$AV$306=TRUE),--(calc!$AW$3:$AW$306&gt;AW30))+(SUMPRODUCT(--(calc!$AV$3:$AV$306=TRUE),--(calc!$AW$3:$AW$306=AW30))-1)/2,"")</f>
        <v/>
      </c>
      <c r="BB30" s="5">
        <f>IF(AV30,1+SUMPRODUCT(--(calc!$AV$3:$AV$306=TRUE),--(calc!$AX$3:$AX$306&gt;AX30))+(SUMPRODUCT(--(calc!$AV$3:$AV$306=TRUE),--(calc!$AX$3:$AX$306=AX30))-1)/2,"")</f>
        <v/>
      </c>
      <c r="BC30" s="5">
        <f>IF(AV30,SUMPRODUCT(--(calc!$AV$3:$AV$306=TRUE),--(ROW(calc!$AV$3:$AV$306)&gt;ROW(AV30)),--(((calc!$BA$3:$BA$306&gt;BA30)*(calc!$BB$3:$BB$306&gt;BB30)+(calc!$BA$3:$BA$306&lt;BA30)*(calc!$BB$3:$BB$306&lt;BB30))&gt;0))-SUMPRODUCT(--(calc!$AV$3:$AV$306=TRUE),--(ROW(calc!$AV$3:$AV$306)&gt;ROW(AV30)),--(((calc!$BA$3:$BA$306&gt;BA30)*(calc!$BB$3:$BB$306&lt;BB30)+(calc!$BA$3:$BA$306&lt;BA30)*(calc!$BB$3:$BB$306&gt;BB30))&gt;0)),0)</f>
        <v/>
      </c>
      <c r="BD30" s="5">
        <f>IF(mos_metrics!L29="","",mos_metrics!L29)</f>
        <v/>
      </c>
      <c r="BE30" s="2">
        <f>AND($J30,ISNUMBER(BD30),correlation!$I$31=1)</f>
        <v/>
      </c>
      <c r="BF30" s="5">
        <f>IF(BE30,$F30,"")</f>
        <v/>
      </c>
      <c r="BG30" s="5">
        <f>IF(BE30,BD30*correlation!$J$31,"")</f>
        <v/>
      </c>
      <c r="BH30" s="5">
        <f>IF(AND(BE30,ISNUMBER(correlation!$F$31)),BG30*correlation!$F$31+correlation!$G$31,"")</f>
        <v/>
      </c>
      <c r="BI30" s="5">
        <f>IF(AND(BE30,ISNUMBER(BH30)),(BF30-BH30)^2,"")</f>
        <v/>
      </c>
      <c r="BJ30" s="5">
        <f>IF(BE30,1+SUMPRODUCT(--(calc!$BE$3:$BE$306=TRUE),--(calc!$BF$3:$BF$306&gt;BF30))+(SUMPRODUCT(--(calc!$BE$3:$BE$306=TRUE),--(calc!$BF$3:$BF$306=BF30))-1)/2,"")</f>
        <v/>
      </c>
      <c r="BK30" s="5">
        <f>IF(BE30,1+SUMPRODUCT(--(calc!$BE$3:$BE$306=TRUE),--(calc!$BG$3:$BG$306&gt;BG30))+(SUMPRODUCT(--(calc!$BE$3:$BE$306=TRUE),--(calc!$BG$3:$BG$306=BG30))-1)/2,"")</f>
        <v/>
      </c>
      <c r="BL30" s="5">
        <f>IF(BE30,SUMPRODUCT(--(calc!$BE$3:$BE$306=TRUE),--(ROW(calc!$BE$3:$BE$306)&gt;ROW(BE30)),--(((calc!$BJ$3:$BJ$306&gt;BJ30)*(calc!$BK$3:$BK$306&gt;BK30)+(calc!$BJ$3:$BJ$306&lt;BJ30)*(calc!$BK$3:$BK$306&lt;BK30))&gt;0))-SUMPRODUCT(--(calc!$BE$3:$BE$306=TRUE),--(ROW(calc!$BE$3:$BE$306)&gt;ROW(BE30)),--(((calc!$BJ$3:$BJ$306&gt;BJ30)*(calc!$BK$3:$BK$306&lt;BK30)+(calc!$BJ$3:$BJ$306&lt;BJ30)*(calc!$BK$3:$BK$306&gt;BK30))&gt;0)),0)</f>
        <v/>
      </c>
      <c r="BM30" s="5">
        <f>IF(mos_metrics!M29="","",mos_metrics!M29)</f>
        <v/>
      </c>
      <c r="BN30" s="2">
        <f>AND($J30,ISNUMBER(BM30),correlation!$I$32=1)</f>
        <v/>
      </c>
      <c r="BO30" s="5">
        <f>IF(BN30,$F30,"")</f>
        <v/>
      </c>
      <c r="BP30" s="5">
        <f>IF(BN30,BM30*correlation!$J$32,"")</f>
        <v/>
      </c>
      <c r="BQ30" s="5">
        <f>IF(AND(BN30,ISNUMBER(correlation!$F$32)),BP30*correlation!$F$32+correlation!$G$32,"")</f>
        <v/>
      </c>
      <c r="BR30" s="5">
        <f>IF(AND(BN30,ISNUMBER(BQ30)),(BO30-BQ30)^2,"")</f>
        <v/>
      </c>
      <c r="BS30" s="5">
        <f>IF(BN30,1+SUMPRODUCT(--(calc!$BN$3:$BN$306=TRUE),--(calc!$BO$3:$BO$306&gt;BO30))+(SUMPRODUCT(--(calc!$BN$3:$BN$306=TRUE),--(calc!$BO$3:$BO$306=BO30))-1)/2,"")</f>
        <v/>
      </c>
      <c r="BT30" s="5">
        <f>IF(BN30,1+SUMPRODUCT(--(calc!$BN$3:$BN$306=TRUE),--(calc!$BP$3:$BP$306&gt;BP30))+(SUMPRODUCT(--(calc!$BN$3:$BN$306=TRUE),--(calc!$BP$3:$BP$306=BP30))-1)/2,"")</f>
        <v/>
      </c>
      <c r="BU30" s="5">
        <f>IF(BN30,SUMPRODUCT(--(calc!$BN$3:$BN$306=TRUE),--(ROW(calc!$BN$3:$BN$306)&gt;ROW(BN30)),--(((calc!$BS$3:$BS$306&gt;BS30)*(calc!$BT$3:$BT$306&gt;BT30)+(calc!$BS$3:$BS$306&lt;BS30)*(calc!$BT$3:$BT$306&lt;BT30))&gt;0))-SUMPRODUCT(--(calc!$BN$3:$BN$306=TRUE),--(ROW(calc!$BN$3:$BN$306)&gt;ROW(BN30)),--(((calc!$BS$3:$BS$306&gt;BS30)*(calc!$BT$3:$BT$306&lt;BT30)+(calc!$BS$3:$BS$306&lt;BS30)*(calc!$BT$3:$BT$306&gt;BT30))&gt;0)),0)</f>
        <v/>
      </c>
    </row>
    <row r="31">
      <c r="A31" s="2">
        <f>mos_metrics!A30</f>
        <v/>
      </c>
      <c r="B31" s="2">
        <f>mos_metrics!B30</f>
        <v/>
      </c>
      <c r="C31" s="2">
        <f>mos_metrics!C30</f>
        <v/>
      </c>
      <c r="D31" s="2">
        <f>mos_metrics!D30</f>
        <v/>
      </c>
      <c r="E31" s="2">
        <f>mos_metrics!E30</f>
        <v/>
      </c>
      <c r="F31" s="2">
        <f>mos_metrics!F30</f>
        <v/>
      </c>
      <c r="G31" s="2">
        <f>IF($B31="","",IFERROR(VLOOKUP($B31,correlation!$A$2:$B$16,2,FALSE),1))</f>
        <v/>
      </c>
      <c r="H31" s="2">
        <f>IF($E31="","",IFERROR(VLOOKUP($E31,correlation!$D$2:$E$8,2,FALSE),1))</f>
        <v/>
      </c>
      <c r="I31" s="2">
        <f>ISNUMBER($F31)</f>
        <v/>
      </c>
      <c r="J31" s="2">
        <f>AND($G31=1,$H31=1,$I31)</f>
        <v/>
      </c>
      <c r="K31" s="5">
        <f>IF(mos_metrics!G30="","",mos_metrics!G30)</f>
        <v/>
      </c>
      <c r="L31" s="2">
        <f>AND($J31,ISNUMBER(K31),correlation!$I$26=1)</f>
        <v/>
      </c>
      <c r="M31" s="5">
        <f>IF(L31,$F31,"")</f>
        <v/>
      </c>
      <c r="N31" s="5">
        <f>IF(L31,K31*correlation!$J$26,"")</f>
        <v/>
      </c>
      <c r="O31" s="5">
        <f>IF(AND(L31,ISNUMBER(correlation!$F$26)),N31*correlation!$F$26+correlation!$G$26,"")</f>
        <v/>
      </c>
      <c r="P31" s="5">
        <f>IF(AND(L31,ISNUMBER(O31)),(M31-O31)^2,"")</f>
        <v/>
      </c>
      <c r="Q31" s="5">
        <f>IF(L31,1+SUMPRODUCT(--(calc!$L$3:$L$306=TRUE),--(calc!$M$3:$M$306&gt;M31))+(SUMPRODUCT(--(calc!$L$3:$L$306=TRUE),--(calc!$M$3:$M$306=M31))-1)/2,"")</f>
        <v/>
      </c>
      <c r="R31" s="5">
        <f>IF(L31,1+SUMPRODUCT(--(calc!$L$3:$L$306=TRUE),--(calc!$N$3:$N$306&gt;N31))+(SUMPRODUCT(--(calc!$L$3:$L$306=TRUE),--(calc!$N$3:$N$306=N31))-1)/2,"")</f>
        <v/>
      </c>
      <c r="S31" s="5">
        <f>IF(L31,SUMPRODUCT(--(calc!$L$3:$L$306=TRUE),--(ROW(calc!$L$3:$L$306)&gt;ROW(L31)),--(((calc!$Q$3:$Q$306&gt;Q31)*(calc!$R$3:$R$306&gt;R31)+(calc!$Q$3:$Q$306&lt;Q31)*(calc!$R$3:$R$306&lt;R31))&gt;0))-SUMPRODUCT(--(calc!$L$3:$L$306=TRUE),--(ROW(calc!$L$3:$L$306)&gt;ROW(L31)),--(((calc!$Q$3:$Q$306&gt;Q31)*(calc!$R$3:$R$306&lt;R31)+(calc!$Q$3:$Q$306&lt;Q31)*(calc!$R$3:$R$306&gt;R31))&gt;0)),0)</f>
        <v/>
      </c>
      <c r="T31" s="5">
        <f>IF(mos_metrics!H30="","",mos_metrics!H30)</f>
        <v/>
      </c>
      <c r="U31" s="2">
        <f>AND($J31,ISNUMBER(T31),correlation!$I$27=1)</f>
        <v/>
      </c>
      <c r="V31" s="5">
        <f>IF(U31,$F31,"")</f>
        <v/>
      </c>
      <c r="W31" s="5">
        <f>IF(U31,T31*correlation!$J$27,"")</f>
        <v/>
      </c>
      <c r="X31" s="5">
        <f>IF(AND(U31,ISNUMBER(correlation!$F$27)),W31*correlation!$F$27+correlation!$G$27,"")</f>
        <v/>
      </c>
      <c r="Y31" s="5">
        <f>IF(AND(U31,ISNUMBER(X31)),(V31-X31)^2,"")</f>
        <v/>
      </c>
      <c r="Z31" s="5">
        <f>IF(U31,1+SUMPRODUCT(--(calc!$U$3:$U$306=TRUE),--(calc!$V$3:$V$306&gt;V31))+(SUMPRODUCT(--(calc!$U$3:$U$306=TRUE),--(calc!$V$3:$V$306=V31))-1)/2,"")</f>
        <v/>
      </c>
      <c r="AA31" s="5">
        <f>IF(U31,1+SUMPRODUCT(--(calc!$U$3:$U$306=TRUE),--(calc!$W$3:$W$306&gt;W31))+(SUMPRODUCT(--(calc!$U$3:$U$306=TRUE),--(calc!$W$3:$W$306=W31))-1)/2,"")</f>
        <v/>
      </c>
      <c r="AB31" s="5">
        <f>IF(U31,SUMPRODUCT(--(calc!$U$3:$U$306=TRUE),--(ROW(calc!$U$3:$U$306)&gt;ROW(U31)),--(((calc!$Z$3:$Z$306&gt;Z31)*(calc!$AA$3:$AA$306&gt;AA31)+(calc!$Z$3:$Z$306&lt;Z31)*(calc!$AA$3:$AA$306&lt;AA31))&gt;0))-SUMPRODUCT(--(calc!$U$3:$U$306=TRUE),--(ROW(calc!$U$3:$U$306)&gt;ROW(U31)),--(((calc!$Z$3:$Z$306&gt;Z31)*(calc!$AA$3:$AA$306&lt;AA31)+(calc!$Z$3:$Z$306&lt;Z31)*(calc!$AA$3:$AA$306&gt;AA31))&gt;0)),0)</f>
        <v/>
      </c>
      <c r="AC31" s="5">
        <f>IF(mos_metrics!I30="","",mos_metrics!I30)</f>
        <v/>
      </c>
      <c r="AD31" s="2">
        <f>AND($J31,ISNUMBER(AC31),correlation!$I$28=1)</f>
        <v/>
      </c>
      <c r="AE31" s="5">
        <f>IF(AD31,$F31,"")</f>
        <v/>
      </c>
      <c r="AF31" s="5">
        <f>IF(AD31,AC31*correlation!$J$28,"")</f>
        <v/>
      </c>
      <c r="AG31" s="5">
        <f>IF(AND(AD31,ISNUMBER(correlation!$F$28)),AF31*correlation!$F$28+correlation!$G$28,"")</f>
        <v/>
      </c>
      <c r="AH31" s="5">
        <f>IF(AND(AD31,ISNUMBER(AG31)),(AE31-AG31)^2,"")</f>
        <v/>
      </c>
      <c r="AI31" s="5">
        <f>IF(AD31,1+SUMPRODUCT(--(calc!$AD$3:$AD$306=TRUE),--(calc!$AE$3:$AE$306&gt;AE31))+(SUMPRODUCT(--(calc!$AD$3:$AD$306=TRUE),--(calc!$AE$3:$AE$306=AE31))-1)/2,"")</f>
        <v/>
      </c>
      <c r="AJ31" s="5">
        <f>IF(AD31,1+SUMPRODUCT(--(calc!$AD$3:$AD$306=TRUE),--(calc!$AF$3:$AF$306&gt;AF31))+(SUMPRODUCT(--(calc!$AD$3:$AD$306=TRUE),--(calc!$AF$3:$AF$306=AF31))-1)/2,"")</f>
        <v/>
      </c>
      <c r="AK31" s="5">
        <f>IF(AD31,SUMPRODUCT(--(calc!$AD$3:$AD$306=TRUE),--(ROW(calc!$AD$3:$AD$306)&gt;ROW(AD31)),--(((calc!$AI$3:$AI$306&gt;AI31)*(calc!$AJ$3:$AJ$306&gt;AJ31)+(calc!$AI$3:$AI$306&lt;AI31)*(calc!$AJ$3:$AJ$306&lt;AJ31))&gt;0))-SUMPRODUCT(--(calc!$AD$3:$AD$306=TRUE),--(ROW(calc!$AD$3:$AD$306)&gt;ROW(AD31)),--(((calc!$AI$3:$AI$306&gt;AI31)*(calc!$AJ$3:$AJ$306&lt;AJ31)+(calc!$AI$3:$AI$306&lt;AI31)*(calc!$AJ$3:$AJ$306&gt;AJ31))&gt;0)),0)</f>
        <v/>
      </c>
      <c r="AL31" s="5">
        <f>IF(mos_metrics!J30="","",mos_metrics!J30)</f>
        <v/>
      </c>
      <c r="AM31" s="2">
        <f>AND($J31,ISNUMBER(AL31),correlation!$I$29=1)</f>
        <v/>
      </c>
      <c r="AN31" s="5">
        <f>IF(AM31,$F31,"")</f>
        <v/>
      </c>
      <c r="AO31" s="5">
        <f>IF(AM31,AL31*correlation!$J$29,"")</f>
        <v/>
      </c>
      <c r="AP31" s="5">
        <f>IF(AND(AM31,ISNUMBER(correlation!$F$29)),AO31*correlation!$F$29+correlation!$G$29,"")</f>
        <v/>
      </c>
      <c r="AQ31" s="5">
        <f>IF(AND(AM31,ISNUMBER(AP31)),(AN31-AP31)^2,"")</f>
        <v/>
      </c>
      <c r="AR31" s="5">
        <f>IF(AM31,1+SUMPRODUCT(--(calc!$AM$3:$AM$306=TRUE),--(calc!$AN$3:$AN$306&gt;AN31))+(SUMPRODUCT(--(calc!$AM$3:$AM$306=TRUE),--(calc!$AN$3:$AN$306=AN31))-1)/2,"")</f>
        <v/>
      </c>
      <c r="AS31" s="5">
        <f>IF(AM31,1+SUMPRODUCT(--(calc!$AM$3:$AM$306=TRUE),--(calc!$AO$3:$AO$306&gt;AO31))+(SUMPRODUCT(--(calc!$AM$3:$AM$306=TRUE),--(calc!$AO$3:$AO$306=AO31))-1)/2,"")</f>
        <v/>
      </c>
      <c r="AT31" s="5">
        <f>IF(AM31,SUMPRODUCT(--(calc!$AM$3:$AM$306=TRUE),--(ROW(calc!$AM$3:$AM$306)&gt;ROW(AM31)),--(((calc!$AR$3:$AR$306&gt;AR31)*(calc!$AS$3:$AS$306&gt;AS31)+(calc!$AR$3:$AR$306&lt;AR31)*(calc!$AS$3:$AS$306&lt;AS31))&gt;0))-SUMPRODUCT(--(calc!$AM$3:$AM$306=TRUE),--(ROW(calc!$AM$3:$AM$306)&gt;ROW(AM31)),--(((calc!$AR$3:$AR$306&gt;AR31)*(calc!$AS$3:$AS$306&lt;AS31)+(calc!$AR$3:$AR$306&lt;AR31)*(calc!$AS$3:$AS$306&gt;AS31))&gt;0)),0)</f>
        <v/>
      </c>
      <c r="AU31" s="5">
        <f>IF(mos_metrics!K30="","",mos_metrics!K30)</f>
        <v/>
      </c>
      <c r="AV31" s="2">
        <f>AND($J31,ISNUMBER(AU31),correlation!$I$30=1)</f>
        <v/>
      </c>
      <c r="AW31" s="5">
        <f>IF(AV31,$F31,"")</f>
        <v/>
      </c>
      <c r="AX31" s="5">
        <f>IF(AV31,AU31*correlation!$J$30,"")</f>
        <v/>
      </c>
      <c r="AY31" s="5">
        <f>IF(AND(AV31,ISNUMBER(correlation!$F$30)),AX31*correlation!$F$30+correlation!$G$30,"")</f>
        <v/>
      </c>
      <c r="AZ31" s="5">
        <f>IF(AND(AV31,ISNUMBER(AY31)),(AW31-AY31)^2,"")</f>
        <v/>
      </c>
      <c r="BA31" s="5">
        <f>IF(AV31,1+SUMPRODUCT(--(calc!$AV$3:$AV$306=TRUE),--(calc!$AW$3:$AW$306&gt;AW31))+(SUMPRODUCT(--(calc!$AV$3:$AV$306=TRUE),--(calc!$AW$3:$AW$306=AW31))-1)/2,"")</f>
        <v/>
      </c>
      <c r="BB31" s="5">
        <f>IF(AV31,1+SUMPRODUCT(--(calc!$AV$3:$AV$306=TRUE),--(calc!$AX$3:$AX$306&gt;AX31))+(SUMPRODUCT(--(calc!$AV$3:$AV$306=TRUE),--(calc!$AX$3:$AX$306=AX31))-1)/2,"")</f>
        <v/>
      </c>
      <c r="BC31" s="5">
        <f>IF(AV31,SUMPRODUCT(--(calc!$AV$3:$AV$306=TRUE),--(ROW(calc!$AV$3:$AV$306)&gt;ROW(AV31)),--(((calc!$BA$3:$BA$306&gt;BA31)*(calc!$BB$3:$BB$306&gt;BB31)+(calc!$BA$3:$BA$306&lt;BA31)*(calc!$BB$3:$BB$306&lt;BB31))&gt;0))-SUMPRODUCT(--(calc!$AV$3:$AV$306=TRUE),--(ROW(calc!$AV$3:$AV$306)&gt;ROW(AV31)),--(((calc!$BA$3:$BA$306&gt;BA31)*(calc!$BB$3:$BB$306&lt;BB31)+(calc!$BA$3:$BA$306&lt;BA31)*(calc!$BB$3:$BB$306&gt;BB31))&gt;0)),0)</f>
        <v/>
      </c>
      <c r="BD31" s="5">
        <f>IF(mos_metrics!L30="","",mos_metrics!L30)</f>
        <v/>
      </c>
      <c r="BE31" s="2">
        <f>AND($J31,ISNUMBER(BD31),correlation!$I$31=1)</f>
        <v/>
      </c>
      <c r="BF31" s="5">
        <f>IF(BE31,$F31,"")</f>
        <v/>
      </c>
      <c r="BG31" s="5">
        <f>IF(BE31,BD31*correlation!$J$31,"")</f>
        <v/>
      </c>
      <c r="BH31" s="5">
        <f>IF(AND(BE31,ISNUMBER(correlation!$F$31)),BG31*correlation!$F$31+correlation!$G$31,"")</f>
        <v/>
      </c>
      <c r="BI31" s="5">
        <f>IF(AND(BE31,ISNUMBER(BH31)),(BF31-BH31)^2,"")</f>
        <v/>
      </c>
      <c r="BJ31" s="5">
        <f>IF(BE31,1+SUMPRODUCT(--(calc!$BE$3:$BE$306=TRUE),--(calc!$BF$3:$BF$306&gt;BF31))+(SUMPRODUCT(--(calc!$BE$3:$BE$306=TRUE),--(calc!$BF$3:$BF$306=BF31))-1)/2,"")</f>
        <v/>
      </c>
      <c r="BK31" s="5">
        <f>IF(BE31,1+SUMPRODUCT(--(calc!$BE$3:$BE$306=TRUE),--(calc!$BG$3:$BG$306&gt;BG31))+(SUMPRODUCT(--(calc!$BE$3:$BE$306=TRUE),--(calc!$BG$3:$BG$306=BG31))-1)/2,"")</f>
        <v/>
      </c>
      <c r="BL31" s="5">
        <f>IF(BE31,SUMPRODUCT(--(calc!$BE$3:$BE$306=TRUE),--(ROW(calc!$BE$3:$BE$306)&gt;ROW(BE31)),--(((calc!$BJ$3:$BJ$306&gt;BJ31)*(calc!$BK$3:$BK$306&gt;BK31)+(calc!$BJ$3:$BJ$306&lt;BJ31)*(calc!$BK$3:$BK$306&lt;BK31))&gt;0))-SUMPRODUCT(--(calc!$BE$3:$BE$306=TRUE),--(ROW(calc!$BE$3:$BE$306)&gt;ROW(BE31)),--(((calc!$BJ$3:$BJ$306&gt;BJ31)*(calc!$BK$3:$BK$306&lt;BK31)+(calc!$BJ$3:$BJ$306&lt;BJ31)*(calc!$BK$3:$BK$306&gt;BK31))&gt;0)),0)</f>
        <v/>
      </c>
      <c r="BM31" s="5">
        <f>IF(mos_metrics!M30="","",mos_metrics!M30)</f>
        <v/>
      </c>
      <c r="BN31" s="2">
        <f>AND($J31,ISNUMBER(BM31),correlation!$I$32=1)</f>
        <v/>
      </c>
      <c r="BO31" s="5">
        <f>IF(BN31,$F31,"")</f>
        <v/>
      </c>
      <c r="BP31" s="5">
        <f>IF(BN31,BM31*correlation!$J$32,"")</f>
        <v/>
      </c>
      <c r="BQ31" s="5">
        <f>IF(AND(BN31,ISNUMBER(correlation!$F$32)),BP31*correlation!$F$32+correlation!$G$32,"")</f>
        <v/>
      </c>
      <c r="BR31" s="5">
        <f>IF(AND(BN31,ISNUMBER(BQ31)),(BO31-BQ31)^2,"")</f>
        <v/>
      </c>
      <c r="BS31" s="5">
        <f>IF(BN31,1+SUMPRODUCT(--(calc!$BN$3:$BN$306=TRUE),--(calc!$BO$3:$BO$306&gt;BO31))+(SUMPRODUCT(--(calc!$BN$3:$BN$306=TRUE),--(calc!$BO$3:$BO$306=BO31))-1)/2,"")</f>
        <v/>
      </c>
      <c r="BT31" s="5">
        <f>IF(BN31,1+SUMPRODUCT(--(calc!$BN$3:$BN$306=TRUE),--(calc!$BP$3:$BP$306&gt;BP31))+(SUMPRODUCT(--(calc!$BN$3:$BN$306=TRUE),--(calc!$BP$3:$BP$306=BP31))-1)/2,"")</f>
        <v/>
      </c>
      <c r="BU31" s="5">
        <f>IF(BN31,SUMPRODUCT(--(calc!$BN$3:$BN$306=TRUE),--(ROW(calc!$BN$3:$BN$306)&gt;ROW(BN31)),--(((calc!$BS$3:$BS$306&gt;BS31)*(calc!$BT$3:$BT$306&gt;BT31)+(calc!$BS$3:$BS$306&lt;BS31)*(calc!$BT$3:$BT$306&lt;BT31))&gt;0))-SUMPRODUCT(--(calc!$BN$3:$BN$306=TRUE),--(ROW(calc!$BN$3:$BN$306)&gt;ROW(BN31)),--(((calc!$BS$3:$BS$306&gt;BS31)*(calc!$BT$3:$BT$306&lt;BT31)+(calc!$BS$3:$BS$306&lt;BS31)*(calc!$BT$3:$BT$306&gt;BT31))&gt;0)),0)</f>
        <v/>
      </c>
    </row>
    <row r="32">
      <c r="A32" s="2">
        <f>mos_metrics!A31</f>
        <v/>
      </c>
      <c r="B32" s="2">
        <f>mos_metrics!B31</f>
        <v/>
      </c>
      <c r="C32" s="2">
        <f>mos_metrics!C31</f>
        <v/>
      </c>
      <c r="D32" s="2">
        <f>mos_metrics!D31</f>
        <v/>
      </c>
      <c r="E32" s="2">
        <f>mos_metrics!E31</f>
        <v/>
      </c>
      <c r="F32" s="2">
        <f>mos_metrics!F31</f>
        <v/>
      </c>
      <c r="G32" s="2">
        <f>IF($B32="","",IFERROR(VLOOKUP($B32,correlation!$A$2:$B$16,2,FALSE),1))</f>
        <v/>
      </c>
      <c r="H32" s="2">
        <f>IF($E32="","",IFERROR(VLOOKUP($E32,correlation!$D$2:$E$8,2,FALSE),1))</f>
        <v/>
      </c>
      <c r="I32" s="2">
        <f>ISNUMBER($F32)</f>
        <v/>
      </c>
      <c r="J32" s="2">
        <f>AND($G32=1,$H32=1,$I32)</f>
        <v/>
      </c>
      <c r="K32" s="5">
        <f>IF(mos_metrics!G31="","",mos_metrics!G31)</f>
        <v/>
      </c>
      <c r="L32" s="2">
        <f>AND($J32,ISNUMBER(K32),correlation!$I$26=1)</f>
        <v/>
      </c>
      <c r="M32" s="5">
        <f>IF(L32,$F32,"")</f>
        <v/>
      </c>
      <c r="N32" s="5">
        <f>IF(L32,K32*correlation!$J$26,"")</f>
        <v/>
      </c>
      <c r="O32" s="5">
        <f>IF(AND(L32,ISNUMBER(correlation!$F$26)),N32*correlation!$F$26+correlation!$G$26,"")</f>
        <v/>
      </c>
      <c r="P32" s="5">
        <f>IF(AND(L32,ISNUMBER(O32)),(M32-O32)^2,"")</f>
        <v/>
      </c>
      <c r="Q32" s="5">
        <f>IF(L32,1+SUMPRODUCT(--(calc!$L$3:$L$306=TRUE),--(calc!$M$3:$M$306&gt;M32))+(SUMPRODUCT(--(calc!$L$3:$L$306=TRUE),--(calc!$M$3:$M$306=M32))-1)/2,"")</f>
        <v/>
      </c>
      <c r="R32" s="5">
        <f>IF(L32,1+SUMPRODUCT(--(calc!$L$3:$L$306=TRUE),--(calc!$N$3:$N$306&gt;N32))+(SUMPRODUCT(--(calc!$L$3:$L$306=TRUE),--(calc!$N$3:$N$306=N32))-1)/2,"")</f>
        <v/>
      </c>
      <c r="S32" s="5">
        <f>IF(L32,SUMPRODUCT(--(calc!$L$3:$L$306=TRUE),--(ROW(calc!$L$3:$L$306)&gt;ROW(L32)),--(((calc!$Q$3:$Q$306&gt;Q32)*(calc!$R$3:$R$306&gt;R32)+(calc!$Q$3:$Q$306&lt;Q32)*(calc!$R$3:$R$306&lt;R32))&gt;0))-SUMPRODUCT(--(calc!$L$3:$L$306=TRUE),--(ROW(calc!$L$3:$L$306)&gt;ROW(L32)),--(((calc!$Q$3:$Q$306&gt;Q32)*(calc!$R$3:$R$306&lt;R32)+(calc!$Q$3:$Q$306&lt;Q32)*(calc!$R$3:$R$306&gt;R32))&gt;0)),0)</f>
        <v/>
      </c>
      <c r="T32" s="5">
        <f>IF(mos_metrics!H31="","",mos_metrics!H31)</f>
        <v/>
      </c>
      <c r="U32" s="2">
        <f>AND($J32,ISNUMBER(T32),correlation!$I$27=1)</f>
        <v/>
      </c>
      <c r="V32" s="5">
        <f>IF(U32,$F32,"")</f>
        <v/>
      </c>
      <c r="W32" s="5">
        <f>IF(U32,T32*correlation!$J$27,"")</f>
        <v/>
      </c>
      <c r="X32" s="5">
        <f>IF(AND(U32,ISNUMBER(correlation!$F$27)),W32*correlation!$F$27+correlation!$G$27,"")</f>
        <v/>
      </c>
      <c r="Y32" s="5">
        <f>IF(AND(U32,ISNUMBER(X32)),(V32-X32)^2,"")</f>
        <v/>
      </c>
      <c r="Z32" s="5">
        <f>IF(U32,1+SUMPRODUCT(--(calc!$U$3:$U$306=TRUE),--(calc!$V$3:$V$306&gt;V32))+(SUMPRODUCT(--(calc!$U$3:$U$306=TRUE),--(calc!$V$3:$V$306=V32))-1)/2,"")</f>
        <v/>
      </c>
      <c r="AA32" s="5">
        <f>IF(U32,1+SUMPRODUCT(--(calc!$U$3:$U$306=TRUE),--(calc!$W$3:$W$306&gt;W32))+(SUMPRODUCT(--(calc!$U$3:$U$306=TRUE),--(calc!$W$3:$W$306=W32))-1)/2,"")</f>
        <v/>
      </c>
      <c r="AB32" s="5">
        <f>IF(U32,SUMPRODUCT(--(calc!$U$3:$U$306=TRUE),--(ROW(calc!$U$3:$U$306)&gt;ROW(U32)),--(((calc!$Z$3:$Z$306&gt;Z32)*(calc!$AA$3:$AA$306&gt;AA32)+(calc!$Z$3:$Z$306&lt;Z32)*(calc!$AA$3:$AA$306&lt;AA32))&gt;0))-SUMPRODUCT(--(calc!$U$3:$U$306=TRUE),--(ROW(calc!$U$3:$U$306)&gt;ROW(U32)),--(((calc!$Z$3:$Z$306&gt;Z32)*(calc!$AA$3:$AA$306&lt;AA32)+(calc!$Z$3:$Z$306&lt;Z32)*(calc!$AA$3:$AA$306&gt;AA32))&gt;0)),0)</f>
        <v/>
      </c>
      <c r="AC32" s="5">
        <f>IF(mos_metrics!I31="","",mos_metrics!I31)</f>
        <v/>
      </c>
      <c r="AD32" s="2">
        <f>AND($J32,ISNUMBER(AC32),correlation!$I$28=1)</f>
        <v/>
      </c>
      <c r="AE32" s="5">
        <f>IF(AD32,$F32,"")</f>
        <v/>
      </c>
      <c r="AF32" s="5">
        <f>IF(AD32,AC32*correlation!$J$28,"")</f>
        <v/>
      </c>
      <c r="AG32" s="5">
        <f>IF(AND(AD32,ISNUMBER(correlation!$F$28)),AF32*correlation!$F$28+correlation!$G$28,"")</f>
        <v/>
      </c>
      <c r="AH32" s="5">
        <f>IF(AND(AD32,ISNUMBER(AG32)),(AE32-AG32)^2,"")</f>
        <v/>
      </c>
      <c r="AI32" s="5">
        <f>IF(AD32,1+SUMPRODUCT(--(calc!$AD$3:$AD$306=TRUE),--(calc!$AE$3:$AE$306&gt;AE32))+(SUMPRODUCT(--(calc!$AD$3:$AD$306=TRUE),--(calc!$AE$3:$AE$306=AE32))-1)/2,"")</f>
        <v/>
      </c>
      <c r="AJ32" s="5">
        <f>IF(AD32,1+SUMPRODUCT(--(calc!$AD$3:$AD$306=TRUE),--(calc!$AF$3:$AF$306&gt;AF32))+(SUMPRODUCT(--(calc!$AD$3:$AD$306=TRUE),--(calc!$AF$3:$AF$306=AF32))-1)/2,"")</f>
        <v/>
      </c>
      <c r="AK32" s="5">
        <f>IF(AD32,SUMPRODUCT(--(calc!$AD$3:$AD$306=TRUE),--(ROW(calc!$AD$3:$AD$306)&gt;ROW(AD32)),--(((calc!$AI$3:$AI$306&gt;AI32)*(calc!$AJ$3:$AJ$306&gt;AJ32)+(calc!$AI$3:$AI$306&lt;AI32)*(calc!$AJ$3:$AJ$306&lt;AJ32))&gt;0))-SUMPRODUCT(--(calc!$AD$3:$AD$306=TRUE),--(ROW(calc!$AD$3:$AD$306)&gt;ROW(AD32)),--(((calc!$AI$3:$AI$306&gt;AI32)*(calc!$AJ$3:$AJ$306&lt;AJ32)+(calc!$AI$3:$AI$306&lt;AI32)*(calc!$AJ$3:$AJ$306&gt;AJ32))&gt;0)),0)</f>
        <v/>
      </c>
      <c r="AL32" s="5">
        <f>IF(mos_metrics!J31="","",mos_metrics!J31)</f>
        <v/>
      </c>
      <c r="AM32" s="2">
        <f>AND($J32,ISNUMBER(AL32),correlation!$I$29=1)</f>
        <v/>
      </c>
      <c r="AN32" s="5">
        <f>IF(AM32,$F32,"")</f>
        <v/>
      </c>
      <c r="AO32" s="5">
        <f>IF(AM32,AL32*correlation!$J$29,"")</f>
        <v/>
      </c>
      <c r="AP32" s="5">
        <f>IF(AND(AM32,ISNUMBER(correlation!$F$29)),AO32*correlation!$F$29+correlation!$G$29,"")</f>
        <v/>
      </c>
      <c r="AQ32" s="5">
        <f>IF(AND(AM32,ISNUMBER(AP32)),(AN32-AP32)^2,"")</f>
        <v/>
      </c>
      <c r="AR32" s="5">
        <f>IF(AM32,1+SUMPRODUCT(--(calc!$AM$3:$AM$306=TRUE),--(calc!$AN$3:$AN$306&gt;AN32))+(SUMPRODUCT(--(calc!$AM$3:$AM$306=TRUE),--(calc!$AN$3:$AN$306=AN32))-1)/2,"")</f>
        <v/>
      </c>
      <c r="AS32" s="5">
        <f>IF(AM32,1+SUMPRODUCT(--(calc!$AM$3:$AM$306=TRUE),--(calc!$AO$3:$AO$306&gt;AO32))+(SUMPRODUCT(--(calc!$AM$3:$AM$306=TRUE),--(calc!$AO$3:$AO$306=AO32))-1)/2,"")</f>
        <v/>
      </c>
      <c r="AT32" s="5">
        <f>IF(AM32,SUMPRODUCT(--(calc!$AM$3:$AM$306=TRUE),--(ROW(calc!$AM$3:$AM$306)&gt;ROW(AM32)),--(((calc!$AR$3:$AR$306&gt;AR32)*(calc!$AS$3:$AS$306&gt;AS32)+(calc!$AR$3:$AR$306&lt;AR32)*(calc!$AS$3:$AS$306&lt;AS32))&gt;0))-SUMPRODUCT(--(calc!$AM$3:$AM$306=TRUE),--(ROW(calc!$AM$3:$AM$306)&gt;ROW(AM32)),--(((calc!$AR$3:$AR$306&gt;AR32)*(calc!$AS$3:$AS$306&lt;AS32)+(calc!$AR$3:$AR$306&lt;AR32)*(calc!$AS$3:$AS$306&gt;AS32))&gt;0)),0)</f>
        <v/>
      </c>
      <c r="AU32" s="5">
        <f>IF(mos_metrics!K31="","",mos_metrics!K31)</f>
        <v/>
      </c>
      <c r="AV32" s="2">
        <f>AND($J32,ISNUMBER(AU32),correlation!$I$30=1)</f>
        <v/>
      </c>
      <c r="AW32" s="5">
        <f>IF(AV32,$F32,"")</f>
        <v/>
      </c>
      <c r="AX32" s="5">
        <f>IF(AV32,AU32*correlation!$J$30,"")</f>
        <v/>
      </c>
      <c r="AY32" s="5">
        <f>IF(AND(AV32,ISNUMBER(correlation!$F$30)),AX32*correlation!$F$30+correlation!$G$30,"")</f>
        <v/>
      </c>
      <c r="AZ32" s="5">
        <f>IF(AND(AV32,ISNUMBER(AY32)),(AW32-AY32)^2,"")</f>
        <v/>
      </c>
      <c r="BA32" s="5">
        <f>IF(AV32,1+SUMPRODUCT(--(calc!$AV$3:$AV$306=TRUE),--(calc!$AW$3:$AW$306&gt;AW32))+(SUMPRODUCT(--(calc!$AV$3:$AV$306=TRUE),--(calc!$AW$3:$AW$306=AW32))-1)/2,"")</f>
        <v/>
      </c>
      <c r="BB32" s="5">
        <f>IF(AV32,1+SUMPRODUCT(--(calc!$AV$3:$AV$306=TRUE),--(calc!$AX$3:$AX$306&gt;AX32))+(SUMPRODUCT(--(calc!$AV$3:$AV$306=TRUE),--(calc!$AX$3:$AX$306=AX32))-1)/2,"")</f>
        <v/>
      </c>
      <c r="BC32" s="5">
        <f>IF(AV32,SUMPRODUCT(--(calc!$AV$3:$AV$306=TRUE),--(ROW(calc!$AV$3:$AV$306)&gt;ROW(AV32)),--(((calc!$BA$3:$BA$306&gt;BA32)*(calc!$BB$3:$BB$306&gt;BB32)+(calc!$BA$3:$BA$306&lt;BA32)*(calc!$BB$3:$BB$306&lt;BB32))&gt;0))-SUMPRODUCT(--(calc!$AV$3:$AV$306=TRUE),--(ROW(calc!$AV$3:$AV$306)&gt;ROW(AV32)),--(((calc!$BA$3:$BA$306&gt;BA32)*(calc!$BB$3:$BB$306&lt;BB32)+(calc!$BA$3:$BA$306&lt;BA32)*(calc!$BB$3:$BB$306&gt;BB32))&gt;0)),0)</f>
        <v/>
      </c>
      <c r="BD32" s="5">
        <f>IF(mos_metrics!L31="","",mos_metrics!L31)</f>
        <v/>
      </c>
      <c r="BE32" s="2">
        <f>AND($J32,ISNUMBER(BD32),correlation!$I$31=1)</f>
        <v/>
      </c>
      <c r="BF32" s="5">
        <f>IF(BE32,$F32,"")</f>
        <v/>
      </c>
      <c r="BG32" s="5">
        <f>IF(BE32,BD32*correlation!$J$31,"")</f>
        <v/>
      </c>
      <c r="BH32" s="5">
        <f>IF(AND(BE32,ISNUMBER(correlation!$F$31)),BG32*correlation!$F$31+correlation!$G$31,"")</f>
        <v/>
      </c>
      <c r="BI32" s="5">
        <f>IF(AND(BE32,ISNUMBER(BH32)),(BF32-BH32)^2,"")</f>
        <v/>
      </c>
      <c r="BJ32" s="5">
        <f>IF(BE32,1+SUMPRODUCT(--(calc!$BE$3:$BE$306=TRUE),--(calc!$BF$3:$BF$306&gt;BF32))+(SUMPRODUCT(--(calc!$BE$3:$BE$306=TRUE),--(calc!$BF$3:$BF$306=BF32))-1)/2,"")</f>
        <v/>
      </c>
      <c r="BK32" s="5">
        <f>IF(BE32,1+SUMPRODUCT(--(calc!$BE$3:$BE$306=TRUE),--(calc!$BG$3:$BG$306&gt;BG32))+(SUMPRODUCT(--(calc!$BE$3:$BE$306=TRUE),--(calc!$BG$3:$BG$306=BG32))-1)/2,"")</f>
        <v/>
      </c>
      <c r="BL32" s="5">
        <f>IF(BE32,SUMPRODUCT(--(calc!$BE$3:$BE$306=TRUE),--(ROW(calc!$BE$3:$BE$306)&gt;ROW(BE32)),--(((calc!$BJ$3:$BJ$306&gt;BJ32)*(calc!$BK$3:$BK$306&gt;BK32)+(calc!$BJ$3:$BJ$306&lt;BJ32)*(calc!$BK$3:$BK$306&lt;BK32))&gt;0))-SUMPRODUCT(--(calc!$BE$3:$BE$306=TRUE),--(ROW(calc!$BE$3:$BE$306)&gt;ROW(BE32)),--(((calc!$BJ$3:$BJ$306&gt;BJ32)*(calc!$BK$3:$BK$306&lt;BK32)+(calc!$BJ$3:$BJ$306&lt;BJ32)*(calc!$BK$3:$BK$306&gt;BK32))&gt;0)),0)</f>
        <v/>
      </c>
      <c r="BM32" s="5">
        <f>IF(mos_metrics!M31="","",mos_metrics!M31)</f>
        <v/>
      </c>
      <c r="BN32" s="2">
        <f>AND($J32,ISNUMBER(BM32),correlation!$I$32=1)</f>
        <v/>
      </c>
      <c r="BO32" s="5">
        <f>IF(BN32,$F32,"")</f>
        <v/>
      </c>
      <c r="BP32" s="5">
        <f>IF(BN32,BM32*correlation!$J$32,"")</f>
        <v/>
      </c>
      <c r="BQ32" s="5">
        <f>IF(AND(BN32,ISNUMBER(correlation!$F$32)),BP32*correlation!$F$32+correlation!$G$32,"")</f>
        <v/>
      </c>
      <c r="BR32" s="5">
        <f>IF(AND(BN32,ISNUMBER(BQ32)),(BO32-BQ32)^2,"")</f>
        <v/>
      </c>
      <c r="BS32" s="5">
        <f>IF(BN32,1+SUMPRODUCT(--(calc!$BN$3:$BN$306=TRUE),--(calc!$BO$3:$BO$306&gt;BO32))+(SUMPRODUCT(--(calc!$BN$3:$BN$306=TRUE),--(calc!$BO$3:$BO$306=BO32))-1)/2,"")</f>
        <v/>
      </c>
      <c r="BT32" s="5">
        <f>IF(BN32,1+SUMPRODUCT(--(calc!$BN$3:$BN$306=TRUE),--(calc!$BP$3:$BP$306&gt;BP32))+(SUMPRODUCT(--(calc!$BN$3:$BN$306=TRUE),--(calc!$BP$3:$BP$306=BP32))-1)/2,"")</f>
        <v/>
      </c>
      <c r="BU32" s="5">
        <f>IF(BN32,SUMPRODUCT(--(calc!$BN$3:$BN$306=TRUE),--(ROW(calc!$BN$3:$BN$306)&gt;ROW(BN32)),--(((calc!$BS$3:$BS$306&gt;BS32)*(calc!$BT$3:$BT$306&gt;BT32)+(calc!$BS$3:$BS$306&lt;BS32)*(calc!$BT$3:$BT$306&lt;BT32))&gt;0))-SUMPRODUCT(--(calc!$BN$3:$BN$306=TRUE),--(ROW(calc!$BN$3:$BN$306)&gt;ROW(BN32)),--(((calc!$BS$3:$BS$306&gt;BS32)*(calc!$BT$3:$BT$306&lt;BT32)+(calc!$BS$3:$BS$306&lt;BS32)*(calc!$BT$3:$BT$306&gt;BT32))&gt;0)),0)</f>
        <v/>
      </c>
    </row>
    <row r="33">
      <c r="A33" s="2">
        <f>mos_metrics!A32</f>
        <v/>
      </c>
      <c r="B33" s="2">
        <f>mos_metrics!B32</f>
        <v/>
      </c>
      <c r="C33" s="2">
        <f>mos_metrics!C32</f>
        <v/>
      </c>
      <c r="D33" s="2">
        <f>mos_metrics!D32</f>
        <v/>
      </c>
      <c r="E33" s="2">
        <f>mos_metrics!E32</f>
        <v/>
      </c>
      <c r="F33" s="2">
        <f>mos_metrics!F32</f>
        <v/>
      </c>
      <c r="G33" s="2">
        <f>IF($B33="","",IFERROR(VLOOKUP($B33,correlation!$A$2:$B$16,2,FALSE),1))</f>
        <v/>
      </c>
      <c r="H33" s="2">
        <f>IF($E33="","",IFERROR(VLOOKUP($E33,correlation!$D$2:$E$8,2,FALSE),1))</f>
        <v/>
      </c>
      <c r="I33" s="2">
        <f>ISNUMBER($F33)</f>
        <v/>
      </c>
      <c r="J33" s="2">
        <f>AND($G33=1,$H33=1,$I33)</f>
        <v/>
      </c>
      <c r="K33" s="5">
        <f>IF(mos_metrics!G32="","",mos_metrics!G32)</f>
        <v/>
      </c>
      <c r="L33" s="2">
        <f>AND($J33,ISNUMBER(K33),correlation!$I$26=1)</f>
        <v/>
      </c>
      <c r="M33" s="5">
        <f>IF(L33,$F33,"")</f>
        <v/>
      </c>
      <c r="N33" s="5">
        <f>IF(L33,K33*correlation!$J$26,"")</f>
        <v/>
      </c>
      <c r="O33" s="5">
        <f>IF(AND(L33,ISNUMBER(correlation!$F$26)),N33*correlation!$F$26+correlation!$G$26,"")</f>
        <v/>
      </c>
      <c r="P33" s="5">
        <f>IF(AND(L33,ISNUMBER(O33)),(M33-O33)^2,"")</f>
        <v/>
      </c>
      <c r="Q33" s="5">
        <f>IF(L33,1+SUMPRODUCT(--(calc!$L$3:$L$306=TRUE),--(calc!$M$3:$M$306&gt;M33))+(SUMPRODUCT(--(calc!$L$3:$L$306=TRUE),--(calc!$M$3:$M$306=M33))-1)/2,"")</f>
        <v/>
      </c>
      <c r="R33" s="5">
        <f>IF(L33,1+SUMPRODUCT(--(calc!$L$3:$L$306=TRUE),--(calc!$N$3:$N$306&gt;N33))+(SUMPRODUCT(--(calc!$L$3:$L$306=TRUE),--(calc!$N$3:$N$306=N33))-1)/2,"")</f>
        <v/>
      </c>
      <c r="S33" s="5">
        <f>IF(L33,SUMPRODUCT(--(calc!$L$3:$L$306=TRUE),--(ROW(calc!$L$3:$L$306)&gt;ROW(L33)),--(((calc!$Q$3:$Q$306&gt;Q33)*(calc!$R$3:$R$306&gt;R33)+(calc!$Q$3:$Q$306&lt;Q33)*(calc!$R$3:$R$306&lt;R33))&gt;0))-SUMPRODUCT(--(calc!$L$3:$L$306=TRUE),--(ROW(calc!$L$3:$L$306)&gt;ROW(L33)),--(((calc!$Q$3:$Q$306&gt;Q33)*(calc!$R$3:$R$306&lt;R33)+(calc!$Q$3:$Q$306&lt;Q33)*(calc!$R$3:$R$306&gt;R33))&gt;0)),0)</f>
        <v/>
      </c>
      <c r="T33" s="5">
        <f>IF(mos_metrics!H32="","",mos_metrics!H32)</f>
        <v/>
      </c>
      <c r="U33" s="2">
        <f>AND($J33,ISNUMBER(T33),correlation!$I$27=1)</f>
        <v/>
      </c>
      <c r="V33" s="5">
        <f>IF(U33,$F33,"")</f>
        <v/>
      </c>
      <c r="W33" s="5">
        <f>IF(U33,T33*correlation!$J$27,"")</f>
        <v/>
      </c>
      <c r="X33" s="5">
        <f>IF(AND(U33,ISNUMBER(correlation!$F$27)),W33*correlation!$F$27+correlation!$G$27,"")</f>
        <v/>
      </c>
      <c r="Y33" s="5">
        <f>IF(AND(U33,ISNUMBER(X33)),(V33-X33)^2,"")</f>
        <v/>
      </c>
      <c r="Z33" s="5">
        <f>IF(U33,1+SUMPRODUCT(--(calc!$U$3:$U$306=TRUE),--(calc!$V$3:$V$306&gt;V33))+(SUMPRODUCT(--(calc!$U$3:$U$306=TRUE),--(calc!$V$3:$V$306=V33))-1)/2,"")</f>
        <v/>
      </c>
      <c r="AA33" s="5">
        <f>IF(U33,1+SUMPRODUCT(--(calc!$U$3:$U$306=TRUE),--(calc!$W$3:$W$306&gt;W33))+(SUMPRODUCT(--(calc!$U$3:$U$306=TRUE),--(calc!$W$3:$W$306=W33))-1)/2,"")</f>
        <v/>
      </c>
      <c r="AB33" s="5">
        <f>IF(U33,SUMPRODUCT(--(calc!$U$3:$U$306=TRUE),--(ROW(calc!$U$3:$U$306)&gt;ROW(U33)),--(((calc!$Z$3:$Z$306&gt;Z33)*(calc!$AA$3:$AA$306&gt;AA33)+(calc!$Z$3:$Z$306&lt;Z33)*(calc!$AA$3:$AA$306&lt;AA33))&gt;0))-SUMPRODUCT(--(calc!$U$3:$U$306=TRUE),--(ROW(calc!$U$3:$U$306)&gt;ROW(U33)),--(((calc!$Z$3:$Z$306&gt;Z33)*(calc!$AA$3:$AA$306&lt;AA33)+(calc!$Z$3:$Z$306&lt;Z33)*(calc!$AA$3:$AA$306&gt;AA33))&gt;0)),0)</f>
        <v/>
      </c>
      <c r="AC33" s="5">
        <f>IF(mos_metrics!I32="","",mos_metrics!I32)</f>
        <v/>
      </c>
      <c r="AD33" s="2">
        <f>AND($J33,ISNUMBER(AC33),correlation!$I$28=1)</f>
        <v/>
      </c>
      <c r="AE33" s="5">
        <f>IF(AD33,$F33,"")</f>
        <v/>
      </c>
      <c r="AF33" s="5">
        <f>IF(AD33,AC33*correlation!$J$28,"")</f>
        <v/>
      </c>
      <c r="AG33" s="5">
        <f>IF(AND(AD33,ISNUMBER(correlation!$F$28)),AF33*correlation!$F$28+correlation!$G$28,"")</f>
        <v/>
      </c>
      <c r="AH33" s="5">
        <f>IF(AND(AD33,ISNUMBER(AG33)),(AE33-AG33)^2,"")</f>
        <v/>
      </c>
      <c r="AI33" s="5">
        <f>IF(AD33,1+SUMPRODUCT(--(calc!$AD$3:$AD$306=TRUE),--(calc!$AE$3:$AE$306&gt;AE33))+(SUMPRODUCT(--(calc!$AD$3:$AD$306=TRUE),--(calc!$AE$3:$AE$306=AE33))-1)/2,"")</f>
        <v/>
      </c>
      <c r="AJ33" s="5">
        <f>IF(AD33,1+SUMPRODUCT(--(calc!$AD$3:$AD$306=TRUE),--(calc!$AF$3:$AF$306&gt;AF33))+(SUMPRODUCT(--(calc!$AD$3:$AD$306=TRUE),--(calc!$AF$3:$AF$306=AF33))-1)/2,"")</f>
        <v/>
      </c>
      <c r="AK33" s="5">
        <f>IF(AD33,SUMPRODUCT(--(calc!$AD$3:$AD$306=TRUE),--(ROW(calc!$AD$3:$AD$306)&gt;ROW(AD33)),--(((calc!$AI$3:$AI$306&gt;AI33)*(calc!$AJ$3:$AJ$306&gt;AJ33)+(calc!$AI$3:$AI$306&lt;AI33)*(calc!$AJ$3:$AJ$306&lt;AJ33))&gt;0))-SUMPRODUCT(--(calc!$AD$3:$AD$306=TRUE),--(ROW(calc!$AD$3:$AD$306)&gt;ROW(AD33)),--(((calc!$AI$3:$AI$306&gt;AI33)*(calc!$AJ$3:$AJ$306&lt;AJ33)+(calc!$AI$3:$AI$306&lt;AI33)*(calc!$AJ$3:$AJ$306&gt;AJ33))&gt;0)),0)</f>
        <v/>
      </c>
      <c r="AL33" s="5">
        <f>IF(mos_metrics!J32="","",mos_metrics!J32)</f>
        <v/>
      </c>
      <c r="AM33" s="2">
        <f>AND($J33,ISNUMBER(AL33),correlation!$I$29=1)</f>
        <v/>
      </c>
      <c r="AN33" s="5">
        <f>IF(AM33,$F33,"")</f>
        <v/>
      </c>
      <c r="AO33" s="5">
        <f>IF(AM33,AL33*correlation!$J$29,"")</f>
        <v/>
      </c>
      <c r="AP33" s="5">
        <f>IF(AND(AM33,ISNUMBER(correlation!$F$29)),AO33*correlation!$F$29+correlation!$G$29,"")</f>
        <v/>
      </c>
      <c r="AQ33" s="5">
        <f>IF(AND(AM33,ISNUMBER(AP33)),(AN33-AP33)^2,"")</f>
        <v/>
      </c>
      <c r="AR33" s="5">
        <f>IF(AM33,1+SUMPRODUCT(--(calc!$AM$3:$AM$306=TRUE),--(calc!$AN$3:$AN$306&gt;AN33))+(SUMPRODUCT(--(calc!$AM$3:$AM$306=TRUE),--(calc!$AN$3:$AN$306=AN33))-1)/2,"")</f>
        <v/>
      </c>
      <c r="AS33" s="5">
        <f>IF(AM33,1+SUMPRODUCT(--(calc!$AM$3:$AM$306=TRUE),--(calc!$AO$3:$AO$306&gt;AO33))+(SUMPRODUCT(--(calc!$AM$3:$AM$306=TRUE),--(calc!$AO$3:$AO$306=AO33))-1)/2,"")</f>
        <v/>
      </c>
      <c r="AT33" s="5">
        <f>IF(AM33,SUMPRODUCT(--(calc!$AM$3:$AM$306=TRUE),--(ROW(calc!$AM$3:$AM$306)&gt;ROW(AM33)),--(((calc!$AR$3:$AR$306&gt;AR33)*(calc!$AS$3:$AS$306&gt;AS33)+(calc!$AR$3:$AR$306&lt;AR33)*(calc!$AS$3:$AS$306&lt;AS33))&gt;0))-SUMPRODUCT(--(calc!$AM$3:$AM$306=TRUE),--(ROW(calc!$AM$3:$AM$306)&gt;ROW(AM33)),--(((calc!$AR$3:$AR$306&gt;AR33)*(calc!$AS$3:$AS$306&lt;AS33)+(calc!$AR$3:$AR$306&lt;AR33)*(calc!$AS$3:$AS$306&gt;AS33))&gt;0)),0)</f>
        <v/>
      </c>
      <c r="AU33" s="5">
        <f>IF(mos_metrics!K32="","",mos_metrics!K32)</f>
        <v/>
      </c>
      <c r="AV33" s="2">
        <f>AND($J33,ISNUMBER(AU33),correlation!$I$30=1)</f>
        <v/>
      </c>
      <c r="AW33" s="5">
        <f>IF(AV33,$F33,"")</f>
        <v/>
      </c>
      <c r="AX33" s="5">
        <f>IF(AV33,AU33*correlation!$J$30,"")</f>
        <v/>
      </c>
      <c r="AY33" s="5">
        <f>IF(AND(AV33,ISNUMBER(correlation!$F$30)),AX33*correlation!$F$30+correlation!$G$30,"")</f>
        <v/>
      </c>
      <c r="AZ33" s="5">
        <f>IF(AND(AV33,ISNUMBER(AY33)),(AW33-AY33)^2,"")</f>
        <v/>
      </c>
      <c r="BA33" s="5">
        <f>IF(AV33,1+SUMPRODUCT(--(calc!$AV$3:$AV$306=TRUE),--(calc!$AW$3:$AW$306&gt;AW33))+(SUMPRODUCT(--(calc!$AV$3:$AV$306=TRUE),--(calc!$AW$3:$AW$306=AW33))-1)/2,"")</f>
        <v/>
      </c>
      <c r="BB33" s="5">
        <f>IF(AV33,1+SUMPRODUCT(--(calc!$AV$3:$AV$306=TRUE),--(calc!$AX$3:$AX$306&gt;AX33))+(SUMPRODUCT(--(calc!$AV$3:$AV$306=TRUE),--(calc!$AX$3:$AX$306=AX33))-1)/2,"")</f>
        <v/>
      </c>
      <c r="BC33" s="5">
        <f>IF(AV33,SUMPRODUCT(--(calc!$AV$3:$AV$306=TRUE),--(ROW(calc!$AV$3:$AV$306)&gt;ROW(AV33)),--(((calc!$BA$3:$BA$306&gt;BA33)*(calc!$BB$3:$BB$306&gt;BB33)+(calc!$BA$3:$BA$306&lt;BA33)*(calc!$BB$3:$BB$306&lt;BB33))&gt;0))-SUMPRODUCT(--(calc!$AV$3:$AV$306=TRUE),--(ROW(calc!$AV$3:$AV$306)&gt;ROW(AV33)),--(((calc!$BA$3:$BA$306&gt;BA33)*(calc!$BB$3:$BB$306&lt;BB33)+(calc!$BA$3:$BA$306&lt;BA33)*(calc!$BB$3:$BB$306&gt;BB33))&gt;0)),0)</f>
        <v/>
      </c>
      <c r="BD33" s="5">
        <f>IF(mos_metrics!L32="","",mos_metrics!L32)</f>
        <v/>
      </c>
      <c r="BE33" s="2">
        <f>AND($J33,ISNUMBER(BD33),correlation!$I$31=1)</f>
        <v/>
      </c>
      <c r="BF33" s="5">
        <f>IF(BE33,$F33,"")</f>
        <v/>
      </c>
      <c r="BG33" s="5">
        <f>IF(BE33,BD33*correlation!$J$31,"")</f>
        <v/>
      </c>
      <c r="BH33" s="5">
        <f>IF(AND(BE33,ISNUMBER(correlation!$F$31)),BG33*correlation!$F$31+correlation!$G$31,"")</f>
        <v/>
      </c>
      <c r="BI33" s="5">
        <f>IF(AND(BE33,ISNUMBER(BH33)),(BF33-BH33)^2,"")</f>
        <v/>
      </c>
      <c r="BJ33" s="5">
        <f>IF(BE33,1+SUMPRODUCT(--(calc!$BE$3:$BE$306=TRUE),--(calc!$BF$3:$BF$306&gt;BF33))+(SUMPRODUCT(--(calc!$BE$3:$BE$306=TRUE),--(calc!$BF$3:$BF$306=BF33))-1)/2,"")</f>
        <v/>
      </c>
      <c r="BK33" s="5">
        <f>IF(BE33,1+SUMPRODUCT(--(calc!$BE$3:$BE$306=TRUE),--(calc!$BG$3:$BG$306&gt;BG33))+(SUMPRODUCT(--(calc!$BE$3:$BE$306=TRUE),--(calc!$BG$3:$BG$306=BG33))-1)/2,"")</f>
        <v/>
      </c>
      <c r="BL33" s="5">
        <f>IF(BE33,SUMPRODUCT(--(calc!$BE$3:$BE$306=TRUE),--(ROW(calc!$BE$3:$BE$306)&gt;ROW(BE33)),--(((calc!$BJ$3:$BJ$306&gt;BJ33)*(calc!$BK$3:$BK$306&gt;BK33)+(calc!$BJ$3:$BJ$306&lt;BJ33)*(calc!$BK$3:$BK$306&lt;BK33))&gt;0))-SUMPRODUCT(--(calc!$BE$3:$BE$306=TRUE),--(ROW(calc!$BE$3:$BE$306)&gt;ROW(BE33)),--(((calc!$BJ$3:$BJ$306&gt;BJ33)*(calc!$BK$3:$BK$306&lt;BK33)+(calc!$BJ$3:$BJ$306&lt;BJ33)*(calc!$BK$3:$BK$306&gt;BK33))&gt;0)),0)</f>
        <v/>
      </c>
      <c r="BM33" s="5">
        <f>IF(mos_metrics!M32="","",mos_metrics!M32)</f>
        <v/>
      </c>
      <c r="BN33" s="2">
        <f>AND($J33,ISNUMBER(BM33),correlation!$I$32=1)</f>
        <v/>
      </c>
      <c r="BO33" s="5">
        <f>IF(BN33,$F33,"")</f>
        <v/>
      </c>
      <c r="BP33" s="5">
        <f>IF(BN33,BM33*correlation!$J$32,"")</f>
        <v/>
      </c>
      <c r="BQ33" s="5">
        <f>IF(AND(BN33,ISNUMBER(correlation!$F$32)),BP33*correlation!$F$32+correlation!$G$32,"")</f>
        <v/>
      </c>
      <c r="BR33" s="5">
        <f>IF(AND(BN33,ISNUMBER(BQ33)),(BO33-BQ33)^2,"")</f>
        <v/>
      </c>
      <c r="BS33" s="5">
        <f>IF(BN33,1+SUMPRODUCT(--(calc!$BN$3:$BN$306=TRUE),--(calc!$BO$3:$BO$306&gt;BO33))+(SUMPRODUCT(--(calc!$BN$3:$BN$306=TRUE),--(calc!$BO$3:$BO$306=BO33))-1)/2,"")</f>
        <v/>
      </c>
      <c r="BT33" s="5">
        <f>IF(BN33,1+SUMPRODUCT(--(calc!$BN$3:$BN$306=TRUE),--(calc!$BP$3:$BP$306&gt;BP33))+(SUMPRODUCT(--(calc!$BN$3:$BN$306=TRUE),--(calc!$BP$3:$BP$306=BP33))-1)/2,"")</f>
        <v/>
      </c>
      <c r="BU33" s="5">
        <f>IF(BN33,SUMPRODUCT(--(calc!$BN$3:$BN$306=TRUE),--(ROW(calc!$BN$3:$BN$306)&gt;ROW(BN33)),--(((calc!$BS$3:$BS$306&gt;BS33)*(calc!$BT$3:$BT$306&gt;BT33)+(calc!$BS$3:$BS$306&lt;BS33)*(calc!$BT$3:$BT$306&lt;BT33))&gt;0))-SUMPRODUCT(--(calc!$BN$3:$BN$306=TRUE),--(ROW(calc!$BN$3:$BN$306)&gt;ROW(BN33)),--(((calc!$BS$3:$BS$306&gt;BS33)*(calc!$BT$3:$BT$306&lt;BT33)+(calc!$BS$3:$BS$306&lt;BS33)*(calc!$BT$3:$BT$306&gt;BT33))&gt;0)),0)</f>
        <v/>
      </c>
    </row>
    <row r="34">
      <c r="A34" s="2">
        <f>mos_metrics!A33</f>
        <v/>
      </c>
      <c r="B34" s="2">
        <f>mos_metrics!B33</f>
        <v/>
      </c>
      <c r="C34" s="2">
        <f>mos_metrics!C33</f>
        <v/>
      </c>
      <c r="D34" s="2">
        <f>mos_metrics!D33</f>
        <v/>
      </c>
      <c r="E34" s="2">
        <f>mos_metrics!E33</f>
        <v/>
      </c>
      <c r="F34" s="2">
        <f>mos_metrics!F33</f>
        <v/>
      </c>
      <c r="G34" s="2">
        <f>IF($B34="","",IFERROR(VLOOKUP($B34,correlation!$A$2:$B$16,2,FALSE),1))</f>
        <v/>
      </c>
      <c r="H34" s="2">
        <f>IF($E34="","",IFERROR(VLOOKUP($E34,correlation!$D$2:$E$8,2,FALSE),1))</f>
        <v/>
      </c>
      <c r="I34" s="2">
        <f>ISNUMBER($F34)</f>
        <v/>
      </c>
      <c r="J34" s="2">
        <f>AND($G34=1,$H34=1,$I34)</f>
        <v/>
      </c>
      <c r="K34" s="5">
        <f>IF(mos_metrics!G33="","",mos_metrics!G33)</f>
        <v/>
      </c>
      <c r="L34" s="2">
        <f>AND($J34,ISNUMBER(K34),correlation!$I$26=1)</f>
        <v/>
      </c>
      <c r="M34" s="5">
        <f>IF(L34,$F34,"")</f>
        <v/>
      </c>
      <c r="N34" s="5">
        <f>IF(L34,K34*correlation!$J$26,"")</f>
        <v/>
      </c>
      <c r="O34" s="5">
        <f>IF(AND(L34,ISNUMBER(correlation!$F$26)),N34*correlation!$F$26+correlation!$G$26,"")</f>
        <v/>
      </c>
      <c r="P34" s="5">
        <f>IF(AND(L34,ISNUMBER(O34)),(M34-O34)^2,"")</f>
        <v/>
      </c>
      <c r="Q34" s="5">
        <f>IF(L34,1+SUMPRODUCT(--(calc!$L$3:$L$306=TRUE),--(calc!$M$3:$M$306&gt;M34))+(SUMPRODUCT(--(calc!$L$3:$L$306=TRUE),--(calc!$M$3:$M$306=M34))-1)/2,"")</f>
        <v/>
      </c>
      <c r="R34" s="5">
        <f>IF(L34,1+SUMPRODUCT(--(calc!$L$3:$L$306=TRUE),--(calc!$N$3:$N$306&gt;N34))+(SUMPRODUCT(--(calc!$L$3:$L$306=TRUE),--(calc!$N$3:$N$306=N34))-1)/2,"")</f>
        <v/>
      </c>
      <c r="S34" s="5">
        <f>IF(L34,SUMPRODUCT(--(calc!$L$3:$L$306=TRUE),--(ROW(calc!$L$3:$L$306)&gt;ROW(L34)),--(((calc!$Q$3:$Q$306&gt;Q34)*(calc!$R$3:$R$306&gt;R34)+(calc!$Q$3:$Q$306&lt;Q34)*(calc!$R$3:$R$306&lt;R34))&gt;0))-SUMPRODUCT(--(calc!$L$3:$L$306=TRUE),--(ROW(calc!$L$3:$L$306)&gt;ROW(L34)),--(((calc!$Q$3:$Q$306&gt;Q34)*(calc!$R$3:$R$306&lt;R34)+(calc!$Q$3:$Q$306&lt;Q34)*(calc!$R$3:$R$306&gt;R34))&gt;0)),0)</f>
        <v/>
      </c>
      <c r="T34" s="5">
        <f>IF(mos_metrics!H33="","",mos_metrics!H33)</f>
        <v/>
      </c>
      <c r="U34" s="2">
        <f>AND($J34,ISNUMBER(T34),correlation!$I$27=1)</f>
        <v/>
      </c>
      <c r="V34" s="5">
        <f>IF(U34,$F34,"")</f>
        <v/>
      </c>
      <c r="W34" s="5">
        <f>IF(U34,T34*correlation!$J$27,"")</f>
        <v/>
      </c>
      <c r="X34" s="5">
        <f>IF(AND(U34,ISNUMBER(correlation!$F$27)),W34*correlation!$F$27+correlation!$G$27,"")</f>
        <v/>
      </c>
      <c r="Y34" s="5">
        <f>IF(AND(U34,ISNUMBER(X34)),(V34-X34)^2,"")</f>
        <v/>
      </c>
      <c r="Z34" s="5">
        <f>IF(U34,1+SUMPRODUCT(--(calc!$U$3:$U$306=TRUE),--(calc!$V$3:$V$306&gt;V34))+(SUMPRODUCT(--(calc!$U$3:$U$306=TRUE),--(calc!$V$3:$V$306=V34))-1)/2,"")</f>
        <v/>
      </c>
      <c r="AA34" s="5">
        <f>IF(U34,1+SUMPRODUCT(--(calc!$U$3:$U$306=TRUE),--(calc!$W$3:$W$306&gt;W34))+(SUMPRODUCT(--(calc!$U$3:$U$306=TRUE),--(calc!$W$3:$W$306=W34))-1)/2,"")</f>
        <v/>
      </c>
      <c r="AB34" s="5">
        <f>IF(U34,SUMPRODUCT(--(calc!$U$3:$U$306=TRUE),--(ROW(calc!$U$3:$U$306)&gt;ROW(U34)),--(((calc!$Z$3:$Z$306&gt;Z34)*(calc!$AA$3:$AA$306&gt;AA34)+(calc!$Z$3:$Z$306&lt;Z34)*(calc!$AA$3:$AA$306&lt;AA34))&gt;0))-SUMPRODUCT(--(calc!$U$3:$U$306=TRUE),--(ROW(calc!$U$3:$U$306)&gt;ROW(U34)),--(((calc!$Z$3:$Z$306&gt;Z34)*(calc!$AA$3:$AA$306&lt;AA34)+(calc!$Z$3:$Z$306&lt;Z34)*(calc!$AA$3:$AA$306&gt;AA34))&gt;0)),0)</f>
        <v/>
      </c>
      <c r="AC34" s="5">
        <f>IF(mos_metrics!I33="","",mos_metrics!I33)</f>
        <v/>
      </c>
      <c r="AD34" s="2">
        <f>AND($J34,ISNUMBER(AC34),correlation!$I$28=1)</f>
        <v/>
      </c>
      <c r="AE34" s="5">
        <f>IF(AD34,$F34,"")</f>
        <v/>
      </c>
      <c r="AF34" s="5">
        <f>IF(AD34,AC34*correlation!$J$28,"")</f>
        <v/>
      </c>
      <c r="AG34" s="5">
        <f>IF(AND(AD34,ISNUMBER(correlation!$F$28)),AF34*correlation!$F$28+correlation!$G$28,"")</f>
        <v/>
      </c>
      <c r="AH34" s="5">
        <f>IF(AND(AD34,ISNUMBER(AG34)),(AE34-AG34)^2,"")</f>
        <v/>
      </c>
      <c r="AI34" s="5">
        <f>IF(AD34,1+SUMPRODUCT(--(calc!$AD$3:$AD$306=TRUE),--(calc!$AE$3:$AE$306&gt;AE34))+(SUMPRODUCT(--(calc!$AD$3:$AD$306=TRUE),--(calc!$AE$3:$AE$306=AE34))-1)/2,"")</f>
        <v/>
      </c>
      <c r="AJ34" s="5">
        <f>IF(AD34,1+SUMPRODUCT(--(calc!$AD$3:$AD$306=TRUE),--(calc!$AF$3:$AF$306&gt;AF34))+(SUMPRODUCT(--(calc!$AD$3:$AD$306=TRUE),--(calc!$AF$3:$AF$306=AF34))-1)/2,"")</f>
        <v/>
      </c>
      <c r="AK34" s="5">
        <f>IF(AD34,SUMPRODUCT(--(calc!$AD$3:$AD$306=TRUE),--(ROW(calc!$AD$3:$AD$306)&gt;ROW(AD34)),--(((calc!$AI$3:$AI$306&gt;AI34)*(calc!$AJ$3:$AJ$306&gt;AJ34)+(calc!$AI$3:$AI$306&lt;AI34)*(calc!$AJ$3:$AJ$306&lt;AJ34))&gt;0))-SUMPRODUCT(--(calc!$AD$3:$AD$306=TRUE),--(ROW(calc!$AD$3:$AD$306)&gt;ROW(AD34)),--(((calc!$AI$3:$AI$306&gt;AI34)*(calc!$AJ$3:$AJ$306&lt;AJ34)+(calc!$AI$3:$AI$306&lt;AI34)*(calc!$AJ$3:$AJ$306&gt;AJ34))&gt;0)),0)</f>
        <v/>
      </c>
      <c r="AL34" s="5">
        <f>IF(mos_metrics!J33="","",mos_metrics!J33)</f>
        <v/>
      </c>
      <c r="AM34" s="2">
        <f>AND($J34,ISNUMBER(AL34),correlation!$I$29=1)</f>
        <v/>
      </c>
      <c r="AN34" s="5">
        <f>IF(AM34,$F34,"")</f>
        <v/>
      </c>
      <c r="AO34" s="5">
        <f>IF(AM34,AL34*correlation!$J$29,"")</f>
        <v/>
      </c>
      <c r="AP34" s="5">
        <f>IF(AND(AM34,ISNUMBER(correlation!$F$29)),AO34*correlation!$F$29+correlation!$G$29,"")</f>
        <v/>
      </c>
      <c r="AQ34" s="5">
        <f>IF(AND(AM34,ISNUMBER(AP34)),(AN34-AP34)^2,"")</f>
        <v/>
      </c>
      <c r="AR34" s="5">
        <f>IF(AM34,1+SUMPRODUCT(--(calc!$AM$3:$AM$306=TRUE),--(calc!$AN$3:$AN$306&gt;AN34))+(SUMPRODUCT(--(calc!$AM$3:$AM$306=TRUE),--(calc!$AN$3:$AN$306=AN34))-1)/2,"")</f>
        <v/>
      </c>
      <c r="AS34" s="5">
        <f>IF(AM34,1+SUMPRODUCT(--(calc!$AM$3:$AM$306=TRUE),--(calc!$AO$3:$AO$306&gt;AO34))+(SUMPRODUCT(--(calc!$AM$3:$AM$306=TRUE),--(calc!$AO$3:$AO$306=AO34))-1)/2,"")</f>
        <v/>
      </c>
      <c r="AT34" s="5">
        <f>IF(AM34,SUMPRODUCT(--(calc!$AM$3:$AM$306=TRUE),--(ROW(calc!$AM$3:$AM$306)&gt;ROW(AM34)),--(((calc!$AR$3:$AR$306&gt;AR34)*(calc!$AS$3:$AS$306&gt;AS34)+(calc!$AR$3:$AR$306&lt;AR34)*(calc!$AS$3:$AS$306&lt;AS34))&gt;0))-SUMPRODUCT(--(calc!$AM$3:$AM$306=TRUE),--(ROW(calc!$AM$3:$AM$306)&gt;ROW(AM34)),--(((calc!$AR$3:$AR$306&gt;AR34)*(calc!$AS$3:$AS$306&lt;AS34)+(calc!$AR$3:$AR$306&lt;AR34)*(calc!$AS$3:$AS$306&gt;AS34))&gt;0)),0)</f>
        <v/>
      </c>
      <c r="AU34" s="5">
        <f>IF(mos_metrics!K33="","",mos_metrics!K33)</f>
        <v/>
      </c>
      <c r="AV34" s="2">
        <f>AND($J34,ISNUMBER(AU34),correlation!$I$30=1)</f>
        <v/>
      </c>
      <c r="AW34" s="5">
        <f>IF(AV34,$F34,"")</f>
        <v/>
      </c>
      <c r="AX34" s="5">
        <f>IF(AV34,AU34*correlation!$J$30,"")</f>
        <v/>
      </c>
      <c r="AY34" s="5">
        <f>IF(AND(AV34,ISNUMBER(correlation!$F$30)),AX34*correlation!$F$30+correlation!$G$30,"")</f>
        <v/>
      </c>
      <c r="AZ34" s="5">
        <f>IF(AND(AV34,ISNUMBER(AY34)),(AW34-AY34)^2,"")</f>
        <v/>
      </c>
      <c r="BA34" s="5">
        <f>IF(AV34,1+SUMPRODUCT(--(calc!$AV$3:$AV$306=TRUE),--(calc!$AW$3:$AW$306&gt;AW34))+(SUMPRODUCT(--(calc!$AV$3:$AV$306=TRUE),--(calc!$AW$3:$AW$306=AW34))-1)/2,"")</f>
        <v/>
      </c>
      <c r="BB34" s="5">
        <f>IF(AV34,1+SUMPRODUCT(--(calc!$AV$3:$AV$306=TRUE),--(calc!$AX$3:$AX$306&gt;AX34))+(SUMPRODUCT(--(calc!$AV$3:$AV$306=TRUE),--(calc!$AX$3:$AX$306=AX34))-1)/2,"")</f>
        <v/>
      </c>
      <c r="BC34" s="5">
        <f>IF(AV34,SUMPRODUCT(--(calc!$AV$3:$AV$306=TRUE),--(ROW(calc!$AV$3:$AV$306)&gt;ROW(AV34)),--(((calc!$BA$3:$BA$306&gt;BA34)*(calc!$BB$3:$BB$306&gt;BB34)+(calc!$BA$3:$BA$306&lt;BA34)*(calc!$BB$3:$BB$306&lt;BB34))&gt;0))-SUMPRODUCT(--(calc!$AV$3:$AV$306=TRUE),--(ROW(calc!$AV$3:$AV$306)&gt;ROW(AV34)),--(((calc!$BA$3:$BA$306&gt;BA34)*(calc!$BB$3:$BB$306&lt;BB34)+(calc!$BA$3:$BA$306&lt;BA34)*(calc!$BB$3:$BB$306&gt;BB34))&gt;0)),0)</f>
        <v/>
      </c>
      <c r="BD34" s="5">
        <f>IF(mos_metrics!L33="","",mos_metrics!L33)</f>
        <v/>
      </c>
      <c r="BE34" s="2">
        <f>AND($J34,ISNUMBER(BD34),correlation!$I$31=1)</f>
        <v/>
      </c>
      <c r="BF34" s="5">
        <f>IF(BE34,$F34,"")</f>
        <v/>
      </c>
      <c r="BG34" s="5">
        <f>IF(BE34,BD34*correlation!$J$31,"")</f>
        <v/>
      </c>
      <c r="BH34" s="5">
        <f>IF(AND(BE34,ISNUMBER(correlation!$F$31)),BG34*correlation!$F$31+correlation!$G$31,"")</f>
        <v/>
      </c>
      <c r="BI34" s="5">
        <f>IF(AND(BE34,ISNUMBER(BH34)),(BF34-BH34)^2,"")</f>
        <v/>
      </c>
      <c r="BJ34" s="5">
        <f>IF(BE34,1+SUMPRODUCT(--(calc!$BE$3:$BE$306=TRUE),--(calc!$BF$3:$BF$306&gt;BF34))+(SUMPRODUCT(--(calc!$BE$3:$BE$306=TRUE),--(calc!$BF$3:$BF$306=BF34))-1)/2,"")</f>
        <v/>
      </c>
      <c r="BK34" s="5">
        <f>IF(BE34,1+SUMPRODUCT(--(calc!$BE$3:$BE$306=TRUE),--(calc!$BG$3:$BG$306&gt;BG34))+(SUMPRODUCT(--(calc!$BE$3:$BE$306=TRUE),--(calc!$BG$3:$BG$306=BG34))-1)/2,"")</f>
        <v/>
      </c>
      <c r="BL34" s="5">
        <f>IF(BE34,SUMPRODUCT(--(calc!$BE$3:$BE$306=TRUE),--(ROW(calc!$BE$3:$BE$306)&gt;ROW(BE34)),--(((calc!$BJ$3:$BJ$306&gt;BJ34)*(calc!$BK$3:$BK$306&gt;BK34)+(calc!$BJ$3:$BJ$306&lt;BJ34)*(calc!$BK$3:$BK$306&lt;BK34))&gt;0))-SUMPRODUCT(--(calc!$BE$3:$BE$306=TRUE),--(ROW(calc!$BE$3:$BE$306)&gt;ROW(BE34)),--(((calc!$BJ$3:$BJ$306&gt;BJ34)*(calc!$BK$3:$BK$306&lt;BK34)+(calc!$BJ$3:$BJ$306&lt;BJ34)*(calc!$BK$3:$BK$306&gt;BK34))&gt;0)),0)</f>
        <v/>
      </c>
      <c r="BM34" s="5">
        <f>IF(mos_metrics!M33="","",mos_metrics!M33)</f>
        <v/>
      </c>
      <c r="BN34" s="2">
        <f>AND($J34,ISNUMBER(BM34),correlation!$I$32=1)</f>
        <v/>
      </c>
      <c r="BO34" s="5">
        <f>IF(BN34,$F34,"")</f>
        <v/>
      </c>
      <c r="BP34" s="5">
        <f>IF(BN34,BM34*correlation!$J$32,"")</f>
        <v/>
      </c>
      <c r="BQ34" s="5">
        <f>IF(AND(BN34,ISNUMBER(correlation!$F$32)),BP34*correlation!$F$32+correlation!$G$32,"")</f>
        <v/>
      </c>
      <c r="BR34" s="5">
        <f>IF(AND(BN34,ISNUMBER(BQ34)),(BO34-BQ34)^2,"")</f>
        <v/>
      </c>
      <c r="BS34" s="5">
        <f>IF(BN34,1+SUMPRODUCT(--(calc!$BN$3:$BN$306=TRUE),--(calc!$BO$3:$BO$306&gt;BO34))+(SUMPRODUCT(--(calc!$BN$3:$BN$306=TRUE),--(calc!$BO$3:$BO$306=BO34))-1)/2,"")</f>
        <v/>
      </c>
      <c r="BT34" s="5">
        <f>IF(BN34,1+SUMPRODUCT(--(calc!$BN$3:$BN$306=TRUE),--(calc!$BP$3:$BP$306&gt;BP34))+(SUMPRODUCT(--(calc!$BN$3:$BN$306=TRUE),--(calc!$BP$3:$BP$306=BP34))-1)/2,"")</f>
        <v/>
      </c>
      <c r="BU34" s="5">
        <f>IF(BN34,SUMPRODUCT(--(calc!$BN$3:$BN$306=TRUE),--(ROW(calc!$BN$3:$BN$306)&gt;ROW(BN34)),--(((calc!$BS$3:$BS$306&gt;BS34)*(calc!$BT$3:$BT$306&gt;BT34)+(calc!$BS$3:$BS$306&lt;BS34)*(calc!$BT$3:$BT$306&lt;BT34))&gt;0))-SUMPRODUCT(--(calc!$BN$3:$BN$306=TRUE),--(ROW(calc!$BN$3:$BN$306)&gt;ROW(BN34)),--(((calc!$BS$3:$BS$306&gt;BS34)*(calc!$BT$3:$BT$306&lt;BT34)+(calc!$BS$3:$BS$306&lt;BS34)*(calc!$BT$3:$BT$306&gt;BT34))&gt;0)),0)</f>
        <v/>
      </c>
    </row>
    <row r="35">
      <c r="A35" s="2">
        <f>mos_metrics!A34</f>
        <v/>
      </c>
      <c r="B35" s="2">
        <f>mos_metrics!B34</f>
        <v/>
      </c>
      <c r="C35" s="2">
        <f>mos_metrics!C34</f>
        <v/>
      </c>
      <c r="D35" s="2">
        <f>mos_metrics!D34</f>
        <v/>
      </c>
      <c r="E35" s="2">
        <f>mos_metrics!E34</f>
        <v/>
      </c>
      <c r="F35" s="2">
        <f>mos_metrics!F34</f>
        <v/>
      </c>
      <c r="G35" s="2">
        <f>IF($B35="","",IFERROR(VLOOKUP($B35,correlation!$A$2:$B$16,2,FALSE),1))</f>
        <v/>
      </c>
      <c r="H35" s="2">
        <f>IF($E35="","",IFERROR(VLOOKUP($E35,correlation!$D$2:$E$8,2,FALSE),1))</f>
        <v/>
      </c>
      <c r="I35" s="2">
        <f>ISNUMBER($F35)</f>
        <v/>
      </c>
      <c r="J35" s="2">
        <f>AND($G35=1,$H35=1,$I35)</f>
        <v/>
      </c>
      <c r="K35" s="5">
        <f>IF(mos_metrics!G34="","",mos_metrics!G34)</f>
        <v/>
      </c>
      <c r="L35" s="2">
        <f>AND($J35,ISNUMBER(K35),correlation!$I$26=1)</f>
        <v/>
      </c>
      <c r="M35" s="5">
        <f>IF(L35,$F35,"")</f>
        <v/>
      </c>
      <c r="N35" s="5">
        <f>IF(L35,K35*correlation!$J$26,"")</f>
        <v/>
      </c>
      <c r="O35" s="5">
        <f>IF(AND(L35,ISNUMBER(correlation!$F$26)),N35*correlation!$F$26+correlation!$G$26,"")</f>
        <v/>
      </c>
      <c r="P35" s="5">
        <f>IF(AND(L35,ISNUMBER(O35)),(M35-O35)^2,"")</f>
        <v/>
      </c>
      <c r="Q35" s="5">
        <f>IF(L35,1+SUMPRODUCT(--(calc!$L$3:$L$306=TRUE),--(calc!$M$3:$M$306&gt;M35))+(SUMPRODUCT(--(calc!$L$3:$L$306=TRUE),--(calc!$M$3:$M$306=M35))-1)/2,"")</f>
        <v/>
      </c>
      <c r="R35" s="5">
        <f>IF(L35,1+SUMPRODUCT(--(calc!$L$3:$L$306=TRUE),--(calc!$N$3:$N$306&gt;N35))+(SUMPRODUCT(--(calc!$L$3:$L$306=TRUE),--(calc!$N$3:$N$306=N35))-1)/2,"")</f>
        <v/>
      </c>
      <c r="S35" s="5">
        <f>IF(L35,SUMPRODUCT(--(calc!$L$3:$L$306=TRUE),--(ROW(calc!$L$3:$L$306)&gt;ROW(L35)),--(((calc!$Q$3:$Q$306&gt;Q35)*(calc!$R$3:$R$306&gt;R35)+(calc!$Q$3:$Q$306&lt;Q35)*(calc!$R$3:$R$306&lt;R35))&gt;0))-SUMPRODUCT(--(calc!$L$3:$L$306=TRUE),--(ROW(calc!$L$3:$L$306)&gt;ROW(L35)),--(((calc!$Q$3:$Q$306&gt;Q35)*(calc!$R$3:$R$306&lt;R35)+(calc!$Q$3:$Q$306&lt;Q35)*(calc!$R$3:$R$306&gt;R35))&gt;0)),0)</f>
        <v/>
      </c>
      <c r="T35" s="5">
        <f>IF(mos_metrics!H34="","",mos_metrics!H34)</f>
        <v/>
      </c>
      <c r="U35" s="2">
        <f>AND($J35,ISNUMBER(T35),correlation!$I$27=1)</f>
        <v/>
      </c>
      <c r="V35" s="5">
        <f>IF(U35,$F35,"")</f>
        <v/>
      </c>
      <c r="W35" s="5">
        <f>IF(U35,T35*correlation!$J$27,"")</f>
        <v/>
      </c>
      <c r="X35" s="5">
        <f>IF(AND(U35,ISNUMBER(correlation!$F$27)),W35*correlation!$F$27+correlation!$G$27,"")</f>
        <v/>
      </c>
      <c r="Y35" s="5">
        <f>IF(AND(U35,ISNUMBER(X35)),(V35-X35)^2,"")</f>
        <v/>
      </c>
      <c r="Z35" s="5">
        <f>IF(U35,1+SUMPRODUCT(--(calc!$U$3:$U$306=TRUE),--(calc!$V$3:$V$306&gt;V35))+(SUMPRODUCT(--(calc!$U$3:$U$306=TRUE),--(calc!$V$3:$V$306=V35))-1)/2,"")</f>
        <v/>
      </c>
      <c r="AA35" s="5">
        <f>IF(U35,1+SUMPRODUCT(--(calc!$U$3:$U$306=TRUE),--(calc!$W$3:$W$306&gt;W35))+(SUMPRODUCT(--(calc!$U$3:$U$306=TRUE),--(calc!$W$3:$W$306=W35))-1)/2,"")</f>
        <v/>
      </c>
      <c r="AB35" s="5">
        <f>IF(U35,SUMPRODUCT(--(calc!$U$3:$U$306=TRUE),--(ROW(calc!$U$3:$U$306)&gt;ROW(U35)),--(((calc!$Z$3:$Z$306&gt;Z35)*(calc!$AA$3:$AA$306&gt;AA35)+(calc!$Z$3:$Z$306&lt;Z35)*(calc!$AA$3:$AA$306&lt;AA35))&gt;0))-SUMPRODUCT(--(calc!$U$3:$U$306=TRUE),--(ROW(calc!$U$3:$U$306)&gt;ROW(U35)),--(((calc!$Z$3:$Z$306&gt;Z35)*(calc!$AA$3:$AA$306&lt;AA35)+(calc!$Z$3:$Z$306&lt;Z35)*(calc!$AA$3:$AA$306&gt;AA35))&gt;0)),0)</f>
        <v/>
      </c>
      <c r="AC35" s="5">
        <f>IF(mos_metrics!I34="","",mos_metrics!I34)</f>
        <v/>
      </c>
      <c r="AD35" s="2">
        <f>AND($J35,ISNUMBER(AC35),correlation!$I$28=1)</f>
        <v/>
      </c>
      <c r="AE35" s="5">
        <f>IF(AD35,$F35,"")</f>
        <v/>
      </c>
      <c r="AF35" s="5">
        <f>IF(AD35,AC35*correlation!$J$28,"")</f>
        <v/>
      </c>
      <c r="AG35" s="5">
        <f>IF(AND(AD35,ISNUMBER(correlation!$F$28)),AF35*correlation!$F$28+correlation!$G$28,"")</f>
        <v/>
      </c>
      <c r="AH35" s="5">
        <f>IF(AND(AD35,ISNUMBER(AG35)),(AE35-AG35)^2,"")</f>
        <v/>
      </c>
      <c r="AI35" s="5">
        <f>IF(AD35,1+SUMPRODUCT(--(calc!$AD$3:$AD$306=TRUE),--(calc!$AE$3:$AE$306&gt;AE35))+(SUMPRODUCT(--(calc!$AD$3:$AD$306=TRUE),--(calc!$AE$3:$AE$306=AE35))-1)/2,"")</f>
        <v/>
      </c>
      <c r="AJ35" s="5">
        <f>IF(AD35,1+SUMPRODUCT(--(calc!$AD$3:$AD$306=TRUE),--(calc!$AF$3:$AF$306&gt;AF35))+(SUMPRODUCT(--(calc!$AD$3:$AD$306=TRUE),--(calc!$AF$3:$AF$306=AF35))-1)/2,"")</f>
        <v/>
      </c>
      <c r="AK35" s="5">
        <f>IF(AD35,SUMPRODUCT(--(calc!$AD$3:$AD$306=TRUE),--(ROW(calc!$AD$3:$AD$306)&gt;ROW(AD35)),--(((calc!$AI$3:$AI$306&gt;AI35)*(calc!$AJ$3:$AJ$306&gt;AJ35)+(calc!$AI$3:$AI$306&lt;AI35)*(calc!$AJ$3:$AJ$306&lt;AJ35))&gt;0))-SUMPRODUCT(--(calc!$AD$3:$AD$306=TRUE),--(ROW(calc!$AD$3:$AD$306)&gt;ROW(AD35)),--(((calc!$AI$3:$AI$306&gt;AI35)*(calc!$AJ$3:$AJ$306&lt;AJ35)+(calc!$AI$3:$AI$306&lt;AI35)*(calc!$AJ$3:$AJ$306&gt;AJ35))&gt;0)),0)</f>
        <v/>
      </c>
      <c r="AL35" s="5">
        <f>IF(mos_metrics!J34="","",mos_metrics!J34)</f>
        <v/>
      </c>
      <c r="AM35" s="2">
        <f>AND($J35,ISNUMBER(AL35),correlation!$I$29=1)</f>
        <v/>
      </c>
      <c r="AN35" s="5">
        <f>IF(AM35,$F35,"")</f>
        <v/>
      </c>
      <c r="AO35" s="5">
        <f>IF(AM35,AL35*correlation!$J$29,"")</f>
        <v/>
      </c>
      <c r="AP35" s="5">
        <f>IF(AND(AM35,ISNUMBER(correlation!$F$29)),AO35*correlation!$F$29+correlation!$G$29,"")</f>
        <v/>
      </c>
      <c r="AQ35" s="5">
        <f>IF(AND(AM35,ISNUMBER(AP35)),(AN35-AP35)^2,"")</f>
        <v/>
      </c>
      <c r="AR35" s="5">
        <f>IF(AM35,1+SUMPRODUCT(--(calc!$AM$3:$AM$306=TRUE),--(calc!$AN$3:$AN$306&gt;AN35))+(SUMPRODUCT(--(calc!$AM$3:$AM$306=TRUE),--(calc!$AN$3:$AN$306=AN35))-1)/2,"")</f>
        <v/>
      </c>
      <c r="AS35" s="5">
        <f>IF(AM35,1+SUMPRODUCT(--(calc!$AM$3:$AM$306=TRUE),--(calc!$AO$3:$AO$306&gt;AO35))+(SUMPRODUCT(--(calc!$AM$3:$AM$306=TRUE),--(calc!$AO$3:$AO$306=AO35))-1)/2,"")</f>
        <v/>
      </c>
      <c r="AT35" s="5">
        <f>IF(AM35,SUMPRODUCT(--(calc!$AM$3:$AM$306=TRUE),--(ROW(calc!$AM$3:$AM$306)&gt;ROW(AM35)),--(((calc!$AR$3:$AR$306&gt;AR35)*(calc!$AS$3:$AS$306&gt;AS35)+(calc!$AR$3:$AR$306&lt;AR35)*(calc!$AS$3:$AS$306&lt;AS35))&gt;0))-SUMPRODUCT(--(calc!$AM$3:$AM$306=TRUE),--(ROW(calc!$AM$3:$AM$306)&gt;ROW(AM35)),--(((calc!$AR$3:$AR$306&gt;AR35)*(calc!$AS$3:$AS$306&lt;AS35)+(calc!$AR$3:$AR$306&lt;AR35)*(calc!$AS$3:$AS$306&gt;AS35))&gt;0)),0)</f>
        <v/>
      </c>
      <c r="AU35" s="5">
        <f>IF(mos_metrics!K34="","",mos_metrics!K34)</f>
        <v/>
      </c>
      <c r="AV35" s="2">
        <f>AND($J35,ISNUMBER(AU35),correlation!$I$30=1)</f>
        <v/>
      </c>
      <c r="AW35" s="5">
        <f>IF(AV35,$F35,"")</f>
        <v/>
      </c>
      <c r="AX35" s="5">
        <f>IF(AV35,AU35*correlation!$J$30,"")</f>
        <v/>
      </c>
      <c r="AY35" s="5">
        <f>IF(AND(AV35,ISNUMBER(correlation!$F$30)),AX35*correlation!$F$30+correlation!$G$30,"")</f>
        <v/>
      </c>
      <c r="AZ35" s="5">
        <f>IF(AND(AV35,ISNUMBER(AY35)),(AW35-AY35)^2,"")</f>
        <v/>
      </c>
      <c r="BA35" s="5">
        <f>IF(AV35,1+SUMPRODUCT(--(calc!$AV$3:$AV$306=TRUE),--(calc!$AW$3:$AW$306&gt;AW35))+(SUMPRODUCT(--(calc!$AV$3:$AV$306=TRUE),--(calc!$AW$3:$AW$306=AW35))-1)/2,"")</f>
        <v/>
      </c>
      <c r="BB35" s="5">
        <f>IF(AV35,1+SUMPRODUCT(--(calc!$AV$3:$AV$306=TRUE),--(calc!$AX$3:$AX$306&gt;AX35))+(SUMPRODUCT(--(calc!$AV$3:$AV$306=TRUE),--(calc!$AX$3:$AX$306=AX35))-1)/2,"")</f>
        <v/>
      </c>
      <c r="BC35" s="5">
        <f>IF(AV35,SUMPRODUCT(--(calc!$AV$3:$AV$306=TRUE),--(ROW(calc!$AV$3:$AV$306)&gt;ROW(AV35)),--(((calc!$BA$3:$BA$306&gt;BA35)*(calc!$BB$3:$BB$306&gt;BB35)+(calc!$BA$3:$BA$306&lt;BA35)*(calc!$BB$3:$BB$306&lt;BB35))&gt;0))-SUMPRODUCT(--(calc!$AV$3:$AV$306=TRUE),--(ROW(calc!$AV$3:$AV$306)&gt;ROW(AV35)),--(((calc!$BA$3:$BA$306&gt;BA35)*(calc!$BB$3:$BB$306&lt;BB35)+(calc!$BA$3:$BA$306&lt;BA35)*(calc!$BB$3:$BB$306&gt;BB35))&gt;0)),0)</f>
        <v/>
      </c>
      <c r="BD35" s="5">
        <f>IF(mos_metrics!L34="","",mos_metrics!L34)</f>
        <v/>
      </c>
      <c r="BE35" s="2">
        <f>AND($J35,ISNUMBER(BD35),correlation!$I$31=1)</f>
        <v/>
      </c>
      <c r="BF35" s="5">
        <f>IF(BE35,$F35,"")</f>
        <v/>
      </c>
      <c r="BG35" s="5">
        <f>IF(BE35,BD35*correlation!$J$31,"")</f>
        <v/>
      </c>
      <c r="BH35" s="5">
        <f>IF(AND(BE35,ISNUMBER(correlation!$F$31)),BG35*correlation!$F$31+correlation!$G$31,"")</f>
        <v/>
      </c>
      <c r="BI35" s="5">
        <f>IF(AND(BE35,ISNUMBER(BH35)),(BF35-BH35)^2,"")</f>
        <v/>
      </c>
      <c r="BJ35" s="5">
        <f>IF(BE35,1+SUMPRODUCT(--(calc!$BE$3:$BE$306=TRUE),--(calc!$BF$3:$BF$306&gt;BF35))+(SUMPRODUCT(--(calc!$BE$3:$BE$306=TRUE),--(calc!$BF$3:$BF$306=BF35))-1)/2,"")</f>
        <v/>
      </c>
      <c r="BK35" s="5">
        <f>IF(BE35,1+SUMPRODUCT(--(calc!$BE$3:$BE$306=TRUE),--(calc!$BG$3:$BG$306&gt;BG35))+(SUMPRODUCT(--(calc!$BE$3:$BE$306=TRUE),--(calc!$BG$3:$BG$306=BG35))-1)/2,"")</f>
        <v/>
      </c>
      <c r="BL35" s="5">
        <f>IF(BE35,SUMPRODUCT(--(calc!$BE$3:$BE$306=TRUE),--(ROW(calc!$BE$3:$BE$306)&gt;ROW(BE35)),--(((calc!$BJ$3:$BJ$306&gt;BJ35)*(calc!$BK$3:$BK$306&gt;BK35)+(calc!$BJ$3:$BJ$306&lt;BJ35)*(calc!$BK$3:$BK$306&lt;BK35))&gt;0))-SUMPRODUCT(--(calc!$BE$3:$BE$306=TRUE),--(ROW(calc!$BE$3:$BE$306)&gt;ROW(BE35)),--(((calc!$BJ$3:$BJ$306&gt;BJ35)*(calc!$BK$3:$BK$306&lt;BK35)+(calc!$BJ$3:$BJ$306&lt;BJ35)*(calc!$BK$3:$BK$306&gt;BK35))&gt;0)),0)</f>
        <v/>
      </c>
      <c r="BM35" s="5">
        <f>IF(mos_metrics!M34="","",mos_metrics!M34)</f>
        <v/>
      </c>
      <c r="BN35" s="2">
        <f>AND($J35,ISNUMBER(BM35),correlation!$I$32=1)</f>
        <v/>
      </c>
      <c r="BO35" s="5">
        <f>IF(BN35,$F35,"")</f>
        <v/>
      </c>
      <c r="BP35" s="5">
        <f>IF(BN35,BM35*correlation!$J$32,"")</f>
        <v/>
      </c>
      <c r="BQ35" s="5">
        <f>IF(AND(BN35,ISNUMBER(correlation!$F$32)),BP35*correlation!$F$32+correlation!$G$32,"")</f>
        <v/>
      </c>
      <c r="BR35" s="5">
        <f>IF(AND(BN35,ISNUMBER(BQ35)),(BO35-BQ35)^2,"")</f>
        <v/>
      </c>
      <c r="BS35" s="5">
        <f>IF(BN35,1+SUMPRODUCT(--(calc!$BN$3:$BN$306=TRUE),--(calc!$BO$3:$BO$306&gt;BO35))+(SUMPRODUCT(--(calc!$BN$3:$BN$306=TRUE),--(calc!$BO$3:$BO$306=BO35))-1)/2,"")</f>
        <v/>
      </c>
      <c r="BT35" s="5">
        <f>IF(BN35,1+SUMPRODUCT(--(calc!$BN$3:$BN$306=TRUE),--(calc!$BP$3:$BP$306&gt;BP35))+(SUMPRODUCT(--(calc!$BN$3:$BN$306=TRUE),--(calc!$BP$3:$BP$306=BP35))-1)/2,"")</f>
        <v/>
      </c>
      <c r="BU35" s="5">
        <f>IF(BN35,SUMPRODUCT(--(calc!$BN$3:$BN$306=TRUE),--(ROW(calc!$BN$3:$BN$306)&gt;ROW(BN35)),--(((calc!$BS$3:$BS$306&gt;BS35)*(calc!$BT$3:$BT$306&gt;BT35)+(calc!$BS$3:$BS$306&lt;BS35)*(calc!$BT$3:$BT$306&lt;BT35))&gt;0))-SUMPRODUCT(--(calc!$BN$3:$BN$306=TRUE),--(ROW(calc!$BN$3:$BN$306)&gt;ROW(BN35)),--(((calc!$BS$3:$BS$306&gt;BS35)*(calc!$BT$3:$BT$306&lt;BT35)+(calc!$BS$3:$BS$306&lt;BS35)*(calc!$BT$3:$BT$306&gt;BT35))&gt;0)),0)</f>
        <v/>
      </c>
    </row>
    <row r="36">
      <c r="A36" s="2">
        <f>mos_metrics!A35</f>
        <v/>
      </c>
      <c r="B36" s="2">
        <f>mos_metrics!B35</f>
        <v/>
      </c>
      <c r="C36" s="2">
        <f>mos_metrics!C35</f>
        <v/>
      </c>
      <c r="D36" s="2">
        <f>mos_metrics!D35</f>
        <v/>
      </c>
      <c r="E36" s="2">
        <f>mos_metrics!E35</f>
        <v/>
      </c>
      <c r="F36" s="2">
        <f>mos_metrics!F35</f>
        <v/>
      </c>
      <c r="G36" s="2">
        <f>IF($B36="","",IFERROR(VLOOKUP($B36,correlation!$A$2:$B$16,2,FALSE),1))</f>
        <v/>
      </c>
      <c r="H36" s="2">
        <f>IF($E36="","",IFERROR(VLOOKUP($E36,correlation!$D$2:$E$8,2,FALSE),1))</f>
        <v/>
      </c>
      <c r="I36" s="2">
        <f>ISNUMBER($F36)</f>
        <v/>
      </c>
      <c r="J36" s="2">
        <f>AND($G36=1,$H36=1,$I36)</f>
        <v/>
      </c>
      <c r="K36" s="5">
        <f>IF(mos_metrics!G35="","",mos_metrics!G35)</f>
        <v/>
      </c>
      <c r="L36" s="2">
        <f>AND($J36,ISNUMBER(K36),correlation!$I$26=1)</f>
        <v/>
      </c>
      <c r="M36" s="5">
        <f>IF(L36,$F36,"")</f>
        <v/>
      </c>
      <c r="N36" s="5">
        <f>IF(L36,K36*correlation!$J$26,"")</f>
        <v/>
      </c>
      <c r="O36" s="5">
        <f>IF(AND(L36,ISNUMBER(correlation!$F$26)),N36*correlation!$F$26+correlation!$G$26,"")</f>
        <v/>
      </c>
      <c r="P36" s="5">
        <f>IF(AND(L36,ISNUMBER(O36)),(M36-O36)^2,"")</f>
        <v/>
      </c>
      <c r="Q36" s="5">
        <f>IF(L36,1+SUMPRODUCT(--(calc!$L$3:$L$306=TRUE),--(calc!$M$3:$M$306&gt;M36))+(SUMPRODUCT(--(calc!$L$3:$L$306=TRUE),--(calc!$M$3:$M$306=M36))-1)/2,"")</f>
        <v/>
      </c>
      <c r="R36" s="5">
        <f>IF(L36,1+SUMPRODUCT(--(calc!$L$3:$L$306=TRUE),--(calc!$N$3:$N$306&gt;N36))+(SUMPRODUCT(--(calc!$L$3:$L$306=TRUE),--(calc!$N$3:$N$306=N36))-1)/2,"")</f>
        <v/>
      </c>
      <c r="S36" s="5">
        <f>IF(L36,SUMPRODUCT(--(calc!$L$3:$L$306=TRUE),--(ROW(calc!$L$3:$L$306)&gt;ROW(L36)),--(((calc!$Q$3:$Q$306&gt;Q36)*(calc!$R$3:$R$306&gt;R36)+(calc!$Q$3:$Q$306&lt;Q36)*(calc!$R$3:$R$306&lt;R36))&gt;0))-SUMPRODUCT(--(calc!$L$3:$L$306=TRUE),--(ROW(calc!$L$3:$L$306)&gt;ROW(L36)),--(((calc!$Q$3:$Q$306&gt;Q36)*(calc!$R$3:$R$306&lt;R36)+(calc!$Q$3:$Q$306&lt;Q36)*(calc!$R$3:$R$306&gt;R36))&gt;0)),0)</f>
        <v/>
      </c>
      <c r="T36" s="5">
        <f>IF(mos_metrics!H35="","",mos_metrics!H35)</f>
        <v/>
      </c>
      <c r="U36" s="2">
        <f>AND($J36,ISNUMBER(T36),correlation!$I$27=1)</f>
        <v/>
      </c>
      <c r="V36" s="5">
        <f>IF(U36,$F36,"")</f>
        <v/>
      </c>
      <c r="W36" s="5">
        <f>IF(U36,T36*correlation!$J$27,"")</f>
        <v/>
      </c>
      <c r="X36" s="5">
        <f>IF(AND(U36,ISNUMBER(correlation!$F$27)),W36*correlation!$F$27+correlation!$G$27,"")</f>
        <v/>
      </c>
      <c r="Y36" s="5">
        <f>IF(AND(U36,ISNUMBER(X36)),(V36-X36)^2,"")</f>
        <v/>
      </c>
      <c r="Z36" s="5">
        <f>IF(U36,1+SUMPRODUCT(--(calc!$U$3:$U$306=TRUE),--(calc!$V$3:$V$306&gt;V36))+(SUMPRODUCT(--(calc!$U$3:$U$306=TRUE),--(calc!$V$3:$V$306=V36))-1)/2,"")</f>
        <v/>
      </c>
      <c r="AA36" s="5">
        <f>IF(U36,1+SUMPRODUCT(--(calc!$U$3:$U$306=TRUE),--(calc!$W$3:$W$306&gt;W36))+(SUMPRODUCT(--(calc!$U$3:$U$306=TRUE),--(calc!$W$3:$W$306=W36))-1)/2,"")</f>
        <v/>
      </c>
      <c r="AB36" s="5">
        <f>IF(U36,SUMPRODUCT(--(calc!$U$3:$U$306=TRUE),--(ROW(calc!$U$3:$U$306)&gt;ROW(U36)),--(((calc!$Z$3:$Z$306&gt;Z36)*(calc!$AA$3:$AA$306&gt;AA36)+(calc!$Z$3:$Z$306&lt;Z36)*(calc!$AA$3:$AA$306&lt;AA36))&gt;0))-SUMPRODUCT(--(calc!$U$3:$U$306=TRUE),--(ROW(calc!$U$3:$U$306)&gt;ROW(U36)),--(((calc!$Z$3:$Z$306&gt;Z36)*(calc!$AA$3:$AA$306&lt;AA36)+(calc!$Z$3:$Z$306&lt;Z36)*(calc!$AA$3:$AA$306&gt;AA36))&gt;0)),0)</f>
        <v/>
      </c>
      <c r="AC36" s="5">
        <f>IF(mos_metrics!I35="","",mos_metrics!I35)</f>
        <v/>
      </c>
      <c r="AD36" s="2">
        <f>AND($J36,ISNUMBER(AC36),correlation!$I$28=1)</f>
        <v/>
      </c>
      <c r="AE36" s="5">
        <f>IF(AD36,$F36,"")</f>
        <v/>
      </c>
      <c r="AF36" s="5">
        <f>IF(AD36,AC36*correlation!$J$28,"")</f>
        <v/>
      </c>
      <c r="AG36" s="5">
        <f>IF(AND(AD36,ISNUMBER(correlation!$F$28)),AF36*correlation!$F$28+correlation!$G$28,"")</f>
        <v/>
      </c>
      <c r="AH36" s="5">
        <f>IF(AND(AD36,ISNUMBER(AG36)),(AE36-AG36)^2,"")</f>
        <v/>
      </c>
      <c r="AI36" s="5">
        <f>IF(AD36,1+SUMPRODUCT(--(calc!$AD$3:$AD$306=TRUE),--(calc!$AE$3:$AE$306&gt;AE36))+(SUMPRODUCT(--(calc!$AD$3:$AD$306=TRUE),--(calc!$AE$3:$AE$306=AE36))-1)/2,"")</f>
        <v/>
      </c>
      <c r="AJ36" s="5">
        <f>IF(AD36,1+SUMPRODUCT(--(calc!$AD$3:$AD$306=TRUE),--(calc!$AF$3:$AF$306&gt;AF36))+(SUMPRODUCT(--(calc!$AD$3:$AD$306=TRUE),--(calc!$AF$3:$AF$306=AF36))-1)/2,"")</f>
        <v/>
      </c>
      <c r="AK36" s="5">
        <f>IF(AD36,SUMPRODUCT(--(calc!$AD$3:$AD$306=TRUE),--(ROW(calc!$AD$3:$AD$306)&gt;ROW(AD36)),--(((calc!$AI$3:$AI$306&gt;AI36)*(calc!$AJ$3:$AJ$306&gt;AJ36)+(calc!$AI$3:$AI$306&lt;AI36)*(calc!$AJ$3:$AJ$306&lt;AJ36))&gt;0))-SUMPRODUCT(--(calc!$AD$3:$AD$306=TRUE),--(ROW(calc!$AD$3:$AD$306)&gt;ROW(AD36)),--(((calc!$AI$3:$AI$306&gt;AI36)*(calc!$AJ$3:$AJ$306&lt;AJ36)+(calc!$AI$3:$AI$306&lt;AI36)*(calc!$AJ$3:$AJ$306&gt;AJ36))&gt;0)),0)</f>
        <v/>
      </c>
      <c r="AL36" s="5">
        <f>IF(mos_metrics!J35="","",mos_metrics!J35)</f>
        <v/>
      </c>
      <c r="AM36" s="2">
        <f>AND($J36,ISNUMBER(AL36),correlation!$I$29=1)</f>
        <v/>
      </c>
      <c r="AN36" s="5">
        <f>IF(AM36,$F36,"")</f>
        <v/>
      </c>
      <c r="AO36" s="5">
        <f>IF(AM36,AL36*correlation!$J$29,"")</f>
        <v/>
      </c>
      <c r="AP36" s="5">
        <f>IF(AND(AM36,ISNUMBER(correlation!$F$29)),AO36*correlation!$F$29+correlation!$G$29,"")</f>
        <v/>
      </c>
      <c r="AQ36" s="5">
        <f>IF(AND(AM36,ISNUMBER(AP36)),(AN36-AP36)^2,"")</f>
        <v/>
      </c>
      <c r="AR36" s="5">
        <f>IF(AM36,1+SUMPRODUCT(--(calc!$AM$3:$AM$306=TRUE),--(calc!$AN$3:$AN$306&gt;AN36))+(SUMPRODUCT(--(calc!$AM$3:$AM$306=TRUE),--(calc!$AN$3:$AN$306=AN36))-1)/2,"")</f>
        <v/>
      </c>
      <c r="AS36" s="5">
        <f>IF(AM36,1+SUMPRODUCT(--(calc!$AM$3:$AM$306=TRUE),--(calc!$AO$3:$AO$306&gt;AO36))+(SUMPRODUCT(--(calc!$AM$3:$AM$306=TRUE),--(calc!$AO$3:$AO$306=AO36))-1)/2,"")</f>
        <v/>
      </c>
      <c r="AT36" s="5">
        <f>IF(AM36,SUMPRODUCT(--(calc!$AM$3:$AM$306=TRUE),--(ROW(calc!$AM$3:$AM$306)&gt;ROW(AM36)),--(((calc!$AR$3:$AR$306&gt;AR36)*(calc!$AS$3:$AS$306&gt;AS36)+(calc!$AR$3:$AR$306&lt;AR36)*(calc!$AS$3:$AS$306&lt;AS36))&gt;0))-SUMPRODUCT(--(calc!$AM$3:$AM$306=TRUE),--(ROW(calc!$AM$3:$AM$306)&gt;ROW(AM36)),--(((calc!$AR$3:$AR$306&gt;AR36)*(calc!$AS$3:$AS$306&lt;AS36)+(calc!$AR$3:$AR$306&lt;AR36)*(calc!$AS$3:$AS$306&gt;AS36))&gt;0)),0)</f>
        <v/>
      </c>
      <c r="AU36" s="5">
        <f>IF(mos_metrics!K35="","",mos_metrics!K35)</f>
        <v/>
      </c>
      <c r="AV36" s="2">
        <f>AND($J36,ISNUMBER(AU36),correlation!$I$30=1)</f>
        <v/>
      </c>
      <c r="AW36" s="5">
        <f>IF(AV36,$F36,"")</f>
        <v/>
      </c>
      <c r="AX36" s="5">
        <f>IF(AV36,AU36*correlation!$J$30,"")</f>
        <v/>
      </c>
      <c r="AY36" s="5">
        <f>IF(AND(AV36,ISNUMBER(correlation!$F$30)),AX36*correlation!$F$30+correlation!$G$30,"")</f>
        <v/>
      </c>
      <c r="AZ36" s="5">
        <f>IF(AND(AV36,ISNUMBER(AY36)),(AW36-AY36)^2,"")</f>
        <v/>
      </c>
      <c r="BA36" s="5">
        <f>IF(AV36,1+SUMPRODUCT(--(calc!$AV$3:$AV$306=TRUE),--(calc!$AW$3:$AW$306&gt;AW36))+(SUMPRODUCT(--(calc!$AV$3:$AV$306=TRUE),--(calc!$AW$3:$AW$306=AW36))-1)/2,"")</f>
        <v/>
      </c>
      <c r="BB36" s="5">
        <f>IF(AV36,1+SUMPRODUCT(--(calc!$AV$3:$AV$306=TRUE),--(calc!$AX$3:$AX$306&gt;AX36))+(SUMPRODUCT(--(calc!$AV$3:$AV$306=TRUE),--(calc!$AX$3:$AX$306=AX36))-1)/2,"")</f>
        <v/>
      </c>
      <c r="BC36" s="5">
        <f>IF(AV36,SUMPRODUCT(--(calc!$AV$3:$AV$306=TRUE),--(ROW(calc!$AV$3:$AV$306)&gt;ROW(AV36)),--(((calc!$BA$3:$BA$306&gt;BA36)*(calc!$BB$3:$BB$306&gt;BB36)+(calc!$BA$3:$BA$306&lt;BA36)*(calc!$BB$3:$BB$306&lt;BB36))&gt;0))-SUMPRODUCT(--(calc!$AV$3:$AV$306=TRUE),--(ROW(calc!$AV$3:$AV$306)&gt;ROW(AV36)),--(((calc!$BA$3:$BA$306&gt;BA36)*(calc!$BB$3:$BB$306&lt;BB36)+(calc!$BA$3:$BA$306&lt;BA36)*(calc!$BB$3:$BB$306&gt;BB36))&gt;0)),0)</f>
        <v/>
      </c>
      <c r="BD36" s="5">
        <f>IF(mos_metrics!L35="","",mos_metrics!L35)</f>
        <v/>
      </c>
      <c r="BE36" s="2">
        <f>AND($J36,ISNUMBER(BD36),correlation!$I$31=1)</f>
        <v/>
      </c>
      <c r="BF36" s="5">
        <f>IF(BE36,$F36,"")</f>
        <v/>
      </c>
      <c r="BG36" s="5">
        <f>IF(BE36,BD36*correlation!$J$31,"")</f>
        <v/>
      </c>
      <c r="BH36" s="5">
        <f>IF(AND(BE36,ISNUMBER(correlation!$F$31)),BG36*correlation!$F$31+correlation!$G$31,"")</f>
        <v/>
      </c>
      <c r="BI36" s="5">
        <f>IF(AND(BE36,ISNUMBER(BH36)),(BF36-BH36)^2,"")</f>
        <v/>
      </c>
      <c r="BJ36" s="5">
        <f>IF(BE36,1+SUMPRODUCT(--(calc!$BE$3:$BE$306=TRUE),--(calc!$BF$3:$BF$306&gt;BF36))+(SUMPRODUCT(--(calc!$BE$3:$BE$306=TRUE),--(calc!$BF$3:$BF$306=BF36))-1)/2,"")</f>
        <v/>
      </c>
      <c r="BK36" s="5">
        <f>IF(BE36,1+SUMPRODUCT(--(calc!$BE$3:$BE$306=TRUE),--(calc!$BG$3:$BG$306&gt;BG36))+(SUMPRODUCT(--(calc!$BE$3:$BE$306=TRUE),--(calc!$BG$3:$BG$306=BG36))-1)/2,"")</f>
        <v/>
      </c>
      <c r="BL36" s="5">
        <f>IF(BE36,SUMPRODUCT(--(calc!$BE$3:$BE$306=TRUE),--(ROW(calc!$BE$3:$BE$306)&gt;ROW(BE36)),--(((calc!$BJ$3:$BJ$306&gt;BJ36)*(calc!$BK$3:$BK$306&gt;BK36)+(calc!$BJ$3:$BJ$306&lt;BJ36)*(calc!$BK$3:$BK$306&lt;BK36))&gt;0))-SUMPRODUCT(--(calc!$BE$3:$BE$306=TRUE),--(ROW(calc!$BE$3:$BE$306)&gt;ROW(BE36)),--(((calc!$BJ$3:$BJ$306&gt;BJ36)*(calc!$BK$3:$BK$306&lt;BK36)+(calc!$BJ$3:$BJ$306&lt;BJ36)*(calc!$BK$3:$BK$306&gt;BK36))&gt;0)),0)</f>
        <v/>
      </c>
      <c r="BM36" s="5">
        <f>IF(mos_metrics!M35="","",mos_metrics!M35)</f>
        <v/>
      </c>
      <c r="BN36" s="2">
        <f>AND($J36,ISNUMBER(BM36),correlation!$I$32=1)</f>
        <v/>
      </c>
      <c r="BO36" s="5">
        <f>IF(BN36,$F36,"")</f>
        <v/>
      </c>
      <c r="BP36" s="5">
        <f>IF(BN36,BM36*correlation!$J$32,"")</f>
        <v/>
      </c>
      <c r="BQ36" s="5">
        <f>IF(AND(BN36,ISNUMBER(correlation!$F$32)),BP36*correlation!$F$32+correlation!$G$32,"")</f>
        <v/>
      </c>
      <c r="BR36" s="5">
        <f>IF(AND(BN36,ISNUMBER(BQ36)),(BO36-BQ36)^2,"")</f>
        <v/>
      </c>
      <c r="BS36" s="5">
        <f>IF(BN36,1+SUMPRODUCT(--(calc!$BN$3:$BN$306=TRUE),--(calc!$BO$3:$BO$306&gt;BO36))+(SUMPRODUCT(--(calc!$BN$3:$BN$306=TRUE),--(calc!$BO$3:$BO$306=BO36))-1)/2,"")</f>
        <v/>
      </c>
      <c r="BT36" s="5">
        <f>IF(BN36,1+SUMPRODUCT(--(calc!$BN$3:$BN$306=TRUE),--(calc!$BP$3:$BP$306&gt;BP36))+(SUMPRODUCT(--(calc!$BN$3:$BN$306=TRUE),--(calc!$BP$3:$BP$306=BP36))-1)/2,"")</f>
        <v/>
      </c>
      <c r="BU36" s="5">
        <f>IF(BN36,SUMPRODUCT(--(calc!$BN$3:$BN$306=TRUE),--(ROW(calc!$BN$3:$BN$306)&gt;ROW(BN36)),--(((calc!$BS$3:$BS$306&gt;BS36)*(calc!$BT$3:$BT$306&gt;BT36)+(calc!$BS$3:$BS$306&lt;BS36)*(calc!$BT$3:$BT$306&lt;BT36))&gt;0))-SUMPRODUCT(--(calc!$BN$3:$BN$306=TRUE),--(ROW(calc!$BN$3:$BN$306)&gt;ROW(BN36)),--(((calc!$BS$3:$BS$306&gt;BS36)*(calc!$BT$3:$BT$306&lt;BT36)+(calc!$BS$3:$BS$306&lt;BS36)*(calc!$BT$3:$BT$306&gt;BT36))&gt;0)),0)</f>
        <v/>
      </c>
    </row>
    <row r="37">
      <c r="A37" s="2">
        <f>mos_metrics!A36</f>
        <v/>
      </c>
      <c r="B37" s="2">
        <f>mos_metrics!B36</f>
        <v/>
      </c>
      <c r="C37" s="2">
        <f>mos_metrics!C36</f>
        <v/>
      </c>
      <c r="D37" s="2">
        <f>mos_metrics!D36</f>
        <v/>
      </c>
      <c r="E37" s="2">
        <f>mos_metrics!E36</f>
        <v/>
      </c>
      <c r="F37" s="2">
        <f>mos_metrics!F36</f>
        <v/>
      </c>
      <c r="G37" s="2">
        <f>IF($B37="","",IFERROR(VLOOKUP($B37,correlation!$A$2:$B$16,2,FALSE),1))</f>
        <v/>
      </c>
      <c r="H37" s="2">
        <f>IF($E37="","",IFERROR(VLOOKUP($E37,correlation!$D$2:$E$8,2,FALSE),1))</f>
        <v/>
      </c>
      <c r="I37" s="2">
        <f>ISNUMBER($F37)</f>
        <v/>
      </c>
      <c r="J37" s="2">
        <f>AND($G37=1,$H37=1,$I37)</f>
        <v/>
      </c>
      <c r="K37" s="5">
        <f>IF(mos_metrics!G36="","",mos_metrics!G36)</f>
        <v/>
      </c>
      <c r="L37" s="2">
        <f>AND($J37,ISNUMBER(K37),correlation!$I$26=1)</f>
        <v/>
      </c>
      <c r="M37" s="5">
        <f>IF(L37,$F37,"")</f>
        <v/>
      </c>
      <c r="N37" s="5">
        <f>IF(L37,K37*correlation!$J$26,"")</f>
        <v/>
      </c>
      <c r="O37" s="5">
        <f>IF(AND(L37,ISNUMBER(correlation!$F$26)),N37*correlation!$F$26+correlation!$G$26,"")</f>
        <v/>
      </c>
      <c r="P37" s="5">
        <f>IF(AND(L37,ISNUMBER(O37)),(M37-O37)^2,"")</f>
        <v/>
      </c>
      <c r="Q37" s="5">
        <f>IF(L37,1+SUMPRODUCT(--(calc!$L$3:$L$306=TRUE),--(calc!$M$3:$M$306&gt;M37))+(SUMPRODUCT(--(calc!$L$3:$L$306=TRUE),--(calc!$M$3:$M$306=M37))-1)/2,"")</f>
        <v/>
      </c>
      <c r="R37" s="5">
        <f>IF(L37,1+SUMPRODUCT(--(calc!$L$3:$L$306=TRUE),--(calc!$N$3:$N$306&gt;N37))+(SUMPRODUCT(--(calc!$L$3:$L$306=TRUE),--(calc!$N$3:$N$306=N37))-1)/2,"")</f>
        <v/>
      </c>
      <c r="S37" s="5">
        <f>IF(L37,SUMPRODUCT(--(calc!$L$3:$L$306=TRUE),--(ROW(calc!$L$3:$L$306)&gt;ROW(L37)),--(((calc!$Q$3:$Q$306&gt;Q37)*(calc!$R$3:$R$306&gt;R37)+(calc!$Q$3:$Q$306&lt;Q37)*(calc!$R$3:$R$306&lt;R37))&gt;0))-SUMPRODUCT(--(calc!$L$3:$L$306=TRUE),--(ROW(calc!$L$3:$L$306)&gt;ROW(L37)),--(((calc!$Q$3:$Q$306&gt;Q37)*(calc!$R$3:$R$306&lt;R37)+(calc!$Q$3:$Q$306&lt;Q37)*(calc!$R$3:$R$306&gt;R37))&gt;0)),0)</f>
        <v/>
      </c>
      <c r="T37" s="5">
        <f>IF(mos_metrics!H36="","",mos_metrics!H36)</f>
        <v/>
      </c>
      <c r="U37" s="2">
        <f>AND($J37,ISNUMBER(T37),correlation!$I$27=1)</f>
        <v/>
      </c>
      <c r="V37" s="5">
        <f>IF(U37,$F37,"")</f>
        <v/>
      </c>
      <c r="W37" s="5">
        <f>IF(U37,T37*correlation!$J$27,"")</f>
        <v/>
      </c>
      <c r="X37" s="5">
        <f>IF(AND(U37,ISNUMBER(correlation!$F$27)),W37*correlation!$F$27+correlation!$G$27,"")</f>
        <v/>
      </c>
      <c r="Y37" s="5">
        <f>IF(AND(U37,ISNUMBER(X37)),(V37-X37)^2,"")</f>
        <v/>
      </c>
      <c r="Z37" s="5">
        <f>IF(U37,1+SUMPRODUCT(--(calc!$U$3:$U$306=TRUE),--(calc!$V$3:$V$306&gt;V37))+(SUMPRODUCT(--(calc!$U$3:$U$306=TRUE),--(calc!$V$3:$V$306=V37))-1)/2,"")</f>
        <v/>
      </c>
      <c r="AA37" s="5">
        <f>IF(U37,1+SUMPRODUCT(--(calc!$U$3:$U$306=TRUE),--(calc!$W$3:$W$306&gt;W37))+(SUMPRODUCT(--(calc!$U$3:$U$306=TRUE),--(calc!$W$3:$W$306=W37))-1)/2,"")</f>
        <v/>
      </c>
      <c r="AB37" s="5">
        <f>IF(U37,SUMPRODUCT(--(calc!$U$3:$U$306=TRUE),--(ROW(calc!$U$3:$U$306)&gt;ROW(U37)),--(((calc!$Z$3:$Z$306&gt;Z37)*(calc!$AA$3:$AA$306&gt;AA37)+(calc!$Z$3:$Z$306&lt;Z37)*(calc!$AA$3:$AA$306&lt;AA37))&gt;0))-SUMPRODUCT(--(calc!$U$3:$U$306=TRUE),--(ROW(calc!$U$3:$U$306)&gt;ROW(U37)),--(((calc!$Z$3:$Z$306&gt;Z37)*(calc!$AA$3:$AA$306&lt;AA37)+(calc!$Z$3:$Z$306&lt;Z37)*(calc!$AA$3:$AA$306&gt;AA37))&gt;0)),0)</f>
        <v/>
      </c>
      <c r="AC37" s="5">
        <f>IF(mos_metrics!I36="","",mos_metrics!I36)</f>
        <v/>
      </c>
      <c r="AD37" s="2">
        <f>AND($J37,ISNUMBER(AC37),correlation!$I$28=1)</f>
        <v/>
      </c>
      <c r="AE37" s="5">
        <f>IF(AD37,$F37,"")</f>
        <v/>
      </c>
      <c r="AF37" s="5">
        <f>IF(AD37,AC37*correlation!$J$28,"")</f>
        <v/>
      </c>
      <c r="AG37" s="5">
        <f>IF(AND(AD37,ISNUMBER(correlation!$F$28)),AF37*correlation!$F$28+correlation!$G$28,"")</f>
        <v/>
      </c>
      <c r="AH37" s="5">
        <f>IF(AND(AD37,ISNUMBER(AG37)),(AE37-AG37)^2,"")</f>
        <v/>
      </c>
      <c r="AI37" s="5">
        <f>IF(AD37,1+SUMPRODUCT(--(calc!$AD$3:$AD$306=TRUE),--(calc!$AE$3:$AE$306&gt;AE37))+(SUMPRODUCT(--(calc!$AD$3:$AD$306=TRUE),--(calc!$AE$3:$AE$306=AE37))-1)/2,"")</f>
        <v/>
      </c>
      <c r="AJ37" s="5">
        <f>IF(AD37,1+SUMPRODUCT(--(calc!$AD$3:$AD$306=TRUE),--(calc!$AF$3:$AF$306&gt;AF37))+(SUMPRODUCT(--(calc!$AD$3:$AD$306=TRUE),--(calc!$AF$3:$AF$306=AF37))-1)/2,"")</f>
        <v/>
      </c>
      <c r="AK37" s="5">
        <f>IF(AD37,SUMPRODUCT(--(calc!$AD$3:$AD$306=TRUE),--(ROW(calc!$AD$3:$AD$306)&gt;ROW(AD37)),--(((calc!$AI$3:$AI$306&gt;AI37)*(calc!$AJ$3:$AJ$306&gt;AJ37)+(calc!$AI$3:$AI$306&lt;AI37)*(calc!$AJ$3:$AJ$306&lt;AJ37))&gt;0))-SUMPRODUCT(--(calc!$AD$3:$AD$306=TRUE),--(ROW(calc!$AD$3:$AD$306)&gt;ROW(AD37)),--(((calc!$AI$3:$AI$306&gt;AI37)*(calc!$AJ$3:$AJ$306&lt;AJ37)+(calc!$AI$3:$AI$306&lt;AI37)*(calc!$AJ$3:$AJ$306&gt;AJ37))&gt;0)),0)</f>
        <v/>
      </c>
      <c r="AL37" s="5">
        <f>IF(mos_metrics!J36="","",mos_metrics!J36)</f>
        <v/>
      </c>
      <c r="AM37" s="2">
        <f>AND($J37,ISNUMBER(AL37),correlation!$I$29=1)</f>
        <v/>
      </c>
      <c r="AN37" s="5">
        <f>IF(AM37,$F37,"")</f>
        <v/>
      </c>
      <c r="AO37" s="5">
        <f>IF(AM37,AL37*correlation!$J$29,"")</f>
        <v/>
      </c>
      <c r="AP37" s="5">
        <f>IF(AND(AM37,ISNUMBER(correlation!$F$29)),AO37*correlation!$F$29+correlation!$G$29,"")</f>
        <v/>
      </c>
      <c r="AQ37" s="5">
        <f>IF(AND(AM37,ISNUMBER(AP37)),(AN37-AP37)^2,"")</f>
        <v/>
      </c>
      <c r="AR37" s="5">
        <f>IF(AM37,1+SUMPRODUCT(--(calc!$AM$3:$AM$306=TRUE),--(calc!$AN$3:$AN$306&gt;AN37))+(SUMPRODUCT(--(calc!$AM$3:$AM$306=TRUE),--(calc!$AN$3:$AN$306=AN37))-1)/2,"")</f>
        <v/>
      </c>
      <c r="AS37" s="5">
        <f>IF(AM37,1+SUMPRODUCT(--(calc!$AM$3:$AM$306=TRUE),--(calc!$AO$3:$AO$306&gt;AO37))+(SUMPRODUCT(--(calc!$AM$3:$AM$306=TRUE),--(calc!$AO$3:$AO$306=AO37))-1)/2,"")</f>
        <v/>
      </c>
      <c r="AT37" s="5">
        <f>IF(AM37,SUMPRODUCT(--(calc!$AM$3:$AM$306=TRUE),--(ROW(calc!$AM$3:$AM$306)&gt;ROW(AM37)),--(((calc!$AR$3:$AR$306&gt;AR37)*(calc!$AS$3:$AS$306&gt;AS37)+(calc!$AR$3:$AR$306&lt;AR37)*(calc!$AS$3:$AS$306&lt;AS37))&gt;0))-SUMPRODUCT(--(calc!$AM$3:$AM$306=TRUE),--(ROW(calc!$AM$3:$AM$306)&gt;ROW(AM37)),--(((calc!$AR$3:$AR$306&gt;AR37)*(calc!$AS$3:$AS$306&lt;AS37)+(calc!$AR$3:$AR$306&lt;AR37)*(calc!$AS$3:$AS$306&gt;AS37))&gt;0)),0)</f>
        <v/>
      </c>
      <c r="AU37" s="5">
        <f>IF(mos_metrics!K36="","",mos_metrics!K36)</f>
        <v/>
      </c>
      <c r="AV37" s="2">
        <f>AND($J37,ISNUMBER(AU37),correlation!$I$30=1)</f>
        <v/>
      </c>
      <c r="AW37" s="5">
        <f>IF(AV37,$F37,"")</f>
        <v/>
      </c>
      <c r="AX37" s="5">
        <f>IF(AV37,AU37*correlation!$J$30,"")</f>
        <v/>
      </c>
      <c r="AY37" s="5">
        <f>IF(AND(AV37,ISNUMBER(correlation!$F$30)),AX37*correlation!$F$30+correlation!$G$30,"")</f>
        <v/>
      </c>
      <c r="AZ37" s="5">
        <f>IF(AND(AV37,ISNUMBER(AY37)),(AW37-AY37)^2,"")</f>
        <v/>
      </c>
      <c r="BA37" s="5">
        <f>IF(AV37,1+SUMPRODUCT(--(calc!$AV$3:$AV$306=TRUE),--(calc!$AW$3:$AW$306&gt;AW37))+(SUMPRODUCT(--(calc!$AV$3:$AV$306=TRUE),--(calc!$AW$3:$AW$306=AW37))-1)/2,"")</f>
        <v/>
      </c>
      <c r="BB37" s="5">
        <f>IF(AV37,1+SUMPRODUCT(--(calc!$AV$3:$AV$306=TRUE),--(calc!$AX$3:$AX$306&gt;AX37))+(SUMPRODUCT(--(calc!$AV$3:$AV$306=TRUE),--(calc!$AX$3:$AX$306=AX37))-1)/2,"")</f>
        <v/>
      </c>
      <c r="BC37" s="5">
        <f>IF(AV37,SUMPRODUCT(--(calc!$AV$3:$AV$306=TRUE),--(ROW(calc!$AV$3:$AV$306)&gt;ROW(AV37)),--(((calc!$BA$3:$BA$306&gt;BA37)*(calc!$BB$3:$BB$306&gt;BB37)+(calc!$BA$3:$BA$306&lt;BA37)*(calc!$BB$3:$BB$306&lt;BB37))&gt;0))-SUMPRODUCT(--(calc!$AV$3:$AV$306=TRUE),--(ROW(calc!$AV$3:$AV$306)&gt;ROW(AV37)),--(((calc!$BA$3:$BA$306&gt;BA37)*(calc!$BB$3:$BB$306&lt;BB37)+(calc!$BA$3:$BA$306&lt;BA37)*(calc!$BB$3:$BB$306&gt;BB37))&gt;0)),0)</f>
        <v/>
      </c>
      <c r="BD37" s="5">
        <f>IF(mos_metrics!L36="","",mos_metrics!L36)</f>
        <v/>
      </c>
      <c r="BE37" s="2">
        <f>AND($J37,ISNUMBER(BD37),correlation!$I$31=1)</f>
        <v/>
      </c>
      <c r="BF37" s="5">
        <f>IF(BE37,$F37,"")</f>
        <v/>
      </c>
      <c r="BG37" s="5">
        <f>IF(BE37,BD37*correlation!$J$31,"")</f>
        <v/>
      </c>
      <c r="BH37" s="5">
        <f>IF(AND(BE37,ISNUMBER(correlation!$F$31)),BG37*correlation!$F$31+correlation!$G$31,"")</f>
        <v/>
      </c>
      <c r="BI37" s="5">
        <f>IF(AND(BE37,ISNUMBER(BH37)),(BF37-BH37)^2,"")</f>
        <v/>
      </c>
      <c r="BJ37" s="5">
        <f>IF(BE37,1+SUMPRODUCT(--(calc!$BE$3:$BE$306=TRUE),--(calc!$BF$3:$BF$306&gt;BF37))+(SUMPRODUCT(--(calc!$BE$3:$BE$306=TRUE),--(calc!$BF$3:$BF$306=BF37))-1)/2,"")</f>
        <v/>
      </c>
      <c r="BK37" s="5">
        <f>IF(BE37,1+SUMPRODUCT(--(calc!$BE$3:$BE$306=TRUE),--(calc!$BG$3:$BG$306&gt;BG37))+(SUMPRODUCT(--(calc!$BE$3:$BE$306=TRUE),--(calc!$BG$3:$BG$306=BG37))-1)/2,"")</f>
        <v/>
      </c>
      <c r="BL37" s="5">
        <f>IF(BE37,SUMPRODUCT(--(calc!$BE$3:$BE$306=TRUE),--(ROW(calc!$BE$3:$BE$306)&gt;ROW(BE37)),--(((calc!$BJ$3:$BJ$306&gt;BJ37)*(calc!$BK$3:$BK$306&gt;BK37)+(calc!$BJ$3:$BJ$306&lt;BJ37)*(calc!$BK$3:$BK$306&lt;BK37))&gt;0))-SUMPRODUCT(--(calc!$BE$3:$BE$306=TRUE),--(ROW(calc!$BE$3:$BE$306)&gt;ROW(BE37)),--(((calc!$BJ$3:$BJ$306&gt;BJ37)*(calc!$BK$3:$BK$306&lt;BK37)+(calc!$BJ$3:$BJ$306&lt;BJ37)*(calc!$BK$3:$BK$306&gt;BK37))&gt;0)),0)</f>
        <v/>
      </c>
      <c r="BM37" s="5">
        <f>IF(mos_metrics!M36="","",mos_metrics!M36)</f>
        <v/>
      </c>
      <c r="BN37" s="2">
        <f>AND($J37,ISNUMBER(BM37),correlation!$I$32=1)</f>
        <v/>
      </c>
      <c r="BO37" s="5">
        <f>IF(BN37,$F37,"")</f>
        <v/>
      </c>
      <c r="BP37" s="5">
        <f>IF(BN37,BM37*correlation!$J$32,"")</f>
        <v/>
      </c>
      <c r="BQ37" s="5">
        <f>IF(AND(BN37,ISNUMBER(correlation!$F$32)),BP37*correlation!$F$32+correlation!$G$32,"")</f>
        <v/>
      </c>
      <c r="BR37" s="5">
        <f>IF(AND(BN37,ISNUMBER(BQ37)),(BO37-BQ37)^2,"")</f>
        <v/>
      </c>
      <c r="BS37" s="5">
        <f>IF(BN37,1+SUMPRODUCT(--(calc!$BN$3:$BN$306=TRUE),--(calc!$BO$3:$BO$306&gt;BO37))+(SUMPRODUCT(--(calc!$BN$3:$BN$306=TRUE),--(calc!$BO$3:$BO$306=BO37))-1)/2,"")</f>
        <v/>
      </c>
      <c r="BT37" s="5">
        <f>IF(BN37,1+SUMPRODUCT(--(calc!$BN$3:$BN$306=TRUE),--(calc!$BP$3:$BP$306&gt;BP37))+(SUMPRODUCT(--(calc!$BN$3:$BN$306=TRUE),--(calc!$BP$3:$BP$306=BP37))-1)/2,"")</f>
        <v/>
      </c>
      <c r="BU37" s="5">
        <f>IF(BN37,SUMPRODUCT(--(calc!$BN$3:$BN$306=TRUE),--(ROW(calc!$BN$3:$BN$306)&gt;ROW(BN37)),--(((calc!$BS$3:$BS$306&gt;BS37)*(calc!$BT$3:$BT$306&gt;BT37)+(calc!$BS$3:$BS$306&lt;BS37)*(calc!$BT$3:$BT$306&lt;BT37))&gt;0))-SUMPRODUCT(--(calc!$BN$3:$BN$306=TRUE),--(ROW(calc!$BN$3:$BN$306)&gt;ROW(BN37)),--(((calc!$BS$3:$BS$306&gt;BS37)*(calc!$BT$3:$BT$306&lt;BT37)+(calc!$BS$3:$BS$306&lt;BS37)*(calc!$BT$3:$BT$306&gt;BT37))&gt;0)),0)</f>
        <v/>
      </c>
    </row>
    <row r="38">
      <c r="A38" s="2">
        <f>mos_metrics!A37</f>
        <v/>
      </c>
      <c r="B38" s="2">
        <f>mos_metrics!B37</f>
        <v/>
      </c>
      <c r="C38" s="2">
        <f>mos_metrics!C37</f>
        <v/>
      </c>
      <c r="D38" s="2">
        <f>mos_metrics!D37</f>
        <v/>
      </c>
      <c r="E38" s="2">
        <f>mos_metrics!E37</f>
        <v/>
      </c>
      <c r="F38" s="2">
        <f>mos_metrics!F37</f>
        <v/>
      </c>
      <c r="G38" s="2">
        <f>IF($B38="","",IFERROR(VLOOKUP($B38,correlation!$A$2:$B$16,2,FALSE),1))</f>
        <v/>
      </c>
      <c r="H38" s="2">
        <f>IF($E38="","",IFERROR(VLOOKUP($E38,correlation!$D$2:$E$8,2,FALSE),1))</f>
        <v/>
      </c>
      <c r="I38" s="2">
        <f>ISNUMBER($F38)</f>
        <v/>
      </c>
      <c r="J38" s="2">
        <f>AND($G38=1,$H38=1,$I38)</f>
        <v/>
      </c>
      <c r="K38" s="5">
        <f>IF(mos_metrics!G37="","",mos_metrics!G37)</f>
        <v/>
      </c>
      <c r="L38" s="2">
        <f>AND($J38,ISNUMBER(K38),correlation!$I$26=1)</f>
        <v/>
      </c>
      <c r="M38" s="5">
        <f>IF(L38,$F38,"")</f>
        <v/>
      </c>
      <c r="N38" s="5">
        <f>IF(L38,K38*correlation!$J$26,"")</f>
        <v/>
      </c>
      <c r="O38" s="5">
        <f>IF(AND(L38,ISNUMBER(correlation!$F$26)),N38*correlation!$F$26+correlation!$G$26,"")</f>
        <v/>
      </c>
      <c r="P38" s="5">
        <f>IF(AND(L38,ISNUMBER(O38)),(M38-O38)^2,"")</f>
        <v/>
      </c>
      <c r="Q38" s="5">
        <f>IF(L38,1+SUMPRODUCT(--(calc!$L$3:$L$306=TRUE),--(calc!$M$3:$M$306&gt;M38))+(SUMPRODUCT(--(calc!$L$3:$L$306=TRUE),--(calc!$M$3:$M$306=M38))-1)/2,"")</f>
        <v/>
      </c>
      <c r="R38" s="5">
        <f>IF(L38,1+SUMPRODUCT(--(calc!$L$3:$L$306=TRUE),--(calc!$N$3:$N$306&gt;N38))+(SUMPRODUCT(--(calc!$L$3:$L$306=TRUE),--(calc!$N$3:$N$306=N38))-1)/2,"")</f>
        <v/>
      </c>
      <c r="S38" s="5">
        <f>IF(L38,SUMPRODUCT(--(calc!$L$3:$L$306=TRUE),--(ROW(calc!$L$3:$L$306)&gt;ROW(L38)),--(((calc!$Q$3:$Q$306&gt;Q38)*(calc!$R$3:$R$306&gt;R38)+(calc!$Q$3:$Q$306&lt;Q38)*(calc!$R$3:$R$306&lt;R38))&gt;0))-SUMPRODUCT(--(calc!$L$3:$L$306=TRUE),--(ROW(calc!$L$3:$L$306)&gt;ROW(L38)),--(((calc!$Q$3:$Q$306&gt;Q38)*(calc!$R$3:$R$306&lt;R38)+(calc!$Q$3:$Q$306&lt;Q38)*(calc!$R$3:$R$306&gt;R38))&gt;0)),0)</f>
        <v/>
      </c>
      <c r="T38" s="5">
        <f>IF(mos_metrics!H37="","",mos_metrics!H37)</f>
        <v/>
      </c>
      <c r="U38" s="2">
        <f>AND($J38,ISNUMBER(T38),correlation!$I$27=1)</f>
        <v/>
      </c>
      <c r="V38" s="5">
        <f>IF(U38,$F38,"")</f>
        <v/>
      </c>
      <c r="W38" s="5">
        <f>IF(U38,T38*correlation!$J$27,"")</f>
        <v/>
      </c>
      <c r="X38" s="5">
        <f>IF(AND(U38,ISNUMBER(correlation!$F$27)),W38*correlation!$F$27+correlation!$G$27,"")</f>
        <v/>
      </c>
      <c r="Y38" s="5">
        <f>IF(AND(U38,ISNUMBER(X38)),(V38-X38)^2,"")</f>
        <v/>
      </c>
      <c r="Z38" s="5">
        <f>IF(U38,1+SUMPRODUCT(--(calc!$U$3:$U$306=TRUE),--(calc!$V$3:$V$306&gt;V38))+(SUMPRODUCT(--(calc!$U$3:$U$306=TRUE),--(calc!$V$3:$V$306=V38))-1)/2,"")</f>
        <v/>
      </c>
      <c r="AA38" s="5">
        <f>IF(U38,1+SUMPRODUCT(--(calc!$U$3:$U$306=TRUE),--(calc!$W$3:$W$306&gt;W38))+(SUMPRODUCT(--(calc!$U$3:$U$306=TRUE),--(calc!$W$3:$W$306=W38))-1)/2,"")</f>
        <v/>
      </c>
      <c r="AB38" s="5">
        <f>IF(U38,SUMPRODUCT(--(calc!$U$3:$U$306=TRUE),--(ROW(calc!$U$3:$U$306)&gt;ROW(U38)),--(((calc!$Z$3:$Z$306&gt;Z38)*(calc!$AA$3:$AA$306&gt;AA38)+(calc!$Z$3:$Z$306&lt;Z38)*(calc!$AA$3:$AA$306&lt;AA38))&gt;0))-SUMPRODUCT(--(calc!$U$3:$U$306=TRUE),--(ROW(calc!$U$3:$U$306)&gt;ROW(U38)),--(((calc!$Z$3:$Z$306&gt;Z38)*(calc!$AA$3:$AA$306&lt;AA38)+(calc!$Z$3:$Z$306&lt;Z38)*(calc!$AA$3:$AA$306&gt;AA38))&gt;0)),0)</f>
        <v/>
      </c>
      <c r="AC38" s="5">
        <f>IF(mos_metrics!I37="","",mos_metrics!I37)</f>
        <v/>
      </c>
      <c r="AD38" s="2">
        <f>AND($J38,ISNUMBER(AC38),correlation!$I$28=1)</f>
        <v/>
      </c>
      <c r="AE38" s="5">
        <f>IF(AD38,$F38,"")</f>
        <v/>
      </c>
      <c r="AF38" s="5">
        <f>IF(AD38,AC38*correlation!$J$28,"")</f>
        <v/>
      </c>
      <c r="AG38" s="5">
        <f>IF(AND(AD38,ISNUMBER(correlation!$F$28)),AF38*correlation!$F$28+correlation!$G$28,"")</f>
        <v/>
      </c>
      <c r="AH38" s="5">
        <f>IF(AND(AD38,ISNUMBER(AG38)),(AE38-AG38)^2,"")</f>
        <v/>
      </c>
      <c r="AI38" s="5">
        <f>IF(AD38,1+SUMPRODUCT(--(calc!$AD$3:$AD$306=TRUE),--(calc!$AE$3:$AE$306&gt;AE38))+(SUMPRODUCT(--(calc!$AD$3:$AD$306=TRUE),--(calc!$AE$3:$AE$306=AE38))-1)/2,"")</f>
        <v/>
      </c>
      <c r="AJ38" s="5">
        <f>IF(AD38,1+SUMPRODUCT(--(calc!$AD$3:$AD$306=TRUE),--(calc!$AF$3:$AF$306&gt;AF38))+(SUMPRODUCT(--(calc!$AD$3:$AD$306=TRUE),--(calc!$AF$3:$AF$306=AF38))-1)/2,"")</f>
        <v/>
      </c>
      <c r="AK38" s="5">
        <f>IF(AD38,SUMPRODUCT(--(calc!$AD$3:$AD$306=TRUE),--(ROW(calc!$AD$3:$AD$306)&gt;ROW(AD38)),--(((calc!$AI$3:$AI$306&gt;AI38)*(calc!$AJ$3:$AJ$306&gt;AJ38)+(calc!$AI$3:$AI$306&lt;AI38)*(calc!$AJ$3:$AJ$306&lt;AJ38))&gt;0))-SUMPRODUCT(--(calc!$AD$3:$AD$306=TRUE),--(ROW(calc!$AD$3:$AD$306)&gt;ROW(AD38)),--(((calc!$AI$3:$AI$306&gt;AI38)*(calc!$AJ$3:$AJ$306&lt;AJ38)+(calc!$AI$3:$AI$306&lt;AI38)*(calc!$AJ$3:$AJ$306&gt;AJ38))&gt;0)),0)</f>
        <v/>
      </c>
      <c r="AL38" s="5">
        <f>IF(mos_metrics!J37="","",mos_metrics!J37)</f>
        <v/>
      </c>
      <c r="AM38" s="2">
        <f>AND($J38,ISNUMBER(AL38),correlation!$I$29=1)</f>
        <v/>
      </c>
      <c r="AN38" s="5">
        <f>IF(AM38,$F38,"")</f>
        <v/>
      </c>
      <c r="AO38" s="5">
        <f>IF(AM38,AL38*correlation!$J$29,"")</f>
        <v/>
      </c>
      <c r="AP38" s="5">
        <f>IF(AND(AM38,ISNUMBER(correlation!$F$29)),AO38*correlation!$F$29+correlation!$G$29,"")</f>
        <v/>
      </c>
      <c r="AQ38" s="5">
        <f>IF(AND(AM38,ISNUMBER(AP38)),(AN38-AP38)^2,"")</f>
        <v/>
      </c>
      <c r="AR38" s="5">
        <f>IF(AM38,1+SUMPRODUCT(--(calc!$AM$3:$AM$306=TRUE),--(calc!$AN$3:$AN$306&gt;AN38))+(SUMPRODUCT(--(calc!$AM$3:$AM$306=TRUE),--(calc!$AN$3:$AN$306=AN38))-1)/2,"")</f>
        <v/>
      </c>
      <c r="AS38" s="5">
        <f>IF(AM38,1+SUMPRODUCT(--(calc!$AM$3:$AM$306=TRUE),--(calc!$AO$3:$AO$306&gt;AO38))+(SUMPRODUCT(--(calc!$AM$3:$AM$306=TRUE),--(calc!$AO$3:$AO$306=AO38))-1)/2,"")</f>
        <v/>
      </c>
      <c r="AT38" s="5">
        <f>IF(AM38,SUMPRODUCT(--(calc!$AM$3:$AM$306=TRUE),--(ROW(calc!$AM$3:$AM$306)&gt;ROW(AM38)),--(((calc!$AR$3:$AR$306&gt;AR38)*(calc!$AS$3:$AS$306&gt;AS38)+(calc!$AR$3:$AR$306&lt;AR38)*(calc!$AS$3:$AS$306&lt;AS38))&gt;0))-SUMPRODUCT(--(calc!$AM$3:$AM$306=TRUE),--(ROW(calc!$AM$3:$AM$306)&gt;ROW(AM38)),--(((calc!$AR$3:$AR$306&gt;AR38)*(calc!$AS$3:$AS$306&lt;AS38)+(calc!$AR$3:$AR$306&lt;AR38)*(calc!$AS$3:$AS$306&gt;AS38))&gt;0)),0)</f>
        <v/>
      </c>
      <c r="AU38" s="5">
        <f>IF(mos_metrics!K37="","",mos_metrics!K37)</f>
        <v/>
      </c>
      <c r="AV38" s="2">
        <f>AND($J38,ISNUMBER(AU38),correlation!$I$30=1)</f>
        <v/>
      </c>
      <c r="AW38" s="5">
        <f>IF(AV38,$F38,"")</f>
        <v/>
      </c>
      <c r="AX38" s="5">
        <f>IF(AV38,AU38*correlation!$J$30,"")</f>
        <v/>
      </c>
      <c r="AY38" s="5">
        <f>IF(AND(AV38,ISNUMBER(correlation!$F$30)),AX38*correlation!$F$30+correlation!$G$30,"")</f>
        <v/>
      </c>
      <c r="AZ38" s="5">
        <f>IF(AND(AV38,ISNUMBER(AY38)),(AW38-AY38)^2,"")</f>
        <v/>
      </c>
      <c r="BA38" s="5">
        <f>IF(AV38,1+SUMPRODUCT(--(calc!$AV$3:$AV$306=TRUE),--(calc!$AW$3:$AW$306&gt;AW38))+(SUMPRODUCT(--(calc!$AV$3:$AV$306=TRUE),--(calc!$AW$3:$AW$306=AW38))-1)/2,"")</f>
        <v/>
      </c>
      <c r="BB38" s="5">
        <f>IF(AV38,1+SUMPRODUCT(--(calc!$AV$3:$AV$306=TRUE),--(calc!$AX$3:$AX$306&gt;AX38))+(SUMPRODUCT(--(calc!$AV$3:$AV$306=TRUE),--(calc!$AX$3:$AX$306=AX38))-1)/2,"")</f>
        <v/>
      </c>
      <c r="BC38" s="5">
        <f>IF(AV38,SUMPRODUCT(--(calc!$AV$3:$AV$306=TRUE),--(ROW(calc!$AV$3:$AV$306)&gt;ROW(AV38)),--(((calc!$BA$3:$BA$306&gt;BA38)*(calc!$BB$3:$BB$306&gt;BB38)+(calc!$BA$3:$BA$306&lt;BA38)*(calc!$BB$3:$BB$306&lt;BB38))&gt;0))-SUMPRODUCT(--(calc!$AV$3:$AV$306=TRUE),--(ROW(calc!$AV$3:$AV$306)&gt;ROW(AV38)),--(((calc!$BA$3:$BA$306&gt;BA38)*(calc!$BB$3:$BB$306&lt;BB38)+(calc!$BA$3:$BA$306&lt;BA38)*(calc!$BB$3:$BB$306&gt;BB38))&gt;0)),0)</f>
        <v/>
      </c>
      <c r="BD38" s="5">
        <f>IF(mos_metrics!L37="","",mos_metrics!L37)</f>
        <v/>
      </c>
      <c r="BE38" s="2">
        <f>AND($J38,ISNUMBER(BD38),correlation!$I$31=1)</f>
        <v/>
      </c>
      <c r="BF38" s="5">
        <f>IF(BE38,$F38,"")</f>
        <v/>
      </c>
      <c r="BG38" s="5">
        <f>IF(BE38,BD38*correlation!$J$31,"")</f>
        <v/>
      </c>
      <c r="BH38" s="5">
        <f>IF(AND(BE38,ISNUMBER(correlation!$F$31)),BG38*correlation!$F$31+correlation!$G$31,"")</f>
        <v/>
      </c>
      <c r="BI38" s="5">
        <f>IF(AND(BE38,ISNUMBER(BH38)),(BF38-BH38)^2,"")</f>
        <v/>
      </c>
      <c r="BJ38" s="5">
        <f>IF(BE38,1+SUMPRODUCT(--(calc!$BE$3:$BE$306=TRUE),--(calc!$BF$3:$BF$306&gt;BF38))+(SUMPRODUCT(--(calc!$BE$3:$BE$306=TRUE),--(calc!$BF$3:$BF$306=BF38))-1)/2,"")</f>
        <v/>
      </c>
      <c r="BK38" s="5">
        <f>IF(BE38,1+SUMPRODUCT(--(calc!$BE$3:$BE$306=TRUE),--(calc!$BG$3:$BG$306&gt;BG38))+(SUMPRODUCT(--(calc!$BE$3:$BE$306=TRUE),--(calc!$BG$3:$BG$306=BG38))-1)/2,"")</f>
        <v/>
      </c>
      <c r="BL38" s="5">
        <f>IF(BE38,SUMPRODUCT(--(calc!$BE$3:$BE$306=TRUE),--(ROW(calc!$BE$3:$BE$306)&gt;ROW(BE38)),--(((calc!$BJ$3:$BJ$306&gt;BJ38)*(calc!$BK$3:$BK$306&gt;BK38)+(calc!$BJ$3:$BJ$306&lt;BJ38)*(calc!$BK$3:$BK$306&lt;BK38))&gt;0))-SUMPRODUCT(--(calc!$BE$3:$BE$306=TRUE),--(ROW(calc!$BE$3:$BE$306)&gt;ROW(BE38)),--(((calc!$BJ$3:$BJ$306&gt;BJ38)*(calc!$BK$3:$BK$306&lt;BK38)+(calc!$BJ$3:$BJ$306&lt;BJ38)*(calc!$BK$3:$BK$306&gt;BK38))&gt;0)),0)</f>
        <v/>
      </c>
      <c r="BM38" s="5">
        <f>IF(mos_metrics!M37="","",mos_metrics!M37)</f>
        <v/>
      </c>
      <c r="BN38" s="2">
        <f>AND($J38,ISNUMBER(BM38),correlation!$I$32=1)</f>
        <v/>
      </c>
      <c r="BO38" s="5">
        <f>IF(BN38,$F38,"")</f>
        <v/>
      </c>
      <c r="BP38" s="5">
        <f>IF(BN38,BM38*correlation!$J$32,"")</f>
        <v/>
      </c>
      <c r="BQ38" s="5">
        <f>IF(AND(BN38,ISNUMBER(correlation!$F$32)),BP38*correlation!$F$32+correlation!$G$32,"")</f>
        <v/>
      </c>
      <c r="BR38" s="5">
        <f>IF(AND(BN38,ISNUMBER(BQ38)),(BO38-BQ38)^2,"")</f>
        <v/>
      </c>
      <c r="BS38" s="5">
        <f>IF(BN38,1+SUMPRODUCT(--(calc!$BN$3:$BN$306=TRUE),--(calc!$BO$3:$BO$306&gt;BO38))+(SUMPRODUCT(--(calc!$BN$3:$BN$306=TRUE),--(calc!$BO$3:$BO$306=BO38))-1)/2,"")</f>
        <v/>
      </c>
      <c r="BT38" s="5">
        <f>IF(BN38,1+SUMPRODUCT(--(calc!$BN$3:$BN$306=TRUE),--(calc!$BP$3:$BP$306&gt;BP38))+(SUMPRODUCT(--(calc!$BN$3:$BN$306=TRUE),--(calc!$BP$3:$BP$306=BP38))-1)/2,"")</f>
        <v/>
      </c>
      <c r="BU38" s="5">
        <f>IF(BN38,SUMPRODUCT(--(calc!$BN$3:$BN$306=TRUE),--(ROW(calc!$BN$3:$BN$306)&gt;ROW(BN38)),--(((calc!$BS$3:$BS$306&gt;BS38)*(calc!$BT$3:$BT$306&gt;BT38)+(calc!$BS$3:$BS$306&lt;BS38)*(calc!$BT$3:$BT$306&lt;BT38))&gt;0))-SUMPRODUCT(--(calc!$BN$3:$BN$306=TRUE),--(ROW(calc!$BN$3:$BN$306)&gt;ROW(BN38)),--(((calc!$BS$3:$BS$306&gt;BS38)*(calc!$BT$3:$BT$306&lt;BT38)+(calc!$BS$3:$BS$306&lt;BS38)*(calc!$BT$3:$BT$306&gt;BT38))&gt;0)),0)</f>
        <v/>
      </c>
    </row>
    <row r="39">
      <c r="A39" s="2">
        <f>mos_metrics!A38</f>
        <v/>
      </c>
      <c r="B39" s="2">
        <f>mos_metrics!B38</f>
        <v/>
      </c>
      <c r="C39" s="2">
        <f>mos_metrics!C38</f>
        <v/>
      </c>
      <c r="D39" s="2">
        <f>mos_metrics!D38</f>
        <v/>
      </c>
      <c r="E39" s="2">
        <f>mos_metrics!E38</f>
        <v/>
      </c>
      <c r="F39" s="2">
        <f>mos_metrics!F38</f>
        <v/>
      </c>
      <c r="G39" s="2">
        <f>IF($B39="","",IFERROR(VLOOKUP($B39,correlation!$A$2:$B$16,2,FALSE),1))</f>
        <v/>
      </c>
      <c r="H39" s="2">
        <f>IF($E39="","",IFERROR(VLOOKUP($E39,correlation!$D$2:$E$8,2,FALSE),1))</f>
        <v/>
      </c>
      <c r="I39" s="2">
        <f>ISNUMBER($F39)</f>
        <v/>
      </c>
      <c r="J39" s="2">
        <f>AND($G39=1,$H39=1,$I39)</f>
        <v/>
      </c>
      <c r="K39" s="5">
        <f>IF(mos_metrics!G38="","",mos_metrics!G38)</f>
        <v/>
      </c>
      <c r="L39" s="2">
        <f>AND($J39,ISNUMBER(K39),correlation!$I$26=1)</f>
        <v/>
      </c>
      <c r="M39" s="5">
        <f>IF(L39,$F39,"")</f>
        <v/>
      </c>
      <c r="N39" s="5">
        <f>IF(L39,K39*correlation!$J$26,"")</f>
        <v/>
      </c>
      <c r="O39" s="5">
        <f>IF(AND(L39,ISNUMBER(correlation!$F$26)),N39*correlation!$F$26+correlation!$G$26,"")</f>
        <v/>
      </c>
      <c r="P39" s="5">
        <f>IF(AND(L39,ISNUMBER(O39)),(M39-O39)^2,"")</f>
        <v/>
      </c>
      <c r="Q39" s="5">
        <f>IF(L39,1+SUMPRODUCT(--(calc!$L$3:$L$306=TRUE),--(calc!$M$3:$M$306&gt;M39))+(SUMPRODUCT(--(calc!$L$3:$L$306=TRUE),--(calc!$M$3:$M$306=M39))-1)/2,"")</f>
        <v/>
      </c>
      <c r="R39" s="5">
        <f>IF(L39,1+SUMPRODUCT(--(calc!$L$3:$L$306=TRUE),--(calc!$N$3:$N$306&gt;N39))+(SUMPRODUCT(--(calc!$L$3:$L$306=TRUE),--(calc!$N$3:$N$306=N39))-1)/2,"")</f>
        <v/>
      </c>
      <c r="S39" s="5">
        <f>IF(L39,SUMPRODUCT(--(calc!$L$3:$L$306=TRUE),--(ROW(calc!$L$3:$L$306)&gt;ROW(L39)),--(((calc!$Q$3:$Q$306&gt;Q39)*(calc!$R$3:$R$306&gt;R39)+(calc!$Q$3:$Q$306&lt;Q39)*(calc!$R$3:$R$306&lt;R39))&gt;0))-SUMPRODUCT(--(calc!$L$3:$L$306=TRUE),--(ROW(calc!$L$3:$L$306)&gt;ROW(L39)),--(((calc!$Q$3:$Q$306&gt;Q39)*(calc!$R$3:$R$306&lt;R39)+(calc!$Q$3:$Q$306&lt;Q39)*(calc!$R$3:$R$306&gt;R39))&gt;0)),0)</f>
        <v/>
      </c>
      <c r="T39" s="5">
        <f>IF(mos_metrics!H38="","",mos_metrics!H38)</f>
        <v/>
      </c>
      <c r="U39" s="2">
        <f>AND($J39,ISNUMBER(T39),correlation!$I$27=1)</f>
        <v/>
      </c>
      <c r="V39" s="5">
        <f>IF(U39,$F39,"")</f>
        <v/>
      </c>
      <c r="W39" s="5">
        <f>IF(U39,T39*correlation!$J$27,"")</f>
        <v/>
      </c>
      <c r="X39" s="5">
        <f>IF(AND(U39,ISNUMBER(correlation!$F$27)),W39*correlation!$F$27+correlation!$G$27,"")</f>
        <v/>
      </c>
      <c r="Y39" s="5">
        <f>IF(AND(U39,ISNUMBER(X39)),(V39-X39)^2,"")</f>
        <v/>
      </c>
      <c r="Z39" s="5">
        <f>IF(U39,1+SUMPRODUCT(--(calc!$U$3:$U$306=TRUE),--(calc!$V$3:$V$306&gt;V39))+(SUMPRODUCT(--(calc!$U$3:$U$306=TRUE),--(calc!$V$3:$V$306=V39))-1)/2,"")</f>
        <v/>
      </c>
      <c r="AA39" s="5">
        <f>IF(U39,1+SUMPRODUCT(--(calc!$U$3:$U$306=TRUE),--(calc!$W$3:$W$306&gt;W39))+(SUMPRODUCT(--(calc!$U$3:$U$306=TRUE),--(calc!$W$3:$W$306=W39))-1)/2,"")</f>
        <v/>
      </c>
      <c r="AB39" s="5">
        <f>IF(U39,SUMPRODUCT(--(calc!$U$3:$U$306=TRUE),--(ROW(calc!$U$3:$U$306)&gt;ROW(U39)),--(((calc!$Z$3:$Z$306&gt;Z39)*(calc!$AA$3:$AA$306&gt;AA39)+(calc!$Z$3:$Z$306&lt;Z39)*(calc!$AA$3:$AA$306&lt;AA39))&gt;0))-SUMPRODUCT(--(calc!$U$3:$U$306=TRUE),--(ROW(calc!$U$3:$U$306)&gt;ROW(U39)),--(((calc!$Z$3:$Z$306&gt;Z39)*(calc!$AA$3:$AA$306&lt;AA39)+(calc!$Z$3:$Z$306&lt;Z39)*(calc!$AA$3:$AA$306&gt;AA39))&gt;0)),0)</f>
        <v/>
      </c>
      <c r="AC39" s="5">
        <f>IF(mos_metrics!I38="","",mos_metrics!I38)</f>
        <v/>
      </c>
      <c r="AD39" s="2">
        <f>AND($J39,ISNUMBER(AC39),correlation!$I$28=1)</f>
        <v/>
      </c>
      <c r="AE39" s="5">
        <f>IF(AD39,$F39,"")</f>
        <v/>
      </c>
      <c r="AF39" s="5">
        <f>IF(AD39,AC39*correlation!$J$28,"")</f>
        <v/>
      </c>
      <c r="AG39" s="5">
        <f>IF(AND(AD39,ISNUMBER(correlation!$F$28)),AF39*correlation!$F$28+correlation!$G$28,"")</f>
        <v/>
      </c>
      <c r="AH39" s="5">
        <f>IF(AND(AD39,ISNUMBER(AG39)),(AE39-AG39)^2,"")</f>
        <v/>
      </c>
      <c r="AI39" s="5">
        <f>IF(AD39,1+SUMPRODUCT(--(calc!$AD$3:$AD$306=TRUE),--(calc!$AE$3:$AE$306&gt;AE39))+(SUMPRODUCT(--(calc!$AD$3:$AD$306=TRUE),--(calc!$AE$3:$AE$306=AE39))-1)/2,"")</f>
        <v/>
      </c>
      <c r="AJ39" s="5">
        <f>IF(AD39,1+SUMPRODUCT(--(calc!$AD$3:$AD$306=TRUE),--(calc!$AF$3:$AF$306&gt;AF39))+(SUMPRODUCT(--(calc!$AD$3:$AD$306=TRUE),--(calc!$AF$3:$AF$306=AF39))-1)/2,"")</f>
        <v/>
      </c>
      <c r="AK39" s="5">
        <f>IF(AD39,SUMPRODUCT(--(calc!$AD$3:$AD$306=TRUE),--(ROW(calc!$AD$3:$AD$306)&gt;ROW(AD39)),--(((calc!$AI$3:$AI$306&gt;AI39)*(calc!$AJ$3:$AJ$306&gt;AJ39)+(calc!$AI$3:$AI$306&lt;AI39)*(calc!$AJ$3:$AJ$306&lt;AJ39))&gt;0))-SUMPRODUCT(--(calc!$AD$3:$AD$306=TRUE),--(ROW(calc!$AD$3:$AD$306)&gt;ROW(AD39)),--(((calc!$AI$3:$AI$306&gt;AI39)*(calc!$AJ$3:$AJ$306&lt;AJ39)+(calc!$AI$3:$AI$306&lt;AI39)*(calc!$AJ$3:$AJ$306&gt;AJ39))&gt;0)),0)</f>
        <v/>
      </c>
      <c r="AL39" s="5">
        <f>IF(mos_metrics!J38="","",mos_metrics!J38)</f>
        <v/>
      </c>
      <c r="AM39" s="2">
        <f>AND($J39,ISNUMBER(AL39),correlation!$I$29=1)</f>
        <v/>
      </c>
      <c r="AN39" s="5">
        <f>IF(AM39,$F39,"")</f>
        <v/>
      </c>
      <c r="AO39" s="5">
        <f>IF(AM39,AL39*correlation!$J$29,"")</f>
        <v/>
      </c>
      <c r="AP39" s="5">
        <f>IF(AND(AM39,ISNUMBER(correlation!$F$29)),AO39*correlation!$F$29+correlation!$G$29,"")</f>
        <v/>
      </c>
      <c r="AQ39" s="5">
        <f>IF(AND(AM39,ISNUMBER(AP39)),(AN39-AP39)^2,"")</f>
        <v/>
      </c>
      <c r="AR39" s="5">
        <f>IF(AM39,1+SUMPRODUCT(--(calc!$AM$3:$AM$306=TRUE),--(calc!$AN$3:$AN$306&gt;AN39))+(SUMPRODUCT(--(calc!$AM$3:$AM$306=TRUE),--(calc!$AN$3:$AN$306=AN39))-1)/2,"")</f>
        <v/>
      </c>
      <c r="AS39" s="5">
        <f>IF(AM39,1+SUMPRODUCT(--(calc!$AM$3:$AM$306=TRUE),--(calc!$AO$3:$AO$306&gt;AO39))+(SUMPRODUCT(--(calc!$AM$3:$AM$306=TRUE),--(calc!$AO$3:$AO$306=AO39))-1)/2,"")</f>
        <v/>
      </c>
      <c r="AT39" s="5">
        <f>IF(AM39,SUMPRODUCT(--(calc!$AM$3:$AM$306=TRUE),--(ROW(calc!$AM$3:$AM$306)&gt;ROW(AM39)),--(((calc!$AR$3:$AR$306&gt;AR39)*(calc!$AS$3:$AS$306&gt;AS39)+(calc!$AR$3:$AR$306&lt;AR39)*(calc!$AS$3:$AS$306&lt;AS39))&gt;0))-SUMPRODUCT(--(calc!$AM$3:$AM$306=TRUE),--(ROW(calc!$AM$3:$AM$306)&gt;ROW(AM39)),--(((calc!$AR$3:$AR$306&gt;AR39)*(calc!$AS$3:$AS$306&lt;AS39)+(calc!$AR$3:$AR$306&lt;AR39)*(calc!$AS$3:$AS$306&gt;AS39))&gt;0)),0)</f>
        <v/>
      </c>
      <c r="AU39" s="5">
        <f>IF(mos_metrics!K38="","",mos_metrics!K38)</f>
        <v/>
      </c>
      <c r="AV39" s="2">
        <f>AND($J39,ISNUMBER(AU39),correlation!$I$30=1)</f>
        <v/>
      </c>
      <c r="AW39" s="5">
        <f>IF(AV39,$F39,"")</f>
        <v/>
      </c>
      <c r="AX39" s="5">
        <f>IF(AV39,AU39*correlation!$J$30,"")</f>
        <v/>
      </c>
      <c r="AY39" s="5">
        <f>IF(AND(AV39,ISNUMBER(correlation!$F$30)),AX39*correlation!$F$30+correlation!$G$30,"")</f>
        <v/>
      </c>
      <c r="AZ39" s="5">
        <f>IF(AND(AV39,ISNUMBER(AY39)),(AW39-AY39)^2,"")</f>
        <v/>
      </c>
      <c r="BA39" s="5">
        <f>IF(AV39,1+SUMPRODUCT(--(calc!$AV$3:$AV$306=TRUE),--(calc!$AW$3:$AW$306&gt;AW39))+(SUMPRODUCT(--(calc!$AV$3:$AV$306=TRUE),--(calc!$AW$3:$AW$306=AW39))-1)/2,"")</f>
        <v/>
      </c>
      <c r="BB39" s="5">
        <f>IF(AV39,1+SUMPRODUCT(--(calc!$AV$3:$AV$306=TRUE),--(calc!$AX$3:$AX$306&gt;AX39))+(SUMPRODUCT(--(calc!$AV$3:$AV$306=TRUE),--(calc!$AX$3:$AX$306=AX39))-1)/2,"")</f>
        <v/>
      </c>
      <c r="BC39" s="5">
        <f>IF(AV39,SUMPRODUCT(--(calc!$AV$3:$AV$306=TRUE),--(ROW(calc!$AV$3:$AV$306)&gt;ROW(AV39)),--(((calc!$BA$3:$BA$306&gt;BA39)*(calc!$BB$3:$BB$306&gt;BB39)+(calc!$BA$3:$BA$306&lt;BA39)*(calc!$BB$3:$BB$306&lt;BB39))&gt;0))-SUMPRODUCT(--(calc!$AV$3:$AV$306=TRUE),--(ROW(calc!$AV$3:$AV$306)&gt;ROW(AV39)),--(((calc!$BA$3:$BA$306&gt;BA39)*(calc!$BB$3:$BB$306&lt;BB39)+(calc!$BA$3:$BA$306&lt;BA39)*(calc!$BB$3:$BB$306&gt;BB39))&gt;0)),0)</f>
        <v/>
      </c>
      <c r="BD39" s="5">
        <f>IF(mos_metrics!L38="","",mos_metrics!L38)</f>
        <v/>
      </c>
      <c r="BE39" s="2">
        <f>AND($J39,ISNUMBER(BD39),correlation!$I$31=1)</f>
        <v/>
      </c>
      <c r="BF39" s="5">
        <f>IF(BE39,$F39,"")</f>
        <v/>
      </c>
      <c r="BG39" s="5">
        <f>IF(BE39,BD39*correlation!$J$31,"")</f>
        <v/>
      </c>
      <c r="BH39" s="5">
        <f>IF(AND(BE39,ISNUMBER(correlation!$F$31)),BG39*correlation!$F$31+correlation!$G$31,"")</f>
        <v/>
      </c>
      <c r="BI39" s="5">
        <f>IF(AND(BE39,ISNUMBER(BH39)),(BF39-BH39)^2,"")</f>
        <v/>
      </c>
      <c r="BJ39" s="5">
        <f>IF(BE39,1+SUMPRODUCT(--(calc!$BE$3:$BE$306=TRUE),--(calc!$BF$3:$BF$306&gt;BF39))+(SUMPRODUCT(--(calc!$BE$3:$BE$306=TRUE),--(calc!$BF$3:$BF$306=BF39))-1)/2,"")</f>
        <v/>
      </c>
      <c r="BK39" s="5">
        <f>IF(BE39,1+SUMPRODUCT(--(calc!$BE$3:$BE$306=TRUE),--(calc!$BG$3:$BG$306&gt;BG39))+(SUMPRODUCT(--(calc!$BE$3:$BE$306=TRUE),--(calc!$BG$3:$BG$306=BG39))-1)/2,"")</f>
        <v/>
      </c>
      <c r="BL39" s="5">
        <f>IF(BE39,SUMPRODUCT(--(calc!$BE$3:$BE$306=TRUE),--(ROW(calc!$BE$3:$BE$306)&gt;ROW(BE39)),--(((calc!$BJ$3:$BJ$306&gt;BJ39)*(calc!$BK$3:$BK$306&gt;BK39)+(calc!$BJ$3:$BJ$306&lt;BJ39)*(calc!$BK$3:$BK$306&lt;BK39))&gt;0))-SUMPRODUCT(--(calc!$BE$3:$BE$306=TRUE),--(ROW(calc!$BE$3:$BE$306)&gt;ROW(BE39)),--(((calc!$BJ$3:$BJ$306&gt;BJ39)*(calc!$BK$3:$BK$306&lt;BK39)+(calc!$BJ$3:$BJ$306&lt;BJ39)*(calc!$BK$3:$BK$306&gt;BK39))&gt;0)),0)</f>
        <v/>
      </c>
      <c r="BM39" s="5">
        <f>IF(mos_metrics!M38="","",mos_metrics!M38)</f>
        <v/>
      </c>
      <c r="BN39" s="2">
        <f>AND($J39,ISNUMBER(BM39),correlation!$I$32=1)</f>
        <v/>
      </c>
      <c r="BO39" s="5">
        <f>IF(BN39,$F39,"")</f>
        <v/>
      </c>
      <c r="BP39" s="5">
        <f>IF(BN39,BM39*correlation!$J$32,"")</f>
        <v/>
      </c>
      <c r="BQ39" s="5">
        <f>IF(AND(BN39,ISNUMBER(correlation!$F$32)),BP39*correlation!$F$32+correlation!$G$32,"")</f>
        <v/>
      </c>
      <c r="BR39" s="5">
        <f>IF(AND(BN39,ISNUMBER(BQ39)),(BO39-BQ39)^2,"")</f>
        <v/>
      </c>
      <c r="BS39" s="5">
        <f>IF(BN39,1+SUMPRODUCT(--(calc!$BN$3:$BN$306=TRUE),--(calc!$BO$3:$BO$306&gt;BO39))+(SUMPRODUCT(--(calc!$BN$3:$BN$306=TRUE),--(calc!$BO$3:$BO$306=BO39))-1)/2,"")</f>
        <v/>
      </c>
      <c r="BT39" s="5">
        <f>IF(BN39,1+SUMPRODUCT(--(calc!$BN$3:$BN$306=TRUE),--(calc!$BP$3:$BP$306&gt;BP39))+(SUMPRODUCT(--(calc!$BN$3:$BN$306=TRUE),--(calc!$BP$3:$BP$306=BP39))-1)/2,"")</f>
        <v/>
      </c>
      <c r="BU39" s="5">
        <f>IF(BN39,SUMPRODUCT(--(calc!$BN$3:$BN$306=TRUE),--(ROW(calc!$BN$3:$BN$306)&gt;ROW(BN39)),--(((calc!$BS$3:$BS$306&gt;BS39)*(calc!$BT$3:$BT$306&gt;BT39)+(calc!$BS$3:$BS$306&lt;BS39)*(calc!$BT$3:$BT$306&lt;BT39))&gt;0))-SUMPRODUCT(--(calc!$BN$3:$BN$306=TRUE),--(ROW(calc!$BN$3:$BN$306)&gt;ROW(BN39)),--(((calc!$BS$3:$BS$306&gt;BS39)*(calc!$BT$3:$BT$306&lt;BT39)+(calc!$BS$3:$BS$306&lt;BS39)*(calc!$BT$3:$BT$306&gt;BT39))&gt;0)),0)</f>
        <v/>
      </c>
    </row>
    <row r="40">
      <c r="A40" s="2">
        <f>mos_metrics!A39</f>
        <v/>
      </c>
      <c r="B40" s="2">
        <f>mos_metrics!B39</f>
        <v/>
      </c>
      <c r="C40" s="2">
        <f>mos_metrics!C39</f>
        <v/>
      </c>
      <c r="D40" s="2">
        <f>mos_metrics!D39</f>
        <v/>
      </c>
      <c r="E40" s="2">
        <f>mos_metrics!E39</f>
        <v/>
      </c>
      <c r="F40" s="2">
        <f>mos_metrics!F39</f>
        <v/>
      </c>
      <c r="G40" s="2">
        <f>IF($B40="","",IFERROR(VLOOKUP($B40,correlation!$A$2:$B$16,2,FALSE),1))</f>
        <v/>
      </c>
      <c r="H40" s="2">
        <f>IF($E40="","",IFERROR(VLOOKUP($E40,correlation!$D$2:$E$8,2,FALSE),1))</f>
        <v/>
      </c>
      <c r="I40" s="2">
        <f>ISNUMBER($F40)</f>
        <v/>
      </c>
      <c r="J40" s="2">
        <f>AND($G40=1,$H40=1,$I40)</f>
        <v/>
      </c>
      <c r="K40" s="5">
        <f>IF(mos_metrics!G39="","",mos_metrics!G39)</f>
        <v/>
      </c>
      <c r="L40" s="2">
        <f>AND($J40,ISNUMBER(K40),correlation!$I$26=1)</f>
        <v/>
      </c>
      <c r="M40" s="5">
        <f>IF(L40,$F40,"")</f>
        <v/>
      </c>
      <c r="N40" s="5">
        <f>IF(L40,K40*correlation!$J$26,"")</f>
        <v/>
      </c>
      <c r="O40" s="5">
        <f>IF(AND(L40,ISNUMBER(correlation!$F$26)),N40*correlation!$F$26+correlation!$G$26,"")</f>
        <v/>
      </c>
      <c r="P40" s="5">
        <f>IF(AND(L40,ISNUMBER(O40)),(M40-O40)^2,"")</f>
        <v/>
      </c>
      <c r="Q40" s="5">
        <f>IF(L40,1+SUMPRODUCT(--(calc!$L$3:$L$306=TRUE),--(calc!$M$3:$M$306&gt;M40))+(SUMPRODUCT(--(calc!$L$3:$L$306=TRUE),--(calc!$M$3:$M$306=M40))-1)/2,"")</f>
        <v/>
      </c>
      <c r="R40" s="5">
        <f>IF(L40,1+SUMPRODUCT(--(calc!$L$3:$L$306=TRUE),--(calc!$N$3:$N$306&gt;N40))+(SUMPRODUCT(--(calc!$L$3:$L$306=TRUE),--(calc!$N$3:$N$306=N40))-1)/2,"")</f>
        <v/>
      </c>
      <c r="S40" s="5">
        <f>IF(L40,SUMPRODUCT(--(calc!$L$3:$L$306=TRUE),--(ROW(calc!$L$3:$L$306)&gt;ROW(L40)),--(((calc!$Q$3:$Q$306&gt;Q40)*(calc!$R$3:$R$306&gt;R40)+(calc!$Q$3:$Q$306&lt;Q40)*(calc!$R$3:$R$306&lt;R40))&gt;0))-SUMPRODUCT(--(calc!$L$3:$L$306=TRUE),--(ROW(calc!$L$3:$L$306)&gt;ROW(L40)),--(((calc!$Q$3:$Q$306&gt;Q40)*(calc!$R$3:$R$306&lt;R40)+(calc!$Q$3:$Q$306&lt;Q40)*(calc!$R$3:$R$306&gt;R40))&gt;0)),0)</f>
        <v/>
      </c>
      <c r="T40" s="5">
        <f>IF(mos_metrics!H39="","",mos_metrics!H39)</f>
        <v/>
      </c>
      <c r="U40" s="2">
        <f>AND($J40,ISNUMBER(T40),correlation!$I$27=1)</f>
        <v/>
      </c>
      <c r="V40" s="5">
        <f>IF(U40,$F40,"")</f>
        <v/>
      </c>
      <c r="W40" s="5">
        <f>IF(U40,T40*correlation!$J$27,"")</f>
        <v/>
      </c>
      <c r="X40" s="5">
        <f>IF(AND(U40,ISNUMBER(correlation!$F$27)),W40*correlation!$F$27+correlation!$G$27,"")</f>
        <v/>
      </c>
      <c r="Y40" s="5">
        <f>IF(AND(U40,ISNUMBER(X40)),(V40-X40)^2,"")</f>
        <v/>
      </c>
      <c r="Z40" s="5">
        <f>IF(U40,1+SUMPRODUCT(--(calc!$U$3:$U$306=TRUE),--(calc!$V$3:$V$306&gt;V40))+(SUMPRODUCT(--(calc!$U$3:$U$306=TRUE),--(calc!$V$3:$V$306=V40))-1)/2,"")</f>
        <v/>
      </c>
      <c r="AA40" s="5">
        <f>IF(U40,1+SUMPRODUCT(--(calc!$U$3:$U$306=TRUE),--(calc!$W$3:$W$306&gt;W40))+(SUMPRODUCT(--(calc!$U$3:$U$306=TRUE),--(calc!$W$3:$W$306=W40))-1)/2,"")</f>
        <v/>
      </c>
      <c r="AB40" s="5">
        <f>IF(U40,SUMPRODUCT(--(calc!$U$3:$U$306=TRUE),--(ROW(calc!$U$3:$U$306)&gt;ROW(U40)),--(((calc!$Z$3:$Z$306&gt;Z40)*(calc!$AA$3:$AA$306&gt;AA40)+(calc!$Z$3:$Z$306&lt;Z40)*(calc!$AA$3:$AA$306&lt;AA40))&gt;0))-SUMPRODUCT(--(calc!$U$3:$U$306=TRUE),--(ROW(calc!$U$3:$U$306)&gt;ROW(U40)),--(((calc!$Z$3:$Z$306&gt;Z40)*(calc!$AA$3:$AA$306&lt;AA40)+(calc!$Z$3:$Z$306&lt;Z40)*(calc!$AA$3:$AA$306&gt;AA40))&gt;0)),0)</f>
        <v/>
      </c>
      <c r="AC40" s="5">
        <f>IF(mos_metrics!I39="","",mos_metrics!I39)</f>
        <v/>
      </c>
      <c r="AD40" s="2">
        <f>AND($J40,ISNUMBER(AC40),correlation!$I$28=1)</f>
        <v/>
      </c>
      <c r="AE40" s="5">
        <f>IF(AD40,$F40,"")</f>
        <v/>
      </c>
      <c r="AF40" s="5">
        <f>IF(AD40,AC40*correlation!$J$28,"")</f>
        <v/>
      </c>
      <c r="AG40" s="5">
        <f>IF(AND(AD40,ISNUMBER(correlation!$F$28)),AF40*correlation!$F$28+correlation!$G$28,"")</f>
        <v/>
      </c>
      <c r="AH40" s="5">
        <f>IF(AND(AD40,ISNUMBER(AG40)),(AE40-AG40)^2,"")</f>
        <v/>
      </c>
      <c r="AI40" s="5">
        <f>IF(AD40,1+SUMPRODUCT(--(calc!$AD$3:$AD$306=TRUE),--(calc!$AE$3:$AE$306&gt;AE40))+(SUMPRODUCT(--(calc!$AD$3:$AD$306=TRUE),--(calc!$AE$3:$AE$306=AE40))-1)/2,"")</f>
        <v/>
      </c>
      <c r="AJ40" s="5">
        <f>IF(AD40,1+SUMPRODUCT(--(calc!$AD$3:$AD$306=TRUE),--(calc!$AF$3:$AF$306&gt;AF40))+(SUMPRODUCT(--(calc!$AD$3:$AD$306=TRUE),--(calc!$AF$3:$AF$306=AF40))-1)/2,"")</f>
        <v/>
      </c>
      <c r="AK40" s="5">
        <f>IF(AD40,SUMPRODUCT(--(calc!$AD$3:$AD$306=TRUE),--(ROW(calc!$AD$3:$AD$306)&gt;ROW(AD40)),--(((calc!$AI$3:$AI$306&gt;AI40)*(calc!$AJ$3:$AJ$306&gt;AJ40)+(calc!$AI$3:$AI$306&lt;AI40)*(calc!$AJ$3:$AJ$306&lt;AJ40))&gt;0))-SUMPRODUCT(--(calc!$AD$3:$AD$306=TRUE),--(ROW(calc!$AD$3:$AD$306)&gt;ROW(AD40)),--(((calc!$AI$3:$AI$306&gt;AI40)*(calc!$AJ$3:$AJ$306&lt;AJ40)+(calc!$AI$3:$AI$306&lt;AI40)*(calc!$AJ$3:$AJ$306&gt;AJ40))&gt;0)),0)</f>
        <v/>
      </c>
      <c r="AL40" s="5">
        <f>IF(mos_metrics!J39="","",mos_metrics!J39)</f>
        <v/>
      </c>
      <c r="AM40" s="2">
        <f>AND($J40,ISNUMBER(AL40),correlation!$I$29=1)</f>
        <v/>
      </c>
      <c r="AN40" s="5">
        <f>IF(AM40,$F40,"")</f>
        <v/>
      </c>
      <c r="AO40" s="5">
        <f>IF(AM40,AL40*correlation!$J$29,"")</f>
        <v/>
      </c>
      <c r="AP40" s="5">
        <f>IF(AND(AM40,ISNUMBER(correlation!$F$29)),AO40*correlation!$F$29+correlation!$G$29,"")</f>
        <v/>
      </c>
      <c r="AQ40" s="5">
        <f>IF(AND(AM40,ISNUMBER(AP40)),(AN40-AP40)^2,"")</f>
        <v/>
      </c>
      <c r="AR40" s="5">
        <f>IF(AM40,1+SUMPRODUCT(--(calc!$AM$3:$AM$306=TRUE),--(calc!$AN$3:$AN$306&gt;AN40))+(SUMPRODUCT(--(calc!$AM$3:$AM$306=TRUE),--(calc!$AN$3:$AN$306=AN40))-1)/2,"")</f>
        <v/>
      </c>
      <c r="AS40" s="5">
        <f>IF(AM40,1+SUMPRODUCT(--(calc!$AM$3:$AM$306=TRUE),--(calc!$AO$3:$AO$306&gt;AO40))+(SUMPRODUCT(--(calc!$AM$3:$AM$306=TRUE),--(calc!$AO$3:$AO$306=AO40))-1)/2,"")</f>
        <v/>
      </c>
      <c r="AT40" s="5">
        <f>IF(AM40,SUMPRODUCT(--(calc!$AM$3:$AM$306=TRUE),--(ROW(calc!$AM$3:$AM$306)&gt;ROW(AM40)),--(((calc!$AR$3:$AR$306&gt;AR40)*(calc!$AS$3:$AS$306&gt;AS40)+(calc!$AR$3:$AR$306&lt;AR40)*(calc!$AS$3:$AS$306&lt;AS40))&gt;0))-SUMPRODUCT(--(calc!$AM$3:$AM$306=TRUE),--(ROW(calc!$AM$3:$AM$306)&gt;ROW(AM40)),--(((calc!$AR$3:$AR$306&gt;AR40)*(calc!$AS$3:$AS$306&lt;AS40)+(calc!$AR$3:$AR$306&lt;AR40)*(calc!$AS$3:$AS$306&gt;AS40))&gt;0)),0)</f>
        <v/>
      </c>
      <c r="AU40" s="5">
        <f>IF(mos_metrics!K39="","",mos_metrics!K39)</f>
        <v/>
      </c>
      <c r="AV40" s="2">
        <f>AND($J40,ISNUMBER(AU40),correlation!$I$30=1)</f>
        <v/>
      </c>
      <c r="AW40" s="5">
        <f>IF(AV40,$F40,"")</f>
        <v/>
      </c>
      <c r="AX40" s="5">
        <f>IF(AV40,AU40*correlation!$J$30,"")</f>
        <v/>
      </c>
      <c r="AY40" s="5">
        <f>IF(AND(AV40,ISNUMBER(correlation!$F$30)),AX40*correlation!$F$30+correlation!$G$30,"")</f>
        <v/>
      </c>
      <c r="AZ40" s="5">
        <f>IF(AND(AV40,ISNUMBER(AY40)),(AW40-AY40)^2,"")</f>
        <v/>
      </c>
      <c r="BA40" s="5">
        <f>IF(AV40,1+SUMPRODUCT(--(calc!$AV$3:$AV$306=TRUE),--(calc!$AW$3:$AW$306&gt;AW40))+(SUMPRODUCT(--(calc!$AV$3:$AV$306=TRUE),--(calc!$AW$3:$AW$306=AW40))-1)/2,"")</f>
        <v/>
      </c>
      <c r="BB40" s="5">
        <f>IF(AV40,1+SUMPRODUCT(--(calc!$AV$3:$AV$306=TRUE),--(calc!$AX$3:$AX$306&gt;AX40))+(SUMPRODUCT(--(calc!$AV$3:$AV$306=TRUE),--(calc!$AX$3:$AX$306=AX40))-1)/2,"")</f>
        <v/>
      </c>
      <c r="BC40" s="5">
        <f>IF(AV40,SUMPRODUCT(--(calc!$AV$3:$AV$306=TRUE),--(ROW(calc!$AV$3:$AV$306)&gt;ROW(AV40)),--(((calc!$BA$3:$BA$306&gt;BA40)*(calc!$BB$3:$BB$306&gt;BB40)+(calc!$BA$3:$BA$306&lt;BA40)*(calc!$BB$3:$BB$306&lt;BB40))&gt;0))-SUMPRODUCT(--(calc!$AV$3:$AV$306=TRUE),--(ROW(calc!$AV$3:$AV$306)&gt;ROW(AV40)),--(((calc!$BA$3:$BA$306&gt;BA40)*(calc!$BB$3:$BB$306&lt;BB40)+(calc!$BA$3:$BA$306&lt;BA40)*(calc!$BB$3:$BB$306&gt;BB40))&gt;0)),0)</f>
        <v/>
      </c>
      <c r="BD40" s="5">
        <f>IF(mos_metrics!L39="","",mos_metrics!L39)</f>
        <v/>
      </c>
      <c r="BE40" s="2">
        <f>AND($J40,ISNUMBER(BD40),correlation!$I$31=1)</f>
        <v/>
      </c>
      <c r="BF40" s="5">
        <f>IF(BE40,$F40,"")</f>
        <v/>
      </c>
      <c r="BG40" s="5">
        <f>IF(BE40,BD40*correlation!$J$31,"")</f>
        <v/>
      </c>
      <c r="BH40" s="5">
        <f>IF(AND(BE40,ISNUMBER(correlation!$F$31)),BG40*correlation!$F$31+correlation!$G$31,"")</f>
        <v/>
      </c>
      <c r="BI40" s="5">
        <f>IF(AND(BE40,ISNUMBER(BH40)),(BF40-BH40)^2,"")</f>
        <v/>
      </c>
      <c r="BJ40" s="5">
        <f>IF(BE40,1+SUMPRODUCT(--(calc!$BE$3:$BE$306=TRUE),--(calc!$BF$3:$BF$306&gt;BF40))+(SUMPRODUCT(--(calc!$BE$3:$BE$306=TRUE),--(calc!$BF$3:$BF$306=BF40))-1)/2,"")</f>
        <v/>
      </c>
      <c r="BK40" s="5">
        <f>IF(BE40,1+SUMPRODUCT(--(calc!$BE$3:$BE$306=TRUE),--(calc!$BG$3:$BG$306&gt;BG40))+(SUMPRODUCT(--(calc!$BE$3:$BE$306=TRUE),--(calc!$BG$3:$BG$306=BG40))-1)/2,"")</f>
        <v/>
      </c>
      <c r="BL40" s="5">
        <f>IF(BE40,SUMPRODUCT(--(calc!$BE$3:$BE$306=TRUE),--(ROW(calc!$BE$3:$BE$306)&gt;ROW(BE40)),--(((calc!$BJ$3:$BJ$306&gt;BJ40)*(calc!$BK$3:$BK$306&gt;BK40)+(calc!$BJ$3:$BJ$306&lt;BJ40)*(calc!$BK$3:$BK$306&lt;BK40))&gt;0))-SUMPRODUCT(--(calc!$BE$3:$BE$306=TRUE),--(ROW(calc!$BE$3:$BE$306)&gt;ROW(BE40)),--(((calc!$BJ$3:$BJ$306&gt;BJ40)*(calc!$BK$3:$BK$306&lt;BK40)+(calc!$BJ$3:$BJ$306&lt;BJ40)*(calc!$BK$3:$BK$306&gt;BK40))&gt;0)),0)</f>
        <v/>
      </c>
      <c r="BM40" s="5">
        <f>IF(mos_metrics!M39="","",mos_metrics!M39)</f>
        <v/>
      </c>
      <c r="BN40" s="2">
        <f>AND($J40,ISNUMBER(BM40),correlation!$I$32=1)</f>
        <v/>
      </c>
      <c r="BO40" s="5">
        <f>IF(BN40,$F40,"")</f>
        <v/>
      </c>
      <c r="BP40" s="5">
        <f>IF(BN40,BM40*correlation!$J$32,"")</f>
        <v/>
      </c>
      <c r="BQ40" s="5">
        <f>IF(AND(BN40,ISNUMBER(correlation!$F$32)),BP40*correlation!$F$32+correlation!$G$32,"")</f>
        <v/>
      </c>
      <c r="BR40" s="5">
        <f>IF(AND(BN40,ISNUMBER(BQ40)),(BO40-BQ40)^2,"")</f>
        <v/>
      </c>
      <c r="BS40" s="5">
        <f>IF(BN40,1+SUMPRODUCT(--(calc!$BN$3:$BN$306=TRUE),--(calc!$BO$3:$BO$306&gt;BO40))+(SUMPRODUCT(--(calc!$BN$3:$BN$306=TRUE),--(calc!$BO$3:$BO$306=BO40))-1)/2,"")</f>
        <v/>
      </c>
      <c r="BT40" s="5">
        <f>IF(BN40,1+SUMPRODUCT(--(calc!$BN$3:$BN$306=TRUE),--(calc!$BP$3:$BP$306&gt;BP40))+(SUMPRODUCT(--(calc!$BN$3:$BN$306=TRUE),--(calc!$BP$3:$BP$306=BP40))-1)/2,"")</f>
        <v/>
      </c>
      <c r="BU40" s="5">
        <f>IF(BN40,SUMPRODUCT(--(calc!$BN$3:$BN$306=TRUE),--(ROW(calc!$BN$3:$BN$306)&gt;ROW(BN40)),--(((calc!$BS$3:$BS$306&gt;BS40)*(calc!$BT$3:$BT$306&gt;BT40)+(calc!$BS$3:$BS$306&lt;BS40)*(calc!$BT$3:$BT$306&lt;BT40))&gt;0))-SUMPRODUCT(--(calc!$BN$3:$BN$306=TRUE),--(ROW(calc!$BN$3:$BN$306)&gt;ROW(BN40)),--(((calc!$BS$3:$BS$306&gt;BS40)*(calc!$BT$3:$BT$306&lt;BT40)+(calc!$BS$3:$BS$306&lt;BS40)*(calc!$BT$3:$BT$306&gt;BT40))&gt;0)),0)</f>
        <v/>
      </c>
    </row>
    <row r="41">
      <c r="A41" s="2">
        <f>mos_metrics!A40</f>
        <v/>
      </c>
      <c r="B41" s="2">
        <f>mos_metrics!B40</f>
        <v/>
      </c>
      <c r="C41" s="2">
        <f>mos_metrics!C40</f>
        <v/>
      </c>
      <c r="D41" s="2">
        <f>mos_metrics!D40</f>
        <v/>
      </c>
      <c r="E41" s="2">
        <f>mos_metrics!E40</f>
        <v/>
      </c>
      <c r="F41" s="2">
        <f>mos_metrics!F40</f>
        <v/>
      </c>
      <c r="G41" s="2">
        <f>IF($B41="","",IFERROR(VLOOKUP($B41,correlation!$A$2:$B$16,2,FALSE),1))</f>
        <v/>
      </c>
      <c r="H41" s="2">
        <f>IF($E41="","",IFERROR(VLOOKUP($E41,correlation!$D$2:$E$8,2,FALSE),1))</f>
        <v/>
      </c>
      <c r="I41" s="2">
        <f>ISNUMBER($F41)</f>
        <v/>
      </c>
      <c r="J41" s="2">
        <f>AND($G41=1,$H41=1,$I41)</f>
        <v/>
      </c>
      <c r="K41" s="5">
        <f>IF(mos_metrics!G40="","",mos_metrics!G40)</f>
        <v/>
      </c>
      <c r="L41" s="2">
        <f>AND($J41,ISNUMBER(K41),correlation!$I$26=1)</f>
        <v/>
      </c>
      <c r="M41" s="5">
        <f>IF(L41,$F41,"")</f>
        <v/>
      </c>
      <c r="N41" s="5">
        <f>IF(L41,K41*correlation!$J$26,"")</f>
        <v/>
      </c>
      <c r="O41" s="5">
        <f>IF(AND(L41,ISNUMBER(correlation!$F$26)),N41*correlation!$F$26+correlation!$G$26,"")</f>
        <v/>
      </c>
      <c r="P41" s="5">
        <f>IF(AND(L41,ISNUMBER(O41)),(M41-O41)^2,"")</f>
        <v/>
      </c>
      <c r="Q41" s="5">
        <f>IF(L41,1+SUMPRODUCT(--(calc!$L$3:$L$306=TRUE),--(calc!$M$3:$M$306&gt;M41))+(SUMPRODUCT(--(calc!$L$3:$L$306=TRUE),--(calc!$M$3:$M$306=M41))-1)/2,"")</f>
        <v/>
      </c>
      <c r="R41" s="5">
        <f>IF(L41,1+SUMPRODUCT(--(calc!$L$3:$L$306=TRUE),--(calc!$N$3:$N$306&gt;N41))+(SUMPRODUCT(--(calc!$L$3:$L$306=TRUE),--(calc!$N$3:$N$306=N41))-1)/2,"")</f>
        <v/>
      </c>
      <c r="S41" s="5">
        <f>IF(L41,SUMPRODUCT(--(calc!$L$3:$L$306=TRUE),--(ROW(calc!$L$3:$L$306)&gt;ROW(L41)),--(((calc!$Q$3:$Q$306&gt;Q41)*(calc!$R$3:$R$306&gt;R41)+(calc!$Q$3:$Q$306&lt;Q41)*(calc!$R$3:$R$306&lt;R41))&gt;0))-SUMPRODUCT(--(calc!$L$3:$L$306=TRUE),--(ROW(calc!$L$3:$L$306)&gt;ROW(L41)),--(((calc!$Q$3:$Q$306&gt;Q41)*(calc!$R$3:$R$306&lt;R41)+(calc!$Q$3:$Q$306&lt;Q41)*(calc!$R$3:$R$306&gt;R41))&gt;0)),0)</f>
        <v/>
      </c>
      <c r="T41" s="5">
        <f>IF(mos_metrics!H40="","",mos_metrics!H40)</f>
        <v/>
      </c>
      <c r="U41" s="2">
        <f>AND($J41,ISNUMBER(T41),correlation!$I$27=1)</f>
        <v/>
      </c>
      <c r="V41" s="5">
        <f>IF(U41,$F41,"")</f>
        <v/>
      </c>
      <c r="W41" s="5">
        <f>IF(U41,T41*correlation!$J$27,"")</f>
        <v/>
      </c>
      <c r="X41" s="5">
        <f>IF(AND(U41,ISNUMBER(correlation!$F$27)),W41*correlation!$F$27+correlation!$G$27,"")</f>
        <v/>
      </c>
      <c r="Y41" s="5">
        <f>IF(AND(U41,ISNUMBER(X41)),(V41-X41)^2,"")</f>
        <v/>
      </c>
      <c r="Z41" s="5">
        <f>IF(U41,1+SUMPRODUCT(--(calc!$U$3:$U$306=TRUE),--(calc!$V$3:$V$306&gt;V41))+(SUMPRODUCT(--(calc!$U$3:$U$306=TRUE),--(calc!$V$3:$V$306=V41))-1)/2,"")</f>
        <v/>
      </c>
      <c r="AA41" s="5">
        <f>IF(U41,1+SUMPRODUCT(--(calc!$U$3:$U$306=TRUE),--(calc!$W$3:$W$306&gt;W41))+(SUMPRODUCT(--(calc!$U$3:$U$306=TRUE),--(calc!$W$3:$W$306=W41))-1)/2,"")</f>
        <v/>
      </c>
      <c r="AB41" s="5">
        <f>IF(U41,SUMPRODUCT(--(calc!$U$3:$U$306=TRUE),--(ROW(calc!$U$3:$U$306)&gt;ROW(U41)),--(((calc!$Z$3:$Z$306&gt;Z41)*(calc!$AA$3:$AA$306&gt;AA41)+(calc!$Z$3:$Z$306&lt;Z41)*(calc!$AA$3:$AA$306&lt;AA41))&gt;0))-SUMPRODUCT(--(calc!$U$3:$U$306=TRUE),--(ROW(calc!$U$3:$U$306)&gt;ROW(U41)),--(((calc!$Z$3:$Z$306&gt;Z41)*(calc!$AA$3:$AA$306&lt;AA41)+(calc!$Z$3:$Z$306&lt;Z41)*(calc!$AA$3:$AA$306&gt;AA41))&gt;0)),0)</f>
        <v/>
      </c>
      <c r="AC41" s="5">
        <f>IF(mos_metrics!I40="","",mos_metrics!I40)</f>
        <v/>
      </c>
      <c r="AD41" s="2">
        <f>AND($J41,ISNUMBER(AC41),correlation!$I$28=1)</f>
        <v/>
      </c>
      <c r="AE41" s="5">
        <f>IF(AD41,$F41,"")</f>
        <v/>
      </c>
      <c r="AF41" s="5">
        <f>IF(AD41,AC41*correlation!$J$28,"")</f>
        <v/>
      </c>
      <c r="AG41" s="5">
        <f>IF(AND(AD41,ISNUMBER(correlation!$F$28)),AF41*correlation!$F$28+correlation!$G$28,"")</f>
        <v/>
      </c>
      <c r="AH41" s="5">
        <f>IF(AND(AD41,ISNUMBER(AG41)),(AE41-AG41)^2,"")</f>
        <v/>
      </c>
      <c r="AI41" s="5">
        <f>IF(AD41,1+SUMPRODUCT(--(calc!$AD$3:$AD$306=TRUE),--(calc!$AE$3:$AE$306&gt;AE41))+(SUMPRODUCT(--(calc!$AD$3:$AD$306=TRUE),--(calc!$AE$3:$AE$306=AE41))-1)/2,"")</f>
        <v/>
      </c>
      <c r="AJ41" s="5">
        <f>IF(AD41,1+SUMPRODUCT(--(calc!$AD$3:$AD$306=TRUE),--(calc!$AF$3:$AF$306&gt;AF41))+(SUMPRODUCT(--(calc!$AD$3:$AD$306=TRUE),--(calc!$AF$3:$AF$306=AF41))-1)/2,"")</f>
        <v/>
      </c>
      <c r="AK41" s="5">
        <f>IF(AD41,SUMPRODUCT(--(calc!$AD$3:$AD$306=TRUE),--(ROW(calc!$AD$3:$AD$306)&gt;ROW(AD41)),--(((calc!$AI$3:$AI$306&gt;AI41)*(calc!$AJ$3:$AJ$306&gt;AJ41)+(calc!$AI$3:$AI$306&lt;AI41)*(calc!$AJ$3:$AJ$306&lt;AJ41))&gt;0))-SUMPRODUCT(--(calc!$AD$3:$AD$306=TRUE),--(ROW(calc!$AD$3:$AD$306)&gt;ROW(AD41)),--(((calc!$AI$3:$AI$306&gt;AI41)*(calc!$AJ$3:$AJ$306&lt;AJ41)+(calc!$AI$3:$AI$306&lt;AI41)*(calc!$AJ$3:$AJ$306&gt;AJ41))&gt;0)),0)</f>
        <v/>
      </c>
      <c r="AL41" s="5">
        <f>IF(mos_metrics!J40="","",mos_metrics!J40)</f>
        <v/>
      </c>
      <c r="AM41" s="2">
        <f>AND($J41,ISNUMBER(AL41),correlation!$I$29=1)</f>
        <v/>
      </c>
      <c r="AN41" s="5">
        <f>IF(AM41,$F41,"")</f>
        <v/>
      </c>
      <c r="AO41" s="5">
        <f>IF(AM41,AL41*correlation!$J$29,"")</f>
        <v/>
      </c>
      <c r="AP41" s="5">
        <f>IF(AND(AM41,ISNUMBER(correlation!$F$29)),AO41*correlation!$F$29+correlation!$G$29,"")</f>
        <v/>
      </c>
      <c r="AQ41" s="5">
        <f>IF(AND(AM41,ISNUMBER(AP41)),(AN41-AP41)^2,"")</f>
        <v/>
      </c>
      <c r="AR41" s="5">
        <f>IF(AM41,1+SUMPRODUCT(--(calc!$AM$3:$AM$306=TRUE),--(calc!$AN$3:$AN$306&gt;AN41))+(SUMPRODUCT(--(calc!$AM$3:$AM$306=TRUE),--(calc!$AN$3:$AN$306=AN41))-1)/2,"")</f>
        <v/>
      </c>
      <c r="AS41" s="5">
        <f>IF(AM41,1+SUMPRODUCT(--(calc!$AM$3:$AM$306=TRUE),--(calc!$AO$3:$AO$306&gt;AO41))+(SUMPRODUCT(--(calc!$AM$3:$AM$306=TRUE),--(calc!$AO$3:$AO$306=AO41))-1)/2,"")</f>
        <v/>
      </c>
      <c r="AT41" s="5">
        <f>IF(AM41,SUMPRODUCT(--(calc!$AM$3:$AM$306=TRUE),--(ROW(calc!$AM$3:$AM$306)&gt;ROW(AM41)),--(((calc!$AR$3:$AR$306&gt;AR41)*(calc!$AS$3:$AS$306&gt;AS41)+(calc!$AR$3:$AR$306&lt;AR41)*(calc!$AS$3:$AS$306&lt;AS41))&gt;0))-SUMPRODUCT(--(calc!$AM$3:$AM$306=TRUE),--(ROW(calc!$AM$3:$AM$306)&gt;ROW(AM41)),--(((calc!$AR$3:$AR$306&gt;AR41)*(calc!$AS$3:$AS$306&lt;AS41)+(calc!$AR$3:$AR$306&lt;AR41)*(calc!$AS$3:$AS$306&gt;AS41))&gt;0)),0)</f>
        <v/>
      </c>
      <c r="AU41" s="5">
        <f>IF(mos_metrics!K40="","",mos_metrics!K40)</f>
        <v/>
      </c>
      <c r="AV41" s="2">
        <f>AND($J41,ISNUMBER(AU41),correlation!$I$30=1)</f>
        <v/>
      </c>
      <c r="AW41" s="5">
        <f>IF(AV41,$F41,"")</f>
        <v/>
      </c>
      <c r="AX41" s="5">
        <f>IF(AV41,AU41*correlation!$J$30,"")</f>
        <v/>
      </c>
      <c r="AY41" s="5">
        <f>IF(AND(AV41,ISNUMBER(correlation!$F$30)),AX41*correlation!$F$30+correlation!$G$30,"")</f>
        <v/>
      </c>
      <c r="AZ41" s="5">
        <f>IF(AND(AV41,ISNUMBER(AY41)),(AW41-AY41)^2,"")</f>
        <v/>
      </c>
      <c r="BA41" s="5">
        <f>IF(AV41,1+SUMPRODUCT(--(calc!$AV$3:$AV$306=TRUE),--(calc!$AW$3:$AW$306&gt;AW41))+(SUMPRODUCT(--(calc!$AV$3:$AV$306=TRUE),--(calc!$AW$3:$AW$306=AW41))-1)/2,"")</f>
        <v/>
      </c>
      <c r="BB41" s="5">
        <f>IF(AV41,1+SUMPRODUCT(--(calc!$AV$3:$AV$306=TRUE),--(calc!$AX$3:$AX$306&gt;AX41))+(SUMPRODUCT(--(calc!$AV$3:$AV$306=TRUE),--(calc!$AX$3:$AX$306=AX41))-1)/2,"")</f>
        <v/>
      </c>
      <c r="BC41" s="5">
        <f>IF(AV41,SUMPRODUCT(--(calc!$AV$3:$AV$306=TRUE),--(ROW(calc!$AV$3:$AV$306)&gt;ROW(AV41)),--(((calc!$BA$3:$BA$306&gt;BA41)*(calc!$BB$3:$BB$306&gt;BB41)+(calc!$BA$3:$BA$306&lt;BA41)*(calc!$BB$3:$BB$306&lt;BB41))&gt;0))-SUMPRODUCT(--(calc!$AV$3:$AV$306=TRUE),--(ROW(calc!$AV$3:$AV$306)&gt;ROW(AV41)),--(((calc!$BA$3:$BA$306&gt;BA41)*(calc!$BB$3:$BB$306&lt;BB41)+(calc!$BA$3:$BA$306&lt;BA41)*(calc!$BB$3:$BB$306&gt;BB41))&gt;0)),0)</f>
        <v/>
      </c>
      <c r="BD41" s="5">
        <f>IF(mos_metrics!L40="","",mos_metrics!L40)</f>
        <v/>
      </c>
      <c r="BE41" s="2">
        <f>AND($J41,ISNUMBER(BD41),correlation!$I$31=1)</f>
        <v/>
      </c>
      <c r="BF41" s="5">
        <f>IF(BE41,$F41,"")</f>
        <v/>
      </c>
      <c r="BG41" s="5">
        <f>IF(BE41,BD41*correlation!$J$31,"")</f>
        <v/>
      </c>
      <c r="BH41" s="5">
        <f>IF(AND(BE41,ISNUMBER(correlation!$F$31)),BG41*correlation!$F$31+correlation!$G$31,"")</f>
        <v/>
      </c>
      <c r="BI41" s="5">
        <f>IF(AND(BE41,ISNUMBER(BH41)),(BF41-BH41)^2,"")</f>
        <v/>
      </c>
      <c r="BJ41" s="5">
        <f>IF(BE41,1+SUMPRODUCT(--(calc!$BE$3:$BE$306=TRUE),--(calc!$BF$3:$BF$306&gt;BF41))+(SUMPRODUCT(--(calc!$BE$3:$BE$306=TRUE),--(calc!$BF$3:$BF$306=BF41))-1)/2,"")</f>
        <v/>
      </c>
      <c r="BK41" s="5">
        <f>IF(BE41,1+SUMPRODUCT(--(calc!$BE$3:$BE$306=TRUE),--(calc!$BG$3:$BG$306&gt;BG41))+(SUMPRODUCT(--(calc!$BE$3:$BE$306=TRUE),--(calc!$BG$3:$BG$306=BG41))-1)/2,"")</f>
        <v/>
      </c>
      <c r="BL41" s="5">
        <f>IF(BE41,SUMPRODUCT(--(calc!$BE$3:$BE$306=TRUE),--(ROW(calc!$BE$3:$BE$306)&gt;ROW(BE41)),--(((calc!$BJ$3:$BJ$306&gt;BJ41)*(calc!$BK$3:$BK$306&gt;BK41)+(calc!$BJ$3:$BJ$306&lt;BJ41)*(calc!$BK$3:$BK$306&lt;BK41))&gt;0))-SUMPRODUCT(--(calc!$BE$3:$BE$306=TRUE),--(ROW(calc!$BE$3:$BE$306)&gt;ROW(BE41)),--(((calc!$BJ$3:$BJ$306&gt;BJ41)*(calc!$BK$3:$BK$306&lt;BK41)+(calc!$BJ$3:$BJ$306&lt;BJ41)*(calc!$BK$3:$BK$306&gt;BK41))&gt;0)),0)</f>
        <v/>
      </c>
      <c r="BM41" s="5">
        <f>IF(mos_metrics!M40="","",mos_metrics!M40)</f>
        <v/>
      </c>
      <c r="BN41" s="2">
        <f>AND($J41,ISNUMBER(BM41),correlation!$I$32=1)</f>
        <v/>
      </c>
      <c r="BO41" s="5">
        <f>IF(BN41,$F41,"")</f>
        <v/>
      </c>
      <c r="BP41" s="5">
        <f>IF(BN41,BM41*correlation!$J$32,"")</f>
        <v/>
      </c>
      <c r="BQ41" s="5">
        <f>IF(AND(BN41,ISNUMBER(correlation!$F$32)),BP41*correlation!$F$32+correlation!$G$32,"")</f>
        <v/>
      </c>
      <c r="BR41" s="5">
        <f>IF(AND(BN41,ISNUMBER(BQ41)),(BO41-BQ41)^2,"")</f>
        <v/>
      </c>
      <c r="BS41" s="5">
        <f>IF(BN41,1+SUMPRODUCT(--(calc!$BN$3:$BN$306=TRUE),--(calc!$BO$3:$BO$306&gt;BO41))+(SUMPRODUCT(--(calc!$BN$3:$BN$306=TRUE),--(calc!$BO$3:$BO$306=BO41))-1)/2,"")</f>
        <v/>
      </c>
      <c r="BT41" s="5">
        <f>IF(BN41,1+SUMPRODUCT(--(calc!$BN$3:$BN$306=TRUE),--(calc!$BP$3:$BP$306&gt;BP41))+(SUMPRODUCT(--(calc!$BN$3:$BN$306=TRUE),--(calc!$BP$3:$BP$306=BP41))-1)/2,"")</f>
        <v/>
      </c>
      <c r="BU41" s="5">
        <f>IF(BN41,SUMPRODUCT(--(calc!$BN$3:$BN$306=TRUE),--(ROW(calc!$BN$3:$BN$306)&gt;ROW(BN41)),--(((calc!$BS$3:$BS$306&gt;BS41)*(calc!$BT$3:$BT$306&gt;BT41)+(calc!$BS$3:$BS$306&lt;BS41)*(calc!$BT$3:$BT$306&lt;BT41))&gt;0))-SUMPRODUCT(--(calc!$BN$3:$BN$306=TRUE),--(ROW(calc!$BN$3:$BN$306)&gt;ROW(BN41)),--(((calc!$BS$3:$BS$306&gt;BS41)*(calc!$BT$3:$BT$306&lt;BT41)+(calc!$BS$3:$BS$306&lt;BS41)*(calc!$BT$3:$BT$306&gt;BT41))&gt;0)),0)</f>
        <v/>
      </c>
    </row>
    <row r="42">
      <c r="A42" s="2">
        <f>mos_metrics!A41</f>
        <v/>
      </c>
      <c r="B42" s="2">
        <f>mos_metrics!B41</f>
        <v/>
      </c>
      <c r="C42" s="2">
        <f>mos_metrics!C41</f>
        <v/>
      </c>
      <c r="D42" s="2">
        <f>mos_metrics!D41</f>
        <v/>
      </c>
      <c r="E42" s="2">
        <f>mos_metrics!E41</f>
        <v/>
      </c>
      <c r="F42" s="2">
        <f>mos_metrics!F41</f>
        <v/>
      </c>
      <c r="G42" s="2">
        <f>IF($B42="","",IFERROR(VLOOKUP($B42,correlation!$A$2:$B$16,2,FALSE),1))</f>
        <v/>
      </c>
      <c r="H42" s="2">
        <f>IF($E42="","",IFERROR(VLOOKUP($E42,correlation!$D$2:$E$8,2,FALSE),1))</f>
        <v/>
      </c>
      <c r="I42" s="2">
        <f>ISNUMBER($F42)</f>
        <v/>
      </c>
      <c r="J42" s="2">
        <f>AND($G42=1,$H42=1,$I42)</f>
        <v/>
      </c>
      <c r="K42" s="5">
        <f>IF(mos_metrics!G41="","",mos_metrics!G41)</f>
        <v/>
      </c>
      <c r="L42" s="2">
        <f>AND($J42,ISNUMBER(K42),correlation!$I$26=1)</f>
        <v/>
      </c>
      <c r="M42" s="5">
        <f>IF(L42,$F42,"")</f>
        <v/>
      </c>
      <c r="N42" s="5">
        <f>IF(L42,K42*correlation!$J$26,"")</f>
        <v/>
      </c>
      <c r="O42" s="5">
        <f>IF(AND(L42,ISNUMBER(correlation!$F$26)),N42*correlation!$F$26+correlation!$G$26,"")</f>
        <v/>
      </c>
      <c r="P42" s="5">
        <f>IF(AND(L42,ISNUMBER(O42)),(M42-O42)^2,"")</f>
        <v/>
      </c>
      <c r="Q42" s="5">
        <f>IF(L42,1+SUMPRODUCT(--(calc!$L$3:$L$306=TRUE),--(calc!$M$3:$M$306&gt;M42))+(SUMPRODUCT(--(calc!$L$3:$L$306=TRUE),--(calc!$M$3:$M$306=M42))-1)/2,"")</f>
        <v/>
      </c>
      <c r="R42" s="5">
        <f>IF(L42,1+SUMPRODUCT(--(calc!$L$3:$L$306=TRUE),--(calc!$N$3:$N$306&gt;N42))+(SUMPRODUCT(--(calc!$L$3:$L$306=TRUE),--(calc!$N$3:$N$306=N42))-1)/2,"")</f>
        <v/>
      </c>
      <c r="S42" s="5">
        <f>IF(L42,SUMPRODUCT(--(calc!$L$3:$L$306=TRUE),--(ROW(calc!$L$3:$L$306)&gt;ROW(L42)),--(((calc!$Q$3:$Q$306&gt;Q42)*(calc!$R$3:$R$306&gt;R42)+(calc!$Q$3:$Q$306&lt;Q42)*(calc!$R$3:$R$306&lt;R42))&gt;0))-SUMPRODUCT(--(calc!$L$3:$L$306=TRUE),--(ROW(calc!$L$3:$L$306)&gt;ROW(L42)),--(((calc!$Q$3:$Q$306&gt;Q42)*(calc!$R$3:$R$306&lt;R42)+(calc!$Q$3:$Q$306&lt;Q42)*(calc!$R$3:$R$306&gt;R42))&gt;0)),0)</f>
        <v/>
      </c>
      <c r="T42" s="5">
        <f>IF(mos_metrics!H41="","",mos_metrics!H41)</f>
        <v/>
      </c>
      <c r="U42" s="2">
        <f>AND($J42,ISNUMBER(T42),correlation!$I$27=1)</f>
        <v/>
      </c>
      <c r="V42" s="5">
        <f>IF(U42,$F42,"")</f>
        <v/>
      </c>
      <c r="W42" s="5">
        <f>IF(U42,T42*correlation!$J$27,"")</f>
        <v/>
      </c>
      <c r="X42" s="5">
        <f>IF(AND(U42,ISNUMBER(correlation!$F$27)),W42*correlation!$F$27+correlation!$G$27,"")</f>
        <v/>
      </c>
      <c r="Y42" s="5">
        <f>IF(AND(U42,ISNUMBER(X42)),(V42-X42)^2,"")</f>
        <v/>
      </c>
      <c r="Z42" s="5">
        <f>IF(U42,1+SUMPRODUCT(--(calc!$U$3:$U$306=TRUE),--(calc!$V$3:$V$306&gt;V42))+(SUMPRODUCT(--(calc!$U$3:$U$306=TRUE),--(calc!$V$3:$V$306=V42))-1)/2,"")</f>
        <v/>
      </c>
      <c r="AA42" s="5">
        <f>IF(U42,1+SUMPRODUCT(--(calc!$U$3:$U$306=TRUE),--(calc!$W$3:$W$306&gt;W42))+(SUMPRODUCT(--(calc!$U$3:$U$306=TRUE),--(calc!$W$3:$W$306=W42))-1)/2,"")</f>
        <v/>
      </c>
      <c r="AB42" s="5">
        <f>IF(U42,SUMPRODUCT(--(calc!$U$3:$U$306=TRUE),--(ROW(calc!$U$3:$U$306)&gt;ROW(U42)),--(((calc!$Z$3:$Z$306&gt;Z42)*(calc!$AA$3:$AA$306&gt;AA42)+(calc!$Z$3:$Z$306&lt;Z42)*(calc!$AA$3:$AA$306&lt;AA42))&gt;0))-SUMPRODUCT(--(calc!$U$3:$U$306=TRUE),--(ROW(calc!$U$3:$U$306)&gt;ROW(U42)),--(((calc!$Z$3:$Z$306&gt;Z42)*(calc!$AA$3:$AA$306&lt;AA42)+(calc!$Z$3:$Z$306&lt;Z42)*(calc!$AA$3:$AA$306&gt;AA42))&gt;0)),0)</f>
        <v/>
      </c>
      <c r="AC42" s="5">
        <f>IF(mos_metrics!I41="","",mos_metrics!I41)</f>
        <v/>
      </c>
      <c r="AD42" s="2">
        <f>AND($J42,ISNUMBER(AC42),correlation!$I$28=1)</f>
        <v/>
      </c>
      <c r="AE42" s="5">
        <f>IF(AD42,$F42,"")</f>
        <v/>
      </c>
      <c r="AF42" s="5">
        <f>IF(AD42,AC42*correlation!$J$28,"")</f>
        <v/>
      </c>
      <c r="AG42" s="5">
        <f>IF(AND(AD42,ISNUMBER(correlation!$F$28)),AF42*correlation!$F$28+correlation!$G$28,"")</f>
        <v/>
      </c>
      <c r="AH42" s="5">
        <f>IF(AND(AD42,ISNUMBER(AG42)),(AE42-AG42)^2,"")</f>
        <v/>
      </c>
      <c r="AI42" s="5">
        <f>IF(AD42,1+SUMPRODUCT(--(calc!$AD$3:$AD$306=TRUE),--(calc!$AE$3:$AE$306&gt;AE42))+(SUMPRODUCT(--(calc!$AD$3:$AD$306=TRUE),--(calc!$AE$3:$AE$306=AE42))-1)/2,"")</f>
        <v/>
      </c>
      <c r="AJ42" s="5">
        <f>IF(AD42,1+SUMPRODUCT(--(calc!$AD$3:$AD$306=TRUE),--(calc!$AF$3:$AF$306&gt;AF42))+(SUMPRODUCT(--(calc!$AD$3:$AD$306=TRUE),--(calc!$AF$3:$AF$306=AF42))-1)/2,"")</f>
        <v/>
      </c>
      <c r="AK42" s="5">
        <f>IF(AD42,SUMPRODUCT(--(calc!$AD$3:$AD$306=TRUE),--(ROW(calc!$AD$3:$AD$306)&gt;ROW(AD42)),--(((calc!$AI$3:$AI$306&gt;AI42)*(calc!$AJ$3:$AJ$306&gt;AJ42)+(calc!$AI$3:$AI$306&lt;AI42)*(calc!$AJ$3:$AJ$306&lt;AJ42))&gt;0))-SUMPRODUCT(--(calc!$AD$3:$AD$306=TRUE),--(ROW(calc!$AD$3:$AD$306)&gt;ROW(AD42)),--(((calc!$AI$3:$AI$306&gt;AI42)*(calc!$AJ$3:$AJ$306&lt;AJ42)+(calc!$AI$3:$AI$306&lt;AI42)*(calc!$AJ$3:$AJ$306&gt;AJ42))&gt;0)),0)</f>
        <v/>
      </c>
      <c r="AL42" s="5">
        <f>IF(mos_metrics!J41="","",mos_metrics!J41)</f>
        <v/>
      </c>
      <c r="AM42" s="2">
        <f>AND($J42,ISNUMBER(AL42),correlation!$I$29=1)</f>
        <v/>
      </c>
      <c r="AN42" s="5">
        <f>IF(AM42,$F42,"")</f>
        <v/>
      </c>
      <c r="AO42" s="5">
        <f>IF(AM42,AL42*correlation!$J$29,"")</f>
        <v/>
      </c>
      <c r="AP42" s="5">
        <f>IF(AND(AM42,ISNUMBER(correlation!$F$29)),AO42*correlation!$F$29+correlation!$G$29,"")</f>
        <v/>
      </c>
      <c r="AQ42" s="5">
        <f>IF(AND(AM42,ISNUMBER(AP42)),(AN42-AP42)^2,"")</f>
        <v/>
      </c>
      <c r="AR42" s="5">
        <f>IF(AM42,1+SUMPRODUCT(--(calc!$AM$3:$AM$306=TRUE),--(calc!$AN$3:$AN$306&gt;AN42))+(SUMPRODUCT(--(calc!$AM$3:$AM$306=TRUE),--(calc!$AN$3:$AN$306=AN42))-1)/2,"")</f>
        <v/>
      </c>
      <c r="AS42" s="5">
        <f>IF(AM42,1+SUMPRODUCT(--(calc!$AM$3:$AM$306=TRUE),--(calc!$AO$3:$AO$306&gt;AO42))+(SUMPRODUCT(--(calc!$AM$3:$AM$306=TRUE),--(calc!$AO$3:$AO$306=AO42))-1)/2,"")</f>
        <v/>
      </c>
      <c r="AT42" s="5">
        <f>IF(AM42,SUMPRODUCT(--(calc!$AM$3:$AM$306=TRUE),--(ROW(calc!$AM$3:$AM$306)&gt;ROW(AM42)),--(((calc!$AR$3:$AR$306&gt;AR42)*(calc!$AS$3:$AS$306&gt;AS42)+(calc!$AR$3:$AR$306&lt;AR42)*(calc!$AS$3:$AS$306&lt;AS42))&gt;0))-SUMPRODUCT(--(calc!$AM$3:$AM$306=TRUE),--(ROW(calc!$AM$3:$AM$306)&gt;ROW(AM42)),--(((calc!$AR$3:$AR$306&gt;AR42)*(calc!$AS$3:$AS$306&lt;AS42)+(calc!$AR$3:$AR$306&lt;AR42)*(calc!$AS$3:$AS$306&gt;AS42))&gt;0)),0)</f>
        <v/>
      </c>
      <c r="AU42" s="5">
        <f>IF(mos_metrics!K41="","",mos_metrics!K41)</f>
        <v/>
      </c>
      <c r="AV42" s="2">
        <f>AND($J42,ISNUMBER(AU42),correlation!$I$30=1)</f>
        <v/>
      </c>
      <c r="AW42" s="5">
        <f>IF(AV42,$F42,"")</f>
        <v/>
      </c>
      <c r="AX42" s="5">
        <f>IF(AV42,AU42*correlation!$J$30,"")</f>
        <v/>
      </c>
      <c r="AY42" s="5">
        <f>IF(AND(AV42,ISNUMBER(correlation!$F$30)),AX42*correlation!$F$30+correlation!$G$30,"")</f>
        <v/>
      </c>
      <c r="AZ42" s="5">
        <f>IF(AND(AV42,ISNUMBER(AY42)),(AW42-AY42)^2,"")</f>
        <v/>
      </c>
      <c r="BA42" s="5">
        <f>IF(AV42,1+SUMPRODUCT(--(calc!$AV$3:$AV$306=TRUE),--(calc!$AW$3:$AW$306&gt;AW42))+(SUMPRODUCT(--(calc!$AV$3:$AV$306=TRUE),--(calc!$AW$3:$AW$306=AW42))-1)/2,"")</f>
        <v/>
      </c>
      <c r="BB42" s="5">
        <f>IF(AV42,1+SUMPRODUCT(--(calc!$AV$3:$AV$306=TRUE),--(calc!$AX$3:$AX$306&gt;AX42))+(SUMPRODUCT(--(calc!$AV$3:$AV$306=TRUE),--(calc!$AX$3:$AX$306=AX42))-1)/2,"")</f>
        <v/>
      </c>
      <c r="BC42" s="5">
        <f>IF(AV42,SUMPRODUCT(--(calc!$AV$3:$AV$306=TRUE),--(ROW(calc!$AV$3:$AV$306)&gt;ROW(AV42)),--(((calc!$BA$3:$BA$306&gt;BA42)*(calc!$BB$3:$BB$306&gt;BB42)+(calc!$BA$3:$BA$306&lt;BA42)*(calc!$BB$3:$BB$306&lt;BB42))&gt;0))-SUMPRODUCT(--(calc!$AV$3:$AV$306=TRUE),--(ROW(calc!$AV$3:$AV$306)&gt;ROW(AV42)),--(((calc!$BA$3:$BA$306&gt;BA42)*(calc!$BB$3:$BB$306&lt;BB42)+(calc!$BA$3:$BA$306&lt;BA42)*(calc!$BB$3:$BB$306&gt;BB42))&gt;0)),0)</f>
        <v/>
      </c>
      <c r="BD42" s="5">
        <f>IF(mos_metrics!L41="","",mos_metrics!L41)</f>
        <v/>
      </c>
      <c r="BE42" s="2">
        <f>AND($J42,ISNUMBER(BD42),correlation!$I$31=1)</f>
        <v/>
      </c>
      <c r="BF42" s="5">
        <f>IF(BE42,$F42,"")</f>
        <v/>
      </c>
      <c r="BG42" s="5">
        <f>IF(BE42,BD42*correlation!$J$31,"")</f>
        <v/>
      </c>
      <c r="BH42" s="5">
        <f>IF(AND(BE42,ISNUMBER(correlation!$F$31)),BG42*correlation!$F$31+correlation!$G$31,"")</f>
        <v/>
      </c>
      <c r="BI42" s="5">
        <f>IF(AND(BE42,ISNUMBER(BH42)),(BF42-BH42)^2,"")</f>
        <v/>
      </c>
      <c r="BJ42" s="5">
        <f>IF(BE42,1+SUMPRODUCT(--(calc!$BE$3:$BE$306=TRUE),--(calc!$BF$3:$BF$306&gt;BF42))+(SUMPRODUCT(--(calc!$BE$3:$BE$306=TRUE),--(calc!$BF$3:$BF$306=BF42))-1)/2,"")</f>
        <v/>
      </c>
      <c r="BK42" s="5">
        <f>IF(BE42,1+SUMPRODUCT(--(calc!$BE$3:$BE$306=TRUE),--(calc!$BG$3:$BG$306&gt;BG42))+(SUMPRODUCT(--(calc!$BE$3:$BE$306=TRUE),--(calc!$BG$3:$BG$306=BG42))-1)/2,"")</f>
        <v/>
      </c>
      <c r="BL42" s="5">
        <f>IF(BE42,SUMPRODUCT(--(calc!$BE$3:$BE$306=TRUE),--(ROW(calc!$BE$3:$BE$306)&gt;ROW(BE42)),--(((calc!$BJ$3:$BJ$306&gt;BJ42)*(calc!$BK$3:$BK$306&gt;BK42)+(calc!$BJ$3:$BJ$306&lt;BJ42)*(calc!$BK$3:$BK$306&lt;BK42))&gt;0))-SUMPRODUCT(--(calc!$BE$3:$BE$306=TRUE),--(ROW(calc!$BE$3:$BE$306)&gt;ROW(BE42)),--(((calc!$BJ$3:$BJ$306&gt;BJ42)*(calc!$BK$3:$BK$306&lt;BK42)+(calc!$BJ$3:$BJ$306&lt;BJ42)*(calc!$BK$3:$BK$306&gt;BK42))&gt;0)),0)</f>
        <v/>
      </c>
      <c r="BM42" s="5">
        <f>IF(mos_metrics!M41="","",mos_metrics!M41)</f>
        <v/>
      </c>
      <c r="BN42" s="2">
        <f>AND($J42,ISNUMBER(BM42),correlation!$I$32=1)</f>
        <v/>
      </c>
      <c r="BO42" s="5">
        <f>IF(BN42,$F42,"")</f>
        <v/>
      </c>
      <c r="BP42" s="5">
        <f>IF(BN42,BM42*correlation!$J$32,"")</f>
        <v/>
      </c>
      <c r="BQ42" s="5">
        <f>IF(AND(BN42,ISNUMBER(correlation!$F$32)),BP42*correlation!$F$32+correlation!$G$32,"")</f>
        <v/>
      </c>
      <c r="BR42" s="5">
        <f>IF(AND(BN42,ISNUMBER(BQ42)),(BO42-BQ42)^2,"")</f>
        <v/>
      </c>
      <c r="BS42" s="5">
        <f>IF(BN42,1+SUMPRODUCT(--(calc!$BN$3:$BN$306=TRUE),--(calc!$BO$3:$BO$306&gt;BO42))+(SUMPRODUCT(--(calc!$BN$3:$BN$306=TRUE),--(calc!$BO$3:$BO$306=BO42))-1)/2,"")</f>
        <v/>
      </c>
      <c r="BT42" s="5">
        <f>IF(BN42,1+SUMPRODUCT(--(calc!$BN$3:$BN$306=TRUE),--(calc!$BP$3:$BP$306&gt;BP42))+(SUMPRODUCT(--(calc!$BN$3:$BN$306=TRUE),--(calc!$BP$3:$BP$306=BP42))-1)/2,"")</f>
        <v/>
      </c>
      <c r="BU42" s="5">
        <f>IF(BN42,SUMPRODUCT(--(calc!$BN$3:$BN$306=TRUE),--(ROW(calc!$BN$3:$BN$306)&gt;ROW(BN42)),--(((calc!$BS$3:$BS$306&gt;BS42)*(calc!$BT$3:$BT$306&gt;BT42)+(calc!$BS$3:$BS$306&lt;BS42)*(calc!$BT$3:$BT$306&lt;BT42))&gt;0))-SUMPRODUCT(--(calc!$BN$3:$BN$306=TRUE),--(ROW(calc!$BN$3:$BN$306)&gt;ROW(BN42)),--(((calc!$BS$3:$BS$306&gt;BS42)*(calc!$BT$3:$BT$306&lt;BT42)+(calc!$BS$3:$BS$306&lt;BS42)*(calc!$BT$3:$BT$306&gt;BT42))&gt;0)),0)</f>
        <v/>
      </c>
    </row>
    <row r="43">
      <c r="A43" s="2">
        <f>mos_metrics!A42</f>
        <v/>
      </c>
      <c r="B43" s="2">
        <f>mos_metrics!B42</f>
        <v/>
      </c>
      <c r="C43" s="2">
        <f>mos_metrics!C42</f>
        <v/>
      </c>
      <c r="D43" s="2">
        <f>mos_metrics!D42</f>
        <v/>
      </c>
      <c r="E43" s="2">
        <f>mos_metrics!E42</f>
        <v/>
      </c>
      <c r="F43" s="2">
        <f>mos_metrics!F42</f>
        <v/>
      </c>
      <c r="G43" s="2">
        <f>IF($B43="","",IFERROR(VLOOKUP($B43,correlation!$A$2:$B$16,2,FALSE),1))</f>
        <v/>
      </c>
      <c r="H43" s="2">
        <f>IF($E43="","",IFERROR(VLOOKUP($E43,correlation!$D$2:$E$8,2,FALSE),1))</f>
        <v/>
      </c>
      <c r="I43" s="2">
        <f>ISNUMBER($F43)</f>
        <v/>
      </c>
      <c r="J43" s="2">
        <f>AND($G43=1,$H43=1,$I43)</f>
        <v/>
      </c>
      <c r="K43" s="5">
        <f>IF(mos_metrics!G42="","",mos_metrics!G42)</f>
        <v/>
      </c>
      <c r="L43" s="2">
        <f>AND($J43,ISNUMBER(K43),correlation!$I$26=1)</f>
        <v/>
      </c>
      <c r="M43" s="5">
        <f>IF(L43,$F43,"")</f>
        <v/>
      </c>
      <c r="N43" s="5">
        <f>IF(L43,K43*correlation!$J$26,"")</f>
        <v/>
      </c>
      <c r="O43" s="5">
        <f>IF(AND(L43,ISNUMBER(correlation!$F$26)),N43*correlation!$F$26+correlation!$G$26,"")</f>
        <v/>
      </c>
      <c r="P43" s="5">
        <f>IF(AND(L43,ISNUMBER(O43)),(M43-O43)^2,"")</f>
        <v/>
      </c>
      <c r="Q43" s="5">
        <f>IF(L43,1+SUMPRODUCT(--(calc!$L$3:$L$306=TRUE),--(calc!$M$3:$M$306&gt;M43))+(SUMPRODUCT(--(calc!$L$3:$L$306=TRUE),--(calc!$M$3:$M$306=M43))-1)/2,"")</f>
        <v/>
      </c>
      <c r="R43" s="5">
        <f>IF(L43,1+SUMPRODUCT(--(calc!$L$3:$L$306=TRUE),--(calc!$N$3:$N$306&gt;N43))+(SUMPRODUCT(--(calc!$L$3:$L$306=TRUE),--(calc!$N$3:$N$306=N43))-1)/2,"")</f>
        <v/>
      </c>
      <c r="S43" s="5">
        <f>IF(L43,SUMPRODUCT(--(calc!$L$3:$L$306=TRUE),--(ROW(calc!$L$3:$L$306)&gt;ROW(L43)),--(((calc!$Q$3:$Q$306&gt;Q43)*(calc!$R$3:$R$306&gt;R43)+(calc!$Q$3:$Q$306&lt;Q43)*(calc!$R$3:$R$306&lt;R43))&gt;0))-SUMPRODUCT(--(calc!$L$3:$L$306=TRUE),--(ROW(calc!$L$3:$L$306)&gt;ROW(L43)),--(((calc!$Q$3:$Q$306&gt;Q43)*(calc!$R$3:$R$306&lt;R43)+(calc!$Q$3:$Q$306&lt;Q43)*(calc!$R$3:$R$306&gt;R43))&gt;0)),0)</f>
        <v/>
      </c>
      <c r="T43" s="5">
        <f>IF(mos_metrics!H42="","",mos_metrics!H42)</f>
        <v/>
      </c>
      <c r="U43" s="2">
        <f>AND($J43,ISNUMBER(T43),correlation!$I$27=1)</f>
        <v/>
      </c>
      <c r="V43" s="5">
        <f>IF(U43,$F43,"")</f>
        <v/>
      </c>
      <c r="W43" s="5">
        <f>IF(U43,T43*correlation!$J$27,"")</f>
        <v/>
      </c>
      <c r="X43" s="5">
        <f>IF(AND(U43,ISNUMBER(correlation!$F$27)),W43*correlation!$F$27+correlation!$G$27,"")</f>
        <v/>
      </c>
      <c r="Y43" s="5">
        <f>IF(AND(U43,ISNUMBER(X43)),(V43-X43)^2,"")</f>
        <v/>
      </c>
      <c r="Z43" s="5">
        <f>IF(U43,1+SUMPRODUCT(--(calc!$U$3:$U$306=TRUE),--(calc!$V$3:$V$306&gt;V43))+(SUMPRODUCT(--(calc!$U$3:$U$306=TRUE),--(calc!$V$3:$V$306=V43))-1)/2,"")</f>
        <v/>
      </c>
      <c r="AA43" s="5">
        <f>IF(U43,1+SUMPRODUCT(--(calc!$U$3:$U$306=TRUE),--(calc!$W$3:$W$306&gt;W43))+(SUMPRODUCT(--(calc!$U$3:$U$306=TRUE),--(calc!$W$3:$W$306=W43))-1)/2,"")</f>
        <v/>
      </c>
      <c r="AB43" s="5">
        <f>IF(U43,SUMPRODUCT(--(calc!$U$3:$U$306=TRUE),--(ROW(calc!$U$3:$U$306)&gt;ROW(U43)),--(((calc!$Z$3:$Z$306&gt;Z43)*(calc!$AA$3:$AA$306&gt;AA43)+(calc!$Z$3:$Z$306&lt;Z43)*(calc!$AA$3:$AA$306&lt;AA43))&gt;0))-SUMPRODUCT(--(calc!$U$3:$U$306=TRUE),--(ROW(calc!$U$3:$U$306)&gt;ROW(U43)),--(((calc!$Z$3:$Z$306&gt;Z43)*(calc!$AA$3:$AA$306&lt;AA43)+(calc!$Z$3:$Z$306&lt;Z43)*(calc!$AA$3:$AA$306&gt;AA43))&gt;0)),0)</f>
        <v/>
      </c>
      <c r="AC43" s="5">
        <f>IF(mos_metrics!I42="","",mos_metrics!I42)</f>
        <v/>
      </c>
      <c r="AD43" s="2">
        <f>AND($J43,ISNUMBER(AC43),correlation!$I$28=1)</f>
        <v/>
      </c>
      <c r="AE43" s="5">
        <f>IF(AD43,$F43,"")</f>
        <v/>
      </c>
      <c r="AF43" s="5">
        <f>IF(AD43,AC43*correlation!$J$28,"")</f>
        <v/>
      </c>
      <c r="AG43" s="5">
        <f>IF(AND(AD43,ISNUMBER(correlation!$F$28)),AF43*correlation!$F$28+correlation!$G$28,"")</f>
        <v/>
      </c>
      <c r="AH43" s="5">
        <f>IF(AND(AD43,ISNUMBER(AG43)),(AE43-AG43)^2,"")</f>
        <v/>
      </c>
      <c r="AI43" s="5">
        <f>IF(AD43,1+SUMPRODUCT(--(calc!$AD$3:$AD$306=TRUE),--(calc!$AE$3:$AE$306&gt;AE43))+(SUMPRODUCT(--(calc!$AD$3:$AD$306=TRUE),--(calc!$AE$3:$AE$306=AE43))-1)/2,"")</f>
        <v/>
      </c>
      <c r="AJ43" s="5">
        <f>IF(AD43,1+SUMPRODUCT(--(calc!$AD$3:$AD$306=TRUE),--(calc!$AF$3:$AF$306&gt;AF43))+(SUMPRODUCT(--(calc!$AD$3:$AD$306=TRUE),--(calc!$AF$3:$AF$306=AF43))-1)/2,"")</f>
        <v/>
      </c>
      <c r="AK43" s="5">
        <f>IF(AD43,SUMPRODUCT(--(calc!$AD$3:$AD$306=TRUE),--(ROW(calc!$AD$3:$AD$306)&gt;ROW(AD43)),--(((calc!$AI$3:$AI$306&gt;AI43)*(calc!$AJ$3:$AJ$306&gt;AJ43)+(calc!$AI$3:$AI$306&lt;AI43)*(calc!$AJ$3:$AJ$306&lt;AJ43))&gt;0))-SUMPRODUCT(--(calc!$AD$3:$AD$306=TRUE),--(ROW(calc!$AD$3:$AD$306)&gt;ROW(AD43)),--(((calc!$AI$3:$AI$306&gt;AI43)*(calc!$AJ$3:$AJ$306&lt;AJ43)+(calc!$AI$3:$AI$306&lt;AI43)*(calc!$AJ$3:$AJ$306&gt;AJ43))&gt;0)),0)</f>
        <v/>
      </c>
      <c r="AL43" s="5">
        <f>IF(mos_metrics!J42="","",mos_metrics!J42)</f>
        <v/>
      </c>
      <c r="AM43" s="2">
        <f>AND($J43,ISNUMBER(AL43),correlation!$I$29=1)</f>
        <v/>
      </c>
      <c r="AN43" s="5">
        <f>IF(AM43,$F43,"")</f>
        <v/>
      </c>
      <c r="AO43" s="5">
        <f>IF(AM43,AL43*correlation!$J$29,"")</f>
        <v/>
      </c>
      <c r="AP43" s="5">
        <f>IF(AND(AM43,ISNUMBER(correlation!$F$29)),AO43*correlation!$F$29+correlation!$G$29,"")</f>
        <v/>
      </c>
      <c r="AQ43" s="5">
        <f>IF(AND(AM43,ISNUMBER(AP43)),(AN43-AP43)^2,"")</f>
        <v/>
      </c>
      <c r="AR43" s="5">
        <f>IF(AM43,1+SUMPRODUCT(--(calc!$AM$3:$AM$306=TRUE),--(calc!$AN$3:$AN$306&gt;AN43))+(SUMPRODUCT(--(calc!$AM$3:$AM$306=TRUE),--(calc!$AN$3:$AN$306=AN43))-1)/2,"")</f>
        <v/>
      </c>
      <c r="AS43" s="5">
        <f>IF(AM43,1+SUMPRODUCT(--(calc!$AM$3:$AM$306=TRUE),--(calc!$AO$3:$AO$306&gt;AO43))+(SUMPRODUCT(--(calc!$AM$3:$AM$306=TRUE),--(calc!$AO$3:$AO$306=AO43))-1)/2,"")</f>
        <v/>
      </c>
      <c r="AT43" s="5">
        <f>IF(AM43,SUMPRODUCT(--(calc!$AM$3:$AM$306=TRUE),--(ROW(calc!$AM$3:$AM$306)&gt;ROW(AM43)),--(((calc!$AR$3:$AR$306&gt;AR43)*(calc!$AS$3:$AS$306&gt;AS43)+(calc!$AR$3:$AR$306&lt;AR43)*(calc!$AS$3:$AS$306&lt;AS43))&gt;0))-SUMPRODUCT(--(calc!$AM$3:$AM$306=TRUE),--(ROW(calc!$AM$3:$AM$306)&gt;ROW(AM43)),--(((calc!$AR$3:$AR$306&gt;AR43)*(calc!$AS$3:$AS$306&lt;AS43)+(calc!$AR$3:$AR$306&lt;AR43)*(calc!$AS$3:$AS$306&gt;AS43))&gt;0)),0)</f>
        <v/>
      </c>
      <c r="AU43" s="5">
        <f>IF(mos_metrics!K42="","",mos_metrics!K42)</f>
        <v/>
      </c>
      <c r="AV43" s="2">
        <f>AND($J43,ISNUMBER(AU43),correlation!$I$30=1)</f>
        <v/>
      </c>
      <c r="AW43" s="5">
        <f>IF(AV43,$F43,"")</f>
        <v/>
      </c>
      <c r="AX43" s="5">
        <f>IF(AV43,AU43*correlation!$J$30,"")</f>
        <v/>
      </c>
      <c r="AY43" s="5">
        <f>IF(AND(AV43,ISNUMBER(correlation!$F$30)),AX43*correlation!$F$30+correlation!$G$30,"")</f>
        <v/>
      </c>
      <c r="AZ43" s="5">
        <f>IF(AND(AV43,ISNUMBER(AY43)),(AW43-AY43)^2,"")</f>
        <v/>
      </c>
      <c r="BA43" s="5">
        <f>IF(AV43,1+SUMPRODUCT(--(calc!$AV$3:$AV$306=TRUE),--(calc!$AW$3:$AW$306&gt;AW43))+(SUMPRODUCT(--(calc!$AV$3:$AV$306=TRUE),--(calc!$AW$3:$AW$306=AW43))-1)/2,"")</f>
        <v/>
      </c>
      <c r="BB43" s="5">
        <f>IF(AV43,1+SUMPRODUCT(--(calc!$AV$3:$AV$306=TRUE),--(calc!$AX$3:$AX$306&gt;AX43))+(SUMPRODUCT(--(calc!$AV$3:$AV$306=TRUE),--(calc!$AX$3:$AX$306=AX43))-1)/2,"")</f>
        <v/>
      </c>
      <c r="BC43" s="5">
        <f>IF(AV43,SUMPRODUCT(--(calc!$AV$3:$AV$306=TRUE),--(ROW(calc!$AV$3:$AV$306)&gt;ROW(AV43)),--(((calc!$BA$3:$BA$306&gt;BA43)*(calc!$BB$3:$BB$306&gt;BB43)+(calc!$BA$3:$BA$306&lt;BA43)*(calc!$BB$3:$BB$306&lt;BB43))&gt;0))-SUMPRODUCT(--(calc!$AV$3:$AV$306=TRUE),--(ROW(calc!$AV$3:$AV$306)&gt;ROW(AV43)),--(((calc!$BA$3:$BA$306&gt;BA43)*(calc!$BB$3:$BB$306&lt;BB43)+(calc!$BA$3:$BA$306&lt;BA43)*(calc!$BB$3:$BB$306&gt;BB43))&gt;0)),0)</f>
        <v/>
      </c>
      <c r="BD43" s="5">
        <f>IF(mos_metrics!L42="","",mos_metrics!L42)</f>
        <v/>
      </c>
      <c r="BE43" s="2">
        <f>AND($J43,ISNUMBER(BD43),correlation!$I$31=1)</f>
        <v/>
      </c>
      <c r="BF43" s="5">
        <f>IF(BE43,$F43,"")</f>
        <v/>
      </c>
      <c r="BG43" s="5">
        <f>IF(BE43,BD43*correlation!$J$31,"")</f>
        <v/>
      </c>
      <c r="BH43" s="5">
        <f>IF(AND(BE43,ISNUMBER(correlation!$F$31)),BG43*correlation!$F$31+correlation!$G$31,"")</f>
        <v/>
      </c>
      <c r="BI43" s="5">
        <f>IF(AND(BE43,ISNUMBER(BH43)),(BF43-BH43)^2,"")</f>
        <v/>
      </c>
      <c r="BJ43" s="5">
        <f>IF(BE43,1+SUMPRODUCT(--(calc!$BE$3:$BE$306=TRUE),--(calc!$BF$3:$BF$306&gt;BF43))+(SUMPRODUCT(--(calc!$BE$3:$BE$306=TRUE),--(calc!$BF$3:$BF$306=BF43))-1)/2,"")</f>
        <v/>
      </c>
      <c r="BK43" s="5">
        <f>IF(BE43,1+SUMPRODUCT(--(calc!$BE$3:$BE$306=TRUE),--(calc!$BG$3:$BG$306&gt;BG43))+(SUMPRODUCT(--(calc!$BE$3:$BE$306=TRUE),--(calc!$BG$3:$BG$306=BG43))-1)/2,"")</f>
        <v/>
      </c>
      <c r="BL43" s="5">
        <f>IF(BE43,SUMPRODUCT(--(calc!$BE$3:$BE$306=TRUE),--(ROW(calc!$BE$3:$BE$306)&gt;ROW(BE43)),--(((calc!$BJ$3:$BJ$306&gt;BJ43)*(calc!$BK$3:$BK$306&gt;BK43)+(calc!$BJ$3:$BJ$306&lt;BJ43)*(calc!$BK$3:$BK$306&lt;BK43))&gt;0))-SUMPRODUCT(--(calc!$BE$3:$BE$306=TRUE),--(ROW(calc!$BE$3:$BE$306)&gt;ROW(BE43)),--(((calc!$BJ$3:$BJ$306&gt;BJ43)*(calc!$BK$3:$BK$306&lt;BK43)+(calc!$BJ$3:$BJ$306&lt;BJ43)*(calc!$BK$3:$BK$306&gt;BK43))&gt;0)),0)</f>
        <v/>
      </c>
      <c r="BM43" s="5">
        <f>IF(mos_metrics!M42="","",mos_metrics!M42)</f>
        <v/>
      </c>
      <c r="BN43" s="2">
        <f>AND($J43,ISNUMBER(BM43),correlation!$I$32=1)</f>
        <v/>
      </c>
      <c r="BO43" s="5">
        <f>IF(BN43,$F43,"")</f>
        <v/>
      </c>
      <c r="BP43" s="5">
        <f>IF(BN43,BM43*correlation!$J$32,"")</f>
        <v/>
      </c>
      <c r="BQ43" s="5">
        <f>IF(AND(BN43,ISNUMBER(correlation!$F$32)),BP43*correlation!$F$32+correlation!$G$32,"")</f>
        <v/>
      </c>
      <c r="BR43" s="5">
        <f>IF(AND(BN43,ISNUMBER(BQ43)),(BO43-BQ43)^2,"")</f>
        <v/>
      </c>
      <c r="BS43" s="5">
        <f>IF(BN43,1+SUMPRODUCT(--(calc!$BN$3:$BN$306=TRUE),--(calc!$BO$3:$BO$306&gt;BO43))+(SUMPRODUCT(--(calc!$BN$3:$BN$306=TRUE),--(calc!$BO$3:$BO$306=BO43))-1)/2,"")</f>
        <v/>
      </c>
      <c r="BT43" s="5">
        <f>IF(BN43,1+SUMPRODUCT(--(calc!$BN$3:$BN$306=TRUE),--(calc!$BP$3:$BP$306&gt;BP43))+(SUMPRODUCT(--(calc!$BN$3:$BN$306=TRUE),--(calc!$BP$3:$BP$306=BP43))-1)/2,"")</f>
        <v/>
      </c>
      <c r="BU43" s="5">
        <f>IF(BN43,SUMPRODUCT(--(calc!$BN$3:$BN$306=TRUE),--(ROW(calc!$BN$3:$BN$306)&gt;ROW(BN43)),--(((calc!$BS$3:$BS$306&gt;BS43)*(calc!$BT$3:$BT$306&gt;BT43)+(calc!$BS$3:$BS$306&lt;BS43)*(calc!$BT$3:$BT$306&lt;BT43))&gt;0))-SUMPRODUCT(--(calc!$BN$3:$BN$306=TRUE),--(ROW(calc!$BN$3:$BN$306)&gt;ROW(BN43)),--(((calc!$BS$3:$BS$306&gt;BS43)*(calc!$BT$3:$BT$306&lt;BT43)+(calc!$BS$3:$BS$306&lt;BS43)*(calc!$BT$3:$BT$306&gt;BT43))&gt;0)),0)</f>
        <v/>
      </c>
    </row>
    <row r="44">
      <c r="A44" s="2">
        <f>mos_metrics!A43</f>
        <v/>
      </c>
      <c r="B44" s="2">
        <f>mos_metrics!B43</f>
        <v/>
      </c>
      <c r="C44" s="2">
        <f>mos_metrics!C43</f>
        <v/>
      </c>
      <c r="D44" s="2">
        <f>mos_metrics!D43</f>
        <v/>
      </c>
      <c r="E44" s="2">
        <f>mos_metrics!E43</f>
        <v/>
      </c>
      <c r="F44" s="2">
        <f>mos_metrics!F43</f>
        <v/>
      </c>
      <c r="G44" s="2">
        <f>IF($B44="","",IFERROR(VLOOKUP($B44,correlation!$A$2:$B$16,2,FALSE),1))</f>
        <v/>
      </c>
      <c r="H44" s="2">
        <f>IF($E44="","",IFERROR(VLOOKUP($E44,correlation!$D$2:$E$8,2,FALSE),1))</f>
        <v/>
      </c>
      <c r="I44" s="2">
        <f>ISNUMBER($F44)</f>
        <v/>
      </c>
      <c r="J44" s="2">
        <f>AND($G44=1,$H44=1,$I44)</f>
        <v/>
      </c>
      <c r="K44" s="5">
        <f>IF(mos_metrics!G43="","",mos_metrics!G43)</f>
        <v/>
      </c>
      <c r="L44" s="2">
        <f>AND($J44,ISNUMBER(K44),correlation!$I$26=1)</f>
        <v/>
      </c>
      <c r="M44" s="5">
        <f>IF(L44,$F44,"")</f>
        <v/>
      </c>
      <c r="N44" s="5">
        <f>IF(L44,K44*correlation!$J$26,"")</f>
        <v/>
      </c>
      <c r="O44" s="5">
        <f>IF(AND(L44,ISNUMBER(correlation!$F$26)),N44*correlation!$F$26+correlation!$G$26,"")</f>
        <v/>
      </c>
      <c r="P44" s="5">
        <f>IF(AND(L44,ISNUMBER(O44)),(M44-O44)^2,"")</f>
        <v/>
      </c>
      <c r="Q44" s="5">
        <f>IF(L44,1+SUMPRODUCT(--(calc!$L$3:$L$306=TRUE),--(calc!$M$3:$M$306&gt;M44))+(SUMPRODUCT(--(calc!$L$3:$L$306=TRUE),--(calc!$M$3:$M$306=M44))-1)/2,"")</f>
        <v/>
      </c>
      <c r="R44" s="5">
        <f>IF(L44,1+SUMPRODUCT(--(calc!$L$3:$L$306=TRUE),--(calc!$N$3:$N$306&gt;N44))+(SUMPRODUCT(--(calc!$L$3:$L$306=TRUE),--(calc!$N$3:$N$306=N44))-1)/2,"")</f>
        <v/>
      </c>
      <c r="S44" s="5">
        <f>IF(L44,SUMPRODUCT(--(calc!$L$3:$L$306=TRUE),--(ROW(calc!$L$3:$L$306)&gt;ROW(L44)),--(((calc!$Q$3:$Q$306&gt;Q44)*(calc!$R$3:$R$306&gt;R44)+(calc!$Q$3:$Q$306&lt;Q44)*(calc!$R$3:$R$306&lt;R44))&gt;0))-SUMPRODUCT(--(calc!$L$3:$L$306=TRUE),--(ROW(calc!$L$3:$L$306)&gt;ROW(L44)),--(((calc!$Q$3:$Q$306&gt;Q44)*(calc!$R$3:$R$306&lt;R44)+(calc!$Q$3:$Q$306&lt;Q44)*(calc!$R$3:$R$306&gt;R44))&gt;0)),0)</f>
        <v/>
      </c>
      <c r="T44" s="5">
        <f>IF(mos_metrics!H43="","",mos_metrics!H43)</f>
        <v/>
      </c>
      <c r="U44" s="2">
        <f>AND($J44,ISNUMBER(T44),correlation!$I$27=1)</f>
        <v/>
      </c>
      <c r="V44" s="5">
        <f>IF(U44,$F44,"")</f>
        <v/>
      </c>
      <c r="W44" s="5">
        <f>IF(U44,T44*correlation!$J$27,"")</f>
        <v/>
      </c>
      <c r="X44" s="5">
        <f>IF(AND(U44,ISNUMBER(correlation!$F$27)),W44*correlation!$F$27+correlation!$G$27,"")</f>
        <v/>
      </c>
      <c r="Y44" s="5">
        <f>IF(AND(U44,ISNUMBER(X44)),(V44-X44)^2,"")</f>
        <v/>
      </c>
      <c r="Z44" s="5">
        <f>IF(U44,1+SUMPRODUCT(--(calc!$U$3:$U$306=TRUE),--(calc!$V$3:$V$306&gt;V44))+(SUMPRODUCT(--(calc!$U$3:$U$306=TRUE),--(calc!$V$3:$V$306=V44))-1)/2,"")</f>
        <v/>
      </c>
      <c r="AA44" s="5">
        <f>IF(U44,1+SUMPRODUCT(--(calc!$U$3:$U$306=TRUE),--(calc!$W$3:$W$306&gt;W44))+(SUMPRODUCT(--(calc!$U$3:$U$306=TRUE),--(calc!$W$3:$W$306=W44))-1)/2,"")</f>
        <v/>
      </c>
      <c r="AB44" s="5">
        <f>IF(U44,SUMPRODUCT(--(calc!$U$3:$U$306=TRUE),--(ROW(calc!$U$3:$U$306)&gt;ROW(U44)),--(((calc!$Z$3:$Z$306&gt;Z44)*(calc!$AA$3:$AA$306&gt;AA44)+(calc!$Z$3:$Z$306&lt;Z44)*(calc!$AA$3:$AA$306&lt;AA44))&gt;0))-SUMPRODUCT(--(calc!$U$3:$U$306=TRUE),--(ROW(calc!$U$3:$U$306)&gt;ROW(U44)),--(((calc!$Z$3:$Z$306&gt;Z44)*(calc!$AA$3:$AA$306&lt;AA44)+(calc!$Z$3:$Z$306&lt;Z44)*(calc!$AA$3:$AA$306&gt;AA44))&gt;0)),0)</f>
        <v/>
      </c>
      <c r="AC44" s="5">
        <f>IF(mos_metrics!I43="","",mos_metrics!I43)</f>
        <v/>
      </c>
      <c r="AD44" s="2">
        <f>AND($J44,ISNUMBER(AC44),correlation!$I$28=1)</f>
        <v/>
      </c>
      <c r="AE44" s="5">
        <f>IF(AD44,$F44,"")</f>
        <v/>
      </c>
      <c r="AF44" s="5">
        <f>IF(AD44,AC44*correlation!$J$28,"")</f>
        <v/>
      </c>
      <c r="AG44" s="5">
        <f>IF(AND(AD44,ISNUMBER(correlation!$F$28)),AF44*correlation!$F$28+correlation!$G$28,"")</f>
        <v/>
      </c>
      <c r="AH44" s="5">
        <f>IF(AND(AD44,ISNUMBER(AG44)),(AE44-AG44)^2,"")</f>
        <v/>
      </c>
      <c r="AI44" s="5">
        <f>IF(AD44,1+SUMPRODUCT(--(calc!$AD$3:$AD$306=TRUE),--(calc!$AE$3:$AE$306&gt;AE44))+(SUMPRODUCT(--(calc!$AD$3:$AD$306=TRUE),--(calc!$AE$3:$AE$306=AE44))-1)/2,"")</f>
        <v/>
      </c>
      <c r="AJ44" s="5">
        <f>IF(AD44,1+SUMPRODUCT(--(calc!$AD$3:$AD$306=TRUE),--(calc!$AF$3:$AF$306&gt;AF44))+(SUMPRODUCT(--(calc!$AD$3:$AD$306=TRUE),--(calc!$AF$3:$AF$306=AF44))-1)/2,"")</f>
        <v/>
      </c>
      <c r="AK44" s="5">
        <f>IF(AD44,SUMPRODUCT(--(calc!$AD$3:$AD$306=TRUE),--(ROW(calc!$AD$3:$AD$306)&gt;ROW(AD44)),--(((calc!$AI$3:$AI$306&gt;AI44)*(calc!$AJ$3:$AJ$306&gt;AJ44)+(calc!$AI$3:$AI$306&lt;AI44)*(calc!$AJ$3:$AJ$306&lt;AJ44))&gt;0))-SUMPRODUCT(--(calc!$AD$3:$AD$306=TRUE),--(ROW(calc!$AD$3:$AD$306)&gt;ROW(AD44)),--(((calc!$AI$3:$AI$306&gt;AI44)*(calc!$AJ$3:$AJ$306&lt;AJ44)+(calc!$AI$3:$AI$306&lt;AI44)*(calc!$AJ$3:$AJ$306&gt;AJ44))&gt;0)),0)</f>
        <v/>
      </c>
      <c r="AL44" s="5">
        <f>IF(mos_metrics!J43="","",mos_metrics!J43)</f>
        <v/>
      </c>
      <c r="AM44" s="2">
        <f>AND($J44,ISNUMBER(AL44),correlation!$I$29=1)</f>
        <v/>
      </c>
      <c r="AN44" s="5">
        <f>IF(AM44,$F44,"")</f>
        <v/>
      </c>
      <c r="AO44" s="5">
        <f>IF(AM44,AL44*correlation!$J$29,"")</f>
        <v/>
      </c>
      <c r="AP44" s="5">
        <f>IF(AND(AM44,ISNUMBER(correlation!$F$29)),AO44*correlation!$F$29+correlation!$G$29,"")</f>
        <v/>
      </c>
      <c r="AQ44" s="5">
        <f>IF(AND(AM44,ISNUMBER(AP44)),(AN44-AP44)^2,"")</f>
        <v/>
      </c>
      <c r="AR44" s="5">
        <f>IF(AM44,1+SUMPRODUCT(--(calc!$AM$3:$AM$306=TRUE),--(calc!$AN$3:$AN$306&gt;AN44))+(SUMPRODUCT(--(calc!$AM$3:$AM$306=TRUE),--(calc!$AN$3:$AN$306=AN44))-1)/2,"")</f>
        <v/>
      </c>
      <c r="AS44" s="5">
        <f>IF(AM44,1+SUMPRODUCT(--(calc!$AM$3:$AM$306=TRUE),--(calc!$AO$3:$AO$306&gt;AO44))+(SUMPRODUCT(--(calc!$AM$3:$AM$306=TRUE),--(calc!$AO$3:$AO$306=AO44))-1)/2,"")</f>
        <v/>
      </c>
      <c r="AT44" s="5">
        <f>IF(AM44,SUMPRODUCT(--(calc!$AM$3:$AM$306=TRUE),--(ROW(calc!$AM$3:$AM$306)&gt;ROW(AM44)),--(((calc!$AR$3:$AR$306&gt;AR44)*(calc!$AS$3:$AS$306&gt;AS44)+(calc!$AR$3:$AR$306&lt;AR44)*(calc!$AS$3:$AS$306&lt;AS44))&gt;0))-SUMPRODUCT(--(calc!$AM$3:$AM$306=TRUE),--(ROW(calc!$AM$3:$AM$306)&gt;ROW(AM44)),--(((calc!$AR$3:$AR$306&gt;AR44)*(calc!$AS$3:$AS$306&lt;AS44)+(calc!$AR$3:$AR$306&lt;AR44)*(calc!$AS$3:$AS$306&gt;AS44))&gt;0)),0)</f>
        <v/>
      </c>
      <c r="AU44" s="5">
        <f>IF(mos_metrics!K43="","",mos_metrics!K43)</f>
        <v/>
      </c>
      <c r="AV44" s="2">
        <f>AND($J44,ISNUMBER(AU44),correlation!$I$30=1)</f>
        <v/>
      </c>
      <c r="AW44" s="5">
        <f>IF(AV44,$F44,"")</f>
        <v/>
      </c>
      <c r="AX44" s="5">
        <f>IF(AV44,AU44*correlation!$J$30,"")</f>
        <v/>
      </c>
      <c r="AY44" s="5">
        <f>IF(AND(AV44,ISNUMBER(correlation!$F$30)),AX44*correlation!$F$30+correlation!$G$30,"")</f>
        <v/>
      </c>
      <c r="AZ44" s="5">
        <f>IF(AND(AV44,ISNUMBER(AY44)),(AW44-AY44)^2,"")</f>
        <v/>
      </c>
      <c r="BA44" s="5">
        <f>IF(AV44,1+SUMPRODUCT(--(calc!$AV$3:$AV$306=TRUE),--(calc!$AW$3:$AW$306&gt;AW44))+(SUMPRODUCT(--(calc!$AV$3:$AV$306=TRUE),--(calc!$AW$3:$AW$306=AW44))-1)/2,"")</f>
        <v/>
      </c>
      <c r="BB44" s="5">
        <f>IF(AV44,1+SUMPRODUCT(--(calc!$AV$3:$AV$306=TRUE),--(calc!$AX$3:$AX$306&gt;AX44))+(SUMPRODUCT(--(calc!$AV$3:$AV$306=TRUE),--(calc!$AX$3:$AX$306=AX44))-1)/2,"")</f>
        <v/>
      </c>
      <c r="BC44" s="5">
        <f>IF(AV44,SUMPRODUCT(--(calc!$AV$3:$AV$306=TRUE),--(ROW(calc!$AV$3:$AV$306)&gt;ROW(AV44)),--(((calc!$BA$3:$BA$306&gt;BA44)*(calc!$BB$3:$BB$306&gt;BB44)+(calc!$BA$3:$BA$306&lt;BA44)*(calc!$BB$3:$BB$306&lt;BB44))&gt;0))-SUMPRODUCT(--(calc!$AV$3:$AV$306=TRUE),--(ROW(calc!$AV$3:$AV$306)&gt;ROW(AV44)),--(((calc!$BA$3:$BA$306&gt;BA44)*(calc!$BB$3:$BB$306&lt;BB44)+(calc!$BA$3:$BA$306&lt;BA44)*(calc!$BB$3:$BB$306&gt;BB44))&gt;0)),0)</f>
        <v/>
      </c>
      <c r="BD44" s="5">
        <f>IF(mos_metrics!L43="","",mos_metrics!L43)</f>
        <v/>
      </c>
      <c r="BE44" s="2">
        <f>AND($J44,ISNUMBER(BD44),correlation!$I$31=1)</f>
        <v/>
      </c>
      <c r="BF44" s="5">
        <f>IF(BE44,$F44,"")</f>
        <v/>
      </c>
      <c r="BG44" s="5">
        <f>IF(BE44,BD44*correlation!$J$31,"")</f>
        <v/>
      </c>
      <c r="BH44" s="5">
        <f>IF(AND(BE44,ISNUMBER(correlation!$F$31)),BG44*correlation!$F$31+correlation!$G$31,"")</f>
        <v/>
      </c>
      <c r="BI44" s="5">
        <f>IF(AND(BE44,ISNUMBER(BH44)),(BF44-BH44)^2,"")</f>
        <v/>
      </c>
      <c r="BJ44" s="5">
        <f>IF(BE44,1+SUMPRODUCT(--(calc!$BE$3:$BE$306=TRUE),--(calc!$BF$3:$BF$306&gt;BF44))+(SUMPRODUCT(--(calc!$BE$3:$BE$306=TRUE),--(calc!$BF$3:$BF$306=BF44))-1)/2,"")</f>
        <v/>
      </c>
      <c r="BK44" s="5">
        <f>IF(BE44,1+SUMPRODUCT(--(calc!$BE$3:$BE$306=TRUE),--(calc!$BG$3:$BG$306&gt;BG44))+(SUMPRODUCT(--(calc!$BE$3:$BE$306=TRUE),--(calc!$BG$3:$BG$306=BG44))-1)/2,"")</f>
        <v/>
      </c>
      <c r="BL44" s="5">
        <f>IF(BE44,SUMPRODUCT(--(calc!$BE$3:$BE$306=TRUE),--(ROW(calc!$BE$3:$BE$306)&gt;ROW(BE44)),--(((calc!$BJ$3:$BJ$306&gt;BJ44)*(calc!$BK$3:$BK$306&gt;BK44)+(calc!$BJ$3:$BJ$306&lt;BJ44)*(calc!$BK$3:$BK$306&lt;BK44))&gt;0))-SUMPRODUCT(--(calc!$BE$3:$BE$306=TRUE),--(ROW(calc!$BE$3:$BE$306)&gt;ROW(BE44)),--(((calc!$BJ$3:$BJ$306&gt;BJ44)*(calc!$BK$3:$BK$306&lt;BK44)+(calc!$BJ$3:$BJ$306&lt;BJ44)*(calc!$BK$3:$BK$306&gt;BK44))&gt;0)),0)</f>
        <v/>
      </c>
      <c r="BM44" s="5">
        <f>IF(mos_metrics!M43="","",mos_metrics!M43)</f>
        <v/>
      </c>
      <c r="BN44" s="2">
        <f>AND($J44,ISNUMBER(BM44),correlation!$I$32=1)</f>
        <v/>
      </c>
      <c r="BO44" s="5">
        <f>IF(BN44,$F44,"")</f>
        <v/>
      </c>
      <c r="BP44" s="5">
        <f>IF(BN44,BM44*correlation!$J$32,"")</f>
        <v/>
      </c>
      <c r="BQ44" s="5">
        <f>IF(AND(BN44,ISNUMBER(correlation!$F$32)),BP44*correlation!$F$32+correlation!$G$32,"")</f>
        <v/>
      </c>
      <c r="BR44" s="5">
        <f>IF(AND(BN44,ISNUMBER(BQ44)),(BO44-BQ44)^2,"")</f>
        <v/>
      </c>
      <c r="BS44" s="5">
        <f>IF(BN44,1+SUMPRODUCT(--(calc!$BN$3:$BN$306=TRUE),--(calc!$BO$3:$BO$306&gt;BO44))+(SUMPRODUCT(--(calc!$BN$3:$BN$306=TRUE),--(calc!$BO$3:$BO$306=BO44))-1)/2,"")</f>
        <v/>
      </c>
      <c r="BT44" s="5">
        <f>IF(BN44,1+SUMPRODUCT(--(calc!$BN$3:$BN$306=TRUE),--(calc!$BP$3:$BP$306&gt;BP44))+(SUMPRODUCT(--(calc!$BN$3:$BN$306=TRUE),--(calc!$BP$3:$BP$306=BP44))-1)/2,"")</f>
        <v/>
      </c>
      <c r="BU44" s="5">
        <f>IF(BN44,SUMPRODUCT(--(calc!$BN$3:$BN$306=TRUE),--(ROW(calc!$BN$3:$BN$306)&gt;ROW(BN44)),--(((calc!$BS$3:$BS$306&gt;BS44)*(calc!$BT$3:$BT$306&gt;BT44)+(calc!$BS$3:$BS$306&lt;BS44)*(calc!$BT$3:$BT$306&lt;BT44))&gt;0))-SUMPRODUCT(--(calc!$BN$3:$BN$306=TRUE),--(ROW(calc!$BN$3:$BN$306)&gt;ROW(BN44)),--(((calc!$BS$3:$BS$306&gt;BS44)*(calc!$BT$3:$BT$306&lt;BT44)+(calc!$BS$3:$BS$306&lt;BS44)*(calc!$BT$3:$BT$306&gt;BT44))&gt;0)),0)</f>
        <v/>
      </c>
    </row>
    <row r="45">
      <c r="A45" s="2">
        <f>mos_metrics!A44</f>
        <v/>
      </c>
      <c r="B45" s="2">
        <f>mos_metrics!B44</f>
        <v/>
      </c>
      <c r="C45" s="2">
        <f>mos_metrics!C44</f>
        <v/>
      </c>
      <c r="D45" s="2">
        <f>mos_metrics!D44</f>
        <v/>
      </c>
      <c r="E45" s="2">
        <f>mos_metrics!E44</f>
        <v/>
      </c>
      <c r="F45" s="2">
        <f>mos_metrics!F44</f>
        <v/>
      </c>
      <c r="G45" s="2">
        <f>IF($B45="","",IFERROR(VLOOKUP($B45,correlation!$A$2:$B$16,2,FALSE),1))</f>
        <v/>
      </c>
      <c r="H45" s="2">
        <f>IF($E45="","",IFERROR(VLOOKUP($E45,correlation!$D$2:$E$8,2,FALSE),1))</f>
        <v/>
      </c>
      <c r="I45" s="2">
        <f>ISNUMBER($F45)</f>
        <v/>
      </c>
      <c r="J45" s="2">
        <f>AND($G45=1,$H45=1,$I45)</f>
        <v/>
      </c>
      <c r="K45" s="5">
        <f>IF(mos_metrics!G44="","",mos_metrics!G44)</f>
        <v/>
      </c>
      <c r="L45" s="2">
        <f>AND($J45,ISNUMBER(K45),correlation!$I$26=1)</f>
        <v/>
      </c>
      <c r="M45" s="5">
        <f>IF(L45,$F45,"")</f>
        <v/>
      </c>
      <c r="N45" s="5">
        <f>IF(L45,K45*correlation!$J$26,"")</f>
        <v/>
      </c>
      <c r="O45" s="5">
        <f>IF(AND(L45,ISNUMBER(correlation!$F$26)),N45*correlation!$F$26+correlation!$G$26,"")</f>
        <v/>
      </c>
      <c r="P45" s="5">
        <f>IF(AND(L45,ISNUMBER(O45)),(M45-O45)^2,"")</f>
        <v/>
      </c>
      <c r="Q45" s="5">
        <f>IF(L45,1+SUMPRODUCT(--(calc!$L$3:$L$306=TRUE),--(calc!$M$3:$M$306&gt;M45))+(SUMPRODUCT(--(calc!$L$3:$L$306=TRUE),--(calc!$M$3:$M$306=M45))-1)/2,"")</f>
        <v/>
      </c>
      <c r="R45" s="5">
        <f>IF(L45,1+SUMPRODUCT(--(calc!$L$3:$L$306=TRUE),--(calc!$N$3:$N$306&gt;N45))+(SUMPRODUCT(--(calc!$L$3:$L$306=TRUE),--(calc!$N$3:$N$306=N45))-1)/2,"")</f>
        <v/>
      </c>
      <c r="S45" s="5">
        <f>IF(L45,SUMPRODUCT(--(calc!$L$3:$L$306=TRUE),--(ROW(calc!$L$3:$L$306)&gt;ROW(L45)),--(((calc!$Q$3:$Q$306&gt;Q45)*(calc!$R$3:$R$306&gt;R45)+(calc!$Q$3:$Q$306&lt;Q45)*(calc!$R$3:$R$306&lt;R45))&gt;0))-SUMPRODUCT(--(calc!$L$3:$L$306=TRUE),--(ROW(calc!$L$3:$L$306)&gt;ROW(L45)),--(((calc!$Q$3:$Q$306&gt;Q45)*(calc!$R$3:$R$306&lt;R45)+(calc!$Q$3:$Q$306&lt;Q45)*(calc!$R$3:$R$306&gt;R45))&gt;0)),0)</f>
        <v/>
      </c>
      <c r="T45" s="5">
        <f>IF(mos_metrics!H44="","",mos_metrics!H44)</f>
        <v/>
      </c>
      <c r="U45" s="2">
        <f>AND($J45,ISNUMBER(T45),correlation!$I$27=1)</f>
        <v/>
      </c>
      <c r="V45" s="5">
        <f>IF(U45,$F45,"")</f>
        <v/>
      </c>
      <c r="W45" s="5">
        <f>IF(U45,T45*correlation!$J$27,"")</f>
        <v/>
      </c>
      <c r="X45" s="5">
        <f>IF(AND(U45,ISNUMBER(correlation!$F$27)),W45*correlation!$F$27+correlation!$G$27,"")</f>
        <v/>
      </c>
      <c r="Y45" s="5">
        <f>IF(AND(U45,ISNUMBER(X45)),(V45-X45)^2,"")</f>
        <v/>
      </c>
      <c r="Z45" s="5">
        <f>IF(U45,1+SUMPRODUCT(--(calc!$U$3:$U$306=TRUE),--(calc!$V$3:$V$306&gt;V45))+(SUMPRODUCT(--(calc!$U$3:$U$306=TRUE),--(calc!$V$3:$V$306=V45))-1)/2,"")</f>
        <v/>
      </c>
      <c r="AA45" s="5">
        <f>IF(U45,1+SUMPRODUCT(--(calc!$U$3:$U$306=TRUE),--(calc!$W$3:$W$306&gt;W45))+(SUMPRODUCT(--(calc!$U$3:$U$306=TRUE),--(calc!$W$3:$W$306=W45))-1)/2,"")</f>
        <v/>
      </c>
      <c r="AB45" s="5">
        <f>IF(U45,SUMPRODUCT(--(calc!$U$3:$U$306=TRUE),--(ROW(calc!$U$3:$U$306)&gt;ROW(U45)),--(((calc!$Z$3:$Z$306&gt;Z45)*(calc!$AA$3:$AA$306&gt;AA45)+(calc!$Z$3:$Z$306&lt;Z45)*(calc!$AA$3:$AA$306&lt;AA45))&gt;0))-SUMPRODUCT(--(calc!$U$3:$U$306=TRUE),--(ROW(calc!$U$3:$U$306)&gt;ROW(U45)),--(((calc!$Z$3:$Z$306&gt;Z45)*(calc!$AA$3:$AA$306&lt;AA45)+(calc!$Z$3:$Z$306&lt;Z45)*(calc!$AA$3:$AA$306&gt;AA45))&gt;0)),0)</f>
        <v/>
      </c>
      <c r="AC45" s="5">
        <f>IF(mos_metrics!I44="","",mos_metrics!I44)</f>
        <v/>
      </c>
      <c r="AD45" s="2">
        <f>AND($J45,ISNUMBER(AC45),correlation!$I$28=1)</f>
        <v/>
      </c>
      <c r="AE45" s="5">
        <f>IF(AD45,$F45,"")</f>
        <v/>
      </c>
      <c r="AF45" s="5">
        <f>IF(AD45,AC45*correlation!$J$28,"")</f>
        <v/>
      </c>
      <c r="AG45" s="5">
        <f>IF(AND(AD45,ISNUMBER(correlation!$F$28)),AF45*correlation!$F$28+correlation!$G$28,"")</f>
        <v/>
      </c>
      <c r="AH45" s="5">
        <f>IF(AND(AD45,ISNUMBER(AG45)),(AE45-AG45)^2,"")</f>
        <v/>
      </c>
      <c r="AI45" s="5">
        <f>IF(AD45,1+SUMPRODUCT(--(calc!$AD$3:$AD$306=TRUE),--(calc!$AE$3:$AE$306&gt;AE45))+(SUMPRODUCT(--(calc!$AD$3:$AD$306=TRUE),--(calc!$AE$3:$AE$306=AE45))-1)/2,"")</f>
        <v/>
      </c>
      <c r="AJ45" s="5">
        <f>IF(AD45,1+SUMPRODUCT(--(calc!$AD$3:$AD$306=TRUE),--(calc!$AF$3:$AF$306&gt;AF45))+(SUMPRODUCT(--(calc!$AD$3:$AD$306=TRUE),--(calc!$AF$3:$AF$306=AF45))-1)/2,"")</f>
        <v/>
      </c>
      <c r="AK45" s="5">
        <f>IF(AD45,SUMPRODUCT(--(calc!$AD$3:$AD$306=TRUE),--(ROW(calc!$AD$3:$AD$306)&gt;ROW(AD45)),--(((calc!$AI$3:$AI$306&gt;AI45)*(calc!$AJ$3:$AJ$306&gt;AJ45)+(calc!$AI$3:$AI$306&lt;AI45)*(calc!$AJ$3:$AJ$306&lt;AJ45))&gt;0))-SUMPRODUCT(--(calc!$AD$3:$AD$306=TRUE),--(ROW(calc!$AD$3:$AD$306)&gt;ROW(AD45)),--(((calc!$AI$3:$AI$306&gt;AI45)*(calc!$AJ$3:$AJ$306&lt;AJ45)+(calc!$AI$3:$AI$306&lt;AI45)*(calc!$AJ$3:$AJ$306&gt;AJ45))&gt;0)),0)</f>
        <v/>
      </c>
      <c r="AL45" s="5">
        <f>IF(mos_metrics!J44="","",mos_metrics!J44)</f>
        <v/>
      </c>
      <c r="AM45" s="2">
        <f>AND($J45,ISNUMBER(AL45),correlation!$I$29=1)</f>
        <v/>
      </c>
      <c r="AN45" s="5">
        <f>IF(AM45,$F45,"")</f>
        <v/>
      </c>
      <c r="AO45" s="5">
        <f>IF(AM45,AL45*correlation!$J$29,"")</f>
        <v/>
      </c>
      <c r="AP45" s="5">
        <f>IF(AND(AM45,ISNUMBER(correlation!$F$29)),AO45*correlation!$F$29+correlation!$G$29,"")</f>
        <v/>
      </c>
      <c r="AQ45" s="5">
        <f>IF(AND(AM45,ISNUMBER(AP45)),(AN45-AP45)^2,"")</f>
        <v/>
      </c>
      <c r="AR45" s="5">
        <f>IF(AM45,1+SUMPRODUCT(--(calc!$AM$3:$AM$306=TRUE),--(calc!$AN$3:$AN$306&gt;AN45))+(SUMPRODUCT(--(calc!$AM$3:$AM$306=TRUE),--(calc!$AN$3:$AN$306=AN45))-1)/2,"")</f>
        <v/>
      </c>
      <c r="AS45" s="5">
        <f>IF(AM45,1+SUMPRODUCT(--(calc!$AM$3:$AM$306=TRUE),--(calc!$AO$3:$AO$306&gt;AO45))+(SUMPRODUCT(--(calc!$AM$3:$AM$306=TRUE),--(calc!$AO$3:$AO$306=AO45))-1)/2,"")</f>
        <v/>
      </c>
      <c r="AT45" s="5">
        <f>IF(AM45,SUMPRODUCT(--(calc!$AM$3:$AM$306=TRUE),--(ROW(calc!$AM$3:$AM$306)&gt;ROW(AM45)),--(((calc!$AR$3:$AR$306&gt;AR45)*(calc!$AS$3:$AS$306&gt;AS45)+(calc!$AR$3:$AR$306&lt;AR45)*(calc!$AS$3:$AS$306&lt;AS45))&gt;0))-SUMPRODUCT(--(calc!$AM$3:$AM$306=TRUE),--(ROW(calc!$AM$3:$AM$306)&gt;ROW(AM45)),--(((calc!$AR$3:$AR$306&gt;AR45)*(calc!$AS$3:$AS$306&lt;AS45)+(calc!$AR$3:$AR$306&lt;AR45)*(calc!$AS$3:$AS$306&gt;AS45))&gt;0)),0)</f>
        <v/>
      </c>
      <c r="AU45" s="5">
        <f>IF(mos_metrics!K44="","",mos_metrics!K44)</f>
        <v/>
      </c>
      <c r="AV45" s="2">
        <f>AND($J45,ISNUMBER(AU45),correlation!$I$30=1)</f>
        <v/>
      </c>
      <c r="AW45" s="5">
        <f>IF(AV45,$F45,"")</f>
        <v/>
      </c>
      <c r="AX45" s="5">
        <f>IF(AV45,AU45*correlation!$J$30,"")</f>
        <v/>
      </c>
      <c r="AY45" s="5">
        <f>IF(AND(AV45,ISNUMBER(correlation!$F$30)),AX45*correlation!$F$30+correlation!$G$30,"")</f>
        <v/>
      </c>
      <c r="AZ45" s="5">
        <f>IF(AND(AV45,ISNUMBER(AY45)),(AW45-AY45)^2,"")</f>
        <v/>
      </c>
      <c r="BA45" s="5">
        <f>IF(AV45,1+SUMPRODUCT(--(calc!$AV$3:$AV$306=TRUE),--(calc!$AW$3:$AW$306&gt;AW45))+(SUMPRODUCT(--(calc!$AV$3:$AV$306=TRUE),--(calc!$AW$3:$AW$306=AW45))-1)/2,"")</f>
        <v/>
      </c>
      <c r="BB45" s="5">
        <f>IF(AV45,1+SUMPRODUCT(--(calc!$AV$3:$AV$306=TRUE),--(calc!$AX$3:$AX$306&gt;AX45))+(SUMPRODUCT(--(calc!$AV$3:$AV$306=TRUE),--(calc!$AX$3:$AX$306=AX45))-1)/2,"")</f>
        <v/>
      </c>
      <c r="BC45" s="5">
        <f>IF(AV45,SUMPRODUCT(--(calc!$AV$3:$AV$306=TRUE),--(ROW(calc!$AV$3:$AV$306)&gt;ROW(AV45)),--(((calc!$BA$3:$BA$306&gt;BA45)*(calc!$BB$3:$BB$306&gt;BB45)+(calc!$BA$3:$BA$306&lt;BA45)*(calc!$BB$3:$BB$306&lt;BB45))&gt;0))-SUMPRODUCT(--(calc!$AV$3:$AV$306=TRUE),--(ROW(calc!$AV$3:$AV$306)&gt;ROW(AV45)),--(((calc!$BA$3:$BA$306&gt;BA45)*(calc!$BB$3:$BB$306&lt;BB45)+(calc!$BA$3:$BA$306&lt;BA45)*(calc!$BB$3:$BB$306&gt;BB45))&gt;0)),0)</f>
        <v/>
      </c>
      <c r="BD45" s="5">
        <f>IF(mos_metrics!L44="","",mos_metrics!L44)</f>
        <v/>
      </c>
      <c r="BE45" s="2">
        <f>AND($J45,ISNUMBER(BD45),correlation!$I$31=1)</f>
        <v/>
      </c>
      <c r="BF45" s="5">
        <f>IF(BE45,$F45,"")</f>
        <v/>
      </c>
      <c r="BG45" s="5">
        <f>IF(BE45,BD45*correlation!$J$31,"")</f>
        <v/>
      </c>
      <c r="BH45" s="5">
        <f>IF(AND(BE45,ISNUMBER(correlation!$F$31)),BG45*correlation!$F$31+correlation!$G$31,"")</f>
        <v/>
      </c>
      <c r="BI45" s="5">
        <f>IF(AND(BE45,ISNUMBER(BH45)),(BF45-BH45)^2,"")</f>
        <v/>
      </c>
      <c r="BJ45" s="5">
        <f>IF(BE45,1+SUMPRODUCT(--(calc!$BE$3:$BE$306=TRUE),--(calc!$BF$3:$BF$306&gt;BF45))+(SUMPRODUCT(--(calc!$BE$3:$BE$306=TRUE),--(calc!$BF$3:$BF$306=BF45))-1)/2,"")</f>
        <v/>
      </c>
      <c r="BK45" s="5">
        <f>IF(BE45,1+SUMPRODUCT(--(calc!$BE$3:$BE$306=TRUE),--(calc!$BG$3:$BG$306&gt;BG45))+(SUMPRODUCT(--(calc!$BE$3:$BE$306=TRUE),--(calc!$BG$3:$BG$306=BG45))-1)/2,"")</f>
        <v/>
      </c>
      <c r="BL45" s="5">
        <f>IF(BE45,SUMPRODUCT(--(calc!$BE$3:$BE$306=TRUE),--(ROW(calc!$BE$3:$BE$306)&gt;ROW(BE45)),--(((calc!$BJ$3:$BJ$306&gt;BJ45)*(calc!$BK$3:$BK$306&gt;BK45)+(calc!$BJ$3:$BJ$306&lt;BJ45)*(calc!$BK$3:$BK$306&lt;BK45))&gt;0))-SUMPRODUCT(--(calc!$BE$3:$BE$306=TRUE),--(ROW(calc!$BE$3:$BE$306)&gt;ROW(BE45)),--(((calc!$BJ$3:$BJ$306&gt;BJ45)*(calc!$BK$3:$BK$306&lt;BK45)+(calc!$BJ$3:$BJ$306&lt;BJ45)*(calc!$BK$3:$BK$306&gt;BK45))&gt;0)),0)</f>
        <v/>
      </c>
      <c r="BM45" s="5">
        <f>IF(mos_metrics!M44="","",mos_metrics!M44)</f>
        <v/>
      </c>
      <c r="BN45" s="2">
        <f>AND($J45,ISNUMBER(BM45),correlation!$I$32=1)</f>
        <v/>
      </c>
      <c r="BO45" s="5">
        <f>IF(BN45,$F45,"")</f>
        <v/>
      </c>
      <c r="BP45" s="5">
        <f>IF(BN45,BM45*correlation!$J$32,"")</f>
        <v/>
      </c>
      <c r="BQ45" s="5">
        <f>IF(AND(BN45,ISNUMBER(correlation!$F$32)),BP45*correlation!$F$32+correlation!$G$32,"")</f>
        <v/>
      </c>
      <c r="BR45" s="5">
        <f>IF(AND(BN45,ISNUMBER(BQ45)),(BO45-BQ45)^2,"")</f>
        <v/>
      </c>
      <c r="BS45" s="5">
        <f>IF(BN45,1+SUMPRODUCT(--(calc!$BN$3:$BN$306=TRUE),--(calc!$BO$3:$BO$306&gt;BO45))+(SUMPRODUCT(--(calc!$BN$3:$BN$306=TRUE),--(calc!$BO$3:$BO$306=BO45))-1)/2,"")</f>
        <v/>
      </c>
      <c r="BT45" s="5">
        <f>IF(BN45,1+SUMPRODUCT(--(calc!$BN$3:$BN$306=TRUE),--(calc!$BP$3:$BP$306&gt;BP45))+(SUMPRODUCT(--(calc!$BN$3:$BN$306=TRUE),--(calc!$BP$3:$BP$306=BP45))-1)/2,"")</f>
        <v/>
      </c>
      <c r="BU45" s="5">
        <f>IF(BN45,SUMPRODUCT(--(calc!$BN$3:$BN$306=TRUE),--(ROW(calc!$BN$3:$BN$306)&gt;ROW(BN45)),--(((calc!$BS$3:$BS$306&gt;BS45)*(calc!$BT$3:$BT$306&gt;BT45)+(calc!$BS$3:$BS$306&lt;BS45)*(calc!$BT$3:$BT$306&lt;BT45))&gt;0))-SUMPRODUCT(--(calc!$BN$3:$BN$306=TRUE),--(ROW(calc!$BN$3:$BN$306)&gt;ROW(BN45)),--(((calc!$BS$3:$BS$306&gt;BS45)*(calc!$BT$3:$BT$306&lt;BT45)+(calc!$BS$3:$BS$306&lt;BS45)*(calc!$BT$3:$BT$306&gt;BT45))&gt;0)),0)</f>
        <v/>
      </c>
    </row>
    <row r="46">
      <c r="A46" s="2">
        <f>mos_metrics!A45</f>
        <v/>
      </c>
      <c r="B46" s="2">
        <f>mos_metrics!B45</f>
        <v/>
      </c>
      <c r="C46" s="2">
        <f>mos_metrics!C45</f>
        <v/>
      </c>
      <c r="D46" s="2">
        <f>mos_metrics!D45</f>
        <v/>
      </c>
      <c r="E46" s="2">
        <f>mos_metrics!E45</f>
        <v/>
      </c>
      <c r="F46" s="2">
        <f>mos_metrics!F45</f>
        <v/>
      </c>
      <c r="G46" s="2">
        <f>IF($B46="","",IFERROR(VLOOKUP($B46,correlation!$A$2:$B$16,2,FALSE),1))</f>
        <v/>
      </c>
      <c r="H46" s="2">
        <f>IF($E46="","",IFERROR(VLOOKUP($E46,correlation!$D$2:$E$8,2,FALSE),1))</f>
        <v/>
      </c>
      <c r="I46" s="2">
        <f>ISNUMBER($F46)</f>
        <v/>
      </c>
      <c r="J46" s="2">
        <f>AND($G46=1,$H46=1,$I46)</f>
        <v/>
      </c>
      <c r="K46" s="5">
        <f>IF(mos_metrics!G45="","",mos_metrics!G45)</f>
        <v/>
      </c>
      <c r="L46" s="2">
        <f>AND($J46,ISNUMBER(K46),correlation!$I$26=1)</f>
        <v/>
      </c>
      <c r="M46" s="5">
        <f>IF(L46,$F46,"")</f>
        <v/>
      </c>
      <c r="N46" s="5">
        <f>IF(L46,K46*correlation!$J$26,"")</f>
        <v/>
      </c>
      <c r="O46" s="5">
        <f>IF(AND(L46,ISNUMBER(correlation!$F$26)),N46*correlation!$F$26+correlation!$G$26,"")</f>
        <v/>
      </c>
      <c r="P46" s="5">
        <f>IF(AND(L46,ISNUMBER(O46)),(M46-O46)^2,"")</f>
        <v/>
      </c>
      <c r="Q46" s="5">
        <f>IF(L46,1+SUMPRODUCT(--(calc!$L$3:$L$306=TRUE),--(calc!$M$3:$M$306&gt;M46))+(SUMPRODUCT(--(calc!$L$3:$L$306=TRUE),--(calc!$M$3:$M$306=M46))-1)/2,"")</f>
        <v/>
      </c>
      <c r="R46" s="5">
        <f>IF(L46,1+SUMPRODUCT(--(calc!$L$3:$L$306=TRUE),--(calc!$N$3:$N$306&gt;N46))+(SUMPRODUCT(--(calc!$L$3:$L$306=TRUE),--(calc!$N$3:$N$306=N46))-1)/2,"")</f>
        <v/>
      </c>
      <c r="S46" s="5">
        <f>IF(L46,SUMPRODUCT(--(calc!$L$3:$L$306=TRUE),--(ROW(calc!$L$3:$L$306)&gt;ROW(L46)),--(((calc!$Q$3:$Q$306&gt;Q46)*(calc!$R$3:$R$306&gt;R46)+(calc!$Q$3:$Q$306&lt;Q46)*(calc!$R$3:$R$306&lt;R46))&gt;0))-SUMPRODUCT(--(calc!$L$3:$L$306=TRUE),--(ROW(calc!$L$3:$L$306)&gt;ROW(L46)),--(((calc!$Q$3:$Q$306&gt;Q46)*(calc!$R$3:$R$306&lt;R46)+(calc!$Q$3:$Q$306&lt;Q46)*(calc!$R$3:$R$306&gt;R46))&gt;0)),0)</f>
        <v/>
      </c>
      <c r="T46" s="5">
        <f>IF(mos_metrics!H45="","",mos_metrics!H45)</f>
        <v/>
      </c>
      <c r="U46" s="2">
        <f>AND($J46,ISNUMBER(T46),correlation!$I$27=1)</f>
        <v/>
      </c>
      <c r="V46" s="5">
        <f>IF(U46,$F46,"")</f>
        <v/>
      </c>
      <c r="W46" s="5">
        <f>IF(U46,T46*correlation!$J$27,"")</f>
        <v/>
      </c>
      <c r="X46" s="5">
        <f>IF(AND(U46,ISNUMBER(correlation!$F$27)),W46*correlation!$F$27+correlation!$G$27,"")</f>
        <v/>
      </c>
      <c r="Y46" s="5">
        <f>IF(AND(U46,ISNUMBER(X46)),(V46-X46)^2,"")</f>
        <v/>
      </c>
      <c r="Z46" s="5">
        <f>IF(U46,1+SUMPRODUCT(--(calc!$U$3:$U$306=TRUE),--(calc!$V$3:$V$306&gt;V46))+(SUMPRODUCT(--(calc!$U$3:$U$306=TRUE),--(calc!$V$3:$V$306=V46))-1)/2,"")</f>
        <v/>
      </c>
      <c r="AA46" s="5">
        <f>IF(U46,1+SUMPRODUCT(--(calc!$U$3:$U$306=TRUE),--(calc!$W$3:$W$306&gt;W46))+(SUMPRODUCT(--(calc!$U$3:$U$306=TRUE),--(calc!$W$3:$W$306=W46))-1)/2,"")</f>
        <v/>
      </c>
      <c r="AB46" s="5">
        <f>IF(U46,SUMPRODUCT(--(calc!$U$3:$U$306=TRUE),--(ROW(calc!$U$3:$U$306)&gt;ROW(U46)),--(((calc!$Z$3:$Z$306&gt;Z46)*(calc!$AA$3:$AA$306&gt;AA46)+(calc!$Z$3:$Z$306&lt;Z46)*(calc!$AA$3:$AA$306&lt;AA46))&gt;0))-SUMPRODUCT(--(calc!$U$3:$U$306=TRUE),--(ROW(calc!$U$3:$U$306)&gt;ROW(U46)),--(((calc!$Z$3:$Z$306&gt;Z46)*(calc!$AA$3:$AA$306&lt;AA46)+(calc!$Z$3:$Z$306&lt;Z46)*(calc!$AA$3:$AA$306&gt;AA46))&gt;0)),0)</f>
        <v/>
      </c>
      <c r="AC46" s="5">
        <f>IF(mos_metrics!I45="","",mos_metrics!I45)</f>
        <v/>
      </c>
      <c r="AD46" s="2">
        <f>AND($J46,ISNUMBER(AC46),correlation!$I$28=1)</f>
        <v/>
      </c>
      <c r="AE46" s="5">
        <f>IF(AD46,$F46,"")</f>
        <v/>
      </c>
      <c r="AF46" s="5">
        <f>IF(AD46,AC46*correlation!$J$28,"")</f>
        <v/>
      </c>
      <c r="AG46" s="5">
        <f>IF(AND(AD46,ISNUMBER(correlation!$F$28)),AF46*correlation!$F$28+correlation!$G$28,"")</f>
        <v/>
      </c>
      <c r="AH46" s="5">
        <f>IF(AND(AD46,ISNUMBER(AG46)),(AE46-AG46)^2,"")</f>
        <v/>
      </c>
      <c r="AI46" s="5">
        <f>IF(AD46,1+SUMPRODUCT(--(calc!$AD$3:$AD$306=TRUE),--(calc!$AE$3:$AE$306&gt;AE46))+(SUMPRODUCT(--(calc!$AD$3:$AD$306=TRUE),--(calc!$AE$3:$AE$306=AE46))-1)/2,"")</f>
        <v/>
      </c>
      <c r="AJ46" s="5">
        <f>IF(AD46,1+SUMPRODUCT(--(calc!$AD$3:$AD$306=TRUE),--(calc!$AF$3:$AF$306&gt;AF46))+(SUMPRODUCT(--(calc!$AD$3:$AD$306=TRUE),--(calc!$AF$3:$AF$306=AF46))-1)/2,"")</f>
        <v/>
      </c>
      <c r="AK46" s="5">
        <f>IF(AD46,SUMPRODUCT(--(calc!$AD$3:$AD$306=TRUE),--(ROW(calc!$AD$3:$AD$306)&gt;ROW(AD46)),--(((calc!$AI$3:$AI$306&gt;AI46)*(calc!$AJ$3:$AJ$306&gt;AJ46)+(calc!$AI$3:$AI$306&lt;AI46)*(calc!$AJ$3:$AJ$306&lt;AJ46))&gt;0))-SUMPRODUCT(--(calc!$AD$3:$AD$306=TRUE),--(ROW(calc!$AD$3:$AD$306)&gt;ROW(AD46)),--(((calc!$AI$3:$AI$306&gt;AI46)*(calc!$AJ$3:$AJ$306&lt;AJ46)+(calc!$AI$3:$AI$306&lt;AI46)*(calc!$AJ$3:$AJ$306&gt;AJ46))&gt;0)),0)</f>
        <v/>
      </c>
      <c r="AL46" s="5">
        <f>IF(mos_metrics!J45="","",mos_metrics!J45)</f>
        <v/>
      </c>
      <c r="AM46" s="2">
        <f>AND($J46,ISNUMBER(AL46),correlation!$I$29=1)</f>
        <v/>
      </c>
      <c r="AN46" s="5">
        <f>IF(AM46,$F46,"")</f>
        <v/>
      </c>
      <c r="AO46" s="5">
        <f>IF(AM46,AL46*correlation!$J$29,"")</f>
        <v/>
      </c>
      <c r="AP46" s="5">
        <f>IF(AND(AM46,ISNUMBER(correlation!$F$29)),AO46*correlation!$F$29+correlation!$G$29,"")</f>
        <v/>
      </c>
      <c r="AQ46" s="5">
        <f>IF(AND(AM46,ISNUMBER(AP46)),(AN46-AP46)^2,"")</f>
        <v/>
      </c>
      <c r="AR46" s="5">
        <f>IF(AM46,1+SUMPRODUCT(--(calc!$AM$3:$AM$306=TRUE),--(calc!$AN$3:$AN$306&gt;AN46))+(SUMPRODUCT(--(calc!$AM$3:$AM$306=TRUE),--(calc!$AN$3:$AN$306=AN46))-1)/2,"")</f>
        <v/>
      </c>
      <c r="AS46" s="5">
        <f>IF(AM46,1+SUMPRODUCT(--(calc!$AM$3:$AM$306=TRUE),--(calc!$AO$3:$AO$306&gt;AO46))+(SUMPRODUCT(--(calc!$AM$3:$AM$306=TRUE),--(calc!$AO$3:$AO$306=AO46))-1)/2,"")</f>
        <v/>
      </c>
      <c r="AT46" s="5">
        <f>IF(AM46,SUMPRODUCT(--(calc!$AM$3:$AM$306=TRUE),--(ROW(calc!$AM$3:$AM$306)&gt;ROW(AM46)),--(((calc!$AR$3:$AR$306&gt;AR46)*(calc!$AS$3:$AS$306&gt;AS46)+(calc!$AR$3:$AR$306&lt;AR46)*(calc!$AS$3:$AS$306&lt;AS46))&gt;0))-SUMPRODUCT(--(calc!$AM$3:$AM$306=TRUE),--(ROW(calc!$AM$3:$AM$306)&gt;ROW(AM46)),--(((calc!$AR$3:$AR$306&gt;AR46)*(calc!$AS$3:$AS$306&lt;AS46)+(calc!$AR$3:$AR$306&lt;AR46)*(calc!$AS$3:$AS$306&gt;AS46))&gt;0)),0)</f>
        <v/>
      </c>
      <c r="AU46" s="5">
        <f>IF(mos_metrics!K45="","",mos_metrics!K45)</f>
        <v/>
      </c>
      <c r="AV46" s="2">
        <f>AND($J46,ISNUMBER(AU46),correlation!$I$30=1)</f>
        <v/>
      </c>
      <c r="AW46" s="5">
        <f>IF(AV46,$F46,"")</f>
        <v/>
      </c>
      <c r="AX46" s="5">
        <f>IF(AV46,AU46*correlation!$J$30,"")</f>
        <v/>
      </c>
      <c r="AY46" s="5">
        <f>IF(AND(AV46,ISNUMBER(correlation!$F$30)),AX46*correlation!$F$30+correlation!$G$30,"")</f>
        <v/>
      </c>
      <c r="AZ46" s="5">
        <f>IF(AND(AV46,ISNUMBER(AY46)),(AW46-AY46)^2,"")</f>
        <v/>
      </c>
      <c r="BA46" s="5">
        <f>IF(AV46,1+SUMPRODUCT(--(calc!$AV$3:$AV$306=TRUE),--(calc!$AW$3:$AW$306&gt;AW46))+(SUMPRODUCT(--(calc!$AV$3:$AV$306=TRUE),--(calc!$AW$3:$AW$306=AW46))-1)/2,"")</f>
        <v/>
      </c>
      <c r="BB46" s="5">
        <f>IF(AV46,1+SUMPRODUCT(--(calc!$AV$3:$AV$306=TRUE),--(calc!$AX$3:$AX$306&gt;AX46))+(SUMPRODUCT(--(calc!$AV$3:$AV$306=TRUE),--(calc!$AX$3:$AX$306=AX46))-1)/2,"")</f>
        <v/>
      </c>
      <c r="BC46" s="5">
        <f>IF(AV46,SUMPRODUCT(--(calc!$AV$3:$AV$306=TRUE),--(ROW(calc!$AV$3:$AV$306)&gt;ROW(AV46)),--(((calc!$BA$3:$BA$306&gt;BA46)*(calc!$BB$3:$BB$306&gt;BB46)+(calc!$BA$3:$BA$306&lt;BA46)*(calc!$BB$3:$BB$306&lt;BB46))&gt;0))-SUMPRODUCT(--(calc!$AV$3:$AV$306=TRUE),--(ROW(calc!$AV$3:$AV$306)&gt;ROW(AV46)),--(((calc!$BA$3:$BA$306&gt;BA46)*(calc!$BB$3:$BB$306&lt;BB46)+(calc!$BA$3:$BA$306&lt;BA46)*(calc!$BB$3:$BB$306&gt;BB46))&gt;0)),0)</f>
        <v/>
      </c>
      <c r="BD46" s="5">
        <f>IF(mos_metrics!L45="","",mos_metrics!L45)</f>
        <v/>
      </c>
      <c r="BE46" s="2">
        <f>AND($J46,ISNUMBER(BD46),correlation!$I$31=1)</f>
        <v/>
      </c>
      <c r="BF46" s="5">
        <f>IF(BE46,$F46,"")</f>
        <v/>
      </c>
      <c r="BG46" s="5">
        <f>IF(BE46,BD46*correlation!$J$31,"")</f>
        <v/>
      </c>
      <c r="BH46" s="5">
        <f>IF(AND(BE46,ISNUMBER(correlation!$F$31)),BG46*correlation!$F$31+correlation!$G$31,"")</f>
        <v/>
      </c>
      <c r="BI46" s="5">
        <f>IF(AND(BE46,ISNUMBER(BH46)),(BF46-BH46)^2,"")</f>
        <v/>
      </c>
      <c r="BJ46" s="5">
        <f>IF(BE46,1+SUMPRODUCT(--(calc!$BE$3:$BE$306=TRUE),--(calc!$BF$3:$BF$306&gt;BF46))+(SUMPRODUCT(--(calc!$BE$3:$BE$306=TRUE),--(calc!$BF$3:$BF$306=BF46))-1)/2,"")</f>
        <v/>
      </c>
      <c r="BK46" s="5">
        <f>IF(BE46,1+SUMPRODUCT(--(calc!$BE$3:$BE$306=TRUE),--(calc!$BG$3:$BG$306&gt;BG46))+(SUMPRODUCT(--(calc!$BE$3:$BE$306=TRUE),--(calc!$BG$3:$BG$306=BG46))-1)/2,"")</f>
        <v/>
      </c>
      <c r="BL46" s="5">
        <f>IF(BE46,SUMPRODUCT(--(calc!$BE$3:$BE$306=TRUE),--(ROW(calc!$BE$3:$BE$306)&gt;ROW(BE46)),--(((calc!$BJ$3:$BJ$306&gt;BJ46)*(calc!$BK$3:$BK$306&gt;BK46)+(calc!$BJ$3:$BJ$306&lt;BJ46)*(calc!$BK$3:$BK$306&lt;BK46))&gt;0))-SUMPRODUCT(--(calc!$BE$3:$BE$306=TRUE),--(ROW(calc!$BE$3:$BE$306)&gt;ROW(BE46)),--(((calc!$BJ$3:$BJ$306&gt;BJ46)*(calc!$BK$3:$BK$306&lt;BK46)+(calc!$BJ$3:$BJ$306&lt;BJ46)*(calc!$BK$3:$BK$306&gt;BK46))&gt;0)),0)</f>
        <v/>
      </c>
      <c r="BM46" s="5">
        <f>IF(mos_metrics!M45="","",mos_metrics!M45)</f>
        <v/>
      </c>
      <c r="BN46" s="2">
        <f>AND($J46,ISNUMBER(BM46),correlation!$I$32=1)</f>
        <v/>
      </c>
      <c r="BO46" s="5">
        <f>IF(BN46,$F46,"")</f>
        <v/>
      </c>
      <c r="BP46" s="5">
        <f>IF(BN46,BM46*correlation!$J$32,"")</f>
        <v/>
      </c>
      <c r="BQ46" s="5">
        <f>IF(AND(BN46,ISNUMBER(correlation!$F$32)),BP46*correlation!$F$32+correlation!$G$32,"")</f>
        <v/>
      </c>
      <c r="BR46" s="5">
        <f>IF(AND(BN46,ISNUMBER(BQ46)),(BO46-BQ46)^2,"")</f>
        <v/>
      </c>
      <c r="BS46" s="5">
        <f>IF(BN46,1+SUMPRODUCT(--(calc!$BN$3:$BN$306=TRUE),--(calc!$BO$3:$BO$306&gt;BO46))+(SUMPRODUCT(--(calc!$BN$3:$BN$306=TRUE),--(calc!$BO$3:$BO$306=BO46))-1)/2,"")</f>
        <v/>
      </c>
      <c r="BT46" s="5">
        <f>IF(BN46,1+SUMPRODUCT(--(calc!$BN$3:$BN$306=TRUE),--(calc!$BP$3:$BP$306&gt;BP46))+(SUMPRODUCT(--(calc!$BN$3:$BN$306=TRUE),--(calc!$BP$3:$BP$306=BP46))-1)/2,"")</f>
        <v/>
      </c>
      <c r="BU46" s="5">
        <f>IF(BN46,SUMPRODUCT(--(calc!$BN$3:$BN$306=TRUE),--(ROW(calc!$BN$3:$BN$306)&gt;ROW(BN46)),--(((calc!$BS$3:$BS$306&gt;BS46)*(calc!$BT$3:$BT$306&gt;BT46)+(calc!$BS$3:$BS$306&lt;BS46)*(calc!$BT$3:$BT$306&lt;BT46))&gt;0))-SUMPRODUCT(--(calc!$BN$3:$BN$306=TRUE),--(ROW(calc!$BN$3:$BN$306)&gt;ROW(BN46)),--(((calc!$BS$3:$BS$306&gt;BS46)*(calc!$BT$3:$BT$306&lt;BT46)+(calc!$BS$3:$BS$306&lt;BS46)*(calc!$BT$3:$BT$306&gt;BT46))&gt;0)),0)</f>
        <v/>
      </c>
    </row>
    <row r="47">
      <c r="A47" s="2">
        <f>mos_metrics!A46</f>
        <v/>
      </c>
      <c r="B47" s="2">
        <f>mos_metrics!B46</f>
        <v/>
      </c>
      <c r="C47" s="2">
        <f>mos_metrics!C46</f>
        <v/>
      </c>
      <c r="D47" s="2">
        <f>mos_metrics!D46</f>
        <v/>
      </c>
      <c r="E47" s="2">
        <f>mos_metrics!E46</f>
        <v/>
      </c>
      <c r="F47" s="2">
        <f>mos_metrics!F46</f>
        <v/>
      </c>
      <c r="G47" s="2">
        <f>IF($B47="","",IFERROR(VLOOKUP($B47,correlation!$A$2:$B$16,2,FALSE),1))</f>
        <v/>
      </c>
      <c r="H47" s="2">
        <f>IF($E47="","",IFERROR(VLOOKUP($E47,correlation!$D$2:$E$8,2,FALSE),1))</f>
        <v/>
      </c>
      <c r="I47" s="2">
        <f>ISNUMBER($F47)</f>
        <v/>
      </c>
      <c r="J47" s="2">
        <f>AND($G47=1,$H47=1,$I47)</f>
        <v/>
      </c>
      <c r="K47" s="5">
        <f>IF(mos_metrics!G46="","",mos_metrics!G46)</f>
        <v/>
      </c>
      <c r="L47" s="2">
        <f>AND($J47,ISNUMBER(K47),correlation!$I$26=1)</f>
        <v/>
      </c>
      <c r="M47" s="5">
        <f>IF(L47,$F47,"")</f>
        <v/>
      </c>
      <c r="N47" s="5">
        <f>IF(L47,K47*correlation!$J$26,"")</f>
        <v/>
      </c>
      <c r="O47" s="5">
        <f>IF(AND(L47,ISNUMBER(correlation!$F$26)),N47*correlation!$F$26+correlation!$G$26,"")</f>
        <v/>
      </c>
      <c r="P47" s="5">
        <f>IF(AND(L47,ISNUMBER(O47)),(M47-O47)^2,"")</f>
        <v/>
      </c>
      <c r="Q47" s="5">
        <f>IF(L47,1+SUMPRODUCT(--(calc!$L$3:$L$306=TRUE),--(calc!$M$3:$M$306&gt;M47))+(SUMPRODUCT(--(calc!$L$3:$L$306=TRUE),--(calc!$M$3:$M$306=M47))-1)/2,"")</f>
        <v/>
      </c>
      <c r="R47" s="5">
        <f>IF(L47,1+SUMPRODUCT(--(calc!$L$3:$L$306=TRUE),--(calc!$N$3:$N$306&gt;N47))+(SUMPRODUCT(--(calc!$L$3:$L$306=TRUE),--(calc!$N$3:$N$306=N47))-1)/2,"")</f>
        <v/>
      </c>
      <c r="S47" s="5">
        <f>IF(L47,SUMPRODUCT(--(calc!$L$3:$L$306=TRUE),--(ROW(calc!$L$3:$L$306)&gt;ROW(L47)),--(((calc!$Q$3:$Q$306&gt;Q47)*(calc!$R$3:$R$306&gt;R47)+(calc!$Q$3:$Q$306&lt;Q47)*(calc!$R$3:$R$306&lt;R47))&gt;0))-SUMPRODUCT(--(calc!$L$3:$L$306=TRUE),--(ROW(calc!$L$3:$L$306)&gt;ROW(L47)),--(((calc!$Q$3:$Q$306&gt;Q47)*(calc!$R$3:$R$306&lt;R47)+(calc!$Q$3:$Q$306&lt;Q47)*(calc!$R$3:$R$306&gt;R47))&gt;0)),0)</f>
        <v/>
      </c>
      <c r="T47" s="5">
        <f>IF(mos_metrics!H46="","",mos_metrics!H46)</f>
        <v/>
      </c>
      <c r="U47" s="2">
        <f>AND($J47,ISNUMBER(T47),correlation!$I$27=1)</f>
        <v/>
      </c>
      <c r="V47" s="5">
        <f>IF(U47,$F47,"")</f>
        <v/>
      </c>
      <c r="W47" s="5">
        <f>IF(U47,T47*correlation!$J$27,"")</f>
        <v/>
      </c>
      <c r="X47" s="5">
        <f>IF(AND(U47,ISNUMBER(correlation!$F$27)),W47*correlation!$F$27+correlation!$G$27,"")</f>
        <v/>
      </c>
      <c r="Y47" s="5">
        <f>IF(AND(U47,ISNUMBER(X47)),(V47-X47)^2,"")</f>
        <v/>
      </c>
      <c r="Z47" s="5">
        <f>IF(U47,1+SUMPRODUCT(--(calc!$U$3:$U$306=TRUE),--(calc!$V$3:$V$306&gt;V47))+(SUMPRODUCT(--(calc!$U$3:$U$306=TRUE),--(calc!$V$3:$V$306=V47))-1)/2,"")</f>
        <v/>
      </c>
      <c r="AA47" s="5">
        <f>IF(U47,1+SUMPRODUCT(--(calc!$U$3:$U$306=TRUE),--(calc!$W$3:$W$306&gt;W47))+(SUMPRODUCT(--(calc!$U$3:$U$306=TRUE),--(calc!$W$3:$W$306=W47))-1)/2,"")</f>
        <v/>
      </c>
      <c r="AB47" s="5">
        <f>IF(U47,SUMPRODUCT(--(calc!$U$3:$U$306=TRUE),--(ROW(calc!$U$3:$U$306)&gt;ROW(U47)),--(((calc!$Z$3:$Z$306&gt;Z47)*(calc!$AA$3:$AA$306&gt;AA47)+(calc!$Z$3:$Z$306&lt;Z47)*(calc!$AA$3:$AA$306&lt;AA47))&gt;0))-SUMPRODUCT(--(calc!$U$3:$U$306=TRUE),--(ROW(calc!$U$3:$U$306)&gt;ROW(U47)),--(((calc!$Z$3:$Z$306&gt;Z47)*(calc!$AA$3:$AA$306&lt;AA47)+(calc!$Z$3:$Z$306&lt;Z47)*(calc!$AA$3:$AA$306&gt;AA47))&gt;0)),0)</f>
        <v/>
      </c>
      <c r="AC47" s="5">
        <f>IF(mos_metrics!I46="","",mos_metrics!I46)</f>
        <v/>
      </c>
      <c r="AD47" s="2">
        <f>AND($J47,ISNUMBER(AC47),correlation!$I$28=1)</f>
        <v/>
      </c>
      <c r="AE47" s="5">
        <f>IF(AD47,$F47,"")</f>
        <v/>
      </c>
      <c r="AF47" s="5">
        <f>IF(AD47,AC47*correlation!$J$28,"")</f>
        <v/>
      </c>
      <c r="AG47" s="5">
        <f>IF(AND(AD47,ISNUMBER(correlation!$F$28)),AF47*correlation!$F$28+correlation!$G$28,"")</f>
        <v/>
      </c>
      <c r="AH47" s="5">
        <f>IF(AND(AD47,ISNUMBER(AG47)),(AE47-AG47)^2,"")</f>
        <v/>
      </c>
      <c r="AI47" s="5">
        <f>IF(AD47,1+SUMPRODUCT(--(calc!$AD$3:$AD$306=TRUE),--(calc!$AE$3:$AE$306&gt;AE47))+(SUMPRODUCT(--(calc!$AD$3:$AD$306=TRUE),--(calc!$AE$3:$AE$306=AE47))-1)/2,"")</f>
        <v/>
      </c>
      <c r="AJ47" s="5">
        <f>IF(AD47,1+SUMPRODUCT(--(calc!$AD$3:$AD$306=TRUE),--(calc!$AF$3:$AF$306&gt;AF47))+(SUMPRODUCT(--(calc!$AD$3:$AD$306=TRUE),--(calc!$AF$3:$AF$306=AF47))-1)/2,"")</f>
        <v/>
      </c>
      <c r="AK47" s="5">
        <f>IF(AD47,SUMPRODUCT(--(calc!$AD$3:$AD$306=TRUE),--(ROW(calc!$AD$3:$AD$306)&gt;ROW(AD47)),--(((calc!$AI$3:$AI$306&gt;AI47)*(calc!$AJ$3:$AJ$306&gt;AJ47)+(calc!$AI$3:$AI$306&lt;AI47)*(calc!$AJ$3:$AJ$306&lt;AJ47))&gt;0))-SUMPRODUCT(--(calc!$AD$3:$AD$306=TRUE),--(ROW(calc!$AD$3:$AD$306)&gt;ROW(AD47)),--(((calc!$AI$3:$AI$306&gt;AI47)*(calc!$AJ$3:$AJ$306&lt;AJ47)+(calc!$AI$3:$AI$306&lt;AI47)*(calc!$AJ$3:$AJ$306&gt;AJ47))&gt;0)),0)</f>
        <v/>
      </c>
      <c r="AL47" s="5">
        <f>IF(mos_metrics!J46="","",mos_metrics!J46)</f>
        <v/>
      </c>
      <c r="AM47" s="2">
        <f>AND($J47,ISNUMBER(AL47),correlation!$I$29=1)</f>
        <v/>
      </c>
      <c r="AN47" s="5">
        <f>IF(AM47,$F47,"")</f>
        <v/>
      </c>
      <c r="AO47" s="5">
        <f>IF(AM47,AL47*correlation!$J$29,"")</f>
        <v/>
      </c>
      <c r="AP47" s="5">
        <f>IF(AND(AM47,ISNUMBER(correlation!$F$29)),AO47*correlation!$F$29+correlation!$G$29,"")</f>
        <v/>
      </c>
      <c r="AQ47" s="5">
        <f>IF(AND(AM47,ISNUMBER(AP47)),(AN47-AP47)^2,"")</f>
        <v/>
      </c>
      <c r="AR47" s="5">
        <f>IF(AM47,1+SUMPRODUCT(--(calc!$AM$3:$AM$306=TRUE),--(calc!$AN$3:$AN$306&gt;AN47))+(SUMPRODUCT(--(calc!$AM$3:$AM$306=TRUE),--(calc!$AN$3:$AN$306=AN47))-1)/2,"")</f>
        <v/>
      </c>
      <c r="AS47" s="5">
        <f>IF(AM47,1+SUMPRODUCT(--(calc!$AM$3:$AM$306=TRUE),--(calc!$AO$3:$AO$306&gt;AO47))+(SUMPRODUCT(--(calc!$AM$3:$AM$306=TRUE),--(calc!$AO$3:$AO$306=AO47))-1)/2,"")</f>
        <v/>
      </c>
      <c r="AT47" s="5">
        <f>IF(AM47,SUMPRODUCT(--(calc!$AM$3:$AM$306=TRUE),--(ROW(calc!$AM$3:$AM$306)&gt;ROW(AM47)),--(((calc!$AR$3:$AR$306&gt;AR47)*(calc!$AS$3:$AS$306&gt;AS47)+(calc!$AR$3:$AR$306&lt;AR47)*(calc!$AS$3:$AS$306&lt;AS47))&gt;0))-SUMPRODUCT(--(calc!$AM$3:$AM$306=TRUE),--(ROW(calc!$AM$3:$AM$306)&gt;ROW(AM47)),--(((calc!$AR$3:$AR$306&gt;AR47)*(calc!$AS$3:$AS$306&lt;AS47)+(calc!$AR$3:$AR$306&lt;AR47)*(calc!$AS$3:$AS$306&gt;AS47))&gt;0)),0)</f>
        <v/>
      </c>
      <c r="AU47" s="5">
        <f>IF(mos_metrics!K46="","",mos_metrics!K46)</f>
        <v/>
      </c>
      <c r="AV47" s="2">
        <f>AND($J47,ISNUMBER(AU47),correlation!$I$30=1)</f>
        <v/>
      </c>
      <c r="AW47" s="5">
        <f>IF(AV47,$F47,"")</f>
        <v/>
      </c>
      <c r="AX47" s="5">
        <f>IF(AV47,AU47*correlation!$J$30,"")</f>
        <v/>
      </c>
      <c r="AY47" s="5">
        <f>IF(AND(AV47,ISNUMBER(correlation!$F$30)),AX47*correlation!$F$30+correlation!$G$30,"")</f>
        <v/>
      </c>
      <c r="AZ47" s="5">
        <f>IF(AND(AV47,ISNUMBER(AY47)),(AW47-AY47)^2,"")</f>
        <v/>
      </c>
      <c r="BA47" s="5">
        <f>IF(AV47,1+SUMPRODUCT(--(calc!$AV$3:$AV$306=TRUE),--(calc!$AW$3:$AW$306&gt;AW47))+(SUMPRODUCT(--(calc!$AV$3:$AV$306=TRUE),--(calc!$AW$3:$AW$306=AW47))-1)/2,"")</f>
        <v/>
      </c>
      <c r="BB47" s="5">
        <f>IF(AV47,1+SUMPRODUCT(--(calc!$AV$3:$AV$306=TRUE),--(calc!$AX$3:$AX$306&gt;AX47))+(SUMPRODUCT(--(calc!$AV$3:$AV$306=TRUE),--(calc!$AX$3:$AX$306=AX47))-1)/2,"")</f>
        <v/>
      </c>
      <c r="BC47" s="5">
        <f>IF(AV47,SUMPRODUCT(--(calc!$AV$3:$AV$306=TRUE),--(ROW(calc!$AV$3:$AV$306)&gt;ROW(AV47)),--(((calc!$BA$3:$BA$306&gt;BA47)*(calc!$BB$3:$BB$306&gt;BB47)+(calc!$BA$3:$BA$306&lt;BA47)*(calc!$BB$3:$BB$306&lt;BB47))&gt;0))-SUMPRODUCT(--(calc!$AV$3:$AV$306=TRUE),--(ROW(calc!$AV$3:$AV$306)&gt;ROW(AV47)),--(((calc!$BA$3:$BA$306&gt;BA47)*(calc!$BB$3:$BB$306&lt;BB47)+(calc!$BA$3:$BA$306&lt;BA47)*(calc!$BB$3:$BB$306&gt;BB47))&gt;0)),0)</f>
        <v/>
      </c>
      <c r="BD47" s="5">
        <f>IF(mos_metrics!L46="","",mos_metrics!L46)</f>
        <v/>
      </c>
      <c r="BE47" s="2">
        <f>AND($J47,ISNUMBER(BD47),correlation!$I$31=1)</f>
        <v/>
      </c>
      <c r="BF47" s="5">
        <f>IF(BE47,$F47,"")</f>
        <v/>
      </c>
      <c r="BG47" s="5">
        <f>IF(BE47,BD47*correlation!$J$31,"")</f>
        <v/>
      </c>
      <c r="BH47" s="5">
        <f>IF(AND(BE47,ISNUMBER(correlation!$F$31)),BG47*correlation!$F$31+correlation!$G$31,"")</f>
        <v/>
      </c>
      <c r="BI47" s="5">
        <f>IF(AND(BE47,ISNUMBER(BH47)),(BF47-BH47)^2,"")</f>
        <v/>
      </c>
      <c r="BJ47" s="5">
        <f>IF(BE47,1+SUMPRODUCT(--(calc!$BE$3:$BE$306=TRUE),--(calc!$BF$3:$BF$306&gt;BF47))+(SUMPRODUCT(--(calc!$BE$3:$BE$306=TRUE),--(calc!$BF$3:$BF$306=BF47))-1)/2,"")</f>
        <v/>
      </c>
      <c r="BK47" s="5">
        <f>IF(BE47,1+SUMPRODUCT(--(calc!$BE$3:$BE$306=TRUE),--(calc!$BG$3:$BG$306&gt;BG47))+(SUMPRODUCT(--(calc!$BE$3:$BE$306=TRUE),--(calc!$BG$3:$BG$306=BG47))-1)/2,"")</f>
        <v/>
      </c>
      <c r="BL47" s="5">
        <f>IF(BE47,SUMPRODUCT(--(calc!$BE$3:$BE$306=TRUE),--(ROW(calc!$BE$3:$BE$306)&gt;ROW(BE47)),--(((calc!$BJ$3:$BJ$306&gt;BJ47)*(calc!$BK$3:$BK$306&gt;BK47)+(calc!$BJ$3:$BJ$306&lt;BJ47)*(calc!$BK$3:$BK$306&lt;BK47))&gt;0))-SUMPRODUCT(--(calc!$BE$3:$BE$306=TRUE),--(ROW(calc!$BE$3:$BE$306)&gt;ROW(BE47)),--(((calc!$BJ$3:$BJ$306&gt;BJ47)*(calc!$BK$3:$BK$306&lt;BK47)+(calc!$BJ$3:$BJ$306&lt;BJ47)*(calc!$BK$3:$BK$306&gt;BK47))&gt;0)),0)</f>
        <v/>
      </c>
      <c r="BM47" s="5">
        <f>IF(mos_metrics!M46="","",mos_metrics!M46)</f>
        <v/>
      </c>
      <c r="BN47" s="2">
        <f>AND($J47,ISNUMBER(BM47),correlation!$I$32=1)</f>
        <v/>
      </c>
      <c r="BO47" s="5">
        <f>IF(BN47,$F47,"")</f>
        <v/>
      </c>
      <c r="BP47" s="5">
        <f>IF(BN47,BM47*correlation!$J$32,"")</f>
        <v/>
      </c>
      <c r="BQ47" s="5">
        <f>IF(AND(BN47,ISNUMBER(correlation!$F$32)),BP47*correlation!$F$32+correlation!$G$32,"")</f>
        <v/>
      </c>
      <c r="BR47" s="5">
        <f>IF(AND(BN47,ISNUMBER(BQ47)),(BO47-BQ47)^2,"")</f>
        <v/>
      </c>
      <c r="BS47" s="5">
        <f>IF(BN47,1+SUMPRODUCT(--(calc!$BN$3:$BN$306=TRUE),--(calc!$BO$3:$BO$306&gt;BO47))+(SUMPRODUCT(--(calc!$BN$3:$BN$306=TRUE),--(calc!$BO$3:$BO$306=BO47))-1)/2,"")</f>
        <v/>
      </c>
      <c r="BT47" s="5">
        <f>IF(BN47,1+SUMPRODUCT(--(calc!$BN$3:$BN$306=TRUE),--(calc!$BP$3:$BP$306&gt;BP47))+(SUMPRODUCT(--(calc!$BN$3:$BN$306=TRUE),--(calc!$BP$3:$BP$306=BP47))-1)/2,"")</f>
        <v/>
      </c>
      <c r="BU47" s="5">
        <f>IF(BN47,SUMPRODUCT(--(calc!$BN$3:$BN$306=TRUE),--(ROW(calc!$BN$3:$BN$306)&gt;ROW(BN47)),--(((calc!$BS$3:$BS$306&gt;BS47)*(calc!$BT$3:$BT$306&gt;BT47)+(calc!$BS$3:$BS$306&lt;BS47)*(calc!$BT$3:$BT$306&lt;BT47))&gt;0))-SUMPRODUCT(--(calc!$BN$3:$BN$306=TRUE),--(ROW(calc!$BN$3:$BN$306)&gt;ROW(BN47)),--(((calc!$BS$3:$BS$306&gt;BS47)*(calc!$BT$3:$BT$306&lt;BT47)+(calc!$BS$3:$BS$306&lt;BS47)*(calc!$BT$3:$BT$306&gt;BT47))&gt;0)),0)</f>
        <v/>
      </c>
    </row>
    <row r="48">
      <c r="A48" s="2">
        <f>mos_metrics!A47</f>
        <v/>
      </c>
      <c r="B48" s="2">
        <f>mos_metrics!B47</f>
        <v/>
      </c>
      <c r="C48" s="2">
        <f>mos_metrics!C47</f>
        <v/>
      </c>
      <c r="D48" s="2">
        <f>mos_metrics!D47</f>
        <v/>
      </c>
      <c r="E48" s="2">
        <f>mos_metrics!E47</f>
        <v/>
      </c>
      <c r="F48" s="2">
        <f>mos_metrics!F47</f>
        <v/>
      </c>
      <c r="G48" s="2">
        <f>IF($B48="","",IFERROR(VLOOKUP($B48,correlation!$A$2:$B$16,2,FALSE),1))</f>
        <v/>
      </c>
      <c r="H48" s="2">
        <f>IF($E48="","",IFERROR(VLOOKUP($E48,correlation!$D$2:$E$8,2,FALSE),1))</f>
        <v/>
      </c>
      <c r="I48" s="2">
        <f>ISNUMBER($F48)</f>
        <v/>
      </c>
      <c r="J48" s="2">
        <f>AND($G48=1,$H48=1,$I48)</f>
        <v/>
      </c>
      <c r="K48" s="5">
        <f>IF(mos_metrics!G47="","",mos_metrics!G47)</f>
        <v/>
      </c>
      <c r="L48" s="2">
        <f>AND($J48,ISNUMBER(K48),correlation!$I$26=1)</f>
        <v/>
      </c>
      <c r="M48" s="5">
        <f>IF(L48,$F48,"")</f>
        <v/>
      </c>
      <c r="N48" s="5">
        <f>IF(L48,K48*correlation!$J$26,"")</f>
        <v/>
      </c>
      <c r="O48" s="5">
        <f>IF(AND(L48,ISNUMBER(correlation!$F$26)),N48*correlation!$F$26+correlation!$G$26,"")</f>
        <v/>
      </c>
      <c r="P48" s="5">
        <f>IF(AND(L48,ISNUMBER(O48)),(M48-O48)^2,"")</f>
        <v/>
      </c>
      <c r="Q48" s="5">
        <f>IF(L48,1+SUMPRODUCT(--(calc!$L$3:$L$306=TRUE),--(calc!$M$3:$M$306&gt;M48))+(SUMPRODUCT(--(calc!$L$3:$L$306=TRUE),--(calc!$M$3:$M$306=M48))-1)/2,"")</f>
        <v/>
      </c>
      <c r="R48" s="5">
        <f>IF(L48,1+SUMPRODUCT(--(calc!$L$3:$L$306=TRUE),--(calc!$N$3:$N$306&gt;N48))+(SUMPRODUCT(--(calc!$L$3:$L$306=TRUE),--(calc!$N$3:$N$306=N48))-1)/2,"")</f>
        <v/>
      </c>
      <c r="S48" s="5">
        <f>IF(L48,SUMPRODUCT(--(calc!$L$3:$L$306=TRUE),--(ROW(calc!$L$3:$L$306)&gt;ROW(L48)),--(((calc!$Q$3:$Q$306&gt;Q48)*(calc!$R$3:$R$306&gt;R48)+(calc!$Q$3:$Q$306&lt;Q48)*(calc!$R$3:$R$306&lt;R48))&gt;0))-SUMPRODUCT(--(calc!$L$3:$L$306=TRUE),--(ROW(calc!$L$3:$L$306)&gt;ROW(L48)),--(((calc!$Q$3:$Q$306&gt;Q48)*(calc!$R$3:$R$306&lt;R48)+(calc!$Q$3:$Q$306&lt;Q48)*(calc!$R$3:$R$306&gt;R48))&gt;0)),0)</f>
        <v/>
      </c>
      <c r="T48" s="5">
        <f>IF(mos_metrics!H47="","",mos_metrics!H47)</f>
        <v/>
      </c>
      <c r="U48" s="2">
        <f>AND($J48,ISNUMBER(T48),correlation!$I$27=1)</f>
        <v/>
      </c>
      <c r="V48" s="5">
        <f>IF(U48,$F48,"")</f>
        <v/>
      </c>
      <c r="W48" s="5">
        <f>IF(U48,T48*correlation!$J$27,"")</f>
        <v/>
      </c>
      <c r="X48" s="5">
        <f>IF(AND(U48,ISNUMBER(correlation!$F$27)),W48*correlation!$F$27+correlation!$G$27,"")</f>
        <v/>
      </c>
      <c r="Y48" s="5">
        <f>IF(AND(U48,ISNUMBER(X48)),(V48-X48)^2,"")</f>
        <v/>
      </c>
      <c r="Z48" s="5">
        <f>IF(U48,1+SUMPRODUCT(--(calc!$U$3:$U$306=TRUE),--(calc!$V$3:$V$306&gt;V48))+(SUMPRODUCT(--(calc!$U$3:$U$306=TRUE),--(calc!$V$3:$V$306=V48))-1)/2,"")</f>
        <v/>
      </c>
      <c r="AA48" s="5">
        <f>IF(U48,1+SUMPRODUCT(--(calc!$U$3:$U$306=TRUE),--(calc!$W$3:$W$306&gt;W48))+(SUMPRODUCT(--(calc!$U$3:$U$306=TRUE),--(calc!$W$3:$W$306=W48))-1)/2,"")</f>
        <v/>
      </c>
      <c r="AB48" s="5">
        <f>IF(U48,SUMPRODUCT(--(calc!$U$3:$U$306=TRUE),--(ROW(calc!$U$3:$U$306)&gt;ROW(U48)),--(((calc!$Z$3:$Z$306&gt;Z48)*(calc!$AA$3:$AA$306&gt;AA48)+(calc!$Z$3:$Z$306&lt;Z48)*(calc!$AA$3:$AA$306&lt;AA48))&gt;0))-SUMPRODUCT(--(calc!$U$3:$U$306=TRUE),--(ROW(calc!$U$3:$U$306)&gt;ROW(U48)),--(((calc!$Z$3:$Z$306&gt;Z48)*(calc!$AA$3:$AA$306&lt;AA48)+(calc!$Z$3:$Z$306&lt;Z48)*(calc!$AA$3:$AA$306&gt;AA48))&gt;0)),0)</f>
        <v/>
      </c>
      <c r="AC48" s="5">
        <f>IF(mos_metrics!I47="","",mos_metrics!I47)</f>
        <v/>
      </c>
      <c r="AD48" s="2">
        <f>AND($J48,ISNUMBER(AC48),correlation!$I$28=1)</f>
        <v/>
      </c>
      <c r="AE48" s="5">
        <f>IF(AD48,$F48,"")</f>
        <v/>
      </c>
      <c r="AF48" s="5">
        <f>IF(AD48,AC48*correlation!$J$28,"")</f>
        <v/>
      </c>
      <c r="AG48" s="5">
        <f>IF(AND(AD48,ISNUMBER(correlation!$F$28)),AF48*correlation!$F$28+correlation!$G$28,"")</f>
        <v/>
      </c>
      <c r="AH48" s="5">
        <f>IF(AND(AD48,ISNUMBER(AG48)),(AE48-AG48)^2,"")</f>
        <v/>
      </c>
      <c r="AI48" s="5">
        <f>IF(AD48,1+SUMPRODUCT(--(calc!$AD$3:$AD$306=TRUE),--(calc!$AE$3:$AE$306&gt;AE48))+(SUMPRODUCT(--(calc!$AD$3:$AD$306=TRUE),--(calc!$AE$3:$AE$306=AE48))-1)/2,"")</f>
        <v/>
      </c>
      <c r="AJ48" s="5">
        <f>IF(AD48,1+SUMPRODUCT(--(calc!$AD$3:$AD$306=TRUE),--(calc!$AF$3:$AF$306&gt;AF48))+(SUMPRODUCT(--(calc!$AD$3:$AD$306=TRUE),--(calc!$AF$3:$AF$306=AF48))-1)/2,"")</f>
        <v/>
      </c>
      <c r="AK48" s="5">
        <f>IF(AD48,SUMPRODUCT(--(calc!$AD$3:$AD$306=TRUE),--(ROW(calc!$AD$3:$AD$306)&gt;ROW(AD48)),--(((calc!$AI$3:$AI$306&gt;AI48)*(calc!$AJ$3:$AJ$306&gt;AJ48)+(calc!$AI$3:$AI$306&lt;AI48)*(calc!$AJ$3:$AJ$306&lt;AJ48))&gt;0))-SUMPRODUCT(--(calc!$AD$3:$AD$306=TRUE),--(ROW(calc!$AD$3:$AD$306)&gt;ROW(AD48)),--(((calc!$AI$3:$AI$306&gt;AI48)*(calc!$AJ$3:$AJ$306&lt;AJ48)+(calc!$AI$3:$AI$306&lt;AI48)*(calc!$AJ$3:$AJ$306&gt;AJ48))&gt;0)),0)</f>
        <v/>
      </c>
      <c r="AL48" s="5">
        <f>IF(mos_metrics!J47="","",mos_metrics!J47)</f>
        <v/>
      </c>
      <c r="AM48" s="2">
        <f>AND($J48,ISNUMBER(AL48),correlation!$I$29=1)</f>
        <v/>
      </c>
      <c r="AN48" s="5">
        <f>IF(AM48,$F48,"")</f>
        <v/>
      </c>
      <c r="AO48" s="5">
        <f>IF(AM48,AL48*correlation!$J$29,"")</f>
        <v/>
      </c>
      <c r="AP48" s="5">
        <f>IF(AND(AM48,ISNUMBER(correlation!$F$29)),AO48*correlation!$F$29+correlation!$G$29,"")</f>
        <v/>
      </c>
      <c r="AQ48" s="5">
        <f>IF(AND(AM48,ISNUMBER(AP48)),(AN48-AP48)^2,"")</f>
        <v/>
      </c>
      <c r="AR48" s="5">
        <f>IF(AM48,1+SUMPRODUCT(--(calc!$AM$3:$AM$306=TRUE),--(calc!$AN$3:$AN$306&gt;AN48))+(SUMPRODUCT(--(calc!$AM$3:$AM$306=TRUE),--(calc!$AN$3:$AN$306=AN48))-1)/2,"")</f>
        <v/>
      </c>
      <c r="AS48" s="5">
        <f>IF(AM48,1+SUMPRODUCT(--(calc!$AM$3:$AM$306=TRUE),--(calc!$AO$3:$AO$306&gt;AO48))+(SUMPRODUCT(--(calc!$AM$3:$AM$306=TRUE),--(calc!$AO$3:$AO$306=AO48))-1)/2,"")</f>
        <v/>
      </c>
      <c r="AT48" s="5">
        <f>IF(AM48,SUMPRODUCT(--(calc!$AM$3:$AM$306=TRUE),--(ROW(calc!$AM$3:$AM$306)&gt;ROW(AM48)),--(((calc!$AR$3:$AR$306&gt;AR48)*(calc!$AS$3:$AS$306&gt;AS48)+(calc!$AR$3:$AR$306&lt;AR48)*(calc!$AS$3:$AS$306&lt;AS48))&gt;0))-SUMPRODUCT(--(calc!$AM$3:$AM$306=TRUE),--(ROW(calc!$AM$3:$AM$306)&gt;ROW(AM48)),--(((calc!$AR$3:$AR$306&gt;AR48)*(calc!$AS$3:$AS$306&lt;AS48)+(calc!$AR$3:$AR$306&lt;AR48)*(calc!$AS$3:$AS$306&gt;AS48))&gt;0)),0)</f>
        <v/>
      </c>
      <c r="AU48" s="5">
        <f>IF(mos_metrics!K47="","",mos_metrics!K47)</f>
        <v/>
      </c>
      <c r="AV48" s="2">
        <f>AND($J48,ISNUMBER(AU48),correlation!$I$30=1)</f>
        <v/>
      </c>
      <c r="AW48" s="5">
        <f>IF(AV48,$F48,"")</f>
        <v/>
      </c>
      <c r="AX48" s="5">
        <f>IF(AV48,AU48*correlation!$J$30,"")</f>
        <v/>
      </c>
      <c r="AY48" s="5">
        <f>IF(AND(AV48,ISNUMBER(correlation!$F$30)),AX48*correlation!$F$30+correlation!$G$30,"")</f>
        <v/>
      </c>
      <c r="AZ48" s="5">
        <f>IF(AND(AV48,ISNUMBER(AY48)),(AW48-AY48)^2,"")</f>
        <v/>
      </c>
      <c r="BA48" s="5">
        <f>IF(AV48,1+SUMPRODUCT(--(calc!$AV$3:$AV$306=TRUE),--(calc!$AW$3:$AW$306&gt;AW48))+(SUMPRODUCT(--(calc!$AV$3:$AV$306=TRUE),--(calc!$AW$3:$AW$306=AW48))-1)/2,"")</f>
        <v/>
      </c>
      <c r="BB48" s="5">
        <f>IF(AV48,1+SUMPRODUCT(--(calc!$AV$3:$AV$306=TRUE),--(calc!$AX$3:$AX$306&gt;AX48))+(SUMPRODUCT(--(calc!$AV$3:$AV$306=TRUE),--(calc!$AX$3:$AX$306=AX48))-1)/2,"")</f>
        <v/>
      </c>
      <c r="BC48" s="5">
        <f>IF(AV48,SUMPRODUCT(--(calc!$AV$3:$AV$306=TRUE),--(ROW(calc!$AV$3:$AV$306)&gt;ROW(AV48)),--(((calc!$BA$3:$BA$306&gt;BA48)*(calc!$BB$3:$BB$306&gt;BB48)+(calc!$BA$3:$BA$306&lt;BA48)*(calc!$BB$3:$BB$306&lt;BB48))&gt;0))-SUMPRODUCT(--(calc!$AV$3:$AV$306=TRUE),--(ROW(calc!$AV$3:$AV$306)&gt;ROW(AV48)),--(((calc!$BA$3:$BA$306&gt;BA48)*(calc!$BB$3:$BB$306&lt;BB48)+(calc!$BA$3:$BA$306&lt;BA48)*(calc!$BB$3:$BB$306&gt;BB48))&gt;0)),0)</f>
        <v/>
      </c>
      <c r="BD48" s="5">
        <f>IF(mos_metrics!L47="","",mos_metrics!L47)</f>
        <v/>
      </c>
      <c r="BE48" s="2">
        <f>AND($J48,ISNUMBER(BD48),correlation!$I$31=1)</f>
        <v/>
      </c>
      <c r="BF48" s="5">
        <f>IF(BE48,$F48,"")</f>
        <v/>
      </c>
      <c r="BG48" s="5">
        <f>IF(BE48,BD48*correlation!$J$31,"")</f>
        <v/>
      </c>
      <c r="BH48" s="5">
        <f>IF(AND(BE48,ISNUMBER(correlation!$F$31)),BG48*correlation!$F$31+correlation!$G$31,"")</f>
        <v/>
      </c>
      <c r="BI48" s="5">
        <f>IF(AND(BE48,ISNUMBER(BH48)),(BF48-BH48)^2,"")</f>
        <v/>
      </c>
      <c r="BJ48" s="5">
        <f>IF(BE48,1+SUMPRODUCT(--(calc!$BE$3:$BE$306=TRUE),--(calc!$BF$3:$BF$306&gt;BF48))+(SUMPRODUCT(--(calc!$BE$3:$BE$306=TRUE),--(calc!$BF$3:$BF$306=BF48))-1)/2,"")</f>
        <v/>
      </c>
      <c r="BK48" s="5">
        <f>IF(BE48,1+SUMPRODUCT(--(calc!$BE$3:$BE$306=TRUE),--(calc!$BG$3:$BG$306&gt;BG48))+(SUMPRODUCT(--(calc!$BE$3:$BE$306=TRUE),--(calc!$BG$3:$BG$306=BG48))-1)/2,"")</f>
        <v/>
      </c>
      <c r="BL48" s="5">
        <f>IF(BE48,SUMPRODUCT(--(calc!$BE$3:$BE$306=TRUE),--(ROW(calc!$BE$3:$BE$306)&gt;ROW(BE48)),--(((calc!$BJ$3:$BJ$306&gt;BJ48)*(calc!$BK$3:$BK$306&gt;BK48)+(calc!$BJ$3:$BJ$306&lt;BJ48)*(calc!$BK$3:$BK$306&lt;BK48))&gt;0))-SUMPRODUCT(--(calc!$BE$3:$BE$306=TRUE),--(ROW(calc!$BE$3:$BE$306)&gt;ROW(BE48)),--(((calc!$BJ$3:$BJ$306&gt;BJ48)*(calc!$BK$3:$BK$306&lt;BK48)+(calc!$BJ$3:$BJ$306&lt;BJ48)*(calc!$BK$3:$BK$306&gt;BK48))&gt;0)),0)</f>
        <v/>
      </c>
      <c r="BM48" s="5">
        <f>IF(mos_metrics!M47="","",mos_metrics!M47)</f>
        <v/>
      </c>
      <c r="BN48" s="2">
        <f>AND($J48,ISNUMBER(BM48),correlation!$I$32=1)</f>
        <v/>
      </c>
      <c r="BO48" s="5">
        <f>IF(BN48,$F48,"")</f>
        <v/>
      </c>
      <c r="BP48" s="5">
        <f>IF(BN48,BM48*correlation!$J$32,"")</f>
        <v/>
      </c>
      <c r="BQ48" s="5">
        <f>IF(AND(BN48,ISNUMBER(correlation!$F$32)),BP48*correlation!$F$32+correlation!$G$32,"")</f>
        <v/>
      </c>
      <c r="BR48" s="5">
        <f>IF(AND(BN48,ISNUMBER(BQ48)),(BO48-BQ48)^2,"")</f>
        <v/>
      </c>
      <c r="BS48" s="5">
        <f>IF(BN48,1+SUMPRODUCT(--(calc!$BN$3:$BN$306=TRUE),--(calc!$BO$3:$BO$306&gt;BO48))+(SUMPRODUCT(--(calc!$BN$3:$BN$306=TRUE),--(calc!$BO$3:$BO$306=BO48))-1)/2,"")</f>
        <v/>
      </c>
      <c r="BT48" s="5">
        <f>IF(BN48,1+SUMPRODUCT(--(calc!$BN$3:$BN$306=TRUE),--(calc!$BP$3:$BP$306&gt;BP48))+(SUMPRODUCT(--(calc!$BN$3:$BN$306=TRUE),--(calc!$BP$3:$BP$306=BP48))-1)/2,"")</f>
        <v/>
      </c>
      <c r="BU48" s="5">
        <f>IF(BN48,SUMPRODUCT(--(calc!$BN$3:$BN$306=TRUE),--(ROW(calc!$BN$3:$BN$306)&gt;ROW(BN48)),--(((calc!$BS$3:$BS$306&gt;BS48)*(calc!$BT$3:$BT$306&gt;BT48)+(calc!$BS$3:$BS$306&lt;BS48)*(calc!$BT$3:$BT$306&lt;BT48))&gt;0))-SUMPRODUCT(--(calc!$BN$3:$BN$306=TRUE),--(ROW(calc!$BN$3:$BN$306)&gt;ROW(BN48)),--(((calc!$BS$3:$BS$306&gt;BS48)*(calc!$BT$3:$BT$306&lt;BT48)+(calc!$BS$3:$BS$306&lt;BS48)*(calc!$BT$3:$BT$306&gt;BT48))&gt;0)),0)</f>
        <v/>
      </c>
    </row>
    <row r="49">
      <c r="A49" s="2">
        <f>mos_metrics!A48</f>
        <v/>
      </c>
      <c r="B49" s="2">
        <f>mos_metrics!B48</f>
        <v/>
      </c>
      <c r="C49" s="2">
        <f>mos_metrics!C48</f>
        <v/>
      </c>
      <c r="D49" s="2">
        <f>mos_metrics!D48</f>
        <v/>
      </c>
      <c r="E49" s="2">
        <f>mos_metrics!E48</f>
        <v/>
      </c>
      <c r="F49" s="2">
        <f>mos_metrics!F48</f>
        <v/>
      </c>
      <c r="G49" s="2">
        <f>IF($B49="","",IFERROR(VLOOKUP($B49,correlation!$A$2:$B$16,2,FALSE),1))</f>
        <v/>
      </c>
      <c r="H49" s="2">
        <f>IF($E49="","",IFERROR(VLOOKUP($E49,correlation!$D$2:$E$8,2,FALSE),1))</f>
        <v/>
      </c>
      <c r="I49" s="2">
        <f>ISNUMBER($F49)</f>
        <v/>
      </c>
      <c r="J49" s="2">
        <f>AND($G49=1,$H49=1,$I49)</f>
        <v/>
      </c>
      <c r="K49" s="5">
        <f>IF(mos_metrics!G48="","",mos_metrics!G48)</f>
        <v/>
      </c>
      <c r="L49" s="2">
        <f>AND($J49,ISNUMBER(K49),correlation!$I$26=1)</f>
        <v/>
      </c>
      <c r="M49" s="5">
        <f>IF(L49,$F49,"")</f>
        <v/>
      </c>
      <c r="N49" s="5">
        <f>IF(L49,K49*correlation!$J$26,"")</f>
        <v/>
      </c>
      <c r="O49" s="5">
        <f>IF(AND(L49,ISNUMBER(correlation!$F$26)),N49*correlation!$F$26+correlation!$G$26,"")</f>
        <v/>
      </c>
      <c r="P49" s="5">
        <f>IF(AND(L49,ISNUMBER(O49)),(M49-O49)^2,"")</f>
        <v/>
      </c>
      <c r="Q49" s="5">
        <f>IF(L49,1+SUMPRODUCT(--(calc!$L$3:$L$306=TRUE),--(calc!$M$3:$M$306&gt;M49))+(SUMPRODUCT(--(calc!$L$3:$L$306=TRUE),--(calc!$M$3:$M$306=M49))-1)/2,"")</f>
        <v/>
      </c>
      <c r="R49" s="5">
        <f>IF(L49,1+SUMPRODUCT(--(calc!$L$3:$L$306=TRUE),--(calc!$N$3:$N$306&gt;N49))+(SUMPRODUCT(--(calc!$L$3:$L$306=TRUE),--(calc!$N$3:$N$306=N49))-1)/2,"")</f>
        <v/>
      </c>
      <c r="S49" s="5">
        <f>IF(L49,SUMPRODUCT(--(calc!$L$3:$L$306=TRUE),--(ROW(calc!$L$3:$L$306)&gt;ROW(L49)),--(((calc!$Q$3:$Q$306&gt;Q49)*(calc!$R$3:$R$306&gt;R49)+(calc!$Q$3:$Q$306&lt;Q49)*(calc!$R$3:$R$306&lt;R49))&gt;0))-SUMPRODUCT(--(calc!$L$3:$L$306=TRUE),--(ROW(calc!$L$3:$L$306)&gt;ROW(L49)),--(((calc!$Q$3:$Q$306&gt;Q49)*(calc!$R$3:$R$306&lt;R49)+(calc!$Q$3:$Q$306&lt;Q49)*(calc!$R$3:$R$306&gt;R49))&gt;0)),0)</f>
        <v/>
      </c>
      <c r="T49" s="5">
        <f>IF(mos_metrics!H48="","",mos_metrics!H48)</f>
        <v/>
      </c>
      <c r="U49" s="2">
        <f>AND($J49,ISNUMBER(T49),correlation!$I$27=1)</f>
        <v/>
      </c>
      <c r="V49" s="5">
        <f>IF(U49,$F49,"")</f>
        <v/>
      </c>
      <c r="W49" s="5">
        <f>IF(U49,T49*correlation!$J$27,"")</f>
        <v/>
      </c>
      <c r="X49" s="5">
        <f>IF(AND(U49,ISNUMBER(correlation!$F$27)),W49*correlation!$F$27+correlation!$G$27,"")</f>
        <v/>
      </c>
      <c r="Y49" s="5">
        <f>IF(AND(U49,ISNUMBER(X49)),(V49-X49)^2,"")</f>
        <v/>
      </c>
      <c r="Z49" s="5">
        <f>IF(U49,1+SUMPRODUCT(--(calc!$U$3:$U$306=TRUE),--(calc!$V$3:$V$306&gt;V49))+(SUMPRODUCT(--(calc!$U$3:$U$306=TRUE),--(calc!$V$3:$V$306=V49))-1)/2,"")</f>
        <v/>
      </c>
      <c r="AA49" s="5">
        <f>IF(U49,1+SUMPRODUCT(--(calc!$U$3:$U$306=TRUE),--(calc!$W$3:$W$306&gt;W49))+(SUMPRODUCT(--(calc!$U$3:$U$306=TRUE),--(calc!$W$3:$W$306=W49))-1)/2,"")</f>
        <v/>
      </c>
      <c r="AB49" s="5">
        <f>IF(U49,SUMPRODUCT(--(calc!$U$3:$U$306=TRUE),--(ROW(calc!$U$3:$U$306)&gt;ROW(U49)),--(((calc!$Z$3:$Z$306&gt;Z49)*(calc!$AA$3:$AA$306&gt;AA49)+(calc!$Z$3:$Z$306&lt;Z49)*(calc!$AA$3:$AA$306&lt;AA49))&gt;0))-SUMPRODUCT(--(calc!$U$3:$U$306=TRUE),--(ROW(calc!$U$3:$U$306)&gt;ROW(U49)),--(((calc!$Z$3:$Z$306&gt;Z49)*(calc!$AA$3:$AA$306&lt;AA49)+(calc!$Z$3:$Z$306&lt;Z49)*(calc!$AA$3:$AA$306&gt;AA49))&gt;0)),0)</f>
        <v/>
      </c>
      <c r="AC49" s="5">
        <f>IF(mos_metrics!I48="","",mos_metrics!I48)</f>
        <v/>
      </c>
      <c r="AD49" s="2">
        <f>AND($J49,ISNUMBER(AC49),correlation!$I$28=1)</f>
        <v/>
      </c>
      <c r="AE49" s="5">
        <f>IF(AD49,$F49,"")</f>
        <v/>
      </c>
      <c r="AF49" s="5">
        <f>IF(AD49,AC49*correlation!$J$28,"")</f>
        <v/>
      </c>
      <c r="AG49" s="5">
        <f>IF(AND(AD49,ISNUMBER(correlation!$F$28)),AF49*correlation!$F$28+correlation!$G$28,"")</f>
        <v/>
      </c>
      <c r="AH49" s="5">
        <f>IF(AND(AD49,ISNUMBER(AG49)),(AE49-AG49)^2,"")</f>
        <v/>
      </c>
      <c r="AI49" s="5">
        <f>IF(AD49,1+SUMPRODUCT(--(calc!$AD$3:$AD$306=TRUE),--(calc!$AE$3:$AE$306&gt;AE49))+(SUMPRODUCT(--(calc!$AD$3:$AD$306=TRUE),--(calc!$AE$3:$AE$306=AE49))-1)/2,"")</f>
        <v/>
      </c>
      <c r="AJ49" s="5">
        <f>IF(AD49,1+SUMPRODUCT(--(calc!$AD$3:$AD$306=TRUE),--(calc!$AF$3:$AF$306&gt;AF49))+(SUMPRODUCT(--(calc!$AD$3:$AD$306=TRUE),--(calc!$AF$3:$AF$306=AF49))-1)/2,"")</f>
        <v/>
      </c>
      <c r="AK49" s="5">
        <f>IF(AD49,SUMPRODUCT(--(calc!$AD$3:$AD$306=TRUE),--(ROW(calc!$AD$3:$AD$306)&gt;ROW(AD49)),--(((calc!$AI$3:$AI$306&gt;AI49)*(calc!$AJ$3:$AJ$306&gt;AJ49)+(calc!$AI$3:$AI$306&lt;AI49)*(calc!$AJ$3:$AJ$306&lt;AJ49))&gt;0))-SUMPRODUCT(--(calc!$AD$3:$AD$306=TRUE),--(ROW(calc!$AD$3:$AD$306)&gt;ROW(AD49)),--(((calc!$AI$3:$AI$306&gt;AI49)*(calc!$AJ$3:$AJ$306&lt;AJ49)+(calc!$AI$3:$AI$306&lt;AI49)*(calc!$AJ$3:$AJ$306&gt;AJ49))&gt;0)),0)</f>
        <v/>
      </c>
      <c r="AL49" s="5">
        <f>IF(mos_metrics!J48="","",mos_metrics!J48)</f>
        <v/>
      </c>
      <c r="AM49" s="2">
        <f>AND($J49,ISNUMBER(AL49),correlation!$I$29=1)</f>
        <v/>
      </c>
      <c r="AN49" s="5">
        <f>IF(AM49,$F49,"")</f>
        <v/>
      </c>
      <c r="AO49" s="5">
        <f>IF(AM49,AL49*correlation!$J$29,"")</f>
        <v/>
      </c>
      <c r="AP49" s="5">
        <f>IF(AND(AM49,ISNUMBER(correlation!$F$29)),AO49*correlation!$F$29+correlation!$G$29,"")</f>
        <v/>
      </c>
      <c r="AQ49" s="5">
        <f>IF(AND(AM49,ISNUMBER(AP49)),(AN49-AP49)^2,"")</f>
        <v/>
      </c>
      <c r="AR49" s="5">
        <f>IF(AM49,1+SUMPRODUCT(--(calc!$AM$3:$AM$306=TRUE),--(calc!$AN$3:$AN$306&gt;AN49))+(SUMPRODUCT(--(calc!$AM$3:$AM$306=TRUE),--(calc!$AN$3:$AN$306=AN49))-1)/2,"")</f>
        <v/>
      </c>
      <c r="AS49" s="5">
        <f>IF(AM49,1+SUMPRODUCT(--(calc!$AM$3:$AM$306=TRUE),--(calc!$AO$3:$AO$306&gt;AO49))+(SUMPRODUCT(--(calc!$AM$3:$AM$306=TRUE),--(calc!$AO$3:$AO$306=AO49))-1)/2,"")</f>
        <v/>
      </c>
      <c r="AT49" s="5">
        <f>IF(AM49,SUMPRODUCT(--(calc!$AM$3:$AM$306=TRUE),--(ROW(calc!$AM$3:$AM$306)&gt;ROW(AM49)),--(((calc!$AR$3:$AR$306&gt;AR49)*(calc!$AS$3:$AS$306&gt;AS49)+(calc!$AR$3:$AR$306&lt;AR49)*(calc!$AS$3:$AS$306&lt;AS49))&gt;0))-SUMPRODUCT(--(calc!$AM$3:$AM$306=TRUE),--(ROW(calc!$AM$3:$AM$306)&gt;ROW(AM49)),--(((calc!$AR$3:$AR$306&gt;AR49)*(calc!$AS$3:$AS$306&lt;AS49)+(calc!$AR$3:$AR$306&lt;AR49)*(calc!$AS$3:$AS$306&gt;AS49))&gt;0)),0)</f>
        <v/>
      </c>
      <c r="AU49" s="5">
        <f>IF(mos_metrics!K48="","",mos_metrics!K48)</f>
        <v/>
      </c>
      <c r="AV49" s="2">
        <f>AND($J49,ISNUMBER(AU49),correlation!$I$30=1)</f>
        <v/>
      </c>
      <c r="AW49" s="5">
        <f>IF(AV49,$F49,"")</f>
        <v/>
      </c>
      <c r="AX49" s="5">
        <f>IF(AV49,AU49*correlation!$J$30,"")</f>
        <v/>
      </c>
      <c r="AY49" s="5">
        <f>IF(AND(AV49,ISNUMBER(correlation!$F$30)),AX49*correlation!$F$30+correlation!$G$30,"")</f>
        <v/>
      </c>
      <c r="AZ49" s="5">
        <f>IF(AND(AV49,ISNUMBER(AY49)),(AW49-AY49)^2,"")</f>
        <v/>
      </c>
      <c r="BA49" s="5">
        <f>IF(AV49,1+SUMPRODUCT(--(calc!$AV$3:$AV$306=TRUE),--(calc!$AW$3:$AW$306&gt;AW49))+(SUMPRODUCT(--(calc!$AV$3:$AV$306=TRUE),--(calc!$AW$3:$AW$306=AW49))-1)/2,"")</f>
        <v/>
      </c>
      <c r="BB49" s="5">
        <f>IF(AV49,1+SUMPRODUCT(--(calc!$AV$3:$AV$306=TRUE),--(calc!$AX$3:$AX$306&gt;AX49))+(SUMPRODUCT(--(calc!$AV$3:$AV$306=TRUE),--(calc!$AX$3:$AX$306=AX49))-1)/2,"")</f>
        <v/>
      </c>
      <c r="BC49" s="5">
        <f>IF(AV49,SUMPRODUCT(--(calc!$AV$3:$AV$306=TRUE),--(ROW(calc!$AV$3:$AV$306)&gt;ROW(AV49)),--(((calc!$BA$3:$BA$306&gt;BA49)*(calc!$BB$3:$BB$306&gt;BB49)+(calc!$BA$3:$BA$306&lt;BA49)*(calc!$BB$3:$BB$306&lt;BB49))&gt;0))-SUMPRODUCT(--(calc!$AV$3:$AV$306=TRUE),--(ROW(calc!$AV$3:$AV$306)&gt;ROW(AV49)),--(((calc!$BA$3:$BA$306&gt;BA49)*(calc!$BB$3:$BB$306&lt;BB49)+(calc!$BA$3:$BA$306&lt;BA49)*(calc!$BB$3:$BB$306&gt;BB49))&gt;0)),0)</f>
        <v/>
      </c>
      <c r="BD49" s="5">
        <f>IF(mos_metrics!L48="","",mos_metrics!L48)</f>
        <v/>
      </c>
      <c r="BE49" s="2">
        <f>AND($J49,ISNUMBER(BD49),correlation!$I$31=1)</f>
        <v/>
      </c>
      <c r="BF49" s="5">
        <f>IF(BE49,$F49,"")</f>
        <v/>
      </c>
      <c r="BG49" s="5">
        <f>IF(BE49,BD49*correlation!$J$31,"")</f>
        <v/>
      </c>
      <c r="BH49" s="5">
        <f>IF(AND(BE49,ISNUMBER(correlation!$F$31)),BG49*correlation!$F$31+correlation!$G$31,"")</f>
        <v/>
      </c>
      <c r="BI49" s="5">
        <f>IF(AND(BE49,ISNUMBER(BH49)),(BF49-BH49)^2,"")</f>
        <v/>
      </c>
      <c r="BJ49" s="5">
        <f>IF(BE49,1+SUMPRODUCT(--(calc!$BE$3:$BE$306=TRUE),--(calc!$BF$3:$BF$306&gt;BF49))+(SUMPRODUCT(--(calc!$BE$3:$BE$306=TRUE),--(calc!$BF$3:$BF$306=BF49))-1)/2,"")</f>
        <v/>
      </c>
      <c r="BK49" s="5">
        <f>IF(BE49,1+SUMPRODUCT(--(calc!$BE$3:$BE$306=TRUE),--(calc!$BG$3:$BG$306&gt;BG49))+(SUMPRODUCT(--(calc!$BE$3:$BE$306=TRUE),--(calc!$BG$3:$BG$306=BG49))-1)/2,"")</f>
        <v/>
      </c>
      <c r="BL49" s="5">
        <f>IF(BE49,SUMPRODUCT(--(calc!$BE$3:$BE$306=TRUE),--(ROW(calc!$BE$3:$BE$306)&gt;ROW(BE49)),--(((calc!$BJ$3:$BJ$306&gt;BJ49)*(calc!$BK$3:$BK$306&gt;BK49)+(calc!$BJ$3:$BJ$306&lt;BJ49)*(calc!$BK$3:$BK$306&lt;BK49))&gt;0))-SUMPRODUCT(--(calc!$BE$3:$BE$306=TRUE),--(ROW(calc!$BE$3:$BE$306)&gt;ROW(BE49)),--(((calc!$BJ$3:$BJ$306&gt;BJ49)*(calc!$BK$3:$BK$306&lt;BK49)+(calc!$BJ$3:$BJ$306&lt;BJ49)*(calc!$BK$3:$BK$306&gt;BK49))&gt;0)),0)</f>
        <v/>
      </c>
      <c r="BM49" s="5">
        <f>IF(mos_metrics!M48="","",mos_metrics!M48)</f>
        <v/>
      </c>
      <c r="BN49" s="2">
        <f>AND($J49,ISNUMBER(BM49),correlation!$I$32=1)</f>
        <v/>
      </c>
      <c r="BO49" s="5">
        <f>IF(BN49,$F49,"")</f>
        <v/>
      </c>
      <c r="BP49" s="5">
        <f>IF(BN49,BM49*correlation!$J$32,"")</f>
        <v/>
      </c>
      <c r="BQ49" s="5">
        <f>IF(AND(BN49,ISNUMBER(correlation!$F$32)),BP49*correlation!$F$32+correlation!$G$32,"")</f>
        <v/>
      </c>
      <c r="BR49" s="5">
        <f>IF(AND(BN49,ISNUMBER(BQ49)),(BO49-BQ49)^2,"")</f>
        <v/>
      </c>
      <c r="BS49" s="5">
        <f>IF(BN49,1+SUMPRODUCT(--(calc!$BN$3:$BN$306=TRUE),--(calc!$BO$3:$BO$306&gt;BO49))+(SUMPRODUCT(--(calc!$BN$3:$BN$306=TRUE),--(calc!$BO$3:$BO$306=BO49))-1)/2,"")</f>
        <v/>
      </c>
      <c r="BT49" s="5">
        <f>IF(BN49,1+SUMPRODUCT(--(calc!$BN$3:$BN$306=TRUE),--(calc!$BP$3:$BP$306&gt;BP49))+(SUMPRODUCT(--(calc!$BN$3:$BN$306=TRUE),--(calc!$BP$3:$BP$306=BP49))-1)/2,"")</f>
        <v/>
      </c>
      <c r="BU49" s="5">
        <f>IF(BN49,SUMPRODUCT(--(calc!$BN$3:$BN$306=TRUE),--(ROW(calc!$BN$3:$BN$306)&gt;ROW(BN49)),--(((calc!$BS$3:$BS$306&gt;BS49)*(calc!$BT$3:$BT$306&gt;BT49)+(calc!$BS$3:$BS$306&lt;BS49)*(calc!$BT$3:$BT$306&lt;BT49))&gt;0))-SUMPRODUCT(--(calc!$BN$3:$BN$306=TRUE),--(ROW(calc!$BN$3:$BN$306)&gt;ROW(BN49)),--(((calc!$BS$3:$BS$306&gt;BS49)*(calc!$BT$3:$BT$306&lt;BT49)+(calc!$BS$3:$BS$306&lt;BS49)*(calc!$BT$3:$BT$306&gt;BT49))&gt;0)),0)</f>
        <v/>
      </c>
    </row>
    <row r="50">
      <c r="A50" s="2">
        <f>mos_metrics!A49</f>
        <v/>
      </c>
      <c r="B50" s="2">
        <f>mos_metrics!B49</f>
        <v/>
      </c>
      <c r="C50" s="2">
        <f>mos_metrics!C49</f>
        <v/>
      </c>
      <c r="D50" s="2">
        <f>mos_metrics!D49</f>
        <v/>
      </c>
      <c r="E50" s="2">
        <f>mos_metrics!E49</f>
        <v/>
      </c>
      <c r="F50" s="2">
        <f>mos_metrics!F49</f>
        <v/>
      </c>
      <c r="G50" s="2">
        <f>IF($B50="","",IFERROR(VLOOKUP($B50,correlation!$A$2:$B$16,2,FALSE),1))</f>
        <v/>
      </c>
      <c r="H50" s="2">
        <f>IF($E50="","",IFERROR(VLOOKUP($E50,correlation!$D$2:$E$8,2,FALSE),1))</f>
        <v/>
      </c>
      <c r="I50" s="2">
        <f>ISNUMBER($F50)</f>
        <v/>
      </c>
      <c r="J50" s="2">
        <f>AND($G50=1,$H50=1,$I50)</f>
        <v/>
      </c>
      <c r="K50" s="5">
        <f>IF(mos_metrics!G49="","",mos_metrics!G49)</f>
        <v/>
      </c>
      <c r="L50" s="2">
        <f>AND($J50,ISNUMBER(K50),correlation!$I$26=1)</f>
        <v/>
      </c>
      <c r="M50" s="5">
        <f>IF(L50,$F50,"")</f>
        <v/>
      </c>
      <c r="N50" s="5">
        <f>IF(L50,K50*correlation!$J$26,"")</f>
        <v/>
      </c>
      <c r="O50" s="5">
        <f>IF(AND(L50,ISNUMBER(correlation!$F$26)),N50*correlation!$F$26+correlation!$G$26,"")</f>
        <v/>
      </c>
      <c r="P50" s="5">
        <f>IF(AND(L50,ISNUMBER(O50)),(M50-O50)^2,"")</f>
        <v/>
      </c>
      <c r="Q50" s="5">
        <f>IF(L50,1+SUMPRODUCT(--(calc!$L$3:$L$306=TRUE),--(calc!$M$3:$M$306&gt;M50))+(SUMPRODUCT(--(calc!$L$3:$L$306=TRUE),--(calc!$M$3:$M$306=M50))-1)/2,"")</f>
        <v/>
      </c>
      <c r="R50" s="5">
        <f>IF(L50,1+SUMPRODUCT(--(calc!$L$3:$L$306=TRUE),--(calc!$N$3:$N$306&gt;N50))+(SUMPRODUCT(--(calc!$L$3:$L$306=TRUE),--(calc!$N$3:$N$306=N50))-1)/2,"")</f>
        <v/>
      </c>
      <c r="S50" s="5">
        <f>IF(L50,SUMPRODUCT(--(calc!$L$3:$L$306=TRUE),--(ROW(calc!$L$3:$L$306)&gt;ROW(L50)),--(((calc!$Q$3:$Q$306&gt;Q50)*(calc!$R$3:$R$306&gt;R50)+(calc!$Q$3:$Q$306&lt;Q50)*(calc!$R$3:$R$306&lt;R50))&gt;0))-SUMPRODUCT(--(calc!$L$3:$L$306=TRUE),--(ROW(calc!$L$3:$L$306)&gt;ROW(L50)),--(((calc!$Q$3:$Q$306&gt;Q50)*(calc!$R$3:$R$306&lt;R50)+(calc!$Q$3:$Q$306&lt;Q50)*(calc!$R$3:$R$306&gt;R50))&gt;0)),0)</f>
        <v/>
      </c>
      <c r="T50" s="5">
        <f>IF(mos_metrics!H49="","",mos_metrics!H49)</f>
        <v/>
      </c>
      <c r="U50" s="2">
        <f>AND($J50,ISNUMBER(T50),correlation!$I$27=1)</f>
        <v/>
      </c>
      <c r="V50" s="5">
        <f>IF(U50,$F50,"")</f>
        <v/>
      </c>
      <c r="W50" s="5">
        <f>IF(U50,T50*correlation!$J$27,"")</f>
        <v/>
      </c>
      <c r="X50" s="5">
        <f>IF(AND(U50,ISNUMBER(correlation!$F$27)),W50*correlation!$F$27+correlation!$G$27,"")</f>
        <v/>
      </c>
      <c r="Y50" s="5">
        <f>IF(AND(U50,ISNUMBER(X50)),(V50-X50)^2,"")</f>
        <v/>
      </c>
      <c r="Z50" s="5">
        <f>IF(U50,1+SUMPRODUCT(--(calc!$U$3:$U$306=TRUE),--(calc!$V$3:$V$306&gt;V50))+(SUMPRODUCT(--(calc!$U$3:$U$306=TRUE),--(calc!$V$3:$V$306=V50))-1)/2,"")</f>
        <v/>
      </c>
      <c r="AA50" s="5">
        <f>IF(U50,1+SUMPRODUCT(--(calc!$U$3:$U$306=TRUE),--(calc!$W$3:$W$306&gt;W50))+(SUMPRODUCT(--(calc!$U$3:$U$306=TRUE),--(calc!$W$3:$W$306=W50))-1)/2,"")</f>
        <v/>
      </c>
      <c r="AB50" s="5">
        <f>IF(U50,SUMPRODUCT(--(calc!$U$3:$U$306=TRUE),--(ROW(calc!$U$3:$U$306)&gt;ROW(U50)),--(((calc!$Z$3:$Z$306&gt;Z50)*(calc!$AA$3:$AA$306&gt;AA50)+(calc!$Z$3:$Z$306&lt;Z50)*(calc!$AA$3:$AA$306&lt;AA50))&gt;0))-SUMPRODUCT(--(calc!$U$3:$U$306=TRUE),--(ROW(calc!$U$3:$U$306)&gt;ROW(U50)),--(((calc!$Z$3:$Z$306&gt;Z50)*(calc!$AA$3:$AA$306&lt;AA50)+(calc!$Z$3:$Z$306&lt;Z50)*(calc!$AA$3:$AA$306&gt;AA50))&gt;0)),0)</f>
        <v/>
      </c>
      <c r="AC50" s="5">
        <f>IF(mos_metrics!I49="","",mos_metrics!I49)</f>
        <v/>
      </c>
      <c r="AD50" s="2">
        <f>AND($J50,ISNUMBER(AC50),correlation!$I$28=1)</f>
        <v/>
      </c>
      <c r="AE50" s="5">
        <f>IF(AD50,$F50,"")</f>
        <v/>
      </c>
      <c r="AF50" s="5">
        <f>IF(AD50,AC50*correlation!$J$28,"")</f>
        <v/>
      </c>
      <c r="AG50" s="5">
        <f>IF(AND(AD50,ISNUMBER(correlation!$F$28)),AF50*correlation!$F$28+correlation!$G$28,"")</f>
        <v/>
      </c>
      <c r="AH50" s="5">
        <f>IF(AND(AD50,ISNUMBER(AG50)),(AE50-AG50)^2,"")</f>
        <v/>
      </c>
      <c r="AI50" s="5">
        <f>IF(AD50,1+SUMPRODUCT(--(calc!$AD$3:$AD$306=TRUE),--(calc!$AE$3:$AE$306&gt;AE50))+(SUMPRODUCT(--(calc!$AD$3:$AD$306=TRUE),--(calc!$AE$3:$AE$306=AE50))-1)/2,"")</f>
        <v/>
      </c>
      <c r="AJ50" s="5">
        <f>IF(AD50,1+SUMPRODUCT(--(calc!$AD$3:$AD$306=TRUE),--(calc!$AF$3:$AF$306&gt;AF50))+(SUMPRODUCT(--(calc!$AD$3:$AD$306=TRUE),--(calc!$AF$3:$AF$306=AF50))-1)/2,"")</f>
        <v/>
      </c>
      <c r="AK50" s="5">
        <f>IF(AD50,SUMPRODUCT(--(calc!$AD$3:$AD$306=TRUE),--(ROW(calc!$AD$3:$AD$306)&gt;ROW(AD50)),--(((calc!$AI$3:$AI$306&gt;AI50)*(calc!$AJ$3:$AJ$306&gt;AJ50)+(calc!$AI$3:$AI$306&lt;AI50)*(calc!$AJ$3:$AJ$306&lt;AJ50))&gt;0))-SUMPRODUCT(--(calc!$AD$3:$AD$306=TRUE),--(ROW(calc!$AD$3:$AD$306)&gt;ROW(AD50)),--(((calc!$AI$3:$AI$306&gt;AI50)*(calc!$AJ$3:$AJ$306&lt;AJ50)+(calc!$AI$3:$AI$306&lt;AI50)*(calc!$AJ$3:$AJ$306&gt;AJ50))&gt;0)),0)</f>
        <v/>
      </c>
      <c r="AL50" s="5">
        <f>IF(mos_metrics!J49="","",mos_metrics!J49)</f>
        <v/>
      </c>
      <c r="AM50" s="2">
        <f>AND($J50,ISNUMBER(AL50),correlation!$I$29=1)</f>
        <v/>
      </c>
      <c r="AN50" s="5">
        <f>IF(AM50,$F50,"")</f>
        <v/>
      </c>
      <c r="AO50" s="5">
        <f>IF(AM50,AL50*correlation!$J$29,"")</f>
        <v/>
      </c>
      <c r="AP50" s="5">
        <f>IF(AND(AM50,ISNUMBER(correlation!$F$29)),AO50*correlation!$F$29+correlation!$G$29,"")</f>
        <v/>
      </c>
      <c r="AQ50" s="5">
        <f>IF(AND(AM50,ISNUMBER(AP50)),(AN50-AP50)^2,"")</f>
        <v/>
      </c>
      <c r="AR50" s="5">
        <f>IF(AM50,1+SUMPRODUCT(--(calc!$AM$3:$AM$306=TRUE),--(calc!$AN$3:$AN$306&gt;AN50))+(SUMPRODUCT(--(calc!$AM$3:$AM$306=TRUE),--(calc!$AN$3:$AN$306=AN50))-1)/2,"")</f>
        <v/>
      </c>
      <c r="AS50" s="5">
        <f>IF(AM50,1+SUMPRODUCT(--(calc!$AM$3:$AM$306=TRUE),--(calc!$AO$3:$AO$306&gt;AO50))+(SUMPRODUCT(--(calc!$AM$3:$AM$306=TRUE),--(calc!$AO$3:$AO$306=AO50))-1)/2,"")</f>
        <v/>
      </c>
      <c r="AT50" s="5">
        <f>IF(AM50,SUMPRODUCT(--(calc!$AM$3:$AM$306=TRUE),--(ROW(calc!$AM$3:$AM$306)&gt;ROW(AM50)),--(((calc!$AR$3:$AR$306&gt;AR50)*(calc!$AS$3:$AS$306&gt;AS50)+(calc!$AR$3:$AR$306&lt;AR50)*(calc!$AS$3:$AS$306&lt;AS50))&gt;0))-SUMPRODUCT(--(calc!$AM$3:$AM$306=TRUE),--(ROW(calc!$AM$3:$AM$306)&gt;ROW(AM50)),--(((calc!$AR$3:$AR$306&gt;AR50)*(calc!$AS$3:$AS$306&lt;AS50)+(calc!$AR$3:$AR$306&lt;AR50)*(calc!$AS$3:$AS$306&gt;AS50))&gt;0)),0)</f>
        <v/>
      </c>
      <c r="AU50" s="5">
        <f>IF(mos_metrics!K49="","",mos_metrics!K49)</f>
        <v/>
      </c>
      <c r="AV50" s="2">
        <f>AND($J50,ISNUMBER(AU50),correlation!$I$30=1)</f>
        <v/>
      </c>
      <c r="AW50" s="5">
        <f>IF(AV50,$F50,"")</f>
        <v/>
      </c>
      <c r="AX50" s="5">
        <f>IF(AV50,AU50*correlation!$J$30,"")</f>
        <v/>
      </c>
      <c r="AY50" s="5">
        <f>IF(AND(AV50,ISNUMBER(correlation!$F$30)),AX50*correlation!$F$30+correlation!$G$30,"")</f>
        <v/>
      </c>
      <c r="AZ50" s="5">
        <f>IF(AND(AV50,ISNUMBER(AY50)),(AW50-AY50)^2,"")</f>
        <v/>
      </c>
      <c r="BA50" s="5">
        <f>IF(AV50,1+SUMPRODUCT(--(calc!$AV$3:$AV$306=TRUE),--(calc!$AW$3:$AW$306&gt;AW50))+(SUMPRODUCT(--(calc!$AV$3:$AV$306=TRUE),--(calc!$AW$3:$AW$306=AW50))-1)/2,"")</f>
        <v/>
      </c>
      <c r="BB50" s="5">
        <f>IF(AV50,1+SUMPRODUCT(--(calc!$AV$3:$AV$306=TRUE),--(calc!$AX$3:$AX$306&gt;AX50))+(SUMPRODUCT(--(calc!$AV$3:$AV$306=TRUE),--(calc!$AX$3:$AX$306=AX50))-1)/2,"")</f>
        <v/>
      </c>
      <c r="BC50" s="5">
        <f>IF(AV50,SUMPRODUCT(--(calc!$AV$3:$AV$306=TRUE),--(ROW(calc!$AV$3:$AV$306)&gt;ROW(AV50)),--(((calc!$BA$3:$BA$306&gt;BA50)*(calc!$BB$3:$BB$306&gt;BB50)+(calc!$BA$3:$BA$306&lt;BA50)*(calc!$BB$3:$BB$306&lt;BB50))&gt;0))-SUMPRODUCT(--(calc!$AV$3:$AV$306=TRUE),--(ROW(calc!$AV$3:$AV$306)&gt;ROW(AV50)),--(((calc!$BA$3:$BA$306&gt;BA50)*(calc!$BB$3:$BB$306&lt;BB50)+(calc!$BA$3:$BA$306&lt;BA50)*(calc!$BB$3:$BB$306&gt;BB50))&gt;0)),0)</f>
        <v/>
      </c>
      <c r="BD50" s="5">
        <f>IF(mos_metrics!L49="","",mos_metrics!L49)</f>
        <v/>
      </c>
      <c r="BE50" s="2">
        <f>AND($J50,ISNUMBER(BD50),correlation!$I$31=1)</f>
        <v/>
      </c>
      <c r="BF50" s="5">
        <f>IF(BE50,$F50,"")</f>
        <v/>
      </c>
      <c r="BG50" s="5">
        <f>IF(BE50,BD50*correlation!$J$31,"")</f>
        <v/>
      </c>
      <c r="BH50" s="5">
        <f>IF(AND(BE50,ISNUMBER(correlation!$F$31)),BG50*correlation!$F$31+correlation!$G$31,"")</f>
        <v/>
      </c>
      <c r="BI50" s="5">
        <f>IF(AND(BE50,ISNUMBER(BH50)),(BF50-BH50)^2,"")</f>
        <v/>
      </c>
      <c r="BJ50" s="5">
        <f>IF(BE50,1+SUMPRODUCT(--(calc!$BE$3:$BE$306=TRUE),--(calc!$BF$3:$BF$306&gt;BF50))+(SUMPRODUCT(--(calc!$BE$3:$BE$306=TRUE),--(calc!$BF$3:$BF$306=BF50))-1)/2,"")</f>
        <v/>
      </c>
      <c r="BK50" s="5">
        <f>IF(BE50,1+SUMPRODUCT(--(calc!$BE$3:$BE$306=TRUE),--(calc!$BG$3:$BG$306&gt;BG50))+(SUMPRODUCT(--(calc!$BE$3:$BE$306=TRUE),--(calc!$BG$3:$BG$306=BG50))-1)/2,"")</f>
        <v/>
      </c>
      <c r="BL50" s="5">
        <f>IF(BE50,SUMPRODUCT(--(calc!$BE$3:$BE$306=TRUE),--(ROW(calc!$BE$3:$BE$306)&gt;ROW(BE50)),--(((calc!$BJ$3:$BJ$306&gt;BJ50)*(calc!$BK$3:$BK$306&gt;BK50)+(calc!$BJ$3:$BJ$306&lt;BJ50)*(calc!$BK$3:$BK$306&lt;BK50))&gt;0))-SUMPRODUCT(--(calc!$BE$3:$BE$306=TRUE),--(ROW(calc!$BE$3:$BE$306)&gt;ROW(BE50)),--(((calc!$BJ$3:$BJ$306&gt;BJ50)*(calc!$BK$3:$BK$306&lt;BK50)+(calc!$BJ$3:$BJ$306&lt;BJ50)*(calc!$BK$3:$BK$306&gt;BK50))&gt;0)),0)</f>
        <v/>
      </c>
      <c r="BM50" s="5">
        <f>IF(mos_metrics!M49="","",mos_metrics!M49)</f>
        <v/>
      </c>
      <c r="BN50" s="2">
        <f>AND($J50,ISNUMBER(BM50),correlation!$I$32=1)</f>
        <v/>
      </c>
      <c r="BO50" s="5">
        <f>IF(BN50,$F50,"")</f>
        <v/>
      </c>
      <c r="BP50" s="5">
        <f>IF(BN50,BM50*correlation!$J$32,"")</f>
        <v/>
      </c>
      <c r="BQ50" s="5">
        <f>IF(AND(BN50,ISNUMBER(correlation!$F$32)),BP50*correlation!$F$32+correlation!$G$32,"")</f>
        <v/>
      </c>
      <c r="BR50" s="5">
        <f>IF(AND(BN50,ISNUMBER(BQ50)),(BO50-BQ50)^2,"")</f>
        <v/>
      </c>
      <c r="BS50" s="5">
        <f>IF(BN50,1+SUMPRODUCT(--(calc!$BN$3:$BN$306=TRUE),--(calc!$BO$3:$BO$306&gt;BO50))+(SUMPRODUCT(--(calc!$BN$3:$BN$306=TRUE),--(calc!$BO$3:$BO$306=BO50))-1)/2,"")</f>
        <v/>
      </c>
      <c r="BT50" s="5">
        <f>IF(BN50,1+SUMPRODUCT(--(calc!$BN$3:$BN$306=TRUE),--(calc!$BP$3:$BP$306&gt;BP50))+(SUMPRODUCT(--(calc!$BN$3:$BN$306=TRUE),--(calc!$BP$3:$BP$306=BP50))-1)/2,"")</f>
        <v/>
      </c>
      <c r="BU50" s="5">
        <f>IF(BN50,SUMPRODUCT(--(calc!$BN$3:$BN$306=TRUE),--(ROW(calc!$BN$3:$BN$306)&gt;ROW(BN50)),--(((calc!$BS$3:$BS$306&gt;BS50)*(calc!$BT$3:$BT$306&gt;BT50)+(calc!$BS$3:$BS$306&lt;BS50)*(calc!$BT$3:$BT$306&lt;BT50))&gt;0))-SUMPRODUCT(--(calc!$BN$3:$BN$306=TRUE),--(ROW(calc!$BN$3:$BN$306)&gt;ROW(BN50)),--(((calc!$BS$3:$BS$306&gt;BS50)*(calc!$BT$3:$BT$306&lt;BT50)+(calc!$BS$3:$BS$306&lt;BS50)*(calc!$BT$3:$BT$306&gt;BT50))&gt;0)),0)</f>
        <v/>
      </c>
    </row>
    <row r="51">
      <c r="A51" s="2">
        <f>mos_metrics!A50</f>
        <v/>
      </c>
      <c r="B51" s="2">
        <f>mos_metrics!B50</f>
        <v/>
      </c>
      <c r="C51" s="2">
        <f>mos_metrics!C50</f>
        <v/>
      </c>
      <c r="D51" s="2">
        <f>mos_metrics!D50</f>
        <v/>
      </c>
      <c r="E51" s="2">
        <f>mos_metrics!E50</f>
        <v/>
      </c>
      <c r="F51" s="2">
        <f>mos_metrics!F50</f>
        <v/>
      </c>
      <c r="G51" s="2">
        <f>IF($B51="","",IFERROR(VLOOKUP($B51,correlation!$A$2:$B$16,2,FALSE),1))</f>
        <v/>
      </c>
      <c r="H51" s="2">
        <f>IF($E51="","",IFERROR(VLOOKUP($E51,correlation!$D$2:$E$8,2,FALSE),1))</f>
        <v/>
      </c>
      <c r="I51" s="2">
        <f>ISNUMBER($F51)</f>
        <v/>
      </c>
      <c r="J51" s="2">
        <f>AND($G51=1,$H51=1,$I51)</f>
        <v/>
      </c>
      <c r="K51" s="5">
        <f>IF(mos_metrics!G50="","",mos_metrics!G50)</f>
        <v/>
      </c>
      <c r="L51" s="2">
        <f>AND($J51,ISNUMBER(K51),correlation!$I$26=1)</f>
        <v/>
      </c>
      <c r="M51" s="5">
        <f>IF(L51,$F51,"")</f>
        <v/>
      </c>
      <c r="N51" s="5">
        <f>IF(L51,K51*correlation!$J$26,"")</f>
        <v/>
      </c>
      <c r="O51" s="5">
        <f>IF(AND(L51,ISNUMBER(correlation!$F$26)),N51*correlation!$F$26+correlation!$G$26,"")</f>
        <v/>
      </c>
      <c r="P51" s="5">
        <f>IF(AND(L51,ISNUMBER(O51)),(M51-O51)^2,"")</f>
        <v/>
      </c>
      <c r="Q51" s="5">
        <f>IF(L51,1+SUMPRODUCT(--(calc!$L$3:$L$306=TRUE),--(calc!$M$3:$M$306&gt;M51))+(SUMPRODUCT(--(calc!$L$3:$L$306=TRUE),--(calc!$M$3:$M$306=M51))-1)/2,"")</f>
        <v/>
      </c>
      <c r="R51" s="5">
        <f>IF(L51,1+SUMPRODUCT(--(calc!$L$3:$L$306=TRUE),--(calc!$N$3:$N$306&gt;N51))+(SUMPRODUCT(--(calc!$L$3:$L$306=TRUE),--(calc!$N$3:$N$306=N51))-1)/2,"")</f>
        <v/>
      </c>
      <c r="S51" s="5">
        <f>IF(L51,SUMPRODUCT(--(calc!$L$3:$L$306=TRUE),--(ROW(calc!$L$3:$L$306)&gt;ROW(L51)),--(((calc!$Q$3:$Q$306&gt;Q51)*(calc!$R$3:$R$306&gt;R51)+(calc!$Q$3:$Q$306&lt;Q51)*(calc!$R$3:$R$306&lt;R51))&gt;0))-SUMPRODUCT(--(calc!$L$3:$L$306=TRUE),--(ROW(calc!$L$3:$L$306)&gt;ROW(L51)),--(((calc!$Q$3:$Q$306&gt;Q51)*(calc!$R$3:$R$306&lt;R51)+(calc!$Q$3:$Q$306&lt;Q51)*(calc!$R$3:$R$306&gt;R51))&gt;0)),0)</f>
        <v/>
      </c>
      <c r="T51" s="5">
        <f>IF(mos_metrics!H50="","",mos_metrics!H50)</f>
        <v/>
      </c>
      <c r="U51" s="2">
        <f>AND($J51,ISNUMBER(T51),correlation!$I$27=1)</f>
        <v/>
      </c>
      <c r="V51" s="5">
        <f>IF(U51,$F51,"")</f>
        <v/>
      </c>
      <c r="W51" s="5">
        <f>IF(U51,T51*correlation!$J$27,"")</f>
        <v/>
      </c>
      <c r="X51" s="5">
        <f>IF(AND(U51,ISNUMBER(correlation!$F$27)),W51*correlation!$F$27+correlation!$G$27,"")</f>
        <v/>
      </c>
      <c r="Y51" s="5">
        <f>IF(AND(U51,ISNUMBER(X51)),(V51-X51)^2,"")</f>
        <v/>
      </c>
      <c r="Z51" s="5">
        <f>IF(U51,1+SUMPRODUCT(--(calc!$U$3:$U$306=TRUE),--(calc!$V$3:$V$306&gt;V51))+(SUMPRODUCT(--(calc!$U$3:$U$306=TRUE),--(calc!$V$3:$V$306=V51))-1)/2,"")</f>
        <v/>
      </c>
      <c r="AA51" s="5">
        <f>IF(U51,1+SUMPRODUCT(--(calc!$U$3:$U$306=TRUE),--(calc!$W$3:$W$306&gt;W51))+(SUMPRODUCT(--(calc!$U$3:$U$306=TRUE),--(calc!$W$3:$W$306=W51))-1)/2,"")</f>
        <v/>
      </c>
      <c r="AB51" s="5">
        <f>IF(U51,SUMPRODUCT(--(calc!$U$3:$U$306=TRUE),--(ROW(calc!$U$3:$U$306)&gt;ROW(U51)),--(((calc!$Z$3:$Z$306&gt;Z51)*(calc!$AA$3:$AA$306&gt;AA51)+(calc!$Z$3:$Z$306&lt;Z51)*(calc!$AA$3:$AA$306&lt;AA51))&gt;0))-SUMPRODUCT(--(calc!$U$3:$U$306=TRUE),--(ROW(calc!$U$3:$U$306)&gt;ROW(U51)),--(((calc!$Z$3:$Z$306&gt;Z51)*(calc!$AA$3:$AA$306&lt;AA51)+(calc!$Z$3:$Z$306&lt;Z51)*(calc!$AA$3:$AA$306&gt;AA51))&gt;0)),0)</f>
        <v/>
      </c>
      <c r="AC51" s="5">
        <f>IF(mos_metrics!I50="","",mos_metrics!I50)</f>
        <v/>
      </c>
      <c r="AD51" s="2">
        <f>AND($J51,ISNUMBER(AC51),correlation!$I$28=1)</f>
        <v/>
      </c>
      <c r="AE51" s="5">
        <f>IF(AD51,$F51,"")</f>
        <v/>
      </c>
      <c r="AF51" s="5">
        <f>IF(AD51,AC51*correlation!$J$28,"")</f>
        <v/>
      </c>
      <c r="AG51" s="5">
        <f>IF(AND(AD51,ISNUMBER(correlation!$F$28)),AF51*correlation!$F$28+correlation!$G$28,"")</f>
        <v/>
      </c>
      <c r="AH51" s="5">
        <f>IF(AND(AD51,ISNUMBER(AG51)),(AE51-AG51)^2,"")</f>
        <v/>
      </c>
      <c r="AI51" s="5">
        <f>IF(AD51,1+SUMPRODUCT(--(calc!$AD$3:$AD$306=TRUE),--(calc!$AE$3:$AE$306&gt;AE51))+(SUMPRODUCT(--(calc!$AD$3:$AD$306=TRUE),--(calc!$AE$3:$AE$306=AE51))-1)/2,"")</f>
        <v/>
      </c>
      <c r="AJ51" s="5">
        <f>IF(AD51,1+SUMPRODUCT(--(calc!$AD$3:$AD$306=TRUE),--(calc!$AF$3:$AF$306&gt;AF51))+(SUMPRODUCT(--(calc!$AD$3:$AD$306=TRUE),--(calc!$AF$3:$AF$306=AF51))-1)/2,"")</f>
        <v/>
      </c>
      <c r="AK51" s="5">
        <f>IF(AD51,SUMPRODUCT(--(calc!$AD$3:$AD$306=TRUE),--(ROW(calc!$AD$3:$AD$306)&gt;ROW(AD51)),--(((calc!$AI$3:$AI$306&gt;AI51)*(calc!$AJ$3:$AJ$306&gt;AJ51)+(calc!$AI$3:$AI$306&lt;AI51)*(calc!$AJ$3:$AJ$306&lt;AJ51))&gt;0))-SUMPRODUCT(--(calc!$AD$3:$AD$306=TRUE),--(ROW(calc!$AD$3:$AD$306)&gt;ROW(AD51)),--(((calc!$AI$3:$AI$306&gt;AI51)*(calc!$AJ$3:$AJ$306&lt;AJ51)+(calc!$AI$3:$AI$306&lt;AI51)*(calc!$AJ$3:$AJ$306&gt;AJ51))&gt;0)),0)</f>
        <v/>
      </c>
      <c r="AL51" s="5">
        <f>IF(mos_metrics!J50="","",mos_metrics!J50)</f>
        <v/>
      </c>
      <c r="AM51" s="2">
        <f>AND($J51,ISNUMBER(AL51),correlation!$I$29=1)</f>
        <v/>
      </c>
      <c r="AN51" s="5">
        <f>IF(AM51,$F51,"")</f>
        <v/>
      </c>
      <c r="AO51" s="5">
        <f>IF(AM51,AL51*correlation!$J$29,"")</f>
        <v/>
      </c>
      <c r="AP51" s="5">
        <f>IF(AND(AM51,ISNUMBER(correlation!$F$29)),AO51*correlation!$F$29+correlation!$G$29,"")</f>
        <v/>
      </c>
      <c r="AQ51" s="5">
        <f>IF(AND(AM51,ISNUMBER(AP51)),(AN51-AP51)^2,"")</f>
        <v/>
      </c>
      <c r="AR51" s="5">
        <f>IF(AM51,1+SUMPRODUCT(--(calc!$AM$3:$AM$306=TRUE),--(calc!$AN$3:$AN$306&gt;AN51))+(SUMPRODUCT(--(calc!$AM$3:$AM$306=TRUE),--(calc!$AN$3:$AN$306=AN51))-1)/2,"")</f>
        <v/>
      </c>
      <c r="AS51" s="5">
        <f>IF(AM51,1+SUMPRODUCT(--(calc!$AM$3:$AM$306=TRUE),--(calc!$AO$3:$AO$306&gt;AO51))+(SUMPRODUCT(--(calc!$AM$3:$AM$306=TRUE),--(calc!$AO$3:$AO$306=AO51))-1)/2,"")</f>
        <v/>
      </c>
      <c r="AT51" s="5">
        <f>IF(AM51,SUMPRODUCT(--(calc!$AM$3:$AM$306=TRUE),--(ROW(calc!$AM$3:$AM$306)&gt;ROW(AM51)),--(((calc!$AR$3:$AR$306&gt;AR51)*(calc!$AS$3:$AS$306&gt;AS51)+(calc!$AR$3:$AR$306&lt;AR51)*(calc!$AS$3:$AS$306&lt;AS51))&gt;0))-SUMPRODUCT(--(calc!$AM$3:$AM$306=TRUE),--(ROW(calc!$AM$3:$AM$306)&gt;ROW(AM51)),--(((calc!$AR$3:$AR$306&gt;AR51)*(calc!$AS$3:$AS$306&lt;AS51)+(calc!$AR$3:$AR$306&lt;AR51)*(calc!$AS$3:$AS$306&gt;AS51))&gt;0)),0)</f>
        <v/>
      </c>
      <c r="AU51" s="5">
        <f>IF(mos_metrics!K50="","",mos_metrics!K50)</f>
        <v/>
      </c>
      <c r="AV51" s="2">
        <f>AND($J51,ISNUMBER(AU51),correlation!$I$30=1)</f>
        <v/>
      </c>
      <c r="AW51" s="5">
        <f>IF(AV51,$F51,"")</f>
        <v/>
      </c>
      <c r="AX51" s="5">
        <f>IF(AV51,AU51*correlation!$J$30,"")</f>
        <v/>
      </c>
      <c r="AY51" s="5">
        <f>IF(AND(AV51,ISNUMBER(correlation!$F$30)),AX51*correlation!$F$30+correlation!$G$30,"")</f>
        <v/>
      </c>
      <c r="AZ51" s="5">
        <f>IF(AND(AV51,ISNUMBER(AY51)),(AW51-AY51)^2,"")</f>
        <v/>
      </c>
      <c r="BA51" s="5">
        <f>IF(AV51,1+SUMPRODUCT(--(calc!$AV$3:$AV$306=TRUE),--(calc!$AW$3:$AW$306&gt;AW51))+(SUMPRODUCT(--(calc!$AV$3:$AV$306=TRUE),--(calc!$AW$3:$AW$306=AW51))-1)/2,"")</f>
        <v/>
      </c>
      <c r="BB51" s="5">
        <f>IF(AV51,1+SUMPRODUCT(--(calc!$AV$3:$AV$306=TRUE),--(calc!$AX$3:$AX$306&gt;AX51))+(SUMPRODUCT(--(calc!$AV$3:$AV$306=TRUE),--(calc!$AX$3:$AX$306=AX51))-1)/2,"")</f>
        <v/>
      </c>
      <c r="BC51" s="5">
        <f>IF(AV51,SUMPRODUCT(--(calc!$AV$3:$AV$306=TRUE),--(ROW(calc!$AV$3:$AV$306)&gt;ROW(AV51)),--(((calc!$BA$3:$BA$306&gt;BA51)*(calc!$BB$3:$BB$306&gt;BB51)+(calc!$BA$3:$BA$306&lt;BA51)*(calc!$BB$3:$BB$306&lt;BB51))&gt;0))-SUMPRODUCT(--(calc!$AV$3:$AV$306=TRUE),--(ROW(calc!$AV$3:$AV$306)&gt;ROW(AV51)),--(((calc!$BA$3:$BA$306&gt;BA51)*(calc!$BB$3:$BB$306&lt;BB51)+(calc!$BA$3:$BA$306&lt;BA51)*(calc!$BB$3:$BB$306&gt;BB51))&gt;0)),0)</f>
        <v/>
      </c>
      <c r="BD51" s="5">
        <f>IF(mos_metrics!L50="","",mos_metrics!L50)</f>
        <v/>
      </c>
      <c r="BE51" s="2">
        <f>AND($J51,ISNUMBER(BD51),correlation!$I$31=1)</f>
        <v/>
      </c>
      <c r="BF51" s="5">
        <f>IF(BE51,$F51,"")</f>
        <v/>
      </c>
      <c r="BG51" s="5">
        <f>IF(BE51,BD51*correlation!$J$31,"")</f>
        <v/>
      </c>
      <c r="BH51" s="5">
        <f>IF(AND(BE51,ISNUMBER(correlation!$F$31)),BG51*correlation!$F$31+correlation!$G$31,"")</f>
        <v/>
      </c>
      <c r="BI51" s="5">
        <f>IF(AND(BE51,ISNUMBER(BH51)),(BF51-BH51)^2,"")</f>
        <v/>
      </c>
      <c r="BJ51" s="5">
        <f>IF(BE51,1+SUMPRODUCT(--(calc!$BE$3:$BE$306=TRUE),--(calc!$BF$3:$BF$306&gt;BF51))+(SUMPRODUCT(--(calc!$BE$3:$BE$306=TRUE),--(calc!$BF$3:$BF$306=BF51))-1)/2,"")</f>
        <v/>
      </c>
      <c r="BK51" s="5">
        <f>IF(BE51,1+SUMPRODUCT(--(calc!$BE$3:$BE$306=TRUE),--(calc!$BG$3:$BG$306&gt;BG51))+(SUMPRODUCT(--(calc!$BE$3:$BE$306=TRUE),--(calc!$BG$3:$BG$306=BG51))-1)/2,"")</f>
        <v/>
      </c>
      <c r="BL51" s="5">
        <f>IF(BE51,SUMPRODUCT(--(calc!$BE$3:$BE$306=TRUE),--(ROW(calc!$BE$3:$BE$306)&gt;ROW(BE51)),--(((calc!$BJ$3:$BJ$306&gt;BJ51)*(calc!$BK$3:$BK$306&gt;BK51)+(calc!$BJ$3:$BJ$306&lt;BJ51)*(calc!$BK$3:$BK$306&lt;BK51))&gt;0))-SUMPRODUCT(--(calc!$BE$3:$BE$306=TRUE),--(ROW(calc!$BE$3:$BE$306)&gt;ROW(BE51)),--(((calc!$BJ$3:$BJ$306&gt;BJ51)*(calc!$BK$3:$BK$306&lt;BK51)+(calc!$BJ$3:$BJ$306&lt;BJ51)*(calc!$BK$3:$BK$306&gt;BK51))&gt;0)),0)</f>
        <v/>
      </c>
      <c r="BM51" s="5">
        <f>IF(mos_metrics!M50="","",mos_metrics!M50)</f>
        <v/>
      </c>
      <c r="BN51" s="2">
        <f>AND($J51,ISNUMBER(BM51),correlation!$I$32=1)</f>
        <v/>
      </c>
      <c r="BO51" s="5">
        <f>IF(BN51,$F51,"")</f>
        <v/>
      </c>
      <c r="BP51" s="5">
        <f>IF(BN51,BM51*correlation!$J$32,"")</f>
        <v/>
      </c>
      <c r="BQ51" s="5">
        <f>IF(AND(BN51,ISNUMBER(correlation!$F$32)),BP51*correlation!$F$32+correlation!$G$32,"")</f>
        <v/>
      </c>
      <c r="BR51" s="5">
        <f>IF(AND(BN51,ISNUMBER(BQ51)),(BO51-BQ51)^2,"")</f>
        <v/>
      </c>
      <c r="BS51" s="5">
        <f>IF(BN51,1+SUMPRODUCT(--(calc!$BN$3:$BN$306=TRUE),--(calc!$BO$3:$BO$306&gt;BO51))+(SUMPRODUCT(--(calc!$BN$3:$BN$306=TRUE),--(calc!$BO$3:$BO$306=BO51))-1)/2,"")</f>
        <v/>
      </c>
      <c r="BT51" s="5">
        <f>IF(BN51,1+SUMPRODUCT(--(calc!$BN$3:$BN$306=TRUE),--(calc!$BP$3:$BP$306&gt;BP51))+(SUMPRODUCT(--(calc!$BN$3:$BN$306=TRUE),--(calc!$BP$3:$BP$306=BP51))-1)/2,"")</f>
        <v/>
      </c>
      <c r="BU51" s="5">
        <f>IF(BN51,SUMPRODUCT(--(calc!$BN$3:$BN$306=TRUE),--(ROW(calc!$BN$3:$BN$306)&gt;ROW(BN51)),--(((calc!$BS$3:$BS$306&gt;BS51)*(calc!$BT$3:$BT$306&gt;BT51)+(calc!$BS$3:$BS$306&lt;BS51)*(calc!$BT$3:$BT$306&lt;BT51))&gt;0))-SUMPRODUCT(--(calc!$BN$3:$BN$306=TRUE),--(ROW(calc!$BN$3:$BN$306)&gt;ROW(BN51)),--(((calc!$BS$3:$BS$306&gt;BS51)*(calc!$BT$3:$BT$306&lt;BT51)+(calc!$BS$3:$BS$306&lt;BS51)*(calc!$BT$3:$BT$306&gt;BT51))&gt;0)),0)</f>
        <v/>
      </c>
    </row>
    <row r="52">
      <c r="A52" s="2">
        <f>mos_metrics!A51</f>
        <v/>
      </c>
      <c r="B52" s="2">
        <f>mos_metrics!B51</f>
        <v/>
      </c>
      <c r="C52" s="2">
        <f>mos_metrics!C51</f>
        <v/>
      </c>
      <c r="D52" s="2">
        <f>mos_metrics!D51</f>
        <v/>
      </c>
      <c r="E52" s="2">
        <f>mos_metrics!E51</f>
        <v/>
      </c>
      <c r="F52" s="2">
        <f>mos_metrics!F51</f>
        <v/>
      </c>
      <c r="G52" s="2">
        <f>IF($B52="","",IFERROR(VLOOKUP($B52,correlation!$A$2:$B$16,2,FALSE),1))</f>
        <v/>
      </c>
      <c r="H52" s="2">
        <f>IF($E52="","",IFERROR(VLOOKUP($E52,correlation!$D$2:$E$8,2,FALSE),1))</f>
        <v/>
      </c>
      <c r="I52" s="2">
        <f>ISNUMBER($F52)</f>
        <v/>
      </c>
      <c r="J52" s="2">
        <f>AND($G52=1,$H52=1,$I52)</f>
        <v/>
      </c>
      <c r="K52" s="5">
        <f>IF(mos_metrics!G51="","",mos_metrics!G51)</f>
        <v/>
      </c>
      <c r="L52" s="2">
        <f>AND($J52,ISNUMBER(K52),correlation!$I$26=1)</f>
        <v/>
      </c>
      <c r="M52" s="5">
        <f>IF(L52,$F52,"")</f>
        <v/>
      </c>
      <c r="N52" s="5">
        <f>IF(L52,K52*correlation!$J$26,"")</f>
        <v/>
      </c>
      <c r="O52" s="5">
        <f>IF(AND(L52,ISNUMBER(correlation!$F$26)),N52*correlation!$F$26+correlation!$G$26,"")</f>
        <v/>
      </c>
      <c r="P52" s="5">
        <f>IF(AND(L52,ISNUMBER(O52)),(M52-O52)^2,"")</f>
        <v/>
      </c>
      <c r="Q52" s="5">
        <f>IF(L52,1+SUMPRODUCT(--(calc!$L$3:$L$306=TRUE),--(calc!$M$3:$M$306&gt;M52))+(SUMPRODUCT(--(calc!$L$3:$L$306=TRUE),--(calc!$M$3:$M$306=M52))-1)/2,"")</f>
        <v/>
      </c>
      <c r="R52" s="5">
        <f>IF(L52,1+SUMPRODUCT(--(calc!$L$3:$L$306=TRUE),--(calc!$N$3:$N$306&gt;N52))+(SUMPRODUCT(--(calc!$L$3:$L$306=TRUE),--(calc!$N$3:$N$306=N52))-1)/2,"")</f>
        <v/>
      </c>
      <c r="S52" s="5">
        <f>IF(L52,SUMPRODUCT(--(calc!$L$3:$L$306=TRUE),--(ROW(calc!$L$3:$L$306)&gt;ROW(L52)),--(((calc!$Q$3:$Q$306&gt;Q52)*(calc!$R$3:$R$306&gt;R52)+(calc!$Q$3:$Q$306&lt;Q52)*(calc!$R$3:$R$306&lt;R52))&gt;0))-SUMPRODUCT(--(calc!$L$3:$L$306=TRUE),--(ROW(calc!$L$3:$L$306)&gt;ROW(L52)),--(((calc!$Q$3:$Q$306&gt;Q52)*(calc!$R$3:$R$306&lt;R52)+(calc!$Q$3:$Q$306&lt;Q52)*(calc!$R$3:$R$306&gt;R52))&gt;0)),0)</f>
        <v/>
      </c>
      <c r="T52" s="5">
        <f>IF(mos_metrics!H51="","",mos_metrics!H51)</f>
        <v/>
      </c>
      <c r="U52" s="2">
        <f>AND($J52,ISNUMBER(T52),correlation!$I$27=1)</f>
        <v/>
      </c>
      <c r="V52" s="5">
        <f>IF(U52,$F52,"")</f>
        <v/>
      </c>
      <c r="W52" s="5">
        <f>IF(U52,T52*correlation!$J$27,"")</f>
        <v/>
      </c>
      <c r="X52" s="5">
        <f>IF(AND(U52,ISNUMBER(correlation!$F$27)),W52*correlation!$F$27+correlation!$G$27,"")</f>
        <v/>
      </c>
      <c r="Y52" s="5">
        <f>IF(AND(U52,ISNUMBER(X52)),(V52-X52)^2,"")</f>
        <v/>
      </c>
      <c r="Z52" s="5">
        <f>IF(U52,1+SUMPRODUCT(--(calc!$U$3:$U$306=TRUE),--(calc!$V$3:$V$306&gt;V52))+(SUMPRODUCT(--(calc!$U$3:$U$306=TRUE),--(calc!$V$3:$V$306=V52))-1)/2,"")</f>
        <v/>
      </c>
      <c r="AA52" s="5">
        <f>IF(U52,1+SUMPRODUCT(--(calc!$U$3:$U$306=TRUE),--(calc!$W$3:$W$306&gt;W52))+(SUMPRODUCT(--(calc!$U$3:$U$306=TRUE),--(calc!$W$3:$W$306=W52))-1)/2,"")</f>
        <v/>
      </c>
      <c r="AB52" s="5">
        <f>IF(U52,SUMPRODUCT(--(calc!$U$3:$U$306=TRUE),--(ROW(calc!$U$3:$U$306)&gt;ROW(U52)),--(((calc!$Z$3:$Z$306&gt;Z52)*(calc!$AA$3:$AA$306&gt;AA52)+(calc!$Z$3:$Z$306&lt;Z52)*(calc!$AA$3:$AA$306&lt;AA52))&gt;0))-SUMPRODUCT(--(calc!$U$3:$U$306=TRUE),--(ROW(calc!$U$3:$U$306)&gt;ROW(U52)),--(((calc!$Z$3:$Z$306&gt;Z52)*(calc!$AA$3:$AA$306&lt;AA52)+(calc!$Z$3:$Z$306&lt;Z52)*(calc!$AA$3:$AA$306&gt;AA52))&gt;0)),0)</f>
        <v/>
      </c>
      <c r="AC52" s="5">
        <f>IF(mos_metrics!I51="","",mos_metrics!I51)</f>
        <v/>
      </c>
      <c r="AD52" s="2">
        <f>AND($J52,ISNUMBER(AC52),correlation!$I$28=1)</f>
        <v/>
      </c>
      <c r="AE52" s="5">
        <f>IF(AD52,$F52,"")</f>
        <v/>
      </c>
      <c r="AF52" s="5">
        <f>IF(AD52,AC52*correlation!$J$28,"")</f>
        <v/>
      </c>
      <c r="AG52" s="5">
        <f>IF(AND(AD52,ISNUMBER(correlation!$F$28)),AF52*correlation!$F$28+correlation!$G$28,"")</f>
        <v/>
      </c>
      <c r="AH52" s="5">
        <f>IF(AND(AD52,ISNUMBER(AG52)),(AE52-AG52)^2,"")</f>
        <v/>
      </c>
      <c r="AI52" s="5">
        <f>IF(AD52,1+SUMPRODUCT(--(calc!$AD$3:$AD$306=TRUE),--(calc!$AE$3:$AE$306&gt;AE52))+(SUMPRODUCT(--(calc!$AD$3:$AD$306=TRUE),--(calc!$AE$3:$AE$306=AE52))-1)/2,"")</f>
        <v/>
      </c>
      <c r="AJ52" s="5">
        <f>IF(AD52,1+SUMPRODUCT(--(calc!$AD$3:$AD$306=TRUE),--(calc!$AF$3:$AF$306&gt;AF52))+(SUMPRODUCT(--(calc!$AD$3:$AD$306=TRUE),--(calc!$AF$3:$AF$306=AF52))-1)/2,"")</f>
        <v/>
      </c>
      <c r="AK52" s="5">
        <f>IF(AD52,SUMPRODUCT(--(calc!$AD$3:$AD$306=TRUE),--(ROW(calc!$AD$3:$AD$306)&gt;ROW(AD52)),--(((calc!$AI$3:$AI$306&gt;AI52)*(calc!$AJ$3:$AJ$306&gt;AJ52)+(calc!$AI$3:$AI$306&lt;AI52)*(calc!$AJ$3:$AJ$306&lt;AJ52))&gt;0))-SUMPRODUCT(--(calc!$AD$3:$AD$306=TRUE),--(ROW(calc!$AD$3:$AD$306)&gt;ROW(AD52)),--(((calc!$AI$3:$AI$306&gt;AI52)*(calc!$AJ$3:$AJ$306&lt;AJ52)+(calc!$AI$3:$AI$306&lt;AI52)*(calc!$AJ$3:$AJ$306&gt;AJ52))&gt;0)),0)</f>
        <v/>
      </c>
      <c r="AL52" s="5">
        <f>IF(mos_metrics!J51="","",mos_metrics!J51)</f>
        <v/>
      </c>
      <c r="AM52" s="2">
        <f>AND($J52,ISNUMBER(AL52),correlation!$I$29=1)</f>
        <v/>
      </c>
      <c r="AN52" s="5">
        <f>IF(AM52,$F52,"")</f>
        <v/>
      </c>
      <c r="AO52" s="5">
        <f>IF(AM52,AL52*correlation!$J$29,"")</f>
        <v/>
      </c>
      <c r="AP52" s="5">
        <f>IF(AND(AM52,ISNUMBER(correlation!$F$29)),AO52*correlation!$F$29+correlation!$G$29,"")</f>
        <v/>
      </c>
      <c r="AQ52" s="5">
        <f>IF(AND(AM52,ISNUMBER(AP52)),(AN52-AP52)^2,"")</f>
        <v/>
      </c>
      <c r="AR52" s="5">
        <f>IF(AM52,1+SUMPRODUCT(--(calc!$AM$3:$AM$306=TRUE),--(calc!$AN$3:$AN$306&gt;AN52))+(SUMPRODUCT(--(calc!$AM$3:$AM$306=TRUE),--(calc!$AN$3:$AN$306=AN52))-1)/2,"")</f>
        <v/>
      </c>
      <c r="AS52" s="5">
        <f>IF(AM52,1+SUMPRODUCT(--(calc!$AM$3:$AM$306=TRUE),--(calc!$AO$3:$AO$306&gt;AO52))+(SUMPRODUCT(--(calc!$AM$3:$AM$306=TRUE),--(calc!$AO$3:$AO$306=AO52))-1)/2,"")</f>
        <v/>
      </c>
      <c r="AT52" s="5">
        <f>IF(AM52,SUMPRODUCT(--(calc!$AM$3:$AM$306=TRUE),--(ROW(calc!$AM$3:$AM$306)&gt;ROW(AM52)),--(((calc!$AR$3:$AR$306&gt;AR52)*(calc!$AS$3:$AS$306&gt;AS52)+(calc!$AR$3:$AR$306&lt;AR52)*(calc!$AS$3:$AS$306&lt;AS52))&gt;0))-SUMPRODUCT(--(calc!$AM$3:$AM$306=TRUE),--(ROW(calc!$AM$3:$AM$306)&gt;ROW(AM52)),--(((calc!$AR$3:$AR$306&gt;AR52)*(calc!$AS$3:$AS$306&lt;AS52)+(calc!$AR$3:$AR$306&lt;AR52)*(calc!$AS$3:$AS$306&gt;AS52))&gt;0)),0)</f>
        <v/>
      </c>
      <c r="AU52" s="5">
        <f>IF(mos_metrics!K51="","",mos_metrics!K51)</f>
        <v/>
      </c>
      <c r="AV52" s="2">
        <f>AND($J52,ISNUMBER(AU52),correlation!$I$30=1)</f>
        <v/>
      </c>
      <c r="AW52" s="5">
        <f>IF(AV52,$F52,"")</f>
        <v/>
      </c>
      <c r="AX52" s="5">
        <f>IF(AV52,AU52*correlation!$J$30,"")</f>
        <v/>
      </c>
      <c r="AY52" s="5">
        <f>IF(AND(AV52,ISNUMBER(correlation!$F$30)),AX52*correlation!$F$30+correlation!$G$30,"")</f>
        <v/>
      </c>
      <c r="AZ52" s="5">
        <f>IF(AND(AV52,ISNUMBER(AY52)),(AW52-AY52)^2,"")</f>
        <v/>
      </c>
      <c r="BA52" s="5">
        <f>IF(AV52,1+SUMPRODUCT(--(calc!$AV$3:$AV$306=TRUE),--(calc!$AW$3:$AW$306&gt;AW52))+(SUMPRODUCT(--(calc!$AV$3:$AV$306=TRUE),--(calc!$AW$3:$AW$306=AW52))-1)/2,"")</f>
        <v/>
      </c>
      <c r="BB52" s="5">
        <f>IF(AV52,1+SUMPRODUCT(--(calc!$AV$3:$AV$306=TRUE),--(calc!$AX$3:$AX$306&gt;AX52))+(SUMPRODUCT(--(calc!$AV$3:$AV$306=TRUE),--(calc!$AX$3:$AX$306=AX52))-1)/2,"")</f>
        <v/>
      </c>
      <c r="BC52" s="5">
        <f>IF(AV52,SUMPRODUCT(--(calc!$AV$3:$AV$306=TRUE),--(ROW(calc!$AV$3:$AV$306)&gt;ROW(AV52)),--(((calc!$BA$3:$BA$306&gt;BA52)*(calc!$BB$3:$BB$306&gt;BB52)+(calc!$BA$3:$BA$306&lt;BA52)*(calc!$BB$3:$BB$306&lt;BB52))&gt;0))-SUMPRODUCT(--(calc!$AV$3:$AV$306=TRUE),--(ROW(calc!$AV$3:$AV$306)&gt;ROW(AV52)),--(((calc!$BA$3:$BA$306&gt;BA52)*(calc!$BB$3:$BB$306&lt;BB52)+(calc!$BA$3:$BA$306&lt;BA52)*(calc!$BB$3:$BB$306&gt;BB52))&gt;0)),0)</f>
        <v/>
      </c>
      <c r="BD52" s="5">
        <f>IF(mos_metrics!L51="","",mos_metrics!L51)</f>
        <v/>
      </c>
      <c r="BE52" s="2">
        <f>AND($J52,ISNUMBER(BD52),correlation!$I$31=1)</f>
        <v/>
      </c>
      <c r="BF52" s="5">
        <f>IF(BE52,$F52,"")</f>
        <v/>
      </c>
      <c r="BG52" s="5">
        <f>IF(BE52,BD52*correlation!$J$31,"")</f>
        <v/>
      </c>
      <c r="BH52" s="5">
        <f>IF(AND(BE52,ISNUMBER(correlation!$F$31)),BG52*correlation!$F$31+correlation!$G$31,"")</f>
        <v/>
      </c>
      <c r="BI52" s="5">
        <f>IF(AND(BE52,ISNUMBER(BH52)),(BF52-BH52)^2,"")</f>
        <v/>
      </c>
      <c r="BJ52" s="5">
        <f>IF(BE52,1+SUMPRODUCT(--(calc!$BE$3:$BE$306=TRUE),--(calc!$BF$3:$BF$306&gt;BF52))+(SUMPRODUCT(--(calc!$BE$3:$BE$306=TRUE),--(calc!$BF$3:$BF$306=BF52))-1)/2,"")</f>
        <v/>
      </c>
      <c r="BK52" s="5">
        <f>IF(BE52,1+SUMPRODUCT(--(calc!$BE$3:$BE$306=TRUE),--(calc!$BG$3:$BG$306&gt;BG52))+(SUMPRODUCT(--(calc!$BE$3:$BE$306=TRUE),--(calc!$BG$3:$BG$306=BG52))-1)/2,"")</f>
        <v/>
      </c>
      <c r="BL52" s="5">
        <f>IF(BE52,SUMPRODUCT(--(calc!$BE$3:$BE$306=TRUE),--(ROW(calc!$BE$3:$BE$306)&gt;ROW(BE52)),--(((calc!$BJ$3:$BJ$306&gt;BJ52)*(calc!$BK$3:$BK$306&gt;BK52)+(calc!$BJ$3:$BJ$306&lt;BJ52)*(calc!$BK$3:$BK$306&lt;BK52))&gt;0))-SUMPRODUCT(--(calc!$BE$3:$BE$306=TRUE),--(ROW(calc!$BE$3:$BE$306)&gt;ROW(BE52)),--(((calc!$BJ$3:$BJ$306&gt;BJ52)*(calc!$BK$3:$BK$306&lt;BK52)+(calc!$BJ$3:$BJ$306&lt;BJ52)*(calc!$BK$3:$BK$306&gt;BK52))&gt;0)),0)</f>
        <v/>
      </c>
      <c r="BM52" s="5">
        <f>IF(mos_metrics!M51="","",mos_metrics!M51)</f>
        <v/>
      </c>
      <c r="BN52" s="2">
        <f>AND($J52,ISNUMBER(BM52),correlation!$I$32=1)</f>
        <v/>
      </c>
      <c r="BO52" s="5">
        <f>IF(BN52,$F52,"")</f>
        <v/>
      </c>
      <c r="BP52" s="5">
        <f>IF(BN52,BM52*correlation!$J$32,"")</f>
        <v/>
      </c>
      <c r="BQ52" s="5">
        <f>IF(AND(BN52,ISNUMBER(correlation!$F$32)),BP52*correlation!$F$32+correlation!$G$32,"")</f>
        <v/>
      </c>
      <c r="BR52" s="5">
        <f>IF(AND(BN52,ISNUMBER(BQ52)),(BO52-BQ52)^2,"")</f>
        <v/>
      </c>
      <c r="BS52" s="5">
        <f>IF(BN52,1+SUMPRODUCT(--(calc!$BN$3:$BN$306=TRUE),--(calc!$BO$3:$BO$306&gt;BO52))+(SUMPRODUCT(--(calc!$BN$3:$BN$306=TRUE),--(calc!$BO$3:$BO$306=BO52))-1)/2,"")</f>
        <v/>
      </c>
      <c r="BT52" s="5">
        <f>IF(BN52,1+SUMPRODUCT(--(calc!$BN$3:$BN$306=TRUE),--(calc!$BP$3:$BP$306&gt;BP52))+(SUMPRODUCT(--(calc!$BN$3:$BN$306=TRUE),--(calc!$BP$3:$BP$306=BP52))-1)/2,"")</f>
        <v/>
      </c>
      <c r="BU52" s="5">
        <f>IF(BN52,SUMPRODUCT(--(calc!$BN$3:$BN$306=TRUE),--(ROW(calc!$BN$3:$BN$306)&gt;ROW(BN52)),--(((calc!$BS$3:$BS$306&gt;BS52)*(calc!$BT$3:$BT$306&gt;BT52)+(calc!$BS$3:$BS$306&lt;BS52)*(calc!$BT$3:$BT$306&lt;BT52))&gt;0))-SUMPRODUCT(--(calc!$BN$3:$BN$306=TRUE),--(ROW(calc!$BN$3:$BN$306)&gt;ROW(BN52)),--(((calc!$BS$3:$BS$306&gt;BS52)*(calc!$BT$3:$BT$306&lt;BT52)+(calc!$BS$3:$BS$306&lt;BS52)*(calc!$BT$3:$BT$306&gt;BT52))&gt;0)),0)</f>
        <v/>
      </c>
    </row>
    <row r="53">
      <c r="A53" s="2">
        <f>mos_metrics!A52</f>
        <v/>
      </c>
      <c r="B53" s="2">
        <f>mos_metrics!B52</f>
        <v/>
      </c>
      <c r="C53" s="2">
        <f>mos_metrics!C52</f>
        <v/>
      </c>
      <c r="D53" s="2">
        <f>mos_metrics!D52</f>
        <v/>
      </c>
      <c r="E53" s="2">
        <f>mos_metrics!E52</f>
        <v/>
      </c>
      <c r="F53" s="2">
        <f>mos_metrics!F52</f>
        <v/>
      </c>
      <c r="G53" s="2">
        <f>IF($B53="","",IFERROR(VLOOKUP($B53,correlation!$A$2:$B$16,2,FALSE),1))</f>
        <v/>
      </c>
      <c r="H53" s="2">
        <f>IF($E53="","",IFERROR(VLOOKUP($E53,correlation!$D$2:$E$8,2,FALSE),1))</f>
        <v/>
      </c>
      <c r="I53" s="2">
        <f>ISNUMBER($F53)</f>
        <v/>
      </c>
      <c r="J53" s="2">
        <f>AND($G53=1,$H53=1,$I53)</f>
        <v/>
      </c>
      <c r="K53" s="5">
        <f>IF(mos_metrics!G52="","",mos_metrics!G52)</f>
        <v/>
      </c>
      <c r="L53" s="2">
        <f>AND($J53,ISNUMBER(K53),correlation!$I$26=1)</f>
        <v/>
      </c>
      <c r="M53" s="5">
        <f>IF(L53,$F53,"")</f>
        <v/>
      </c>
      <c r="N53" s="5">
        <f>IF(L53,K53*correlation!$J$26,"")</f>
        <v/>
      </c>
      <c r="O53" s="5">
        <f>IF(AND(L53,ISNUMBER(correlation!$F$26)),N53*correlation!$F$26+correlation!$G$26,"")</f>
        <v/>
      </c>
      <c r="P53" s="5">
        <f>IF(AND(L53,ISNUMBER(O53)),(M53-O53)^2,"")</f>
        <v/>
      </c>
      <c r="Q53" s="5">
        <f>IF(L53,1+SUMPRODUCT(--(calc!$L$3:$L$306=TRUE),--(calc!$M$3:$M$306&gt;M53))+(SUMPRODUCT(--(calc!$L$3:$L$306=TRUE),--(calc!$M$3:$M$306=M53))-1)/2,"")</f>
        <v/>
      </c>
      <c r="R53" s="5">
        <f>IF(L53,1+SUMPRODUCT(--(calc!$L$3:$L$306=TRUE),--(calc!$N$3:$N$306&gt;N53))+(SUMPRODUCT(--(calc!$L$3:$L$306=TRUE),--(calc!$N$3:$N$306=N53))-1)/2,"")</f>
        <v/>
      </c>
      <c r="S53" s="5">
        <f>IF(L53,SUMPRODUCT(--(calc!$L$3:$L$306=TRUE),--(ROW(calc!$L$3:$L$306)&gt;ROW(L53)),--(((calc!$Q$3:$Q$306&gt;Q53)*(calc!$R$3:$R$306&gt;R53)+(calc!$Q$3:$Q$306&lt;Q53)*(calc!$R$3:$R$306&lt;R53))&gt;0))-SUMPRODUCT(--(calc!$L$3:$L$306=TRUE),--(ROW(calc!$L$3:$L$306)&gt;ROW(L53)),--(((calc!$Q$3:$Q$306&gt;Q53)*(calc!$R$3:$R$306&lt;R53)+(calc!$Q$3:$Q$306&lt;Q53)*(calc!$R$3:$R$306&gt;R53))&gt;0)),0)</f>
        <v/>
      </c>
      <c r="T53" s="5">
        <f>IF(mos_metrics!H52="","",mos_metrics!H52)</f>
        <v/>
      </c>
      <c r="U53" s="2">
        <f>AND($J53,ISNUMBER(T53),correlation!$I$27=1)</f>
        <v/>
      </c>
      <c r="V53" s="5">
        <f>IF(U53,$F53,"")</f>
        <v/>
      </c>
      <c r="W53" s="5">
        <f>IF(U53,T53*correlation!$J$27,"")</f>
        <v/>
      </c>
      <c r="X53" s="5">
        <f>IF(AND(U53,ISNUMBER(correlation!$F$27)),W53*correlation!$F$27+correlation!$G$27,"")</f>
        <v/>
      </c>
      <c r="Y53" s="5">
        <f>IF(AND(U53,ISNUMBER(X53)),(V53-X53)^2,"")</f>
        <v/>
      </c>
      <c r="Z53" s="5">
        <f>IF(U53,1+SUMPRODUCT(--(calc!$U$3:$U$306=TRUE),--(calc!$V$3:$V$306&gt;V53))+(SUMPRODUCT(--(calc!$U$3:$U$306=TRUE),--(calc!$V$3:$V$306=V53))-1)/2,"")</f>
        <v/>
      </c>
      <c r="AA53" s="5">
        <f>IF(U53,1+SUMPRODUCT(--(calc!$U$3:$U$306=TRUE),--(calc!$W$3:$W$306&gt;W53))+(SUMPRODUCT(--(calc!$U$3:$U$306=TRUE),--(calc!$W$3:$W$306=W53))-1)/2,"")</f>
        <v/>
      </c>
      <c r="AB53" s="5">
        <f>IF(U53,SUMPRODUCT(--(calc!$U$3:$U$306=TRUE),--(ROW(calc!$U$3:$U$306)&gt;ROW(U53)),--(((calc!$Z$3:$Z$306&gt;Z53)*(calc!$AA$3:$AA$306&gt;AA53)+(calc!$Z$3:$Z$306&lt;Z53)*(calc!$AA$3:$AA$306&lt;AA53))&gt;0))-SUMPRODUCT(--(calc!$U$3:$U$306=TRUE),--(ROW(calc!$U$3:$U$306)&gt;ROW(U53)),--(((calc!$Z$3:$Z$306&gt;Z53)*(calc!$AA$3:$AA$306&lt;AA53)+(calc!$Z$3:$Z$306&lt;Z53)*(calc!$AA$3:$AA$306&gt;AA53))&gt;0)),0)</f>
        <v/>
      </c>
      <c r="AC53" s="5">
        <f>IF(mos_metrics!I52="","",mos_metrics!I52)</f>
        <v/>
      </c>
      <c r="AD53" s="2">
        <f>AND($J53,ISNUMBER(AC53),correlation!$I$28=1)</f>
        <v/>
      </c>
      <c r="AE53" s="5">
        <f>IF(AD53,$F53,"")</f>
        <v/>
      </c>
      <c r="AF53" s="5">
        <f>IF(AD53,AC53*correlation!$J$28,"")</f>
        <v/>
      </c>
      <c r="AG53" s="5">
        <f>IF(AND(AD53,ISNUMBER(correlation!$F$28)),AF53*correlation!$F$28+correlation!$G$28,"")</f>
        <v/>
      </c>
      <c r="AH53" s="5">
        <f>IF(AND(AD53,ISNUMBER(AG53)),(AE53-AG53)^2,"")</f>
        <v/>
      </c>
      <c r="AI53" s="5">
        <f>IF(AD53,1+SUMPRODUCT(--(calc!$AD$3:$AD$306=TRUE),--(calc!$AE$3:$AE$306&gt;AE53))+(SUMPRODUCT(--(calc!$AD$3:$AD$306=TRUE),--(calc!$AE$3:$AE$306=AE53))-1)/2,"")</f>
        <v/>
      </c>
      <c r="AJ53" s="5">
        <f>IF(AD53,1+SUMPRODUCT(--(calc!$AD$3:$AD$306=TRUE),--(calc!$AF$3:$AF$306&gt;AF53))+(SUMPRODUCT(--(calc!$AD$3:$AD$306=TRUE),--(calc!$AF$3:$AF$306=AF53))-1)/2,"")</f>
        <v/>
      </c>
      <c r="AK53" s="5">
        <f>IF(AD53,SUMPRODUCT(--(calc!$AD$3:$AD$306=TRUE),--(ROW(calc!$AD$3:$AD$306)&gt;ROW(AD53)),--(((calc!$AI$3:$AI$306&gt;AI53)*(calc!$AJ$3:$AJ$306&gt;AJ53)+(calc!$AI$3:$AI$306&lt;AI53)*(calc!$AJ$3:$AJ$306&lt;AJ53))&gt;0))-SUMPRODUCT(--(calc!$AD$3:$AD$306=TRUE),--(ROW(calc!$AD$3:$AD$306)&gt;ROW(AD53)),--(((calc!$AI$3:$AI$306&gt;AI53)*(calc!$AJ$3:$AJ$306&lt;AJ53)+(calc!$AI$3:$AI$306&lt;AI53)*(calc!$AJ$3:$AJ$306&gt;AJ53))&gt;0)),0)</f>
        <v/>
      </c>
      <c r="AL53" s="5">
        <f>IF(mos_metrics!J52="","",mos_metrics!J52)</f>
        <v/>
      </c>
      <c r="AM53" s="2">
        <f>AND($J53,ISNUMBER(AL53),correlation!$I$29=1)</f>
        <v/>
      </c>
      <c r="AN53" s="5">
        <f>IF(AM53,$F53,"")</f>
        <v/>
      </c>
      <c r="AO53" s="5">
        <f>IF(AM53,AL53*correlation!$J$29,"")</f>
        <v/>
      </c>
      <c r="AP53" s="5">
        <f>IF(AND(AM53,ISNUMBER(correlation!$F$29)),AO53*correlation!$F$29+correlation!$G$29,"")</f>
        <v/>
      </c>
      <c r="AQ53" s="5">
        <f>IF(AND(AM53,ISNUMBER(AP53)),(AN53-AP53)^2,"")</f>
        <v/>
      </c>
      <c r="AR53" s="5">
        <f>IF(AM53,1+SUMPRODUCT(--(calc!$AM$3:$AM$306=TRUE),--(calc!$AN$3:$AN$306&gt;AN53))+(SUMPRODUCT(--(calc!$AM$3:$AM$306=TRUE),--(calc!$AN$3:$AN$306=AN53))-1)/2,"")</f>
        <v/>
      </c>
      <c r="AS53" s="5">
        <f>IF(AM53,1+SUMPRODUCT(--(calc!$AM$3:$AM$306=TRUE),--(calc!$AO$3:$AO$306&gt;AO53))+(SUMPRODUCT(--(calc!$AM$3:$AM$306=TRUE),--(calc!$AO$3:$AO$306=AO53))-1)/2,"")</f>
        <v/>
      </c>
      <c r="AT53" s="5">
        <f>IF(AM53,SUMPRODUCT(--(calc!$AM$3:$AM$306=TRUE),--(ROW(calc!$AM$3:$AM$306)&gt;ROW(AM53)),--(((calc!$AR$3:$AR$306&gt;AR53)*(calc!$AS$3:$AS$306&gt;AS53)+(calc!$AR$3:$AR$306&lt;AR53)*(calc!$AS$3:$AS$306&lt;AS53))&gt;0))-SUMPRODUCT(--(calc!$AM$3:$AM$306=TRUE),--(ROW(calc!$AM$3:$AM$306)&gt;ROW(AM53)),--(((calc!$AR$3:$AR$306&gt;AR53)*(calc!$AS$3:$AS$306&lt;AS53)+(calc!$AR$3:$AR$306&lt;AR53)*(calc!$AS$3:$AS$306&gt;AS53))&gt;0)),0)</f>
        <v/>
      </c>
      <c r="AU53" s="5">
        <f>IF(mos_metrics!K52="","",mos_metrics!K52)</f>
        <v/>
      </c>
      <c r="AV53" s="2">
        <f>AND($J53,ISNUMBER(AU53),correlation!$I$30=1)</f>
        <v/>
      </c>
      <c r="AW53" s="5">
        <f>IF(AV53,$F53,"")</f>
        <v/>
      </c>
      <c r="AX53" s="5">
        <f>IF(AV53,AU53*correlation!$J$30,"")</f>
        <v/>
      </c>
      <c r="AY53" s="5">
        <f>IF(AND(AV53,ISNUMBER(correlation!$F$30)),AX53*correlation!$F$30+correlation!$G$30,"")</f>
        <v/>
      </c>
      <c r="AZ53" s="5">
        <f>IF(AND(AV53,ISNUMBER(AY53)),(AW53-AY53)^2,"")</f>
        <v/>
      </c>
      <c r="BA53" s="5">
        <f>IF(AV53,1+SUMPRODUCT(--(calc!$AV$3:$AV$306=TRUE),--(calc!$AW$3:$AW$306&gt;AW53))+(SUMPRODUCT(--(calc!$AV$3:$AV$306=TRUE),--(calc!$AW$3:$AW$306=AW53))-1)/2,"")</f>
        <v/>
      </c>
      <c r="BB53" s="5">
        <f>IF(AV53,1+SUMPRODUCT(--(calc!$AV$3:$AV$306=TRUE),--(calc!$AX$3:$AX$306&gt;AX53))+(SUMPRODUCT(--(calc!$AV$3:$AV$306=TRUE),--(calc!$AX$3:$AX$306=AX53))-1)/2,"")</f>
        <v/>
      </c>
      <c r="BC53" s="5">
        <f>IF(AV53,SUMPRODUCT(--(calc!$AV$3:$AV$306=TRUE),--(ROW(calc!$AV$3:$AV$306)&gt;ROW(AV53)),--(((calc!$BA$3:$BA$306&gt;BA53)*(calc!$BB$3:$BB$306&gt;BB53)+(calc!$BA$3:$BA$306&lt;BA53)*(calc!$BB$3:$BB$306&lt;BB53))&gt;0))-SUMPRODUCT(--(calc!$AV$3:$AV$306=TRUE),--(ROW(calc!$AV$3:$AV$306)&gt;ROW(AV53)),--(((calc!$BA$3:$BA$306&gt;BA53)*(calc!$BB$3:$BB$306&lt;BB53)+(calc!$BA$3:$BA$306&lt;BA53)*(calc!$BB$3:$BB$306&gt;BB53))&gt;0)),0)</f>
        <v/>
      </c>
      <c r="BD53" s="5">
        <f>IF(mos_metrics!L52="","",mos_metrics!L52)</f>
        <v/>
      </c>
      <c r="BE53" s="2">
        <f>AND($J53,ISNUMBER(BD53),correlation!$I$31=1)</f>
        <v/>
      </c>
      <c r="BF53" s="5">
        <f>IF(BE53,$F53,"")</f>
        <v/>
      </c>
      <c r="BG53" s="5">
        <f>IF(BE53,BD53*correlation!$J$31,"")</f>
        <v/>
      </c>
      <c r="BH53" s="5">
        <f>IF(AND(BE53,ISNUMBER(correlation!$F$31)),BG53*correlation!$F$31+correlation!$G$31,"")</f>
        <v/>
      </c>
      <c r="BI53" s="5">
        <f>IF(AND(BE53,ISNUMBER(BH53)),(BF53-BH53)^2,"")</f>
        <v/>
      </c>
      <c r="BJ53" s="5">
        <f>IF(BE53,1+SUMPRODUCT(--(calc!$BE$3:$BE$306=TRUE),--(calc!$BF$3:$BF$306&gt;BF53))+(SUMPRODUCT(--(calc!$BE$3:$BE$306=TRUE),--(calc!$BF$3:$BF$306=BF53))-1)/2,"")</f>
        <v/>
      </c>
      <c r="BK53" s="5">
        <f>IF(BE53,1+SUMPRODUCT(--(calc!$BE$3:$BE$306=TRUE),--(calc!$BG$3:$BG$306&gt;BG53))+(SUMPRODUCT(--(calc!$BE$3:$BE$306=TRUE),--(calc!$BG$3:$BG$306=BG53))-1)/2,"")</f>
        <v/>
      </c>
      <c r="BL53" s="5">
        <f>IF(BE53,SUMPRODUCT(--(calc!$BE$3:$BE$306=TRUE),--(ROW(calc!$BE$3:$BE$306)&gt;ROW(BE53)),--(((calc!$BJ$3:$BJ$306&gt;BJ53)*(calc!$BK$3:$BK$306&gt;BK53)+(calc!$BJ$3:$BJ$306&lt;BJ53)*(calc!$BK$3:$BK$306&lt;BK53))&gt;0))-SUMPRODUCT(--(calc!$BE$3:$BE$306=TRUE),--(ROW(calc!$BE$3:$BE$306)&gt;ROW(BE53)),--(((calc!$BJ$3:$BJ$306&gt;BJ53)*(calc!$BK$3:$BK$306&lt;BK53)+(calc!$BJ$3:$BJ$306&lt;BJ53)*(calc!$BK$3:$BK$306&gt;BK53))&gt;0)),0)</f>
        <v/>
      </c>
      <c r="BM53" s="5">
        <f>IF(mos_metrics!M52="","",mos_metrics!M52)</f>
        <v/>
      </c>
      <c r="BN53" s="2">
        <f>AND($J53,ISNUMBER(BM53),correlation!$I$32=1)</f>
        <v/>
      </c>
      <c r="BO53" s="5">
        <f>IF(BN53,$F53,"")</f>
        <v/>
      </c>
      <c r="BP53" s="5">
        <f>IF(BN53,BM53*correlation!$J$32,"")</f>
        <v/>
      </c>
      <c r="BQ53" s="5">
        <f>IF(AND(BN53,ISNUMBER(correlation!$F$32)),BP53*correlation!$F$32+correlation!$G$32,"")</f>
        <v/>
      </c>
      <c r="BR53" s="5">
        <f>IF(AND(BN53,ISNUMBER(BQ53)),(BO53-BQ53)^2,"")</f>
        <v/>
      </c>
      <c r="BS53" s="5">
        <f>IF(BN53,1+SUMPRODUCT(--(calc!$BN$3:$BN$306=TRUE),--(calc!$BO$3:$BO$306&gt;BO53))+(SUMPRODUCT(--(calc!$BN$3:$BN$306=TRUE),--(calc!$BO$3:$BO$306=BO53))-1)/2,"")</f>
        <v/>
      </c>
      <c r="BT53" s="5">
        <f>IF(BN53,1+SUMPRODUCT(--(calc!$BN$3:$BN$306=TRUE),--(calc!$BP$3:$BP$306&gt;BP53))+(SUMPRODUCT(--(calc!$BN$3:$BN$306=TRUE),--(calc!$BP$3:$BP$306=BP53))-1)/2,"")</f>
        <v/>
      </c>
      <c r="BU53" s="5">
        <f>IF(BN53,SUMPRODUCT(--(calc!$BN$3:$BN$306=TRUE),--(ROW(calc!$BN$3:$BN$306)&gt;ROW(BN53)),--(((calc!$BS$3:$BS$306&gt;BS53)*(calc!$BT$3:$BT$306&gt;BT53)+(calc!$BS$3:$BS$306&lt;BS53)*(calc!$BT$3:$BT$306&lt;BT53))&gt;0))-SUMPRODUCT(--(calc!$BN$3:$BN$306=TRUE),--(ROW(calc!$BN$3:$BN$306)&gt;ROW(BN53)),--(((calc!$BS$3:$BS$306&gt;BS53)*(calc!$BT$3:$BT$306&lt;BT53)+(calc!$BS$3:$BS$306&lt;BS53)*(calc!$BT$3:$BT$306&gt;BT53))&gt;0)),0)</f>
        <v/>
      </c>
    </row>
    <row r="54">
      <c r="A54" s="2">
        <f>mos_metrics!A53</f>
        <v/>
      </c>
      <c r="B54" s="2">
        <f>mos_metrics!B53</f>
        <v/>
      </c>
      <c r="C54" s="2">
        <f>mos_metrics!C53</f>
        <v/>
      </c>
      <c r="D54" s="2">
        <f>mos_metrics!D53</f>
        <v/>
      </c>
      <c r="E54" s="2">
        <f>mos_metrics!E53</f>
        <v/>
      </c>
      <c r="F54" s="2">
        <f>mos_metrics!F53</f>
        <v/>
      </c>
      <c r="G54" s="2">
        <f>IF($B54="","",IFERROR(VLOOKUP($B54,correlation!$A$2:$B$16,2,FALSE),1))</f>
        <v/>
      </c>
      <c r="H54" s="2">
        <f>IF($E54="","",IFERROR(VLOOKUP($E54,correlation!$D$2:$E$8,2,FALSE),1))</f>
        <v/>
      </c>
      <c r="I54" s="2">
        <f>ISNUMBER($F54)</f>
        <v/>
      </c>
      <c r="J54" s="2">
        <f>AND($G54=1,$H54=1,$I54)</f>
        <v/>
      </c>
      <c r="K54" s="5">
        <f>IF(mos_metrics!G53="","",mos_metrics!G53)</f>
        <v/>
      </c>
      <c r="L54" s="2">
        <f>AND($J54,ISNUMBER(K54),correlation!$I$26=1)</f>
        <v/>
      </c>
      <c r="M54" s="5">
        <f>IF(L54,$F54,"")</f>
        <v/>
      </c>
      <c r="N54" s="5">
        <f>IF(L54,K54*correlation!$J$26,"")</f>
        <v/>
      </c>
      <c r="O54" s="5">
        <f>IF(AND(L54,ISNUMBER(correlation!$F$26)),N54*correlation!$F$26+correlation!$G$26,"")</f>
        <v/>
      </c>
      <c r="P54" s="5">
        <f>IF(AND(L54,ISNUMBER(O54)),(M54-O54)^2,"")</f>
        <v/>
      </c>
      <c r="Q54" s="5">
        <f>IF(L54,1+SUMPRODUCT(--(calc!$L$3:$L$306=TRUE),--(calc!$M$3:$M$306&gt;M54))+(SUMPRODUCT(--(calc!$L$3:$L$306=TRUE),--(calc!$M$3:$M$306=M54))-1)/2,"")</f>
        <v/>
      </c>
      <c r="R54" s="5">
        <f>IF(L54,1+SUMPRODUCT(--(calc!$L$3:$L$306=TRUE),--(calc!$N$3:$N$306&gt;N54))+(SUMPRODUCT(--(calc!$L$3:$L$306=TRUE),--(calc!$N$3:$N$306=N54))-1)/2,"")</f>
        <v/>
      </c>
      <c r="S54" s="5">
        <f>IF(L54,SUMPRODUCT(--(calc!$L$3:$L$306=TRUE),--(ROW(calc!$L$3:$L$306)&gt;ROW(L54)),--(((calc!$Q$3:$Q$306&gt;Q54)*(calc!$R$3:$R$306&gt;R54)+(calc!$Q$3:$Q$306&lt;Q54)*(calc!$R$3:$R$306&lt;R54))&gt;0))-SUMPRODUCT(--(calc!$L$3:$L$306=TRUE),--(ROW(calc!$L$3:$L$306)&gt;ROW(L54)),--(((calc!$Q$3:$Q$306&gt;Q54)*(calc!$R$3:$R$306&lt;R54)+(calc!$Q$3:$Q$306&lt;Q54)*(calc!$R$3:$R$306&gt;R54))&gt;0)),0)</f>
        <v/>
      </c>
      <c r="T54" s="5">
        <f>IF(mos_metrics!H53="","",mos_metrics!H53)</f>
        <v/>
      </c>
      <c r="U54" s="2">
        <f>AND($J54,ISNUMBER(T54),correlation!$I$27=1)</f>
        <v/>
      </c>
      <c r="V54" s="5">
        <f>IF(U54,$F54,"")</f>
        <v/>
      </c>
      <c r="W54" s="5">
        <f>IF(U54,T54*correlation!$J$27,"")</f>
        <v/>
      </c>
      <c r="X54" s="5">
        <f>IF(AND(U54,ISNUMBER(correlation!$F$27)),W54*correlation!$F$27+correlation!$G$27,"")</f>
        <v/>
      </c>
      <c r="Y54" s="5">
        <f>IF(AND(U54,ISNUMBER(X54)),(V54-X54)^2,"")</f>
        <v/>
      </c>
      <c r="Z54" s="5">
        <f>IF(U54,1+SUMPRODUCT(--(calc!$U$3:$U$306=TRUE),--(calc!$V$3:$V$306&gt;V54))+(SUMPRODUCT(--(calc!$U$3:$U$306=TRUE),--(calc!$V$3:$V$306=V54))-1)/2,"")</f>
        <v/>
      </c>
      <c r="AA54" s="5">
        <f>IF(U54,1+SUMPRODUCT(--(calc!$U$3:$U$306=TRUE),--(calc!$W$3:$W$306&gt;W54))+(SUMPRODUCT(--(calc!$U$3:$U$306=TRUE),--(calc!$W$3:$W$306=W54))-1)/2,"")</f>
        <v/>
      </c>
      <c r="AB54" s="5">
        <f>IF(U54,SUMPRODUCT(--(calc!$U$3:$U$306=TRUE),--(ROW(calc!$U$3:$U$306)&gt;ROW(U54)),--(((calc!$Z$3:$Z$306&gt;Z54)*(calc!$AA$3:$AA$306&gt;AA54)+(calc!$Z$3:$Z$306&lt;Z54)*(calc!$AA$3:$AA$306&lt;AA54))&gt;0))-SUMPRODUCT(--(calc!$U$3:$U$306=TRUE),--(ROW(calc!$U$3:$U$306)&gt;ROW(U54)),--(((calc!$Z$3:$Z$306&gt;Z54)*(calc!$AA$3:$AA$306&lt;AA54)+(calc!$Z$3:$Z$306&lt;Z54)*(calc!$AA$3:$AA$306&gt;AA54))&gt;0)),0)</f>
        <v/>
      </c>
      <c r="AC54" s="5">
        <f>IF(mos_metrics!I53="","",mos_metrics!I53)</f>
        <v/>
      </c>
      <c r="AD54" s="2">
        <f>AND($J54,ISNUMBER(AC54),correlation!$I$28=1)</f>
        <v/>
      </c>
      <c r="AE54" s="5">
        <f>IF(AD54,$F54,"")</f>
        <v/>
      </c>
      <c r="AF54" s="5">
        <f>IF(AD54,AC54*correlation!$J$28,"")</f>
        <v/>
      </c>
      <c r="AG54" s="5">
        <f>IF(AND(AD54,ISNUMBER(correlation!$F$28)),AF54*correlation!$F$28+correlation!$G$28,"")</f>
        <v/>
      </c>
      <c r="AH54" s="5">
        <f>IF(AND(AD54,ISNUMBER(AG54)),(AE54-AG54)^2,"")</f>
        <v/>
      </c>
      <c r="AI54" s="5">
        <f>IF(AD54,1+SUMPRODUCT(--(calc!$AD$3:$AD$306=TRUE),--(calc!$AE$3:$AE$306&gt;AE54))+(SUMPRODUCT(--(calc!$AD$3:$AD$306=TRUE),--(calc!$AE$3:$AE$306=AE54))-1)/2,"")</f>
        <v/>
      </c>
      <c r="AJ54" s="5">
        <f>IF(AD54,1+SUMPRODUCT(--(calc!$AD$3:$AD$306=TRUE),--(calc!$AF$3:$AF$306&gt;AF54))+(SUMPRODUCT(--(calc!$AD$3:$AD$306=TRUE),--(calc!$AF$3:$AF$306=AF54))-1)/2,"")</f>
        <v/>
      </c>
      <c r="AK54" s="5">
        <f>IF(AD54,SUMPRODUCT(--(calc!$AD$3:$AD$306=TRUE),--(ROW(calc!$AD$3:$AD$306)&gt;ROW(AD54)),--(((calc!$AI$3:$AI$306&gt;AI54)*(calc!$AJ$3:$AJ$306&gt;AJ54)+(calc!$AI$3:$AI$306&lt;AI54)*(calc!$AJ$3:$AJ$306&lt;AJ54))&gt;0))-SUMPRODUCT(--(calc!$AD$3:$AD$306=TRUE),--(ROW(calc!$AD$3:$AD$306)&gt;ROW(AD54)),--(((calc!$AI$3:$AI$306&gt;AI54)*(calc!$AJ$3:$AJ$306&lt;AJ54)+(calc!$AI$3:$AI$306&lt;AI54)*(calc!$AJ$3:$AJ$306&gt;AJ54))&gt;0)),0)</f>
        <v/>
      </c>
      <c r="AL54" s="5">
        <f>IF(mos_metrics!J53="","",mos_metrics!J53)</f>
        <v/>
      </c>
      <c r="AM54" s="2">
        <f>AND($J54,ISNUMBER(AL54),correlation!$I$29=1)</f>
        <v/>
      </c>
      <c r="AN54" s="5">
        <f>IF(AM54,$F54,"")</f>
        <v/>
      </c>
      <c r="AO54" s="5">
        <f>IF(AM54,AL54*correlation!$J$29,"")</f>
        <v/>
      </c>
      <c r="AP54" s="5">
        <f>IF(AND(AM54,ISNUMBER(correlation!$F$29)),AO54*correlation!$F$29+correlation!$G$29,"")</f>
        <v/>
      </c>
      <c r="AQ54" s="5">
        <f>IF(AND(AM54,ISNUMBER(AP54)),(AN54-AP54)^2,"")</f>
        <v/>
      </c>
      <c r="AR54" s="5">
        <f>IF(AM54,1+SUMPRODUCT(--(calc!$AM$3:$AM$306=TRUE),--(calc!$AN$3:$AN$306&gt;AN54))+(SUMPRODUCT(--(calc!$AM$3:$AM$306=TRUE),--(calc!$AN$3:$AN$306=AN54))-1)/2,"")</f>
        <v/>
      </c>
      <c r="AS54" s="5">
        <f>IF(AM54,1+SUMPRODUCT(--(calc!$AM$3:$AM$306=TRUE),--(calc!$AO$3:$AO$306&gt;AO54))+(SUMPRODUCT(--(calc!$AM$3:$AM$306=TRUE),--(calc!$AO$3:$AO$306=AO54))-1)/2,"")</f>
        <v/>
      </c>
      <c r="AT54" s="5">
        <f>IF(AM54,SUMPRODUCT(--(calc!$AM$3:$AM$306=TRUE),--(ROW(calc!$AM$3:$AM$306)&gt;ROW(AM54)),--(((calc!$AR$3:$AR$306&gt;AR54)*(calc!$AS$3:$AS$306&gt;AS54)+(calc!$AR$3:$AR$306&lt;AR54)*(calc!$AS$3:$AS$306&lt;AS54))&gt;0))-SUMPRODUCT(--(calc!$AM$3:$AM$306=TRUE),--(ROW(calc!$AM$3:$AM$306)&gt;ROW(AM54)),--(((calc!$AR$3:$AR$306&gt;AR54)*(calc!$AS$3:$AS$306&lt;AS54)+(calc!$AR$3:$AR$306&lt;AR54)*(calc!$AS$3:$AS$306&gt;AS54))&gt;0)),0)</f>
        <v/>
      </c>
      <c r="AU54" s="5">
        <f>IF(mos_metrics!K53="","",mos_metrics!K53)</f>
        <v/>
      </c>
      <c r="AV54" s="2">
        <f>AND($J54,ISNUMBER(AU54),correlation!$I$30=1)</f>
        <v/>
      </c>
      <c r="AW54" s="5">
        <f>IF(AV54,$F54,"")</f>
        <v/>
      </c>
      <c r="AX54" s="5">
        <f>IF(AV54,AU54*correlation!$J$30,"")</f>
        <v/>
      </c>
      <c r="AY54" s="5">
        <f>IF(AND(AV54,ISNUMBER(correlation!$F$30)),AX54*correlation!$F$30+correlation!$G$30,"")</f>
        <v/>
      </c>
      <c r="AZ54" s="5">
        <f>IF(AND(AV54,ISNUMBER(AY54)),(AW54-AY54)^2,"")</f>
        <v/>
      </c>
      <c r="BA54" s="5">
        <f>IF(AV54,1+SUMPRODUCT(--(calc!$AV$3:$AV$306=TRUE),--(calc!$AW$3:$AW$306&gt;AW54))+(SUMPRODUCT(--(calc!$AV$3:$AV$306=TRUE),--(calc!$AW$3:$AW$306=AW54))-1)/2,"")</f>
        <v/>
      </c>
      <c r="BB54" s="5">
        <f>IF(AV54,1+SUMPRODUCT(--(calc!$AV$3:$AV$306=TRUE),--(calc!$AX$3:$AX$306&gt;AX54))+(SUMPRODUCT(--(calc!$AV$3:$AV$306=TRUE),--(calc!$AX$3:$AX$306=AX54))-1)/2,"")</f>
        <v/>
      </c>
      <c r="BC54" s="5">
        <f>IF(AV54,SUMPRODUCT(--(calc!$AV$3:$AV$306=TRUE),--(ROW(calc!$AV$3:$AV$306)&gt;ROW(AV54)),--(((calc!$BA$3:$BA$306&gt;BA54)*(calc!$BB$3:$BB$306&gt;BB54)+(calc!$BA$3:$BA$306&lt;BA54)*(calc!$BB$3:$BB$306&lt;BB54))&gt;0))-SUMPRODUCT(--(calc!$AV$3:$AV$306=TRUE),--(ROW(calc!$AV$3:$AV$306)&gt;ROW(AV54)),--(((calc!$BA$3:$BA$306&gt;BA54)*(calc!$BB$3:$BB$306&lt;BB54)+(calc!$BA$3:$BA$306&lt;BA54)*(calc!$BB$3:$BB$306&gt;BB54))&gt;0)),0)</f>
        <v/>
      </c>
      <c r="BD54" s="5">
        <f>IF(mos_metrics!L53="","",mos_metrics!L53)</f>
        <v/>
      </c>
      <c r="BE54" s="2">
        <f>AND($J54,ISNUMBER(BD54),correlation!$I$31=1)</f>
        <v/>
      </c>
      <c r="BF54" s="5">
        <f>IF(BE54,$F54,"")</f>
        <v/>
      </c>
      <c r="BG54" s="5">
        <f>IF(BE54,BD54*correlation!$J$31,"")</f>
        <v/>
      </c>
      <c r="BH54" s="5">
        <f>IF(AND(BE54,ISNUMBER(correlation!$F$31)),BG54*correlation!$F$31+correlation!$G$31,"")</f>
        <v/>
      </c>
      <c r="BI54" s="5">
        <f>IF(AND(BE54,ISNUMBER(BH54)),(BF54-BH54)^2,"")</f>
        <v/>
      </c>
      <c r="BJ54" s="5">
        <f>IF(BE54,1+SUMPRODUCT(--(calc!$BE$3:$BE$306=TRUE),--(calc!$BF$3:$BF$306&gt;BF54))+(SUMPRODUCT(--(calc!$BE$3:$BE$306=TRUE),--(calc!$BF$3:$BF$306=BF54))-1)/2,"")</f>
        <v/>
      </c>
      <c r="BK54" s="5">
        <f>IF(BE54,1+SUMPRODUCT(--(calc!$BE$3:$BE$306=TRUE),--(calc!$BG$3:$BG$306&gt;BG54))+(SUMPRODUCT(--(calc!$BE$3:$BE$306=TRUE),--(calc!$BG$3:$BG$306=BG54))-1)/2,"")</f>
        <v/>
      </c>
      <c r="BL54" s="5">
        <f>IF(BE54,SUMPRODUCT(--(calc!$BE$3:$BE$306=TRUE),--(ROW(calc!$BE$3:$BE$306)&gt;ROW(BE54)),--(((calc!$BJ$3:$BJ$306&gt;BJ54)*(calc!$BK$3:$BK$306&gt;BK54)+(calc!$BJ$3:$BJ$306&lt;BJ54)*(calc!$BK$3:$BK$306&lt;BK54))&gt;0))-SUMPRODUCT(--(calc!$BE$3:$BE$306=TRUE),--(ROW(calc!$BE$3:$BE$306)&gt;ROW(BE54)),--(((calc!$BJ$3:$BJ$306&gt;BJ54)*(calc!$BK$3:$BK$306&lt;BK54)+(calc!$BJ$3:$BJ$306&lt;BJ54)*(calc!$BK$3:$BK$306&gt;BK54))&gt;0)),0)</f>
        <v/>
      </c>
      <c r="BM54" s="5">
        <f>IF(mos_metrics!M53="","",mos_metrics!M53)</f>
        <v/>
      </c>
      <c r="BN54" s="2">
        <f>AND($J54,ISNUMBER(BM54),correlation!$I$32=1)</f>
        <v/>
      </c>
      <c r="BO54" s="5">
        <f>IF(BN54,$F54,"")</f>
        <v/>
      </c>
      <c r="BP54" s="5">
        <f>IF(BN54,BM54*correlation!$J$32,"")</f>
        <v/>
      </c>
      <c r="BQ54" s="5">
        <f>IF(AND(BN54,ISNUMBER(correlation!$F$32)),BP54*correlation!$F$32+correlation!$G$32,"")</f>
        <v/>
      </c>
      <c r="BR54" s="5">
        <f>IF(AND(BN54,ISNUMBER(BQ54)),(BO54-BQ54)^2,"")</f>
        <v/>
      </c>
      <c r="BS54" s="5">
        <f>IF(BN54,1+SUMPRODUCT(--(calc!$BN$3:$BN$306=TRUE),--(calc!$BO$3:$BO$306&gt;BO54))+(SUMPRODUCT(--(calc!$BN$3:$BN$306=TRUE),--(calc!$BO$3:$BO$306=BO54))-1)/2,"")</f>
        <v/>
      </c>
      <c r="BT54" s="5">
        <f>IF(BN54,1+SUMPRODUCT(--(calc!$BN$3:$BN$306=TRUE),--(calc!$BP$3:$BP$306&gt;BP54))+(SUMPRODUCT(--(calc!$BN$3:$BN$306=TRUE),--(calc!$BP$3:$BP$306=BP54))-1)/2,"")</f>
        <v/>
      </c>
      <c r="BU54" s="5">
        <f>IF(BN54,SUMPRODUCT(--(calc!$BN$3:$BN$306=TRUE),--(ROW(calc!$BN$3:$BN$306)&gt;ROW(BN54)),--(((calc!$BS$3:$BS$306&gt;BS54)*(calc!$BT$3:$BT$306&gt;BT54)+(calc!$BS$3:$BS$306&lt;BS54)*(calc!$BT$3:$BT$306&lt;BT54))&gt;0))-SUMPRODUCT(--(calc!$BN$3:$BN$306=TRUE),--(ROW(calc!$BN$3:$BN$306)&gt;ROW(BN54)),--(((calc!$BS$3:$BS$306&gt;BS54)*(calc!$BT$3:$BT$306&lt;BT54)+(calc!$BS$3:$BS$306&lt;BS54)*(calc!$BT$3:$BT$306&gt;BT54))&gt;0)),0)</f>
        <v/>
      </c>
    </row>
    <row r="55">
      <c r="A55" s="2">
        <f>mos_metrics!A54</f>
        <v/>
      </c>
      <c r="B55" s="2">
        <f>mos_metrics!B54</f>
        <v/>
      </c>
      <c r="C55" s="2">
        <f>mos_metrics!C54</f>
        <v/>
      </c>
      <c r="D55" s="2">
        <f>mos_metrics!D54</f>
        <v/>
      </c>
      <c r="E55" s="2">
        <f>mos_metrics!E54</f>
        <v/>
      </c>
      <c r="F55" s="2">
        <f>mos_metrics!F54</f>
        <v/>
      </c>
      <c r="G55" s="2">
        <f>IF($B55="","",IFERROR(VLOOKUP($B55,correlation!$A$2:$B$16,2,FALSE),1))</f>
        <v/>
      </c>
      <c r="H55" s="2">
        <f>IF($E55="","",IFERROR(VLOOKUP($E55,correlation!$D$2:$E$8,2,FALSE),1))</f>
        <v/>
      </c>
      <c r="I55" s="2">
        <f>ISNUMBER($F55)</f>
        <v/>
      </c>
      <c r="J55" s="2">
        <f>AND($G55=1,$H55=1,$I55)</f>
        <v/>
      </c>
      <c r="K55" s="5">
        <f>IF(mos_metrics!G54="","",mos_metrics!G54)</f>
        <v/>
      </c>
      <c r="L55" s="2">
        <f>AND($J55,ISNUMBER(K55),correlation!$I$26=1)</f>
        <v/>
      </c>
      <c r="M55" s="5">
        <f>IF(L55,$F55,"")</f>
        <v/>
      </c>
      <c r="N55" s="5">
        <f>IF(L55,K55*correlation!$J$26,"")</f>
        <v/>
      </c>
      <c r="O55" s="5">
        <f>IF(AND(L55,ISNUMBER(correlation!$F$26)),N55*correlation!$F$26+correlation!$G$26,"")</f>
        <v/>
      </c>
      <c r="P55" s="5">
        <f>IF(AND(L55,ISNUMBER(O55)),(M55-O55)^2,"")</f>
        <v/>
      </c>
      <c r="Q55" s="5">
        <f>IF(L55,1+SUMPRODUCT(--(calc!$L$3:$L$306=TRUE),--(calc!$M$3:$M$306&gt;M55))+(SUMPRODUCT(--(calc!$L$3:$L$306=TRUE),--(calc!$M$3:$M$306=M55))-1)/2,"")</f>
        <v/>
      </c>
      <c r="R55" s="5">
        <f>IF(L55,1+SUMPRODUCT(--(calc!$L$3:$L$306=TRUE),--(calc!$N$3:$N$306&gt;N55))+(SUMPRODUCT(--(calc!$L$3:$L$306=TRUE),--(calc!$N$3:$N$306=N55))-1)/2,"")</f>
        <v/>
      </c>
      <c r="S55" s="5">
        <f>IF(L55,SUMPRODUCT(--(calc!$L$3:$L$306=TRUE),--(ROW(calc!$L$3:$L$306)&gt;ROW(L55)),--(((calc!$Q$3:$Q$306&gt;Q55)*(calc!$R$3:$R$306&gt;R55)+(calc!$Q$3:$Q$306&lt;Q55)*(calc!$R$3:$R$306&lt;R55))&gt;0))-SUMPRODUCT(--(calc!$L$3:$L$306=TRUE),--(ROW(calc!$L$3:$L$306)&gt;ROW(L55)),--(((calc!$Q$3:$Q$306&gt;Q55)*(calc!$R$3:$R$306&lt;R55)+(calc!$Q$3:$Q$306&lt;Q55)*(calc!$R$3:$R$306&gt;R55))&gt;0)),0)</f>
        <v/>
      </c>
      <c r="T55" s="5">
        <f>IF(mos_metrics!H54="","",mos_metrics!H54)</f>
        <v/>
      </c>
      <c r="U55" s="2">
        <f>AND($J55,ISNUMBER(T55),correlation!$I$27=1)</f>
        <v/>
      </c>
      <c r="V55" s="5">
        <f>IF(U55,$F55,"")</f>
        <v/>
      </c>
      <c r="W55" s="5">
        <f>IF(U55,T55*correlation!$J$27,"")</f>
        <v/>
      </c>
      <c r="X55" s="5">
        <f>IF(AND(U55,ISNUMBER(correlation!$F$27)),W55*correlation!$F$27+correlation!$G$27,"")</f>
        <v/>
      </c>
      <c r="Y55" s="5">
        <f>IF(AND(U55,ISNUMBER(X55)),(V55-X55)^2,"")</f>
        <v/>
      </c>
      <c r="Z55" s="5">
        <f>IF(U55,1+SUMPRODUCT(--(calc!$U$3:$U$306=TRUE),--(calc!$V$3:$V$306&gt;V55))+(SUMPRODUCT(--(calc!$U$3:$U$306=TRUE),--(calc!$V$3:$V$306=V55))-1)/2,"")</f>
        <v/>
      </c>
      <c r="AA55" s="5">
        <f>IF(U55,1+SUMPRODUCT(--(calc!$U$3:$U$306=TRUE),--(calc!$W$3:$W$306&gt;W55))+(SUMPRODUCT(--(calc!$U$3:$U$306=TRUE),--(calc!$W$3:$W$306=W55))-1)/2,"")</f>
        <v/>
      </c>
      <c r="AB55" s="5">
        <f>IF(U55,SUMPRODUCT(--(calc!$U$3:$U$306=TRUE),--(ROW(calc!$U$3:$U$306)&gt;ROW(U55)),--(((calc!$Z$3:$Z$306&gt;Z55)*(calc!$AA$3:$AA$306&gt;AA55)+(calc!$Z$3:$Z$306&lt;Z55)*(calc!$AA$3:$AA$306&lt;AA55))&gt;0))-SUMPRODUCT(--(calc!$U$3:$U$306=TRUE),--(ROW(calc!$U$3:$U$306)&gt;ROW(U55)),--(((calc!$Z$3:$Z$306&gt;Z55)*(calc!$AA$3:$AA$306&lt;AA55)+(calc!$Z$3:$Z$306&lt;Z55)*(calc!$AA$3:$AA$306&gt;AA55))&gt;0)),0)</f>
        <v/>
      </c>
      <c r="AC55" s="5">
        <f>IF(mos_metrics!I54="","",mos_metrics!I54)</f>
        <v/>
      </c>
      <c r="AD55" s="2">
        <f>AND($J55,ISNUMBER(AC55),correlation!$I$28=1)</f>
        <v/>
      </c>
      <c r="AE55" s="5">
        <f>IF(AD55,$F55,"")</f>
        <v/>
      </c>
      <c r="AF55" s="5">
        <f>IF(AD55,AC55*correlation!$J$28,"")</f>
        <v/>
      </c>
      <c r="AG55" s="5">
        <f>IF(AND(AD55,ISNUMBER(correlation!$F$28)),AF55*correlation!$F$28+correlation!$G$28,"")</f>
        <v/>
      </c>
      <c r="AH55" s="5">
        <f>IF(AND(AD55,ISNUMBER(AG55)),(AE55-AG55)^2,"")</f>
        <v/>
      </c>
      <c r="AI55" s="5">
        <f>IF(AD55,1+SUMPRODUCT(--(calc!$AD$3:$AD$306=TRUE),--(calc!$AE$3:$AE$306&gt;AE55))+(SUMPRODUCT(--(calc!$AD$3:$AD$306=TRUE),--(calc!$AE$3:$AE$306=AE55))-1)/2,"")</f>
        <v/>
      </c>
      <c r="AJ55" s="5">
        <f>IF(AD55,1+SUMPRODUCT(--(calc!$AD$3:$AD$306=TRUE),--(calc!$AF$3:$AF$306&gt;AF55))+(SUMPRODUCT(--(calc!$AD$3:$AD$306=TRUE),--(calc!$AF$3:$AF$306=AF55))-1)/2,"")</f>
        <v/>
      </c>
      <c r="AK55" s="5">
        <f>IF(AD55,SUMPRODUCT(--(calc!$AD$3:$AD$306=TRUE),--(ROW(calc!$AD$3:$AD$306)&gt;ROW(AD55)),--(((calc!$AI$3:$AI$306&gt;AI55)*(calc!$AJ$3:$AJ$306&gt;AJ55)+(calc!$AI$3:$AI$306&lt;AI55)*(calc!$AJ$3:$AJ$306&lt;AJ55))&gt;0))-SUMPRODUCT(--(calc!$AD$3:$AD$306=TRUE),--(ROW(calc!$AD$3:$AD$306)&gt;ROW(AD55)),--(((calc!$AI$3:$AI$306&gt;AI55)*(calc!$AJ$3:$AJ$306&lt;AJ55)+(calc!$AI$3:$AI$306&lt;AI55)*(calc!$AJ$3:$AJ$306&gt;AJ55))&gt;0)),0)</f>
        <v/>
      </c>
      <c r="AL55" s="5">
        <f>IF(mos_metrics!J54="","",mos_metrics!J54)</f>
        <v/>
      </c>
      <c r="AM55" s="2">
        <f>AND($J55,ISNUMBER(AL55),correlation!$I$29=1)</f>
        <v/>
      </c>
      <c r="AN55" s="5">
        <f>IF(AM55,$F55,"")</f>
        <v/>
      </c>
      <c r="AO55" s="5">
        <f>IF(AM55,AL55*correlation!$J$29,"")</f>
        <v/>
      </c>
      <c r="AP55" s="5">
        <f>IF(AND(AM55,ISNUMBER(correlation!$F$29)),AO55*correlation!$F$29+correlation!$G$29,"")</f>
        <v/>
      </c>
      <c r="AQ55" s="5">
        <f>IF(AND(AM55,ISNUMBER(AP55)),(AN55-AP55)^2,"")</f>
        <v/>
      </c>
      <c r="AR55" s="5">
        <f>IF(AM55,1+SUMPRODUCT(--(calc!$AM$3:$AM$306=TRUE),--(calc!$AN$3:$AN$306&gt;AN55))+(SUMPRODUCT(--(calc!$AM$3:$AM$306=TRUE),--(calc!$AN$3:$AN$306=AN55))-1)/2,"")</f>
        <v/>
      </c>
      <c r="AS55" s="5">
        <f>IF(AM55,1+SUMPRODUCT(--(calc!$AM$3:$AM$306=TRUE),--(calc!$AO$3:$AO$306&gt;AO55))+(SUMPRODUCT(--(calc!$AM$3:$AM$306=TRUE),--(calc!$AO$3:$AO$306=AO55))-1)/2,"")</f>
        <v/>
      </c>
      <c r="AT55" s="5">
        <f>IF(AM55,SUMPRODUCT(--(calc!$AM$3:$AM$306=TRUE),--(ROW(calc!$AM$3:$AM$306)&gt;ROW(AM55)),--(((calc!$AR$3:$AR$306&gt;AR55)*(calc!$AS$3:$AS$306&gt;AS55)+(calc!$AR$3:$AR$306&lt;AR55)*(calc!$AS$3:$AS$306&lt;AS55))&gt;0))-SUMPRODUCT(--(calc!$AM$3:$AM$306=TRUE),--(ROW(calc!$AM$3:$AM$306)&gt;ROW(AM55)),--(((calc!$AR$3:$AR$306&gt;AR55)*(calc!$AS$3:$AS$306&lt;AS55)+(calc!$AR$3:$AR$306&lt;AR55)*(calc!$AS$3:$AS$306&gt;AS55))&gt;0)),0)</f>
        <v/>
      </c>
      <c r="AU55" s="5">
        <f>IF(mos_metrics!K54="","",mos_metrics!K54)</f>
        <v/>
      </c>
      <c r="AV55" s="2">
        <f>AND($J55,ISNUMBER(AU55),correlation!$I$30=1)</f>
        <v/>
      </c>
      <c r="AW55" s="5">
        <f>IF(AV55,$F55,"")</f>
        <v/>
      </c>
      <c r="AX55" s="5">
        <f>IF(AV55,AU55*correlation!$J$30,"")</f>
        <v/>
      </c>
      <c r="AY55" s="5">
        <f>IF(AND(AV55,ISNUMBER(correlation!$F$30)),AX55*correlation!$F$30+correlation!$G$30,"")</f>
        <v/>
      </c>
      <c r="AZ55" s="5">
        <f>IF(AND(AV55,ISNUMBER(AY55)),(AW55-AY55)^2,"")</f>
        <v/>
      </c>
      <c r="BA55" s="5">
        <f>IF(AV55,1+SUMPRODUCT(--(calc!$AV$3:$AV$306=TRUE),--(calc!$AW$3:$AW$306&gt;AW55))+(SUMPRODUCT(--(calc!$AV$3:$AV$306=TRUE),--(calc!$AW$3:$AW$306=AW55))-1)/2,"")</f>
        <v/>
      </c>
      <c r="BB55" s="5">
        <f>IF(AV55,1+SUMPRODUCT(--(calc!$AV$3:$AV$306=TRUE),--(calc!$AX$3:$AX$306&gt;AX55))+(SUMPRODUCT(--(calc!$AV$3:$AV$306=TRUE),--(calc!$AX$3:$AX$306=AX55))-1)/2,"")</f>
        <v/>
      </c>
      <c r="BC55" s="5">
        <f>IF(AV55,SUMPRODUCT(--(calc!$AV$3:$AV$306=TRUE),--(ROW(calc!$AV$3:$AV$306)&gt;ROW(AV55)),--(((calc!$BA$3:$BA$306&gt;BA55)*(calc!$BB$3:$BB$306&gt;BB55)+(calc!$BA$3:$BA$306&lt;BA55)*(calc!$BB$3:$BB$306&lt;BB55))&gt;0))-SUMPRODUCT(--(calc!$AV$3:$AV$306=TRUE),--(ROW(calc!$AV$3:$AV$306)&gt;ROW(AV55)),--(((calc!$BA$3:$BA$306&gt;BA55)*(calc!$BB$3:$BB$306&lt;BB55)+(calc!$BA$3:$BA$306&lt;BA55)*(calc!$BB$3:$BB$306&gt;BB55))&gt;0)),0)</f>
        <v/>
      </c>
      <c r="BD55" s="5">
        <f>IF(mos_metrics!L54="","",mos_metrics!L54)</f>
        <v/>
      </c>
      <c r="BE55" s="2">
        <f>AND($J55,ISNUMBER(BD55),correlation!$I$31=1)</f>
        <v/>
      </c>
      <c r="BF55" s="5">
        <f>IF(BE55,$F55,"")</f>
        <v/>
      </c>
      <c r="BG55" s="5">
        <f>IF(BE55,BD55*correlation!$J$31,"")</f>
        <v/>
      </c>
      <c r="BH55" s="5">
        <f>IF(AND(BE55,ISNUMBER(correlation!$F$31)),BG55*correlation!$F$31+correlation!$G$31,"")</f>
        <v/>
      </c>
      <c r="BI55" s="5">
        <f>IF(AND(BE55,ISNUMBER(BH55)),(BF55-BH55)^2,"")</f>
        <v/>
      </c>
      <c r="BJ55" s="5">
        <f>IF(BE55,1+SUMPRODUCT(--(calc!$BE$3:$BE$306=TRUE),--(calc!$BF$3:$BF$306&gt;BF55))+(SUMPRODUCT(--(calc!$BE$3:$BE$306=TRUE),--(calc!$BF$3:$BF$306=BF55))-1)/2,"")</f>
        <v/>
      </c>
      <c r="BK55" s="5">
        <f>IF(BE55,1+SUMPRODUCT(--(calc!$BE$3:$BE$306=TRUE),--(calc!$BG$3:$BG$306&gt;BG55))+(SUMPRODUCT(--(calc!$BE$3:$BE$306=TRUE),--(calc!$BG$3:$BG$306=BG55))-1)/2,"")</f>
        <v/>
      </c>
      <c r="BL55" s="5">
        <f>IF(BE55,SUMPRODUCT(--(calc!$BE$3:$BE$306=TRUE),--(ROW(calc!$BE$3:$BE$306)&gt;ROW(BE55)),--(((calc!$BJ$3:$BJ$306&gt;BJ55)*(calc!$BK$3:$BK$306&gt;BK55)+(calc!$BJ$3:$BJ$306&lt;BJ55)*(calc!$BK$3:$BK$306&lt;BK55))&gt;0))-SUMPRODUCT(--(calc!$BE$3:$BE$306=TRUE),--(ROW(calc!$BE$3:$BE$306)&gt;ROW(BE55)),--(((calc!$BJ$3:$BJ$306&gt;BJ55)*(calc!$BK$3:$BK$306&lt;BK55)+(calc!$BJ$3:$BJ$306&lt;BJ55)*(calc!$BK$3:$BK$306&gt;BK55))&gt;0)),0)</f>
        <v/>
      </c>
      <c r="BM55" s="5">
        <f>IF(mos_metrics!M54="","",mos_metrics!M54)</f>
        <v/>
      </c>
      <c r="BN55" s="2">
        <f>AND($J55,ISNUMBER(BM55),correlation!$I$32=1)</f>
        <v/>
      </c>
      <c r="BO55" s="5">
        <f>IF(BN55,$F55,"")</f>
        <v/>
      </c>
      <c r="BP55" s="5">
        <f>IF(BN55,BM55*correlation!$J$32,"")</f>
        <v/>
      </c>
      <c r="BQ55" s="5">
        <f>IF(AND(BN55,ISNUMBER(correlation!$F$32)),BP55*correlation!$F$32+correlation!$G$32,"")</f>
        <v/>
      </c>
      <c r="BR55" s="5">
        <f>IF(AND(BN55,ISNUMBER(BQ55)),(BO55-BQ55)^2,"")</f>
        <v/>
      </c>
      <c r="BS55" s="5">
        <f>IF(BN55,1+SUMPRODUCT(--(calc!$BN$3:$BN$306=TRUE),--(calc!$BO$3:$BO$306&gt;BO55))+(SUMPRODUCT(--(calc!$BN$3:$BN$306=TRUE),--(calc!$BO$3:$BO$306=BO55))-1)/2,"")</f>
        <v/>
      </c>
      <c r="BT55" s="5">
        <f>IF(BN55,1+SUMPRODUCT(--(calc!$BN$3:$BN$306=TRUE),--(calc!$BP$3:$BP$306&gt;BP55))+(SUMPRODUCT(--(calc!$BN$3:$BN$306=TRUE),--(calc!$BP$3:$BP$306=BP55))-1)/2,"")</f>
        <v/>
      </c>
      <c r="BU55" s="5">
        <f>IF(BN55,SUMPRODUCT(--(calc!$BN$3:$BN$306=TRUE),--(ROW(calc!$BN$3:$BN$306)&gt;ROW(BN55)),--(((calc!$BS$3:$BS$306&gt;BS55)*(calc!$BT$3:$BT$306&gt;BT55)+(calc!$BS$3:$BS$306&lt;BS55)*(calc!$BT$3:$BT$306&lt;BT55))&gt;0))-SUMPRODUCT(--(calc!$BN$3:$BN$306=TRUE),--(ROW(calc!$BN$3:$BN$306)&gt;ROW(BN55)),--(((calc!$BS$3:$BS$306&gt;BS55)*(calc!$BT$3:$BT$306&lt;BT55)+(calc!$BS$3:$BS$306&lt;BS55)*(calc!$BT$3:$BT$306&gt;BT55))&gt;0)),0)</f>
        <v/>
      </c>
    </row>
    <row r="56">
      <c r="A56" s="2">
        <f>mos_metrics!A55</f>
        <v/>
      </c>
      <c r="B56" s="2">
        <f>mos_metrics!B55</f>
        <v/>
      </c>
      <c r="C56" s="2">
        <f>mos_metrics!C55</f>
        <v/>
      </c>
      <c r="D56" s="2">
        <f>mos_metrics!D55</f>
        <v/>
      </c>
      <c r="E56" s="2">
        <f>mos_metrics!E55</f>
        <v/>
      </c>
      <c r="F56" s="2">
        <f>mos_metrics!F55</f>
        <v/>
      </c>
      <c r="G56" s="2">
        <f>IF($B56="","",IFERROR(VLOOKUP($B56,correlation!$A$2:$B$16,2,FALSE),1))</f>
        <v/>
      </c>
      <c r="H56" s="2">
        <f>IF($E56="","",IFERROR(VLOOKUP($E56,correlation!$D$2:$E$8,2,FALSE),1))</f>
        <v/>
      </c>
      <c r="I56" s="2">
        <f>ISNUMBER($F56)</f>
        <v/>
      </c>
      <c r="J56" s="2">
        <f>AND($G56=1,$H56=1,$I56)</f>
        <v/>
      </c>
      <c r="K56" s="5">
        <f>IF(mos_metrics!G55="","",mos_metrics!G55)</f>
        <v/>
      </c>
      <c r="L56" s="2">
        <f>AND($J56,ISNUMBER(K56),correlation!$I$26=1)</f>
        <v/>
      </c>
      <c r="M56" s="5">
        <f>IF(L56,$F56,"")</f>
        <v/>
      </c>
      <c r="N56" s="5">
        <f>IF(L56,K56*correlation!$J$26,"")</f>
        <v/>
      </c>
      <c r="O56" s="5">
        <f>IF(AND(L56,ISNUMBER(correlation!$F$26)),N56*correlation!$F$26+correlation!$G$26,"")</f>
        <v/>
      </c>
      <c r="P56" s="5">
        <f>IF(AND(L56,ISNUMBER(O56)),(M56-O56)^2,"")</f>
        <v/>
      </c>
      <c r="Q56" s="5">
        <f>IF(L56,1+SUMPRODUCT(--(calc!$L$3:$L$306=TRUE),--(calc!$M$3:$M$306&gt;M56))+(SUMPRODUCT(--(calc!$L$3:$L$306=TRUE),--(calc!$M$3:$M$306=M56))-1)/2,"")</f>
        <v/>
      </c>
      <c r="R56" s="5">
        <f>IF(L56,1+SUMPRODUCT(--(calc!$L$3:$L$306=TRUE),--(calc!$N$3:$N$306&gt;N56))+(SUMPRODUCT(--(calc!$L$3:$L$306=TRUE),--(calc!$N$3:$N$306=N56))-1)/2,"")</f>
        <v/>
      </c>
      <c r="S56" s="5">
        <f>IF(L56,SUMPRODUCT(--(calc!$L$3:$L$306=TRUE),--(ROW(calc!$L$3:$L$306)&gt;ROW(L56)),--(((calc!$Q$3:$Q$306&gt;Q56)*(calc!$R$3:$R$306&gt;R56)+(calc!$Q$3:$Q$306&lt;Q56)*(calc!$R$3:$R$306&lt;R56))&gt;0))-SUMPRODUCT(--(calc!$L$3:$L$306=TRUE),--(ROW(calc!$L$3:$L$306)&gt;ROW(L56)),--(((calc!$Q$3:$Q$306&gt;Q56)*(calc!$R$3:$R$306&lt;R56)+(calc!$Q$3:$Q$306&lt;Q56)*(calc!$R$3:$R$306&gt;R56))&gt;0)),0)</f>
        <v/>
      </c>
      <c r="T56" s="5">
        <f>IF(mos_metrics!H55="","",mos_metrics!H55)</f>
        <v/>
      </c>
      <c r="U56" s="2">
        <f>AND($J56,ISNUMBER(T56),correlation!$I$27=1)</f>
        <v/>
      </c>
      <c r="V56" s="5">
        <f>IF(U56,$F56,"")</f>
        <v/>
      </c>
      <c r="W56" s="5">
        <f>IF(U56,T56*correlation!$J$27,"")</f>
        <v/>
      </c>
      <c r="X56" s="5">
        <f>IF(AND(U56,ISNUMBER(correlation!$F$27)),W56*correlation!$F$27+correlation!$G$27,"")</f>
        <v/>
      </c>
      <c r="Y56" s="5">
        <f>IF(AND(U56,ISNUMBER(X56)),(V56-X56)^2,"")</f>
        <v/>
      </c>
      <c r="Z56" s="5">
        <f>IF(U56,1+SUMPRODUCT(--(calc!$U$3:$U$306=TRUE),--(calc!$V$3:$V$306&gt;V56))+(SUMPRODUCT(--(calc!$U$3:$U$306=TRUE),--(calc!$V$3:$V$306=V56))-1)/2,"")</f>
        <v/>
      </c>
      <c r="AA56" s="5">
        <f>IF(U56,1+SUMPRODUCT(--(calc!$U$3:$U$306=TRUE),--(calc!$W$3:$W$306&gt;W56))+(SUMPRODUCT(--(calc!$U$3:$U$306=TRUE),--(calc!$W$3:$W$306=W56))-1)/2,"")</f>
        <v/>
      </c>
      <c r="AB56" s="5">
        <f>IF(U56,SUMPRODUCT(--(calc!$U$3:$U$306=TRUE),--(ROW(calc!$U$3:$U$306)&gt;ROW(U56)),--(((calc!$Z$3:$Z$306&gt;Z56)*(calc!$AA$3:$AA$306&gt;AA56)+(calc!$Z$3:$Z$306&lt;Z56)*(calc!$AA$3:$AA$306&lt;AA56))&gt;0))-SUMPRODUCT(--(calc!$U$3:$U$306=TRUE),--(ROW(calc!$U$3:$U$306)&gt;ROW(U56)),--(((calc!$Z$3:$Z$306&gt;Z56)*(calc!$AA$3:$AA$306&lt;AA56)+(calc!$Z$3:$Z$306&lt;Z56)*(calc!$AA$3:$AA$306&gt;AA56))&gt;0)),0)</f>
        <v/>
      </c>
      <c r="AC56" s="5">
        <f>IF(mos_metrics!I55="","",mos_metrics!I55)</f>
        <v/>
      </c>
      <c r="AD56" s="2">
        <f>AND($J56,ISNUMBER(AC56),correlation!$I$28=1)</f>
        <v/>
      </c>
      <c r="AE56" s="5">
        <f>IF(AD56,$F56,"")</f>
        <v/>
      </c>
      <c r="AF56" s="5">
        <f>IF(AD56,AC56*correlation!$J$28,"")</f>
        <v/>
      </c>
      <c r="AG56" s="5">
        <f>IF(AND(AD56,ISNUMBER(correlation!$F$28)),AF56*correlation!$F$28+correlation!$G$28,"")</f>
        <v/>
      </c>
      <c r="AH56" s="5">
        <f>IF(AND(AD56,ISNUMBER(AG56)),(AE56-AG56)^2,"")</f>
        <v/>
      </c>
      <c r="AI56" s="5">
        <f>IF(AD56,1+SUMPRODUCT(--(calc!$AD$3:$AD$306=TRUE),--(calc!$AE$3:$AE$306&gt;AE56))+(SUMPRODUCT(--(calc!$AD$3:$AD$306=TRUE),--(calc!$AE$3:$AE$306=AE56))-1)/2,"")</f>
        <v/>
      </c>
      <c r="AJ56" s="5">
        <f>IF(AD56,1+SUMPRODUCT(--(calc!$AD$3:$AD$306=TRUE),--(calc!$AF$3:$AF$306&gt;AF56))+(SUMPRODUCT(--(calc!$AD$3:$AD$306=TRUE),--(calc!$AF$3:$AF$306=AF56))-1)/2,"")</f>
        <v/>
      </c>
      <c r="AK56" s="5">
        <f>IF(AD56,SUMPRODUCT(--(calc!$AD$3:$AD$306=TRUE),--(ROW(calc!$AD$3:$AD$306)&gt;ROW(AD56)),--(((calc!$AI$3:$AI$306&gt;AI56)*(calc!$AJ$3:$AJ$306&gt;AJ56)+(calc!$AI$3:$AI$306&lt;AI56)*(calc!$AJ$3:$AJ$306&lt;AJ56))&gt;0))-SUMPRODUCT(--(calc!$AD$3:$AD$306=TRUE),--(ROW(calc!$AD$3:$AD$306)&gt;ROW(AD56)),--(((calc!$AI$3:$AI$306&gt;AI56)*(calc!$AJ$3:$AJ$306&lt;AJ56)+(calc!$AI$3:$AI$306&lt;AI56)*(calc!$AJ$3:$AJ$306&gt;AJ56))&gt;0)),0)</f>
        <v/>
      </c>
      <c r="AL56" s="5">
        <f>IF(mos_metrics!J55="","",mos_metrics!J55)</f>
        <v/>
      </c>
      <c r="AM56" s="2">
        <f>AND($J56,ISNUMBER(AL56),correlation!$I$29=1)</f>
        <v/>
      </c>
      <c r="AN56" s="5">
        <f>IF(AM56,$F56,"")</f>
        <v/>
      </c>
      <c r="AO56" s="5">
        <f>IF(AM56,AL56*correlation!$J$29,"")</f>
        <v/>
      </c>
      <c r="AP56" s="5">
        <f>IF(AND(AM56,ISNUMBER(correlation!$F$29)),AO56*correlation!$F$29+correlation!$G$29,"")</f>
        <v/>
      </c>
      <c r="AQ56" s="5">
        <f>IF(AND(AM56,ISNUMBER(AP56)),(AN56-AP56)^2,"")</f>
        <v/>
      </c>
      <c r="AR56" s="5">
        <f>IF(AM56,1+SUMPRODUCT(--(calc!$AM$3:$AM$306=TRUE),--(calc!$AN$3:$AN$306&gt;AN56))+(SUMPRODUCT(--(calc!$AM$3:$AM$306=TRUE),--(calc!$AN$3:$AN$306=AN56))-1)/2,"")</f>
        <v/>
      </c>
      <c r="AS56" s="5">
        <f>IF(AM56,1+SUMPRODUCT(--(calc!$AM$3:$AM$306=TRUE),--(calc!$AO$3:$AO$306&gt;AO56))+(SUMPRODUCT(--(calc!$AM$3:$AM$306=TRUE),--(calc!$AO$3:$AO$306=AO56))-1)/2,"")</f>
        <v/>
      </c>
      <c r="AT56" s="5">
        <f>IF(AM56,SUMPRODUCT(--(calc!$AM$3:$AM$306=TRUE),--(ROW(calc!$AM$3:$AM$306)&gt;ROW(AM56)),--(((calc!$AR$3:$AR$306&gt;AR56)*(calc!$AS$3:$AS$306&gt;AS56)+(calc!$AR$3:$AR$306&lt;AR56)*(calc!$AS$3:$AS$306&lt;AS56))&gt;0))-SUMPRODUCT(--(calc!$AM$3:$AM$306=TRUE),--(ROW(calc!$AM$3:$AM$306)&gt;ROW(AM56)),--(((calc!$AR$3:$AR$306&gt;AR56)*(calc!$AS$3:$AS$306&lt;AS56)+(calc!$AR$3:$AR$306&lt;AR56)*(calc!$AS$3:$AS$306&gt;AS56))&gt;0)),0)</f>
        <v/>
      </c>
      <c r="AU56" s="5">
        <f>IF(mos_metrics!K55="","",mos_metrics!K55)</f>
        <v/>
      </c>
      <c r="AV56" s="2">
        <f>AND($J56,ISNUMBER(AU56),correlation!$I$30=1)</f>
        <v/>
      </c>
      <c r="AW56" s="5">
        <f>IF(AV56,$F56,"")</f>
        <v/>
      </c>
      <c r="AX56" s="5">
        <f>IF(AV56,AU56*correlation!$J$30,"")</f>
        <v/>
      </c>
      <c r="AY56" s="5">
        <f>IF(AND(AV56,ISNUMBER(correlation!$F$30)),AX56*correlation!$F$30+correlation!$G$30,"")</f>
        <v/>
      </c>
      <c r="AZ56" s="5">
        <f>IF(AND(AV56,ISNUMBER(AY56)),(AW56-AY56)^2,"")</f>
        <v/>
      </c>
      <c r="BA56" s="5">
        <f>IF(AV56,1+SUMPRODUCT(--(calc!$AV$3:$AV$306=TRUE),--(calc!$AW$3:$AW$306&gt;AW56))+(SUMPRODUCT(--(calc!$AV$3:$AV$306=TRUE),--(calc!$AW$3:$AW$306=AW56))-1)/2,"")</f>
        <v/>
      </c>
      <c r="BB56" s="5">
        <f>IF(AV56,1+SUMPRODUCT(--(calc!$AV$3:$AV$306=TRUE),--(calc!$AX$3:$AX$306&gt;AX56))+(SUMPRODUCT(--(calc!$AV$3:$AV$306=TRUE),--(calc!$AX$3:$AX$306=AX56))-1)/2,"")</f>
        <v/>
      </c>
      <c r="BC56" s="5">
        <f>IF(AV56,SUMPRODUCT(--(calc!$AV$3:$AV$306=TRUE),--(ROW(calc!$AV$3:$AV$306)&gt;ROW(AV56)),--(((calc!$BA$3:$BA$306&gt;BA56)*(calc!$BB$3:$BB$306&gt;BB56)+(calc!$BA$3:$BA$306&lt;BA56)*(calc!$BB$3:$BB$306&lt;BB56))&gt;0))-SUMPRODUCT(--(calc!$AV$3:$AV$306=TRUE),--(ROW(calc!$AV$3:$AV$306)&gt;ROW(AV56)),--(((calc!$BA$3:$BA$306&gt;BA56)*(calc!$BB$3:$BB$306&lt;BB56)+(calc!$BA$3:$BA$306&lt;BA56)*(calc!$BB$3:$BB$306&gt;BB56))&gt;0)),0)</f>
        <v/>
      </c>
      <c r="BD56" s="5">
        <f>IF(mos_metrics!L55="","",mos_metrics!L55)</f>
        <v/>
      </c>
      <c r="BE56" s="2">
        <f>AND($J56,ISNUMBER(BD56),correlation!$I$31=1)</f>
        <v/>
      </c>
      <c r="BF56" s="5">
        <f>IF(BE56,$F56,"")</f>
        <v/>
      </c>
      <c r="BG56" s="5">
        <f>IF(BE56,BD56*correlation!$J$31,"")</f>
        <v/>
      </c>
      <c r="BH56" s="5">
        <f>IF(AND(BE56,ISNUMBER(correlation!$F$31)),BG56*correlation!$F$31+correlation!$G$31,"")</f>
        <v/>
      </c>
      <c r="BI56" s="5">
        <f>IF(AND(BE56,ISNUMBER(BH56)),(BF56-BH56)^2,"")</f>
        <v/>
      </c>
      <c r="BJ56" s="5">
        <f>IF(BE56,1+SUMPRODUCT(--(calc!$BE$3:$BE$306=TRUE),--(calc!$BF$3:$BF$306&gt;BF56))+(SUMPRODUCT(--(calc!$BE$3:$BE$306=TRUE),--(calc!$BF$3:$BF$306=BF56))-1)/2,"")</f>
        <v/>
      </c>
      <c r="BK56" s="5">
        <f>IF(BE56,1+SUMPRODUCT(--(calc!$BE$3:$BE$306=TRUE),--(calc!$BG$3:$BG$306&gt;BG56))+(SUMPRODUCT(--(calc!$BE$3:$BE$306=TRUE),--(calc!$BG$3:$BG$306=BG56))-1)/2,"")</f>
        <v/>
      </c>
      <c r="BL56" s="5">
        <f>IF(BE56,SUMPRODUCT(--(calc!$BE$3:$BE$306=TRUE),--(ROW(calc!$BE$3:$BE$306)&gt;ROW(BE56)),--(((calc!$BJ$3:$BJ$306&gt;BJ56)*(calc!$BK$3:$BK$306&gt;BK56)+(calc!$BJ$3:$BJ$306&lt;BJ56)*(calc!$BK$3:$BK$306&lt;BK56))&gt;0))-SUMPRODUCT(--(calc!$BE$3:$BE$306=TRUE),--(ROW(calc!$BE$3:$BE$306)&gt;ROW(BE56)),--(((calc!$BJ$3:$BJ$306&gt;BJ56)*(calc!$BK$3:$BK$306&lt;BK56)+(calc!$BJ$3:$BJ$306&lt;BJ56)*(calc!$BK$3:$BK$306&gt;BK56))&gt;0)),0)</f>
        <v/>
      </c>
      <c r="BM56" s="5">
        <f>IF(mos_metrics!M55="","",mos_metrics!M55)</f>
        <v/>
      </c>
      <c r="BN56" s="2">
        <f>AND($J56,ISNUMBER(BM56),correlation!$I$32=1)</f>
        <v/>
      </c>
      <c r="BO56" s="5">
        <f>IF(BN56,$F56,"")</f>
        <v/>
      </c>
      <c r="BP56" s="5">
        <f>IF(BN56,BM56*correlation!$J$32,"")</f>
        <v/>
      </c>
      <c r="BQ56" s="5">
        <f>IF(AND(BN56,ISNUMBER(correlation!$F$32)),BP56*correlation!$F$32+correlation!$G$32,"")</f>
        <v/>
      </c>
      <c r="BR56" s="5">
        <f>IF(AND(BN56,ISNUMBER(BQ56)),(BO56-BQ56)^2,"")</f>
        <v/>
      </c>
      <c r="BS56" s="5">
        <f>IF(BN56,1+SUMPRODUCT(--(calc!$BN$3:$BN$306=TRUE),--(calc!$BO$3:$BO$306&gt;BO56))+(SUMPRODUCT(--(calc!$BN$3:$BN$306=TRUE),--(calc!$BO$3:$BO$306=BO56))-1)/2,"")</f>
        <v/>
      </c>
      <c r="BT56" s="5">
        <f>IF(BN56,1+SUMPRODUCT(--(calc!$BN$3:$BN$306=TRUE),--(calc!$BP$3:$BP$306&gt;BP56))+(SUMPRODUCT(--(calc!$BN$3:$BN$306=TRUE),--(calc!$BP$3:$BP$306=BP56))-1)/2,"")</f>
        <v/>
      </c>
      <c r="BU56" s="5">
        <f>IF(BN56,SUMPRODUCT(--(calc!$BN$3:$BN$306=TRUE),--(ROW(calc!$BN$3:$BN$306)&gt;ROW(BN56)),--(((calc!$BS$3:$BS$306&gt;BS56)*(calc!$BT$3:$BT$306&gt;BT56)+(calc!$BS$3:$BS$306&lt;BS56)*(calc!$BT$3:$BT$306&lt;BT56))&gt;0))-SUMPRODUCT(--(calc!$BN$3:$BN$306=TRUE),--(ROW(calc!$BN$3:$BN$306)&gt;ROW(BN56)),--(((calc!$BS$3:$BS$306&gt;BS56)*(calc!$BT$3:$BT$306&lt;BT56)+(calc!$BS$3:$BS$306&lt;BS56)*(calc!$BT$3:$BT$306&gt;BT56))&gt;0)),0)</f>
        <v/>
      </c>
    </row>
    <row r="57">
      <c r="A57" s="2">
        <f>mos_metrics!A56</f>
        <v/>
      </c>
      <c r="B57" s="2">
        <f>mos_metrics!B56</f>
        <v/>
      </c>
      <c r="C57" s="2">
        <f>mos_metrics!C56</f>
        <v/>
      </c>
      <c r="D57" s="2">
        <f>mos_metrics!D56</f>
        <v/>
      </c>
      <c r="E57" s="2">
        <f>mos_metrics!E56</f>
        <v/>
      </c>
      <c r="F57" s="2">
        <f>mos_metrics!F56</f>
        <v/>
      </c>
      <c r="G57" s="2">
        <f>IF($B57="","",IFERROR(VLOOKUP($B57,correlation!$A$2:$B$16,2,FALSE),1))</f>
        <v/>
      </c>
      <c r="H57" s="2">
        <f>IF($E57="","",IFERROR(VLOOKUP($E57,correlation!$D$2:$E$8,2,FALSE),1))</f>
        <v/>
      </c>
      <c r="I57" s="2">
        <f>ISNUMBER($F57)</f>
        <v/>
      </c>
      <c r="J57" s="2">
        <f>AND($G57=1,$H57=1,$I57)</f>
        <v/>
      </c>
      <c r="K57" s="5">
        <f>IF(mos_metrics!G56="","",mos_metrics!G56)</f>
        <v/>
      </c>
      <c r="L57" s="2">
        <f>AND($J57,ISNUMBER(K57),correlation!$I$26=1)</f>
        <v/>
      </c>
      <c r="M57" s="5">
        <f>IF(L57,$F57,"")</f>
        <v/>
      </c>
      <c r="N57" s="5">
        <f>IF(L57,K57*correlation!$J$26,"")</f>
        <v/>
      </c>
      <c r="O57" s="5">
        <f>IF(AND(L57,ISNUMBER(correlation!$F$26)),N57*correlation!$F$26+correlation!$G$26,"")</f>
        <v/>
      </c>
      <c r="P57" s="5">
        <f>IF(AND(L57,ISNUMBER(O57)),(M57-O57)^2,"")</f>
        <v/>
      </c>
      <c r="Q57" s="5">
        <f>IF(L57,1+SUMPRODUCT(--(calc!$L$3:$L$306=TRUE),--(calc!$M$3:$M$306&gt;M57))+(SUMPRODUCT(--(calc!$L$3:$L$306=TRUE),--(calc!$M$3:$M$306=M57))-1)/2,"")</f>
        <v/>
      </c>
      <c r="R57" s="5">
        <f>IF(L57,1+SUMPRODUCT(--(calc!$L$3:$L$306=TRUE),--(calc!$N$3:$N$306&gt;N57))+(SUMPRODUCT(--(calc!$L$3:$L$306=TRUE),--(calc!$N$3:$N$306=N57))-1)/2,"")</f>
        <v/>
      </c>
      <c r="S57" s="5">
        <f>IF(L57,SUMPRODUCT(--(calc!$L$3:$L$306=TRUE),--(ROW(calc!$L$3:$L$306)&gt;ROW(L57)),--(((calc!$Q$3:$Q$306&gt;Q57)*(calc!$R$3:$R$306&gt;R57)+(calc!$Q$3:$Q$306&lt;Q57)*(calc!$R$3:$R$306&lt;R57))&gt;0))-SUMPRODUCT(--(calc!$L$3:$L$306=TRUE),--(ROW(calc!$L$3:$L$306)&gt;ROW(L57)),--(((calc!$Q$3:$Q$306&gt;Q57)*(calc!$R$3:$R$306&lt;R57)+(calc!$Q$3:$Q$306&lt;Q57)*(calc!$R$3:$R$306&gt;R57))&gt;0)),0)</f>
        <v/>
      </c>
      <c r="T57" s="5">
        <f>IF(mos_metrics!H56="","",mos_metrics!H56)</f>
        <v/>
      </c>
      <c r="U57" s="2">
        <f>AND($J57,ISNUMBER(T57),correlation!$I$27=1)</f>
        <v/>
      </c>
      <c r="V57" s="5">
        <f>IF(U57,$F57,"")</f>
        <v/>
      </c>
      <c r="W57" s="5">
        <f>IF(U57,T57*correlation!$J$27,"")</f>
        <v/>
      </c>
      <c r="X57" s="5">
        <f>IF(AND(U57,ISNUMBER(correlation!$F$27)),W57*correlation!$F$27+correlation!$G$27,"")</f>
        <v/>
      </c>
      <c r="Y57" s="5">
        <f>IF(AND(U57,ISNUMBER(X57)),(V57-X57)^2,"")</f>
        <v/>
      </c>
      <c r="Z57" s="5">
        <f>IF(U57,1+SUMPRODUCT(--(calc!$U$3:$U$306=TRUE),--(calc!$V$3:$V$306&gt;V57))+(SUMPRODUCT(--(calc!$U$3:$U$306=TRUE),--(calc!$V$3:$V$306=V57))-1)/2,"")</f>
        <v/>
      </c>
      <c r="AA57" s="5">
        <f>IF(U57,1+SUMPRODUCT(--(calc!$U$3:$U$306=TRUE),--(calc!$W$3:$W$306&gt;W57))+(SUMPRODUCT(--(calc!$U$3:$U$306=TRUE),--(calc!$W$3:$W$306=W57))-1)/2,"")</f>
        <v/>
      </c>
      <c r="AB57" s="5">
        <f>IF(U57,SUMPRODUCT(--(calc!$U$3:$U$306=TRUE),--(ROW(calc!$U$3:$U$306)&gt;ROW(U57)),--(((calc!$Z$3:$Z$306&gt;Z57)*(calc!$AA$3:$AA$306&gt;AA57)+(calc!$Z$3:$Z$306&lt;Z57)*(calc!$AA$3:$AA$306&lt;AA57))&gt;0))-SUMPRODUCT(--(calc!$U$3:$U$306=TRUE),--(ROW(calc!$U$3:$U$306)&gt;ROW(U57)),--(((calc!$Z$3:$Z$306&gt;Z57)*(calc!$AA$3:$AA$306&lt;AA57)+(calc!$Z$3:$Z$306&lt;Z57)*(calc!$AA$3:$AA$306&gt;AA57))&gt;0)),0)</f>
        <v/>
      </c>
      <c r="AC57" s="5">
        <f>IF(mos_metrics!I56="","",mos_metrics!I56)</f>
        <v/>
      </c>
      <c r="AD57" s="2">
        <f>AND($J57,ISNUMBER(AC57),correlation!$I$28=1)</f>
        <v/>
      </c>
      <c r="AE57" s="5">
        <f>IF(AD57,$F57,"")</f>
        <v/>
      </c>
      <c r="AF57" s="5">
        <f>IF(AD57,AC57*correlation!$J$28,"")</f>
        <v/>
      </c>
      <c r="AG57" s="5">
        <f>IF(AND(AD57,ISNUMBER(correlation!$F$28)),AF57*correlation!$F$28+correlation!$G$28,"")</f>
        <v/>
      </c>
      <c r="AH57" s="5">
        <f>IF(AND(AD57,ISNUMBER(AG57)),(AE57-AG57)^2,"")</f>
        <v/>
      </c>
      <c r="AI57" s="5">
        <f>IF(AD57,1+SUMPRODUCT(--(calc!$AD$3:$AD$306=TRUE),--(calc!$AE$3:$AE$306&gt;AE57))+(SUMPRODUCT(--(calc!$AD$3:$AD$306=TRUE),--(calc!$AE$3:$AE$306=AE57))-1)/2,"")</f>
        <v/>
      </c>
      <c r="AJ57" s="5">
        <f>IF(AD57,1+SUMPRODUCT(--(calc!$AD$3:$AD$306=TRUE),--(calc!$AF$3:$AF$306&gt;AF57))+(SUMPRODUCT(--(calc!$AD$3:$AD$306=TRUE),--(calc!$AF$3:$AF$306=AF57))-1)/2,"")</f>
        <v/>
      </c>
      <c r="AK57" s="5">
        <f>IF(AD57,SUMPRODUCT(--(calc!$AD$3:$AD$306=TRUE),--(ROW(calc!$AD$3:$AD$306)&gt;ROW(AD57)),--(((calc!$AI$3:$AI$306&gt;AI57)*(calc!$AJ$3:$AJ$306&gt;AJ57)+(calc!$AI$3:$AI$306&lt;AI57)*(calc!$AJ$3:$AJ$306&lt;AJ57))&gt;0))-SUMPRODUCT(--(calc!$AD$3:$AD$306=TRUE),--(ROW(calc!$AD$3:$AD$306)&gt;ROW(AD57)),--(((calc!$AI$3:$AI$306&gt;AI57)*(calc!$AJ$3:$AJ$306&lt;AJ57)+(calc!$AI$3:$AI$306&lt;AI57)*(calc!$AJ$3:$AJ$306&gt;AJ57))&gt;0)),0)</f>
        <v/>
      </c>
      <c r="AL57" s="5">
        <f>IF(mos_metrics!J56="","",mos_metrics!J56)</f>
        <v/>
      </c>
      <c r="AM57" s="2">
        <f>AND($J57,ISNUMBER(AL57),correlation!$I$29=1)</f>
        <v/>
      </c>
      <c r="AN57" s="5">
        <f>IF(AM57,$F57,"")</f>
        <v/>
      </c>
      <c r="AO57" s="5">
        <f>IF(AM57,AL57*correlation!$J$29,"")</f>
        <v/>
      </c>
      <c r="AP57" s="5">
        <f>IF(AND(AM57,ISNUMBER(correlation!$F$29)),AO57*correlation!$F$29+correlation!$G$29,"")</f>
        <v/>
      </c>
      <c r="AQ57" s="5">
        <f>IF(AND(AM57,ISNUMBER(AP57)),(AN57-AP57)^2,"")</f>
        <v/>
      </c>
      <c r="AR57" s="5">
        <f>IF(AM57,1+SUMPRODUCT(--(calc!$AM$3:$AM$306=TRUE),--(calc!$AN$3:$AN$306&gt;AN57))+(SUMPRODUCT(--(calc!$AM$3:$AM$306=TRUE),--(calc!$AN$3:$AN$306=AN57))-1)/2,"")</f>
        <v/>
      </c>
      <c r="AS57" s="5">
        <f>IF(AM57,1+SUMPRODUCT(--(calc!$AM$3:$AM$306=TRUE),--(calc!$AO$3:$AO$306&gt;AO57))+(SUMPRODUCT(--(calc!$AM$3:$AM$306=TRUE),--(calc!$AO$3:$AO$306=AO57))-1)/2,"")</f>
        <v/>
      </c>
      <c r="AT57" s="5">
        <f>IF(AM57,SUMPRODUCT(--(calc!$AM$3:$AM$306=TRUE),--(ROW(calc!$AM$3:$AM$306)&gt;ROW(AM57)),--(((calc!$AR$3:$AR$306&gt;AR57)*(calc!$AS$3:$AS$306&gt;AS57)+(calc!$AR$3:$AR$306&lt;AR57)*(calc!$AS$3:$AS$306&lt;AS57))&gt;0))-SUMPRODUCT(--(calc!$AM$3:$AM$306=TRUE),--(ROW(calc!$AM$3:$AM$306)&gt;ROW(AM57)),--(((calc!$AR$3:$AR$306&gt;AR57)*(calc!$AS$3:$AS$306&lt;AS57)+(calc!$AR$3:$AR$306&lt;AR57)*(calc!$AS$3:$AS$306&gt;AS57))&gt;0)),0)</f>
        <v/>
      </c>
      <c r="AU57" s="5">
        <f>IF(mos_metrics!K56="","",mos_metrics!K56)</f>
        <v/>
      </c>
      <c r="AV57" s="2">
        <f>AND($J57,ISNUMBER(AU57),correlation!$I$30=1)</f>
        <v/>
      </c>
      <c r="AW57" s="5">
        <f>IF(AV57,$F57,"")</f>
        <v/>
      </c>
      <c r="AX57" s="5">
        <f>IF(AV57,AU57*correlation!$J$30,"")</f>
        <v/>
      </c>
      <c r="AY57" s="5">
        <f>IF(AND(AV57,ISNUMBER(correlation!$F$30)),AX57*correlation!$F$30+correlation!$G$30,"")</f>
        <v/>
      </c>
      <c r="AZ57" s="5">
        <f>IF(AND(AV57,ISNUMBER(AY57)),(AW57-AY57)^2,"")</f>
        <v/>
      </c>
      <c r="BA57" s="5">
        <f>IF(AV57,1+SUMPRODUCT(--(calc!$AV$3:$AV$306=TRUE),--(calc!$AW$3:$AW$306&gt;AW57))+(SUMPRODUCT(--(calc!$AV$3:$AV$306=TRUE),--(calc!$AW$3:$AW$306=AW57))-1)/2,"")</f>
        <v/>
      </c>
      <c r="BB57" s="5">
        <f>IF(AV57,1+SUMPRODUCT(--(calc!$AV$3:$AV$306=TRUE),--(calc!$AX$3:$AX$306&gt;AX57))+(SUMPRODUCT(--(calc!$AV$3:$AV$306=TRUE),--(calc!$AX$3:$AX$306=AX57))-1)/2,"")</f>
        <v/>
      </c>
      <c r="BC57" s="5">
        <f>IF(AV57,SUMPRODUCT(--(calc!$AV$3:$AV$306=TRUE),--(ROW(calc!$AV$3:$AV$306)&gt;ROW(AV57)),--(((calc!$BA$3:$BA$306&gt;BA57)*(calc!$BB$3:$BB$306&gt;BB57)+(calc!$BA$3:$BA$306&lt;BA57)*(calc!$BB$3:$BB$306&lt;BB57))&gt;0))-SUMPRODUCT(--(calc!$AV$3:$AV$306=TRUE),--(ROW(calc!$AV$3:$AV$306)&gt;ROW(AV57)),--(((calc!$BA$3:$BA$306&gt;BA57)*(calc!$BB$3:$BB$306&lt;BB57)+(calc!$BA$3:$BA$306&lt;BA57)*(calc!$BB$3:$BB$306&gt;BB57))&gt;0)),0)</f>
        <v/>
      </c>
      <c r="BD57" s="5">
        <f>IF(mos_metrics!L56="","",mos_metrics!L56)</f>
        <v/>
      </c>
      <c r="BE57" s="2">
        <f>AND($J57,ISNUMBER(BD57),correlation!$I$31=1)</f>
        <v/>
      </c>
      <c r="BF57" s="5">
        <f>IF(BE57,$F57,"")</f>
        <v/>
      </c>
      <c r="BG57" s="5">
        <f>IF(BE57,BD57*correlation!$J$31,"")</f>
        <v/>
      </c>
      <c r="BH57" s="5">
        <f>IF(AND(BE57,ISNUMBER(correlation!$F$31)),BG57*correlation!$F$31+correlation!$G$31,"")</f>
        <v/>
      </c>
      <c r="BI57" s="5">
        <f>IF(AND(BE57,ISNUMBER(BH57)),(BF57-BH57)^2,"")</f>
        <v/>
      </c>
      <c r="BJ57" s="5">
        <f>IF(BE57,1+SUMPRODUCT(--(calc!$BE$3:$BE$306=TRUE),--(calc!$BF$3:$BF$306&gt;BF57))+(SUMPRODUCT(--(calc!$BE$3:$BE$306=TRUE),--(calc!$BF$3:$BF$306=BF57))-1)/2,"")</f>
        <v/>
      </c>
      <c r="BK57" s="5">
        <f>IF(BE57,1+SUMPRODUCT(--(calc!$BE$3:$BE$306=TRUE),--(calc!$BG$3:$BG$306&gt;BG57))+(SUMPRODUCT(--(calc!$BE$3:$BE$306=TRUE),--(calc!$BG$3:$BG$306=BG57))-1)/2,"")</f>
        <v/>
      </c>
      <c r="BL57" s="5">
        <f>IF(BE57,SUMPRODUCT(--(calc!$BE$3:$BE$306=TRUE),--(ROW(calc!$BE$3:$BE$306)&gt;ROW(BE57)),--(((calc!$BJ$3:$BJ$306&gt;BJ57)*(calc!$BK$3:$BK$306&gt;BK57)+(calc!$BJ$3:$BJ$306&lt;BJ57)*(calc!$BK$3:$BK$306&lt;BK57))&gt;0))-SUMPRODUCT(--(calc!$BE$3:$BE$306=TRUE),--(ROW(calc!$BE$3:$BE$306)&gt;ROW(BE57)),--(((calc!$BJ$3:$BJ$306&gt;BJ57)*(calc!$BK$3:$BK$306&lt;BK57)+(calc!$BJ$3:$BJ$306&lt;BJ57)*(calc!$BK$3:$BK$306&gt;BK57))&gt;0)),0)</f>
        <v/>
      </c>
      <c r="BM57" s="5">
        <f>IF(mos_metrics!M56="","",mos_metrics!M56)</f>
        <v/>
      </c>
      <c r="BN57" s="2">
        <f>AND($J57,ISNUMBER(BM57),correlation!$I$32=1)</f>
        <v/>
      </c>
      <c r="BO57" s="5">
        <f>IF(BN57,$F57,"")</f>
        <v/>
      </c>
      <c r="BP57" s="5">
        <f>IF(BN57,BM57*correlation!$J$32,"")</f>
        <v/>
      </c>
      <c r="BQ57" s="5">
        <f>IF(AND(BN57,ISNUMBER(correlation!$F$32)),BP57*correlation!$F$32+correlation!$G$32,"")</f>
        <v/>
      </c>
      <c r="BR57" s="5">
        <f>IF(AND(BN57,ISNUMBER(BQ57)),(BO57-BQ57)^2,"")</f>
        <v/>
      </c>
      <c r="BS57" s="5">
        <f>IF(BN57,1+SUMPRODUCT(--(calc!$BN$3:$BN$306=TRUE),--(calc!$BO$3:$BO$306&gt;BO57))+(SUMPRODUCT(--(calc!$BN$3:$BN$306=TRUE),--(calc!$BO$3:$BO$306=BO57))-1)/2,"")</f>
        <v/>
      </c>
      <c r="BT57" s="5">
        <f>IF(BN57,1+SUMPRODUCT(--(calc!$BN$3:$BN$306=TRUE),--(calc!$BP$3:$BP$306&gt;BP57))+(SUMPRODUCT(--(calc!$BN$3:$BN$306=TRUE),--(calc!$BP$3:$BP$306=BP57))-1)/2,"")</f>
        <v/>
      </c>
      <c r="BU57" s="5">
        <f>IF(BN57,SUMPRODUCT(--(calc!$BN$3:$BN$306=TRUE),--(ROW(calc!$BN$3:$BN$306)&gt;ROW(BN57)),--(((calc!$BS$3:$BS$306&gt;BS57)*(calc!$BT$3:$BT$306&gt;BT57)+(calc!$BS$3:$BS$306&lt;BS57)*(calc!$BT$3:$BT$306&lt;BT57))&gt;0))-SUMPRODUCT(--(calc!$BN$3:$BN$306=TRUE),--(ROW(calc!$BN$3:$BN$306)&gt;ROW(BN57)),--(((calc!$BS$3:$BS$306&gt;BS57)*(calc!$BT$3:$BT$306&lt;BT57)+(calc!$BS$3:$BS$306&lt;BS57)*(calc!$BT$3:$BT$306&gt;BT57))&gt;0)),0)</f>
        <v/>
      </c>
    </row>
    <row r="58">
      <c r="A58" s="2">
        <f>mos_metrics!A57</f>
        <v/>
      </c>
      <c r="B58" s="2">
        <f>mos_metrics!B57</f>
        <v/>
      </c>
      <c r="C58" s="2">
        <f>mos_metrics!C57</f>
        <v/>
      </c>
      <c r="D58" s="2">
        <f>mos_metrics!D57</f>
        <v/>
      </c>
      <c r="E58" s="2">
        <f>mos_metrics!E57</f>
        <v/>
      </c>
      <c r="F58" s="2">
        <f>mos_metrics!F57</f>
        <v/>
      </c>
      <c r="G58" s="2">
        <f>IF($B58="","",IFERROR(VLOOKUP($B58,correlation!$A$2:$B$16,2,FALSE),1))</f>
        <v/>
      </c>
      <c r="H58" s="2">
        <f>IF($E58="","",IFERROR(VLOOKUP($E58,correlation!$D$2:$E$8,2,FALSE),1))</f>
        <v/>
      </c>
      <c r="I58" s="2">
        <f>ISNUMBER($F58)</f>
        <v/>
      </c>
      <c r="J58" s="2">
        <f>AND($G58=1,$H58=1,$I58)</f>
        <v/>
      </c>
      <c r="K58" s="5">
        <f>IF(mos_metrics!G57="","",mos_metrics!G57)</f>
        <v/>
      </c>
      <c r="L58" s="2">
        <f>AND($J58,ISNUMBER(K58),correlation!$I$26=1)</f>
        <v/>
      </c>
      <c r="M58" s="5">
        <f>IF(L58,$F58,"")</f>
        <v/>
      </c>
      <c r="N58" s="5">
        <f>IF(L58,K58*correlation!$J$26,"")</f>
        <v/>
      </c>
      <c r="O58" s="5">
        <f>IF(AND(L58,ISNUMBER(correlation!$F$26)),N58*correlation!$F$26+correlation!$G$26,"")</f>
        <v/>
      </c>
      <c r="P58" s="5">
        <f>IF(AND(L58,ISNUMBER(O58)),(M58-O58)^2,"")</f>
        <v/>
      </c>
      <c r="Q58" s="5">
        <f>IF(L58,1+SUMPRODUCT(--(calc!$L$3:$L$306=TRUE),--(calc!$M$3:$M$306&gt;M58))+(SUMPRODUCT(--(calc!$L$3:$L$306=TRUE),--(calc!$M$3:$M$306=M58))-1)/2,"")</f>
        <v/>
      </c>
      <c r="R58" s="5">
        <f>IF(L58,1+SUMPRODUCT(--(calc!$L$3:$L$306=TRUE),--(calc!$N$3:$N$306&gt;N58))+(SUMPRODUCT(--(calc!$L$3:$L$306=TRUE),--(calc!$N$3:$N$306=N58))-1)/2,"")</f>
        <v/>
      </c>
      <c r="S58" s="5">
        <f>IF(L58,SUMPRODUCT(--(calc!$L$3:$L$306=TRUE),--(ROW(calc!$L$3:$L$306)&gt;ROW(L58)),--(((calc!$Q$3:$Q$306&gt;Q58)*(calc!$R$3:$R$306&gt;R58)+(calc!$Q$3:$Q$306&lt;Q58)*(calc!$R$3:$R$306&lt;R58))&gt;0))-SUMPRODUCT(--(calc!$L$3:$L$306=TRUE),--(ROW(calc!$L$3:$L$306)&gt;ROW(L58)),--(((calc!$Q$3:$Q$306&gt;Q58)*(calc!$R$3:$R$306&lt;R58)+(calc!$Q$3:$Q$306&lt;Q58)*(calc!$R$3:$R$306&gt;R58))&gt;0)),0)</f>
        <v/>
      </c>
      <c r="T58" s="5">
        <f>IF(mos_metrics!H57="","",mos_metrics!H57)</f>
        <v/>
      </c>
      <c r="U58" s="2">
        <f>AND($J58,ISNUMBER(T58),correlation!$I$27=1)</f>
        <v/>
      </c>
      <c r="V58" s="5">
        <f>IF(U58,$F58,"")</f>
        <v/>
      </c>
      <c r="W58" s="5">
        <f>IF(U58,T58*correlation!$J$27,"")</f>
        <v/>
      </c>
      <c r="X58" s="5">
        <f>IF(AND(U58,ISNUMBER(correlation!$F$27)),W58*correlation!$F$27+correlation!$G$27,"")</f>
        <v/>
      </c>
      <c r="Y58" s="5">
        <f>IF(AND(U58,ISNUMBER(X58)),(V58-X58)^2,"")</f>
        <v/>
      </c>
      <c r="Z58" s="5">
        <f>IF(U58,1+SUMPRODUCT(--(calc!$U$3:$U$306=TRUE),--(calc!$V$3:$V$306&gt;V58))+(SUMPRODUCT(--(calc!$U$3:$U$306=TRUE),--(calc!$V$3:$V$306=V58))-1)/2,"")</f>
        <v/>
      </c>
      <c r="AA58" s="5">
        <f>IF(U58,1+SUMPRODUCT(--(calc!$U$3:$U$306=TRUE),--(calc!$W$3:$W$306&gt;W58))+(SUMPRODUCT(--(calc!$U$3:$U$306=TRUE),--(calc!$W$3:$W$306=W58))-1)/2,"")</f>
        <v/>
      </c>
      <c r="AB58" s="5">
        <f>IF(U58,SUMPRODUCT(--(calc!$U$3:$U$306=TRUE),--(ROW(calc!$U$3:$U$306)&gt;ROW(U58)),--(((calc!$Z$3:$Z$306&gt;Z58)*(calc!$AA$3:$AA$306&gt;AA58)+(calc!$Z$3:$Z$306&lt;Z58)*(calc!$AA$3:$AA$306&lt;AA58))&gt;0))-SUMPRODUCT(--(calc!$U$3:$U$306=TRUE),--(ROW(calc!$U$3:$U$306)&gt;ROW(U58)),--(((calc!$Z$3:$Z$306&gt;Z58)*(calc!$AA$3:$AA$306&lt;AA58)+(calc!$Z$3:$Z$306&lt;Z58)*(calc!$AA$3:$AA$306&gt;AA58))&gt;0)),0)</f>
        <v/>
      </c>
      <c r="AC58" s="5">
        <f>IF(mos_metrics!I57="","",mos_metrics!I57)</f>
        <v/>
      </c>
      <c r="AD58" s="2">
        <f>AND($J58,ISNUMBER(AC58),correlation!$I$28=1)</f>
        <v/>
      </c>
      <c r="AE58" s="5">
        <f>IF(AD58,$F58,"")</f>
        <v/>
      </c>
      <c r="AF58" s="5">
        <f>IF(AD58,AC58*correlation!$J$28,"")</f>
        <v/>
      </c>
      <c r="AG58" s="5">
        <f>IF(AND(AD58,ISNUMBER(correlation!$F$28)),AF58*correlation!$F$28+correlation!$G$28,"")</f>
        <v/>
      </c>
      <c r="AH58" s="5">
        <f>IF(AND(AD58,ISNUMBER(AG58)),(AE58-AG58)^2,"")</f>
        <v/>
      </c>
      <c r="AI58" s="5">
        <f>IF(AD58,1+SUMPRODUCT(--(calc!$AD$3:$AD$306=TRUE),--(calc!$AE$3:$AE$306&gt;AE58))+(SUMPRODUCT(--(calc!$AD$3:$AD$306=TRUE),--(calc!$AE$3:$AE$306=AE58))-1)/2,"")</f>
        <v/>
      </c>
      <c r="AJ58" s="5">
        <f>IF(AD58,1+SUMPRODUCT(--(calc!$AD$3:$AD$306=TRUE),--(calc!$AF$3:$AF$306&gt;AF58))+(SUMPRODUCT(--(calc!$AD$3:$AD$306=TRUE),--(calc!$AF$3:$AF$306=AF58))-1)/2,"")</f>
        <v/>
      </c>
      <c r="AK58" s="5">
        <f>IF(AD58,SUMPRODUCT(--(calc!$AD$3:$AD$306=TRUE),--(ROW(calc!$AD$3:$AD$306)&gt;ROW(AD58)),--(((calc!$AI$3:$AI$306&gt;AI58)*(calc!$AJ$3:$AJ$306&gt;AJ58)+(calc!$AI$3:$AI$306&lt;AI58)*(calc!$AJ$3:$AJ$306&lt;AJ58))&gt;0))-SUMPRODUCT(--(calc!$AD$3:$AD$306=TRUE),--(ROW(calc!$AD$3:$AD$306)&gt;ROW(AD58)),--(((calc!$AI$3:$AI$306&gt;AI58)*(calc!$AJ$3:$AJ$306&lt;AJ58)+(calc!$AI$3:$AI$306&lt;AI58)*(calc!$AJ$3:$AJ$306&gt;AJ58))&gt;0)),0)</f>
        <v/>
      </c>
      <c r="AL58" s="5">
        <f>IF(mos_metrics!J57="","",mos_metrics!J57)</f>
        <v/>
      </c>
      <c r="AM58" s="2">
        <f>AND($J58,ISNUMBER(AL58),correlation!$I$29=1)</f>
        <v/>
      </c>
      <c r="AN58" s="5">
        <f>IF(AM58,$F58,"")</f>
        <v/>
      </c>
      <c r="AO58" s="5">
        <f>IF(AM58,AL58*correlation!$J$29,"")</f>
        <v/>
      </c>
      <c r="AP58" s="5">
        <f>IF(AND(AM58,ISNUMBER(correlation!$F$29)),AO58*correlation!$F$29+correlation!$G$29,"")</f>
        <v/>
      </c>
      <c r="AQ58" s="5">
        <f>IF(AND(AM58,ISNUMBER(AP58)),(AN58-AP58)^2,"")</f>
        <v/>
      </c>
      <c r="AR58" s="5">
        <f>IF(AM58,1+SUMPRODUCT(--(calc!$AM$3:$AM$306=TRUE),--(calc!$AN$3:$AN$306&gt;AN58))+(SUMPRODUCT(--(calc!$AM$3:$AM$306=TRUE),--(calc!$AN$3:$AN$306=AN58))-1)/2,"")</f>
        <v/>
      </c>
      <c r="AS58" s="5">
        <f>IF(AM58,1+SUMPRODUCT(--(calc!$AM$3:$AM$306=TRUE),--(calc!$AO$3:$AO$306&gt;AO58))+(SUMPRODUCT(--(calc!$AM$3:$AM$306=TRUE),--(calc!$AO$3:$AO$306=AO58))-1)/2,"")</f>
        <v/>
      </c>
      <c r="AT58" s="5">
        <f>IF(AM58,SUMPRODUCT(--(calc!$AM$3:$AM$306=TRUE),--(ROW(calc!$AM$3:$AM$306)&gt;ROW(AM58)),--(((calc!$AR$3:$AR$306&gt;AR58)*(calc!$AS$3:$AS$306&gt;AS58)+(calc!$AR$3:$AR$306&lt;AR58)*(calc!$AS$3:$AS$306&lt;AS58))&gt;0))-SUMPRODUCT(--(calc!$AM$3:$AM$306=TRUE),--(ROW(calc!$AM$3:$AM$306)&gt;ROW(AM58)),--(((calc!$AR$3:$AR$306&gt;AR58)*(calc!$AS$3:$AS$306&lt;AS58)+(calc!$AR$3:$AR$306&lt;AR58)*(calc!$AS$3:$AS$306&gt;AS58))&gt;0)),0)</f>
        <v/>
      </c>
      <c r="AU58" s="5">
        <f>IF(mos_metrics!K57="","",mos_metrics!K57)</f>
        <v/>
      </c>
      <c r="AV58" s="2">
        <f>AND($J58,ISNUMBER(AU58),correlation!$I$30=1)</f>
        <v/>
      </c>
      <c r="AW58" s="5">
        <f>IF(AV58,$F58,"")</f>
        <v/>
      </c>
      <c r="AX58" s="5">
        <f>IF(AV58,AU58*correlation!$J$30,"")</f>
        <v/>
      </c>
      <c r="AY58" s="5">
        <f>IF(AND(AV58,ISNUMBER(correlation!$F$30)),AX58*correlation!$F$30+correlation!$G$30,"")</f>
        <v/>
      </c>
      <c r="AZ58" s="5">
        <f>IF(AND(AV58,ISNUMBER(AY58)),(AW58-AY58)^2,"")</f>
        <v/>
      </c>
      <c r="BA58" s="5">
        <f>IF(AV58,1+SUMPRODUCT(--(calc!$AV$3:$AV$306=TRUE),--(calc!$AW$3:$AW$306&gt;AW58))+(SUMPRODUCT(--(calc!$AV$3:$AV$306=TRUE),--(calc!$AW$3:$AW$306=AW58))-1)/2,"")</f>
        <v/>
      </c>
      <c r="BB58" s="5">
        <f>IF(AV58,1+SUMPRODUCT(--(calc!$AV$3:$AV$306=TRUE),--(calc!$AX$3:$AX$306&gt;AX58))+(SUMPRODUCT(--(calc!$AV$3:$AV$306=TRUE),--(calc!$AX$3:$AX$306=AX58))-1)/2,"")</f>
        <v/>
      </c>
      <c r="BC58" s="5">
        <f>IF(AV58,SUMPRODUCT(--(calc!$AV$3:$AV$306=TRUE),--(ROW(calc!$AV$3:$AV$306)&gt;ROW(AV58)),--(((calc!$BA$3:$BA$306&gt;BA58)*(calc!$BB$3:$BB$306&gt;BB58)+(calc!$BA$3:$BA$306&lt;BA58)*(calc!$BB$3:$BB$306&lt;BB58))&gt;0))-SUMPRODUCT(--(calc!$AV$3:$AV$306=TRUE),--(ROW(calc!$AV$3:$AV$306)&gt;ROW(AV58)),--(((calc!$BA$3:$BA$306&gt;BA58)*(calc!$BB$3:$BB$306&lt;BB58)+(calc!$BA$3:$BA$306&lt;BA58)*(calc!$BB$3:$BB$306&gt;BB58))&gt;0)),0)</f>
        <v/>
      </c>
      <c r="BD58" s="5">
        <f>IF(mos_metrics!L57="","",mos_metrics!L57)</f>
        <v/>
      </c>
      <c r="BE58" s="2">
        <f>AND($J58,ISNUMBER(BD58),correlation!$I$31=1)</f>
        <v/>
      </c>
      <c r="BF58" s="5">
        <f>IF(BE58,$F58,"")</f>
        <v/>
      </c>
      <c r="BG58" s="5">
        <f>IF(BE58,BD58*correlation!$J$31,"")</f>
        <v/>
      </c>
      <c r="BH58" s="5">
        <f>IF(AND(BE58,ISNUMBER(correlation!$F$31)),BG58*correlation!$F$31+correlation!$G$31,"")</f>
        <v/>
      </c>
      <c r="BI58" s="5">
        <f>IF(AND(BE58,ISNUMBER(BH58)),(BF58-BH58)^2,"")</f>
        <v/>
      </c>
      <c r="BJ58" s="5">
        <f>IF(BE58,1+SUMPRODUCT(--(calc!$BE$3:$BE$306=TRUE),--(calc!$BF$3:$BF$306&gt;BF58))+(SUMPRODUCT(--(calc!$BE$3:$BE$306=TRUE),--(calc!$BF$3:$BF$306=BF58))-1)/2,"")</f>
        <v/>
      </c>
      <c r="BK58" s="5">
        <f>IF(BE58,1+SUMPRODUCT(--(calc!$BE$3:$BE$306=TRUE),--(calc!$BG$3:$BG$306&gt;BG58))+(SUMPRODUCT(--(calc!$BE$3:$BE$306=TRUE),--(calc!$BG$3:$BG$306=BG58))-1)/2,"")</f>
        <v/>
      </c>
      <c r="BL58" s="5">
        <f>IF(BE58,SUMPRODUCT(--(calc!$BE$3:$BE$306=TRUE),--(ROW(calc!$BE$3:$BE$306)&gt;ROW(BE58)),--(((calc!$BJ$3:$BJ$306&gt;BJ58)*(calc!$BK$3:$BK$306&gt;BK58)+(calc!$BJ$3:$BJ$306&lt;BJ58)*(calc!$BK$3:$BK$306&lt;BK58))&gt;0))-SUMPRODUCT(--(calc!$BE$3:$BE$306=TRUE),--(ROW(calc!$BE$3:$BE$306)&gt;ROW(BE58)),--(((calc!$BJ$3:$BJ$306&gt;BJ58)*(calc!$BK$3:$BK$306&lt;BK58)+(calc!$BJ$3:$BJ$306&lt;BJ58)*(calc!$BK$3:$BK$306&gt;BK58))&gt;0)),0)</f>
        <v/>
      </c>
      <c r="BM58" s="5">
        <f>IF(mos_metrics!M57="","",mos_metrics!M57)</f>
        <v/>
      </c>
      <c r="BN58" s="2">
        <f>AND($J58,ISNUMBER(BM58),correlation!$I$32=1)</f>
        <v/>
      </c>
      <c r="BO58" s="5">
        <f>IF(BN58,$F58,"")</f>
        <v/>
      </c>
      <c r="BP58" s="5">
        <f>IF(BN58,BM58*correlation!$J$32,"")</f>
        <v/>
      </c>
      <c r="BQ58" s="5">
        <f>IF(AND(BN58,ISNUMBER(correlation!$F$32)),BP58*correlation!$F$32+correlation!$G$32,"")</f>
        <v/>
      </c>
      <c r="BR58" s="5">
        <f>IF(AND(BN58,ISNUMBER(BQ58)),(BO58-BQ58)^2,"")</f>
        <v/>
      </c>
      <c r="BS58" s="5">
        <f>IF(BN58,1+SUMPRODUCT(--(calc!$BN$3:$BN$306=TRUE),--(calc!$BO$3:$BO$306&gt;BO58))+(SUMPRODUCT(--(calc!$BN$3:$BN$306=TRUE),--(calc!$BO$3:$BO$306=BO58))-1)/2,"")</f>
        <v/>
      </c>
      <c r="BT58" s="5">
        <f>IF(BN58,1+SUMPRODUCT(--(calc!$BN$3:$BN$306=TRUE),--(calc!$BP$3:$BP$306&gt;BP58))+(SUMPRODUCT(--(calc!$BN$3:$BN$306=TRUE),--(calc!$BP$3:$BP$306=BP58))-1)/2,"")</f>
        <v/>
      </c>
      <c r="BU58" s="5">
        <f>IF(BN58,SUMPRODUCT(--(calc!$BN$3:$BN$306=TRUE),--(ROW(calc!$BN$3:$BN$306)&gt;ROW(BN58)),--(((calc!$BS$3:$BS$306&gt;BS58)*(calc!$BT$3:$BT$306&gt;BT58)+(calc!$BS$3:$BS$306&lt;BS58)*(calc!$BT$3:$BT$306&lt;BT58))&gt;0))-SUMPRODUCT(--(calc!$BN$3:$BN$306=TRUE),--(ROW(calc!$BN$3:$BN$306)&gt;ROW(BN58)),--(((calc!$BS$3:$BS$306&gt;BS58)*(calc!$BT$3:$BT$306&lt;BT58)+(calc!$BS$3:$BS$306&lt;BS58)*(calc!$BT$3:$BT$306&gt;BT58))&gt;0)),0)</f>
        <v/>
      </c>
    </row>
    <row r="59">
      <c r="A59" s="2">
        <f>mos_metrics!A58</f>
        <v/>
      </c>
      <c r="B59" s="2">
        <f>mos_metrics!B58</f>
        <v/>
      </c>
      <c r="C59" s="2">
        <f>mos_metrics!C58</f>
        <v/>
      </c>
      <c r="D59" s="2">
        <f>mos_metrics!D58</f>
        <v/>
      </c>
      <c r="E59" s="2">
        <f>mos_metrics!E58</f>
        <v/>
      </c>
      <c r="F59" s="2">
        <f>mos_metrics!F58</f>
        <v/>
      </c>
      <c r="G59" s="2">
        <f>IF($B59="","",IFERROR(VLOOKUP($B59,correlation!$A$2:$B$16,2,FALSE),1))</f>
        <v/>
      </c>
      <c r="H59" s="2">
        <f>IF($E59="","",IFERROR(VLOOKUP($E59,correlation!$D$2:$E$8,2,FALSE),1))</f>
        <v/>
      </c>
      <c r="I59" s="2">
        <f>ISNUMBER($F59)</f>
        <v/>
      </c>
      <c r="J59" s="2">
        <f>AND($G59=1,$H59=1,$I59)</f>
        <v/>
      </c>
      <c r="K59" s="5">
        <f>IF(mos_metrics!G58="","",mos_metrics!G58)</f>
        <v/>
      </c>
      <c r="L59" s="2">
        <f>AND($J59,ISNUMBER(K59),correlation!$I$26=1)</f>
        <v/>
      </c>
      <c r="M59" s="5">
        <f>IF(L59,$F59,"")</f>
        <v/>
      </c>
      <c r="N59" s="5">
        <f>IF(L59,K59*correlation!$J$26,"")</f>
        <v/>
      </c>
      <c r="O59" s="5">
        <f>IF(AND(L59,ISNUMBER(correlation!$F$26)),N59*correlation!$F$26+correlation!$G$26,"")</f>
        <v/>
      </c>
      <c r="P59" s="5">
        <f>IF(AND(L59,ISNUMBER(O59)),(M59-O59)^2,"")</f>
        <v/>
      </c>
      <c r="Q59" s="5">
        <f>IF(L59,1+SUMPRODUCT(--(calc!$L$3:$L$306=TRUE),--(calc!$M$3:$M$306&gt;M59))+(SUMPRODUCT(--(calc!$L$3:$L$306=TRUE),--(calc!$M$3:$M$306=M59))-1)/2,"")</f>
        <v/>
      </c>
      <c r="R59" s="5">
        <f>IF(L59,1+SUMPRODUCT(--(calc!$L$3:$L$306=TRUE),--(calc!$N$3:$N$306&gt;N59))+(SUMPRODUCT(--(calc!$L$3:$L$306=TRUE),--(calc!$N$3:$N$306=N59))-1)/2,"")</f>
        <v/>
      </c>
      <c r="S59" s="5">
        <f>IF(L59,SUMPRODUCT(--(calc!$L$3:$L$306=TRUE),--(ROW(calc!$L$3:$L$306)&gt;ROW(L59)),--(((calc!$Q$3:$Q$306&gt;Q59)*(calc!$R$3:$R$306&gt;R59)+(calc!$Q$3:$Q$306&lt;Q59)*(calc!$R$3:$R$306&lt;R59))&gt;0))-SUMPRODUCT(--(calc!$L$3:$L$306=TRUE),--(ROW(calc!$L$3:$L$306)&gt;ROW(L59)),--(((calc!$Q$3:$Q$306&gt;Q59)*(calc!$R$3:$R$306&lt;R59)+(calc!$Q$3:$Q$306&lt;Q59)*(calc!$R$3:$R$306&gt;R59))&gt;0)),0)</f>
        <v/>
      </c>
      <c r="T59" s="5">
        <f>IF(mos_metrics!H58="","",mos_metrics!H58)</f>
        <v/>
      </c>
      <c r="U59" s="2">
        <f>AND($J59,ISNUMBER(T59),correlation!$I$27=1)</f>
        <v/>
      </c>
      <c r="V59" s="5">
        <f>IF(U59,$F59,"")</f>
        <v/>
      </c>
      <c r="W59" s="5">
        <f>IF(U59,T59*correlation!$J$27,"")</f>
        <v/>
      </c>
      <c r="X59" s="5">
        <f>IF(AND(U59,ISNUMBER(correlation!$F$27)),W59*correlation!$F$27+correlation!$G$27,"")</f>
        <v/>
      </c>
      <c r="Y59" s="5">
        <f>IF(AND(U59,ISNUMBER(X59)),(V59-X59)^2,"")</f>
        <v/>
      </c>
      <c r="Z59" s="5">
        <f>IF(U59,1+SUMPRODUCT(--(calc!$U$3:$U$306=TRUE),--(calc!$V$3:$V$306&gt;V59))+(SUMPRODUCT(--(calc!$U$3:$U$306=TRUE),--(calc!$V$3:$V$306=V59))-1)/2,"")</f>
        <v/>
      </c>
      <c r="AA59" s="5">
        <f>IF(U59,1+SUMPRODUCT(--(calc!$U$3:$U$306=TRUE),--(calc!$W$3:$W$306&gt;W59))+(SUMPRODUCT(--(calc!$U$3:$U$306=TRUE),--(calc!$W$3:$W$306=W59))-1)/2,"")</f>
        <v/>
      </c>
      <c r="AB59" s="5">
        <f>IF(U59,SUMPRODUCT(--(calc!$U$3:$U$306=TRUE),--(ROW(calc!$U$3:$U$306)&gt;ROW(U59)),--(((calc!$Z$3:$Z$306&gt;Z59)*(calc!$AA$3:$AA$306&gt;AA59)+(calc!$Z$3:$Z$306&lt;Z59)*(calc!$AA$3:$AA$306&lt;AA59))&gt;0))-SUMPRODUCT(--(calc!$U$3:$U$306=TRUE),--(ROW(calc!$U$3:$U$306)&gt;ROW(U59)),--(((calc!$Z$3:$Z$306&gt;Z59)*(calc!$AA$3:$AA$306&lt;AA59)+(calc!$Z$3:$Z$306&lt;Z59)*(calc!$AA$3:$AA$306&gt;AA59))&gt;0)),0)</f>
        <v/>
      </c>
      <c r="AC59" s="5">
        <f>IF(mos_metrics!I58="","",mos_metrics!I58)</f>
        <v/>
      </c>
      <c r="AD59" s="2">
        <f>AND($J59,ISNUMBER(AC59),correlation!$I$28=1)</f>
        <v/>
      </c>
      <c r="AE59" s="5">
        <f>IF(AD59,$F59,"")</f>
        <v/>
      </c>
      <c r="AF59" s="5">
        <f>IF(AD59,AC59*correlation!$J$28,"")</f>
        <v/>
      </c>
      <c r="AG59" s="5">
        <f>IF(AND(AD59,ISNUMBER(correlation!$F$28)),AF59*correlation!$F$28+correlation!$G$28,"")</f>
        <v/>
      </c>
      <c r="AH59" s="5">
        <f>IF(AND(AD59,ISNUMBER(AG59)),(AE59-AG59)^2,"")</f>
        <v/>
      </c>
      <c r="AI59" s="5">
        <f>IF(AD59,1+SUMPRODUCT(--(calc!$AD$3:$AD$306=TRUE),--(calc!$AE$3:$AE$306&gt;AE59))+(SUMPRODUCT(--(calc!$AD$3:$AD$306=TRUE),--(calc!$AE$3:$AE$306=AE59))-1)/2,"")</f>
        <v/>
      </c>
      <c r="AJ59" s="5">
        <f>IF(AD59,1+SUMPRODUCT(--(calc!$AD$3:$AD$306=TRUE),--(calc!$AF$3:$AF$306&gt;AF59))+(SUMPRODUCT(--(calc!$AD$3:$AD$306=TRUE),--(calc!$AF$3:$AF$306=AF59))-1)/2,"")</f>
        <v/>
      </c>
      <c r="AK59" s="5">
        <f>IF(AD59,SUMPRODUCT(--(calc!$AD$3:$AD$306=TRUE),--(ROW(calc!$AD$3:$AD$306)&gt;ROW(AD59)),--(((calc!$AI$3:$AI$306&gt;AI59)*(calc!$AJ$3:$AJ$306&gt;AJ59)+(calc!$AI$3:$AI$306&lt;AI59)*(calc!$AJ$3:$AJ$306&lt;AJ59))&gt;0))-SUMPRODUCT(--(calc!$AD$3:$AD$306=TRUE),--(ROW(calc!$AD$3:$AD$306)&gt;ROW(AD59)),--(((calc!$AI$3:$AI$306&gt;AI59)*(calc!$AJ$3:$AJ$306&lt;AJ59)+(calc!$AI$3:$AI$306&lt;AI59)*(calc!$AJ$3:$AJ$306&gt;AJ59))&gt;0)),0)</f>
        <v/>
      </c>
      <c r="AL59" s="5">
        <f>IF(mos_metrics!J58="","",mos_metrics!J58)</f>
        <v/>
      </c>
      <c r="AM59" s="2">
        <f>AND($J59,ISNUMBER(AL59),correlation!$I$29=1)</f>
        <v/>
      </c>
      <c r="AN59" s="5">
        <f>IF(AM59,$F59,"")</f>
        <v/>
      </c>
      <c r="AO59" s="5">
        <f>IF(AM59,AL59*correlation!$J$29,"")</f>
        <v/>
      </c>
      <c r="AP59" s="5">
        <f>IF(AND(AM59,ISNUMBER(correlation!$F$29)),AO59*correlation!$F$29+correlation!$G$29,"")</f>
        <v/>
      </c>
      <c r="AQ59" s="5">
        <f>IF(AND(AM59,ISNUMBER(AP59)),(AN59-AP59)^2,"")</f>
        <v/>
      </c>
      <c r="AR59" s="5">
        <f>IF(AM59,1+SUMPRODUCT(--(calc!$AM$3:$AM$306=TRUE),--(calc!$AN$3:$AN$306&gt;AN59))+(SUMPRODUCT(--(calc!$AM$3:$AM$306=TRUE),--(calc!$AN$3:$AN$306=AN59))-1)/2,"")</f>
        <v/>
      </c>
      <c r="AS59" s="5">
        <f>IF(AM59,1+SUMPRODUCT(--(calc!$AM$3:$AM$306=TRUE),--(calc!$AO$3:$AO$306&gt;AO59))+(SUMPRODUCT(--(calc!$AM$3:$AM$306=TRUE),--(calc!$AO$3:$AO$306=AO59))-1)/2,"")</f>
        <v/>
      </c>
      <c r="AT59" s="5">
        <f>IF(AM59,SUMPRODUCT(--(calc!$AM$3:$AM$306=TRUE),--(ROW(calc!$AM$3:$AM$306)&gt;ROW(AM59)),--(((calc!$AR$3:$AR$306&gt;AR59)*(calc!$AS$3:$AS$306&gt;AS59)+(calc!$AR$3:$AR$306&lt;AR59)*(calc!$AS$3:$AS$306&lt;AS59))&gt;0))-SUMPRODUCT(--(calc!$AM$3:$AM$306=TRUE),--(ROW(calc!$AM$3:$AM$306)&gt;ROW(AM59)),--(((calc!$AR$3:$AR$306&gt;AR59)*(calc!$AS$3:$AS$306&lt;AS59)+(calc!$AR$3:$AR$306&lt;AR59)*(calc!$AS$3:$AS$306&gt;AS59))&gt;0)),0)</f>
        <v/>
      </c>
      <c r="AU59" s="5">
        <f>IF(mos_metrics!K58="","",mos_metrics!K58)</f>
        <v/>
      </c>
      <c r="AV59" s="2">
        <f>AND($J59,ISNUMBER(AU59),correlation!$I$30=1)</f>
        <v/>
      </c>
      <c r="AW59" s="5">
        <f>IF(AV59,$F59,"")</f>
        <v/>
      </c>
      <c r="AX59" s="5">
        <f>IF(AV59,AU59*correlation!$J$30,"")</f>
        <v/>
      </c>
      <c r="AY59" s="5">
        <f>IF(AND(AV59,ISNUMBER(correlation!$F$30)),AX59*correlation!$F$30+correlation!$G$30,"")</f>
        <v/>
      </c>
      <c r="AZ59" s="5">
        <f>IF(AND(AV59,ISNUMBER(AY59)),(AW59-AY59)^2,"")</f>
        <v/>
      </c>
      <c r="BA59" s="5">
        <f>IF(AV59,1+SUMPRODUCT(--(calc!$AV$3:$AV$306=TRUE),--(calc!$AW$3:$AW$306&gt;AW59))+(SUMPRODUCT(--(calc!$AV$3:$AV$306=TRUE),--(calc!$AW$3:$AW$306=AW59))-1)/2,"")</f>
        <v/>
      </c>
      <c r="BB59" s="5">
        <f>IF(AV59,1+SUMPRODUCT(--(calc!$AV$3:$AV$306=TRUE),--(calc!$AX$3:$AX$306&gt;AX59))+(SUMPRODUCT(--(calc!$AV$3:$AV$306=TRUE),--(calc!$AX$3:$AX$306=AX59))-1)/2,"")</f>
        <v/>
      </c>
      <c r="BC59" s="5">
        <f>IF(AV59,SUMPRODUCT(--(calc!$AV$3:$AV$306=TRUE),--(ROW(calc!$AV$3:$AV$306)&gt;ROW(AV59)),--(((calc!$BA$3:$BA$306&gt;BA59)*(calc!$BB$3:$BB$306&gt;BB59)+(calc!$BA$3:$BA$306&lt;BA59)*(calc!$BB$3:$BB$306&lt;BB59))&gt;0))-SUMPRODUCT(--(calc!$AV$3:$AV$306=TRUE),--(ROW(calc!$AV$3:$AV$306)&gt;ROW(AV59)),--(((calc!$BA$3:$BA$306&gt;BA59)*(calc!$BB$3:$BB$306&lt;BB59)+(calc!$BA$3:$BA$306&lt;BA59)*(calc!$BB$3:$BB$306&gt;BB59))&gt;0)),0)</f>
        <v/>
      </c>
      <c r="BD59" s="5">
        <f>IF(mos_metrics!L58="","",mos_metrics!L58)</f>
        <v/>
      </c>
      <c r="BE59" s="2">
        <f>AND($J59,ISNUMBER(BD59),correlation!$I$31=1)</f>
        <v/>
      </c>
      <c r="BF59" s="5">
        <f>IF(BE59,$F59,"")</f>
        <v/>
      </c>
      <c r="BG59" s="5">
        <f>IF(BE59,BD59*correlation!$J$31,"")</f>
        <v/>
      </c>
      <c r="BH59" s="5">
        <f>IF(AND(BE59,ISNUMBER(correlation!$F$31)),BG59*correlation!$F$31+correlation!$G$31,"")</f>
        <v/>
      </c>
      <c r="BI59" s="5">
        <f>IF(AND(BE59,ISNUMBER(BH59)),(BF59-BH59)^2,"")</f>
        <v/>
      </c>
      <c r="BJ59" s="5">
        <f>IF(BE59,1+SUMPRODUCT(--(calc!$BE$3:$BE$306=TRUE),--(calc!$BF$3:$BF$306&gt;BF59))+(SUMPRODUCT(--(calc!$BE$3:$BE$306=TRUE),--(calc!$BF$3:$BF$306=BF59))-1)/2,"")</f>
        <v/>
      </c>
      <c r="BK59" s="5">
        <f>IF(BE59,1+SUMPRODUCT(--(calc!$BE$3:$BE$306=TRUE),--(calc!$BG$3:$BG$306&gt;BG59))+(SUMPRODUCT(--(calc!$BE$3:$BE$306=TRUE),--(calc!$BG$3:$BG$306=BG59))-1)/2,"")</f>
        <v/>
      </c>
      <c r="BL59" s="5">
        <f>IF(BE59,SUMPRODUCT(--(calc!$BE$3:$BE$306=TRUE),--(ROW(calc!$BE$3:$BE$306)&gt;ROW(BE59)),--(((calc!$BJ$3:$BJ$306&gt;BJ59)*(calc!$BK$3:$BK$306&gt;BK59)+(calc!$BJ$3:$BJ$306&lt;BJ59)*(calc!$BK$3:$BK$306&lt;BK59))&gt;0))-SUMPRODUCT(--(calc!$BE$3:$BE$306=TRUE),--(ROW(calc!$BE$3:$BE$306)&gt;ROW(BE59)),--(((calc!$BJ$3:$BJ$306&gt;BJ59)*(calc!$BK$3:$BK$306&lt;BK59)+(calc!$BJ$3:$BJ$306&lt;BJ59)*(calc!$BK$3:$BK$306&gt;BK59))&gt;0)),0)</f>
        <v/>
      </c>
      <c r="BM59" s="5">
        <f>IF(mos_metrics!M58="","",mos_metrics!M58)</f>
        <v/>
      </c>
      <c r="BN59" s="2">
        <f>AND($J59,ISNUMBER(BM59),correlation!$I$32=1)</f>
        <v/>
      </c>
      <c r="BO59" s="5">
        <f>IF(BN59,$F59,"")</f>
        <v/>
      </c>
      <c r="BP59" s="5">
        <f>IF(BN59,BM59*correlation!$J$32,"")</f>
        <v/>
      </c>
      <c r="BQ59" s="5">
        <f>IF(AND(BN59,ISNUMBER(correlation!$F$32)),BP59*correlation!$F$32+correlation!$G$32,"")</f>
        <v/>
      </c>
      <c r="BR59" s="5">
        <f>IF(AND(BN59,ISNUMBER(BQ59)),(BO59-BQ59)^2,"")</f>
        <v/>
      </c>
      <c r="BS59" s="5">
        <f>IF(BN59,1+SUMPRODUCT(--(calc!$BN$3:$BN$306=TRUE),--(calc!$BO$3:$BO$306&gt;BO59))+(SUMPRODUCT(--(calc!$BN$3:$BN$306=TRUE),--(calc!$BO$3:$BO$306=BO59))-1)/2,"")</f>
        <v/>
      </c>
      <c r="BT59" s="5">
        <f>IF(BN59,1+SUMPRODUCT(--(calc!$BN$3:$BN$306=TRUE),--(calc!$BP$3:$BP$306&gt;BP59))+(SUMPRODUCT(--(calc!$BN$3:$BN$306=TRUE),--(calc!$BP$3:$BP$306=BP59))-1)/2,"")</f>
        <v/>
      </c>
      <c r="BU59" s="5">
        <f>IF(BN59,SUMPRODUCT(--(calc!$BN$3:$BN$306=TRUE),--(ROW(calc!$BN$3:$BN$306)&gt;ROW(BN59)),--(((calc!$BS$3:$BS$306&gt;BS59)*(calc!$BT$3:$BT$306&gt;BT59)+(calc!$BS$3:$BS$306&lt;BS59)*(calc!$BT$3:$BT$306&lt;BT59))&gt;0))-SUMPRODUCT(--(calc!$BN$3:$BN$306=TRUE),--(ROW(calc!$BN$3:$BN$306)&gt;ROW(BN59)),--(((calc!$BS$3:$BS$306&gt;BS59)*(calc!$BT$3:$BT$306&lt;BT59)+(calc!$BS$3:$BS$306&lt;BS59)*(calc!$BT$3:$BT$306&gt;BT59))&gt;0)),0)</f>
        <v/>
      </c>
    </row>
    <row r="60">
      <c r="A60" s="2">
        <f>mos_metrics!A59</f>
        <v/>
      </c>
      <c r="B60" s="2">
        <f>mos_metrics!B59</f>
        <v/>
      </c>
      <c r="C60" s="2">
        <f>mos_metrics!C59</f>
        <v/>
      </c>
      <c r="D60" s="2">
        <f>mos_metrics!D59</f>
        <v/>
      </c>
      <c r="E60" s="2">
        <f>mos_metrics!E59</f>
        <v/>
      </c>
      <c r="F60" s="2">
        <f>mos_metrics!F59</f>
        <v/>
      </c>
      <c r="G60" s="2">
        <f>IF($B60="","",IFERROR(VLOOKUP($B60,correlation!$A$2:$B$16,2,FALSE),1))</f>
        <v/>
      </c>
      <c r="H60" s="2">
        <f>IF($E60="","",IFERROR(VLOOKUP($E60,correlation!$D$2:$E$8,2,FALSE),1))</f>
        <v/>
      </c>
      <c r="I60" s="2">
        <f>ISNUMBER($F60)</f>
        <v/>
      </c>
      <c r="J60" s="2">
        <f>AND($G60=1,$H60=1,$I60)</f>
        <v/>
      </c>
      <c r="K60" s="5">
        <f>IF(mos_metrics!G59="","",mos_metrics!G59)</f>
        <v/>
      </c>
      <c r="L60" s="2">
        <f>AND($J60,ISNUMBER(K60),correlation!$I$26=1)</f>
        <v/>
      </c>
      <c r="M60" s="5">
        <f>IF(L60,$F60,"")</f>
        <v/>
      </c>
      <c r="N60" s="5">
        <f>IF(L60,K60*correlation!$J$26,"")</f>
        <v/>
      </c>
      <c r="O60" s="5">
        <f>IF(AND(L60,ISNUMBER(correlation!$F$26)),N60*correlation!$F$26+correlation!$G$26,"")</f>
        <v/>
      </c>
      <c r="P60" s="5">
        <f>IF(AND(L60,ISNUMBER(O60)),(M60-O60)^2,"")</f>
        <v/>
      </c>
      <c r="Q60" s="5">
        <f>IF(L60,1+SUMPRODUCT(--(calc!$L$3:$L$306=TRUE),--(calc!$M$3:$M$306&gt;M60))+(SUMPRODUCT(--(calc!$L$3:$L$306=TRUE),--(calc!$M$3:$M$306=M60))-1)/2,"")</f>
        <v/>
      </c>
      <c r="R60" s="5">
        <f>IF(L60,1+SUMPRODUCT(--(calc!$L$3:$L$306=TRUE),--(calc!$N$3:$N$306&gt;N60))+(SUMPRODUCT(--(calc!$L$3:$L$306=TRUE),--(calc!$N$3:$N$306=N60))-1)/2,"")</f>
        <v/>
      </c>
      <c r="S60" s="5">
        <f>IF(L60,SUMPRODUCT(--(calc!$L$3:$L$306=TRUE),--(ROW(calc!$L$3:$L$306)&gt;ROW(L60)),--(((calc!$Q$3:$Q$306&gt;Q60)*(calc!$R$3:$R$306&gt;R60)+(calc!$Q$3:$Q$306&lt;Q60)*(calc!$R$3:$R$306&lt;R60))&gt;0))-SUMPRODUCT(--(calc!$L$3:$L$306=TRUE),--(ROW(calc!$L$3:$L$306)&gt;ROW(L60)),--(((calc!$Q$3:$Q$306&gt;Q60)*(calc!$R$3:$R$306&lt;R60)+(calc!$Q$3:$Q$306&lt;Q60)*(calc!$R$3:$R$306&gt;R60))&gt;0)),0)</f>
        <v/>
      </c>
      <c r="T60" s="5">
        <f>IF(mos_metrics!H59="","",mos_metrics!H59)</f>
        <v/>
      </c>
      <c r="U60" s="2">
        <f>AND($J60,ISNUMBER(T60),correlation!$I$27=1)</f>
        <v/>
      </c>
      <c r="V60" s="5">
        <f>IF(U60,$F60,"")</f>
        <v/>
      </c>
      <c r="W60" s="5">
        <f>IF(U60,T60*correlation!$J$27,"")</f>
        <v/>
      </c>
      <c r="X60" s="5">
        <f>IF(AND(U60,ISNUMBER(correlation!$F$27)),W60*correlation!$F$27+correlation!$G$27,"")</f>
        <v/>
      </c>
      <c r="Y60" s="5">
        <f>IF(AND(U60,ISNUMBER(X60)),(V60-X60)^2,"")</f>
        <v/>
      </c>
      <c r="Z60" s="5">
        <f>IF(U60,1+SUMPRODUCT(--(calc!$U$3:$U$306=TRUE),--(calc!$V$3:$V$306&gt;V60))+(SUMPRODUCT(--(calc!$U$3:$U$306=TRUE),--(calc!$V$3:$V$306=V60))-1)/2,"")</f>
        <v/>
      </c>
      <c r="AA60" s="5">
        <f>IF(U60,1+SUMPRODUCT(--(calc!$U$3:$U$306=TRUE),--(calc!$W$3:$W$306&gt;W60))+(SUMPRODUCT(--(calc!$U$3:$U$306=TRUE),--(calc!$W$3:$W$306=W60))-1)/2,"")</f>
        <v/>
      </c>
      <c r="AB60" s="5">
        <f>IF(U60,SUMPRODUCT(--(calc!$U$3:$U$306=TRUE),--(ROW(calc!$U$3:$U$306)&gt;ROW(U60)),--(((calc!$Z$3:$Z$306&gt;Z60)*(calc!$AA$3:$AA$306&gt;AA60)+(calc!$Z$3:$Z$306&lt;Z60)*(calc!$AA$3:$AA$306&lt;AA60))&gt;0))-SUMPRODUCT(--(calc!$U$3:$U$306=TRUE),--(ROW(calc!$U$3:$U$306)&gt;ROW(U60)),--(((calc!$Z$3:$Z$306&gt;Z60)*(calc!$AA$3:$AA$306&lt;AA60)+(calc!$Z$3:$Z$306&lt;Z60)*(calc!$AA$3:$AA$306&gt;AA60))&gt;0)),0)</f>
        <v/>
      </c>
      <c r="AC60" s="5">
        <f>IF(mos_metrics!I59="","",mos_metrics!I59)</f>
        <v/>
      </c>
      <c r="AD60" s="2">
        <f>AND($J60,ISNUMBER(AC60),correlation!$I$28=1)</f>
        <v/>
      </c>
      <c r="AE60" s="5">
        <f>IF(AD60,$F60,"")</f>
        <v/>
      </c>
      <c r="AF60" s="5">
        <f>IF(AD60,AC60*correlation!$J$28,"")</f>
        <v/>
      </c>
      <c r="AG60" s="5">
        <f>IF(AND(AD60,ISNUMBER(correlation!$F$28)),AF60*correlation!$F$28+correlation!$G$28,"")</f>
        <v/>
      </c>
      <c r="AH60" s="5">
        <f>IF(AND(AD60,ISNUMBER(AG60)),(AE60-AG60)^2,"")</f>
        <v/>
      </c>
      <c r="AI60" s="5">
        <f>IF(AD60,1+SUMPRODUCT(--(calc!$AD$3:$AD$306=TRUE),--(calc!$AE$3:$AE$306&gt;AE60))+(SUMPRODUCT(--(calc!$AD$3:$AD$306=TRUE),--(calc!$AE$3:$AE$306=AE60))-1)/2,"")</f>
        <v/>
      </c>
      <c r="AJ60" s="5">
        <f>IF(AD60,1+SUMPRODUCT(--(calc!$AD$3:$AD$306=TRUE),--(calc!$AF$3:$AF$306&gt;AF60))+(SUMPRODUCT(--(calc!$AD$3:$AD$306=TRUE),--(calc!$AF$3:$AF$306=AF60))-1)/2,"")</f>
        <v/>
      </c>
      <c r="AK60" s="5">
        <f>IF(AD60,SUMPRODUCT(--(calc!$AD$3:$AD$306=TRUE),--(ROW(calc!$AD$3:$AD$306)&gt;ROW(AD60)),--(((calc!$AI$3:$AI$306&gt;AI60)*(calc!$AJ$3:$AJ$306&gt;AJ60)+(calc!$AI$3:$AI$306&lt;AI60)*(calc!$AJ$3:$AJ$306&lt;AJ60))&gt;0))-SUMPRODUCT(--(calc!$AD$3:$AD$306=TRUE),--(ROW(calc!$AD$3:$AD$306)&gt;ROW(AD60)),--(((calc!$AI$3:$AI$306&gt;AI60)*(calc!$AJ$3:$AJ$306&lt;AJ60)+(calc!$AI$3:$AI$306&lt;AI60)*(calc!$AJ$3:$AJ$306&gt;AJ60))&gt;0)),0)</f>
        <v/>
      </c>
      <c r="AL60" s="5">
        <f>IF(mos_metrics!J59="","",mos_metrics!J59)</f>
        <v/>
      </c>
      <c r="AM60" s="2">
        <f>AND($J60,ISNUMBER(AL60),correlation!$I$29=1)</f>
        <v/>
      </c>
      <c r="AN60" s="5">
        <f>IF(AM60,$F60,"")</f>
        <v/>
      </c>
      <c r="AO60" s="5">
        <f>IF(AM60,AL60*correlation!$J$29,"")</f>
        <v/>
      </c>
      <c r="AP60" s="5">
        <f>IF(AND(AM60,ISNUMBER(correlation!$F$29)),AO60*correlation!$F$29+correlation!$G$29,"")</f>
        <v/>
      </c>
      <c r="AQ60" s="5">
        <f>IF(AND(AM60,ISNUMBER(AP60)),(AN60-AP60)^2,"")</f>
        <v/>
      </c>
      <c r="AR60" s="5">
        <f>IF(AM60,1+SUMPRODUCT(--(calc!$AM$3:$AM$306=TRUE),--(calc!$AN$3:$AN$306&gt;AN60))+(SUMPRODUCT(--(calc!$AM$3:$AM$306=TRUE),--(calc!$AN$3:$AN$306=AN60))-1)/2,"")</f>
        <v/>
      </c>
      <c r="AS60" s="5">
        <f>IF(AM60,1+SUMPRODUCT(--(calc!$AM$3:$AM$306=TRUE),--(calc!$AO$3:$AO$306&gt;AO60))+(SUMPRODUCT(--(calc!$AM$3:$AM$306=TRUE),--(calc!$AO$3:$AO$306=AO60))-1)/2,"")</f>
        <v/>
      </c>
      <c r="AT60" s="5">
        <f>IF(AM60,SUMPRODUCT(--(calc!$AM$3:$AM$306=TRUE),--(ROW(calc!$AM$3:$AM$306)&gt;ROW(AM60)),--(((calc!$AR$3:$AR$306&gt;AR60)*(calc!$AS$3:$AS$306&gt;AS60)+(calc!$AR$3:$AR$306&lt;AR60)*(calc!$AS$3:$AS$306&lt;AS60))&gt;0))-SUMPRODUCT(--(calc!$AM$3:$AM$306=TRUE),--(ROW(calc!$AM$3:$AM$306)&gt;ROW(AM60)),--(((calc!$AR$3:$AR$306&gt;AR60)*(calc!$AS$3:$AS$306&lt;AS60)+(calc!$AR$3:$AR$306&lt;AR60)*(calc!$AS$3:$AS$306&gt;AS60))&gt;0)),0)</f>
        <v/>
      </c>
      <c r="AU60" s="5">
        <f>IF(mos_metrics!K59="","",mos_metrics!K59)</f>
        <v/>
      </c>
      <c r="AV60" s="2">
        <f>AND($J60,ISNUMBER(AU60),correlation!$I$30=1)</f>
        <v/>
      </c>
      <c r="AW60" s="5">
        <f>IF(AV60,$F60,"")</f>
        <v/>
      </c>
      <c r="AX60" s="5">
        <f>IF(AV60,AU60*correlation!$J$30,"")</f>
        <v/>
      </c>
      <c r="AY60" s="5">
        <f>IF(AND(AV60,ISNUMBER(correlation!$F$30)),AX60*correlation!$F$30+correlation!$G$30,"")</f>
        <v/>
      </c>
      <c r="AZ60" s="5">
        <f>IF(AND(AV60,ISNUMBER(AY60)),(AW60-AY60)^2,"")</f>
        <v/>
      </c>
      <c r="BA60" s="5">
        <f>IF(AV60,1+SUMPRODUCT(--(calc!$AV$3:$AV$306=TRUE),--(calc!$AW$3:$AW$306&gt;AW60))+(SUMPRODUCT(--(calc!$AV$3:$AV$306=TRUE),--(calc!$AW$3:$AW$306=AW60))-1)/2,"")</f>
        <v/>
      </c>
      <c r="BB60" s="5">
        <f>IF(AV60,1+SUMPRODUCT(--(calc!$AV$3:$AV$306=TRUE),--(calc!$AX$3:$AX$306&gt;AX60))+(SUMPRODUCT(--(calc!$AV$3:$AV$306=TRUE),--(calc!$AX$3:$AX$306=AX60))-1)/2,"")</f>
        <v/>
      </c>
      <c r="BC60" s="5">
        <f>IF(AV60,SUMPRODUCT(--(calc!$AV$3:$AV$306=TRUE),--(ROW(calc!$AV$3:$AV$306)&gt;ROW(AV60)),--(((calc!$BA$3:$BA$306&gt;BA60)*(calc!$BB$3:$BB$306&gt;BB60)+(calc!$BA$3:$BA$306&lt;BA60)*(calc!$BB$3:$BB$306&lt;BB60))&gt;0))-SUMPRODUCT(--(calc!$AV$3:$AV$306=TRUE),--(ROW(calc!$AV$3:$AV$306)&gt;ROW(AV60)),--(((calc!$BA$3:$BA$306&gt;BA60)*(calc!$BB$3:$BB$306&lt;BB60)+(calc!$BA$3:$BA$306&lt;BA60)*(calc!$BB$3:$BB$306&gt;BB60))&gt;0)),0)</f>
        <v/>
      </c>
      <c r="BD60" s="5">
        <f>IF(mos_metrics!L59="","",mos_metrics!L59)</f>
        <v/>
      </c>
      <c r="BE60" s="2">
        <f>AND($J60,ISNUMBER(BD60),correlation!$I$31=1)</f>
        <v/>
      </c>
      <c r="BF60" s="5">
        <f>IF(BE60,$F60,"")</f>
        <v/>
      </c>
      <c r="BG60" s="5">
        <f>IF(BE60,BD60*correlation!$J$31,"")</f>
        <v/>
      </c>
      <c r="BH60" s="5">
        <f>IF(AND(BE60,ISNUMBER(correlation!$F$31)),BG60*correlation!$F$31+correlation!$G$31,"")</f>
        <v/>
      </c>
      <c r="BI60" s="5">
        <f>IF(AND(BE60,ISNUMBER(BH60)),(BF60-BH60)^2,"")</f>
        <v/>
      </c>
      <c r="BJ60" s="5">
        <f>IF(BE60,1+SUMPRODUCT(--(calc!$BE$3:$BE$306=TRUE),--(calc!$BF$3:$BF$306&gt;BF60))+(SUMPRODUCT(--(calc!$BE$3:$BE$306=TRUE),--(calc!$BF$3:$BF$306=BF60))-1)/2,"")</f>
        <v/>
      </c>
      <c r="BK60" s="5">
        <f>IF(BE60,1+SUMPRODUCT(--(calc!$BE$3:$BE$306=TRUE),--(calc!$BG$3:$BG$306&gt;BG60))+(SUMPRODUCT(--(calc!$BE$3:$BE$306=TRUE),--(calc!$BG$3:$BG$306=BG60))-1)/2,"")</f>
        <v/>
      </c>
      <c r="BL60" s="5">
        <f>IF(BE60,SUMPRODUCT(--(calc!$BE$3:$BE$306=TRUE),--(ROW(calc!$BE$3:$BE$306)&gt;ROW(BE60)),--(((calc!$BJ$3:$BJ$306&gt;BJ60)*(calc!$BK$3:$BK$306&gt;BK60)+(calc!$BJ$3:$BJ$306&lt;BJ60)*(calc!$BK$3:$BK$306&lt;BK60))&gt;0))-SUMPRODUCT(--(calc!$BE$3:$BE$306=TRUE),--(ROW(calc!$BE$3:$BE$306)&gt;ROW(BE60)),--(((calc!$BJ$3:$BJ$306&gt;BJ60)*(calc!$BK$3:$BK$306&lt;BK60)+(calc!$BJ$3:$BJ$306&lt;BJ60)*(calc!$BK$3:$BK$306&gt;BK60))&gt;0)),0)</f>
        <v/>
      </c>
      <c r="BM60" s="5">
        <f>IF(mos_metrics!M59="","",mos_metrics!M59)</f>
        <v/>
      </c>
      <c r="BN60" s="2">
        <f>AND($J60,ISNUMBER(BM60),correlation!$I$32=1)</f>
        <v/>
      </c>
      <c r="BO60" s="5">
        <f>IF(BN60,$F60,"")</f>
        <v/>
      </c>
      <c r="BP60" s="5">
        <f>IF(BN60,BM60*correlation!$J$32,"")</f>
        <v/>
      </c>
      <c r="BQ60" s="5">
        <f>IF(AND(BN60,ISNUMBER(correlation!$F$32)),BP60*correlation!$F$32+correlation!$G$32,"")</f>
        <v/>
      </c>
      <c r="BR60" s="5">
        <f>IF(AND(BN60,ISNUMBER(BQ60)),(BO60-BQ60)^2,"")</f>
        <v/>
      </c>
      <c r="BS60" s="5">
        <f>IF(BN60,1+SUMPRODUCT(--(calc!$BN$3:$BN$306=TRUE),--(calc!$BO$3:$BO$306&gt;BO60))+(SUMPRODUCT(--(calc!$BN$3:$BN$306=TRUE),--(calc!$BO$3:$BO$306=BO60))-1)/2,"")</f>
        <v/>
      </c>
      <c r="BT60" s="5">
        <f>IF(BN60,1+SUMPRODUCT(--(calc!$BN$3:$BN$306=TRUE),--(calc!$BP$3:$BP$306&gt;BP60))+(SUMPRODUCT(--(calc!$BN$3:$BN$306=TRUE),--(calc!$BP$3:$BP$306=BP60))-1)/2,"")</f>
        <v/>
      </c>
      <c r="BU60" s="5">
        <f>IF(BN60,SUMPRODUCT(--(calc!$BN$3:$BN$306=TRUE),--(ROW(calc!$BN$3:$BN$306)&gt;ROW(BN60)),--(((calc!$BS$3:$BS$306&gt;BS60)*(calc!$BT$3:$BT$306&gt;BT60)+(calc!$BS$3:$BS$306&lt;BS60)*(calc!$BT$3:$BT$306&lt;BT60))&gt;0))-SUMPRODUCT(--(calc!$BN$3:$BN$306=TRUE),--(ROW(calc!$BN$3:$BN$306)&gt;ROW(BN60)),--(((calc!$BS$3:$BS$306&gt;BS60)*(calc!$BT$3:$BT$306&lt;BT60)+(calc!$BS$3:$BS$306&lt;BS60)*(calc!$BT$3:$BT$306&gt;BT60))&gt;0)),0)</f>
        <v/>
      </c>
    </row>
    <row r="61">
      <c r="A61" s="2">
        <f>mos_metrics!A60</f>
        <v/>
      </c>
      <c r="B61" s="2">
        <f>mos_metrics!B60</f>
        <v/>
      </c>
      <c r="C61" s="2">
        <f>mos_metrics!C60</f>
        <v/>
      </c>
      <c r="D61" s="2">
        <f>mos_metrics!D60</f>
        <v/>
      </c>
      <c r="E61" s="2">
        <f>mos_metrics!E60</f>
        <v/>
      </c>
      <c r="F61" s="2">
        <f>mos_metrics!F60</f>
        <v/>
      </c>
      <c r="G61" s="2">
        <f>IF($B61="","",IFERROR(VLOOKUP($B61,correlation!$A$2:$B$16,2,FALSE),1))</f>
        <v/>
      </c>
      <c r="H61" s="2">
        <f>IF($E61="","",IFERROR(VLOOKUP($E61,correlation!$D$2:$E$8,2,FALSE),1))</f>
        <v/>
      </c>
      <c r="I61" s="2">
        <f>ISNUMBER($F61)</f>
        <v/>
      </c>
      <c r="J61" s="2">
        <f>AND($G61=1,$H61=1,$I61)</f>
        <v/>
      </c>
      <c r="K61" s="5">
        <f>IF(mos_metrics!G60="","",mos_metrics!G60)</f>
        <v/>
      </c>
      <c r="L61" s="2">
        <f>AND($J61,ISNUMBER(K61),correlation!$I$26=1)</f>
        <v/>
      </c>
      <c r="M61" s="5">
        <f>IF(L61,$F61,"")</f>
        <v/>
      </c>
      <c r="N61" s="5">
        <f>IF(L61,K61*correlation!$J$26,"")</f>
        <v/>
      </c>
      <c r="O61" s="5">
        <f>IF(AND(L61,ISNUMBER(correlation!$F$26)),N61*correlation!$F$26+correlation!$G$26,"")</f>
        <v/>
      </c>
      <c r="P61" s="5">
        <f>IF(AND(L61,ISNUMBER(O61)),(M61-O61)^2,"")</f>
        <v/>
      </c>
      <c r="Q61" s="5">
        <f>IF(L61,1+SUMPRODUCT(--(calc!$L$3:$L$306=TRUE),--(calc!$M$3:$M$306&gt;M61))+(SUMPRODUCT(--(calc!$L$3:$L$306=TRUE),--(calc!$M$3:$M$306=M61))-1)/2,"")</f>
        <v/>
      </c>
      <c r="R61" s="5">
        <f>IF(L61,1+SUMPRODUCT(--(calc!$L$3:$L$306=TRUE),--(calc!$N$3:$N$306&gt;N61))+(SUMPRODUCT(--(calc!$L$3:$L$306=TRUE),--(calc!$N$3:$N$306=N61))-1)/2,"")</f>
        <v/>
      </c>
      <c r="S61" s="5">
        <f>IF(L61,SUMPRODUCT(--(calc!$L$3:$L$306=TRUE),--(ROW(calc!$L$3:$L$306)&gt;ROW(L61)),--(((calc!$Q$3:$Q$306&gt;Q61)*(calc!$R$3:$R$306&gt;R61)+(calc!$Q$3:$Q$306&lt;Q61)*(calc!$R$3:$R$306&lt;R61))&gt;0))-SUMPRODUCT(--(calc!$L$3:$L$306=TRUE),--(ROW(calc!$L$3:$L$306)&gt;ROW(L61)),--(((calc!$Q$3:$Q$306&gt;Q61)*(calc!$R$3:$R$306&lt;R61)+(calc!$Q$3:$Q$306&lt;Q61)*(calc!$R$3:$R$306&gt;R61))&gt;0)),0)</f>
        <v/>
      </c>
      <c r="T61" s="5">
        <f>IF(mos_metrics!H60="","",mos_metrics!H60)</f>
        <v/>
      </c>
      <c r="U61" s="2">
        <f>AND($J61,ISNUMBER(T61),correlation!$I$27=1)</f>
        <v/>
      </c>
      <c r="V61" s="5">
        <f>IF(U61,$F61,"")</f>
        <v/>
      </c>
      <c r="W61" s="5">
        <f>IF(U61,T61*correlation!$J$27,"")</f>
        <v/>
      </c>
      <c r="X61" s="5">
        <f>IF(AND(U61,ISNUMBER(correlation!$F$27)),W61*correlation!$F$27+correlation!$G$27,"")</f>
        <v/>
      </c>
      <c r="Y61" s="5">
        <f>IF(AND(U61,ISNUMBER(X61)),(V61-X61)^2,"")</f>
        <v/>
      </c>
      <c r="Z61" s="5">
        <f>IF(U61,1+SUMPRODUCT(--(calc!$U$3:$U$306=TRUE),--(calc!$V$3:$V$306&gt;V61))+(SUMPRODUCT(--(calc!$U$3:$U$306=TRUE),--(calc!$V$3:$V$306=V61))-1)/2,"")</f>
        <v/>
      </c>
      <c r="AA61" s="5">
        <f>IF(U61,1+SUMPRODUCT(--(calc!$U$3:$U$306=TRUE),--(calc!$W$3:$W$306&gt;W61))+(SUMPRODUCT(--(calc!$U$3:$U$306=TRUE),--(calc!$W$3:$W$306=W61))-1)/2,"")</f>
        <v/>
      </c>
      <c r="AB61" s="5">
        <f>IF(U61,SUMPRODUCT(--(calc!$U$3:$U$306=TRUE),--(ROW(calc!$U$3:$U$306)&gt;ROW(U61)),--(((calc!$Z$3:$Z$306&gt;Z61)*(calc!$AA$3:$AA$306&gt;AA61)+(calc!$Z$3:$Z$306&lt;Z61)*(calc!$AA$3:$AA$306&lt;AA61))&gt;0))-SUMPRODUCT(--(calc!$U$3:$U$306=TRUE),--(ROW(calc!$U$3:$U$306)&gt;ROW(U61)),--(((calc!$Z$3:$Z$306&gt;Z61)*(calc!$AA$3:$AA$306&lt;AA61)+(calc!$Z$3:$Z$306&lt;Z61)*(calc!$AA$3:$AA$306&gt;AA61))&gt;0)),0)</f>
        <v/>
      </c>
      <c r="AC61" s="5">
        <f>IF(mos_metrics!I60="","",mos_metrics!I60)</f>
        <v/>
      </c>
      <c r="AD61" s="2">
        <f>AND($J61,ISNUMBER(AC61),correlation!$I$28=1)</f>
        <v/>
      </c>
      <c r="AE61" s="5">
        <f>IF(AD61,$F61,"")</f>
        <v/>
      </c>
      <c r="AF61" s="5">
        <f>IF(AD61,AC61*correlation!$J$28,"")</f>
        <v/>
      </c>
      <c r="AG61" s="5">
        <f>IF(AND(AD61,ISNUMBER(correlation!$F$28)),AF61*correlation!$F$28+correlation!$G$28,"")</f>
        <v/>
      </c>
      <c r="AH61" s="5">
        <f>IF(AND(AD61,ISNUMBER(AG61)),(AE61-AG61)^2,"")</f>
        <v/>
      </c>
      <c r="AI61" s="5">
        <f>IF(AD61,1+SUMPRODUCT(--(calc!$AD$3:$AD$306=TRUE),--(calc!$AE$3:$AE$306&gt;AE61))+(SUMPRODUCT(--(calc!$AD$3:$AD$306=TRUE),--(calc!$AE$3:$AE$306=AE61))-1)/2,"")</f>
        <v/>
      </c>
      <c r="AJ61" s="5">
        <f>IF(AD61,1+SUMPRODUCT(--(calc!$AD$3:$AD$306=TRUE),--(calc!$AF$3:$AF$306&gt;AF61))+(SUMPRODUCT(--(calc!$AD$3:$AD$306=TRUE),--(calc!$AF$3:$AF$306=AF61))-1)/2,"")</f>
        <v/>
      </c>
      <c r="AK61" s="5">
        <f>IF(AD61,SUMPRODUCT(--(calc!$AD$3:$AD$306=TRUE),--(ROW(calc!$AD$3:$AD$306)&gt;ROW(AD61)),--(((calc!$AI$3:$AI$306&gt;AI61)*(calc!$AJ$3:$AJ$306&gt;AJ61)+(calc!$AI$3:$AI$306&lt;AI61)*(calc!$AJ$3:$AJ$306&lt;AJ61))&gt;0))-SUMPRODUCT(--(calc!$AD$3:$AD$306=TRUE),--(ROW(calc!$AD$3:$AD$306)&gt;ROW(AD61)),--(((calc!$AI$3:$AI$306&gt;AI61)*(calc!$AJ$3:$AJ$306&lt;AJ61)+(calc!$AI$3:$AI$306&lt;AI61)*(calc!$AJ$3:$AJ$306&gt;AJ61))&gt;0)),0)</f>
        <v/>
      </c>
      <c r="AL61" s="5">
        <f>IF(mos_metrics!J60="","",mos_metrics!J60)</f>
        <v/>
      </c>
      <c r="AM61" s="2">
        <f>AND($J61,ISNUMBER(AL61),correlation!$I$29=1)</f>
        <v/>
      </c>
      <c r="AN61" s="5">
        <f>IF(AM61,$F61,"")</f>
        <v/>
      </c>
      <c r="AO61" s="5">
        <f>IF(AM61,AL61*correlation!$J$29,"")</f>
        <v/>
      </c>
      <c r="AP61" s="5">
        <f>IF(AND(AM61,ISNUMBER(correlation!$F$29)),AO61*correlation!$F$29+correlation!$G$29,"")</f>
        <v/>
      </c>
      <c r="AQ61" s="5">
        <f>IF(AND(AM61,ISNUMBER(AP61)),(AN61-AP61)^2,"")</f>
        <v/>
      </c>
      <c r="AR61" s="5">
        <f>IF(AM61,1+SUMPRODUCT(--(calc!$AM$3:$AM$306=TRUE),--(calc!$AN$3:$AN$306&gt;AN61))+(SUMPRODUCT(--(calc!$AM$3:$AM$306=TRUE),--(calc!$AN$3:$AN$306=AN61))-1)/2,"")</f>
        <v/>
      </c>
      <c r="AS61" s="5">
        <f>IF(AM61,1+SUMPRODUCT(--(calc!$AM$3:$AM$306=TRUE),--(calc!$AO$3:$AO$306&gt;AO61))+(SUMPRODUCT(--(calc!$AM$3:$AM$306=TRUE),--(calc!$AO$3:$AO$306=AO61))-1)/2,"")</f>
        <v/>
      </c>
      <c r="AT61" s="5">
        <f>IF(AM61,SUMPRODUCT(--(calc!$AM$3:$AM$306=TRUE),--(ROW(calc!$AM$3:$AM$306)&gt;ROW(AM61)),--(((calc!$AR$3:$AR$306&gt;AR61)*(calc!$AS$3:$AS$306&gt;AS61)+(calc!$AR$3:$AR$306&lt;AR61)*(calc!$AS$3:$AS$306&lt;AS61))&gt;0))-SUMPRODUCT(--(calc!$AM$3:$AM$306=TRUE),--(ROW(calc!$AM$3:$AM$306)&gt;ROW(AM61)),--(((calc!$AR$3:$AR$306&gt;AR61)*(calc!$AS$3:$AS$306&lt;AS61)+(calc!$AR$3:$AR$306&lt;AR61)*(calc!$AS$3:$AS$306&gt;AS61))&gt;0)),0)</f>
        <v/>
      </c>
      <c r="AU61" s="5">
        <f>IF(mos_metrics!K60="","",mos_metrics!K60)</f>
        <v/>
      </c>
      <c r="AV61" s="2">
        <f>AND($J61,ISNUMBER(AU61),correlation!$I$30=1)</f>
        <v/>
      </c>
      <c r="AW61" s="5">
        <f>IF(AV61,$F61,"")</f>
        <v/>
      </c>
      <c r="AX61" s="5">
        <f>IF(AV61,AU61*correlation!$J$30,"")</f>
        <v/>
      </c>
      <c r="AY61" s="5">
        <f>IF(AND(AV61,ISNUMBER(correlation!$F$30)),AX61*correlation!$F$30+correlation!$G$30,"")</f>
        <v/>
      </c>
      <c r="AZ61" s="5">
        <f>IF(AND(AV61,ISNUMBER(AY61)),(AW61-AY61)^2,"")</f>
        <v/>
      </c>
      <c r="BA61" s="5">
        <f>IF(AV61,1+SUMPRODUCT(--(calc!$AV$3:$AV$306=TRUE),--(calc!$AW$3:$AW$306&gt;AW61))+(SUMPRODUCT(--(calc!$AV$3:$AV$306=TRUE),--(calc!$AW$3:$AW$306=AW61))-1)/2,"")</f>
        <v/>
      </c>
      <c r="BB61" s="5">
        <f>IF(AV61,1+SUMPRODUCT(--(calc!$AV$3:$AV$306=TRUE),--(calc!$AX$3:$AX$306&gt;AX61))+(SUMPRODUCT(--(calc!$AV$3:$AV$306=TRUE),--(calc!$AX$3:$AX$306=AX61))-1)/2,"")</f>
        <v/>
      </c>
      <c r="BC61" s="5">
        <f>IF(AV61,SUMPRODUCT(--(calc!$AV$3:$AV$306=TRUE),--(ROW(calc!$AV$3:$AV$306)&gt;ROW(AV61)),--(((calc!$BA$3:$BA$306&gt;BA61)*(calc!$BB$3:$BB$306&gt;BB61)+(calc!$BA$3:$BA$306&lt;BA61)*(calc!$BB$3:$BB$306&lt;BB61))&gt;0))-SUMPRODUCT(--(calc!$AV$3:$AV$306=TRUE),--(ROW(calc!$AV$3:$AV$306)&gt;ROW(AV61)),--(((calc!$BA$3:$BA$306&gt;BA61)*(calc!$BB$3:$BB$306&lt;BB61)+(calc!$BA$3:$BA$306&lt;BA61)*(calc!$BB$3:$BB$306&gt;BB61))&gt;0)),0)</f>
        <v/>
      </c>
      <c r="BD61" s="5">
        <f>IF(mos_metrics!L60="","",mos_metrics!L60)</f>
        <v/>
      </c>
      <c r="BE61" s="2">
        <f>AND($J61,ISNUMBER(BD61),correlation!$I$31=1)</f>
        <v/>
      </c>
      <c r="BF61" s="5">
        <f>IF(BE61,$F61,"")</f>
        <v/>
      </c>
      <c r="BG61" s="5">
        <f>IF(BE61,BD61*correlation!$J$31,"")</f>
        <v/>
      </c>
      <c r="BH61" s="5">
        <f>IF(AND(BE61,ISNUMBER(correlation!$F$31)),BG61*correlation!$F$31+correlation!$G$31,"")</f>
        <v/>
      </c>
      <c r="BI61" s="5">
        <f>IF(AND(BE61,ISNUMBER(BH61)),(BF61-BH61)^2,"")</f>
        <v/>
      </c>
      <c r="BJ61" s="5">
        <f>IF(BE61,1+SUMPRODUCT(--(calc!$BE$3:$BE$306=TRUE),--(calc!$BF$3:$BF$306&gt;BF61))+(SUMPRODUCT(--(calc!$BE$3:$BE$306=TRUE),--(calc!$BF$3:$BF$306=BF61))-1)/2,"")</f>
        <v/>
      </c>
      <c r="BK61" s="5">
        <f>IF(BE61,1+SUMPRODUCT(--(calc!$BE$3:$BE$306=TRUE),--(calc!$BG$3:$BG$306&gt;BG61))+(SUMPRODUCT(--(calc!$BE$3:$BE$306=TRUE),--(calc!$BG$3:$BG$306=BG61))-1)/2,"")</f>
        <v/>
      </c>
      <c r="BL61" s="5">
        <f>IF(BE61,SUMPRODUCT(--(calc!$BE$3:$BE$306=TRUE),--(ROW(calc!$BE$3:$BE$306)&gt;ROW(BE61)),--(((calc!$BJ$3:$BJ$306&gt;BJ61)*(calc!$BK$3:$BK$306&gt;BK61)+(calc!$BJ$3:$BJ$306&lt;BJ61)*(calc!$BK$3:$BK$306&lt;BK61))&gt;0))-SUMPRODUCT(--(calc!$BE$3:$BE$306=TRUE),--(ROW(calc!$BE$3:$BE$306)&gt;ROW(BE61)),--(((calc!$BJ$3:$BJ$306&gt;BJ61)*(calc!$BK$3:$BK$306&lt;BK61)+(calc!$BJ$3:$BJ$306&lt;BJ61)*(calc!$BK$3:$BK$306&gt;BK61))&gt;0)),0)</f>
        <v/>
      </c>
      <c r="BM61" s="5">
        <f>IF(mos_metrics!M60="","",mos_metrics!M60)</f>
        <v/>
      </c>
      <c r="BN61" s="2">
        <f>AND($J61,ISNUMBER(BM61),correlation!$I$32=1)</f>
        <v/>
      </c>
      <c r="BO61" s="5">
        <f>IF(BN61,$F61,"")</f>
        <v/>
      </c>
      <c r="BP61" s="5">
        <f>IF(BN61,BM61*correlation!$J$32,"")</f>
        <v/>
      </c>
      <c r="BQ61" s="5">
        <f>IF(AND(BN61,ISNUMBER(correlation!$F$32)),BP61*correlation!$F$32+correlation!$G$32,"")</f>
        <v/>
      </c>
      <c r="BR61" s="5">
        <f>IF(AND(BN61,ISNUMBER(BQ61)),(BO61-BQ61)^2,"")</f>
        <v/>
      </c>
      <c r="BS61" s="5">
        <f>IF(BN61,1+SUMPRODUCT(--(calc!$BN$3:$BN$306=TRUE),--(calc!$BO$3:$BO$306&gt;BO61))+(SUMPRODUCT(--(calc!$BN$3:$BN$306=TRUE),--(calc!$BO$3:$BO$306=BO61))-1)/2,"")</f>
        <v/>
      </c>
      <c r="BT61" s="5">
        <f>IF(BN61,1+SUMPRODUCT(--(calc!$BN$3:$BN$306=TRUE),--(calc!$BP$3:$BP$306&gt;BP61))+(SUMPRODUCT(--(calc!$BN$3:$BN$306=TRUE),--(calc!$BP$3:$BP$306=BP61))-1)/2,"")</f>
        <v/>
      </c>
      <c r="BU61" s="5">
        <f>IF(BN61,SUMPRODUCT(--(calc!$BN$3:$BN$306=TRUE),--(ROW(calc!$BN$3:$BN$306)&gt;ROW(BN61)),--(((calc!$BS$3:$BS$306&gt;BS61)*(calc!$BT$3:$BT$306&gt;BT61)+(calc!$BS$3:$BS$306&lt;BS61)*(calc!$BT$3:$BT$306&lt;BT61))&gt;0))-SUMPRODUCT(--(calc!$BN$3:$BN$306=TRUE),--(ROW(calc!$BN$3:$BN$306)&gt;ROW(BN61)),--(((calc!$BS$3:$BS$306&gt;BS61)*(calc!$BT$3:$BT$306&lt;BT61)+(calc!$BS$3:$BS$306&lt;BS61)*(calc!$BT$3:$BT$306&gt;BT61))&gt;0)),0)</f>
        <v/>
      </c>
    </row>
    <row r="62">
      <c r="A62" s="2">
        <f>mos_metrics!A61</f>
        <v/>
      </c>
      <c r="B62" s="2">
        <f>mos_metrics!B61</f>
        <v/>
      </c>
      <c r="C62" s="2">
        <f>mos_metrics!C61</f>
        <v/>
      </c>
      <c r="D62" s="2">
        <f>mos_metrics!D61</f>
        <v/>
      </c>
      <c r="E62" s="2">
        <f>mos_metrics!E61</f>
        <v/>
      </c>
      <c r="F62" s="2">
        <f>mos_metrics!F61</f>
        <v/>
      </c>
      <c r="G62" s="2">
        <f>IF($B62="","",IFERROR(VLOOKUP($B62,correlation!$A$2:$B$16,2,FALSE),1))</f>
        <v/>
      </c>
      <c r="H62" s="2">
        <f>IF($E62="","",IFERROR(VLOOKUP($E62,correlation!$D$2:$E$8,2,FALSE),1))</f>
        <v/>
      </c>
      <c r="I62" s="2">
        <f>ISNUMBER($F62)</f>
        <v/>
      </c>
      <c r="J62" s="2">
        <f>AND($G62=1,$H62=1,$I62)</f>
        <v/>
      </c>
      <c r="K62" s="5">
        <f>IF(mos_metrics!G61="","",mos_metrics!G61)</f>
        <v/>
      </c>
      <c r="L62" s="2">
        <f>AND($J62,ISNUMBER(K62),correlation!$I$26=1)</f>
        <v/>
      </c>
      <c r="M62" s="5">
        <f>IF(L62,$F62,"")</f>
        <v/>
      </c>
      <c r="N62" s="5">
        <f>IF(L62,K62*correlation!$J$26,"")</f>
        <v/>
      </c>
      <c r="O62" s="5">
        <f>IF(AND(L62,ISNUMBER(correlation!$F$26)),N62*correlation!$F$26+correlation!$G$26,"")</f>
        <v/>
      </c>
      <c r="P62" s="5">
        <f>IF(AND(L62,ISNUMBER(O62)),(M62-O62)^2,"")</f>
        <v/>
      </c>
      <c r="Q62" s="5">
        <f>IF(L62,1+SUMPRODUCT(--(calc!$L$3:$L$306=TRUE),--(calc!$M$3:$M$306&gt;M62))+(SUMPRODUCT(--(calc!$L$3:$L$306=TRUE),--(calc!$M$3:$M$306=M62))-1)/2,"")</f>
        <v/>
      </c>
      <c r="R62" s="5">
        <f>IF(L62,1+SUMPRODUCT(--(calc!$L$3:$L$306=TRUE),--(calc!$N$3:$N$306&gt;N62))+(SUMPRODUCT(--(calc!$L$3:$L$306=TRUE),--(calc!$N$3:$N$306=N62))-1)/2,"")</f>
        <v/>
      </c>
      <c r="S62" s="5">
        <f>IF(L62,SUMPRODUCT(--(calc!$L$3:$L$306=TRUE),--(ROW(calc!$L$3:$L$306)&gt;ROW(L62)),--(((calc!$Q$3:$Q$306&gt;Q62)*(calc!$R$3:$R$306&gt;R62)+(calc!$Q$3:$Q$306&lt;Q62)*(calc!$R$3:$R$306&lt;R62))&gt;0))-SUMPRODUCT(--(calc!$L$3:$L$306=TRUE),--(ROW(calc!$L$3:$L$306)&gt;ROW(L62)),--(((calc!$Q$3:$Q$306&gt;Q62)*(calc!$R$3:$R$306&lt;R62)+(calc!$Q$3:$Q$306&lt;Q62)*(calc!$R$3:$R$306&gt;R62))&gt;0)),0)</f>
        <v/>
      </c>
      <c r="T62" s="5">
        <f>IF(mos_metrics!H61="","",mos_metrics!H61)</f>
        <v/>
      </c>
      <c r="U62" s="2">
        <f>AND($J62,ISNUMBER(T62),correlation!$I$27=1)</f>
        <v/>
      </c>
      <c r="V62" s="5">
        <f>IF(U62,$F62,"")</f>
        <v/>
      </c>
      <c r="W62" s="5">
        <f>IF(U62,T62*correlation!$J$27,"")</f>
        <v/>
      </c>
      <c r="X62" s="5">
        <f>IF(AND(U62,ISNUMBER(correlation!$F$27)),W62*correlation!$F$27+correlation!$G$27,"")</f>
        <v/>
      </c>
      <c r="Y62" s="5">
        <f>IF(AND(U62,ISNUMBER(X62)),(V62-X62)^2,"")</f>
        <v/>
      </c>
      <c r="Z62" s="5">
        <f>IF(U62,1+SUMPRODUCT(--(calc!$U$3:$U$306=TRUE),--(calc!$V$3:$V$306&gt;V62))+(SUMPRODUCT(--(calc!$U$3:$U$306=TRUE),--(calc!$V$3:$V$306=V62))-1)/2,"")</f>
        <v/>
      </c>
      <c r="AA62" s="5">
        <f>IF(U62,1+SUMPRODUCT(--(calc!$U$3:$U$306=TRUE),--(calc!$W$3:$W$306&gt;W62))+(SUMPRODUCT(--(calc!$U$3:$U$306=TRUE),--(calc!$W$3:$W$306=W62))-1)/2,"")</f>
        <v/>
      </c>
      <c r="AB62" s="5">
        <f>IF(U62,SUMPRODUCT(--(calc!$U$3:$U$306=TRUE),--(ROW(calc!$U$3:$U$306)&gt;ROW(U62)),--(((calc!$Z$3:$Z$306&gt;Z62)*(calc!$AA$3:$AA$306&gt;AA62)+(calc!$Z$3:$Z$306&lt;Z62)*(calc!$AA$3:$AA$306&lt;AA62))&gt;0))-SUMPRODUCT(--(calc!$U$3:$U$306=TRUE),--(ROW(calc!$U$3:$U$306)&gt;ROW(U62)),--(((calc!$Z$3:$Z$306&gt;Z62)*(calc!$AA$3:$AA$306&lt;AA62)+(calc!$Z$3:$Z$306&lt;Z62)*(calc!$AA$3:$AA$306&gt;AA62))&gt;0)),0)</f>
        <v/>
      </c>
      <c r="AC62" s="5">
        <f>IF(mos_metrics!I61="","",mos_metrics!I61)</f>
        <v/>
      </c>
      <c r="AD62" s="2">
        <f>AND($J62,ISNUMBER(AC62),correlation!$I$28=1)</f>
        <v/>
      </c>
      <c r="AE62" s="5">
        <f>IF(AD62,$F62,"")</f>
        <v/>
      </c>
      <c r="AF62" s="5">
        <f>IF(AD62,AC62*correlation!$J$28,"")</f>
        <v/>
      </c>
      <c r="AG62" s="5">
        <f>IF(AND(AD62,ISNUMBER(correlation!$F$28)),AF62*correlation!$F$28+correlation!$G$28,"")</f>
        <v/>
      </c>
      <c r="AH62" s="5">
        <f>IF(AND(AD62,ISNUMBER(AG62)),(AE62-AG62)^2,"")</f>
        <v/>
      </c>
      <c r="AI62" s="5">
        <f>IF(AD62,1+SUMPRODUCT(--(calc!$AD$3:$AD$306=TRUE),--(calc!$AE$3:$AE$306&gt;AE62))+(SUMPRODUCT(--(calc!$AD$3:$AD$306=TRUE),--(calc!$AE$3:$AE$306=AE62))-1)/2,"")</f>
        <v/>
      </c>
      <c r="AJ62" s="5">
        <f>IF(AD62,1+SUMPRODUCT(--(calc!$AD$3:$AD$306=TRUE),--(calc!$AF$3:$AF$306&gt;AF62))+(SUMPRODUCT(--(calc!$AD$3:$AD$306=TRUE),--(calc!$AF$3:$AF$306=AF62))-1)/2,"")</f>
        <v/>
      </c>
      <c r="AK62" s="5">
        <f>IF(AD62,SUMPRODUCT(--(calc!$AD$3:$AD$306=TRUE),--(ROW(calc!$AD$3:$AD$306)&gt;ROW(AD62)),--(((calc!$AI$3:$AI$306&gt;AI62)*(calc!$AJ$3:$AJ$306&gt;AJ62)+(calc!$AI$3:$AI$306&lt;AI62)*(calc!$AJ$3:$AJ$306&lt;AJ62))&gt;0))-SUMPRODUCT(--(calc!$AD$3:$AD$306=TRUE),--(ROW(calc!$AD$3:$AD$306)&gt;ROW(AD62)),--(((calc!$AI$3:$AI$306&gt;AI62)*(calc!$AJ$3:$AJ$306&lt;AJ62)+(calc!$AI$3:$AI$306&lt;AI62)*(calc!$AJ$3:$AJ$306&gt;AJ62))&gt;0)),0)</f>
        <v/>
      </c>
      <c r="AL62" s="5">
        <f>IF(mos_metrics!J61="","",mos_metrics!J61)</f>
        <v/>
      </c>
      <c r="AM62" s="2">
        <f>AND($J62,ISNUMBER(AL62),correlation!$I$29=1)</f>
        <v/>
      </c>
      <c r="AN62" s="5">
        <f>IF(AM62,$F62,"")</f>
        <v/>
      </c>
      <c r="AO62" s="5">
        <f>IF(AM62,AL62*correlation!$J$29,"")</f>
        <v/>
      </c>
      <c r="AP62" s="5">
        <f>IF(AND(AM62,ISNUMBER(correlation!$F$29)),AO62*correlation!$F$29+correlation!$G$29,"")</f>
        <v/>
      </c>
      <c r="AQ62" s="5">
        <f>IF(AND(AM62,ISNUMBER(AP62)),(AN62-AP62)^2,"")</f>
        <v/>
      </c>
      <c r="AR62" s="5">
        <f>IF(AM62,1+SUMPRODUCT(--(calc!$AM$3:$AM$306=TRUE),--(calc!$AN$3:$AN$306&gt;AN62))+(SUMPRODUCT(--(calc!$AM$3:$AM$306=TRUE),--(calc!$AN$3:$AN$306=AN62))-1)/2,"")</f>
        <v/>
      </c>
      <c r="AS62" s="5">
        <f>IF(AM62,1+SUMPRODUCT(--(calc!$AM$3:$AM$306=TRUE),--(calc!$AO$3:$AO$306&gt;AO62))+(SUMPRODUCT(--(calc!$AM$3:$AM$306=TRUE),--(calc!$AO$3:$AO$306=AO62))-1)/2,"")</f>
        <v/>
      </c>
      <c r="AT62" s="5">
        <f>IF(AM62,SUMPRODUCT(--(calc!$AM$3:$AM$306=TRUE),--(ROW(calc!$AM$3:$AM$306)&gt;ROW(AM62)),--(((calc!$AR$3:$AR$306&gt;AR62)*(calc!$AS$3:$AS$306&gt;AS62)+(calc!$AR$3:$AR$306&lt;AR62)*(calc!$AS$3:$AS$306&lt;AS62))&gt;0))-SUMPRODUCT(--(calc!$AM$3:$AM$306=TRUE),--(ROW(calc!$AM$3:$AM$306)&gt;ROW(AM62)),--(((calc!$AR$3:$AR$306&gt;AR62)*(calc!$AS$3:$AS$306&lt;AS62)+(calc!$AR$3:$AR$306&lt;AR62)*(calc!$AS$3:$AS$306&gt;AS62))&gt;0)),0)</f>
        <v/>
      </c>
      <c r="AU62" s="5">
        <f>IF(mos_metrics!K61="","",mos_metrics!K61)</f>
        <v/>
      </c>
      <c r="AV62" s="2">
        <f>AND($J62,ISNUMBER(AU62),correlation!$I$30=1)</f>
        <v/>
      </c>
      <c r="AW62" s="5">
        <f>IF(AV62,$F62,"")</f>
        <v/>
      </c>
      <c r="AX62" s="5">
        <f>IF(AV62,AU62*correlation!$J$30,"")</f>
        <v/>
      </c>
      <c r="AY62" s="5">
        <f>IF(AND(AV62,ISNUMBER(correlation!$F$30)),AX62*correlation!$F$30+correlation!$G$30,"")</f>
        <v/>
      </c>
      <c r="AZ62" s="5">
        <f>IF(AND(AV62,ISNUMBER(AY62)),(AW62-AY62)^2,"")</f>
        <v/>
      </c>
      <c r="BA62" s="5">
        <f>IF(AV62,1+SUMPRODUCT(--(calc!$AV$3:$AV$306=TRUE),--(calc!$AW$3:$AW$306&gt;AW62))+(SUMPRODUCT(--(calc!$AV$3:$AV$306=TRUE),--(calc!$AW$3:$AW$306=AW62))-1)/2,"")</f>
        <v/>
      </c>
      <c r="BB62" s="5">
        <f>IF(AV62,1+SUMPRODUCT(--(calc!$AV$3:$AV$306=TRUE),--(calc!$AX$3:$AX$306&gt;AX62))+(SUMPRODUCT(--(calc!$AV$3:$AV$306=TRUE),--(calc!$AX$3:$AX$306=AX62))-1)/2,"")</f>
        <v/>
      </c>
      <c r="BC62" s="5">
        <f>IF(AV62,SUMPRODUCT(--(calc!$AV$3:$AV$306=TRUE),--(ROW(calc!$AV$3:$AV$306)&gt;ROW(AV62)),--(((calc!$BA$3:$BA$306&gt;BA62)*(calc!$BB$3:$BB$306&gt;BB62)+(calc!$BA$3:$BA$306&lt;BA62)*(calc!$BB$3:$BB$306&lt;BB62))&gt;0))-SUMPRODUCT(--(calc!$AV$3:$AV$306=TRUE),--(ROW(calc!$AV$3:$AV$306)&gt;ROW(AV62)),--(((calc!$BA$3:$BA$306&gt;BA62)*(calc!$BB$3:$BB$306&lt;BB62)+(calc!$BA$3:$BA$306&lt;BA62)*(calc!$BB$3:$BB$306&gt;BB62))&gt;0)),0)</f>
        <v/>
      </c>
      <c r="BD62" s="5">
        <f>IF(mos_metrics!L61="","",mos_metrics!L61)</f>
        <v/>
      </c>
      <c r="BE62" s="2">
        <f>AND($J62,ISNUMBER(BD62),correlation!$I$31=1)</f>
        <v/>
      </c>
      <c r="BF62" s="5">
        <f>IF(BE62,$F62,"")</f>
        <v/>
      </c>
      <c r="BG62" s="5">
        <f>IF(BE62,BD62*correlation!$J$31,"")</f>
        <v/>
      </c>
      <c r="BH62" s="5">
        <f>IF(AND(BE62,ISNUMBER(correlation!$F$31)),BG62*correlation!$F$31+correlation!$G$31,"")</f>
        <v/>
      </c>
      <c r="BI62" s="5">
        <f>IF(AND(BE62,ISNUMBER(BH62)),(BF62-BH62)^2,"")</f>
        <v/>
      </c>
      <c r="BJ62" s="5">
        <f>IF(BE62,1+SUMPRODUCT(--(calc!$BE$3:$BE$306=TRUE),--(calc!$BF$3:$BF$306&gt;BF62))+(SUMPRODUCT(--(calc!$BE$3:$BE$306=TRUE),--(calc!$BF$3:$BF$306=BF62))-1)/2,"")</f>
        <v/>
      </c>
      <c r="BK62" s="5">
        <f>IF(BE62,1+SUMPRODUCT(--(calc!$BE$3:$BE$306=TRUE),--(calc!$BG$3:$BG$306&gt;BG62))+(SUMPRODUCT(--(calc!$BE$3:$BE$306=TRUE),--(calc!$BG$3:$BG$306=BG62))-1)/2,"")</f>
        <v/>
      </c>
      <c r="BL62" s="5">
        <f>IF(BE62,SUMPRODUCT(--(calc!$BE$3:$BE$306=TRUE),--(ROW(calc!$BE$3:$BE$306)&gt;ROW(BE62)),--(((calc!$BJ$3:$BJ$306&gt;BJ62)*(calc!$BK$3:$BK$306&gt;BK62)+(calc!$BJ$3:$BJ$306&lt;BJ62)*(calc!$BK$3:$BK$306&lt;BK62))&gt;0))-SUMPRODUCT(--(calc!$BE$3:$BE$306=TRUE),--(ROW(calc!$BE$3:$BE$306)&gt;ROW(BE62)),--(((calc!$BJ$3:$BJ$306&gt;BJ62)*(calc!$BK$3:$BK$306&lt;BK62)+(calc!$BJ$3:$BJ$306&lt;BJ62)*(calc!$BK$3:$BK$306&gt;BK62))&gt;0)),0)</f>
        <v/>
      </c>
      <c r="BM62" s="5">
        <f>IF(mos_metrics!M61="","",mos_metrics!M61)</f>
        <v/>
      </c>
      <c r="BN62" s="2">
        <f>AND($J62,ISNUMBER(BM62),correlation!$I$32=1)</f>
        <v/>
      </c>
      <c r="BO62" s="5">
        <f>IF(BN62,$F62,"")</f>
        <v/>
      </c>
      <c r="BP62" s="5">
        <f>IF(BN62,BM62*correlation!$J$32,"")</f>
        <v/>
      </c>
      <c r="BQ62" s="5">
        <f>IF(AND(BN62,ISNUMBER(correlation!$F$32)),BP62*correlation!$F$32+correlation!$G$32,"")</f>
        <v/>
      </c>
      <c r="BR62" s="5">
        <f>IF(AND(BN62,ISNUMBER(BQ62)),(BO62-BQ62)^2,"")</f>
        <v/>
      </c>
      <c r="BS62" s="5">
        <f>IF(BN62,1+SUMPRODUCT(--(calc!$BN$3:$BN$306=TRUE),--(calc!$BO$3:$BO$306&gt;BO62))+(SUMPRODUCT(--(calc!$BN$3:$BN$306=TRUE),--(calc!$BO$3:$BO$306=BO62))-1)/2,"")</f>
        <v/>
      </c>
      <c r="BT62" s="5">
        <f>IF(BN62,1+SUMPRODUCT(--(calc!$BN$3:$BN$306=TRUE),--(calc!$BP$3:$BP$306&gt;BP62))+(SUMPRODUCT(--(calc!$BN$3:$BN$306=TRUE),--(calc!$BP$3:$BP$306=BP62))-1)/2,"")</f>
        <v/>
      </c>
      <c r="BU62" s="5">
        <f>IF(BN62,SUMPRODUCT(--(calc!$BN$3:$BN$306=TRUE),--(ROW(calc!$BN$3:$BN$306)&gt;ROW(BN62)),--(((calc!$BS$3:$BS$306&gt;BS62)*(calc!$BT$3:$BT$306&gt;BT62)+(calc!$BS$3:$BS$306&lt;BS62)*(calc!$BT$3:$BT$306&lt;BT62))&gt;0))-SUMPRODUCT(--(calc!$BN$3:$BN$306=TRUE),--(ROW(calc!$BN$3:$BN$306)&gt;ROW(BN62)),--(((calc!$BS$3:$BS$306&gt;BS62)*(calc!$BT$3:$BT$306&lt;BT62)+(calc!$BS$3:$BS$306&lt;BS62)*(calc!$BT$3:$BT$306&gt;BT62))&gt;0)),0)</f>
        <v/>
      </c>
    </row>
    <row r="63">
      <c r="A63" s="2">
        <f>mos_metrics!A62</f>
        <v/>
      </c>
      <c r="B63" s="2">
        <f>mos_metrics!B62</f>
        <v/>
      </c>
      <c r="C63" s="2">
        <f>mos_metrics!C62</f>
        <v/>
      </c>
      <c r="D63" s="2">
        <f>mos_metrics!D62</f>
        <v/>
      </c>
      <c r="E63" s="2">
        <f>mos_metrics!E62</f>
        <v/>
      </c>
      <c r="F63" s="2">
        <f>mos_metrics!F62</f>
        <v/>
      </c>
      <c r="G63" s="2">
        <f>IF($B63="","",IFERROR(VLOOKUP($B63,correlation!$A$2:$B$16,2,FALSE),1))</f>
        <v/>
      </c>
      <c r="H63" s="2">
        <f>IF($E63="","",IFERROR(VLOOKUP($E63,correlation!$D$2:$E$8,2,FALSE),1))</f>
        <v/>
      </c>
      <c r="I63" s="2">
        <f>ISNUMBER($F63)</f>
        <v/>
      </c>
      <c r="J63" s="2">
        <f>AND($G63=1,$H63=1,$I63)</f>
        <v/>
      </c>
      <c r="K63" s="5">
        <f>IF(mos_metrics!G62="","",mos_metrics!G62)</f>
        <v/>
      </c>
      <c r="L63" s="2">
        <f>AND($J63,ISNUMBER(K63),correlation!$I$26=1)</f>
        <v/>
      </c>
      <c r="M63" s="5">
        <f>IF(L63,$F63,"")</f>
        <v/>
      </c>
      <c r="N63" s="5">
        <f>IF(L63,K63*correlation!$J$26,"")</f>
        <v/>
      </c>
      <c r="O63" s="5">
        <f>IF(AND(L63,ISNUMBER(correlation!$F$26)),N63*correlation!$F$26+correlation!$G$26,"")</f>
        <v/>
      </c>
      <c r="P63" s="5">
        <f>IF(AND(L63,ISNUMBER(O63)),(M63-O63)^2,"")</f>
        <v/>
      </c>
      <c r="Q63" s="5">
        <f>IF(L63,1+SUMPRODUCT(--(calc!$L$3:$L$306=TRUE),--(calc!$M$3:$M$306&gt;M63))+(SUMPRODUCT(--(calc!$L$3:$L$306=TRUE),--(calc!$M$3:$M$306=M63))-1)/2,"")</f>
        <v/>
      </c>
      <c r="R63" s="5">
        <f>IF(L63,1+SUMPRODUCT(--(calc!$L$3:$L$306=TRUE),--(calc!$N$3:$N$306&gt;N63))+(SUMPRODUCT(--(calc!$L$3:$L$306=TRUE),--(calc!$N$3:$N$306=N63))-1)/2,"")</f>
        <v/>
      </c>
      <c r="S63" s="5">
        <f>IF(L63,SUMPRODUCT(--(calc!$L$3:$L$306=TRUE),--(ROW(calc!$L$3:$L$306)&gt;ROW(L63)),--(((calc!$Q$3:$Q$306&gt;Q63)*(calc!$R$3:$R$306&gt;R63)+(calc!$Q$3:$Q$306&lt;Q63)*(calc!$R$3:$R$306&lt;R63))&gt;0))-SUMPRODUCT(--(calc!$L$3:$L$306=TRUE),--(ROW(calc!$L$3:$L$306)&gt;ROW(L63)),--(((calc!$Q$3:$Q$306&gt;Q63)*(calc!$R$3:$R$306&lt;R63)+(calc!$Q$3:$Q$306&lt;Q63)*(calc!$R$3:$R$306&gt;R63))&gt;0)),0)</f>
        <v/>
      </c>
      <c r="T63" s="5">
        <f>IF(mos_metrics!H62="","",mos_metrics!H62)</f>
        <v/>
      </c>
      <c r="U63" s="2">
        <f>AND($J63,ISNUMBER(T63),correlation!$I$27=1)</f>
        <v/>
      </c>
      <c r="V63" s="5">
        <f>IF(U63,$F63,"")</f>
        <v/>
      </c>
      <c r="W63" s="5">
        <f>IF(U63,T63*correlation!$J$27,"")</f>
        <v/>
      </c>
      <c r="X63" s="5">
        <f>IF(AND(U63,ISNUMBER(correlation!$F$27)),W63*correlation!$F$27+correlation!$G$27,"")</f>
        <v/>
      </c>
      <c r="Y63" s="5">
        <f>IF(AND(U63,ISNUMBER(X63)),(V63-X63)^2,"")</f>
        <v/>
      </c>
      <c r="Z63" s="5">
        <f>IF(U63,1+SUMPRODUCT(--(calc!$U$3:$U$306=TRUE),--(calc!$V$3:$V$306&gt;V63))+(SUMPRODUCT(--(calc!$U$3:$U$306=TRUE),--(calc!$V$3:$V$306=V63))-1)/2,"")</f>
        <v/>
      </c>
      <c r="AA63" s="5">
        <f>IF(U63,1+SUMPRODUCT(--(calc!$U$3:$U$306=TRUE),--(calc!$W$3:$W$306&gt;W63))+(SUMPRODUCT(--(calc!$U$3:$U$306=TRUE),--(calc!$W$3:$W$306=W63))-1)/2,"")</f>
        <v/>
      </c>
      <c r="AB63" s="5">
        <f>IF(U63,SUMPRODUCT(--(calc!$U$3:$U$306=TRUE),--(ROW(calc!$U$3:$U$306)&gt;ROW(U63)),--(((calc!$Z$3:$Z$306&gt;Z63)*(calc!$AA$3:$AA$306&gt;AA63)+(calc!$Z$3:$Z$306&lt;Z63)*(calc!$AA$3:$AA$306&lt;AA63))&gt;0))-SUMPRODUCT(--(calc!$U$3:$U$306=TRUE),--(ROW(calc!$U$3:$U$306)&gt;ROW(U63)),--(((calc!$Z$3:$Z$306&gt;Z63)*(calc!$AA$3:$AA$306&lt;AA63)+(calc!$Z$3:$Z$306&lt;Z63)*(calc!$AA$3:$AA$306&gt;AA63))&gt;0)),0)</f>
        <v/>
      </c>
      <c r="AC63" s="5">
        <f>IF(mos_metrics!I62="","",mos_metrics!I62)</f>
        <v/>
      </c>
      <c r="AD63" s="2">
        <f>AND($J63,ISNUMBER(AC63),correlation!$I$28=1)</f>
        <v/>
      </c>
      <c r="AE63" s="5">
        <f>IF(AD63,$F63,"")</f>
        <v/>
      </c>
      <c r="AF63" s="5">
        <f>IF(AD63,AC63*correlation!$J$28,"")</f>
        <v/>
      </c>
      <c r="AG63" s="5">
        <f>IF(AND(AD63,ISNUMBER(correlation!$F$28)),AF63*correlation!$F$28+correlation!$G$28,"")</f>
        <v/>
      </c>
      <c r="AH63" s="5">
        <f>IF(AND(AD63,ISNUMBER(AG63)),(AE63-AG63)^2,"")</f>
        <v/>
      </c>
      <c r="AI63" s="5">
        <f>IF(AD63,1+SUMPRODUCT(--(calc!$AD$3:$AD$306=TRUE),--(calc!$AE$3:$AE$306&gt;AE63))+(SUMPRODUCT(--(calc!$AD$3:$AD$306=TRUE),--(calc!$AE$3:$AE$306=AE63))-1)/2,"")</f>
        <v/>
      </c>
      <c r="AJ63" s="5">
        <f>IF(AD63,1+SUMPRODUCT(--(calc!$AD$3:$AD$306=TRUE),--(calc!$AF$3:$AF$306&gt;AF63))+(SUMPRODUCT(--(calc!$AD$3:$AD$306=TRUE),--(calc!$AF$3:$AF$306=AF63))-1)/2,"")</f>
        <v/>
      </c>
      <c r="AK63" s="5">
        <f>IF(AD63,SUMPRODUCT(--(calc!$AD$3:$AD$306=TRUE),--(ROW(calc!$AD$3:$AD$306)&gt;ROW(AD63)),--(((calc!$AI$3:$AI$306&gt;AI63)*(calc!$AJ$3:$AJ$306&gt;AJ63)+(calc!$AI$3:$AI$306&lt;AI63)*(calc!$AJ$3:$AJ$306&lt;AJ63))&gt;0))-SUMPRODUCT(--(calc!$AD$3:$AD$306=TRUE),--(ROW(calc!$AD$3:$AD$306)&gt;ROW(AD63)),--(((calc!$AI$3:$AI$306&gt;AI63)*(calc!$AJ$3:$AJ$306&lt;AJ63)+(calc!$AI$3:$AI$306&lt;AI63)*(calc!$AJ$3:$AJ$306&gt;AJ63))&gt;0)),0)</f>
        <v/>
      </c>
      <c r="AL63" s="5">
        <f>IF(mos_metrics!J62="","",mos_metrics!J62)</f>
        <v/>
      </c>
      <c r="AM63" s="2">
        <f>AND($J63,ISNUMBER(AL63),correlation!$I$29=1)</f>
        <v/>
      </c>
      <c r="AN63" s="5">
        <f>IF(AM63,$F63,"")</f>
        <v/>
      </c>
      <c r="AO63" s="5">
        <f>IF(AM63,AL63*correlation!$J$29,"")</f>
        <v/>
      </c>
      <c r="AP63" s="5">
        <f>IF(AND(AM63,ISNUMBER(correlation!$F$29)),AO63*correlation!$F$29+correlation!$G$29,"")</f>
        <v/>
      </c>
      <c r="AQ63" s="5">
        <f>IF(AND(AM63,ISNUMBER(AP63)),(AN63-AP63)^2,"")</f>
        <v/>
      </c>
      <c r="AR63" s="5">
        <f>IF(AM63,1+SUMPRODUCT(--(calc!$AM$3:$AM$306=TRUE),--(calc!$AN$3:$AN$306&gt;AN63))+(SUMPRODUCT(--(calc!$AM$3:$AM$306=TRUE),--(calc!$AN$3:$AN$306=AN63))-1)/2,"")</f>
        <v/>
      </c>
      <c r="AS63" s="5">
        <f>IF(AM63,1+SUMPRODUCT(--(calc!$AM$3:$AM$306=TRUE),--(calc!$AO$3:$AO$306&gt;AO63))+(SUMPRODUCT(--(calc!$AM$3:$AM$306=TRUE),--(calc!$AO$3:$AO$306=AO63))-1)/2,"")</f>
        <v/>
      </c>
      <c r="AT63" s="5">
        <f>IF(AM63,SUMPRODUCT(--(calc!$AM$3:$AM$306=TRUE),--(ROW(calc!$AM$3:$AM$306)&gt;ROW(AM63)),--(((calc!$AR$3:$AR$306&gt;AR63)*(calc!$AS$3:$AS$306&gt;AS63)+(calc!$AR$3:$AR$306&lt;AR63)*(calc!$AS$3:$AS$306&lt;AS63))&gt;0))-SUMPRODUCT(--(calc!$AM$3:$AM$306=TRUE),--(ROW(calc!$AM$3:$AM$306)&gt;ROW(AM63)),--(((calc!$AR$3:$AR$306&gt;AR63)*(calc!$AS$3:$AS$306&lt;AS63)+(calc!$AR$3:$AR$306&lt;AR63)*(calc!$AS$3:$AS$306&gt;AS63))&gt;0)),0)</f>
        <v/>
      </c>
      <c r="AU63" s="5">
        <f>IF(mos_metrics!K62="","",mos_metrics!K62)</f>
        <v/>
      </c>
      <c r="AV63" s="2">
        <f>AND($J63,ISNUMBER(AU63),correlation!$I$30=1)</f>
        <v/>
      </c>
      <c r="AW63" s="5">
        <f>IF(AV63,$F63,"")</f>
        <v/>
      </c>
      <c r="AX63" s="5">
        <f>IF(AV63,AU63*correlation!$J$30,"")</f>
        <v/>
      </c>
      <c r="AY63" s="5">
        <f>IF(AND(AV63,ISNUMBER(correlation!$F$30)),AX63*correlation!$F$30+correlation!$G$30,"")</f>
        <v/>
      </c>
      <c r="AZ63" s="5">
        <f>IF(AND(AV63,ISNUMBER(AY63)),(AW63-AY63)^2,"")</f>
        <v/>
      </c>
      <c r="BA63" s="5">
        <f>IF(AV63,1+SUMPRODUCT(--(calc!$AV$3:$AV$306=TRUE),--(calc!$AW$3:$AW$306&gt;AW63))+(SUMPRODUCT(--(calc!$AV$3:$AV$306=TRUE),--(calc!$AW$3:$AW$306=AW63))-1)/2,"")</f>
        <v/>
      </c>
      <c r="BB63" s="5">
        <f>IF(AV63,1+SUMPRODUCT(--(calc!$AV$3:$AV$306=TRUE),--(calc!$AX$3:$AX$306&gt;AX63))+(SUMPRODUCT(--(calc!$AV$3:$AV$306=TRUE),--(calc!$AX$3:$AX$306=AX63))-1)/2,"")</f>
        <v/>
      </c>
      <c r="BC63" s="5">
        <f>IF(AV63,SUMPRODUCT(--(calc!$AV$3:$AV$306=TRUE),--(ROW(calc!$AV$3:$AV$306)&gt;ROW(AV63)),--(((calc!$BA$3:$BA$306&gt;BA63)*(calc!$BB$3:$BB$306&gt;BB63)+(calc!$BA$3:$BA$306&lt;BA63)*(calc!$BB$3:$BB$306&lt;BB63))&gt;0))-SUMPRODUCT(--(calc!$AV$3:$AV$306=TRUE),--(ROW(calc!$AV$3:$AV$306)&gt;ROW(AV63)),--(((calc!$BA$3:$BA$306&gt;BA63)*(calc!$BB$3:$BB$306&lt;BB63)+(calc!$BA$3:$BA$306&lt;BA63)*(calc!$BB$3:$BB$306&gt;BB63))&gt;0)),0)</f>
        <v/>
      </c>
      <c r="BD63" s="5">
        <f>IF(mos_metrics!L62="","",mos_metrics!L62)</f>
        <v/>
      </c>
      <c r="BE63" s="2">
        <f>AND($J63,ISNUMBER(BD63),correlation!$I$31=1)</f>
        <v/>
      </c>
      <c r="BF63" s="5">
        <f>IF(BE63,$F63,"")</f>
        <v/>
      </c>
      <c r="BG63" s="5">
        <f>IF(BE63,BD63*correlation!$J$31,"")</f>
        <v/>
      </c>
      <c r="BH63" s="5">
        <f>IF(AND(BE63,ISNUMBER(correlation!$F$31)),BG63*correlation!$F$31+correlation!$G$31,"")</f>
        <v/>
      </c>
      <c r="BI63" s="5">
        <f>IF(AND(BE63,ISNUMBER(BH63)),(BF63-BH63)^2,"")</f>
        <v/>
      </c>
      <c r="BJ63" s="5">
        <f>IF(BE63,1+SUMPRODUCT(--(calc!$BE$3:$BE$306=TRUE),--(calc!$BF$3:$BF$306&gt;BF63))+(SUMPRODUCT(--(calc!$BE$3:$BE$306=TRUE),--(calc!$BF$3:$BF$306=BF63))-1)/2,"")</f>
        <v/>
      </c>
      <c r="BK63" s="5">
        <f>IF(BE63,1+SUMPRODUCT(--(calc!$BE$3:$BE$306=TRUE),--(calc!$BG$3:$BG$306&gt;BG63))+(SUMPRODUCT(--(calc!$BE$3:$BE$306=TRUE),--(calc!$BG$3:$BG$306=BG63))-1)/2,"")</f>
        <v/>
      </c>
      <c r="BL63" s="5">
        <f>IF(BE63,SUMPRODUCT(--(calc!$BE$3:$BE$306=TRUE),--(ROW(calc!$BE$3:$BE$306)&gt;ROW(BE63)),--(((calc!$BJ$3:$BJ$306&gt;BJ63)*(calc!$BK$3:$BK$306&gt;BK63)+(calc!$BJ$3:$BJ$306&lt;BJ63)*(calc!$BK$3:$BK$306&lt;BK63))&gt;0))-SUMPRODUCT(--(calc!$BE$3:$BE$306=TRUE),--(ROW(calc!$BE$3:$BE$306)&gt;ROW(BE63)),--(((calc!$BJ$3:$BJ$306&gt;BJ63)*(calc!$BK$3:$BK$306&lt;BK63)+(calc!$BJ$3:$BJ$306&lt;BJ63)*(calc!$BK$3:$BK$306&gt;BK63))&gt;0)),0)</f>
        <v/>
      </c>
      <c r="BM63" s="5">
        <f>IF(mos_metrics!M62="","",mos_metrics!M62)</f>
        <v/>
      </c>
      <c r="BN63" s="2">
        <f>AND($J63,ISNUMBER(BM63),correlation!$I$32=1)</f>
        <v/>
      </c>
      <c r="BO63" s="5">
        <f>IF(BN63,$F63,"")</f>
        <v/>
      </c>
      <c r="BP63" s="5">
        <f>IF(BN63,BM63*correlation!$J$32,"")</f>
        <v/>
      </c>
      <c r="BQ63" s="5">
        <f>IF(AND(BN63,ISNUMBER(correlation!$F$32)),BP63*correlation!$F$32+correlation!$G$32,"")</f>
        <v/>
      </c>
      <c r="BR63" s="5">
        <f>IF(AND(BN63,ISNUMBER(BQ63)),(BO63-BQ63)^2,"")</f>
        <v/>
      </c>
      <c r="BS63" s="5">
        <f>IF(BN63,1+SUMPRODUCT(--(calc!$BN$3:$BN$306=TRUE),--(calc!$BO$3:$BO$306&gt;BO63))+(SUMPRODUCT(--(calc!$BN$3:$BN$306=TRUE),--(calc!$BO$3:$BO$306=BO63))-1)/2,"")</f>
        <v/>
      </c>
      <c r="BT63" s="5">
        <f>IF(BN63,1+SUMPRODUCT(--(calc!$BN$3:$BN$306=TRUE),--(calc!$BP$3:$BP$306&gt;BP63))+(SUMPRODUCT(--(calc!$BN$3:$BN$306=TRUE),--(calc!$BP$3:$BP$306=BP63))-1)/2,"")</f>
        <v/>
      </c>
      <c r="BU63" s="5">
        <f>IF(BN63,SUMPRODUCT(--(calc!$BN$3:$BN$306=TRUE),--(ROW(calc!$BN$3:$BN$306)&gt;ROW(BN63)),--(((calc!$BS$3:$BS$306&gt;BS63)*(calc!$BT$3:$BT$306&gt;BT63)+(calc!$BS$3:$BS$306&lt;BS63)*(calc!$BT$3:$BT$306&lt;BT63))&gt;0))-SUMPRODUCT(--(calc!$BN$3:$BN$306=TRUE),--(ROW(calc!$BN$3:$BN$306)&gt;ROW(BN63)),--(((calc!$BS$3:$BS$306&gt;BS63)*(calc!$BT$3:$BT$306&lt;BT63)+(calc!$BS$3:$BS$306&lt;BS63)*(calc!$BT$3:$BT$306&gt;BT63))&gt;0)),0)</f>
        <v/>
      </c>
    </row>
    <row r="64">
      <c r="A64" s="2">
        <f>mos_metrics!A63</f>
        <v/>
      </c>
      <c r="B64" s="2">
        <f>mos_metrics!B63</f>
        <v/>
      </c>
      <c r="C64" s="2">
        <f>mos_metrics!C63</f>
        <v/>
      </c>
      <c r="D64" s="2">
        <f>mos_metrics!D63</f>
        <v/>
      </c>
      <c r="E64" s="2">
        <f>mos_metrics!E63</f>
        <v/>
      </c>
      <c r="F64" s="2">
        <f>mos_metrics!F63</f>
        <v/>
      </c>
      <c r="G64" s="2">
        <f>IF($B64="","",IFERROR(VLOOKUP($B64,correlation!$A$2:$B$16,2,FALSE),1))</f>
        <v/>
      </c>
      <c r="H64" s="2">
        <f>IF($E64="","",IFERROR(VLOOKUP($E64,correlation!$D$2:$E$8,2,FALSE),1))</f>
        <v/>
      </c>
      <c r="I64" s="2">
        <f>ISNUMBER($F64)</f>
        <v/>
      </c>
      <c r="J64" s="2">
        <f>AND($G64=1,$H64=1,$I64)</f>
        <v/>
      </c>
      <c r="K64" s="5">
        <f>IF(mos_metrics!G63="","",mos_metrics!G63)</f>
        <v/>
      </c>
      <c r="L64" s="2">
        <f>AND($J64,ISNUMBER(K64),correlation!$I$26=1)</f>
        <v/>
      </c>
      <c r="M64" s="5">
        <f>IF(L64,$F64,"")</f>
        <v/>
      </c>
      <c r="N64" s="5">
        <f>IF(L64,K64*correlation!$J$26,"")</f>
        <v/>
      </c>
      <c r="O64" s="5">
        <f>IF(AND(L64,ISNUMBER(correlation!$F$26)),N64*correlation!$F$26+correlation!$G$26,"")</f>
        <v/>
      </c>
      <c r="P64" s="5">
        <f>IF(AND(L64,ISNUMBER(O64)),(M64-O64)^2,"")</f>
        <v/>
      </c>
      <c r="Q64" s="5">
        <f>IF(L64,1+SUMPRODUCT(--(calc!$L$3:$L$306=TRUE),--(calc!$M$3:$M$306&gt;M64))+(SUMPRODUCT(--(calc!$L$3:$L$306=TRUE),--(calc!$M$3:$M$306=M64))-1)/2,"")</f>
        <v/>
      </c>
      <c r="R64" s="5">
        <f>IF(L64,1+SUMPRODUCT(--(calc!$L$3:$L$306=TRUE),--(calc!$N$3:$N$306&gt;N64))+(SUMPRODUCT(--(calc!$L$3:$L$306=TRUE),--(calc!$N$3:$N$306=N64))-1)/2,"")</f>
        <v/>
      </c>
      <c r="S64" s="5">
        <f>IF(L64,SUMPRODUCT(--(calc!$L$3:$L$306=TRUE),--(ROW(calc!$L$3:$L$306)&gt;ROW(L64)),--(((calc!$Q$3:$Q$306&gt;Q64)*(calc!$R$3:$R$306&gt;R64)+(calc!$Q$3:$Q$306&lt;Q64)*(calc!$R$3:$R$306&lt;R64))&gt;0))-SUMPRODUCT(--(calc!$L$3:$L$306=TRUE),--(ROW(calc!$L$3:$L$306)&gt;ROW(L64)),--(((calc!$Q$3:$Q$306&gt;Q64)*(calc!$R$3:$R$306&lt;R64)+(calc!$Q$3:$Q$306&lt;Q64)*(calc!$R$3:$R$306&gt;R64))&gt;0)),0)</f>
        <v/>
      </c>
      <c r="T64" s="5">
        <f>IF(mos_metrics!H63="","",mos_metrics!H63)</f>
        <v/>
      </c>
      <c r="U64" s="2">
        <f>AND($J64,ISNUMBER(T64),correlation!$I$27=1)</f>
        <v/>
      </c>
      <c r="V64" s="5">
        <f>IF(U64,$F64,"")</f>
        <v/>
      </c>
      <c r="W64" s="5">
        <f>IF(U64,T64*correlation!$J$27,"")</f>
        <v/>
      </c>
      <c r="X64" s="5">
        <f>IF(AND(U64,ISNUMBER(correlation!$F$27)),W64*correlation!$F$27+correlation!$G$27,"")</f>
        <v/>
      </c>
      <c r="Y64" s="5">
        <f>IF(AND(U64,ISNUMBER(X64)),(V64-X64)^2,"")</f>
        <v/>
      </c>
      <c r="Z64" s="5">
        <f>IF(U64,1+SUMPRODUCT(--(calc!$U$3:$U$306=TRUE),--(calc!$V$3:$V$306&gt;V64))+(SUMPRODUCT(--(calc!$U$3:$U$306=TRUE),--(calc!$V$3:$V$306=V64))-1)/2,"")</f>
        <v/>
      </c>
      <c r="AA64" s="5">
        <f>IF(U64,1+SUMPRODUCT(--(calc!$U$3:$U$306=TRUE),--(calc!$W$3:$W$306&gt;W64))+(SUMPRODUCT(--(calc!$U$3:$U$306=TRUE),--(calc!$W$3:$W$306=W64))-1)/2,"")</f>
        <v/>
      </c>
      <c r="AB64" s="5">
        <f>IF(U64,SUMPRODUCT(--(calc!$U$3:$U$306=TRUE),--(ROW(calc!$U$3:$U$306)&gt;ROW(U64)),--(((calc!$Z$3:$Z$306&gt;Z64)*(calc!$AA$3:$AA$306&gt;AA64)+(calc!$Z$3:$Z$306&lt;Z64)*(calc!$AA$3:$AA$306&lt;AA64))&gt;0))-SUMPRODUCT(--(calc!$U$3:$U$306=TRUE),--(ROW(calc!$U$3:$U$306)&gt;ROW(U64)),--(((calc!$Z$3:$Z$306&gt;Z64)*(calc!$AA$3:$AA$306&lt;AA64)+(calc!$Z$3:$Z$306&lt;Z64)*(calc!$AA$3:$AA$306&gt;AA64))&gt;0)),0)</f>
        <v/>
      </c>
      <c r="AC64" s="5">
        <f>IF(mos_metrics!I63="","",mos_metrics!I63)</f>
        <v/>
      </c>
      <c r="AD64" s="2">
        <f>AND($J64,ISNUMBER(AC64),correlation!$I$28=1)</f>
        <v/>
      </c>
      <c r="AE64" s="5">
        <f>IF(AD64,$F64,"")</f>
        <v/>
      </c>
      <c r="AF64" s="5">
        <f>IF(AD64,AC64*correlation!$J$28,"")</f>
        <v/>
      </c>
      <c r="AG64" s="5">
        <f>IF(AND(AD64,ISNUMBER(correlation!$F$28)),AF64*correlation!$F$28+correlation!$G$28,"")</f>
        <v/>
      </c>
      <c r="AH64" s="5">
        <f>IF(AND(AD64,ISNUMBER(AG64)),(AE64-AG64)^2,"")</f>
        <v/>
      </c>
      <c r="AI64" s="5">
        <f>IF(AD64,1+SUMPRODUCT(--(calc!$AD$3:$AD$306=TRUE),--(calc!$AE$3:$AE$306&gt;AE64))+(SUMPRODUCT(--(calc!$AD$3:$AD$306=TRUE),--(calc!$AE$3:$AE$306=AE64))-1)/2,"")</f>
        <v/>
      </c>
      <c r="AJ64" s="5">
        <f>IF(AD64,1+SUMPRODUCT(--(calc!$AD$3:$AD$306=TRUE),--(calc!$AF$3:$AF$306&gt;AF64))+(SUMPRODUCT(--(calc!$AD$3:$AD$306=TRUE),--(calc!$AF$3:$AF$306=AF64))-1)/2,"")</f>
        <v/>
      </c>
      <c r="AK64" s="5">
        <f>IF(AD64,SUMPRODUCT(--(calc!$AD$3:$AD$306=TRUE),--(ROW(calc!$AD$3:$AD$306)&gt;ROW(AD64)),--(((calc!$AI$3:$AI$306&gt;AI64)*(calc!$AJ$3:$AJ$306&gt;AJ64)+(calc!$AI$3:$AI$306&lt;AI64)*(calc!$AJ$3:$AJ$306&lt;AJ64))&gt;0))-SUMPRODUCT(--(calc!$AD$3:$AD$306=TRUE),--(ROW(calc!$AD$3:$AD$306)&gt;ROW(AD64)),--(((calc!$AI$3:$AI$306&gt;AI64)*(calc!$AJ$3:$AJ$306&lt;AJ64)+(calc!$AI$3:$AI$306&lt;AI64)*(calc!$AJ$3:$AJ$306&gt;AJ64))&gt;0)),0)</f>
        <v/>
      </c>
      <c r="AL64" s="5">
        <f>IF(mos_metrics!J63="","",mos_metrics!J63)</f>
        <v/>
      </c>
      <c r="AM64" s="2">
        <f>AND($J64,ISNUMBER(AL64),correlation!$I$29=1)</f>
        <v/>
      </c>
      <c r="AN64" s="5">
        <f>IF(AM64,$F64,"")</f>
        <v/>
      </c>
      <c r="AO64" s="5">
        <f>IF(AM64,AL64*correlation!$J$29,"")</f>
        <v/>
      </c>
      <c r="AP64" s="5">
        <f>IF(AND(AM64,ISNUMBER(correlation!$F$29)),AO64*correlation!$F$29+correlation!$G$29,"")</f>
        <v/>
      </c>
      <c r="AQ64" s="5">
        <f>IF(AND(AM64,ISNUMBER(AP64)),(AN64-AP64)^2,"")</f>
        <v/>
      </c>
      <c r="AR64" s="5">
        <f>IF(AM64,1+SUMPRODUCT(--(calc!$AM$3:$AM$306=TRUE),--(calc!$AN$3:$AN$306&gt;AN64))+(SUMPRODUCT(--(calc!$AM$3:$AM$306=TRUE),--(calc!$AN$3:$AN$306=AN64))-1)/2,"")</f>
        <v/>
      </c>
      <c r="AS64" s="5">
        <f>IF(AM64,1+SUMPRODUCT(--(calc!$AM$3:$AM$306=TRUE),--(calc!$AO$3:$AO$306&gt;AO64))+(SUMPRODUCT(--(calc!$AM$3:$AM$306=TRUE),--(calc!$AO$3:$AO$306=AO64))-1)/2,"")</f>
        <v/>
      </c>
      <c r="AT64" s="5">
        <f>IF(AM64,SUMPRODUCT(--(calc!$AM$3:$AM$306=TRUE),--(ROW(calc!$AM$3:$AM$306)&gt;ROW(AM64)),--(((calc!$AR$3:$AR$306&gt;AR64)*(calc!$AS$3:$AS$306&gt;AS64)+(calc!$AR$3:$AR$306&lt;AR64)*(calc!$AS$3:$AS$306&lt;AS64))&gt;0))-SUMPRODUCT(--(calc!$AM$3:$AM$306=TRUE),--(ROW(calc!$AM$3:$AM$306)&gt;ROW(AM64)),--(((calc!$AR$3:$AR$306&gt;AR64)*(calc!$AS$3:$AS$306&lt;AS64)+(calc!$AR$3:$AR$306&lt;AR64)*(calc!$AS$3:$AS$306&gt;AS64))&gt;0)),0)</f>
        <v/>
      </c>
      <c r="AU64" s="5">
        <f>IF(mos_metrics!K63="","",mos_metrics!K63)</f>
        <v/>
      </c>
      <c r="AV64" s="2">
        <f>AND($J64,ISNUMBER(AU64),correlation!$I$30=1)</f>
        <v/>
      </c>
      <c r="AW64" s="5">
        <f>IF(AV64,$F64,"")</f>
        <v/>
      </c>
      <c r="AX64" s="5">
        <f>IF(AV64,AU64*correlation!$J$30,"")</f>
        <v/>
      </c>
      <c r="AY64" s="5">
        <f>IF(AND(AV64,ISNUMBER(correlation!$F$30)),AX64*correlation!$F$30+correlation!$G$30,"")</f>
        <v/>
      </c>
      <c r="AZ64" s="5">
        <f>IF(AND(AV64,ISNUMBER(AY64)),(AW64-AY64)^2,"")</f>
        <v/>
      </c>
      <c r="BA64" s="5">
        <f>IF(AV64,1+SUMPRODUCT(--(calc!$AV$3:$AV$306=TRUE),--(calc!$AW$3:$AW$306&gt;AW64))+(SUMPRODUCT(--(calc!$AV$3:$AV$306=TRUE),--(calc!$AW$3:$AW$306=AW64))-1)/2,"")</f>
        <v/>
      </c>
      <c r="BB64" s="5">
        <f>IF(AV64,1+SUMPRODUCT(--(calc!$AV$3:$AV$306=TRUE),--(calc!$AX$3:$AX$306&gt;AX64))+(SUMPRODUCT(--(calc!$AV$3:$AV$306=TRUE),--(calc!$AX$3:$AX$306=AX64))-1)/2,"")</f>
        <v/>
      </c>
      <c r="BC64" s="5">
        <f>IF(AV64,SUMPRODUCT(--(calc!$AV$3:$AV$306=TRUE),--(ROW(calc!$AV$3:$AV$306)&gt;ROW(AV64)),--(((calc!$BA$3:$BA$306&gt;BA64)*(calc!$BB$3:$BB$306&gt;BB64)+(calc!$BA$3:$BA$306&lt;BA64)*(calc!$BB$3:$BB$306&lt;BB64))&gt;0))-SUMPRODUCT(--(calc!$AV$3:$AV$306=TRUE),--(ROW(calc!$AV$3:$AV$306)&gt;ROW(AV64)),--(((calc!$BA$3:$BA$306&gt;BA64)*(calc!$BB$3:$BB$306&lt;BB64)+(calc!$BA$3:$BA$306&lt;BA64)*(calc!$BB$3:$BB$306&gt;BB64))&gt;0)),0)</f>
        <v/>
      </c>
      <c r="BD64" s="5">
        <f>IF(mos_metrics!L63="","",mos_metrics!L63)</f>
        <v/>
      </c>
      <c r="BE64" s="2">
        <f>AND($J64,ISNUMBER(BD64),correlation!$I$31=1)</f>
        <v/>
      </c>
      <c r="BF64" s="5">
        <f>IF(BE64,$F64,"")</f>
        <v/>
      </c>
      <c r="BG64" s="5">
        <f>IF(BE64,BD64*correlation!$J$31,"")</f>
        <v/>
      </c>
      <c r="BH64" s="5">
        <f>IF(AND(BE64,ISNUMBER(correlation!$F$31)),BG64*correlation!$F$31+correlation!$G$31,"")</f>
        <v/>
      </c>
      <c r="BI64" s="5">
        <f>IF(AND(BE64,ISNUMBER(BH64)),(BF64-BH64)^2,"")</f>
        <v/>
      </c>
      <c r="BJ64" s="5">
        <f>IF(BE64,1+SUMPRODUCT(--(calc!$BE$3:$BE$306=TRUE),--(calc!$BF$3:$BF$306&gt;BF64))+(SUMPRODUCT(--(calc!$BE$3:$BE$306=TRUE),--(calc!$BF$3:$BF$306=BF64))-1)/2,"")</f>
        <v/>
      </c>
      <c r="BK64" s="5">
        <f>IF(BE64,1+SUMPRODUCT(--(calc!$BE$3:$BE$306=TRUE),--(calc!$BG$3:$BG$306&gt;BG64))+(SUMPRODUCT(--(calc!$BE$3:$BE$306=TRUE),--(calc!$BG$3:$BG$306=BG64))-1)/2,"")</f>
        <v/>
      </c>
      <c r="BL64" s="5">
        <f>IF(BE64,SUMPRODUCT(--(calc!$BE$3:$BE$306=TRUE),--(ROW(calc!$BE$3:$BE$306)&gt;ROW(BE64)),--(((calc!$BJ$3:$BJ$306&gt;BJ64)*(calc!$BK$3:$BK$306&gt;BK64)+(calc!$BJ$3:$BJ$306&lt;BJ64)*(calc!$BK$3:$BK$306&lt;BK64))&gt;0))-SUMPRODUCT(--(calc!$BE$3:$BE$306=TRUE),--(ROW(calc!$BE$3:$BE$306)&gt;ROW(BE64)),--(((calc!$BJ$3:$BJ$306&gt;BJ64)*(calc!$BK$3:$BK$306&lt;BK64)+(calc!$BJ$3:$BJ$306&lt;BJ64)*(calc!$BK$3:$BK$306&gt;BK64))&gt;0)),0)</f>
        <v/>
      </c>
      <c r="BM64" s="5">
        <f>IF(mos_metrics!M63="","",mos_metrics!M63)</f>
        <v/>
      </c>
      <c r="BN64" s="2">
        <f>AND($J64,ISNUMBER(BM64),correlation!$I$32=1)</f>
        <v/>
      </c>
      <c r="BO64" s="5">
        <f>IF(BN64,$F64,"")</f>
        <v/>
      </c>
      <c r="BP64" s="5">
        <f>IF(BN64,BM64*correlation!$J$32,"")</f>
        <v/>
      </c>
      <c r="BQ64" s="5">
        <f>IF(AND(BN64,ISNUMBER(correlation!$F$32)),BP64*correlation!$F$32+correlation!$G$32,"")</f>
        <v/>
      </c>
      <c r="BR64" s="5">
        <f>IF(AND(BN64,ISNUMBER(BQ64)),(BO64-BQ64)^2,"")</f>
        <v/>
      </c>
      <c r="BS64" s="5">
        <f>IF(BN64,1+SUMPRODUCT(--(calc!$BN$3:$BN$306=TRUE),--(calc!$BO$3:$BO$306&gt;BO64))+(SUMPRODUCT(--(calc!$BN$3:$BN$306=TRUE),--(calc!$BO$3:$BO$306=BO64))-1)/2,"")</f>
        <v/>
      </c>
      <c r="BT64" s="5">
        <f>IF(BN64,1+SUMPRODUCT(--(calc!$BN$3:$BN$306=TRUE),--(calc!$BP$3:$BP$306&gt;BP64))+(SUMPRODUCT(--(calc!$BN$3:$BN$306=TRUE),--(calc!$BP$3:$BP$306=BP64))-1)/2,"")</f>
        <v/>
      </c>
      <c r="BU64" s="5">
        <f>IF(BN64,SUMPRODUCT(--(calc!$BN$3:$BN$306=TRUE),--(ROW(calc!$BN$3:$BN$306)&gt;ROW(BN64)),--(((calc!$BS$3:$BS$306&gt;BS64)*(calc!$BT$3:$BT$306&gt;BT64)+(calc!$BS$3:$BS$306&lt;BS64)*(calc!$BT$3:$BT$306&lt;BT64))&gt;0))-SUMPRODUCT(--(calc!$BN$3:$BN$306=TRUE),--(ROW(calc!$BN$3:$BN$306)&gt;ROW(BN64)),--(((calc!$BS$3:$BS$306&gt;BS64)*(calc!$BT$3:$BT$306&lt;BT64)+(calc!$BS$3:$BS$306&lt;BS64)*(calc!$BT$3:$BT$306&gt;BT64))&gt;0)),0)</f>
        <v/>
      </c>
    </row>
    <row r="65">
      <c r="A65" s="2">
        <f>mos_metrics!A64</f>
        <v/>
      </c>
      <c r="B65" s="2">
        <f>mos_metrics!B64</f>
        <v/>
      </c>
      <c r="C65" s="2">
        <f>mos_metrics!C64</f>
        <v/>
      </c>
      <c r="D65" s="2">
        <f>mos_metrics!D64</f>
        <v/>
      </c>
      <c r="E65" s="2">
        <f>mos_metrics!E64</f>
        <v/>
      </c>
      <c r="F65" s="2">
        <f>mos_metrics!F64</f>
        <v/>
      </c>
      <c r="G65" s="2">
        <f>IF($B65="","",IFERROR(VLOOKUP($B65,correlation!$A$2:$B$16,2,FALSE),1))</f>
        <v/>
      </c>
      <c r="H65" s="2">
        <f>IF($E65="","",IFERROR(VLOOKUP($E65,correlation!$D$2:$E$8,2,FALSE),1))</f>
        <v/>
      </c>
      <c r="I65" s="2">
        <f>ISNUMBER($F65)</f>
        <v/>
      </c>
      <c r="J65" s="2">
        <f>AND($G65=1,$H65=1,$I65)</f>
        <v/>
      </c>
      <c r="K65" s="5">
        <f>IF(mos_metrics!G64="","",mos_metrics!G64)</f>
        <v/>
      </c>
      <c r="L65" s="2">
        <f>AND($J65,ISNUMBER(K65),correlation!$I$26=1)</f>
        <v/>
      </c>
      <c r="M65" s="5">
        <f>IF(L65,$F65,"")</f>
        <v/>
      </c>
      <c r="N65" s="5">
        <f>IF(L65,K65*correlation!$J$26,"")</f>
        <v/>
      </c>
      <c r="O65" s="5">
        <f>IF(AND(L65,ISNUMBER(correlation!$F$26)),N65*correlation!$F$26+correlation!$G$26,"")</f>
        <v/>
      </c>
      <c r="P65" s="5">
        <f>IF(AND(L65,ISNUMBER(O65)),(M65-O65)^2,"")</f>
        <v/>
      </c>
      <c r="Q65" s="5">
        <f>IF(L65,1+SUMPRODUCT(--(calc!$L$3:$L$306=TRUE),--(calc!$M$3:$M$306&gt;M65))+(SUMPRODUCT(--(calc!$L$3:$L$306=TRUE),--(calc!$M$3:$M$306=M65))-1)/2,"")</f>
        <v/>
      </c>
      <c r="R65" s="5">
        <f>IF(L65,1+SUMPRODUCT(--(calc!$L$3:$L$306=TRUE),--(calc!$N$3:$N$306&gt;N65))+(SUMPRODUCT(--(calc!$L$3:$L$306=TRUE),--(calc!$N$3:$N$306=N65))-1)/2,"")</f>
        <v/>
      </c>
      <c r="S65" s="5">
        <f>IF(L65,SUMPRODUCT(--(calc!$L$3:$L$306=TRUE),--(ROW(calc!$L$3:$L$306)&gt;ROW(L65)),--(((calc!$Q$3:$Q$306&gt;Q65)*(calc!$R$3:$R$306&gt;R65)+(calc!$Q$3:$Q$306&lt;Q65)*(calc!$R$3:$R$306&lt;R65))&gt;0))-SUMPRODUCT(--(calc!$L$3:$L$306=TRUE),--(ROW(calc!$L$3:$L$306)&gt;ROW(L65)),--(((calc!$Q$3:$Q$306&gt;Q65)*(calc!$R$3:$R$306&lt;R65)+(calc!$Q$3:$Q$306&lt;Q65)*(calc!$R$3:$R$306&gt;R65))&gt;0)),0)</f>
        <v/>
      </c>
      <c r="T65" s="5">
        <f>IF(mos_metrics!H64="","",mos_metrics!H64)</f>
        <v/>
      </c>
      <c r="U65" s="2">
        <f>AND($J65,ISNUMBER(T65),correlation!$I$27=1)</f>
        <v/>
      </c>
      <c r="V65" s="5">
        <f>IF(U65,$F65,"")</f>
        <v/>
      </c>
      <c r="W65" s="5">
        <f>IF(U65,T65*correlation!$J$27,"")</f>
        <v/>
      </c>
      <c r="X65" s="5">
        <f>IF(AND(U65,ISNUMBER(correlation!$F$27)),W65*correlation!$F$27+correlation!$G$27,"")</f>
        <v/>
      </c>
      <c r="Y65" s="5">
        <f>IF(AND(U65,ISNUMBER(X65)),(V65-X65)^2,"")</f>
        <v/>
      </c>
      <c r="Z65" s="5">
        <f>IF(U65,1+SUMPRODUCT(--(calc!$U$3:$U$306=TRUE),--(calc!$V$3:$V$306&gt;V65))+(SUMPRODUCT(--(calc!$U$3:$U$306=TRUE),--(calc!$V$3:$V$306=V65))-1)/2,"")</f>
        <v/>
      </c>
      <c r="AA65" s="5">
        <f>IF(U65,1+SUMPRODUCT(--(calc!$U$3:$U$306=TRUE),--(calc!$W$3:$W$306&gt;W65))+(SUMPRODUCT(--(calc!$U$3:$U$306=TRUE),--(calc!$W$3:$W$306=W65))-1)/2,"")</f>
        <v/>
      </c>
      <c r="AB65" s="5">
        <f>IF(U65,SUMPRODUCT(--(calc!$U$3:$U$306=TRUE),--(ROW(calc!$U$3:$U$306)&gt;ROW(U65)),--(((calc!$Z$3:$Z$306&gt;Z65)*(calc!$AA$3:$AA$306&gt;AA65)+(calc!$Z$3:$Z$306&lt;Z65)*(calc!$AA$3:$AA$306&lt;AA65))&gt;0))-SUMPRODUCT(--(calc!$U$3:$U$306=TRUE),--(ROW(calc!$U$3:$U$306)&gt;ROW(U65)),--(((calc!$Z$3:$Z$306&gt;Z65)*(calc!$AA$3:$AA$306&lt;AA65)+(calc!$Z$3:$Z$306&lt;Z65)*(calc!$AA$3:$AA$306&gt;AA65))&gt;0)),0)</f>
        <v/>
      </c>
      <c r="AC65" s="5">
        <f>IF(mos_metrics!I64="","",mos_metrics!I64)</f>
        <v/>
      </c>
      <c r="AD65" s="2">
        <f>AND($J65,ISNUMBER(AC65),correlation!$I$28=1)</f>
        <v/>
      </c>
      <c r="AE65" s="5">
        <f>IF(AD65,$F65,"")</f>
        <v/>
      </c>
      <c r="AF65" s="5">
        <f>IF(AD65,AC65*correlation!$J$28,"")</f>
        <v/>
      </c>
      <c r="AG65" s="5">
        <f>IF(AND(AD65,ISNUMBER(correlation!$F$28)),AF65*correlation!$F$28+correlation!$G$28,"")</f>
        <v/>
      </c>
      <c r="AH65" s="5">
        <f>IF(AND(AD65,ISNUMBER(AG65)),(AE65-AG65)^2,"")</f>
        <v/>
      </c>
      <c r="AI65" s="5">
        <f>IF(AD65,1+SUMPRODUCT(--(calc!$AD$3:$AD$306=TRUE),--(calc!$AE$3:$AE$306&gt;AE65))+(SUMPRODUCT(--(calc!$AD$3:$AD$306=TRUE),--(calc!$AE$3:$AE$306=AE65))-1)/2,"")</f>
        <v/>
      </c>
      <c r="AJ65" s="5">
        <f>IF(AD65,1+SUMPRODUCT(--(calc!$AD$3:$AD$306=TRUE),--(calc!$AF$3:$AF$306&gt;AF65))+(SUMPRODUCT(--(calc!$AD$3:$AD$306=TRUE),--(calc!$AF$3:$AF$306=AF65))-1)/2,"")</f>
        <v/>
      </c>
      <c r="AK65" s="5">
        <f>IF(AD65,SUMPRODUCT(--(calc!$AD$3:$AD$306=TRUE),--(ROW(calc!$AD$3:$AD$306)&gt;ROW(AD65)),--(((calc!$AI$3:$AI$306&gt;AI65)*(calc!$AJ$3:$AJ$306&gt;AJ65)+(calc!$AI$3:$AI$306&lt;AI65)*(calc!$AJ$3:$AJ$306&lt;AJ65))&gt;0))-SUMPRODUCT(--(calc!$AD$3:$AD$306=TRUE),--(ROW(calc!$AD$3:$AD$306)&gt;ROW(AD65)),--(((calc!$AI$3:$AI$306&gt;AI65)*(calc!$AJ$3:$AJ$306&lt;AJ65)+(calc!$AI$3:$AI$306&lt;AI65)*(calc!$AJ$3:$AJ$306&gt;AJ65))&gt;0)),0)</f>
        <v/>
      </c>
      <c r="AL65" s="5">
        <f>IF(mos_metrics!J64="","",mos_metrics!J64)</f>
        <v/>
      </c>
      <c r="AM65" s="2">
        <f>AND($J65,ISNUMBER(AL65),correlation!$I$29=1)</f>
        <v/>
      </c>
      <c r="AN65" s="5">
        <f>IF(AM65,$F65,"")</f>
        <v/>
      </c>
      <c r="AO65" s="5">
        <f>IF(AM65,AL65*correlation!$J$29,"")</f>
        <v/>
      </c>
      <c r="AP65" s="5">
        <f>IF(AND(AM65,ISNUMBER(correlation!$F$29)),AO65*correlation!$F$29+correlation!$G$29,"")</f>
        <v/>
      </c>
      <c r="AQ65" s="5">
        <f>IF(AND(AM65,ISNUMBER(AP65)),(AN65-AP65)^2,"")</f>
        <v/>
      </c>
      <c r="AR65" s="5">
        <f>IF(AM65,1+SUMPRODUCT(--(calc!$AM$3:$AM$306=TRUE),--(calc!$AN$3:$AN$306&gt;AN65))+(SUMPRODUCT(--(calc!$AM$3:$AM$306=TRUE),--(calc!$AN$3:$AN$306=AN65))-1)/2,"")</f>
        <v/>
      </c>
      <c r="AS65" s="5">
        <f>IF(AM65,1+SUMPRODUCT(--(calc!$AM$3:$AM$306=TRUE),--(calc!$AO$3:$AO$306&gt;AO65))+(SUMPRODUCT(--(calc!$AM$3:$AM$306=TRUE),--(calc!$AO$3:$AO$306=AO65))-1)/2,"")</f>
        <v/>
      </c>
      <c r="AT65" s="5">
        <f>IF(AM65,SUMPRODUCT(--(calc!$AM$3:$AM$306=TRUE),--(ROW(calc!$AM$3:$AM$306)&gt;ROW(AM65)),--(((calc!$AR$3:$AR$306&gt;AR65)*(calc!$AS$3:$AS$306&gt;AS65)+(calc!$AR$3:$AR$306&lt;AR65)*(calc!$AS$3:$AS$306&lt;AS65))&gt;0))-SUMPRODUCT(--(calc!$AM$3:$AM$306=TRUE),--(ROW(calc!$AM$3:$AM$306)&gt;ROW(AM65)),--(((calc!$AR$3:$AR$306&gt;AR65)*(calc!$AS$3:$AS$306&lt;AS65)+(calc!$AR$3:$AR$306&lt;AR65)*(calc!$AS$3:$AS$306&gt;AS65))&gt;0)),0)</f>
        <v/>
      </c>
      <c r="AU65" s="5">
        <f>IF(mos_metrics!K64="","",mos_metrics!K64)</f>
        <v/>
      </c>
      <c r="AV65" s="2">
        <f>AND($J65,ISNUMBER(AU65),correlation!$I$30=1)</f>
        <v/>
      </c>
      <c r="AW65" s="5">
        <f>IF(AV65,$F65,"")</f>
        <v/>
      </c>
      <c r="AX65" s="5">
        <f>IF(AV65,AU65*correlation!$J$30,"")</f>
        <v/>
      </c>
      <c r="AY65" s="5">
        <f>IF(AND(AV65,ISNUMBER(correlation!$F$30)),AX65*correlation!$F$30+correlation!$G$30,"")</f>
        <v/>
      </c>
      <c r="AZ65" s="5">
        <f>IF(AND(AV65,ISNUMBER(AY65)),(AW65-AY65)^2,"")</f>
        <v/>
      </c>
      <c r="BA65" s="5">
        <f>IF(AV65,1+SUMPRODUCT(--(calc!$AV$3:$AV$306=TRUE),--(calc!$AW$3:$AW$306&gt;AW65))+(SUMPRODUCT(--(calc!$AV$3:$AV$306=TRUE),--(calc!$AW$3:$AW$306=AW65))-1)/2,"")</f>
        <v/>
      </c>
      <c r="BB65" s="5">
        <f>IF(AV65,1+SUMPRODUCT(--(calc!$AV$3:$AV$306=TRUE),--(calc!$AX$3:$AX$306&gt;AX65))+(SUMPRODUCT(--(calc!$AV$3:$AV$306=TRUE),--(calc!$AX$3:$AX$306=AX65))-1)/2,"")</f>
        <v/>
      </c>
      <c r="BC65" s="5">
        <f>IF(AV65,SUMPRODUCT(--(calc!$AV$3:$AV$306=TRUE),--(ROW(calc!$AV$3:$AV$306)&gt;ROW(AV65)),--(((calc!$BA$3:$BA$306&gt;BA65)*(calc!$BB$3:$BB$306&gt;BB65)+(calc!$BA$3:$BA$306&lt;BA65)*(calc!$BB$3:$BB$306&lt;BB65))&gt;0))-SUMPRODUCT(--(calc!$AV$3:$AV$306=TRUE),--(ROW(calc!$AV$3:$AV$306)&gt;ROW(AV65)),--(((calc!$BA$3:$BA$306&gt;BA65)*(calc!$BB$3:$BB$306&lt;BB65)+(calc!$BA$3:$BA$306&lt;BA65)*(calc!$BB$3:$BB$306&gt;BB65))&gt;0)),0)</f>
        <v/>
      </c>
      <c r="BD65" s="5">
        <f>IF(mos_metrics!L64="","",mos_metrics!L64)</f>
        <v/>
      </c>
      <c r="BE65" s="2">
        <f>AND($J65,ISNUMBER(BD65),correlation!$I$31=1)</f>
        <v/>
      </c>
      <c r="BF65" s="5">
        <f>IF(BE65,$F65,"")</f>
        <v/>
      </c>
      <c r="BG65" s="5">
        <f>IF(BE65,BD65*correlation!$J$31,"")</f>
        <v/>
      </c>
      <c r="BH65" s="5">
        <f>IF(AND(BE65,ISNUMBER(correlation!$F$31)),BG65*correlation!$F$31+correlation!$G$31,"")</f>
        <v/>
      </c>
      <c r="BI65" s="5">
        <f>IF(AND(BE65,ISNUMBER(BH65)),(BF65-BH65)^2,"")</f>
        <v/>
      </c>
      <c r="BJ65" s="5">
        <f>IF(BE65,1+SUMPRODUCT(--(calc!$BE$3:$BE$306=TRUE),--(calc!$BF$3:$BF$306&gt;BF65))+(SUMPRODUCT(--(calc!$BE$3:$BE$306=TRUE),--(calc!$BF$3:$BF$306=BF65))-1)/2,"")</f>
        <v/>
      </c>
      <c r="BK65" s="5">
        <f>IF(BE65,1+SUMPRODUCT(--(calc!$BE$3:$BE$306=TRUE),--(calc!$BG$3:$BG$306&gt;BG65))+(SUMPRODUCT(--(calc!$BE$3:$BE$306=TRUE),--(calc!$BG$3:$BG$306=BG65))-1)/2,"")</f>
        <v/>
      </c>
      <c r="BL65" s="5">
        <f>IF(BE65,SUMPRODUCT(--(calc!$BE$3:$BE$306=TRUE),--(ROW(calc!$BE$3:$BE$306)&gt;ROW(BE65)),--(((calc!$BJ$3:$BJ$306&gt;BJ65)*(calc!$BK$3:$BK$306&gt;BK65)+(calc!$BJ$3:$BJ$306&lt;BJ65)*(calc!$BK$3:$BK$306&lt;BK65))&gt;0))-SUMPRODUCT(--(calc!$BE$3:$BE$306=TRUE),--(ROW(calc!$BE$3:$BE$306)&gt;ROW(BE65)),--(((calc!$BJ$3:$BJ$306&gt;BJ65)*(calc!$BK$3:$BK$306&lt;BK65)+(calc!$BJ$3:$BJ$306&lt;BJ65)*(calc!$BK$3:$BK$306&gt;BK65))&gt;0)),0)</f>
        <v/>
      </c>
      <c r="BM65" s="5">
        <f>IF(mos_metrics!M64="","",mos_metrics!M64)</f>
        <v/>
      </c>
      <c r="BN65" s="2">
        <f>AND($J65,ISNUMBER(BM65),correlation!$I$32=1)</f>
        <v/>
      </c>
      <c r="BO65" s="5">
        <f>IF(BN65,$F65,"")</f>
        <v/>
      </c>
      <c r="BP65" s="5">
        <f>IF(BN65,BM65*correlation!$J$32,"")</f>
        <v/>
      </c>
      <c r="BQ65" s="5">
        <f>IF(AND(BN65,ISNUMBER(correlation!$F$32)),BP65*correlation!$F$32+correlation!$G$32,"")</f>
        <v/>
      </c>
      <c r="BR65" s="5">
        <f>IF(AND(BN65,ISNUMBER(BQ65)),(BO65-BQ65)^2,"")</f>
        <v/>
      </c>
      <c r="BS65" s="5">
        <f>IF(BN65,1+SUMPRODUCT(--(calc!$BN$3:$BN$306=TRUE),--(calc!$BO$3:$BO$306&gt;BO65))+(SUMPRODUCT(--(calc!$BN$3:$BN$306=TRUE),--(calc!$BO$3:$BO$306=BO65))-1)/2,"")</f>
        <v/>
      </c>
      <c r="BT65" s="5">
        <f>IF(BN65,1+SUMPRODUCT(--(calc!$BN$3:$BN$306=TRUE),--(calc!$BP$3:$BP$306&gt;BP65))+(SUMPRODUCT(--(calc!$BN$3:$BN$306=TRUE),--(calc!$BP$3:$BP$306=BP65))-1)/2,"")</f>
        <v/>
      </c>
      <c r="BU65" s="5">
        <f>IF(BN65,SUMPRODUCT(--(calc!$BN$3:$BN$306=TRUE),--(ROW(calc!$BN$3:$BN$306)&gt;ROW(BN65)),--(((calc!$BS$3:$BS$306&gt;BS65)*(calc!$BT$3:$BT$306&gt;BT65)+(calc!$BS$3:$BS$306&lt;BS65)*(calc!$BT$3:$BT$306&lt;BT65))&gt;0))-SUMPRODUCT(--(calc!$BN$3:$BN$306=TRUE),--(ROW(calc!$BN$3:$BN$306)&gt;ROW(BN65)),--(((calc!$BS$3:$BS$306&gt;BS65)*(calc!$BT$3:$BT$306&lt;BT65)+(calc!$BS$3:$BS$306&lt;BS65)*(calc!$BT$3:$BT$306&gt;BT65))&gt;0)),0)</f>
        <v/>
      </c>
    </row>
    <row r="66">
      <c r="A66" s="2">
        <f>mos_metrics!A65</f>
        <v/>
      </c>
      <c r="B66" s="2">
        <f>mos_metrics!B65</f>
        <v/>
      </c>
      <c r="C66" s="2">
        <f>mos_metrics!C65</f>
        <v/>
      </c>
      <c r="D66" s="2">
        <f>mos_metrics!D65</f>
        <v/>
      </c>
      <c r="E66" s="2">
        <f>mos_metrics!E65</f>
        <v/>
      </c>
      <c r="F66" s="2">
        <f>mos_metrics!F65</f>
        <v/>
      </c>
      <c r="G66" s="2">
        <f>IF($B66="","",IFERROR(VLOOKUP($B66,correlation!$A$2:$B$16,2,FALSE),1))</f>
        <v/>
      </c>
      <c r="H66" s="2">
        <f>IF($E66="","",IFERROR(VLOOKUP($E66,correlation!$D$2:$E$8,2,FALSE),1))</f>
        <v/>
      </c>
      <c r="I66" s="2">
        <f>ISNUMBER($F66)</f>
        <v/>
      </c>
      <c r="J66" s="2">
        <f>AND($G66=1,$H66=1,$I66)</f>
        <v/>
      </c>
      <c r="K66" s="5">
        <f>IF(mos_metrics!G65="","",mos_metrics!G65)</f>
        <v/>
      </c>
      <c r="L66" s="2">
        <f>AND($J66,ISNUMBER(K66),correlation!$I$26=1)</f>
        <v/>
      </c>
      <c r="M66" s="5">
        <f>IF(L66,$F66,"")</f>
        <v/>
      </c>
      <c r="N66" s="5">
        <f>IF(L66,K66*correlation!$J$26,"")</f>
        <v/>
      </c>
      <c r="O66" s="5">
        <f>IF(AND(L66,ISNUMBER(correlation!$F$26)),N66*correlation!$F$26+correlation!$G$26,"")</f>
        <v/>
      </c>
      <c r="P66" s="5">
        <f>IF(AND(L66,ISNUMBER(O66)),(M66-O66)^2,"")</f>
        <v/>
      </c>
      <c r="Q66" s="5">
        <f>IF(L66,1+SUMPRODUCT(--(calc!$L$3:$L$306=TRUE),--(calc!$M$3:$M$306&gt;M66))+(SUMPRODUCT(--(calc!$L$3:$L$306=TRUE),--(calc!$M$3:$M$306=M66))-1)/2,"")</f>
        <v/>
      </c>
      <c r="R66" s="5">
        <f>IF(L66,1+SUMPRODUCT(--(calc!$L$3:$L$306=TRUE),--(calc!$N$3:$N$306&gt;N66))+(SUMPRODUCT(--(calc!$L$3:$L$306=TRUE),--(calc!$N$3:$N$306=N66))-1)/2,"")</f>
        <v/>
      </c>
      <c r="S66" s="5">
        <f>IF(L66,SUMPRODUCT(--(calc!$L$3:$L$306=TRUE),--(ROW(calc!$L$3:$L$306)&gt;ROW(L66)),--(((calc!$Q$3:$Q$306&gt;Q66)*(calc!$R$3:$R$306&gt;R66)+(calc!$Q$3:$Q$306&lt;Q66)*(calc!$R$3:$R$306&lt;R66))&gt;0))-SUMPRODUCT(--(calc!$L$3:$L$306=TRUE),--(ROW(calc!$L$3:$L$306)&gt;ROW(L66)),--(((calc!$Q$3:$Q$306&gt;Q66)*(calc!$R$3:$R$306&lt;R66)+(calc!$Q$3:$Q$306&lt;Q66)*(calc!$R$3:$R$306&gt;R66))&gt;0)),0)</f>
        <v/>
      </c>
      <c r="T66" s="5">
        <f>IF(mos_metrics!H65="","",mos_metrics!H65)</f>
        <v/>
      </c>
      <c r="U66" s="2">
        <f>AND($J66,ISNUMBER(T66),correlation!$I$27=1)</f>
        <v/>
      </c>
      <c r="V66" s="5">
        <f>IF(U66,$F66,"")</f>
        <v/>
      </c>
      <c r="W66" s="5">
        <f>IF(U66,T66*correlation!$J$27,"")</f>
        <v/>
      </c>
      <c r="X66" s="5">
        <f>IF(AND(U66,ISNUMBER(correlation!$F$27)),W66*correlation!$F$27+correlation!$G$27,"")</f>
        <v/>
      </c>
      <c r="Y66" s="5">
        <f>IF(AND(U66,ISNUMBER(X66)),(V66-X66)^2,"")</f>
        <v/>
      </c>
      <c r="Z66" s="5">
        <f>IF(U66,1+SUMPRODUCT(--(calc!$U$3:$U$306=TRUE),--(calc!$V$3:$V$306&gt;V66))+(SUMPRODUCT(--(calc!$U$3:$U$306=TRUE),--(calc!$V$3:$V$306=V66))-1)/2,"")</f>
        <v/>
      </c>
      <c r="AA66" s="5">
        <f>IF(U66,1+SUMPRODUCT(--(calc!$U$3:$U$306=TRUE),--(calc!$W$3:$W$306&gt;W66))+(SUMPRODUCT(--(calc!$U$3:$U$306=TRUE),--(calc!$W$3:$W$306=W66))-1)/2,"")</f>
        <v/>
      </c>
      <c r="AB66" s="5">
        <f>IF(U66,SUMPRODUCT(--(calc!$U$3:$U$306=TRUE),--(ROW(calc!$U$3:$U$306)&gt;ROW(U66)),--(((calc!$Z$3:$Z$306&gt;Z66)*(calc!$AA$3:$AA$306&gt;AA66)+(calc!$Z$3:$Z$306&lt;Z66)*(calc!$AA$3:$AA$306&lt;AA66))&gt;0))-SUMPRODUCT(--(calc!$U$3:$U$306=TRUE),--(ROW(calc!$U$3:$U$306)&gt;ROW(U66)),--(((calc!$Z$3:$Z$306&gt;Z66)*(calc!$AA$3:$AA$306&lt;AA66)+(calc!$Z$3:$Z$306&lt;Z66)*(calc!$AA$3:$AA$306&gt;AA66))&gt;0)),0)</f>
        <v/>
      </c>
      <c r="AC66" s="5">
        <f>IF(mos_metrics!I65="","",mos_metrics!I65)</f>
        <v/>
      </c>
      <c r="AD66" s="2">
        <f>AND($J66,ISNUMBER(AC66),correlation!$I$28=1)</f>
        <v/>
      </c>
      <c r="AE66" s="5">
        <f>IF(AD66,$F66,"")</f>
        <v/>
      </c>
      <c r="AF66" s="5">
        <f>IF(AD66,AC66*correlation!$J$28,"")</f>
        <v/>
      </c>
      <c r="AG66" s="5">
        <f>IF(AND(AD66,ISNUMBER(correlation!$F$28)),AF66*correlation!$F$28+correlation!$G$28,"")</f>
        <v/>
      </c>
      <c r="AH66" s="5">
        <f>IF(AND(AD66,ISNUMBER(AG66)),(AE66-AG66)^2,"")</f>
        <v/>
      </c>
      <c r="AI66" s="5">
        <f>IF(AD66,1+SUMPRODUCT(--(calc!$AD$3:$AD$306=TRUE),--(calc!$AE$3:$AE$306&gt;AE66))+(SUMPRODUCT(--(calc!$AD$3:$AD$306=TRUE),--(calc!$AE$3:$AE$306=AE66))-1)/2,"")</f>
        <v/>
      </c>
      <c r="AJ66" s="5">
        <f>IF(AD66,1+SUMPRODUCT(--(calc!$AD$3:$AD$306=TRUE),--(calc!$AF$3:$AF$306&gt;AF66))+(SUMPRODUCT(--(calc!$AD$3:$AD$306=TRUE),--(calc!$AF$3:$AF$306=AF66))-1)/2,"")</f>
        <v/>
      </c>
      <c r="AK66" s="5">
        <f>IF(AD66,SUMPRODUCT(--(calc!$AD$3:$AD$306=TRUE),--(ROW(calc!$AD$3:$AD$306)&gt;ROW(AD66)),--(((calc!$AI$3:$AI$306&gt;AI66)*(calc!$AJ$3:$AJ$306&gt;AJ66)+(calc!$AI$3:$AI$306&lt;AI66)*(calc!$AJ$3:$AJ$306&lt;AJ66))&gt;0))-SUMPRODUCT(--(calc!$AD$3:$AD$306=TRUE),--(ROW(calc!$AD$3:$AD$306)&gt;ROW(AD66)),--(((calc!$AI$3:$AI$306&gt;AI66)*(calc!$AJ$3:$AJ$306&lt;AJ66)+(calc!$AI$3:$AI$306&lt;AI66)*(calc!$AJ$3:$AJ$306&gt;AJ66))&gt;0)),0)</f>
        <v/>
      </c>
      <c r="AL66" s="5">
        <f>IF(mos_metrics!J65="","",mos_metrics!J65)</f>
        <v/>
      </c>
      <c r="AM66" s="2">
        <f>AND($J66,ISNUMBER(AL66),correlation!$I$29=1)</f>
        <v/>
      </c>
      <c r="AN66" s="5">
        <f>IF(AM66,$F66,"")</f>
        <v/>
      </c>
      <c r="AO66" s="5">
        <f>IF(AM66,AL66*correlation!$J$29,"")</f>
        <v/>
      </c>
      <c r="AP66" s="5">
        <f>IF(AND(AM66,ISNUMBER(correlation!$F$29)),AO66*correlation!$F$29+correlation!$G$29,"")</f>
        <v/>
      </c>
      <c r="AQ66" s="5">
        <f>IF(AND(AM66,ISNUMBER(AP66)),(AN66-AP66)^2,"")</f>
        <v/>
      </c>
      <c r="AR66" s="5">
        <f>IF(AM66,1+SUMPRODUCT(--(calc!$AM$3:$AM$306=TRUE),--(calc!$AN$3:$AN$306&gt;AN66))+(SUMPRODUCT(--(calc!$AM$3:$AM$306=TRUE),--(calc!$AN$3:$AN$306=AN66))-1)/2,"")</f>
        <v/>
      </c>
      <c r="AS66" s="5">
        <f>IF(AM66,1+SUMPRODUCT(--(calc!$AM$3:$AM$306=TRUE),--(calc!$AO$3:$AO$306&gt;AO66))+(SUMPRODUCT(--(calc!$AM$3:$AM$306=TRUE),--(calc!$AO$3:$AO$306=AO66))-1)/2,"")</f>
        <v/>
      </c>
      <c r="AT66" s="5">
        <f>IF(AM66,SUMPRODUCT(--(calc!$AM$3:$AM$306=TRUE),--(ROW(calc!$AM$3:$AM$306)&gt;ROW(AM66)),--(((calc!$AR$3:$AR$306&gt;AR66)*(calc!$AS$3:$AS$306&gt;AS66)+(calc!$AR$3:$AR$306&lt;AR66)*(calc!$AS$3:$AS$306&lt;AS66))&gt;0))-SUMPRODUCT(--(calc!$AM$3:$AM$306=TRUE),--(ROW(calc!$AM$3:$AM$306)&gt;ROW(AM66)),--(((calc!$AR$3:$AR$306&gt;AR66)*(calc!$AS$3:$AS$306&lt;AS66)+(calc!$AR$3:$AR$306&lt;AR66)*(calc!$AS$3:$AS$306&gt;AS66))&gt;0)),0)</f>
        <v/>
      </c>
      <c r="AU66" s="5">
        <f>IF(mos_metrics!K65="","",mos_metrics!K65)</f>
        <v/>
      </c>
      <c r="AV66" s="2">
        <f>AND($J66,ISNUMBER(AU66),correlation!$I$30=1)</f>
        <v/>
      </c>
      <c r="AW66" s="5">
        <f>IF(AV66,$F66,"")</f>
        <v/>
      </c>
      <c r="AX66" s="5">
        <f>IF(AV66,AU66*correlation!$J$30,"")</f>
        <v/>
      </c>
      <c r="AY66" s="5">
        <f>IF(AND(AV66,ISNUMBER(correlation!$F$30)),AX66*correlation!$F$30+correlation!$G$30,"")</f>
        <v/>
      </c>
      <c r="AZ66" s="5">
        <f>IF(AND(AV66,ISNUMBER(AY66)),(AW66-AY66)^2,"")</f>
        <v/>
      </c>
      <c r="BA66" s="5">
        <f>IF(AV66,1+SUMPRODUCT(--(calc!$AV$3:$AV$306=TRUE),--(calc!$AW$3:$AW$306&gt;AW66))+(SUMPRODUCT(--(calc!$AV$3:$AV$306=TRUE),--(calc!$AW$3:$AW$306=AW66))-1)/2,"")</f>
        <v/>
      </c>
      <c r="BB66" s="5">
        <f>IF(AV66,1+SUMPRODUCT(--(calc!$AV$3:$AV$306=TRUE),--(calc!$AX$3:$AX$306&gt;AX66))+(SUMPRODUCT(--(calc!$AV$3:$AV$306=TRUE),--(calc!$AX$3:$AX$306=AX66))-1)/2,"")</f>
        <v/>
      </c>
      <c r="BC66" s="5">
        <f>IF(AV66,SUMPRODUCT(--(calc!$AV$3:$AV$306=TRUE),--(ROW(calc!$AV$3:$AV$306)&gt;ROW(AV66)),--(((calc!$BA$3:$BA$306&gt;BA66)*(calc!$BB$3:$BB$306&gt;BB66)+(calc!$BA$3:$BA$306&lt;BA66)*(calc!$BB$3:$BB$306&lt;BB66))&gt;0))-SUMPRODUCT(--(calc!$AV$3:$AV$306=TRUE),--(ROW(calc!$AV$3:$AV$306)&gt;ROW(AV66)),--(((calc!$BA$3:$BA$306&gt;BA66)*(calc!$BB$3:$BB$306&lt;BB66)+(calc!$BA$3:$BA$306&lt;BA66)*(calc!$BB$3:$BB$306&gt;BB66))&gt;0)),0)</f>
        <v/>
      </c>
      <c r="BD66" s="5">
        <f>IF(mos_metrics!L65="","",mos_metrics!L65)</f>
        <v/>
      </c>
      <c r="BE66" s="2">
        <f>AND($J66,ISNUMBER(BD66),correlation!$I$31=1)</f>
        <v/>
      </c>
      <c r="BF66" s="5">
        <f>IF(BE66,$F66,"")</f>
        <v/>
      </c>
      <c r="BG66" s="5">
        <f>IF(BE66,BD66*correlation!$J$31,"")</f>
        <v/>
      </c>
      <c r="BH66" s="5">
        <f>IF(AND(BE66,ISNUMBER(correlation!$F$31)),BG66*correlation!$F$31+correlation!$G$31,"")</f>
        <v/>
      </c>
      <c r="BI66" s="5">
        <f>IF(AND(BE66,ISNUMBER(BH66)),(BF66-BH66)^2,"")</f>
        <v/>
      </c>
      <c r="BJ66" s="5">
        <f>IF(BE66,1+SUMPRODUCT(--(calc!$BE$3:$BE$306=TRUE),--(calc!$BF$3:$BF$306&gt;BF66))+(SUMPRODUCT(--(calc!$BE$3:$BE$306=TRUE),--(calc!$BF$3:$BF$306=BF66))-1)/2,"")</f>
        <v/>
      </c>
      <c r="BK66" s="5">
        <f>IF(BE66,1+SUMPRODUCT(--(calc!$BE$3:$BE$306=TRUE),--(calc!$BG$3:$BG$306&gt;BG66))+(SUMPRODUCT(--(calc!$BE$3:$BE$306=TRUE),--(calc!$BG$3:$BG$306=BG66))-1)/2,"")</f>
        <v/>
      </c>
      <c r="BL66" s="5">
        <f>IF(BE66,SUMPRODUCT(--(calc!$BE$3:$BE$306=TRUE),--(ROW(calc!$BE$3:$BE$306)&gt;ROW(BE66)),--(((calc!$BJ$3:$BJ$306&gt;BJ66)*(calc!$BK$3:$BK$306&gt;BK66)+(calc!$BJ$3:$BJ$306&lt;BJ66)*(calc!$BK$3:$BK$306&lt;BK66))&gt;0))-SUMPRODUCT(--(calc!$BE$3:$BE$306=TRUE),--(ROW(calc!$BE$3:$BE$306)&gt;ROW(BE66)),--(((calc!$BJ$3:$BJ$306&gt;BJ66)*(calc!$BK$3:$BK$306&lt;BK66)+(calc!$BJ$3:$BJ$306&lt;BJ66)*(calc!$BK$3:$BK$306&gt;BK66))&gt;0)),0)</f>
        <v/>
      </c>
      <c r="BM66" s="5">
        <f>IF(mos_metrics!M65="","",mos_metrics!M65)</f>
        <v/>
      </c>
      <c r="BN66" s="2">
        <f>AND($J66,ISNUMBER(BM66),correlation!$I$32=1)</f>
        <v/>
      </c>
      <c r="BO66" s="5">
        <f>IF(BN66,$F66,"")</f>
        <v/>
      </c>
      <c r="BP66" s="5">
        <f>IF(BN66,BM66*correlation!$J$32,"")</f>
        <v/>
      </c>
      <c r="BQ66" s="5">
        <f>IF(AND(BN66,ISNUMBER(correlation!$F$32)),BP66*correlation!$F$32+correlation!$G$32,"")</f>
        <v/>
      </c>
      <c r="BR66" s="5">
        <f>IF(AND(BN66,ISNUMBER(BQ66)),(BO66-BQ66)^2,"")</f>
        <v/>
      </c>
      <c r="BS66" s="5">
        <f>IF(BN66,1+SUMPRODUCT(--(calc!$BN$3:$BN$306=TRUE),--(calc!$BO$3:$BO$306&gt;BO66))+(SUMPRODUCT(--(calc!$BN$3:$BN$306=TRUE),--(calc!$BO$3:$BO$306=BO66))-1)/2,"")</f>
        <v/>
      </c>
      <c r="BT66" s="5">
        <f>IF(BN66,1+SUMPRODUCT(--(calc!$BN$3:$BN$306=TRUE),--(calc!$BP$3:$BP$306&gt;BP66))+(SUMPRODUCT(--(calc!$BN$3:$BN$306=TRUE),--(calc!$BP$3:$BP$306=BP66))-1)/2,"")</f>
        <v/>
      </c>
      <c r="BU66" s="5">
        <f>IF(BN66,SUMPRODUCT(--(calc!$BN$3:$BN$306=TRUE),--(ROW(calc!$BN$3:$BN$306)&gt;ROW(BN66)),--(((calc!$BS$3:$BS$306&gt;BS66)*(calc!$BT$3:$BT$306&gt;BT66)+(calc!$BS$3:$BS$306&lt;BS66)*(calc!$BT$3:$BT$306&lt;BT66))&gt;0))-SUMPRODUCT(--(calc!$BN$3:$BN$306=TRUE),--(ROW(calc!$BN$3:$BN$306)&gt;ROW(BN66)),--(((calc!$BS$3:$BS$306&gt;BS66)*(calc!$BT$3:$BT$306&lt;BT66)+(calc!$BS$3:$BS$306&lt;BS66)*(calc!$BT$3:$BT$306&gt;BT66))&gt;0)),0)</f>
        <v/>
      </c>
    </row>
    <row r="67">
      <c r="A67" s="2">
        <f>mos_metrics!A66</f>
        <v/>
      </c>
      <c r="B67" s="2">
        <f>mos_metrics!B66</f>
        <v/>
      </c>
      <c r="C67" s="2">
        <f>mos_metrics!C66</f>
        <v/>
      </c>
      <c r="D67" s="2">
        <f>mos_metrics!D66</f>
        <v/>
      </c>
      <c r="E67" s="2">
        <f>mos_metrics!E66</f>
        <v/>
      </c>
      <c r="F67" s="2">
        <f>mos_metrics!F66</f>
        <v/>
      </c>
      <c r="G67" s="2">
        <f>IF($B67="","",IFERROR(VLOOKUP($B67,correlation!$A$2:$B$16,2,FALSE),1))</f>
        <v/>
      </c>
      <c r="H67" s="2">
        <f>IF($E67="","",IFERROR(VLOOKUP($E67,correlation!$D$2:$E$8,2,FALSE),1))</f>
        <v/>
      </c>
      <c r="I67" s="2">
        <f>ISNUMBER($F67)</f>
        <v/>
      </c>
      <c r="J67" s="2">
        <f>AND($G67=1,$H67=1,$I67)</f>
        <v/>
      </c>
      <c r="K67" s="5">
        <f>IF(mos_metrics!G66="","",mos_metrics!G66)</f>
        <v/>
      </c>
      <c r="L67" s="2">
        <f>AND($J67,ISNUMBER(K67),correlation!$I$26=1)</f>
        <v/>
      </c>
      <c r="M67" s="5">
        <f>IF(L67,$F67,"")</f>
        <v/>
      </c>
      <c r="N67" s="5">
        <f>IF(L67,K67*correlation!$J$26,"")</f>
        <v/>
      </c>
      <c r="O67" s="5">
        <f>IF(AND(L67,ISNUMBER(correlation!$F$26)),N67*correlation!$F$26+correlation!$G$26,"")</f>
        <v/>
      </c>
      <c r="P67" s="5">
        <f>IF(AND(L67,ISNUMBER(O67)),(M67-O67)^2,"")</f>
        <v/>
      </c>
      <c r="Q67" s="5">
        <f>IF(L67,1+SUMPRODUCT(--(calc!$L$3:$L$306=TRUE),--(calc!$M$3:$M$306&gt;M67))+(SUMPRODUCT(--(calc!$L$3:$L$306=TRUE),--(calc!$M$3:$M$306=M67))-1)/2,"")</f>
        <v/>
      </c>
      <c r="R67" s="5">
        <f>IF(L67,1+SUMPRODUCT(--(calc!$L$3:$L$306=TRUE),--(calc!$N$3:$N$306&gt;N67))+(SUMPRODUCT(--(calc!$L$3:$L$306=TRUE),--(calc!$N$3:$N$306=N67))-1)/2,"")</f>
        <v/>
      </c>
      <c r="S67" s="5">
        <f>IF(L67,SUMPRODUCT(--(calc!$L$3:$L$306=TRUE),--(ROW(calc!$L$3:$L$306)&gt;ROW(L67)),--(((calc!$Q$3:$Q$306&gt;Q67)*(calc!$R$3:$R$306&gt;R67)+(calc!$Q$3:$Q$306&lt;Q67)*(calc!$R$3:$R$306&lt;R67))&gt;0))-SUMPRODUCT(--(calc!$L$3:$L$306=TRUE),--(ROW(calc!$L$3:$L$306)&gt;ROW(L67)),--(((calc!$Q$3:$Q$306&gt;Q67)*(calc!$R$3:$R$306&lt;R67)+(calc!$Q$3:$Q$306&lt;Q67)*(calc!$R$3:$R$306&gt;R67))&gt;0)),0)</f>
        <v/>
      </c>
      <c r="T67" s="5">
        <f>IF(mos_metrics!H66="","",mos_metrics!H66)</f>
        <v/>
      </c>
      <c r="U67" s="2">
        <f>AND($J67,ISNUMBER(T67),correlation!$I$27=1)</f>
        <v/>
      </c>
      <c r="V67" s="5">
        <f>IF(U67,$F67,"")</f>
        <v/>
      </c>
      <c r="W67" s="5">
        <f>IF(U67,T67*correlation!$J$27,"")</f>
        <v/>
      </c>
      <c r="X67" s="5">
        <f>IF(AND(U67,ISNUMBER(correlation!$F$27)),W67*correlation!$F$27+correlation!$G$27,"")</f>
        <v/>
      </c>
      <c r="Y67" s="5">
        <f>IF(AND(U67,ISNUMBER(X67)),(V67-X67)^2,"")</f>
        <v/>
      </c>
      <c r="Z67" s="5">
        <f>IF(U67,1+SUMPRODUCT(--(calc!$U$3:$U$306=TRUE),--(calc!$V$3:$V$306&gt;V67))+(SUMPRODUCT(--(calc!$U$3:$U$306=TRUE),--(calc!$V$3:$V$306=V67))-1)/2,"")</f>
        <v/>
      </c>
      <c r="AA67" s="5">
        <f>IF(U67,1+SUMPRODUCT(--(calc!$U$3:$U$306=TRUE),--(calc!$W$3:$W$306&gt;W67))+(SUMPRODUCT(--(calc!$U$3:$U$306=TRUE),--(calc!$W$3:$W$306=W67))-1)/2,"")</f>
        <v/>
      </c>
      <c r="AB67" s="5">
        <f>IF(U67,SUMPRODUCT(--(calc!$U$3:$U$306=TRUE),--(ROW(calc!$U$3:$U$306)&gt;ROW(U67)),--(((calc!$Z$3:$Z$306&gt;Z67)*(calc!$AA$3:$AA$306&gt;AA67)+(calc!$Z$3:$Z$306&lt;Z67)*(calc!$AA$3:$AA$306&lt;AA67))&gt;0))-SUMPRODUCT(--(calc!$U$3:$U$306=TRUE),--(ROW(calc!$U$3:$U$306)&gt;ROW(U67)),--(((calc!$Z$3:$Z$306&gt;Z67)*(calc!$AA$3:$AA$306&lt;AA67)+(calc!$Z$3:$Z$306&lt;Z67)*(calc!$AA$3:$AA$306&gt;AA67))&gt;0)),0)</f>
        <v/>
      </c>
      <c r="AC67" s="5">
        <f>IF(mos_metrics!I66="","",mos_metrics!I66)</f>
        <v/>
      </c>
      <c r="AD67" s="2">
        <f>AND($J67,ISNUMBER(AC67),correlation!$I$28=1)</f>
        <v/>
      </c>
      <c r="AE67" s="5">
        <f>IF(AD67,$F67,"")</f>
        <v/>
      </c>
      <c r="AF67" s="5">
        <f>IF(AD67,AC67*correlation!$J$28,"")</f>
        <v/>
      </c>
      <c r="AG67" s="5">
        <f>IF(AND(AD67,ISNUMBER(correlation!$F$28)),AF67*correlation!$F$28+correlation!$G$28,"")</f>
        <v/>
      </c>
      <c r="AH67" s="5">
        <f>IF(AND(AD67,ISNUMBER(AG67)),(AE67-AG67)^2,"")</f>
        <v/>
      </c>
      <c r="AI67" s="5">
        <f>IF(AD67,1+SUMPRODUCT(--(calc!$AD$3:$AD$306=TRUE),--(calc!$AE$3:$AE$306&gt;AE67))+(SUMPRODUCT(--(calc!$AD$3:$AD$306=TRUE),--(calc!$AE$3:$AE$306=AE67))-1)/2,"")</f>
        <v/>
      </c>
      <c r="AJ67" s="5">
        <f>IF(AD67,1+SUMPRODUCT(--(calc!$AD$3:$AD$306=TRUE),--(calc!$AF$3:$AF$306&gt;AF67))+(SUMPRODUCT(--(calc!$AD$3:$AD$306=TRUE),--(calc!$AF$3:$AF$306=AF67))-1)/2,"")</f>
        <v/>
      </c>
      <c r="AK67" s="5">
        <f>IF(AD67,SUMPRODUCT(--(calc!$AD$3:$AD$306=TRUE),--(ROW(calc!$AD$3:$AD$306)&gt;ROW(AD67)),--(((calc!$AI$3:$AI$306&gt;AI67)*(calc!$AJ$3:$AJ$306&gt;AJ67)+(calc!$AI$3:$AI$306&lt;AI67)*(calc!$AJ$3:$AJ$306&lt;AJ67))&gt;0))-SUMPRODUCT(--(calc!$AD$3:$AD$306=TRUE),--(ROW(calc!$AD$3:$AD$306)&gt;ROW(AD67)),--(((calc!$AI$3:$AI$306&gt;AI67)*(calc!$AJ$3:$AJ$306&lt;AJ67)+(calc!$AI$3:$AI$306&lt;AI67)*(calc!$AJ$3:$AJ$306&gt;AJ67))&gt;0)),0)</f>
        <v/>
      </c>
      <c r="AL67" s="5">
        <f>IF(mos_metrics!J66="","",mos_metrics!J66)</f>
        <v/>
      </c>
      <c r="AM67" s="2">
        <f>AND($J67,ISNUMBER(AL67),correlation!$I$29=1)</f>
        <v/>
      </c>
      <c r="AN67" s="5">
        <f>IF(AM67,$F67,"")</f>
        <v/>
      </c>
      <c r="AO67" s="5">
        <f>IF(AM67,AL67*correlation!$J$29,"")</f>
        <v/>
      </c>
      <c r="AP67" s="5">
        <f>IF(AND(AM67,ISNUMBER(correlation!$F$29)),AO67*correlation!$F$29+correlation!$G$29,"")</f>
        <v/>
      </c>
      <c r="AQ67" s="5">
        <f>IF(AND(AM67,ISNUMBER(AP67)),(AN67-AP67)^2,"")</f>
        <v/>
      </c>
      <c r="AR67" s="5">
        <f>IF(AM67,1+SUMPRODUCT(--(calc!$AM$3:$AM$306=TRUE),--(calc!$AN$3:$AN$306&gt;AN67))+(SUMPRODUCT(--(calc!$AM$3:$AM$306=TRUE),--(calc!$AN$3:$AN$306=AN67))-1)/2,"")</f>
        <v/>
      </c>
      <c r="AS67" s="5">
        <f>IF(AM67,1+SUMPRODUCT(--(calc!$AM$3:$AM$306=TRUE),--(calc!$AO$3:$AO$306&gt;AO67))+(SUMPRODUCT(--(calc!$AM$3:$AM$306=TRUE),--(calc!$AO$3:$AO$306=AO67))-1)/2,"")</f>
        <v/>
      </c>
      <c r="AT67" s="5">
        <f>IF(AM67,SUMPRODUCT(--(calc!$AM$3:$AM$306=TRUE),--(ROW(calc!$AM$3:$AM$306)&gt;ROW(AM67)),--(((calc!$AR$3:$AR$306&gt;AR67)*(calc!$AS$3:$AS$306&gt;AS67)+(calc!$AR$3:$AR$306&lt;AR67)*(calc!$AS$3:$AS$306&lt;AS67))&gt;0))-SUMPRODUCT(--(calc!$AM$3:$AM$306=TRUE),--(ROW(calc!$AM$3:$AM$306)&gt;ROW(AM67)),--(((calc!$AR$3:$AR$306&gt;AR67)*(calc!$AS$3:$AS$306&lt;AS67)+(calc!$AR$3:$AR$306&lt;AR67)*(calc!$AS$3:$AS$306&gt;AS67))&gt;0)),0)</f>
        <v/>
      </c>
      <c r="AU67" s="5">
        <f>IF(mos_metrics!K66="","",mos_metrics!K66)</f>
        <v/>
      </c>
      <c r="AV67" s="2">
        <f>AND($J67,ISNUMBER(AU67),correlation!$I$30=1)</f>
        <v/>
      </c>
      <c r="AW67" s="5">
        <f>IF(AV67,$F67,"")</f>
        <v/>
      </c>
      <c r="AX67" s="5">
        <f>IF(AV67,AU67*correlation!$J$30,"")</f>
        <v/>
      </c>
      <c r="AY67" s="5">
        <f>IF(AND(AV67,ISNUMBER(correlation!$F$30)),AX67*correlation!$F$30+correlation!$G$30,"")</f>
        <v/>
      </c>
      <c r="AZ67" s="5">
        <f>IF(AND(AV67,ISNUMBER(AY67)),(AW67-AY67)^2,"")</f>
        <v/>
      </c>
      <c r="BA67" s="5">
        <f>IF(AV67,1+SUMPRODUCT(--(calc!$AV$3:$AV$306=TRUE),--(calc!$AW$3:$AW$306&gt;AW67))+(SUMPRODUCT(--(calc!$AV$3:$AV$306=TRUE),--(calc!$AW$3:$AW$306=AW67))-1)/2,"")</f>
        <v/>
      </c>
      <c r="BB67" s="5">
        <f>IF(AV67,1+SUMPRODUCT(--(calc!$AV$3:$AV$306=TRUE),--(calc!$AX$3:$AX$306&gt;AX67))+(SUMPRODUCT(--(calc!$AV$3:$AV$306=TRUE),--(calc!$AX$3:$AX$306=AX67))-1)/2,"")</f>
        <v/>
      </c>
      <c r="BC67" s="5">
        <f>IF(AV67,SUMPRODUCT(--(calc!$AV$3:$AV$306=TRUE),--(ROW(calc!$AV$3:$AV$306)&gt;ROW(AV67)),--(((calc!$BA$3:$BA$306&gt;BA67)*(calc!$BB$3:$BB$306&gt;BB67)+(calc!$BA$3:$BA$306&lt;BA67)*(calc!$BB$3:$BB$306&lt;BB67))&gt;0))-SUMPRODUCT(--(calc!$AV$3:$AV$306=TRUE),--(ROW(calc!$AV$3:$AV$306)&gt;ROW(AV67)),--(((calc!$BA$3:$BA$306&gt;BA67)*(calc!$BB$3:$BB$306&lt;BB67)+(calc!$BA$3:$BA$306&lt;BA67)*(calc!$BB$3:$BB$306&gt;BB67))&gt;0)),0)</f>
        <v/>
      </c>
      <c r="BD67" s="5">
        <f>IF(mos_metrics!L66="","",mos_metrics!L66)</f>
        <v/>
      </c>
      <c r="BE67" s="2">
        <f>AND($J67,ISNUMBER(BD67),correlation!$I$31=1)</f>
        <v/>
      </c>
      <c r="BF67" s="5">
        <f>IF(BE67,$F67,"")</f>
        <v/>
      </c>
      <c r="BG67" s="5">
        <f>IF(BE67,BD67*correlation!$J$31,"")</f>
        <v/>
      </c>
      <c r="BH67" s="5">
        <f>IF(AND(BE67,ISNUMBER(correlation!$F$31)),BG67*correlation!$F$31+correlation!$G$31,"")</f>
        <v/>
      </c>
      <c r="BI67" s="5">
        <f>IF(AND(BE67,ISNUMBER(BH67)),(BF67-BH67)^2,"")</f>
        <v/>
      </c>
      <c r="BJ67" s="5">
        <f>IF(BE67,1+SUMPRODUCT(--(calc!$BE$3:$BE$306=TRUE),--(calc!$BF$3:$BF$306&gt;BF67))+(SUMPRODUCT(--(calc!$BE$3:$BE$306=TRUE),--(calc!$BF$3:$BF$306=BF67))-1)/2,"")</f>
        <v/>
      </c>
      <c r="BK67" s="5">
        <f>IF(BE67,1+SUMPRODUCT(--(calc!$BE$3:$BE$306=TRUE),--(calc!$BG$3:$BG$306&gt;BG67))+(SUMPRODUCT(--(calc!$BE$3:$BE$306=TRUE),--(calc!$BG$3:$BG$306=BG67))-1)/2,"")</f>
        <v/>
      </c>
      <c r="BL67" s="5">
        <f>IF(BE67,SUMPRODUCT(--(calc!$BE$3:$BE$306=TRUE),--(ROW(calc!$BE$3:$BE$306)&gt;ROW(BE67)),--(((calc!$BJ$3:$BJ$306&gt;BJ67)*(calc!$BK$3:$BK$306&gt;BK67)+(calc!$BJ$3:$BJ$306&lt;BJ67)*(calc!$BK$3:$BK$306&lt;BK67))&gt;0))-SUMPRODUCT(--(calc!$BE$3:$BE$306=TRUE),--(ROW(calc!$BE$3:$BE$306)&gt;ROW(BE67)),--(((calc!$BJ$3:$BJ$306&gt;BJ67)*(calc!$BK$3:$BK$306&lt;BK67)+(calc!$BJ$3:$BJ$306&lt;BJ67)*(calc!$BK$3:$BK$306&gt;BK67))&gt;0)),0)</f>
        <v/>
      </c>
      <c r="BM67" s="5">
        <f>IF(mos_metrics!M66="","",mos_metrics!M66)</f>
        <v/>
      </c>
      <c r="BN67" s="2">
        <f>AND($J67,ISNUMBER(BM67),correlation!$I$32=1)</f>
        <v/>
      </c>
      <c r="BO67" s="5">
        <f>IF(BN67,$F67,"")</f>
        <v/>
      </c>
      <c r="BP67" s="5">
        <f>IF(BN67,BM67*correlation!$J$32,"")</f>
        <v/>
      </c>
      <c r="BQ67" s="5">
        <f>IF(AND(BN67,ISNUMBER(correlation!$F$32)),BP67*correlation!$F$32+correlation!$G$32,"")</f>
        <v/>
      </c>
      <c r="BR67" s="5">
        <f>IF(AND(BN67,ISNUMBER(BQ67)),(BO67-BQ67)^2,"")</f>
        <v/>
      </c>
      <c r="BS67" s="5">
        <f>IF(BN67,1+SUMPRODUCT(--(calc!$BN$3:$BN$306=TRUE),--(calc!$BO$3:$BO$306&gt;BO67))+(SUMPRODUCT(--(calc!$BN$3:$BN$306=TRUE),--(calc!$BO$3:$BO$306=BO67))-1)/2,"")</f>
        <v/>
      </c>
      <c r="BT67" s="5">
        <f>IF(BN67,1+SUMPRODUCT(--(calc!$BN$3:$BN$306=TRUE),--(calc!$BP$3:$BP$306&gt;BP67))+(SUMPRODUCT(--(calc!$BN$3:$BN$306=TRUE),--(calc!$BP$3:$BP$306=BP67))-1)/2,"")</f>
        <v/>
      </c>
      <c r="BU67" s="5">
        <f>IF(BN67,SUMPRODUCT(--(calc!$BN$3:$BN$306=TRUE),--(ROW(calc!$BN$3:$BN$306)&gt;ROW(BN67)),--(((calc!$BS$3:$BS$306&gt;BS67)*(calc!$BT$3:$BT$306&gt;BT67)+(calc!$BS$3:$BS$306&lt;BS67)*(calc!$BT$3:$BT$306&lt;BT67))&gt;0))-SUMPRODUCT(--(calc!$BN$3:$BN$306=TRUE),--(ROW(calc!$BN$3:$BN$306)&gt;ROW(BN67)),--(((calc!$BS$3:$BS$306&gt;BS67)*(calc!$BT$3:$BT$306&lt;BT67)+(calc!$BS$3:$BS$306&lt;BS67)*(calc!$BT$3:$BT$306&gt;BT67))&gt;0)),0)</f>
        <v/>
      </c>
    </row>
    <row r="68">
      <c r="A68" s="2">
        <f>mos_metrics!A67</f>
        <v/>
      </c>
      <c r="B68" s="2">
        <f>mos_metrics!B67</f>
        <v/>
      </c>
      <c r="C68" s="2">
        <f>mos_metrics!C67</f>
        <v/>
      </c>
      <c r="D68" s="2">
        <f>mos_metrics!D67</f>
        <v/>
      </c>
      <c r="E68" s="2">
        <f>mos_metrics!E67</f>
        <v/>
      </c>
      <c r="F68" s="2">
        <f>mos_metrics!F67</f>
        <v/>
      </c>
      <c r="G68" s="2">
        <f>IF($B68="","",IFERROR(VLOOKUP($B68,correlation!$A$2:$B$16,2,FALSE),1))</f>
        <v/>
      </c>
      <c r="H68" s="2">
        <f>IF($E68="","",IFERROR(VLOOKUP($E68,correlation!$D$2:$E$8,2,FALSE),1))</f>
        <v/>
      </c>
      <c r="I68" s="2">
        <f>ISNUMBER($F68)</f>
        <v/>
      </c>
      <c r="J68" s="2">
        <f>AND($G68=1,$H68=1,$I68)</f>
        <v/>
      </c>
      <c r="K68" s="5">
        <f>IF(mos_metrics!G67="","",mos_metrics!G67)</f>
        <v/>
      </c>
      <c r="L68" s="2">
        <f>AND($J68,ISNUMBER(K68),correlation!$I$26=1)</f>
        <v/>
      </c>
      <c r="M68" s="5">
        <f>IF(L68,$F68,"")</f>
        <v/>
      </c>
      <c r="N68" s="5">
        <f>IF(L68,K68*correlation!$J$26,"")</f>
        <v/>
      </c>
      <c r="O68" s="5">
        <f>IF(AND(L68,ISNUMBER(correlation!$F$26)),N68*correlation!$F$26+correlation!$G$26,"")</f>
        <v/>
      </c>
      <c r="P68" s="5">
        <f>IF(AND(L68,ISNUMBER(O68)),(M68-O68)^2,"")</f>
        <v/>
      </c>
      <c r="Q68" s="5">
        <f>IF(L68,1+SUMPRODUCT(--(calc!$L$3:$L$306=TRUE),--(calc!$M$3:$M$306&gt;M68))+(SUMPRODUCT(--(calc!$L$3:$L$306=TRUE),--(calc!$M$3:$M$306=M68))-1)/2,"")</f>
        <v/>
      </c>
      <c r="R68" s="5">
        <f>IF(L68,1+SUMPRODUCT(--(calc!$L$3:$L$306=TRUE),--(calc!$N$3:$N$306&gt;N68))+(SUMPRODUCT(--(calc!$L$3:$L$306=TRUE),--(calc!$N$3:$N$306=N68))-1)/2,"")</f>
        <v/>
      </c>
      <c r="S68" s="5">
        <f>IF(L68,SUMPRODUCT(--(calc!$L$3:$L$306=TRUE),--(ROW(calc!$L$3:$L$306)&gt;ROW(L68)),--(((calc!$Q$3:$Q$306&gt;Q68)*(calc!$R$3:$R$306&gt;R68)+(calc!$Q$3:$Q$306&lt;Q68)*(calc!$R$3:$R$306&lt;R68))&gt;0))-SUMPRODUCT(--(calc!$L$3:$L$306=TRUE),--(ROW(calc!$L$3:$L$306)&gt;ROW(L68)),--(((calc!$Q$3:$Q$306&gt;Q68)*(calc!$R$3:$R$306&lt;R68)+(calc!$Q$3:$Q$306&lt;Q68)*(calc!$R$3:$R$306&gt;R68))&gt;0)),0)</f>
        <v/>
      </c>
      <c r="T68" s="5">
        <f>IF(mos_metrics!H67="","",mos_metrics!H67)</f>
        <v/>
      </c>
      <c r="U68" s="2">
        <f>AND($J68,ISNUMBER(T68),correlation!$I$27=1)</f>
        <v/>
      </c>
      <c r="V68" s="5">
        <f>IF(U68,$F68,"")</f>
        <v/>
      </c>
      <c r="W68" s="5">
        <f>IF(U68,T68*correlation!$J$27,"")</f>
        <v/>
      </c>
      <c r="X68" s="5">
        <f>IF(AND(U68,ISNUMBER(correlation!$F$27)),W68*correlation!$F$27+correlation!$G$27,"")</f>
        <v/>
      </c>
      <c r="Y68" s="5">
        <f>IF(AND(U68,ISNUMBER(X68)),(V68-X68)^2,"")</f>
        <v/>
      </c>
      <c r="Z68" s="5">
        <f>IF(U68,1+SUMPRODUCT(--(calc!$U$3:$U$306=TRUE),--(calc!$V$3:$V$306&gt;V68))+(SUMPRODUCT(--(calc!$U$3:$U$306=TRUE),--(calc!$V$3:$V$306=V68))-1)/2,"")</f>
        <v/>
      </c>
      <c r="AA68" s="5">
        <f>IF(U68,1+SUMPRODUCT(--(calc!$U$3:$U$306=TRUE),--(calc!$W$3:$W$306&gt;W68))+(SUMPRODUCT(--(calc!$U$3:$U$306=TRUE),--(calc!$W$3:$W$306=W68))-1)/2,"")</f>
        <v/>
      </c>
      <c r="AB68" s="5">
        <f>IF(U68,SUMPRODUCT(--(calc!$U$3:$U$306=TRUE),--(ROW(calc!$U$3:$U$306)&gt;ROW(U68)),--(((calc!$Z$3:$Z$306&gt;Z68)*(calc!$AA$3:$AA$306&gt;AA68)+(calc!$Z$3:$Z$306&lt;Z68)*(calc!$AA$3:$AA$306&lt;AA68))&gt;0))-SUMPRODUCT(--(calc!$U$3:$U$306=TRUE),--(ROW(calc!$U$3:$U$306)&gt;ROW(U68)),--(((calc!$Z$3:$Z$306&gt;Z68)*(calc!$AA$3:$AA$306&lt;AA68)+(calc!$Z$3:$Z$306&lt;Z68)*(calc!$AA$3:$AA$306&gt;AA68))&gt;0)),0)</f>
        <v/>
      </c>
      <c r="AC68" s="5">
        <f>IF(mos_metrics!I67="","",mos_metrics!I67)</f>
        <v/>
      </c>
      <c r="AD68" s="2">
        <f>AND($J68,ISNUMBER(AC68),correlation!$I$28=1)</f>
        <v/>
      </c>
      <c r="AE68" s="5">
        <f>IF(AD68,$F68,"")</f>
        <v/>
      </c>
      <c r="AF68" s="5">
        <f>IF(AD68,AC68*correlation!$J$28,"")</f>
        <v/>
      </c>
      <c r="AG68" s="5">
        <f>IF(AND(AD68,ISNUMBER(correlation!$F$28)),AF68*correlation!$F$28+correlation!$G$28,"")</f>
        <v/>
      </c>
      <c r="AH68" s="5">
        <f>IF(AND(AD68,ISNUMBER(AG68)),(AE68-AG68)^2,"")</f>
        <v/>
      </c>
      <c r="AI68" s="5">
        <f>IF(AD68,1+SUMPRODUCT(--(calc!$AD$3:$AD$306=TRUE),--(calc!$AE$3:$AE$306&gt;AE68))+(SUMPRODUCT(--(calc!$AD$3:$AD$306=TRUE),--(calc!$AE$3:$AE$306=AE68))-1)/2,"")</f>
        <v/>
      </c>
      <c r="AJ68" s="5">
        <f>IF(AD68,1+SUMPRODUCT(--(calc!$AD$3:$AD$306=TRUE),--(calc!$AF$3:$AF$306&gt;AF68))+(SUMPRODUCT(--(calc!$AD$3:$AD$306=TRUE),--(calc!$AF$3:$AF$306=AF68))-1)/2,"")</f>
        <v/>
      </c>
      <c r="AK68" s="5">
        <f>IF(AD68,SUMPRODUCT(--(calc!$AD$3:$AD$306=TRUE),--(ROW(calc!$AD$3:$AD$306)&gt;ROW(AD68)),--(((calc!$AI$3:$AI$306&gt;AI68)*(calc!$AJ$3:$AJ$306&gt;AJ68)+(calc!$AI$3:$AI$306&lt;AI68)*(calc!$AJ$3:$AJ$306&lt;AJ68))&gt;0))-SUMPRODUCT(--(calc!$AD$3:$AD$306=TRUE),--(ROW(calc!$AD$3:$AD$306)&gt;ROW(AD68)),--(((calc!$AI$3:$AI$306&gt;AI68)*(calc!$AJ$3:$AJ$306&lt;AJ68)+(calc!$AI$3:$AI$306&lt;AI68)*(calc!$AJ$3:$AJ$306&gt;AJ68))&gt;0)),0)</f>
        <v/>
      </c>
      <c r="AL68" s="5">
        <f>IF(mos_metrics!J67="","",mos_metrics!J67)</f>
        <v/>
      </c>
      <c r="AM68" s="2">
        <f>AND($J68,ISNUMBER(AL68),correlation!$I$29=1)</f>
        <v/>
      </c>
      <c r="AN68" s="5">
        <f>IF(AM68,$F68,"")</f>
        <v/>
      </c>
      <c r="AO68" s="5">
        <f>IF(AM68,AL68*correlation!$J$29,"")</f>
        <v/>
      </c>
      <c r="AP68" s="5">
        <f>IF(AND(AM68,ISNUMBER(correlation!$F$29)),AO68*correlation!$F$29+correlation!$G$29,"")</f>
        <v/>
      </c>
      <c r="AQ68" s="5">
        <f>IF(AND(AM68,ISNUMBER(AP68)),(AN68-AP68)^2,"")</f>
        <v/>
      </c>
      <c r="AR68" s="5">
        <f>IF(AM68,1+SUMPRODUCT(--(calc!$AM$3:$AM$306=TRUE),--(calc!$AN$3:$AN$306&gt;AN68))+(SUMPRODUCT(--(calc!$AM$3:$AM$306=TRUE),--(calc!$AN$3:$AN$306=AN68))-1)/2,"")</f>
        <v/>
      </c>
      <c r="AS68" s="5">
        <f>IF(AM68,1+SUMPRODUCT(--(calc!$AM$3:$AM$306=TRUE),--(calc!$AO$3:$AO$306&gt;AO68))+(SUMPRODUCT(--(calc!$AM$3:$AM$306=TRUE),--(calc!$AO$3:$AO$306=AO68))-1)/2,"")</f>
        <v/>
      </c>
      <c r="AT68" s="5">
        <f>IF(AM68,SUMPRODUCT(--(calc!$AM$3:$AM$306=TRUE),--(ROW(calc!$AM$3:$AM$306)&gt;ROW(AM68)),--(((calc!$AR$3:$AR$306&gt;AR68)*(calc!$AS$3:$AS$306&gt;AS68)+(calc!$AR$3:$AR$306&lt;AR68)*(calc!$AS$3:$AS$306&lt;AS68))&gt;0))-SUMPRODUCT(--(calc!$AM$3:$AM$306=TRUE),--(ROW(calc!$AM$3:$AM$306)&gt;ROW(AM68)),--(((calc!$AR$3:$AR$306&gt;AR68)*(calc!$AS$3:$AS$306&lt;AS68)+(calc!$AR$3:$AR$306&lt;AR68)*(calc!$AS$3:$AS$306&gt;AS68))&gt;0)),0)</f>
        <v/>
      </c>
      <c r="AU68" s="5">
        <f>IF(mos_metrics!K67="","",mos_metrics!K67)</f>
        <v/>
      </c>
      <c r="AV68" s="2">
        <f>AND($J68,ISNUMBER(AU68),correlation!$I$30=1)</f>
        <v/>
      </c>
      <c r="AW68" s="5">
        <f>IF(AV68,$F68,"")</f>
        <v/>
      </c>
      <c r="AX68" s="5">
        <f>IF(AV68,AU68*correlation!$J$30,"")</f>
        <v/>
      </c>
      <c r="AY68" s="5">
        <f>IF(AND(AV68,ISNUMBER(correlation!$F$30)),AX68*correlation!$F$30+correlation!$G$30,"")</f>
        <v/>
      </c>
      <c r="AZ68" s="5">
        <f>IF(AND(AV68,ISNUMBER(AY68)),(AW68-AY68)^2,"")</f>
        <v/>
      </c>
      <c r="BA68" s="5">
        <f>IF(AV68,1+SUMPRODUCT(--(calc!$AV$3:$AV$306=TRUE),--(calc!$AW$3:$AW$306&gt;AW68))+(SUMPRODUCT(--(calc!$AV$3:$AV$306=TRUE),--(calc!$AW$3:$AW$306=AW68))-1)/2,"")</f>
        <v/>
      </c>
      <c r="BB68" s="5">
        <f>IF(AV68,1+SUMPRODUCT(--(calc!$AV$3:$AV$306=TRUE),--(calc!$AX$3:$AX$306&gt;AX68))+(SUMPRODUCT(--(calc!$AV$3:$AV$306=TRUE),--(calc!$AX$3:$AX$306=AX68))-1)/2,"")</f>
        <v/>
      </c>
      <c r="BC68" s="5">
        <f>IF(AV68,SUMPRODUCT(--(calc!$AV$3:$AV$306=TRUE),--(ROW(calc!$AV$3:$AV$306)&gt;ROW(AV68)),--(((calc!$BA$3:$BA$306&gt;BA68)*(calc!$BB$3:$BB$306&gt;BB68)+(calc!$BA$3:$BA$306&lt;BA68)*(calc!$BB$3:$BB$306&lt;BB68))&gt;0))-SUMPRODUCT(--(calc!$AV$3:$AV$306=TRUE),--(ROW(calc!$AV$3:$AV$306)&gt;ROW(AV68)),--(((calc!$BA$3:$BA$306&gt;BA68)*(calc!$BB$3:$BB$306&lt;BB68)+(calc!$BA$3:$BA$306&lt;BA68)*(calc!$BB$3:$BB$306&gt;BB68))&gt;0)),0)</f>
        <v/>
      </c>
      <c r="BD68" s="5">
        <f>IF(mos_metrics!L67="","",mos_metrics!L67)</f>
        <v/>
      </c>
      <c r="BE68" s="2">
        <f>AND($J68,ISNUMBER(BD68),correlation!$I$31=1)</f>
        <v/>
      </c>
      <c r="BF68" s="5">
        <f>IF(BE68,$F68,"")</f>
        <v/>
      </c>
      <c r="BG68" s="5">
        <f>IF(BE68,BD68*correlation!$J$31,"")</f>
        <v/>
      </c>
      <c r="BH68" s="5">
        <f>IF(AND(BE68,ISNUMBER(correlation!$F$31)),BG68*correlation!$F$31+correlation!$G$31,"")</f>
        <v/>
      </c>
      <c r="BI68" s="5">
        <f>IF(AND(BE68,ISNUMBER(BH68)),(BF68-BH68)^2,"")</f>
        <v/>
      </c>
      <c r="BJ68" s="5">
        <f>IF(BE68,1+SUMPRODUCT(--(calc!$BE$3:$BE$306=TRUE),--(calc!$BF$3:$BF$306&gt;BF68))+(SUMPRODUCT(--(calc!$BE$3:$BE$306=TRUE),--(calc!$BF$3:$BF$306=BF68))-1)/2,"")</f>
        <v/>
      </c>
      <c r="BK68" s="5">
        <f>IF(BE68,1+SUMPRODUCT(--(calc!$BE$3:$BE$306=TRUE),--(calc!$BG$3:$BG$306&gt;BG68))+(SUMPRODUCT(--(calc!$BE$3:$BE$306=TRUE),--(calc!$BG$3:$BG$306=BG68))-1)/2,"")</f>
        <v/>
      </c>
      <c r="BL68" s="5">
        <f>IF(BE68,SUMPRODUCT(--(calc!$BE$3:$BE$306=TRUE),--(ROW(calc!$BE$3:$BE$306)&gt;ROW(BE68)),--(((calc!$BJ$3:$BJ$306&gt;BJ68)*(calc!$BK$3:$BK$306&gt;BK68)+(calc!$BJ$3:$BJ$306&lt;BJ68)*(calc!$BK$3:$BK$306&lt;BK68))&gt;0))-SUMPRODUCT(--(calc!$BE$3:$BE$306=TRUE),--(ROW(calc!$BE$3:$BE$306)&gt;ROW(BE68)),--(((calc!$BJ$3:$BJ$306&gt;BJ68)*(calc!$BK$3:$BK$306&lt;BK68)+(calc!$BJ$3:$BJ$306&lt;BJ68)*(calc!$BK$3:$BK$306&gt;BK68))&gt;0)),0)</f>
        <v/>
      </c>
      <c r="BM68" s="5">
        <f>IF(mos_metrics!M67="","",mos_metrics!M67)</f>
        <v/>
      </c>
      <c r="BN68" s="2">
        <f>AND($J68,ISNUMBER(BM68),correlation!$I$32=1)</f>
        <v/>
      </c>
      <c r="BO68" s="5">
        <f>IF(BN68,$F68,"")</f>
        <v/>
      </c>
      <c r="BP68" s="5">
        <f>IF(BN68,BM68*correlation!$J$32,"")</f>
        <v/>
      </c>
      <c r="BQ68" s="5">
        <f>IF(AND(BN68,ISNUMBER(correlation!$F$32)),BP68*correlation!$F$32+correlation!$G$32,"")</f>
        <v/>
      </c>
      <c r="BR68" s="5">
        <f>IF(AND(BN68,ISNUMBER(BQ68)),(BO68-BQ68)^2,"")</f>
        <v/>
      </c>
      <c r="BS68" s="5">
        <f>IF(BN68,1+SUMPRODUCT(--(calc!$BN$3:$BN$306=TRUE),--(calc!$BO$3:$BO$306&gt;BO68))+(SUMPRODUCT(--(calc!$BN$3:$BN$306=TRUE),--(calc!$BO$3:$BO$306=BO68))-1)/2,"")</f>
        <v/>
      </c>
      <c r="BT68" s="5">
        <f>IF(BN68,1+SUMPRODUCT(--(calc!$BN$3:$BN$306=TRUE),--(calc!$BP$3:$BP$306&gt;BP68))+(SUMPRODUCT(--(calc!$BN$3:$BN$306=TRUE),--(calc!$BP$3:$BP$306=BP68))-1)/2,"")</f>
        <v/>
      </c>
      <c r="BU68" s="5">
        <f>IF(BN68,SUMPRODUCT(--(calc!$BN$3:$BN$306=TRUE),--(ROW(calc!$BN$3:$BN$306)&gt;ROW(BN68)),--(((calc!$BS$3:$BS$306&gt;BS68)*(calc!$BT$3:$BT$306&gt;BT68)+(calc!$BS$3:$BS$306&lt;BS68)*(calc!$BT$3:$BT$306&lt;BT68))&gt;0))-SUMPRODUCT(--(calc!$BN$3:$BN$306=TRUE),--(ROW(calc!$BN$3:$BN$306)&gt;ROW(BN68)),--(((calc!$BS$3:$BS$306&gt;BS68)*(calc!$BT$3:$BT$306&lt;BT68)+(calc!$BS$3:$BS$306&lt;BS68)*(calc!$BT$3:$BT$306&gt;BT68))&gt;0)),0)</f>
        <v/>
      </c>
    </row>
    <row r="69">
      <c r="A69" s="2">
        <f>mos_metrics!A68</f>
        <v/>
      </c>
      <c r="B69" s="2">
        <f>mos_metrics!B68</f>
        <v/>
      </c>
      <c r="C69" s="2">
        <f>mos_metrics!C68</f>
        <v/>
      </c>
      <c r="D69" s="2">
        <f>mos_metrics!D68</f>
        <v/>
      </c>
      <c r="E69" s="2">
        <f>mos_metrics!E68</f>
        <v/>
      </c>
      <c r="F69" s="2">
        <f>mos_metrics!F68</f>
        <v/>
      </c>
      <c r="G69" s="2">
        <f>IF($B69="","",IFERROR(VLOOKUP($B69,correlation!$A$2:$B$16,2,FALSE),1))</f>
        <v/>
      </c>
      <c r="H69" s="2">
        <f>IF($E69="","",IFERROR(VLOOKUP($E69,correlation!$D$2:$E$8,2,FALSE),1))</f>
        <v/>
      </c>
      <c r="I69" s="2">
        <f>ISNUMBER($F69)</f>
        <v/>
      </c>
      <c r="J69" s="2">
        <f>AND($G69=1,$H69=1,$I69)</f>
        <v/>
      </c>
      <c r="K69" s="5">
        <f>IF(mos_metrics!G68="","",mos_metrics!G68)</f>
        <v/>
      </c>
      <c r="L69" s="2">
        <f>AND($J69,ISNUMBER(K69),correlation!$I$26=1)</f>
        <v/>
      </c>
      <c r="M69" s="5">
        <f>IF(L69,$F69,"")</f>
        <v/>
      </c>
      <c r="N69" s="5">
        <f>IF(L69,K69*correlation!$J$26,"")</f>
        <v/>
      </c>
      <c r="O69" s="5">
        <f>IF(AND(L69,ISNUMBER(correlation!$F$26)),N69*correlation!$F$26+correlation!$G$26,"")</f>
        <v/>
      </c>
      <c r="P69" s="5">
        <f>IF(AND(L69,ISNUMBER(O69)),(M69-O69)^2,"")</f>
        <v/>
      </c>
      <c r="Q69" s="5">
        <f>IF(L69,1+SUMPRODUCT(--(calc!$L$3:$L$306=TRUE),--(calc!$M$3:$M$306&gt;M69))+(SUMPRODUCT(--(calc!$L$3:$L$306=TRUE),--(calc!$M$3:$M$306=M69))-1)/2,"")</f>
        <v/>
      </c>
      <c r="R69" s="5">
        <f>IF(L69,1+SUMPRODUCT(--(calc!$L$3:$L$306=TRUE),--(calc!$N$3:$N$306&gt;N69))+(SUMPRODUCT(--(calc!$L$3:$L$306=TRUE),--(calc!$N$3:$N$306=N69))-1)/2,"")</f>
        <v/>
      </c>
      <c r="S69" s="5">
        <f>IF(L69,SUMPRODUCT(--(calc!$L$3:$L$306=TRUE),--(ROW(calc!$L$3:$L$306)&gt;ROW(L69)),--(((calc!$Q$3:$Q$306&gt;Q69)*(calc!$R$3:$R$306&gt;R69)+(calc!$Q$3:$Q$306&lt;Q69)*(calc!$R$3:$R$306&lt;R69))&gt;0))-SUMPRODUCT(--(calc!$L$3:$L$306=TRUE),--(ROW(calc!$L$3:$L$306)&gt;ROW(L69)),--(((calc!$Q$3:$Q$306&gt;Q69)*(calc!$R$3:$R$306&lt;R69)+(calc!$Q$3:$Q$306&lt;Q69)*(calc!$R$3:$R$306&gt;R69))&gt;0)),0)</f>
        <v/>
      </c>
      <c r="T69" s="5">
        <f>IF(mos_metrics!H68="","",mos_metrics!H68)</f>
        <v/>
      </c>
      <c r="U69" s="2">
        <f>AND($J69,ISNUMBER(T69),correlation!$I$27=1)</f>
        <v/>
      </c>
      <c r="V69" s="5">
        <f>IF(U69,$F69,"")</f>
        <v/>
      </c>
      <c r="W69" s="5">
        <f>IF(U69,T69*correlation!$J$27,"")</f>
        <v/>
      </c>
      <c r="X69" s="5">
        <f>IF(AND(U69,ISNUMBER(correlation!$F$27)),W69*correlation!$F$27+correlation!$G$27,"")</f>
        <v/>
      </c>
      <c r="Y69" s="5">
        <f>IF(AND(U69,ISNUMBER(X69)),(V69-X69)^2,"")</f>
        <v/>
      </c>
      <c r="Z69" s="5">
        <f>IF(U69,1+SUMPRODUCT(--(calc!$U$3:$U$306=TRUE),--(calc!$V$3:$V$306&gt;V69))+(SUMPRODUCT(--(calc!$U$3:$U$306=TRUE),--(calc!$V$3:$V$306=V69))-1)/2,"")</f>
        <v/>
      </c>
      <c r="AA69" s="5">
        <f>IF(U69,1+SUMPRODUCT(--(calc!$U$3:$U$306=TRUE),--(calc!$W$3:$W$306&gt;W69))+(SUMPRODUCT(--(calc!$U$3:$U$306=TRUE),--(calc!$W$3:$W$306=W69))-1)/2,"")</f>
        <v/>
      </c>
      <c r="AB69" s="5">
        <f>IF(U69,SUMPRODUCT(--(calc!$U$3:$U$306=TRUE),--(ROW(calc!$U$3:$U$306)&gt;ROW(U69)),--(((calc!$Z$3:$Z$306&gt;Z69)*(calc!$AA$3:$AA$306&gt;AA69)+(calc!$Z$3:$Z$306&lt;Z69)*(calc!$AA$3:$AA$306&lt;AA69))&gt;0))-SUMPRODUCT(--(calc!$U$3:$U$306=TRUE),--(ROW(calc!$U$3:$U$306)&gt;ROW(U69)),--(((calc!$Z$3:$Z$306&gt;Z69)*(calc!$AA$3:$AA$306&lt;AA69)+(calc!$Z$3:$Z$306&lt;Z69)*(calc!$AA$3:$AA$306&gt;AA69))&gt;0)),0)</f>
        <v/>
      </c>
      <c r="AC69" s="5">
        <f>IF(mos_metrics!I68="","",mos_metrics!I68)</f>
        <v/>
      </c>
      <c r="AD69" s="2">
        <f>AND($J69,ISNUMBER(AC69),correlation!$I$28=1)</f>
        <v/>
      </c>
      <c r="AE69" s="5">
        <f>IF(AD69,$F69,"")</f>
        <v/>
      </c>
      <c r="AF69" s="5">
        <f>IF(AD69,AC69*correlation!$J$28,"")</f>
        <v/>
      </c>
      <c r="AG69" s="5">
        <f>IF(AND(AD69,ISNUMBER(correlation!$F$28)),AF69*correlation!$F$28+correlation!$G$28,"")</f>
        <v/>
      </c>
      <c r="AH69" s="5">
        <f>IF(AND(AD69,ISNUMBER(AG69)),(AE69-AG69)^2,"")</f>
        <v/>
      </c>
      <c r="AI69" s="5">
        <f>IF(AD69,1+SUMPRODUCT(--(calc!$AD$3:$AD$306=TRUE),--(calc!$AE$3:$AE$306&gt;AE69))+(SUMPRODUCT(--(calc!$AD$3:$AD$306=TRUE),--(calc!$AE$3:$AE$306=AE69))-1)/2,"")</f>
        <v/>
      </c>
      <c r="AJ69" s="5">
        <f>IF(AD69,1+SUMPRODUCT(--(calc!$AD$3:$AD$306=TRUE),--(calc!$AF$3:$AF$306&gt;AF69))+(SUMPRODUCT(--(calc!$AD$3:$AD$306=TRUE),--(calc!$AF$3:$AF$306=AF69))-1)/2,"")</f>
        <v/>
      </c>
      <c r="AK69" s="5">
        <f>IF(AD69,SUMPRODUCT(--(calc!$AD$3:$AD$306=TRUE),--(ROW(calc!$AD$3:$AD$306)&gt;ROW(AD69)),--(((calc!$AI$3:$AI$306&gt;AI69)*(calc!$AJ$3:$AJ$306&gt;AJ69)+(calc!$AI$3:$AI$306&lt;AI69)*(calc!$AJ$3:$AJ$306&lt;AJ69))&gt;0))-SUMPRODUCT(--(calc!$AD$3:$AD$306=TRUE),--(ROW(calc!$AD$3:$AD$306)&gt;ROW(AD69)),--(((calc!$AI$3:$AI$306&gt;AI69)*(calc!$AJ$3:$AJ$306&lt;AJ69)+(calc!$AI$3:$AI$306&lt;AI69)*(calc!$AJ$3:$AJ$306&gt;AJ69))&gt;0)),0)</f>
        <v/>
      </c>
      <c r="AL69" s="5">
        <f>IF(mos_metrics!J68="","",mos_metrics!J68)</f>
        <v/>
      </c>
      <c r="AM69" s="2">
        <f>AND($J69,ISNUMBER(AL69),correlation!$I$29=1)</f>
        <v/>
      </c>
      <c r="AN69" s="5">
        <f>IF(AM69,$F69,"")</f>
        <v/>
      </c>
      <c r="AO69" s="5">
        <f>IF(AM69,AL69*correlation!$J$29,"")</f>
        <v/>
      </c>
      <c r="AP69" s="5">
        <f>IF(AND(AM69,ISNUMBER(correlation!$F$29)),AO69*correlation!$F$29+correlation!$G$29,"")</f>
        <v/>
      </c>
      <c r="AQ69" s="5">
        <f>IF(AND(AM69,ISNUMBER(AP69)),(AN69-AP69)^2,"")</f>
        <v/>
      </c>
      <c r="AR69" s="5">
        <f>IF(AM69,1+SUMPRODUCT(--(calc!$AM$3:$AM$306=TRUE),--(calc!$AN$3:$AN$306&gt;AN69))+(SUMPRODUCT(--(calc!$AM$3:$AM$306=TRUE),--(calc!$AN$3:$AN$306=AN69))-1)/2,"")</f>
        <v/>
      </c>
      <c r="AS69" s="5">
        <f>IF(AM69,1+SUMPRODUCT(--(calc!$AM$3:$AM$306=TRUE),--(calc!$AO$3:$AO$306&gt;AO69))+(SUMPRODUCT(--(calc!$AM$3:$AM$306=TRUE),--(calc!$AO$3:$AO$306=AO69))-1)/2,"")</f>
        <v/>
      </c>
      <c r="AT69" s="5">
        <f>IF(AM69,SUMPRODUCT(--(calc!$AM$3:$AM$306=TRUE),--(ROW(calc!$AM$3:$AM$306)&gt;ROW(AM69)),--(((calc!$AR$3:$AR$306&gt;AR69)*(calc!$AS$3:$AS$306&gt;AS69)+(calc!$AR$3:$AR$306&lt;AR69)*(calc!$AS$3:$AS$306&lt;AS69))&gt;0))-SUMPRODUCT(--(calc!$AM$3:$AM$306=TRUE),--(ROW(calc!$AM$3:$AM$306)&gt;ROW(AM69)),--(((calc!$AR$3:$AR$306&gt;AR69)*(calc!$AS$3:$AS$306&lt;AS69)+(calc!$AR$3:$AR$306&lt;AR69)*(calc!$AS$3:$AS$306&gt;AS69))&gt;0)),0)</f>
        <v/>
      </c>
      <c r="AU69" s="5">
        <f>IF(mos_metrics!K68="","",mos_metrics!K68)</f>
        <v/>
      </c>
      <c r="AV69" s="2">
        <f>AND($J69,ISNUMBER(AU69),correlation!$I$30=1)</f>
        <v/>
      </c>
      <c r="AW69" s="5">
        <f>IF(AV69,$F69,"")</f>
        <v/>
      </c>
      <c r="AX69" s="5">
        <f>IF(AV69,AU69*correlation!$J$30,"")</f>
        <v/>
      </c>
      <c r="AY69" s="5">
        <f>IF(AND(AV69,ISNUMBER(correlation!$F$30)),AX69*correlation!$F$30+correlation!$G$30,"")</f>
        <v/>
      </c>
      <c r="AZ69" s="5">
        <f>IF(AND(AV69,ISNUMBER(AY69)),(AW69-AY69)^2,"")</f>
        <v/>
      </c>
      <c r="BA69" s="5">
        <f>IF(AV69,1+SUMPRODUCT(--(calc!$AV$3:$AV$306=TRUE),--(calc!$AW$3:$AW$306&gt;AW69))+(SUMPRODUCT(--(calc!$AV$3:$AV$306=TRUE),--(calc!$AW$3:$AW$306=AW69))-1)/2,"")</f>
        <v/>
      </c>
      <c r="BB69" s="5">
        <f>IF(AV69,1+SUMPRODUCT(--(calc!$AV$3:$AV$306=TRUE),--(calc!$AX$3:$AX$306&gt;AX69))+(SUMPRODUCT(--(calc!$AV$3:$AV$306=TRUE),--(calc!$AX$3:$AX$306=AX69))-1)/2,"")</f>
        <v/>
      </c>
      <c r="BC69" s="5">
        <f>IF(AV69,SUMPRODUCT(--(calc!$AV$3:$AV$306=TRUE),--(ROW(calc!$AV$3:$AV$306)&gt;ROW(AV69)),--(((calc!$BA$3:$BA$306&gt;BA69)*(calc!$BB$3:$BB$306&gt;BB69)+(calc!$BA$3:$BA$306&lt;BA69)*(calc!$BB$3:$BB$306&lt;BB69))&gt;0))-SUMPRODUCT(--(calc!$AV$3:$AV$306=TRUE),--(ROW(calc!$AV$3:$AV$306)&gt;ROW(AV69)),--(((calc!$BA$3:$BA$306&gt;BA69)*(calc!$BB$3:$BB$306&lt;BB69)+(calc!$BA$3:$BA$306&lt;BA69)*(calc!$BB$3:$BB$306&gt;BB69))&gt;0)),0)</f>
        <v/>
      </c>
      <c r="BD69" s="5">
        <f>IF(mos_metrics!L68="","",mos_metrics!L68)</f>
        <v/>
      </c>
      <c r="BE69" s="2">
        <f>AND($J69,ISNUMBER(BD69),correlation!$I$31=1)</f>
        <v/>
      </c>
      <c r="BF69" s="5">
        <f>IF(BE69,$F69,"")</f>
        <v/>
      </c>
      <c r="BG69" s="5">
        <f>IF(BE69,BD69*correlation!$J$31,"")</f>
        <v/>
      </c>
      <c r="BH69" s="5">
        <f>IF(AND(BE69,ISNUMBER(correlation!$F$31)),BG69*correlation!$F$31+correlation!$G$31,"")</f>
        <v/>
      </c>
      <c r="BI69" s="5">
        <f>IF(AND(BE69,ISNUMBER(BH69)),(BF69-BH69)^2,"")</f>
        <v/>
      </c>
      <c r="BJ69" s="5">
        <f>IF(BE69,1+SUMPRODUCT(--(calc!$BE$3:$BE$306=TRUE),--(calc!$BF$3:$BF$306&gt;BF69))+(SUMPRODUCT(--(calc!$BE$3:$BE$306=TRUE),--(calc!$BF$3:$BF$306=BF69))-1)/2,"")</f>
        <v/>
      </c>
      <c r="BK69" s="5">
        <f>IF(BE69,1+SUMPRODUCT(--(calc!$BE$3:$BE$306=TRUE),--(calc!$BG$3:$BG$306&gt;BG69))+(SUMPRODUCT(--(calc!$BE$3:$BE$306=TRUE),--(calc!$BG$3:$BG$306=BG69))-1)/2,"")</f>
        <v/>
      </c>
      <c r="BL69" s="5">
        <f>IF(BE69,SUMPRODUCT(--(calc!$BE$3:$BE$306=TRUE),--(ROW(calc!$BE$3:$BE$306)&gt;ROW(BE69)),--(((calc!$BJ$3:$BJ$306&gt;BJ69)*(calc!$BK$3:$BK$306&gt;BK69)+(calc!$BJ$3:$BJ$306&lt;BJ69)*(calc!$BK$3:$BK$306&lt;BK69))&gt;0))-SUMPRODUCT(--(calc!$BE$3:$BE$306=TRUE),--(ROW(calc!$BE$3:$BE$306)&gt;ROW(BE69)),--(((calc!$BJ$3:$BJ$306&gt;BJ69)*(calc!$BK$3:$BK$306&lt;BK69)+(calc!$BJ$3:$BJ$306&lt;BJ69)*(calc!$BK$3:$BK$306&gt;BK69))&gt;0)),0)</f>
        <v/>
      </c>
      <c r="BM69" s="5">
        <f>IF(mos_metrics!M68="","",mos_metrics!M68)</f>
        <v/>
      </c>
      <c r="BN69" s="2">
        <f>AND($J69,ISNUMBER(BM69),correlation!$I$32=1)</f>
        <v/>
      </c>
      <c r="BO69" s="5">
        <f>IF(BN69,$F69,"")</f>
        <v/>
      </c>
      <c r="BP69" s="5">
        <f>IF(BN69,BM69*correlation!$J$32,"")</f>
        <v/>
      </c>
      <c r="BQ69" s="5">
        <f>IF(AND(BN69,ISNUMBER(correlation!$F$32)),BP69*correlation!$F$32+correlation!$G$32,"")</f>
        <v/>
      </c>
      <c r="BR69" s="5">
        <f>IF(AND(BN69,ISNUMBER(BQ69)),(BO69-BQ69)^2,"")</f>
        <v/>
      </c>
      <c r="BS69" s="5">
        <f>IF(BN69,1+SUMPRODUCT(--(calc!$BN$3:$BN$306=TRUE),--(calc!$BO$3:$BO$306&gt;BO69))+(SUMPRODUCT(--(calc!$BN$3:$BN$306=TRUE),--(calc!$BO$3:$BO$306=BO69))-1)/2,"")</f>
        <v/>
      </c>
      <c r="BT69" s="5">
        <f>IF(BN69,1+SUMPRODUCT(--(calc!$BN$3:$BN$306=TRUE),--(calc!$BP$3:$BP$306&gt;BP69))+(SUMPRODUCT(--(calc!$BN$3:$BN$306=TRUE),--(calc!$BP$3:$BP$306=BP69))-1)/2,"")</f>
        <v/>
      </c>
      <c r="BU69" s="5">
        <f>IF(BN69,SUMPRODUCT(--(calc!$BN$3:$BN$306=TRUE),--(ROW(calc!$BN$3:$BN$306)&gt;ROW(BN69)),--(((calc!$BS$3:$BS$306&gt;BS69)*(calc!$BT$3:$BT$306&gt;BT69)+(calc!$BS$3:$BS$306&lt;BS69)*(calc!$BT$3:$BT$306&lt;BT69))&gt;0))-SUMPRODUCT(--(calc!$BN$3:$BN$306=TRUE),--(ROW(calc!$BN$3:$BN$306)&gt;ROW(BN69)),--(((calc!$BS$3:$BS$306&gt;BS69)*(calc!$BT$3:$BT$306&lt;BT69)+(calc!$BS$3:$BS$306&lt;BS69)*(calc!$BT$3:$BT$306&gt;BT69))&gt;0)),0)</f>
        <v/>
      </c>
    </row>
    <row r="70">
      <c r="A70" s="2">
        <f>mos_metrics!A69</f>
        <v/>
      </c>
      <c r="B70" s="2">
        <f>mos_metrics!B69</f>
        <v/>
      </c>
      <c r="C70" s="2">
        <f>mos_metrics!C69</f>
        <v/>
      </c>
      <c r="D70" s="2">
        <f>mos_metrics!D69</f>
        <v/>
      </c>
      <c r="E70" s="2">
        <f>mos_metrics!E69</f>
        <v/>
      </c>
      <c r="F70" s="2">
        <f>mos_metrics!F69</f>
        <v/>
      </c>
      <c r="G70" s="2">
        <f>IF($B70="","",IFERROR(VLOOKUP($B70,correlation!$A$2:$B$16,2,FALSE),1))</f>
        <v/>
      </c>
      <c r="H70" s="2">
        <f>IF($E70="","",IFERROR(VLOOKUP($E70,correlation!$D$2:$E$8,2,FALSE),1))</f>
        <v/>
      </c>
      <c r="I70" s="2">
        <f>ISNUMBER($F70)</f>
        <v/>
      </c>
      <c r="J70" s="2">
        <f>AND($G70=1,$H70=1,$I70)</f>
        <v/>
      </c>
      <c r="K70" s="5">
        <f>IF(mos_metrics!G69="","",mos_metrics!G69)</f>
        <v/>
      </c>
      <c r="L70" s="2">
        <f>AND($J70,ISNUMBER(K70),correlation!$I$26=1)</f>
        <v/>
      </c>
      <c r="M70" s="5">
        <f>IF(L70,$F70,"")</f>
        <v/>
      </c>
      <c r="N70" s="5">
        <f>IF(L70,K70*correlation!$J$26,"")</f>
        <v/>
      </c>
      <c r="O70" s="5">
        <f>IF(AND(L70,ISNUMBER(correlation!$F$26)),N70*correlation!$F$26+correlation!$G$26,"")</f>
        <v/>
      </c>
      <c r="P70" s="5">
        <f>IF(AND(L70,ISNUMBER(O70)),(M70-O70)^2,"")</f>
        <v/>
      </c>
      <c r="Q70" s="5">
        <f>IF(L70,1+SUMPRODUCT(--(calc!$L$3:$L$306=TRUE),--(calc!$M$3:$M$306&gt;M70))+(SUMPRODUCT(--(calc!$L$3:$L$306=TRUE),--(calc!$M$3:$M$306=M70))-1)/2,"")</f>
        <v/>
      </c>
      <c r="R70" s="5">
        <f>IF(L70,1+SUMPRODUCT(--(calc!$L$3:$L$306=TRUE),--(calc!$N$3:$N$306&gt;N70))+(SUMPRODUCT(--(calc!$L$3:$L$306=TRUE),--(calc!$N$3:$N$306=N70))-1)/2,"")</f>
        <v/>
      </c>
      <c r="S70" s="5">
        <f>IF(L70,SUMPRODUCT(--(calc!$L$3:$L$306=TRUE),--(ROW(calc!$L$3:$L$306)&gt;ROW(L70)),--(((calc!$Q$3:$Q$306&gt;Q70)*(calc!$R$3:$R$306&gt;R70)+(calc!$Q$3:$Q$306&lt;Q70)*(calc!$R$3:$R$306&lt;R70))&gt;0))-SUMPRODUCT(--(calc!$L$3:$L$306=TRUE),--(ROW(calc!$L$3:$L$306)&gt;ROW(L70)),--(((calc!$Q$3:$Q$306&gt;Q70)*(calc!$R$3:$R$306&lt;R70)+(calc!$Q$3:$Q$306&lt;Q70)*(calc!$R$3:$R$306&gt;R70))&gt;0)),0)</f>
        <v/>
      </c>
      <c r="T70" s="5">
        <f>IF(mos_metrics!H69="","",mos_metrics!H69)</f>
        <v/>
      </c>
      <c r="U70" s="2">
        <f>AND($J70,ISNUMBER(T70),correlation!$I$27=1)</f>
        <v/>
      </c>
      <c r="V70" s="5">
        <f>IF(U70,$F70,"")</f>
        <v/>
      </c>
      <c r="W70" s="5">
        <f>IF(U70,T70*correlation!$J$27,"")</f>
        <v/>
      </c>
      <c r="X70" s="5">
        <f>IF(AND(U70,ISNUMBER(correlation!$F$27)),W70*correlation!$F$27+correlation!$G$27,"")</f>
        <v/>
      </c>
      <c r="Y70" s="5">
        <f>IF(AND(U70,ISNUMBER(X70)),(V70-X70)^2,"")</f>
        <v/>
      </c>
      <c r="Z70" s="5">
        <f>IF(U70,1+SUMPRODUCT(--(calc!$U$3:$U$306=TRUE),--(calc!$V$3:$V$306&gt;V70))+(SUMPRODUCT(--(calc!$U$3:$U$306=TRUE),--(calc!$V$3:$V$306=V70))-1)/2,"")</f>
        <v/>
      </c>
      <c r="AA70" s="5">
        <f>IF(U70,1+SUMPRODUCT(--(calc!$U$3:$U$306=TRUE),--(calc!$W$3:$W$306&gt;W70))+(SUMPRODUCT(--(calc!$U$3:$U$306=TRUE),--(calc!$W$3:$W$306=W70))-1)/2,"")</f>
        <v/>
      </c>
      <c r="AB70" s="5">
        <f>IF(U70,SUMPRODUCT(--(calc!$U$3:$U$306=TRUE),--(ROW(calc!$U$3:$U$306)&gt;ROW(U70)),--(((calc!$Z$3:$Z$306&gt;Z70)*(calc!$AA$3:$AA$306&gt;AA70)+(calc!$Z$3:$Z$306&lt;Z70)*(calc!$AA$3:$AA$306&lt;AA70))&gt;0))-SUMPRODUCT(--(calc!$U$3:$U$306=TRUE),--(ROW(calc!$U$3:$U$306)&gt;ROW(U70)),--(((calc!$Z$3:$Z$306&gt;Z70)*(calc!$AA$3:$AA$306&lt;AA70)+(calc!$Z$3:$Z$306&lt;Z70)*(calc!$AA$3:$AA$306&gt;AA70))&gt;0)),0)</f>
        <v/>
      </c>
      <c r="AC70" s="5">
        <f>IF(mos_metrics!I69="","",mos_metrics!I69)</f>
        <v/>
      </c>
      <c r="AD70" s="2">
        <f>AND($J70,ISNUMBER(AC70),correlation!$I$28=1)</f>
        <v/>
      </c>
      <c r="AE70" s="5">
        <f>IF(AD70,$F70,"")</f>
        <v/>
      </c>
      <c r="AF70" s="5">
        <f>IF(AD70,AC70*correlation!$J$28,"")</f>
        <v/>
      </c>
      <c r="AG70" s="5">
        <f>IF(AND(AD70,ISNUMBER(correlation!$F$28)),AF70*correlation!$F$28+correlation!$G$28,"")</f>
        <v/>
      </c>
      <c r="AH70" s="5">
        <f>IF(AND(AD70,ISNUMBER(AG70)),(AE70-AG70)^2,"")</f>
        <v/>
      </c>
      <c r="AI70" s="5">
        <f>IF(AD70,1+SUMPRODUCT(--(calc!$AD$3:$AD$306=TRUE),--(calc!$AE$3:$AE$306&gt;AE70))+(SUMPRODUCT(--(calc!$AD$3:$AD$306=TRUE),--(calc!$AE$3:$AE$306=AE70))-1)/2,"")</f>
        <v/>
      </c>
      <c r="AJ70" s="5">
        <f>IF(AD70,1+SUMPRODUCT(--(calc!$AD$3:$AD$306=TRUE),--(calc!$AF$3:$AF$306&gt;AF70))+(SUMPRODUCT(--(calc!$AD$3:$AD$306=TRUE),--(calc!$AF$3:$AF$306=AF70))-1)/2,"")</f>
        <v/>
      </c>
      <c r="AK70" s="5">
        <f>IF(AD70,SUMPRODUCT(--(calc!$AD$3:$AD$306=TRUE),--(ROW(calc!$AD$3:$AD$306)&gt;ROW(AD70)),--(((calc!$AI$3:$AI$306&gt;AI70)*(calc!$AJ$3:$AJ$306&gt;AJ70)+(calc!$AI$3:$AI$306&lt;AI70)*(calc!$AJ$3:$AJ$306&lt;AJ70))&gt;0))-SUMPRODUCT(--(calc!$AD$3:$AD$306=TRUE),--(ROW(calc!$AD$3:$AD$306)&gt;ROW(AD70)),--(((calc!$AI$3:$AI$306&gt;AI70)*(calc!$AJ$3:$AJ$306&lt;AJ70)+(calc!$AI$3:$AI$306&lt;AI70)*(calc!$AJ$3:$AJ$306&gt;AJ70))&gt;0)),0)</f>
        <v/>
      </c>
      <c r="AL70" s="5">
        <f>IF(mos_metrics!J69="","",mos_metrics!J69)</f>
        <v/>
      </c>
      <c r="AM70" s="2">
        <f>AND($J70,ISNUMBER(AL70),correlation!$I$29=1)</f>
        <v/>
      </c>
      <c r="AN70" s="5">
        <f>IF(AM70,$F70,"")</f>
        <v/>
      </c>
      <c r="AO70" s="5">
        <f>IF(AM70,AL70*correlation!$J$29,"")</f>
        <v/>
      </c>
      <c r="AP70" s="5">
        <f>IF(AND(AM70,ISNUMBER(correlation!$F$29)),AO70*correlation!$F$29+correlation!$G$29,"")</f>
        <v/>
      </c>
      <c r="AQ70" s="5">
        <f>IF(AND(AM70,ISNUMBER(AP70)),(AN70-AP70)^2,"")</f>
        <v/>
      </c>
      <c r="AR70" s="5">
        <f>IF(AM70,1+SUMPRODUCT(--(calc!$AM$3:$AM$306=TRUE),--(calc!$AN$3:$AN$306&gt;AN70))+(SUMPRODUCT(--(calc!$AM$3:$AM$306=TRUE),--(calc!$AN$3:$AN$306=AN70))-1)/2,"")</f>
        <v/>
      </c>
      <c r="AS70" s="5">
        <f>IF(AM70,1+SUMPRODUCT(--(calc!$AM$3:$AM$306=TRUE),--(calc!$AO$3:$AO$306&gt;AO70))+(SUMPRODUCT(--(calc!$AM$3:$AM$306=TRUE),--(calc!$AO$3:$AO$306=AO70))-1)/2,"")</f>
        <v/>
      </c>
      <c r="AT70" s="5">
        <f>IF(AM70,SUMPRODUCT(--(calc!$AM$3:$AM$306=TRUE),--(ROW(calc!$AM$3:$AM$306)&gt;ROW(AM70)),--(((calc!$AR$3:$AR$306&gt;AR70)*(calc!$AS$3:$AS$306&gt;AS70)+(calc!$AR$3:$AR$306&lt;AR70)*(calc!$AS$3:$AS$306&lt;AS70))&gt;0))-SUMPRODUCT(--(calc!$AM$3:$AM$306=TRUE),--(ROW(calc!$AM$3:$AM$306)&gt;ROW(AM70)),--(((calc!$AR$3:$AR$306&gt;AR70)*(calc!$AS$3:$AS$306&lt;AS70)+(calc!$AR$3:$AR$306&lt;AR70)*(calc!$AS$3:$AS$306&gt;AS70))&gt;0)),0)</f>
        <v/>
      </c>
      <c r="AU70" s="5">
        <f>IF(mos_metrics!K69="","",mos_metrics!K69)</f>
        <v/>
      </c>
      <c r="AV70" s="2">
        <f>AND($J70,ISNUMBER(AU70),correlation!$I$30=1)</f>
        <v/>
      </c>
      <c r="AW70" s="5">
        <f>IF(AV70,$F70,"")</f>
        <v/>
      </c>
      <c r="AX70" s="5">
        <f>IF(AV70,AU70*correlation!$J$30,"")</f>
        <v/>
      </c>
      <c r="AY70" s="5">
        <f>IF(AND(AV70,ISNUMBER(correlation!$F$30)),AX70*correlation!$F$30+correlation!$G$30,"")</f>
        <v/>
      </c>
      <c r="AZ70" s="5">
        <f>IF(AND(AV70,ISNUMBER(AY70)),(AW70-AY70)^2,"")</f>
        <v/>
      </c>
      <c r="BA70" s="5">
        <f>IF(AV70,1+SUMPRODUCT(--(calc!$AV$3:$AV$306=TRUE),--(calc!$AW$3:$AW$306&gt;AW70))+(SUMPRODUCT(--(calc!$AV$3:$AV$306=TRUE),--(calc!$AW$3:$AW$306=AW70))-1)/2,"")</f>
        <v/>
      </c>
      <c r="BB70" s="5">
        <f>IF(AV70,1+SUMPRODUCT(--(calc!$AV$3:$AV$306=TRUE),--(calc!$AX$3:$AX$306&gt;AX70))+(SUMPRODUCT(--(calc!$AV$3:$AV$306=TRUE),--(calc!$AX$3:$AX$306=AX70))-1)/2,"")</f>
        <v/>
      </c>
      <c r="BC70" s="5">
        <f>IF(AV70,SUMPRODUCT(--(calc!$AV$3:$AV$306=TRUE),--(ROW(calc!$AV$3:$AV$306)&gt;ROW(AV70)),--(((calc!$BA$3:$BA$306&gt;BA70)*(calc!$BB$3:$BB$306&gt;BB70)+(calc!$BA$3:$BA$306&lt;BA70)*(calc!$BB$3:$BB$306&lt;BB70))&gt;0))-SUMPRODUCT(--(calc!$AV$3:$AV$306=TRUE),--(ROW(calc!$AV$3:$AV$306)&gt;ROW(AV70)),--(((calc!$BA$3:$BA$306&gt;BA70)*(calc!$BB$3:$BB$306&lt;BB70)+(calc!$BA$3:$BA$306&lt;BA70)*(calc!$BB$3:$BB$306&gt;BB70))&gt;0)),0)</f>
        <v/>
      </c>
      <c r="BD70" s="5">
        <f>IF(mos_metrics!L69="","",mos_metrics!L69)</f>
        <v/>
      </c>
      <c r="BE70" s="2">
        <f>AND($J70,ISNUMBER(BD70),correlation!$I$31=1)</f>
        <v/>
      </c>
      <c r="BF70" s="5">
        <f>IF(BE70,$F70,"")</f>
        <v/>
      </c>
      <c r="BG70" s="5">
        <f>IF(BE70,BD70*correlation!$J$31,"")</f>
        <v/>
      </c>
      <c r="BH70" s="5">
        <f>IF(AND(BE70,ISNUMBER(correlation!$F$31)),BG70*correlation!$F$31+correlation!$G$31,"")</f>
        <v/>
      </c>
      <c r="BI70" s="5">
        <f>IF(AND(BE70,ISNUMBER(BH70)),(BF70-BH70)^2,"")</f>
        <v/>
      </c>
      <c r="BJ70" s="5">
        <f>IF(BE70,1+SUMPRODUCT(--(calc!$BE$3:$BE$306=TRUE),--(calc!$BF$3:$BF$306&gt;BF70))+(SUMPRODUCT(--(calc!$BE$3:$BE$306=TRUE),--(calc!$BF$3:$BF$306=BF70))-1)/2,"")</f>
        <v/>
      </c>
      <c r="BK70" s="5">
        <f>IF(BE70,1+SUMPRODUCT(--(calc!$BE$3:$BE$306=TRUE),--(calc!$BG$3:$BG$306&gt;BG70))+(SUMPRODUCT(--(calc!$BE$3:$BE$306=TRUE),--(calc!$BG$3:$BG$306=BG70))-1)/2,"")</f>
        <v/>
      </c>
      <c r="BL70" s="5">
        <f>IF(BE70,SUMPRODUCT(--(calc!$BE$3:$BE$306=TRUE),--(ROW(calc!$BE$3:$BE$306)&gt;ROW(BE70)),--(((calc!$BJ$3:$BJ$306&gt;BJ70)*(calc!$BK$3:$BK$306&gt;BK70)+(calc!$BJ$3:$BJ$306&lt;BJ70)*(calc!$BK$3:$BK$306&lt;BK70))&gt;0))-SUMPRODUCT(--(calc!$BE$3:$BE$306=TRUE),--(ROW(calc!$BE$3:$BE$306)&gt;ROW(BE70)),--(((calc!$BJ$3:$BJ$306&gt;BJ70)*(calc!$BK$3:$BK$306&lt;BK70)+(calc!$BJ$3:$BJ$306&lt;BJ70)*(calc!$BK$3:$BK$306&gt;BK70))&gt;0)),0)</f>
        <v/>
      </c>
      <c r="BM70" s="5">
        <f>IF(mos_metrics!M69="","",mos_metrics!M69)</f>
        <v/>
      </c>
      <c r="BN70" s="2">
        <f>AND($J70,ISNUMBER(BM70),correlation!$I$32=1)</f>
        <v/>
      </c>
      <c r="BO70" s="5">
        <f>IF(BN70,$F70,"")</f>
        <v/>
      </c>
      <c r="BP70" s="5">
        <f>IF(BN70,BM70*correlation!$J$32,"")</f>
        <v/>
      </c>
      <c r="BQ70" s="5">
        <f>IF(AND(BN70,ISNUMBER(correlation!$F$32)),BP70*correlation!$F$32+correlation!$G$32,"")</f>
        <v/>
      </c>
      <c r="BR70" s="5">
        <f>IF(AND(BN70,ISNUMBER(BQ70)),(BO70-BQ70)^2,"")</f>
        <v/>
      </c>
      <c r="BS70" s="5">
        <f>IF(BN70,1+SUMPRODUCT(--(calc!$BN$3:$BN$306=TRUE),--(calc!$BO$3:$BO$306&gt;BO70))+(SUMPRODUCT(--(calc!$BN$3:$BN$306=TRUE),--(calc!$BO$3:$BO$306=BO70))-1)/2,"")</f>
        <v/>
      </c>
      <c r="BT70" s="5">
        <f>IF(BN70,1+SUMPRODUCT(--(calc!$BN$3:$BN$306=TRUE),--(calc!$BP$3:$BP$306&gt;BP70))+(SUMPRODUCT(--(calc!$BN$3:$BN$306=TRUE),--(calc!$BP$3:$BP$306=BP70))-1)/2,"")</f>
        <v/>
      </c>
      <c r="BU70" s="5">
        <f>IF(BN70,SUMPRODUCT(--(calc!$BN$3:$BN$306=TRUE),--(ROW(calc!$BN$3:$BN$306)&gt;ROW(BN70)),--(((calc!$BS$3:$BS$306&gt;BS70)*(calc!$BT$3:$BT$306&gt;BT70)+(calc!$BS$3:$BS$306&lt;BS70)*(calc!$BT$3:$BT$306&lt;BT70))&gt;0))-SUMPRODUCT(--(calc!$BN$3:$BN$306=TRUE),--(ROW(calc!$BN$3:$BN$306)&gt;ROW(BN70)),--(((calc!$BS$3:$BS$306&gt;BS70)*(calc!$BT$3:$BT$306&lt;BT70)+(calc!$BS$3:$BS$306&lt;BS70)*(calc!$BT$3:$BT$306&gt;BT70))&gt;0)),0)</f>
        <v/>
      </c>
    </row>
    <row r="71">
      <c r="A71" s="2">
        <f>mos_metrics!A70</f>
        <v/>
      </c>
      <c r="B71" s="2">
        <f>mos_metrics!B70</f>
        <v/>
      </c>
      <c r="C71" s="2">
        <f>mos_metrics!C70</f>
        <v/>
      </c>
      <c r="D71" s="2">
        <f>mos_metrics!D70</f>
        <v/>
      </c>
      <c r="E71" s="2">
        <f>mos_metrics!E70</f>
        <v/>
      </c>
      <c r="F71" s="2">
        <f>mos_metrics!F70</f>
        <v/>
      </c>
      <c r="G71" s="2">
        <f>IF($B71="","",IFERROR(VLOOKUP($B71,correlation!$A$2:$B$16,2,FALSE),1))</f>
        <v/>
      </c>
      <c r="H71" s="2">
        <f>IF($E71="","",IFERROR(VLOOKUP($E71,correlation!$D$2:$E$8,2,FALSE),1))</f>
        <v/>
      </c>
      <c r="I71" s="2">
        <f>ISNUMBER($F71)</f>
        <v/>
      </c>
      <c r="J71" s="2">
        <f>AND($G71=1,$H71=1,$I71)</f>
        <v/>
      </c>
      <c r="K71" s="5">
        <f>IF(mos_metrics!G70="","",mos_metrics!G70)</f>
        <v/>
      </c>
      <c r="L71" s="2">
        <f>AND($J71,ISNUMBER(K71),correlation!$I$26=1)</f>
        <v/>
      </c>
      <c r="M71" s="5">
        <f>IF(L71,$F71,"")</f>
        <v/>
      </c>
      <c r="N71" s="5">
        <f>IF(L71,K71*correlation!$J$26,"")</f>
        <v/>
      </c>
      <c r="O71" s="5">
        <f>IF(AND(L71,ISNUMBER(correlation!$F$26)),N71*correlation!$F$26+correlation!$G$26,"")</f>
        <v/>
      </c>
      <c r="P71" s="5">
        <f>IF(AND(L71,ISNUMBER(O71)),(M71-O71)^2,"")</f>
        <v/>
      </c>
      <c r="Q71" s="5">
        <f>IF(L71,1+SUMPRODUCT(--(calc!$L$3:$L$306=TRUE),--(calc!$M$3:$M$306&gt;M71))+(SUMPRODUCT(--(calc!$L$3:$L$306=TRUE),--(calc!$M$3:$M$306=M71))-1)/2,"")</f>
        <v/>
      </c>
      <c r="R71" s="5">
        <f>IF(L71,1+SUMPRODUCT(--(calc!$L$3:$L$306=TRUE),--(calc!$N$3:$N$306&gt;N71))+(SUMPRODUCT(--(calc!$L$3:$L$306=TRUE),--(calc!$N$3:$N$306=N71))-1)/2,"")</f>
        <v/>
      </c>
      <c r="S71" s="5">
        <f>IF(L71,SUMPRODUCT(--(calc!$L$3:$L$306=TRUE),--(ROW(calc!$L$3:$L$306)&gt;ROW(L71)),--(((calc!$Q$3:$Q$306&gt;Q71)*(calc!$R$3:$R$306&gt;R71)+(calc!$Q$3:$Q$306&lt;Q71)*(calc!$R$3:$R$306&lt;R71))&gt;0))-SUMPRODUCT(--(calc!$L$3:$L$306=TRUE),--(ROW(calc!$L$3:$L$306)&gt;ROW(L71)),--(((calc!$Q$3:$Q$306&gt;Q71)*(calc!$R$3:$R$306&lt;R71)+(calc!$Q$3:$Q$306&lt;Q71)*(calc!$R$3:$R$306&gt;R71))&gt;0)),0)</f>
        <v/>
      </c>
      <c r="T71" s="5">
        <f>IF(mos_metrics!H70="","",mos_metrics!H70)</f>
        <v/>
      </c>
      <c r="U71" s="2">
        <f>AND($J71,ISNUMBER(T71),correlation!$I$27=1)</f>
        <v/>
      </c>
      <c r="V71" s="5">
        <f>IF(U71,$F71,"")</f>
        <v/>
      </c>
      <c r="W71" s="5">
        <f>IF(U71,T71*correlation!$J$27,"")</f>
        <v/>
      </c>
      <c r="X71" s="5">
        <f>IF(AND(U71,ISNUMBER(correlation!$F$27)),W71*correlation!$F$27+correlation!$G$27,"")</f>
        <v/>
      </c>
      <c r="Y71" s="5">
        <f>IF(AND(U71,ISNUMBER(X71)),(V71-X71)^2,"")</f>
        <v/>
      </c>
      <c r="Z71" s="5">
        <f>IF(U71,1+SUMPRODUCT(--(calc!$U$3:$U$306=TRUE),--(calc!$V$3:$V$306&gt;V71))+(SUMPRODUCT(--(calc!$U$3:$U$306=TRUE),--(calc!$V$3:$V$306=V71))-1)/2,"")</f>
        <v/>
      </c>
      <c r="AA71" s="5">
        <f>IF(U71,1+SUMPRODUCT(--(calc!$U$3:$U$306=TRUE),--(calc!$W$3:$W$306&gt;W71))+(SUMPRODUCT(--(calc!$U$3:$U$306=TRUE),--(calc!$W$3:$W$306=W71))-1)/2,"")</f>
        <v/>
      </c>
      <c r="AB71" s="5">
        <f>IF(U71,SUMPRODUCT(--(calc!$U$3:$U$306=TRUE),--(ROW(calc!$U$3:$U$306)&gt;ROW(U71)),--(((calc!$Z$3:$Z$306&gt;Z71)*(calc!$AA$3:$AA$306&gt;AA71)+(calc!$Z$3:$Z$306&lt;Z71)*(calc!$AA$3:$AA$306&lt;AA71))&gt;0))-SUMPRODUCT(--(calc!$U$3:$U$306=TRUE),--(ROW(calc!$U$3:$U$306)&gt;ROW(U71)),--(((calc!$Z$3:$Z$306&gt;Z71)*(calc!$AA$3:$AA$306&lt;AA71)+(calc!$Z$3:$Z$306&lt;Z71)*(calc!$AA$3:$AA$306&gt;AA71))&gt;0)),0)</f>
        <v/>
      </c>
      <c r="AC71" s="5">
        <f>IF(mos_metrics!I70="","",mos_metrics!I70)</f>
        <v/>
      </c>
      <c r="AD71" s="2">
        <f>AND($J71,ISNUMBER(AC71),correlation!$I$28=1)</f>
        <v/>
      </c>
      <c r="AE71" s="5">
        <f>IF(AD71,$F71,"")</f>
        <v/>
      </c>
      <c r="AF71" s="5">
        <f>IF(AD71,AC71*correlation!$J$28,"")</f>
        <v/>
      </c>
      <c r="AG71" s="5">
        <f>IF(AND(AD71,ISNUMBER(correlation!$F$28)),AF71*correlation!$F$28+correlation!$G$28,"")</f>
        <v/>
      </c>
      <c r="AH71" s="5">
        <f>IF(AND(AD71,ISNUMBER(AG71)),(AE71-AG71)^2,"")</f>
        <v/>
      </c>
      <c r="AI71" s="5">
        <f>IF(AD71,1+SUMPRODUCT(--(calc!$AD$3:$AD$306=TRUE),--(calc!$AE$3:$AE$306&gt;AE71))+(SUMPRODUCT(--(calc!$AD$3:$AD$306=TRUE),--(calc!$AE$3:$AE$306=AE71))-1)/2,"")</f>
        <v/>
      </c>
      <c r="AJ71" s="5">
        <f>IF(AD71,1+SUMPRODUCT(--(calc!$AD$3:$AD$306=TRUE),--(calc!$AF$3:$AF$306&gt;AF71))+(SUMPRODUCT(--(calc!$AD$3:$AD$306=TRUE),--(calc!$AF$3:$AF$306=AF71))-1)/2,"")</f>
        <v/>
      </c>
      <c r="AK71" s="5">
        <f>IF(AD71,SUMPRODUCT(--(calc!$AD$3:$AD$306=TRUE),--(ROW(calc!$AD$3:$AD$306)&gt;ROW(AD71)),--(((calc!$AI$3:$AI$306&gt;AI71)*(calc!$AJ$3:$AJ$306&gt;AJ71)+(calc!$AI$3:$AI$306&lt;AI71)*(calc!$AJ$3:$AJ$306&lt;AJ71))&gt;0))-SUMPRODUCT(--(calc!$AD$3:$AD$306=TRUE),--(ROW(calc!$AD$3:$AD$306)&gt;ROW(AD71)),--(((calc!$AI$3:$AI$306&gt;AI71)*(calc!$AJ$3:$AJ$306&lt;AJ71)+(calc!$AI$3:$AI$306&lt;AI71)*(calc!$AJ$3:$AJ$306&gt;AJ71))&gt;0)),0)</f>
        <v/>
      </c>
      <c r="AL71" s="5">
        <f>IF(mos_metrics!J70="","",mos_metrics!J70)</f>
        <v/>
      </c>
      <c r="AM71" s="2">
        <f>AND($J71,ISNUMBER(AL71),correlation!$I$29=1)</f>
        <v/>
      </c>
      <c r="AN71" s="5">
        <f>IF(AM71,$F71,"")</f>
        <v/>
      </c>
      <c r="AO71" s="5">
        <f>IF(AM71,AL71*correlation!$J$29,"")</f>
        <v/>
      </c>
      <c r="AP71" s="5">
        <f>IF(AND(AM71,ISNUMBER(correlation!$F$29)),AO71*correlation!$F$29+correlation!$G$29,"")</f>
        <v/>
      </c>
      <c r="AQ71" s="5">
        <f>IF(AND(AM71,ISNUMBER(AP71)),(AN71-AP71)^2,"")</f>
        <v/>
      </c>
      <c r="AR71" s="5">
        <f>IF(AM71,1+SUMPRODUCT(--(calc!$AM$3:$AM$306=TRUE),--(calc!$AN$3:$AN$306&gt;AN71))+(SUMPRODUCT(--(calc!$AM$3:$AM$306=TRUE),--(calc!$AN$3:$AN$306=AN71))-1)/2,"")</f>
        <v/>
      </c>
      <c r="AS71" s="5">
        <f>IF(AM71,1+SUMPRODUCT(--(calc!$AM$3:$AM$306=TRUE),--(calc!$AO$3:$AO$306&gt;AO71))+(SUMPRODUCT(--(calc!$AM$3:$AM$306=TRUE),--(calc!$AO$3:$AO$306=AO71))-1)/2,"")</f>
        <v/>
      </c>
      <c r="AT71" s="5">
        <f>IF(AM71,SUMPRODUCT(--(calc!$AM$3:$AM$306=TRUE),--(ROW(calc!$AM$3:$AM$306)&gt;ROW(AM71)),--(((calc!$AR$3:$AR$306&gt;AR71)*(calc!$AS$3:$AS$306&gt;AS71)+(calc!$AR$3:$AR$306&lt;AR71)*(calc!$AS$3:$AS$306&lt;AS71))&gt;0))-SUMPRODUCT(--(calc!$AM$3:$AM$306=TRUE),--(ROW(calc!$AM$3:$AM$306)&gt;ROW(AM71)),--(((calc!$AR$3:$AR$306&gt;AR71)*(calc!$AS$3:$AS$306&lt;AS71)+(calc!$AR$3:$AR$306&lt;AR71)*(calc!$AS$3:$AS$306&gt;AS71))&gt;0)),0)</f>
        <v/>
      </c>
      <c r="AU71" s="5">
        <f>IF(mos_metrics!K70="","",mos_metrics!K70)</f>
        <v/>
      </c>
      <c r="AV71" s="2">
        <f>AND($J71,ISNUMBER(AU71),correlation!$I$30=1)</f>
        <v/>
      </c>
      <c r="AW71" s="5">
        <f>IF(AV71,$F71,"")</f>
        <v/>
      </c>
      <c r="AX71" s="5">
        <f>IF(AV71,AU71*correlation!$J$30,"")</f>
        <v/>
      </c>
      <c r="AY71" s="5">
        <f>IF(AND(AV71,ISNUMBER(correlation!$F$30)),AX71*correlation!$F$30+correlation!$G$30,"")</f>
        <v/>
      </c>
      <c r="AZ71" s="5">
        <f>IF(AND(AV71,ISNUMBER(AY71)),(AW71-AY71)^2,"")</f>
        <v/>
      </c>
      <c r="BA71" s="5">
        <f>IF(AV71,1+SUMPRODUCT(--(calc!$AV$3:$AV$306=TRUE),--(calc!$AW$3:$AW$306&gt;AW71))+(SUMPRODUCT(--(calc!$AV$3:$AV$306=TRUE),--(calc!$AW$3:$AW$306=AW71))-1)/2,"")</f>
        <v/>
      </c>
      <c r="BB71" s="5">
        <f>IF(AV71,1+SUMPRODUCT(--(calc!$AV$3:$AV$306=TRUE),--(calc!$AX$3:$AX$306&gt;AX71))+(SUMPRODUCT(--(calc!$AV$3:$AV$306=TRUE),--(calc!$AX$3:$AX$306=AX71))-1)/2,"")</f>
        <v/>
      </c>
      <c r="BC71" s="5">
        <f>IF(AV71,SUMPRODUCT(--(calc!$AV$3:$AV$306=TRUE),--(ROW(calc!$AV$3:$AV$306)&gt;ROW(AV71)),--(((calc!$BA$3:$BA$306&gt;BA71)*(calc!$BB$3:$BB$306&gt;BB71)+(calc!$BA$3:$BA$306&lt;BA71)*(calc!$BB$3:$BB$306&lt;BB71))&gt;0))-SUMPRODUCT(--(calc!$AV$3:$AV$306=TRUE),--(ROW(calc!$AV$3:$AV$306)&gt;ROW(AV71)),--(((calc!$BA$3:$BA$306&gt;BA71)*(calc!$BB$3:$BB$306&lt;BB71)+(calc!$BA$3:$BA$306&lt;BA71)*(calc!$BB$3:$BB$306&gt;BB71))&gt;0)),0)</f>
        <v/>
      </c>
      <c r="BD71" s="5">
        <f>IF(mos_metrics!L70="","",mos_metrics!L70)</f>
        <v/>
      </c>
      <c r="BE71" s="2">
        <f>AND($J71,ISNUMBER(BD71),correlation!$I$31=1)</f>
        <v/>
      </c>
      <c r="BF71" s="5">
        <f>IF(BE71,$F71,"")</f>
        <v/>
      </c>
      <c r="BG71" s="5">
        <f>IF(BE71,BD71*correlation!$J$31,"")</f>
        <v/>
      </c>
      <c r="BH71" s="5">
        <f>IF(AND(BE71,ISNUMBER(correlation!$F$31)),BG71*correlation!$F$31+correlation!$G$31,"")</f>
        <v/>
      </c>
      <c r="BI71" s="5">
        <f>IF(AND(BE71,ISNUMBER(BH71)),(BF71-BH71)^2,"")</f>
        <v/>
      </c>
      <c r="BJ71" s="5">
        <f>IF(BE71,1+SUMPRODUCT(--(calc!$BE$3:$BE$306=TRUE),--(calc!$BF$3:$BF$306&gt;BF71))+(SUMPRODUCT(--(calc!$BE$3:$BE$306=TRUE),--(calc!$BF$3:$BF$306=BF71))-1)/2,"")</f>
        <v/>
      </c>
      <c r="BK71" s="5">
        <f>IF(BE71,1+SUMPRODUCT(--(calc!$BE$3:$BE$306=TRUE),--(calc!$BG$3:$BG$306&gt;BG71))+(SUMPRODUCT(--(calc!$BE$3:$BE$306=TRUE),--(calc!$BG$3:$BG$306=BG71))-1)/2,"")</f>
        <v/>
      </c>
      <c r="BL71" s="5">
        <f>IF(BE71,SUMPRODUCT(--(calc!$BE$3:$BE$306=TRUE),--(ROW(calc!$BE$3:$BE$306)&gt;ROW(BE71)),--(((calc!$BJ$3:$BJ$306&gt;BJ71)*(calc!$BK$3:$BK$306&gt;BK71)+(calc!$BJ$3:$BJ$306&lt;BJ71)*(calc!$BK$3:$BK$306&lt;BK71))&gt;0))-SUMPRODUCT(--(calc!$BE$3:$BE$306=TRUE),--(ROW(calc!$BE$3:$BE$306)&gt;ROW(BE71)),--(((calc!$BJ$3:$BJ$306&gt;BJ71)*(calc!$BK$3:$BK$306&lt;BK71)+(calc!$BJ$3:$BJ$306&lt;BJ71)*(calc!$BK$3:$BK$306&gt;BK71))&gt;0)),0)</f>
        <v/>
      </c>
      <c r="BM71" s="5">
        <f>IF(mos_metrics!M70="","",mos_metrics!M70)</f>
        <v/>
      </c>
      <c r="BN71" s="2">
        <f>AND($J71,ISNUMBER(BM71),correlation!$I$32=1)</f>
        <v/>
      </c>
      <c r="BO71" s="5">
        <f>IF(BN71,$F71,"")</f>
        <v/>
      </c>
      <c r="BP71" s="5">
        <f>IF(BN71,BM71*correlation!$J$32,"")</f>
        <v/>
      </c>
      <c r="BQ71" s="5">
        <f>IF(AND(BN71,ISNUMBER(correlation!$F$32)),BP71*correlation!$F$32+correlation!$G$32,"")</f>
        <v/>
      </c>
      <c r="BR71" s="5">
        <f>IF(AND(BN71,ISNUMBER(BQ71)),(BO71-BQ71)^2,"")</f>
        <v/>
      </c>
      <c r="BS71" s="5">
        <f>IF(BN71,1+SUMPRODUCT(--(calc!$BN$3:$BN$306=TRUE),--(calc!$BO$3:$BO$306&gt;BO71))+(SUMPRODUCT(--(calc!$BN$3:$BN$306=TRUE),--(calc!$BO$3:$BO$306=BO71))-1)/2,"")</f>
        <v/>
      </c>
      <c r="BT71" s="5">
        <f>IF(BN71,1+SUMPRODUCT(--(calc!$BN$3:$BN$306=TRUE),--(calc!$BP$3:$BP$306&gt;BP71))+(SUMPRODUCT(--(calc!$BN$3:$BN$306=TRUE),--(calc!$BP$3:$BP$306=BP71))-1)/2,"")</f>
        <v/>
      </c>
      <c r="BU71" s="5">
        <f>IF(BN71,SUMPRODUCT(--(calc!$BN$3:$BN$306=TRUE),--(ROW(calc!$BN$3:$BN$306)&gt;ROW(BN71)),--(((calc!$BS$3:$BS$306&gt;BS71)*(calc!$BT$3:$BT$306&gt;BT71)+(calc!$BS$3:$BS$306&lt;BS71)*(calc!$BT$3:$BT$306&lt;BT71))&gt;0))-SUMPRODUCT(--(calc!$BN$3:$BN$306=TRUE),--(ROW(calc!$BN$3:$BN$306)&gt;ROW(BN71)),--(((calc!$BS$3:$BS$306&gt;BS71)*(calc!$BT$3:$BT$306&lt;BT71)+(calc!$BS$3:$BS$306&lt;BS71)*(calc!$BT$3:$BT$306&gt;BT71))&gt;0)),0)</f>
        <v/>
      </c>
    </row>
    <row r="72">
      <c r="A72" s="2">
        <f>mos_metrics!A71</f>
        <v/>
      </c>
      <c r="B72" s="2">
        <f>mos_metrics!B71</f>
        <v/>
      </c>
      <c r="C72" s="2">
        <f>mos_metrics!C71</f>
        <v/>
      </c>
      <c r="D72" s="2">
        <f>mos_metrics!D71</f>
        <v/>
      </c>
      <c r="E72" s="2">
        <f>mos_metrics!E71</f>
        <v/>
      </c>
      <c r="F72" s="2">
        <f>mos_metrics!F71</f>
        <v/>
      </c>
      <c r="G72" s="2">
        <f>IF($B72="","",IFERROR(VLOOKUP($B72,correlation!$A$2:$B$16,2,FALSE),1))</f>
        <v/>
      </c>
      <c r="H72" s="2">
        <f>IF($E72="","",IFERROR(VLOOKUP($E72,correlation!$D$2:$E$8,2,FALSE),1))</f>
        <v/>
      </c>
      <c r="I72" s="2">
        <f>ISNUMBER($F72)</f>
        <v/>
      </c>
      <c r="J72" s="2">
        <f>AND($G72=1,$H72=1,$I72)</f>
        <v/>
      </c>
      <c r="K72" s="5">
        <f>IF(mos_metrics!G71="","",mos_metrics!G71)</f>
        <v/>
      </c>
      <c r="L72" s="2">
        <f>AND($J72,ISNUMBER(K72),correlation!$I$26=1)</f>
        <v/>
      </c>
      <c r="M72" s="5">
        <f>IF(L72,$F72,"")</f>
        <v/>
      </c>
      <c r="N72" s="5">
        <f>IF(L72,K72*correlation!$J$26,"")</f>
        <v/>
      </c>
      <c r="O72" s="5">
        <f>IF(AND(L72,ISNUMBER(correlation!$F$26)),N72*correlation!$F$26+correlation!$G$26,"")</f>
        <v/>
      </c>
      <c r="P72" s="5">
        <f>IF(AND(L72,ISNUMBER(O72)),(M72-O72)^2,"")</f>
        <v/>
      </c>
      <c r="Q72" s="5">
        <f>IF(L72,1+SUMPRODUCT(--(calc!$L$3:$L$306=TRUE),--(calc!$M$3:$M$306&gt;M72))+(SUMPRODUCT(--(calc!$L$3:$L$306=TRUE),--(calc!$M$3:$M$306=M72))-1)/2,"")</f>
        <v/>
      </c>
      <c r="R72" s="5">
        <f>IF(L72,1+SUMPRODUCT(--(calc!$L$3:$L$306=TRUE),--(calc!$N$3:$N$306&gt;N72))+(SUMPRODUCT(--(calc!$L$3:$L$306=TRUE),--(calc!$N$3:$N$306=N72))-1)/2,"")</f>
        <v/>
      </c>
      <c r="S72" s="5">
        <f>IF(L72,SUMPRODUCT(--(calc!$L$3:$L$306=TRUE),--(ROW(calc!$L$3:$L$306)&gt;ROW(L72)),--(((calc!$Q$3:$Q$306&gt;Q72)*(calc!$R$3:$R$306&gt;R72)+(calc!$Q$3:$Q$306&lt;Q72)*(calc!$R$3:$R$306&lt;R72))&gt;0))-SUMPRODUCT(--(calc!$L$3:$L$306=TRUE),--(ROW(calc!$L$3:$L$306)&gt;ROW(L72)),--(((calc!$Q$3:$Q$306&gt;Q72)*(calc!$R$3:$R$306&lt;R72)+(calc!$Q$3:$Q$306&lt;Q72)*(calc!$R$3:$R$306&gt;R72))&gt;0)),0)</f>
        <v/>
      </c>
      <c r="T72" s="5">
        <f>IF(mos_metrics!H71="","",mos_metrics!H71)</f>
        <v/>
      </c>
      <c r="U72" s="2">
        <f>AND($J72,ISNUMBER(T72),correlation!$I$27=1)</f>
        <v/>
      </c>
      <c r="V72" s="5">
        <f>IF(U72,$F72,"")</f>
        <v/>
      </c>
      <c r="W72" s="5">
        <f>IF(U72,T72*correlation!$J$27,"")</f>
        <v/>
      </c>
      <c r="X72" s="5">
        <f>IF(AND(U72,ISNUMBER(correlation!$F$27)),W72*correlation!$F$27+correlation!$G$27,"")</f>
        <v/>
      </c>
      <c r="Y72" s="5">
        <f>IF(AND(U72,ISNUMBER(X72)),(V72-X72)^2,"")</f>
        <v/>
      </c>
      <c r="Z72" s="5">
        <f>IF(U72,1+SUMPRODUCT(--(calc!$U$3:$U$306=TRUE),--(calc!$V$3:$V$306&gt;V72))+(SUMPRODUCT(--(calc!$U$3:$U$306=TRUE),--(calc!$V$3:$V$306=V72))-1)/2,"")</f>
        <v/>
      </c>
      <c r="AA72" s="5">
        <f>IF(U72,1+SUMPRODUCT(--(calc!$U$3:$U$306=TRUE),--(calc!$W$3:$W$306&gt;W72))+(SUMPRODUCT(--(calc!$U$3:$U$306=TRUE),--(calc!$W$3:$W$306=W72))-1)/2,"")</f>
        <v/>
      </c>
      <c r="AB72" s="5">
        <f>IF(U72,SUMPRODUCT(--(calc!$U$3:$U$306=TRUE),--(ROW(calc!$U$3:$U$306)&gt;ROW(U72)),--(((calc!$Z$3:$Z$306&gt;Z72)*(calc!$AA$3:$AA$306&gt;AA72)+(calc!$Z$3:$Z$306&lt;Z72)*(calc!$AA$3:$AA$306&lt;AA72))&gt;0))-SUMPRODUCT(--(calc!$U$3:$U$306=TRUE),--(ROW(calc!$U$3:$U$306)&gt;ROW(U72)),--(((calc!$Z$3:$Z$306&gt;Z72)*(calc!$AA$3:$AA$306&lt;AA72)+(calc!$Z$3:$Z$306&lt;Z72)*(calc!$AA$3:$AA$306&gt;AA72))&gt;0)),0)</f>
        <v/>
      </c>
      <c r="AC72" s="5">
        <f>IF(mos_metrics!I71="","",mos_metrics!I71)</f>
        <v/>
      </c>
      <c r="AD72" s="2">
        <f>AND($J72,ISNUMBER(AC72),correlation!$I$28=1)</f>
        <v/>
      </c>
      <c r="AE72" s="5">
        <f>IF(AD72,$F72,"")</f>
        <v/>
      </c>
      <c r="AF72" s="5">
        <f>IF(AD72,AC72*correlation!$J$28,"")</f>
        <v/>
      </c>
      <c r="AG72" s="5">
        <f>IF(AND(AD72,ISNUMBER(correlation!$F$28)),AF72*correlation!$F$28+correlation!$G$28,"")</f>
        <v/>
      </c>
      <c r="AH72" s="5">
        <f>IF(AND(AD72,ISNUMBER(AG72)),(AE72-AG72)^2,"")</f>
        <v/>
      </c>
      <c r="AI72" s="5">
        <f>IF(AD72,1+SUMPRODUCT(--(calc!$AD$3:$AD$306=TRUE),--(calc!$AE$3:$AE$306&gt;AE72))+(SUMPRODUCT(--(calc!$AD$3:$AD$306=TRUE),--(calc!$AE$3:$AE$306=AE72))-1)/2,"")</f>
        <v/>
      </c>
      <c r="AJ72" s="5">
        <f>IF(AD72,1+SUMPRODUCT(--(calc!$AD$3:$AD$306=TRUE),--(calc!$AF$3:$AF$306&gt;AF72))+(SUMPRODUCT(--(calc!$AD$3:$AD$306=TRUE),--(calc!$AF$3:$AF$306=AF72))-1)/2,"")</f>
        <v/>
      </c>
      <c r="AK72" s="5">
        <f>IF(AD72,SUMPRODUCT(--(calc!$AD$3:$AD$306=TRUE),--(ROW(calc!$AD$3:$AD$306)&gt;ROW(AD72)),--(((calc!$AI$3:$AI$306&gt;AI72)*(calc!$AJ$3:$AJ$306&gt;AJ72)+(calc!$AI$3:$AI$306&lt;AI72)*(calc!$AJ$3:$AJ$306&lt;AJ72))&gt;0))-SUMPRODUCT(--(calc!$AD$3:$AD$306=TRUE),--(ROW(calc!$AD$3:$AD$306)&gt;ROW(AD72)),--(((calc!$AI$3:$AI$306&gt;AI72)*(calc!$AJ$3:$AJ$306&lt;AJ72)+(calc!$AI$3:$AI$306&lt;AI72)*(calc!$AJ$3:$AJ$306&gt;AJ72))&gt;0)),0)</f>
        <v/>
      </c>
      <c r="AL72" s="5">
        <f>IF(mos_metrics!J71="","",mos_metrics!J71)</f>
        <v/>
      </c>
      <c r="AM72" s="2">
        <f>AND($J72,ISNUMBER(AL72),correlation!$I$29=1)</f>
        <v/>
      </c>
      <c r="AN72" s="5">
        <f>IF(AM72,$F72,"")</f>
        <v/>
      </c>
      <c r="AO72" s="5">
        <f>IF(AM72,AL72*correlation!$J$29,"")</f>
        <v/>
      </c>
      <c r="AP72" s="5">
        <f>IF(AND(AM72,ISNUMBER(correlation!$F$29)),AO72*correlation!$F$29+correlation!$G$29,"")</f>
        <v/>
      </c>
      <c r="AQ72" s="5">
        <f>IF(AND(AM72,ISNUMBER(AP72)),(AN72-AP72)^2,"")</f>
        <v/>
      </c>
      <c r="AR72" s="5">
        <f>IF(AM72,1+SUMPRODUCT(--(calc!$AM$3:$AM$306=TRUE),--(calc!$AN$3:$AN$306&gt;AN72))+(SUMPRODUCT(--(calc!$AM$3:$AM$306=TRUE),--(calc!$AN$3:$AN$306=AN72))-1)/2,"")</f>
        <v/>
      </c>
      <c r="AS72" s="5">
        <f>IF(AM72,1+SUMPRODUCT(--(calc!$AM$3:$AM$306=TRUE),--(calc!$AO$3:$AO$306&gt;AO72))+(SUMPRODUCT(--(calc!$AM$3:$AM$306=TRUE),--(calc!$AO$3:$AO$306=AO72))-1)/2,"")</f>
        <v/>
      </c>
      <c r="AT72" s="5">
        <f>IF(AM72,SUMPRODUCT(--(calc!$AM$3:$AM$306=TRUE),--(ROW(calc!$AM$3:$AM$306)&gt;ROW(AM72)),--(((calc!$AR$3:$AR$306&gt;AR72)*(calc!$AS$3:$AS$306&gt;AS72)+(calc!$AR$3:$AR$306&lt;AR72)*(calc!$AS$3:$AS$306&lt;AS72))&gt;0))-SUMPRODUCT(--(calc!$AM$3:$AM$306=TRUE),--(ROW(calc!$AM$3:$AM$306)&gt;ROW(AM72)),--(((calc!$AR$3:$AR$306&gt;AR72)*(calc!$AS$3:$AS$306&lt;AS72)+(calc!$AR$3:$AR$306&lt;AR72)*(calc!$AS$3:$AS$306&gt;AS72))&gt;0)),0)</f>
        <v/>
      </c>
      <c r="AU72" s="5">
        <f>IF(mos_metrics!K71="","",mos_metrics!K71)</f>
        <v/>
      </c>
      <c r="AV72" s="2">
        <f>AND($J72,ISNUMBER(AU72),correlation!$I$30=1)</f>
        <v/>
      </c>
      <c r="AW72" s="5">
        <f>IF(AV72,$F72,"")</f>
        <v/>
      </c>
      <c r="AX72" s="5">
        <f>IF(AV72,AU72*correlation!$J$30,"")</f>
        <v/>
      </c>
      <c r="AY72" s="5">
        <f>IF(AND(AV72,ISNUMBER(correlation!$F$30)),AX72*correlation!$F$30+correlation!$G$30,"")</f>
        <v/>
      </c>
      <c r="AZ72" s="5">
        <f>IF(AND(AV72,ISNUMBER(AY72)),(AW72-AY72)^2,"")</f>
        <v/>
      </c>
      <c r="BA72" s="5">
        <f>IF(AV72,1+SUMPRODUCT(--(calc!$AV$3:$AV$306=TRUE),--(calc!$AW$3:$AW$306&gt;AW72))+(SUMPRODUCT(--(calc!$AV$3:$AV$306=TRUE),--(calc!$AW$3:$AW$306=AW72))-1)/2,"")</f>
        <v/>
      </c>
      <c r="BB72" s="5">
        <f>IF(AV72,1+SUMPRODUCT(--(calc!$AV$3:$AV$306=TRUE),--(calc!$AX$3:$AX$306&gt;AX72))+(SUMPRODUCT(--(calc!$AV$3:$AV$306=TRUE),--(calc!$AX$3:$AX$306=AX72))-1)/2,"")</f>
        <v/>
      </c>
      <c r="BC72" s="5">
        <f>IF(AV72,SUMPRODUCT(--(calc!$AV$3:$AV$306=TRUE),--(ROW(calc!$AV$3:$AV$306)&gt;ROW(AV72)),--(((calc!$BA$3:$BA$306&gt;BA72)*(calc!$BB$3:$BB$306&gt;BB72)+(calc!$BA$3:$BA$306&lt;BA72)*(calc!$BB$3:$BB$306&lt;BB72))&gt;0))-SUMPRODUCT(--(calc!$AV$3:$AV$306=TRUE),--(ROW(calc!$AV$3:$AV$306)&gt;ROW(AV72)),--(((calc!$BA$3:$BA$306&gt;BA72)*(calc!$BB$3:$BB$306&lt;BB72)+(calc!$BA$3:$BA$306&lt;BA72)*(calc!$BB$3:$BB$306&gt;BB72))&gt;0)),0)</f>
        <v/>
      </c>
      <c r="BD72" s="5">
        <f>IF(mos_metrics!L71="","",mos_metrics!L71)</f>
        <v/>
      </c>
      <c r="BE72" s="2">
        <f>AND($J72,ISNUMBER(BD72),correlation!$I$31=1)</f>
        <v/>
      </c>
      <c r="BF72" s="5">
        <f>IF(BE72,$F72,"")</f>
        <v/>
      </c>
      <c r="BG72" s="5">
        <f>IF(BE72,BD72*correlation!$J$31,"")</f>
        <v/>
      </c>
      <c r="BH72" s="5">
        <f>IF(AND(BE72,ISNUMBER(correlation!$F$31)),BG72*correlation!$F$31+correlation!$G$31,"")</f>
        <v/>
      </c>
      <c r="BI72" s="5">
        <f>IF(AND(BE72,ISNUMBER(BH72)),(BF72-BH72)^2,"")</f>
        <v/>
      </c>
      <c r="BJ72" s="5">
        <f>IF(BE72,1+SUMPRODUCT(--(calc!$BE$3:$BE$306=TRUE),--(calc!$BF$3:$BF$306&gt;BF72))+(SUMPRODUCT(--(calc!$BE$3:$BE$306=TRUE),--(calc!$BF$3:$BF$306=BF72))-1)/2,"")</f>
        <v/>
      </c>
      <c r="BK72" s="5">
        <f>IF(BE72,1+SUMPRODUCT(--(calc!$BE$3:$BE$306=TRUE),--(calc!$BG$3:$BG$306&gt;BG72))+(SUMPRODUCT(--(calc!$BE$3:$BE$306=TRUE),--(calc!$BG$3:$BG$306=BG72))-1)/2,"")</f>
        <v/>
      </c>
      <c r="BL72" s="5">
        <f>IF(BE72,SUMPRODUCT(--(calc!$BE$3:$BE$306=TRUE),--(ROW(calc!$BE$3:$BE$306)&gt;ROW(BE72)),--(((calc!$BJ$3:$BJ$306&gt;BJ72)*(calc!$BK$3:$BK$306&gt;BK72)+(calc!$BJ$3:$BJ$306&lt;BJ72)*(calc!$BK$3:$BK$306&lt;BK72))&gt;0))-SUMPRODUCT(--(calc!$BE$3:$BE$306=TRUE),--(ROW(calc!$BE$3:$BE$306)&gt;ROW(BE72)),--(((calc!$BJ$3:$BJ$306&gt;BJ72)*(calc!$BK$3:$BK$306&lt;BK72)+(calc!$BJ$3:$BJ$306&lt;BJ72)*(calc!$BK$3:$BK$306&gt;BK72))&gt;0)),0)</f>
        <v/>
      </c>
      <c r="BM72" s="5">
        <f>IF(mos_metrics!M71="","",mos_metrics!M71)</f>
        <v/>
      </c>
      <c r="BN72" s="2">
        <f>AND($J72,ISNUMBER(BM72),correlation!$I$32=1)</f>
        <v/>
      </c>
      <c r="BO72" s="5">
        <f>IF(BN72,$F72,"")</f>
        <v/>
      </c>
      <c r="BP72" s="5">
        <f>IF(BN72,BM72*correlation!$J$32,"")</f>
        <v/>
      </c>
      <c r="BQ72" s="5">
        <f>IF(AND(BN72,ISNUMBER(correlation!$F$32)),BP72*correlation!$F$32+correlation!$G$32,"")</f>
        <v/>
      </c>
      <c r="BR72" s="5">
        <f>IF(AND(BN72,ISNUMBER(BQ72)),(BO72-BQ72)^2,"")</f>
        <v/>
      </c>
      <c r="BS72" s="5">
        <f>IF(BN72,1+SUMPRODUCT(--(calc!$BN$3:$BN$306=TRUE),--(calc!$BO$3:$BO$306&gt;BO72))+(SUMPRODUCT(--(calc!$BN$3:$BN$306=TRUE),--(calc!$BO$3:$BO$306=BO72))-1)/2,"")</f>
        <v/>
      </c>
      <c r="BT72" s="5">
        <f>IF(BN72,1+SUMPRODUCT(--(calc!$BN$3:$BN$306=TRUE),--(calc!$BP$3:$BP$306&gt;BP72))+(SUMPRODUCT(--(calc!$BN$3:$BN$306=TRUE),--(calc!$BP$3:$BP$306=BP72))-1)/2,"")</f>
        <v/>
      </c>
      <c r="BU72" s="5">
        <f>IF(BN72,SUMPRODUCT(--(calc!$BN$3:$BN$306=TRUE),--(ROW(calc!$BN$3:$BN$306)&gt;ROW(BN72)),--(((calc!$BS$3:$BS$306&gt;BS72)*(calc!$BT$3:$BT$306&gt;BT72)+(calc!$BS$3:$BS$306&lt;BS72)*(calc!$BT$3:$BT$306&lt;BT72))&gt;0))-SUMPRODUCT(--(calc!$BN$3:$BN$306=TRUE),--(ROW(calc!$BN$3:$BN$306)&gt;ROW(BN72)),--(((calc!$BS$3:$BS$306&gt;BS72)*(calc!$BT$3:$BT$306&lt;BT72)+(calc!$BS$3:$BS$306&lt;BS72)*(calc!$BT$3:$BT$306&gt;BT72))&gt;0)),0)</f>
        <v/>
      </c>
    </row>
    <row r="73">
      <c r="A73" s="2">
        <f>mos_metrics!A72</f>
        <v/>
      </c>
      <c r="B73" s="2">
        <f>mos_metrics!B72</f>
        <v/>
      </c>
      <c r="C73" s="2">
        <f>mos_metrics!C72</f>
        <v/>
      </c>
      <c r="D73" s="2">
        <f>mos_metrics!D72</f>
        <v/>
      </c>
      <c r="E73" s="2">
        <f>mos_metrics!E72</f>
        <v/>
      </c>
      <c r="F73" s="2">
        <f>mos_metrics!F72</f>
        <v/>
      </c>
      <c r="G73" s="2">
        <f>IF($B73="","",IFERROR(VLOOKUP($B73,correlation!$A$2:$B$16,2,FALSE),1))</f>
        <v/>
      </c>
      <c r="H73" s="2">
        <f>IF($E73="","",IFERROR(VLOOKUP($E73,correlation!$D$2:$E$8,2,FALSE),1))</f>
        <v/>
      </c>
      <c r="I73" s="2">
        <f>ISNUMBER($F73)</f>
        <v/>
      </c>
      <c r="J73" s="2">
        <f>AND($G73=1,$H73=1,$I73)</f>
        <v/>
      </c>
      <c r="K73" s="5">
        <f>IF(mos_metrics!G72="","",mos_metrics!G72)</f>
        <v/>
      </c>
      <c r="L73" s="2">
        <f>AND($J73,ISNUMBER(K73),correlation!$I$26=1)</f>
        <v/>
      </c>
      <c r="M73" s="5">
        <f>IF(L73,$F73,"")</f>
        <v/>
      </c>
      <c r="N73" s="5">
        <f>IF(L73,K73*correlation!$J$26,"")</f>
        <v/>
      </c>
      <c r="O73" s="5">
        <f>IF(AND(L73,ISNUMBER(correlation!$F$26)),N73*correlation!$F$26+correlation!$G$26,"")</f>
        <v/>
      </c>
      <c r="P73" s="5">
        <f>IF(AND(L73,ISNUMBER(O73)),(M73-O73)^2,"")</f>
        <v/>
      </c>
      <c r="Q73" s="5">
        <f>IF(L73,1+SUMPRODUCT(--(calc!$L$3:$L$306=TRUE),--(calc!$M$3:$M$306&gt;M73))+(SUMPRODUCT(--(calc!$L$3:$L$306=TRUE),--(calc!$M$3:$M$306=M73))-1)/2,"")</f>
        <v/>
      </c>
      <c r="R73" s="5">
        <f>IF(L73,1+SUMPRODUCT(--(calc!$L$3:$L$306=TRUE),--(calc!$N$3:$N$306&gt;N73))+(SUMPRODUCT(--(calc!$L$3:$L$306=TRUE),--(calc!$N$3:$N$306=N73))-1)/2,"")</f>
        <v/>
      </c>
      <c r="S73" s="5">
        <f>IF(L73,SUMPRODUCT(--(calc!$L$3:$L$306=TRUE),--(ROW(calc!$L$3:$L$306)&gt;ROW(L73)),--(((calc!$Q$3:$Q$306&gt;Q73)*(calc!$R$3:$R$306&gt;R73)+(calc!$Q$3:$Q$306&lt;Q73)*(calc!$R$3:$R$306&lt;R73))&gt;0))-SUMPRODUCT(--(calc!$L$3:$L$306=TRUE),--(ROW(calc!$L$3:$L$306)&gt;ROW(L73)),--(((calc!$Q$3:$Q$306&gt;Q73)*(calc!$R$3:$R$306&lt;R73)+(calc!$Q$3:$Q$306&lt;Q73)*(calc!$R$3:$R$306&gt;R73))&gt;0)),0)</f>
        <v/>
      </c>
      <c r="T73" s="5">
        <f>IF(mos_metrics!H72="","",mos_metrics!H72)</f>
        <v/>
      </c>
      <c r="U73" s="2">
        <f>AND($J73,ISNUMBER(T73),correlation!$I$27=1)</f>
        <v/>
      </c>
      <c r="V73" s="5">
        <f>IF(U73,$F73,"")</f>
        <v/>
      </c>
      <c r="W73" s="5">
        <f>IF(U73,T73*correlation!$J$27,"")</f>
        <v/>
      </c>
      <c r="X73" s="5">
        <f>IF(AND(U73,ISNUMBER(correlation!$F$27)),W73*correlation!$F$27+correlation!$G$27,"")</f>
        <v/>
      </c>
      <c r="Y73" s="5">
        <f>IF(AND(U73,ISNUMBER(X73)),(V73-X73)^2,"")</f>
        <v/>
      </c>
      <c r="Z73" s="5">
        <f>IF(U73,1+SUMPRODUCT(--(calc!$U$3:$U$306=TRUE),--(calc!$V$3:$V$306&gt;V73))+(SUMPRODUCT(--(calc!$U$3:$U$306=TRUE),--(calc!$V$3:$V$306=V73))-1)/2,"")</f>
        <v/>
      </c>
      <c r="AA73" s="5">
        <f>IF(U73,1+SUMPRODUCT(--(calc!$U$3:$U$306=TRUE),--(calc!$W$3:$W$306&gt;W73))+(SUMPRODUCT(--(calc!$U$3:$U$306=TRUE),--(calc!$W$3:$W$306=W73))-1)/2,"")</f>
        <v/>
      </c>
      <c r="AB73" s="5">
        <f>IF(U73,SUMPRODUCT(--(calc!$U$3:$U$306=TRUE),--(ROW(calc!$U$3:$U$306)&gt;ROW(U73)),--(((calc!$Z$3:$Z$306&gt;Z73)*(calc!$AA$3:$AA$306&gt;AA73)+(calc!$Z$3:$Z$306&lt;Z73)*(calc!$AA$3:$AA$306&lt;AA73))&gt;0))-SUMPRODUCT(--(calc!$U$3:$U$306=TRUE),--(ROW(calc!$U$3:$U$306)&gt;ROW(U73)),--(((calc!$Z$3:$Z$306&gt;Z73)*(calc!$AA$3:$AA$306&lt;AA73)+(calc!$Z$3:$Z$306&lt;Z73)*(calc!$AA$3:$AA$306&gt;AA73))&gt;0)),0)</f>
        <v/>
      </c>
      <c r="AC73" s="5">
        <f>IF(mos_metrics!I72="","",mos_metrics!I72)</f>
        <v/>
      </c>
      <c r="AD73" s="2">
        <f>AND($J73,ISNUMBER(AC73),correlation!$I$28=1)</f>
        <v/>
      </c>
      <c r="AE73" s="5">
        <f>IF(AD73,$F73,"")</f>
        <v/>
      </c>
      <c r="AF73" s="5">
        <f>IF(AD73,AC73*correlation!$J$28,"")</f>
        <v/>
      </c>
      <c r="AG73" s="5">
        <f>IF(AND(AD73,ISNUMBER(correlation!$F$28)),AF73*correlation!$F$28+correlation!$G$28,"")</f>
        <v/>
      </c>
      <c r="AH73" s="5">
        <f>IF(AND(AD73,ISNUMBER(AG73)),(AE73-AG73)^2,"")</f>
        <v/>
      </c>
      <c r="AI73" s="5">
        <f>IF(AD73,1+SUMPRODUCT(--(calc!$AD$3:$AD$306=TRUE),--(calc!$AE$3:$AE$306&gt;AE73))+(SUMPRODUCT(--(calc!$AD$3:$AD$306=TRUE),--(calc!$AE$3:$AE$306=AE73))-1)/2,"")</f>
        <v/>
      </c>
      <c r="AJ73" s="5">
        <f>IF(AD73,1+SUMPRODUCT(--(calc!$AD$3:$AD$306=TRUE),--(calc!$AF$3:$AF$306&gt;AF73))+(SUMPRODUCT(--(calc!$AD$3:$AD$306=TRUE),--(calc!$AF$3:$AF$306=AF73))-1)/2,"")</f>
        <v/>
      </c>
      <c r="AK73" s="5">
        <f>IF(AD73,SUMPRODUCT(--(calc!$AD$3:$AD$306=TRUE),--(ROW(calc!$AD$3:$AD$306)&gt;ROW(AD73)),--(((calc!$AI$3:$AI$306&gt;AI73)*(calc!$AJ$3:$AJ$306&gt;AJ73)+(calc!$AI$3:$AI$306&lt;AI73)*(calc!$AJ$3:$AJ$306&lt;AJ73))&gt;0))-SUMPRODUCT(--(calc!$AD$3:$AD$306=TRUE),--(ROW(calc!$AD$3:$AD$306)&gt;ROW(AD73)),--(((calc!$AI$3:$AI$306&gt;AI73)*(calc!$AJ$3:$AJ$306&lt;AJ73)+(calc!$AI$3:$AI$306&lt;AI73)*(calc!$AJ$3:$AJ$306&gt;AJ73))&gt;0)),0)</f>
        <v/>
      </c>
      <c r="AL73" s="5">
        <f>IF(mos_metrics!J72="","",mos_metrics!J72)</f>
        <v/>
      </c>
      <c r="AM73" s="2">
        <f>AND($J73,ISNUMBER(AL73),correlation!$I$29=1)</f>
        <v/>
      </c>
      <c r="AN73" s="5">
        <f>IF(AM73,$F73,"")</f>
        <v/>
      </c>
      <c r="AO73" s="5">
        <f>IF(AM73,AL73*correlation!$J$29,"")</f>
        <v/>
      </c>
      <c r="AP73" s="5">
        <f>IF(AND(AM73,ISNUMBER(correlation!$F$29)),AO73*correlation!$F$29+correlation!$G$29,"")</f>
        <v/>
      </c>
      <c r="AQ73" s="5">
        <f>IF(AND(AM73,ISNUMBER(AP73)),(AN73-AP73)^2,"")</f>
        <v/>
      </c>
      <c r="AR73" s="5">
        <f>IF(AM73,1+SUMPRODUCT(--(calc!$AM$3:$AM$306=TRUE),--(calc!$AN$3:$AN$306&gt;AN73))+(SUMPRODUCT(--(calc!$AM$3:$AM$306=TRUE),--(calc!$AN$3:$AN$306=AN73))-1)/2,"")</f>
        <v/>
      </c>
      <c r="AS73" s="5">
        <f>IF(AM73,1+SUMPRODUCT(--(calc!$AM$3:$AM$306=TRUE),--(calc!$AO$3:$AO$306&gt;AO73))+(SUMPRODUCT(--(calc!$AM$3:$AM$306=TRUE),--(calc!$AO$3:$AO$306=AO73))-1)/2,"")</f>
        <v/>
      </c>
      <c r="AT73" s="5">
        <f>IF(AM73,SUMPRODUCT(--(calc!$AM$3:$AM$306=TRUE),--(ROW(calc!$AM$3:$AM$306)&gt;ROW(AM73)),--(((calc!$AR$3:$AR$306&gt;AR73)*(calc!$AS$3:$AS$306&gt;AS73)+(calc!$AR$3:$AR$306&lt;AR73)*(calc!$AS$3:$AS$306&lt;AS73))&gt;0))-SUMPRODUCT(--(calc!$AM$3:$AM$306=TRUE),--(ROW(calc!$AM$3:$AM$306)&gt;ROW(AM73)),--(((calc!$AR$3:$AR$306&gt;AR73)*(calc!$AS$3:$AS$306&lt;AS73)+(calc!$AR$3:$AR$306&lt;AR73)*(calc!$AS$3:$AS$306&gt;AS73))&gt;0)),0)</f>
        <v/>
      </c>
      <c r="AU73" s="5">
        <f>IF(mos_metrics!K72="","",mos_metrics!K72)</f>
        <v/>
      </c>
      <c r="AV73" s="2">
        <f>AND($J73,ISNUMBER(AU73),correlation!$I$30=1)</f>
        <v/>
      </c>
      <c r="AW73" s="5">
        <f>IF(AV73,$F73,"")</f>
        <v/>
      </c>
      <c r="AX73" s="5">
        <f>IF(AV73,AU73*correlation!$J$30,"")</f>
        <v/>
      </c>
      <c r="AY73" s="5">
        <f>IF(AND(AV73,ISNUMBER(correlation!$F$30)),AX73*correlation!$F$30+correlation!$G$30,"")</f>
        <v/>
      </c>
      <c r="AZ73" s="5">
        <f>IF(AND(AV73,ISNUMBER(AY73)),(AW73-AY73)^2,"")</f>
        <v/>
      </c>
      <c r="BA73" s="5">
        <f>IF(AV73,1+SUMPRODUCT(--(calc!$AV$3:$AV$306=TRUE),--(calc!$AW$3:$AW$306&gt;AW73))+(SUMPRODUCT(--(calc!$AV$3:$AV$306=TRUE),--(calc!$AW$3:$AW$306=AW73))-1)/2,"")</f>
        <v/>
      </c>
      <c r="BB73" s="5">
        <f>IF(AV73,1+SUMPRODUCT(--(calc!$AV$3:$AV$306=TRUE),--(calc!$AX$3:$AX$306&gt;AX73))+(SUMPRODUCT(--(calc!$AV$3:$AV$306=TRUE),--(calc!$AX$3:$AX$306=AX73))-1)/2,"")</f>
        <v/>
      </c>
      <c r="BC73" s="5">
        <f>IF(AV73,SUMPRODUCT(--(calc!$AV$3:$AV$306=TRUE),--(ROW(calc!$AV$3:$AV$306)&gt;ROW(AV73)),--(((calc!$BA$3:$BA$306&gt;BA73)*(calc!$BB$3:$BB$306&gt;BB73)+(calc!$BA$3:$BA$306&lt;BA73)*(calc!$BB$3:$BB$306&lt;BB73))&gt;0))-SUMPRODUCT(--(calc!$AV$3:$AV$306=TRUE),--(ROW(calc!$AV$3:$AV$306)&gt;ROW(AV73)),--(((calc!$BA$3:$BA$306&gt;BA73)*(calc!$BB$3:$BB$306&lt;BB73)+(calc!$BA$3:$BA$306&lt;BA73)*(calc!$BB$3:$BB$306&gt;BB73))&gt;0)),0)</f>
        <v/>
      </c>
      <c r="BD73" s="5">
        <f>IF(mos_metrics!L72="","",mos_metrics!L72)</f>
        <v/>
      </c>
      <c r="BE73" s="2">
        <f>AND($J73,ISNUMBER(BD73),correlation!$I$31=1)</f>
        <v/>
      </c>
      <c r="BF73" s="5">
        <f>IF(BE73,$F73,"")</f>
        <v/>
      </c>
      <c r="BG73" s="5">
        <f>IF(BE73,BD73*correlation!$J$31,"")</f>
        <v/>
      </c>
      <c r="BH73" s="5">
        <f>IF(AND(BE73,ISNUMBER(correlation!$F$31)),BG73*correlation!$F$31+correlation!$G$31,"")</f>
        <v/>
      </c>
      <c r="BI73" s="5">
        <f>IF(AND(BE73,ISNUMBER(BH73)),(BF73-BH73)^2,"")</f>
        <v/>
      </c>
      <c r="BJ73" s="5">
        <f>IF(BE73,1+SUMPRODUCT(--(calc!$BE$3:$BE$306=TRUE),--(calc!$BF$3:$BF$306&gt;BF73))+(SUMPRODUCT(--(calc!$BE$3:$BE$306=TRUE),--(calc!$BF$3:$BF$306=BF73))-1)/2,"")</f>
        <v/>
      </c>
      <c r="BK73" s="5">
        <f>IF(BE73,1+SUMPRODUCT(--(calc!$BE$3:$BE$306=TRUE),--(calc!$BG$3:$BG$306&gt;BG73))+(SUMPRODUCT(--(calc!$BE$3:$BE$306=TRUE),--(calc!$BG$3:$BG$306=BG73))-1)/2,"")</f>
        <v/>
      </c>
      <c r="BL73" s="5">
        <f>IF(BE73,SUMPRODUCT(--(calc!$BE$3:$BE$306=TRUE),--(ROW(calc!$BE$3:$BE$306)&gt;ROW(BE73)),--(((calc!$BJ$3:$BJ$306&gt;BJ73)*(calc!$BK$3:$BK$306&gt;BK73)+(calc!$BJ$3:$BJ$306&lt;BJ73)*(calc!$BK$3:$BK$306&lt;BK73))&gt;0))-SUMPRODUCT(--(calc!$BE$3:$BE$306=TRUE),--(ROW(calc!$BE$3:$BE$306)&gt;ROW(BE73)),--(((calc!$BJ$3:$BJ$306&gt;BJ73)*(calc!$BK$3:$BK$306&lt;BK73)+(calc!$BJ$3:$BJ$306&lt;BJ73)*(calc!$BK$3:$BK$306&gt;BK73))&gt;0)),0)</f>
        <v/>
      </c>
      <c r="BM73" s="5">
        <f>IF(mos_metrics!M72="","",mos_metrics!M72)</f>
        <v/>
      </c>
      <c r="BN73" s="2">
        <f>AND($J73,ISNUMBER(BM73),correlation!$I$32=1)</f>
        <v/>
      </c>
      <c r="BO73" s="5">
        <f>IF(BN73,$F73,"")</f>
        <v/>
      </c>
      <c r="BP73" s="5">
        <f>IF(BN73,BM73*correlation!$J$32,"")</f>
        <v/>
      </c>
      <c r="BQ73" s="5">
        <f>IF(AND(BN73,ISNUMBER(correlation!$F$32)),BP73*correlation!$F$32+correlation!$G$32,"")</f>
        <v/>
      </c>
      <c r="BR73" s="5">
        <f>IF(AND(BN73,ISNUMBER(BQ73)),(BO73-BQ73)^2,"")</f>
        <v/>
      </c>
      <c r="BS73" s="5">
        <f>IF(BN73,1+SUMPRODUCT(--(calc!$BN$3:$BN$306=TRUE),--(calc!$BO$3:$BO$306&gt;BO73))+(SUMPRODUCT(--(calc!$BN$3:$BN$306=TRUE),--(calc!$BO$3:$BO$306=BO73))-1)/2,"")</f>
        <v/>
      </c>
      <c r="BT73" s="5">
        <f>IF(BN73,1+SUMPRODUCT(--(calc!$BN$3:$BN$306=TRUE),--(calc!$BP$3:$BP$306&gt;BP73))+(SUMPRODUCT(--(calc!$BN$3:$BN$306=TRUE),--(calc!$BP$3:$BP$306=BP73))-1)/2,"")</f>
        <v/>
      </c>
      <c r="BU73" s="5">
        <f>IF(BN73,SUMPRODUCT(--(calc!$BN$3:$BN$306=TRUE),--(ROW(calc!$BN$3:$BN$306)&gt;ROW(BN73)),--(((calc!$BS$3:$BS$306&gt;BS73)*(calc!$BT$3:$BT$306&gt;BT73)+(calc!$BS$3:$BS$306&lt;BS73)*(calc!$BT$3:$BT$306&lt;BT73))&gt;0))-SUMPRODUCT(--(calc!$BN$3:$BN$306=TRUE),--(ROW(calc!$BN$3:$BN$306)&gt;ROW(BN73)),--(((calc!$BS$3:$BS$306&gt;BS73)*(calc!$BT$3:$BT$306&lt;BT73)+(calc!$BS$3:$BS$306&lt;BS73)*(calc!$BT$3:$BT$306&gt;BT73))&gt;0)),0)</f>
        <v/>
      </c>
    </row>
    <row r="74">
      <c r="A74" s="2">
        <f>mos_metrics!A73</f>
        <v/>
      </c>
      <c r="B74" s="2">
        <f>mos_metrics!B73</f>
        <v/>
      </c>
      <c r="C74" s="2">
        <f>mos_metrics!C73</f>
        <v/>
      </c>
      <c r="D74" s="2">
        <f>mos_metrics!D73</f>
        <v/>
      </c>
      <c r="E74" s="2">
        <f>mos_metrics!E73</f>
        <v/>
      </c>
      <c r="F74" s="2">
        <f>mos_metrics!F73</f>
        <v/>
      </c>
      <c r="G74" s="2">
        <f>IF($B74="","",IFERROR(VLOOKUP($B74,correlation!$A$2:$B$16,2,FALSE),1))</f>
        <v/>
      </c>
      <c r="H74" s="2">
        <f>IF($E74="","",IFERROR(VLOOKUP($E74,correlation!$D$2:$E$8,2,FALSE),1))</f>
        <v/>
      </c>
      <c r="I74" s="2">
        <f>ISNUMBER($F74)</f>
        <v/>
      </c>
      <c r="J74" s="2">
        <f>AND($G74=1,$H74=1,$I74)</f>
        <v/>
      </c>
      <c r="K74" s="5">
        <f>IF(mos_metrics!G73="","",mos_metrics!G73)</f>
        <v/>
      </c>
      <c r="L74" s="2">
        <f>AND($J74,ISNUMBER(K74),correlation!$I$26=1)</f>
        <v/>
      </c>
      <c r="M74" s="5">
        <f>IF(L74,$F74,"")</f>
        <v/>
      </c>
      <c r="N74" s="5">
        <f>IF(L74,K74*correlation!$J$26,"")</f>
        <v/>
      </c>
      <c r="O74" s="5">
        <f>IF(AND(L74,ISNUMBER(correlation!$F$26)),N74*correlation!$F$26+correlation!$G$26,"")</f>
        <v/>
      </c>
      <c r="P74" s="5">
        <f>IF(AND(L74,ISNUMBER(O74)),(M74-O74)^2,"")</f>
        <v/>
      </c>
      <c r="Q74" s="5">
        <f>IF(L74,1+SUMPRODUCT(--(calc!$L$3:$L$306=TRUE),--(calc!$M$3:$M$306&gt;M74))+(SUMPRODUCT(--(calc!$L$3:$L$306=TRUE),--(calc!$M$3:$M$306=M74))-1)/2,"")</f>
        <v/>
      </c>
      <c r="R74" s="5">
        <f>IF(L74,1+SUMPRODUCT(--(calc!$L$3:$L$306=TRUE),--(calc!$N$3:$N$306&gt;N74))+(SUMPRODUCT(--(calc!$L$3:$L$306=TRUE),--(calc!$N$3:$N$306=N74))-1)/2,"")</f>
        <v/>
      </c>
      <c r="S74" s="5">
        <f>IF(L74,SUMPRODUCT(--(calc!$L$3:$L$306=TRUE),--(ROW(calc!$L$3:$L$306)&gt;ROW(L74)),--(((calc!$Q$3:$Q$306&gt;Q74)*(calc!$R$3:$R$306&gt;R74)+(calc!$Q$3:$Q$306&lt;Q74)*(calc!$R$3:$R$306&lt;R74))&gt;0))-SUMPRODUCT(--(calc!$L$3:$L$306=TRUE),--(ROW(calc!$L$3:$L$306)&gt;ROW(L74)),--(((calc!$Q$3:$Q$306&gt;Q74)*(calc!$R$3:$R$306&lt;R74)+(calc!$Q$3:$Q$306&lt;Q74)*(calc!$R$3:$R$306&gt;R74))&gt;0)),0)</f>
        <v/>
      </c>
      <c r="T74" s="5">
        <f>IF(mos_metrics!H73="","",mos_metrics!H73)</f>
        <v/>
      </c>
      <c r="U74" s="2">
        <f>AND($J74,ISNUMBER(T74),correlation!$I$27=1)</f>
        <v/>
      </c>
      <c r="V74" s="5">
        <f>IF(U74,$F74,"")</f>
        <v/>
      </c>
      <c r="W74" s="5">
        <f>IF(U74,T74*correlation!$J$27,"")</f>
        <v/>
      </c>
      <c r="X74" s="5">
        <f>IF(AND(U74,ISNUMBER(correlation!$F$27)),W74*correlation!$F$27+correlation!$G$27,"")</f>
        <v/>
      </c>
      <c r="Y74" s="5">
        <f>IF(AND(U74,ISNUMBER(X74)),(V74-X74)^2,"")</f>
        <v/>
      </c>
      <c r="Z74" s="5">
        <f>IF(U74,1+SUMPRODUCT(--(calc!$U$3:$U$306=TRUE),--(calc!$V$3:$V$306&gt;V74))+(SUMPRODUCT(--(calc!$U$3:$U$306=TRUE),--(calc!$V$3:$V$306=V74))-1)/2,"")</f>
        <v/>
      </c>
      <c r="AA74" s="5">
        <f>IF(U74,1+SUMPRODUCT(--(calc!$U$3:$U$306=TRUE),--(calc!$W$3:$W$306&gt;W74))+(SUMPRODUCT(--(calc!$U$3:$U$306=TRUE),--(calc!$W$3:$W$306=W74))-1)/2,"")</f>
        <v/>
      </c>
      <c r="AB74" s="5">
        <f>IF(U74,SUMPRODUCT(--(calc!$U$3:$U$306=TRUE),--(ROW(calc!$U$3:$U$306)&gt;ROW(U74)),--(((calc!$Z$3:$Z$306&gt;Z74)*(calc!$AA$3:$AA$306&gt;AA74)+(calc!$Z$3:$Z$306&lt;Z74)*(calc!$AA$3:$AA$306&lt;AA74))&gt;0))-SUMPRODUCT(--(calc!$U$3:$U$306=TRUE),--(ROW(calc!$U$3:$U$306)&gt;ROW(U74)),--(((calc!$Z$3:$Z$306&gt;Z74)*(calc!$AA$3:$AA$306&lt;AA74)+(calc!$Z$3:$Z$306&lt;Z74)*(calc!$AA$3:$AA$306&gt;AA74))&gt;0)),0)</f>
        <v/>
      </c>
      <c r="AC74" s="5">
        <f>IF(mos_metrics!I73="","",mos_metrics!I73)</f>
        <v/>
      </c>
      <c r="AD74" s="2">
        <f>AND($J74,ISNUMBER(AC74),correlation!$I$28=1)</f>
        <v/>
      </c>
      <c r="AE74" s="5">
        <f>IF(AD74,$F74,"")</f>
        <v/>
      </c>
      <c r="AF74" s="5">
        <f>IF(AD74,AC74*correlation!$J$28,"")</f>
        <v/>
      </c>
      <c r="AG74" s="5">
        <f>IF(AND(AD74,ISNUMBER(correlation!$F$28)),AF74*correlation!$F$28+correlation!$G$28,"")</f>
        <v/>
      </c>
      <c r="AH74" s="5">
        <f>IF(AND(AD74,ISNUMBER(AG74)),(AE74-AG74)^2,"")</f>
        <v/>
      </c>
      <c r="AI74" s="5">
        <f>IF(AD74,1+SUMPRODUCT(--(calc!$AD$3:$AD$306=TRUE),--(calc!$AE$3:$AE$306&gt;AE74))+(SUMPRODUCT(--(calc!$AD$3:$AD$306=TRUE),--(calc!$AE$3:$AE$306=AE74))-1)/2,"")</f>
        <v/>
      </c>
      <c r="AJ74" s="5">
        <f>IF(AD74,1+SUMPRODUCT(--(calc!$AD$3:$AD$306=TRUE),--(calc!$AF$3:$AF$306&gt;AF74))+(SUMPRODUCT(--(calc!$AD$3:$AD$306=TRUE),--(calc!$AF$3:$AF$306=AF74))-1)/2,"")</f>
        <v/>
      </c>
      <c r="AK74" s="5">
        <f>IF(AD74,SUMPRODUCT(--(calc!$AD$3:$AD$306=TRUE),--(ROW(calc!$AD$3:$AD$306)&gt;ROW(AD74)),--(((calc!$AI$3:$AI$306&gt;AI74)*(calc!$AJ$3:$AJ$306&gt;AJ74)+(calc!$AI$3:$AI$306&lt;AI74)*(calc!$AJ$3:$AJ$306&lt;AJ74))&gt;0))-SUMPRODUCT(--(calc!$AD$3:$AD$306=TRUE),--(ROW(calc!$AD$3:$AD$306)&gt;ROW(AD74)),--(((calc!$AI$3:$AI$306&gt;AI74)*(calc!$AJ$3:$AJ$306&lt;AJ74)+(calc!$AI$3:$AI$306&lt;AI74)*(calc!$AJ$3:$AJ$306&gt;AJ74))&gt;0)),0)</f>
        <v/>
      </c>
      <c r="AL74" s="5">
        <f>IF(mos_metrics!J73="","",mos_metrics!J73)</f>
        <v/>
      </c>
      <c r="AM74" s="2">
        <f>AND($J74,ISNUMBER(AL74),correlation!$I$29=1)</f>
        <v/>
      </c>
      <c r="AN74" s="5">
        <f>IF(AM74,$F74,"")</f>
        <v/>
      </c>
      <c r="AO74" s="5">
        <f>IF(AM74,AL74*correlation!$J$29,"")</f>
        <v/>
      </c>
      <c r="AP74" s="5">
        <f>IF(AND(AM74,ISNUMBER(correlation!$F$29)),AO74*correlation!$F$29+correlation!$G$29,"")</f>
        <v/>
      </c>
      <c r="AQ74" s="5">
        <f>IF(AND(AM74,ISNUMBER(AP74)),(AN74-AP74)^2,"")</f>
        <v/>
      </c>
      <c r="AR74" s="5">
        <f>IF(AM74,1+SUMPRODUCT(--(calc!$AM$3:$AM$306=TRUE),--(calc!$AN$3:$AN$306&gt;AN74))+(SUMPRODUCT(--(calc!$AM$3:$AM$306=TRUE),--(calc!$AN$3:$AN$306=AN74))-1)/2,"")</f>
        <v/>
      </c>
      <c r="AS74" s="5">
        <f>IF(AM74,1+SUMPRODUCT(--(calc!$AM$3:$AM$306=TRUE),--(calc!$AO$3:$AO$306&gt;AO74))+(SUMPRODUCT(--(calc!$AM$3:$AM$306=TRUE),--(calc!$AO$3:$AO$306=AO74))-1)/2,"")</f>
        <v/>
      </c>
      <c r="AT74" s="5">
        <f>IF(AM74,SUMPRODUCT(--(calc!$AM$3:$AM$306=TRUE),--(ROW(calc!$AM$3:$AM$306)&gt;ROW(AM74)),--(((calc!$AR$3:$AR$306&gt;AR74)*(calc!$AS$3:$AS$306&gt;AS74)+(calc!$AR$3:$AR$306&lt;AR74)*(calc!$AS$3:$AS$306&lt;AS74))&gt;0))-SUMPRODUCT(--(calc!$AM$3:$AM$306=TRUE),--(ROW(calc!$AM$3:$AM$306)&gt;ROW(AM74)),--(((calc!$AR$3:$AR$306&gt;AR74)*(calc!$AS$3:$AS$306&lt;AS74)+(calc!$AR$3:$AR$306&lt;AR74)*(calc!$AS$3:$AS$306&gt;AS74))&gt;0)),0)</f>
        <v/>
      </c>
      <c r="AU74" s="5">
        <f>IF(mos_metrics!K73="","",mos_metrics!K73)</f>
        <v/>
      </c>
      <c r="AV74" s="2">
        <f>AND($J74,ISNUMBER(AU74),correlation!$I$30=1)</f>
        <v/>
      </c>
      <c r="AW74" s="5">
        <f>IF(AV74,$F74,"")</f>
        <v/>
      </c>
      <c r="AX74" s="5">
        <f>IF(AV74,AU74*correlation!$J$30,"")</f>
        <v/>
      </c>
      <c r="AY74" s="5">
        <f>IF(AND(AV74,ISNUMBER(correlation!$F$30)),AX74*correlation!$F$30+correlation!$G$30,"")</f>
        <v/>
      </c>
      <c r="AZ74" s="5">
        <f>IF(AND(AV74,ISNUMBER(AY74)),(AW74-AY74)^2,"")</f>
        <v/>
      </c>
      <c r="BA74" s="5">
        <f>IF(AV74,1+SUMPRODUCT(--(calc!$AV$3:$AV$306=TRUE),--(calc!$AW$3:$AW$306&gt;AW74))+(SUMPRODUCT(--(calc!$AV$3:$AV$306=TRUE),--(calc!$AW$3:$AW$306=AW74))-1)/2,"")</f>
        <v/>
      </c>
      <c r="BB74" s="5">
        <f>IF(AV74,1+SUMPRODUCT(--(calc!$AV$3:$AV$306=TRUE),--(calc!$AX$3:$AX$306&gt;AX74))+(SUMPRODUCT(--(calc!$AV$3:$AV$306=TRUE),--(calc!$AX$3:$AX$306=AX74))-1)/2,"")</f>
        <v/>
      </c>
      <c r="BC74" s="5">
        <f>IF(AV74,SUMPRODUCT(--(calc!$AV$3:$AV$306=TRUE),--(ROW(calc!$AV$3:$AV$306)&gt;ROW(AV74)),--(((calc!$BA$3:$BA$306&gt;BA74)*(calc!$BB$3:$BB$306&gt;BB74)+(calc!$BA$3:$BA$306&lt;BA74)*(calc!$BB$3:$BB$306&lt;BB74))&gt;0))-SUMPRODUCT(--(calc!$AV$3:$AV$306=TRUE),--(ROW(calc!$AV$3:$AV$306)&gt;ROW(AV74)),--(((calc!$BA$3:$BA$306&gt;BA74)*(calc!$BB$3:$BB$306&lt;BB74)+(calc!$BA$3:$BA$306&lt;BA74)*(calc!$BB$3:$BB$306&gt;BB74))&gt;0)),0)</f>
        <v/>
      </c>
      <c r="BD74" s="5">
        <f>IF(mos_metrics!L73="","",mos_metrics!L73)</f>
        <v/>
      </c>
      <c r="BE74" s="2">
        <f>AND($J74,ISNUMBER(BD74),correlation!$I$31=1)</f>
        <v/>
      </c>
      <c r="BF74" s="5">
        <f>IF(BE74,$F74,"")</f>
        <v/>
      </c>
      <c r="BG74" s="5">
        <f>IF(BE74,BD74*correlation!$J$31,"")</f>
        <v/>
      </c>
      <c r="BH74" s="5">
        <f>IF(AND(BE74,ISNUMBER(correlation!$F$31)),BG74*correlation!$F$31+correlation!$G$31,"")</f>
        <v/>
      </c>
      <c r="BI74" s="5">
        <f>IF(AND(BE74,ISNUMBER(BH74)),(BF74-BH74)^2,"")</f>
        <v/>
      </c>
      <c r="BJ74" s="5">
        <f>IF(BE74,1+SUMPRODUCT(--(calc!$BE$3:$BE$306=TRUE),--(calc!$BF$3:$BF$306&gt;BF74))+(SUMPRODUCT(--(calc!$BE$3:$BE$306=TRUE),--(calc!$BF$3:$BF$306=BF74))-1)/2,"")</f>
        <v/>
      </c>
      <c r="BK74" s="5">
        <f>IF(BE74,1+SUMPRODUCT(--(calc!$BE$3:$BE$306=TRUE),--(calc!$BG$3:$BG$306&gt;BG74))+(SUMPRODUCT(--(calc!$BE$3:$BE$306=TRUE),--(calc!$BG$3:$BG$306=BG74))-1)/2,"")</f>
        <v/>
      </c>
      <c r="BL74" s="5">
        <f>IF(BE74,SUMPRODUCT(--(calc!$BE$3:$BE$306=TRUE),--(ROW(calc!$BE$3:$BE$306)&gt;ROW(BE74)),--(((calc!$BJ$3:$BJ$306&gt;BJ74)*(calc!$BK$3:$BK$306&gt;BK74)+(calc!$BJ$3:$BJ$306&lt;BJ74)*(calc!$BK$3:$BK$306&lt;BK74))&gt;0))-SUMPRODUCT(--(calc!$BE$3:$BE$306=TRUE),--(ROW(calc!$BE$3:$BE$306)&gt;ROW(BE74)),--(((calc!$BJ$3:$BJ$306&gt;BJ74)*(calc!$BK$3:$BK$306&lt;BK74)+(calc!$BJ$3:$BJ$306&lt;BJ74)*(calc!$BK$3:$BK$306&gt;BK74))&gt;0)),0)</f>
        <v/>
      </c>
      <c r="BM74" s="5">
        <f>IF(mos_metrics!M73="","",mos_metrics!M73)</f>
        <v/>
      </c>
      <c r="BN74" s="2">
        <f>AND($J74,ISNUMBER(BM74),correlation!$I$32=1)</f>
        <v/>
      </c>
      <c r="BO74" s="5">
        <f>IF(BN74,$F74,"")</f>
        <v/>
      </c>
      <c r="BP74" s="5">
        <f>IF(BN74,BM74*correlation!$J$32,"")</f>
        <v/>
      </c>
      <c r="BQ74" s="5">
        <f>IF(AND(BN74,ISNUMBER(correlation!$F$32)),BP74*correlation!$F$32+correlation!$G$32,"")</f>
        <v/>
      </c>
      <c r="BR74" s="5">
        <f>IF(AND(BN74,ISNUMBER(BQ74)),(BO74-BQ74)^2,"")</f>
        <v/>
      </c>
      <c r="BS74" s="5">
        <f>IF(BN74,1+SUMPRODUCT(--(calc!$BN$3:$BN$306=TRUE),--(calc!$BO$3:$BO$306&gt;BO74))+(SUMPRODUCT(--(calc!$BN$3:$BN$306=TRUE),--(calc!$BO$3:$BO$306=BO74))-1)/2,"")</f>
        <v/>
      </c>
      <c r="BT74" s="5">
        <f>IF(BN74,1+SUMPRODUCT(--(calc!$BN$3:$BN$306=TRUE),--(calc!$BP$3:$BP$306&gt;BP74))+(SUMPRODUCT(--(calc!$BN$3:$BN$306=TRUE),--(calc!$BP$3:$BP$306=BP74))-1)/2,"")</f>
        <v/>
      </c>
      <c r="BU74" s="5">
        <f>IF(BN74,SUMPRODUCT(--(calc!$BN$3:$BN$306=TRUE),--(ROW(calc!$BN$3:$BN$306)&gt;ROW(BN74)),--(((calc!$BS$3:$BS$306&gt;BS74)*(calc!$BT$3:$BT$306&gt;BT74)+(calc!$BS$3:$BS$306&lt;BS74)*(calc!$BT$3:$BT$306&lt;BT74))&gt;0))-SUMPRODUCT(--(calc!$BN$3:$BN$306=TRUE),--(ROW(calc!$BN$3:$BN$306)&gt;ROW(BN74)),--(((calc!$BS$3:$BS$306&gt;BS74)*(calc!$BT$3:$BT$306&lt;BT74)+(calc!$BS$3:$BS$306&lt;BS74)*(calc!$BT$3:$BT$306&gt;BT74))&gt;0)),0)</f>
        <v/>
      </c>
    </row>
    <row r="75">
      <c r="A75" s="2">
        <f>mos_metrics!A74</f>
        <v/>
      </c>
      <c r="B75" s="2">
        <f>mos_metrics!B74</f>
        <v/>
      </c>
      <c r="C75" s="2">
        <f>mos_metrics!C74</f>
        <v/>
      </c>
      <c r="D75" s="2">
        <f>mos_metrics!D74</f>
        <v/>
      </c>
      <c r="E75" s="2">
        <f>mos_metrics!E74</f>
        <v/>
      </c>
      <c r="F75" s="2">
        <f>mos_metrics!F74</f>
        <v/>
      </c>
      <c r="G75" s="2">
        <f>IF($B75="","",IFERROR(VLOOKUP($B75,correlation!$A$2:$B$16,2,FALSE),1))</f>
        <v/>
      </c>
      <c r="H75" s="2">
        <f>IF($E75="","",IFERROR(VLOOKUP($E75,correlation!$D$2:$E$8,2,FALSE),1))</f>
        <v/>
      </c>
      <c r="I75" s="2">
        <f>ISNUMBER($F75)</f>
        <v/>
      </c>
      <c r="J75" s="2">
        <f>AND($G75=1,$H75=1,$I75)</f>
        <v/>
      </c>
      <c r="K75" s="5">
        <f>IF(mos_metrics!G74="","",mos_metrics!G74)</f>
        <v/>
      </c>
      <c r="L75" s="2">
        <f>AND($J75,ISNUMBER(K75),correlation!$I$26=1)</f>
        <v/>
      </c>
      <c r="M75" s="5">
        <f>IF(L75,$F75,"")</f>
        <v/>
      </c>
      <c r="N75" s="5">
        <f>IF(L75,K75*correlation!$J$26,"")</f>
        <v/>
      </c>
      <c r="O75" s="5">
        <f>IF(AND(L75,ISNUMBER(correlation!$F$26)),N75*correlation!$F$26+correlation!$G$26,"")</f>
        <v/>
      </c>
      <c r="P75" s="5">
        <f>IF(AND(L75,ISNUMBER(O75)),(M75-O75)^2,"")</f>
        <v/>
      </c>
      <c r="Q75" s="5">
        <f>IF(L75,1+SUMPRODUCT(--(calc!$L$3:$L$306=TRUE),--(calc!$M$3:$M$306&gt;M75))+(SUMPRODUCT(--(calc!$L$3:$L$306=TRUE),--(calc!$M$3:$M$306=M75))-1)/2,"")</f>
        <v/>
      </c>
      <c r="R75" s="5">
        <f>IF(L75,1+SUMPRODUCT(--(calc!$L$3:$L$306=TRUE),--(calc!$N$3:$N$306&gt;N75))+(SUMPRODUCT(--(calc!$L$3:$L$306=TRUE),--(calc!$N$3:$N$306=N75))-1)/2,"")</f>
        <v/>
      </c>
      <c r="S75" s="5">
        <f>IF(L75,SUMPRODUCT(--(calc!$L$3:$L$306=TRUE),--(ROW(calc!$L$3:$L$306)&gt;ROW(L75)),--(((calc!$Q$3:$Q$306&gt;Q75)*(calc!$R$3:$R$306&gt;R75)+(calc!$Q$3:$Q$306&lt;Q75)*(calc!$R$3:$R$306&lt;R75))&gt;0))-SUMPRODUCT(--(calc!$L$3:$L$306=TRUE),--(ROW(calc!$L$3:$L$306)&gt;ROW(L75)),--(((calc!$Q$3:$Q$306&gt;Q75)*(calc!$R$3:$R$306&lt;R75)+(calc!$Q$3:$Q$306&lt;Q75)*(calc!$R$3:$R$306&gt;R75))&gt;0)),0)</f>
        <v/>
      </c>
      <c r="T75" s="5">
        <f>IF(mos_metrics!H74="","",mos_metrics!H74)</f>
        <v/>
      </c>
      <c r="U75" s="2">
        <f>AND($J75,ISNUMBER(T75),correlation!$I$27=1)</f>
        <v/>
      </c>
      <c r="V75" s="5">
        <f>IF(U75,$F75,"")</f>
        <v/>
      </c>
      <c r="W75" s="5">
        <f>IF(U75,T75*correlation!$J$27,"")</f>
        <v/>
      </c>
      <c r="X75" s="5">
        <f>IF(AND(U75,ISNUMBER(correlation!$F$27)),W75*correlation!$F$27+correlation!$G$27,"")</f>
        <v/>
      </c>
      <c r="Y75" s="5">
        <f>IF(AND(U75,ISNUMBER(X75)),(V75-X75)^2,"")</f>
        <v/>
      </c>
      <c r="Z75" s="5">
        <f>IF(U75,1+SUMPRODUCT(--(calc!$U$3:$U$306=TRUE),--(calc!$V$3:$V$306&gt;V75))+(SUMPRODUCT(--(calc!$U$3:$U$306=TRUE),--(calc!$V$3:$V$306=V75))-1)/2,"")</f>
        <v/>
      </c>
      <c r="AA75" s="5">
        <f>IF(U75,1+SUMPRODUCT(--(calc!$U$3:$U$306=TRUE),--(calc!$W$3:$W$306&gt;W75))+(SUMPRODUCT(--(calc!$U$3:$U$306=TRUE),--(calc!$W$3:$W$306=W75))-1)/2,"")</f>
        <v/>
      </c>
      <c r="AB75" s="5">
        <f>IF(U75,SUMPRODUCT(--(calc!$U$3:$U$306=TRUE),--(ROW(calc!$U$3:$U$306)&gt;ROW(U75)),--(((calc!$Z$3:$Z$306&gt;Z75)*(calc!$AA$3:$AA$306&gt;AA75)+(calc!$Z$3:$Z$306&lt;Z75)*(calc!$AA$3:$AA$306&lt;AA75))&gt;0))-SUMPRODUCT(--(calc!$U$3:$U$306=TRUE),--(ROW(calc!$U$3:$U$306)&gt;ROW(U75)),--(((calc!$Z$3:$Z$306&gt;Z75)*(calc!$AA$3:$AA$306&lt;AA75)+(calc!$Z$3:$Z$306&lt;Z75)*(calc!$AA$3:$AA$306&gt;AA75))&gt;0)),0)</f>
        <v/>
      </c>
      <c r="AC75" s="5">
        <f>IF(mos_metrics!I74="","",mos_metrics!I74)</f>
        <v/>
      </c>
      <c r="AD75" s="2">
        <f>AND($J75,ISNUMBER(AC75),correlation!$I$28=1)</f>
        <v/>
      </c>
      <c r="AE75" s="5">
        <f>IF(AD75,$F75,"")</f>
        <v/>
      </c>
      <c r="AF75" s="5">
        <f>IF(AD75,AC75*correlation!$J$28,"")</f>
        <v/>
      </c>
      <c r="AG75" s="5">
        <f>IF(AND(AD75,ISNUMBER(correlation!$F$28)),AF75*correlation!$F$28+correlation!$G$28,"")</f>
        <v/>
      </c>
      <c r="AH75" s="5">
        <f>IF(AND(AD75,ISNUMBER(AG75)),(AE75-AG75)^2,"")</f>
        <v/>
      </c>
      <c r="AI75" s="5">
        <f>IF(AD75,1+SUMPRODUCT(--(calc!$AD$3:$AD$306=TRUE),--(calc!$AE$3:$AE$306&gt;AE75))+(SUMPRODUCT(--(calc!$AD$3:$AD$306=TRUE),--(calc!$AE$3:$AE$306=AE75))-1)/2,"")</f>
        <v/>
      </c>
      <c r="AJ75" s="5">
        <f>IF(AD75,1+SUMPRODUCT(--(calc!$AD$3:$AD$306=TRUE),--(calc!$AF$3:$AF$306&gt;AF75))+(SUMPRODUCT(--(calc!$AD$3:$AD$306=TRUE),--(calc!$AF$3:$AF$306=AF75))-1)/2,"")</f>
        <v/>
      </c>
      <c r="AK75" s="5">
        <f>IF(AD75,SUMPRODUCT(--(calc!$AD$3:$AD$306=TRUE),--(ROW(calc!$AD$3:$AD$306)&gt;ROW(AD75)),--(((calc!$AI$3:$AI$306&gt;AI75)*(calc!$AJ$3:$AJ$306&gt;AJ75)+(calc!$AI$3:$AI$306&lt;AI75)*(calc!$AJ$3:$AJ$306&lt;AJ75))&gt;0))-SUMPRODUCT(--(calc!$AD$3:$AD$306=TRUE),--(ROW(calc!$AD$3:$AD$306)&gt;ROW(AD75)),--(((calc!$AI$3:$AI$306&gt;AI75)*(calc!$AJ$3:$AJ$306&lt;AJ75)+(calc!$AI$3:$AI$306&lt;AI75)*(calc!$AJ$3:$AJ$306&gt;AJ75))&gt;0)),0)</f>
        <v/>
      </c>
      <c r="AL75" s="5">
        <f>IF(mos_metrics!J74="","",mos_metrics!J74)</f>
        <v/>
      </c>
      <c r="AM75" s="2">
        <f>AND($J75,ISNUMBER(AL75),correlation!$I$29=1)</f>
        <v/>
      </c>
      <c r="AN75" s="5">
        <f>IF(AM75,$F75,"")</f>
        <v/>
      </c>
      <c r="AO75" s="5">
        <f>IF(AM75,AL75*correlation!$J$29,"")</f>
        <v/>
      </c>
      <c r="AP75" s="5">
        <f>IF(AND(AM75,ISNUMBER(correlation!$F$29)),AO75*correlation!$F$29+correlation!$G$29,"")</f>
        <v/>
      </c>
      <c r="AQ75" s="5">
        <f>IF(AND(AM75,ISNUMBER(AP75)),(AN75-AP75)^2,"")</f>
        <v/>
      </c>
      <c r="AR75" s="5">
        <f>IF(AM75,1+SUMPRODUCT(--(calc!$AM$3:$AM$306=TRUE),--(calc!$AN$3:$AN$306&gt;AN75))+(SUMPRODUCT(--(calc!$AM$3:$AM$306=TRUE),--(calc!$AN$3:$AN$306=AN75))-1)/2,"")</f>
        <v/>
      </c>
      <c r="AS75" s="5">
        <f>IF(AM75,1+SUMPRODUCT(--(calc!$AM$3:$AM$306=TRUE),--(calc!$AO$3:$AO$306&gt;AO75))+(SUMPRODUCT(--(calc!$AM$3:$AM$306=TRUE),--(calc!$AO$3:$AO$306=AO75))-1)/2,"")</f>
        <v/>
      </c>
      <c r="AT75" s="5">
        <f>IF(AM75,SUMPRODUCT(--(calc!$AM$3:$AM$306=TRUE),--(ROW(calc!$AM$3:$AM$306)&gt;ROW(AM75)),--(((calc!$AR$3:$AR$306&gt;AR75)*(calc!$AS$3:$AS$306&gt;AS75)+(calc!$AR$3:$AR$306&lt;AR75)*(calc!$AS$3:$AS$306&lt;AS75))&gt;0))-SUMPRODUCT(--(calc!$AM$3:$AM$306=TRUE),--(ROW(calc!$AM$3:$AM$306)&gt;ROW(AM75)),--(((calc!$AR$3:$AR$306&gt;AR75)*(calc!$AS$3:$AS$306&lt;AS75)+(calc!$AR$3:$AR$306&lt;AR75)*(calc!$AS$3:$AS$306&gt;AS75))&gt;0)),0)</f>
        <v/>
      </c>
      <c r="AU75" s="5">
        <f>IF(mos_metrics!K74="","",mos_metrics!K74)</f>
        <v/>
      </c>
      <c r="AV75" s="2">
        <f>AND($J75,ISNUMBER(AU75),correlation!$I$30=1)</f>
        <v/>
      </c>
      <c r="AW75" s="5">
        <f>IF(AV75,$F75,"")</f>
        <v/>
      </c>
      <c r="AX75" s="5">
        <f>IF(AV75,AU75*correlation!$J$30,"")</f>
        <v/>
      </c>
      <c r="AY75" s="5">
        <f>IF(AND(AV75,ISNUMBER(correlation!$F$30)),AX75*correlation!$F$30+correlation!$G$30,"")</f>
        <v/>
      </c>
      <c r="AZ75" s="5">
        <f>IF(AND(AV75,ISNUMBER(AY75)),(AW75-AY75)^2,"")</f>
        <v/>
      </c>
      <c r="BA75" s="5">
        <f>IF(AV75,1+SUMPRODUCT(--(calc!$AV$3:$AV$306=TRUE),--(calc!$AW$3:$AW$306&gt;AW75))+(SUMPRODUCT(--(calc!$AV$3:$AV$306=TRUE),--(calc!$AW$3:$AW$306=AW75))-1)/2,"")</f>
        <v/>
      </c>
      <c r="BB75" s="5">
        <f>IF(AV75,1+SUMPRODUCT(--(calc!$AV$3:$AV$306=TRUE),--(calc!$AX$3:$AX$306&gt;AX75))+(SUMPRODUCT(--(calc!$AV$3:$AV$306=TRUE),--(calc!$AX$3:$AX$306=AX75))-1)/2,"")</f>
        <v/>
      </c>
      <c r="BC75" s="5">
        <f>IF(AV75,SUMPRODUCT(--(calc!$AV$3:$AV$306=TRUE),--(ROW(calc!$AV$3:$AV$306)&gt;ROW(AV75)),--(((calc!$BA$3:$BA$306&gt;BA75)*(calc!$BB$3:$BB$306&gt;BB75)+(calc!$BA$3:$BA$306&lt;BA75)*(calc!$BB$3:$BB$306&lt;BB75))&gt;0))-SUMPRODUCT(--(calc!$AV$3:$AV$306=TRUE),--(ROW(calc!$AV$3:$AV$306)&gt;ROW(AV75)),--(((calc!$BA$3:$BA$306&gt;BA75)*(calc!$BB$3:$BB$306&lt;BB75)+(calc!$BA$3:$BA$306&lt;BA75)*(calc!$BB$3:$BB$306&gt;BB75))&gt;0)),0)</f>
        <v/>
      </c>
      <c r="BD75" s="5">
        <f>IF(mos_metrics!L74="","",mos_metrics!L74)</f>
        <v/>
      </c>
      <c r="BE75" s="2">
        <f>AND($J75,ISNUMBER(BD75),correlation!$I$31=1)</f>
        <v/>
      </c>
      <c r="BF75" s="5">
        <f>IF(BE75,$F75,"")</f>
        <v/>
      </c>
      <c r="BG75" s="5">
        <f>IF(BE75,BD75*correlation!$J$31,"")</f>
        <v/>
      </c>
      <c r="BH75" s="5">
        <f>IF(AND(BE75,ISNUMBER(correlation!$F$31)),BG75*correlation!$F$31+correlation!$G$31,"")</f>
        <v/>
      </c>
      <c r="BI75" s="5">
        <f>IF(AND(BE75,ISNUMBER(BH75)),(BF75-BH75)^2,"")</f>
        <v/>
      </c>
      <c r="BJ75" s="5">
        <f>IF(BE75,1+SUMPRODUCT(--(calc!$BE$3:$BE$306=TRUE),--(calc!$BF$3:$BF$306&gt;BF75))+(SUMPRODUCT(--(calc!$BE$3:$BE$306=TRUE),--(calc!$BF$3:$BF$306=BF75))-1)/2,"")</f>
        <v/>
      </c>
      <c r="BK75" s="5">
        <f>IF(BE75,1+SUMPRODUCT(--(calc!$BE$3:$BE$306=TRUE),--(calc!$BG$3:$BG$306&gt;BG75))+(SUMPRODUCT(--(calc!$BE$3:$BE$306=TRUE),--(calc!$BG$3:$BG$306=BG75))-1)/2,"")</f>
        <v/>
      </c>
      <c r="BL75" s="5">
        <f>IF(BE75,SUMPRODUCT(--(calc!$BE$3:$BE$306=TRUE),--(ROW(calc!$BE$3:$BE$306)&gt;ROW(BE75)),--(((calc!$BJ$3:$BJ$306&gt;BJ75)*(calc!$BK$3:$BK$306&gt;BK75)+(calc!$BJ$3:$BJ$306&lt;BJ75)*(calc!$BK$3:$BK$306&lt;BK75))&gt;0))-SUMPRODUCT(--(calc!$BE$3:$BE$306=TRUE),--(ROW(calc!$BE$3:$BE$306)&gt;ROW(BE75)),--(((calc!$BJ$3:$BJ$306&gt;BJ75)*(calc!$BK$3:$BK$306&lt;BK75)+(calc!$BJ$3:$BJ$306&lt;BJ75)*(calc!$BK$3:$BK$306&gt;BK75))&gt;0)),0)</f>
        <v/>
      </c>
      <c r="BM75" s="5">
        <f>IF(mos_metrics!M74="","",mos_metrics!M74)</f>
        <v/>
      </c>
      <c r="BN75" s="2">
        <f>AND($J75,ISNUMBER(BM75),correlation!$I$32=1)</f>
        <v/>
      </c>
      <c r="BO75" s="5">
        <f>IF(BN75,$F75,"")</f>
        <v/>
      </c>
      <c r="BP75" s="5">
        <f>IF(BN75,BM75*correlation!$J$32,"")</f>
        <v/>
      </c>
      <c r="BQ75" s="5">
        <f>IF(AND(BN75,ISNUMBER(correlation!$F$32)),BP75*correlation!$F$32+correlation!$G$32,"")</f>
        <v/>
      </c>
      <c r="BR75" s="5">
        <f>IF(AND(BN75,ISNUMBER(BQ75)),(BO75-BQ75)^2,"")</f>
        <v/>
      </c>
      <c r="BS75" s="5">
        <f>IF(BN75,1+SUMPRODUCT(--(calc!$BN$3:$BN$306=TRUE),--(calc!$BO$3:$BO$306&gt;BO75))+(SUMPRODUCT(--(calc!$BN$3:$BN$306=TRUE),--(calc!$BO$3:$BO$306=BO75))-1)/2,"")</f>
        <v/>
      </c>
      <c r="BT75" s="5">
        <f>IF(BN75,1+SUMPRODUCT(--(calc!$BN$3:$BN$306=TRUE),--(calc!$BP$3:$BP$306&gt;BP75))+(SUMPRODUCT(--(calc!$BN$3:$BN$306=TRUE),--(calc!$BP$3:$BP$306=BP75))-1)/2,"")</f>
        <v/>
      </c>
      <c r="BU75" s="5">
        <f>IF(BN75,SUMPRODUCT(--(calc!$BN$3:$BN$306=TRUE),--(ROW(calc!$BN$3:$BN$306)&gt;ROW(BN75)),--(((calc!$BS$3:$BS$306&gt;BS75)*(calc!$BT$3:$BT$306&gt;BT75)+(calc!$BS$3:$BS$306&lt;BS75)*(calc!$BT$3:$BT$306&lt;BT75))&gt;0))-SUMPRODUCT(--(calc!$BN$3:$BN$306=TRUE),--(ROW(calc!$BN$3:$BN$306)&gt;ROW(BN75)),--(((calc!$BS$3:$BS$306&gt;BS75)*(calc!$BT$3:$BT$306&lt;BT75)+(calc!$BS$3:$BS$306&lt;BS75)*(calc!$BT$3:$BT$306&gt;BT75))&gt;0)),0)</f>
        <v/>
      </c>
    </row>
    <row r="76">
      <c r="A76" s="2">
        <f>mos_metrics!A75</f>
        <v/>
      </c>
      <c r="B76" s="2">
        <f>mos_metrics!B75</f>
        <v/>
      </c>
      <c r="C76" s="2">
        <f>mos_metrics!C75</f>
        <v/>
      </c>
      <c r="D76" s="2">
        <f>mos_metrics!D75</f>
        <v/>
      </c>
      <c r="E76" s="2">
        <f>mos_metrics!E75</f>
        <v/>
      </c>
      <c r="F76" s="2">
        <f>mos_metrics!F75</f>
        <v/>
      </c>
      <c r="G76" s="2">
        <f>IF($B76="","",IFERROR(VLOOKUP($B76,correlation!$A$2:$B$16,2,FALSE),1))</f>
        <v/>
      </c>
      <c r="H76" s="2">
        <f>IF($E76="","",IFERROR(VLOOKUP($E76,correlation!$D$2:$E$8,2,FALSE),1))</f>
        <v/>
      </c>
      <c r="I76" s="2">
        <f>ISNUMBER($F76)</f>
        <v/>
      </c>
      <c r="J76" s="2">
        <f>AND($G76=1,$H76=1,$I76)</f>
        <v/>
      </c>
      <c r="K76" s="5">
        <f>IF(mos_metrics!G75="","",mos_metrics!G75)</f>
        <v/>
      </c>
      <c r="L76" s="2">
        <f>AND($J76,ISNUMBER(K76),correlation!$I$26=1)</f>
        <v/>
      </c>
      <c r="M76" s="5">
        <f>IF(L76,$F76,"")</f>
        <v/>
      </c>
      <c r="N76" s="5">
        <f>IF(L76,K76*correlation!$J$26,"")</f>
        <v/>
      </c>
      <c r="O76" s="5">
        <f>IF(AND(L76,ISNUMBER(correlation!$F$26)),N76*correlation!$F$26+correlation!$G$26,"")</f>
        <v/>
      </c>
      <c r="P76" s="5">
        <f>IF(AND(L76,ISNUMBER(O76)),(M76-O76)^2,"")</f>
        <v/>
      </c>
      <c r="Q76" s="5">
        <f>IF(L76,1+SUMPRODUCT(--(calc!$L$3:$L$306=TRUE),--(calc!$M$3:$M$306&gt;M76))+(SUMPRODUCT(--(calc!$L$3:$L$306=TRUE),--(calc!$M$3:$M$306=M76))-1)/2,"")</f>
        <v/>
      </c>
      <c r="R76" s="5">
        <f>IF(L76,1+SUMPRODUCT(--(calc!$L$3:$L$306=TRUE),--(calc!$N$3:$N$306&gt;N76))+(SUMPRODUCT(--(calc!$L$3:$L$306=TRUE),--(calc!$N$3:$N$306=N76))-1)/2,"")</f>
        <v/>
      </c>
      <c r="S76" s="5">
        <f>IF(L76,SUMPRODUCT(--(calc!$L$3:$L$306=TRUE),--(ROW(calc!$L$3:$L$306)&gt;ROW(L76)),--(((calc!$Q$3:$Q$306&gt;Q76)*(calc!$R$3:$R$306&gt;R76)+(calc!$Q$3:$Q$306&lt;Q76)*(calc!$R$3:$R$306&lt;R76))&gt;0))-SUMPRODUCT(--(calc!$L$3:$L$306=TRUE),--(ROW(calc!$L$3:$L$306)&gt;ROW(L76)),--(((calc!$Q$3:$Q$306&gt;Q76)*(calc!$R$3:$R$306&lt;R76)+(calc!$Q$3:$Q$306&lt;Q76)*(calc!$R$3:$R$306&gt;R76))&gt;0)),0)</f>
        <v/>
      </c>
      <c r="T76" s="5">
        <f>IF(mos_metrics!H75="","",mos_metrics!H75)</f>
        <v/>
      </c>
      <c r="U76" s="2">
        <f>AND($J76,ISNUMBER(T76),correlation!$I$27=1)</f>
        <v/>
      </c>
      <c r="V76" s="5">
        <f>IF(U76,$F76,"")</f>
        <v/>
      </c>
      <c r="W76" s="5">
        <f>IF(U76,T76*correlation!$J$27,"")</f>
        <v/>
      </c>
      <c r="X76" s="5">
        <f>IF(AND(U76,ISNUMBER(correlation!$F$27)),W76*correlation!$F$27+correlation!$G$27,"")</f>
        <v/>
      </c>
      <c r="Y76" s="5">
        <f>IF(AND(U76,ISNUMBER(X76)),(V76-X76)^2,"")</f>
        <v/>
      </c>
      <c r="Z76" s="5">
        <f>IF(U76,1+SUMPRODUCT(--(calc!$U$3:$U$306=TRUE),--(calc!$V$3:$V$306&gt;V76))+(SUMPRODUCT(--(calc!$U$3:$U$306=TRUE),--(calc!$V$3:$V$306=V76))-1)/2,"")</f>
        <v/>
      </c>
      <c r="AA76" s="5">
        <f>IF(U76,1+SUMPRODUCT(--(calc!$U$3:$U$306=TRUE),--(calc!$W$3:$W$306&gt;W76))+(SUMPRODUCT(--(calc!$U$3:$U$306=TRUE),--(calc!$W$3:$W$306=W76))-1)/2,"")</f>
        <v/>
      </c>
      <c r="AB76" s="5">
        <f>IF(U76,SUMPRODUCT(--(calc!$U$3:$U$306=TRUE),--(ROW(calc!$U$3:$U$306)&gt;ROW(U76)),--(((calc!$Z$3:$Z$306&gt;Z76)*(calc!$AA$3:$AA$306&gt;AA76)+(calc!$Z$3:$Z$306&lt;Z76)*(calc!$AA$3:$AA$306&lt;AA76))&gt;0))-SUMPRODUCT(--(calc!$U$3:$U$306=TRUE),--(ROW(calc!$U$3:$U$306)&gt;ROW(U76)),--(((calc!$Z$3:$Z$306&gt;Z76)*(calc!$AA$3:$AA$306&lt;AA76)+(calc!$Z$3:$Z$306&lt;Z76)*(calc!$AA$3:$AA$306&gt;AA76))&gt;0)),0)</f>
        <v/>
      </c>
      <c r="AC76" s="5">
        <f>IF(mos_metrics!I75="","",mos_metrics!I75)</f>
        <v/>
      </c>
      <c r="AD76" s="2">
        <f>AND($J76,ISNUMBER(AC76),correlation!$I$28=1)</f>
        <v/>
      </c>
      <c r="AE76" s="5">
        <f>IF(AD76,$F76,"")</f>
        <v/>
      </c>
      <c r="AF76" s="5">
        <f>IF(AD76,AC76*correlation!$J$28,"")</f>
        <v/>
      </c>
      <c r="AG76" s="5">
        <f>IF(AND(AD76,ISNUMBER(correlation!$F$28)),AF76*correlation!$F$28+correlation!$G$28,"")</f>
        <v/>
      </c>
      <c r="AH76" s="5">
        <f>IF(AND(AD76,ISNUMBER(AG76)),(AE76-AG76)^2,"")</f>
        <v/>
      </c>
      <c r="AI76" s="5">
        <f>IF(AD76,1+SUMPRODUCT(--(calc!$AD$3:$AD$306=TRUE),--(calc!$AE$3:$AE$306&gt;AE76))+(SUMPRODUCT(--(calc!$AD$3:$AD$306=TRUE),--(calc!$AE$3:$AE$306=AE76))-1)/2,"")</f>
        <v/>
      </c>
      <c r="AJ76" s="5">
        <f>IF(AD76,1+SUMPRODUCT(--(calc!$AD$3:$AD$306=TRUE),--(calc!$AF$3:$AF$306&gt;AF76))+(SUMPRODUCT(--(calc!$AD$3:$AD$306=TRUE),--(calc!$AF$3:$AF$306=AF76))-1)/2,"")</f>
        <v/>
      </c>
      <c r="AK76" s="5">
        <f>IF(AD76,SUMPRODUCT(--(calc!$AD$3:$AD$306=TRUE),--(ROW(calc!$AD$3:$AD$306)&gt;ROW(AD76)),--(((calc!$AI$3:$AI$306&gt;AI76)*(calc!$AJ$3:$AJ$306&gt;AJ76)+(calc!$AI$3:$AI$306&lt;AI76)*(calc!$AJ$3:$AJ$306&lt;AJ76))&gt;0))-SUMPRODUCT(--(calc!$AD$3:$AD$306=TRUE),--(ROW(calc!$AD$3:$AD$306)&gt;ROW(AD76)),--(((calc!$AI$3:$AI$306&gt;AI76)*(calc!$AJ$3:$AJ$306&lt;AJ76)+(calc!$AI$3:$AI$306&lt;AI76)*(calc!$AJ$3:$AJ$306&gt;AJ76))&gt;0)),0)</f>
        <v/>
      </c>
      <c r="AL76" s="5">
        <f>IF(mos_metrics!J75="","",mos_metrics!J75)</f>
        <v/>
      </c>
      <c r="AM76" s="2">
        <f>AND($J76,ISNUMBER(AL76),correlation!$I$29=1)</f>
        <v/>
      </c>
      <c r="AN76" s="5">
        <f>IF(AM76,$F76,"")</f>
        <v/>
      </c>
      <c r="AO76" s="5">
        <f>IF(AM76,AL76*correlation!$J$29,"")</f>
        <v/>
      </c>
      <c r="AP76" s="5">
        <f>IF(AND(AM76,ISNUMBER(correlation!$F$29)),AO76*correlation!$F$29+correlation!$G$29,"")</f>
        <v/>
      </c>
      <c r="AQ76" s="5">
        <f>IF(AND(AM76,ISNUMBER(AP76)),(AN76-AP76)^2,"")</f>
        <v/>
      </c>
      <c r="AR76" s="5">
        <f>IF(AM76,1+SUMPRODUCT(--(calc!$AM$3:$AM$306=TRUE),--(calc!$AN$3:$AN$306&gt;AN76))+(SUMPRODUCT(--(calc!$AM$3:$AM$306=TRUE),--(calc!$AN$3:$AN$306=AN76))-1)/2,"")</f>
        <v/>
      </c>
      <c r="AS76" s="5">
        <f>IF(AM76,1+SUMPRODUCT(--(calc!$AM$3:$AM$306=TRUE),--(calc!$AO$3:$AO$306&gt;AO76))+(SUMPRODUCT(--(calc!$AM$3:$AM$306=TRUE),--(calc!$AO$3:$AO$306=AO76))-1)/2,"")</f>
        <v/>
      </c>
      <c r="AT76" s="5">
        <f>IF(AM76,SUMPRODUCT(--(calc!$AM$3:$AM$306=TRUE),--(ROW(calc!$AM$3:$AM$306)&gt;ROW(AM76)),--(((calc!$AR$3:$AR$306&gt;AR76)*(calc!$AS$3:$AS$306&gt;AS76)+(calc!$AR$3:$AR$306&lt;AR76)*(calc!$AS$3:$AS$306&lt;AS76))&gt;0))-SUMPRODUCT(--(calc!$AM$3:$AM$306=TRUE),--(ROW(calc!$AM$3:$AM$306)&gt;ROW(AM76)),--(((calc!$AR$3:$AR$306&gt;AR76)*(calc!$AS$3:$AS$306&lt;AS76)+(calc!$AR$3:$AR$306&lt;AR76)*(calc!$AS$3:$AS$306&gt;AS76))&gt;0)),0)</f>
        <v/>
      </c>
      <c r="AU76" s="5">
        <f>IF(mos_metrics!K75="","",mos_metrics!K75)</f>
        <v/>
      </c>
      <c r="AV76" s="2">
        <f>AND($J76,ISNUMBER(AU76),correlation!$I$30=1)</f>
        <v/>
      </c>
      <c r="AW76" s="5">
        <f>IF(AV76,$F76,"")</f>
        <v/>
      </c>
      <c r="AX76" s="5">
        <f>IF(AV76,AU76*correlation!$J$30,"")</f>
        <v/>
      </c>
      <c r="AY76" s="5">
        <f>IF(AND(AV76,ISNUMBER(correlation!$F$30)),AX76*correlation!$F$30+correlation!$G$30,"")</f>
        <v/>
      </c>
      <c r="AZ76" s="5">
        <f>IF(AND(AV76,ISNUMBER(AY76)),(AW76-AY76)^2,"")</f>
        <v/>
      </c>
      <c r="BA76" s="5">
        <f>IF(AV76,1+SUMPRODUCT(--(calc!$AV$3:$AV$306=TRUE),--(calc!$AW$3:$AW$306&gt;AW76))+(SUMPRODUCT(--(calc!$AV$3:$AV$306=TRUE),--(calc!$AW$3:$AW$306=AW76))-1)/2,"")</f>
        <v/>
      </c>
      <c r="BB76" s="5">
        <f>IF(AV76,1+SUMPRODUCT(--(calc!$AV$3:$AV$306=TRUE),--(calc!$AX$3:$AX$306&gt;AX76))+(SUMPRODUCT(--(calc!$AV$3:$AV$306=TRUE),--(calc!$AX$3:$AX$306=AX76))-1)/2,"")</f>
        <v/>
      </c>
      <c r="BC76" s="5">
        <f>IF(AV76,SUMPRODUCT(--(calc!$AV$3:$AV$306=TRUE),--(ROW(calc!$AV$3:$AV$306)&gt;ROW(AV76)),--(((calc!$BA$3:$BA$306&gt;BA76)*(calc!$BB$3:$BB$306&gt;BB76)+(calc!$BA$3:$BA$306&lt;BA76)*(calc!$BB$3:$BB$306&lt;BB76))&gt;0))-SUMPRODUCT(--(calc!$AV$3:$AV$306=TRUE),--(ROW(calc!$AV$3:$AV$306)&gt;ROW(AV76)),--(((calc!$BA$3:$BA$306&gt;BA76)*(calc!$BB$3:$BB$306&lt;BB76)+(calc!$BA$3:$BA$306&lt;BA76)*(calc!$BB$3:$BB$306&gt;BB76))&gt;0)),0)</f>
        <v/>
      </c>
      <c r="BD76" s="5">
        <f>IF(mos_metrics!L75="","",mos_metrics!L75)</f>
        <v/>
      </c>
      <c r="BE76" s="2">
        <f>AND($J76,ISNUMBER(BD76),correlation!$I$31=1)</f>
        <v/>
      </c>
      <c r="BF76" s="5">
        <f>IF(BE76,$F76,"")</f>
        <v/>
      </c>
      <c r="BG76" s="5">
        <f>IF(BE76,BD76*correlation!$J$31,"")</f>
        <v/>
      </c>
      <c r="BH76" s="5">
        <f>IF(AND(BE76,ISNUMBER(correlation!$F$31)),BG76*correlation!$F$31+correlation!$G$31,"")</f>
        <v/>
      </c>
      <c r="BI76" s="5">
        <f>IF(AND(BE76,ISNUMBER(BH76)),(BF76-BH76)^2,"")</f>
        <v/>
      </c>
      <c r="BJ76" s="5">
        <f>IF(BE76,1+SUMPRODUCT(--(calc!$BE$3:$BE$306=TRUE),--(calc!$BF$3:$BF$306&gt;BF76))+(SUMPRODUCT(--(calc!$BE$3:$BE$306=TRUE),--(calc!$BF$3:$BF$306=BF76))-1)/2,"")</f>
        <v/>
      </c>
      <c r="BK76" s="5">
        <f>IF(BE76,1+SUMPRODUCT(--(calc!$BE$3:$BE$306=TRUE),--(calc!$BG$3:$BG$306&gt;BG76))+(SUMPRODUCT(--(calc!$BE$3:$BE$306=TRUE),--(calc!$BG$3:$BG$306=BG76))-1)/2,"")</f>
        <v/>
      </c>
      <c r="BL76" s="5">
        <f>IF(BE76,SUMPRODUCT(--(calc!$BE$3:$BE$306=TRUE),--(ROW(calc!$BE$3:$BE$306)&gt;ROW(BE76)),--(((calc!$BJ$3:$BJ$306&gt;BJ76)*(calc!$BK$3:$BK$306&gt;BK76)+(calc!$BJ$3:$BJ$306&lt;BJ76)*(calc!$BK$3:$BK$306&lt;BK76))&gt;0))-SUMPRODUCT(--(calc!$BE$3:$BE$306=TRUE),--(ROW(calc!$BE$3:$BE$306)&gt;ROW(BE76)),--(((calc!$BJ$3:$BJ$306&gt;BJ76)*(calc!$BK$3:$BK$306&lt;BK76)+(calc!$BJ$3:$BJ$306&lt;BJ76)*(calc!$BK$3:$BK$306&gt;BK76))&gt;0)),0)</f>
        <v/>
      </c>
      <c r="BM76" s="5">
        <f>IF(mos_metrics!M75="","",mos_metrics!M75)</f>
        <v/>
      </c>
      <c r="BN76" s="2">
        <f>AND($J76,ISNUMBER(BM76),correlation!$I$32=1)</f>
        <v/>
      </c>
      <c r="BO76" s="5">
        <f>IF(BN76,$F76,"")</f>
        <v/>
      </c>
      <c r="BP76" s="5">
        <f>IF(BN76,BM76*correlation!$J$32,"")</f>
        <v/>
      </c>
      <c r="BQ76" s="5">
        <f>IF(AND(BN76,ISNUMBER(correlation!$F$32)),BP76*correlation!$F$32+correlation!$G$32,"")</f>
        <v/>
      </c>
      <c r="BR76" s="5">
        <f>IF(AND(BN76,ISNUMBER(BQ76)),(BO76-BQ76)^2,"")</f>
        <v/>
      </c>
      <c r="BS76" s="5">
        <f>IF(BN76,1+SUMPRODUCT(--(calc!$BN$3:$BN$306=TRUE),--(calc!$BO$3:$BO$306&gt;BO76))+(SUMPRODUCT(--(calc!$BN$3:$BN$306=TRUE),--(calc!$BO$3:$BO$306=BO76))-1)/2,"")</f>
        <v/>
      </c>
      <c r="BT76" s="5">
        <f>IF(BN76,1+SUMPRODUCT(--(calc!$BN$3:$BN$306=TRUE),--(calc!$BP$3:$BP$306&gt;BP76))+(SUMPRODUCT(--(calc!$BN$3:$BN$306=TRUE),--(calc!$BP$3:$BP$306=BP76))-1)/2,"")</f>
        <v/>
      </c>
      <c r="BU76" s="5">
        <f>IF(BN76,SUMPRODUCT(--(calc!$BN$3:$BN$306=TRUE),--(ROW(calc!$BN$3:$BN$306)&gt;ROW(BN76)),--(((calc!$BS$3:$BS$306&gt;BS76)*(calc!$BT$3:$BT$306&gt;BT76)+(calc!$BS$3:$BS$306&lt;BS76)*(calc!$BT$3:$BT$306&lt;BT76))&gt;0))-SUMPRODUCT(--(calc!$BN$3:$BN$306=TRUE),--(ROW(calc!$BN$3:$BN$306)&gt;ROW(BN76)),--(((calc!$BS$3:$BS$306&gt;BS76)*(calc!$BT$3:$BT$306&lt;BT76)+(calc!$BS$3:$BS$306&lt;BS76)*(calc!$BT$3:$BT$306&gt;BT76))&gt;0)),0)</f>
        <v/>
      </c>
    </row>
    <row r="77">
      <c r="A77" s="2">
        <f>mos_metrics!A76</f>
        <v/>
      </c>
      <c r="B77" s="2">
        <f>mos_metrics!B76</f>
        <v/>
      </c>
      <c r="C77" s="2">
        <f>mos_metrics!C76</f>
        <v/>
      </c>
      <c r="D77" s="2">
        <f>mos_metrics!D76</f>
        <v/>
      </c>
      <c r="E77" s="2">
        <f>mos_metrics!E76</f>
        <v/>
      </c>
      <c r="F77" s="2">
        <f>mos_metrics!F76</f>
        <v/>
      </c>
      <c r="G77" s="2">
        <f>IF($B77="","",IFERROR(VLOOKUP($B77,correlation!$A$2:$B$16,2,FALSE),1))</f>
        <v/>
      </c>
      <c r="H77" s="2">
        <f>IF($E77="","",IFERROR(VLOOKUP($E77,correlation!$D$2:$E$8,2,FALSE),1))</f>
        <v/>
      </c>
      <c r="I77" s="2">
        <f>ISNUMBER($F77)</f>
        <v/>
      </c>
      <c r="J77" s="2">
        <f>AND($G77=1,$H77=1,$I77)</f>
        <v/>
      </c>
      <c r="K77" s="5">
        <f>IF(mos_metrics!G76="","",mos_metrics!G76)</f>
        <v/>
      </c>
      <c r="L77" s="2">
        <f>AND($J77,ISNUMBER(K77),correlation!$I$26=1)</f>
        <v/>
      </c>
      <c r="M77" s="5">
        <f>IF(L77,$F77,"")</f>
        <v/>
      </c>
      <c r="N77" s="5">
        <f>IF(L77,K77*correlation!$J$26,"")</f>
        <v/>
      </c>
      <c r="O77" s="5">
        <f>IF(AND(L77,ISNUMBER(correlation!$F$26)),N77*correlation!$F$26+correlation!$G$26,"")</f>
        <v/>
      </c>
      <c r="P77" s="5">
        <f>IF(AND(L77,ISNUMBER(O77)),(M77-O77)^2,"")</f>
        <v/>
      </c>
      <c r="Q77" s="5">
        <f>IF(L77,1+SUMPRODUCT(--(calc!$L$3:$L$306=TRUE),--(calc!$M$3:$M$306&gt;M77))+(SUMPRODUCT(--(calc!$L$3:$L$306=TRUE),--(calc!$M$3:$M$306=M77))-1)/2,"")</f>
        <v/>
      </c>
      <c r="R77" s="5">
        <f>IF(L77,1+SUMPRODUCT(--(calc!$L$3:$L$306=TRUE),--(calc!$N$3:$N$306&gt;N77))+(SUMPRODUCT(--(calc!$L$3:$L$306=TRUE),--(calc!$N$3:$N$306=N77))-1)/2,"")</f>
        <v/>
      </c>
      <c r="S77" s="5">
        <f>IF(L77,SUMPRODUCT(--(calc!$L$3:$L$306=TRUE),--(ROW(calc!$L$3:$L$306)&gt;ROW(L77)),--(((calc!$Q$3:$Q$306&gt;Q77)*(calc!$R$3:$R$306&gt;R77)+(calc!$Q$3:$Q$306&lt;Q77)*(calc!$R$3:$R$306&lt;R77))&gt;0))-SUMPRODUCT(--(calc!$L$3:$L$306=TRUE),--(ROW(calc!$L$3:$L$306)&gt;ROW(L77)),--(((calc!$Q$3:$Q$306&gt;Q77)*(calc!$R$3:$R$306&lt;R77)+(calc!$Q$3:$Q$306&lt;Q77)*(calc!$R$3:$R$306&gt;R77))&gt;0)),0)</f>
        <v/>
      </c>
      <c r="T77" s="5">
        <f>IF(mos_metrics!H76="","",mos_metrics!H76)</f>
        <v/>
      </c>
      <c r="U77" s="2">
        <f>AND($J77,ISNUMBER(T77),correlation!$I$27=1)</f>
        <v/>
      </c>
      <c r="V77" s="5">
        <f>IF(U77,$F77,"")</f>
        <v/>
      </c>
      <c r="W77" s="5">
        <f>IF(U77,T77*correlation!$J$27,"")</f>
        <v/>
      </c>
      <c r="X77" s="5">
        <f>IF(AND(U77,ISNUMBER(correlation!$F$27)),W77*correlation!$F$27+correlation!$G$27,"")</f>
        <v/>
      </c>
      <c r="Y77" s="5">
        <f>IF(AND(U77,ISNUMBER(X77)),(V77-X77)^2,"")</f>
        <v/>
      </c>
      <c r="Z77" s="5">
        <f>IF(U77,1+SUMPRODUCT(--(calc!$U$3:$U$306=TRUE),--(calc!$V$3:$V$306&gt;V77))+(SUMPRODUCT(--(calc!$U$3:$U$306=TRUE),--(calc!$V$3:$V$306=V77))-1)/2,"")</f>
        <v/>
      </c>
      <c r="AA77" s="5">
        <f>IF(U77,1+SUMPRODUCT(--(calc!$U$3:$U$306=TRUE),--(calc!$W$3:$W$306&gt;W77))+(SUMPRODUCT(--(calc!$U$3:$U$306=TRUE),--(calc!$W$3:$W$306=W77))-1)/2,"")</f>
        <v/>
      </c>
      <c r="AB77" s="5">
        <f>IF(U77,SUMPRODUCT(--(calc!$U$3:$U$306=TRUE),--(ROW(calc!$U$3:$U$306)&gt;ROW(U77)),--(((calc!$Z$3:$Z$306&gt;Z77)*(calc!$AA$3:$AA$306&gt;AA77)+(calc!$Z$3:$Z$306&lt;Z77)*(calc!$AA$3:$AA$306&lt;AA77))&gt;0))-SUMPRODUCT(--(calc!$U$3:$U$306=TRUE),--(ROW(calc!$U$3:$U$306)&gt;ROW(U77)),--(((calc!$Z$3:$Z$306&gt;Z77)*(calc!$AA$3:$AA$306&lt;AA77)+(calc!$Z$3:$Z$306&lt;Z77)*(calc!$AA$3:$AA$306&gt;AA77))&gt;0)),0)</f>
        <v/>
      </c>
      <c r="AC77" s="5">
        <f>IF(mos_metrics!I76="","",mos_metrics!I76)</f>
        <v/>
      </c>
      <c r="AD77" s="2">
        <f>AND($J77,ISNUMBER(AC77),correlation!$I$28=1)</f>
        <v/>
      </c>
      <c r="AE77" s="5">
        <f>IF(AD77,$F77,"")</f>
        <v/>
      </c>
      <c r="AF77" s="5">
        <f>IF(AD77,AC77*correlation!$J$28,"")</f>
        <v/>
      </c>
      <c r="AG77" s="5">
        <f>IF(AND(AD77,ISNUMBER(correlation!$F$28)),AF77*correlation!$F$28+correlation!$G$28,"")</f>
        <v/>
      </c>
      <c r="AH77" s="5">
        <f>IF(AND(AD77,ISNUMBER(AG77)),(AE77-AG77)^2,"")</f>
        <v/>
      </c>
      <c r="AI77" s="5">
        <f>IF(AD77,1+SUMPRODUCT(--(calc!$AD$3:$AD$306=TRUE),--(calc!$AE$3:$AE$306&gt;AE77))+(SUMPRODUCT(--(calc!$AD$3:$AD$306=TRUE),--(calc!$AE$3:$AE$306=AE77))-1)/2,"")</f>
        <v/>
      </c>
      <c r="AJ77" s="5">
        <f>IF(AD77,1+SUMPRODUCT(--(calc!$AD$3:$AD$306=TRUE),--(calc!$AF$3:$AF$306&gt;AF77))+(SUMPRODUCT(--(calc!$AD$3:$AD$306=TRUE),--(calc!$AF$3:$AF$306=AF77))-1)/2,"")</f>
        <v/>
      </c>
      <c r="AK77" s="5">
        <f>IF(AD77,SUMPRODUCT(--(calc!$AD$3:$AD$306=TRUE),--(ROW(calc!$AD$3:$AD$306)&gt;ROW(AD77)),--(((calc!$AI$3:$AI$306&gt;AI77)*(calc!$AJ$3:$AJ$306&gt;AJ77)+(calc!$AI$3:$AI$306&lt;AI77)*(calc!$AJ$3:$AJ$306&lt;AJ77))&gt;0))-SUMPRODUCT(--(calc!$AD$3:$AD$306=TRUE),--(ROW(calc!$AD$3:$AD$306)&gt;ROW(AD77)),--(((calc!$AI$3:$AI$306&gt;AI77)*(calc!$AJ$3:$AJ$306&lt;AJ77)+(calc!$AI$3:$AI$306&lt;AI77)*(calc!$AJ$3:$AJ$306&gt;AJ77))&gt;0)),0)</f>
        <v/>
      </c>
      <c r="AL77" s="5">
        <f>IF(mos_metrics!J76="","",mos_metrics!J76)</f>
        <v/>
      </c>
      <c r="AM77" s="2">
        <f>AND($J77,ISNUMBER(AL77),correlation!$I$29=1)</f>
        <v/>
      </c>
      <c r="AN77" s="5">
        <f>IF(AM77,$F77,"")</f>
        <v/>
      </c>
      <c r="AO77" s="5">
        <f>IF(AM77,AL77*correlation!$J$29,"")</f>
        <v/>
      </c>
      <c r="AP77" s="5">
        <f>IF(AND(AM77,ISNUMBER(correlation!$F$29)),AO77*correlation!$F$29+correlation!$G$29,"")</f>
        <v/>
      </c>
      <c r="AQ77" s="5">
        <f>IF(AND(AM77,ISNUMBER(AP77)),(AN77-AP77)^2,"")</f>
        <v/>
      </c>
      <c r="AR77" s="5">
        <f>IF(AM77,1+SUMPRODUCT(--(calc!$AM$3:$AM$306=TRUE),--(calc!$AN$3:$AN$306&gt;AN77))+(SUMPRODUCT(--(calc!$AM$3:$AM$306=TRUE),--(calc!$AN$3:$AN$306=AN77))-1)/2,"")</f>
        <v/>
      </c>
      <c r="AS77" s="5">
        <f>IF(AM77,1+SUMPRODUCT(--(calc!$AM$3:$AM$306=TRUE),--(calc!$AO$3:$AO$306&gt;AO77))+(SUMPRODUCT(--(calc!$AM$3:$AM$306=TRUE),--(calc!$AO$3:$AO$306=AO77))-1)/2,"")</f>
        <v/>
      </c>
      <c r="AT77" s="5">
        <f>IF(AM77,SUMPRODUCT(--(calc!$AM$3:$AM$306=TRUE),--(ROW(calc!$AM$3:$AM$306)&gt;ROW(AM77)),--(((calc!$AR$3:$AR$306&gt;AR77)*(calc!$AS$3:$AS$306&gt;AS77)+(calc!$AR$3:$AR$306&lt;AR77)*(calc!$AS$3:$AS$306&lt;AS77))&gt;0))-SUMPRODUCT(--(calc!$AM$3:$AM$306=TRUE),--(ROW(calc!$AM$3:$AM$306)&gt;ROW(AM77)),--(((calc!$AR$3:$AR$306&gt;AR77)*(calc!$AS$3:$AS$306&lt;AS77)+(calc!$AR$3:$AR$306&lt;AR77)*(calc!$AS$3:$AS$306&gt;AS77))&gt;0)),0)</f>
        <v/>
      </c>
      <c r="AU77" s="5">
        <f>IF(mos_metrics!K76="","",mos_metrics!K76)</f>
        <v/>
      </c>
      <c r="AV77" s="2">
        <f>AND($J77,ISNUMBER(AU77),correlation!$I$30=1)</f>
        <v/>
      </c>
      <c r="AW77" s="5">
        <f>IF(AV77,$F77,"")</f>
        <v/>
      </c>
      <c r="AX77" s="5">
        <f>IF(AV77,AU77*correlation!$J$30,"")</f>
        <v/>
      </c>
      <c r="AY77" s="5">
        <f>IF(AND(AV77,ISNUMBER(correlation!$F$30)),AX77*correlation!$F$30+correlation!$G$30,"")</f>
        <v/>
      </c>
      <c r="AZ77" s="5">
        <f>IF(AND(AV77,ISNUMBER(AY77)),(AW77-AY77)^2,"")</f>
        <v/>
      </c>
      <c r="BA77" s="5">
        <f>IF(AV77,1+SUMPRODUCT(--(calc!$AV$3:$AV$306=TRUE),--(calc!$AW$3:$AW$306&gt;AW77))+(SUMPRODUCT(--(calc!$AV$3:$AV$306=TRUE),--(calc!$AW$3:$AW$306=AW77))-1)/2,"")</f>
        <v/>
      </c>
      <c r="BB77" s="5">
        <f>IF(AV77,1+SUMPRODUCT(--(calc!$AV$3:$AV$306=TRUE),--(calc!$AX$3:$AX$306&gt;AX77))+(SUMPRODUCT(--(calc!$AV$3:$AV$306=TRUE),--(calc!$AX$3:$AX$306=AX77))-1)/2,"")</f>
        <v/>
      </c>
      <c r="BC77" s="5">
        <f>IF(AV77,SUMPRODUCT(--(calc!$AV$3:$AV$306=TRUE),--(ROW(calc!$AV$3:$AV$306)&gt;ROW(AV77)),--(((calc!$BA$3:$BA$306&gt;BA77)*(calc!$BB$3:$BB$306&gt;BB77)+(calc!$BA$3:$BA$306&lt;BA77)*(calc!$BB$3:$BB$306&lt;BB77))&gt;0))-SUMPRODUCT(--(calc!$AV$3:$AV$306=TRUE),--(ROW(calc!$AV$3:$AV$306)&gt;ROW(AV77)),--(((calc!$BA$3:$BA$306&gt;BA77)*(calc!$BB$3:$BB$306&lt;BB77)+(calc!$BA$3:$BA$306&lt;BA77)*(calc!$BB$3:$BB$306&gt;BB77))&gt;0)),0)</f>
        <v/>
      </c>
      <c r="BD77" s="5">
        <f>IF(mos_metrics!L76="","",mos_metrics!L76)</f>
        <v/>
      </c>
      <c r="BE77" s="2">
        <f>AND($J77,ISNUMBER(BD77),correlation!$I$31=1)</f>
        <v/>
      </c>
      <c r="BF77" s="5">
        <f>IF(BE77,$F77,"")</f>
        <v/>
      </c>
      <c r="BG77" s="5">
        <f>IF(BE77,BD77*correlation!$J$31,"")</f>
        <v/>
      </c>
      <c r="BH77" s="5">
        <f>IF(AND(BE77,ISNUMBER(correlation!$F$31)),BG77*correlation!$F$31+correlation!$G$31,"")</f>
        <v/>
      </c>
      <c r="BI77" s="5">
        <f>IF(AND(BE77,ISNUMBER(BH77)),(BF77-BH77)^2,"")</f>
        <v/>
      </c>
      <c r="BJ77" s="5">
        <f>IF(BE77,1+SUMPRODUCT(--(calc!$BE$3:$BE$306=TRUE),--(calc!$BF$3:$BF$306&gt;BF77))+(SUMPRODUCT(--(calc!$BE$3:$BE$306=TRUE),--(calc!$BF$3:$BF$306=BF77))-1)/2,"")</f>
        <v/>
      </c>
      <c r="BK77" s="5">
        <f>IF(BE77,1+SUMPRODUCT(--(calc!$BE$3:$BE$306=TRUE),--(calc!$BG$3:$BG$306&gt;BG77))+(SUMPRODUCT(--(calc!$BE$3:$BE$306=TRUE),--(calc!$BG$3:$BG$306=BG77))-1)/2,"")</f>
        <v/>
      </c>
      <c r="BL77" s="5">
        <f>IF(BE77,SUMPRODUCT(--(calc!$BE$3:$BE$306=TRUE),--(ROW(calc!$BE$3:$BE$306)&gt;ROW(BE77)),--(((calc!$BJ$3:$BJ$306&gt;BJ77)*(calc!$BK$3:$BK$306&gt;BK77)+(calc!$BJ$3:$BJ$306&lt;BJ77)*(calc!$BK$3:$BK$306&lt;BK77))&gt;0))-SUMPRODUCT(--(calc!$BE$3:$BE$306=TRUE),--(ROW(calc!$BE$3:$BE$306)&gt;ROW(BE77)),--(((calc!$BJ$3:$BJ$306&gt;BJ77)*(calc!$BK$3:$BK$306&lt;BK77)+(calc!$BJ$3:$BJ$306&lt;BJ77)*(calc!$BK$3:$BK$306&gt;BK77))&gt;0)),0)</f>
        <v/>
      </c>
      <c r="BM77" s="5">
        <f>IF(mos_metrics!M76="","",mos_metrics!M76)</f>
        <v/>
      </c>
      <c r="BN77" s="2">
        <f>AND($J77,ISNUMBER(BM77),correlation!$I$32=1)</f>
        <v/>
      </c>
      <c r="BO77" s="5">
        <f>IF(BN77,$F77,"")</f>
        <v/>
      </c>
      <c r="BP77" s="5">
        <f>IF(BN77,BM77*correlation!$J$32,"")</f>
        <v/>
      </c>
      <c r="BQ77" s="5">
        <f>IF(AND(BN77,ISNUMBER(correlation!$F$32)),BP77*correlation!$F$32+correlation!$G$32,"")</f>
        <v/>
      </c>
      <c r="BR77" s="5">
        <f>IF(AND(BN77,ISNUMBER(BQ77)),(BO77-BQ77)^2,"")</f>
        <v/>
      </c>
      <c r="BS77" s="5">
        <f>IF(BN77,1+SUMPRODUCT(--(calc!$BN$3:$BN$306=TRUE),--(calc!$BO$3:$BO$306&gt;BO77))+(SUMPRODUCT(--(calc!$BN$3:$BN$306=TRUE),--(calc!$BO$3:$BO$306=BO77))-1)/2,"")</f>
        <v/>
      </c>
      <c r="BT77" s="5">
        <f>IF(BN77,1+SUMPRODUCT(--(calc!$BN$3:$BN$306=TRUE),--(calc!$BP$3:$BP$306&gt;BP77))+(SUMPRODUCT(--(calc!$BN$3:$BN$306=TRUE),--(calc!$BP$3:$BP$306=BP77))-1)/2,"")</f>
        <v/>
      </c>
      <c r="BU77" s="5">
        <f>IF(BN77,SUMPRODUCT(--(calc!$BN$3:$BN$306=TRUE),--(ROW(calc!$BN$3:$BN$306)&gt;ROW(BN77)),--(((calc!$BS$3:$BS$306&gt;BS77)*(calc!$BT$3:$BT$306&gt;BT77)+(calc!$BS$3:$BS$306&lt;BS77)*(calc!$BT$3:$BT$306&lt;BT77))&gt;0))-SUMPRODUCT(--(calc!$BN$3:$BN$306=TRUE),--(ROW(calc!$BN$3:$BN$306)&gt;ROW(BN77)),--(((calc!$BS$3:$BS$306&gt;BS77)*(calc!$BT$3:$BT$306&lt;BT77)+(calc!$BS$3:$BS$306&lt;BS77)*(calc!$BT$3:$BT$306&gt;BT77))&gt;0)),0)</f>
        <v/>
      </c>
    </row>
    <row r="78">
      <c r="A78" s="2">
        <f>mos_metrics!A77</f>
        <v/>
      </c>
      <c r="B78" s="2">
        <f>mos_metrics!B77</f>
        <v/>
      </c>
      <c r="C78" s="2">
        <f>mos_metrics!C77</f>
        <v/>
      </c>
      <c r="D78" s="2">
        <f>mos_metrics!D77</f>
        <v/>
      </c>
      <c r="E78" s="2">
        <f>mos_metrics!E77</f>
        <v/>
      </c>
      <c r="F78" s="2">
        <f>mos_metrics!F77</f>
        <v/>
      </c>
      <c r="G78" s="2">
        <f>IF($B78="","",IFERROR(VLOOKUP($B78,correlation!$A$2:$B$16,2,FALSE),1))</f>
        <v/>
      </c>
      <c r="H78" s="2">
        <f>IF($E78="","",IFERROR(VLOOKUP($E78,correlation!$D$2:$E$8,2,FALSE),1))</f>
        <v/>
      </c>
      <c r="I78" s="2">
        <f>ISNUMBER($F78)</f>
        <v/>
      </c>
      <c r="J78" s="2">
        <f>AND($G78=1,$H78=1,$I78)</f>
        <v/>
      </c>
      <c r="K78" s="5">
        <f>IF(mos_metrics!G77="","",mos_metrics!G77)</f>
        <v/>
      </c>
      <c r="L78" s="2">
        <f>AND($J78,ISNUMBER(K78),correlation!$I$26=1)</f>
        <v/>
      </c>
      <c r="M78" s="5">
        <f>IF(L78,$F78,"")</f>
        <v/>
      </c>
      <c r="N78" s="5">
        <f>IF(L78,K78*correlation!$J$26,"")</f>
        <v/>
      </c>
      <c r="O78" s="5">
        <f>IF(AND(L78,ISNUMBER(correlation!$F$26)),N78*correlation!$F$26+correlation!$G$26,"")</f>
        <v/>
      </c>
      <c r="P78" s="5">
        <f>IF(AND(L78,ISNUMBER(O78)),(M78-O78)^2,"")</f>
        <v/>
      </c>
      <c r="Q78" s="5">
        <f>IF(L78,1+SUMPRODUCT(--(calc!$L$3:$L$306=TRUE),--(calc!$M$3:$M$306&gt;M78))+(SUMPRODUCT(--(calc!$L$3:$L$306=TRUE),--(calc!$M$3:$M$306=M78))-1)/2,"")</f>
        <v/>
      </c>
      <c r="R78" s="5">
        <f>IF(L78,1+SUMPRODUCT(--(calc!$L$3:$L$306=TRUE),--(calc!$N$3:$N$306&gt;N78))+(SUMPRODUCT(--(calc!$L$3:$L$306=TRUE),--(calc!$N$3:$N$306=N78))-1)/2,"")</f>
        <v/>
      </c>
      <c r="S78" s="5">
        <f>IF(L78,SUMPRODUCT(--(calc!$L$3:$L$306=TRUE),--(ROW(calc!$L$3:$L$306)&gt;ROW(L78)),--(((calc!$Q$3:$Q$306&gt;Q78)*(calc!$R$3:$R$306&gt;R78)+(calc!$Q$3:$Q$306&lt;Q78)*(calc!$R$3:$R$306&lt;R78))&gt;0))-SUMPRODUCT(--(calc!$L$3:$L$306=TRUE),--(ROW(calc!$L$3:$L$306)&gt;ROW(L78)),--(((calc!$Q$3:$Q$306&gt;Q78)*(calc!$R$3:$R$306&lt;R78)+(calc!$Q$3:$Q$306&lt;Q78)*(calc!$R$3:$R$306&gt;R78))&gt;0)),0)</f>
        <v/>
      </c>
      <c r="T78" s="5">
        <f>IF(mos_metrics!H77="","",mos_metrics!H77)</f>
        <v/>
      </c>
      <c r="U78" s="2">
        <f>AND($J78,ISNUMBER(T78),correlation!$I$27=1)</f>
        <v/>
      </c>
      <c r="V78" s="5">
        <f>IF(U78,$F78,"")</f>
        <v/>
      </c>
      <c r="W78" s="5">
        <f>IF(U78,T78*correlation!$J$27,"")</f>
        <v/>
      </c>
      <c r="X78" s="5">
        <f>IF(AND(U78,ISNUMBER(correlation!$F$27)),W78*correlation!$F$27+correlation!$G$27,"")</f>
        <v/>
      </c>
      <c r="Y78" s="5">
        <f>IF(AND(U78,ISNUMBER(X78)),(V78-X78)^2,"")</f>
        <v/>
      </c>
      <c r="Z78" s="5">
        <f>IF(U78,1+SUMPRODUCT(--(calc!$U$3:$U$306=TRUE),--(calc!$V$3:$V$306&gt;V78))+(SUMPRODUCT(--(calc!$U$3:$U$306=TRUE),--(calc!$V$3:$V$306=V78))-1)/2,"")</f>
        <v/>
      </c>
      <c r="AA78" s="5">
        <f>IF(U78,1+SUMPRODUCT(--(calc!$U$3:$U$306=TRUE),--(calc!$W$3:$W$306&gt;W78))+(SUMPRODUCT(--(calc!$U$3:$U$306=TRUE),--(calc!$W$3:$W$306=W78))-1)/2,"")</f>
        <v/>
      </c>
      <c r="AB78" s="5">
        <f>IF(U78,SUMPRODUCT(--(calc!$U$3:$U$306=TRUE),--(ROW(calc!$U$3:$U$306)&gt;ROW(U78)),--(((calc!$Z$3:$Z$306&gt;Z78)*(calc!$AA$3:$AA$306&gt;AA78)+(calc!$Z$3:$Z$306&lt;Z78)*(calc!$AA$3:$AA$306&lt;AA78))&gt;0))-SUMPRODUCT(--(calc!$U$3:$U$306=TRUE),--(ROW(calc!$U$3:$U$306)&gt;ROW(U78)),--(((calc!$Z$3:$Z$306&gt;Z78)*(calc!$AA$3:$AA$306&lt;AA78)+(calc!$Z$3:$Z$306&lt;Z78)*(calc!$AA$3:$AA$306&gt;AA78))&gt;0)),0)</f>
        <v/>
      </c>
      <c r="AC78" s="5">
        <f>IF(mos_metrics!I77="","",mos_metrics!I77)</f>
        <v/>
      </c>
      <c r="AD78" s="2">
        <f>AND($J78,ISNUMBER(AC78),correlation!$I$28=1)</f>
        <v/>
      </c>
      <c r="AE78" s="5">
        <f>IF(AD78,$F78,"")</f>
        <v/>
      </c>
      <c r="AF78" s="5">
        <f>IF(AD78,AC78*correlation!$J$28,"")</f>
        <v/>
      </c>
      <c r="AG78" s="5">
        <f>IF(AND(AD78,ISNUMBER(correlation!$F$28)),AF78*correlation!$F$28+correlation!$G$28,"")</f>
        <v/>
      </c>
      <c r="AH78" s="5">
        <f>IF(AND(AD78,ISNUMBER(AG78)),(AE78-AG78)^2,"")</f>
        <v/>
      </c>
      <c r="AI78" s="5">
        <f>IF(AD78,1+SUMPRODUCT(--(calc!$AD$3:$AD$306=TRUE),--(calc!$AE$3:$AE$306&gt;AE78))+(SUMPRODUCT(--(calc!$AD$3:$AD$306=TRUE),--(calc!$AE$3:$AE$306=AE78))-1)/2,"")</f>
        <v/>
      </c>
      <c r="AJ78" s="5">
        <f>IF(AD78,1+SUMPRODUCT(--(calc!$AD$3:$AD$306=TRUE),--(calc!$AF$3:$AF$306&gt;AF78))+(SUMPRODUCT(--(calc!$AD$3:$AD$306=TRUE),--(calc!$AF$3:$AF$306=AF78))-1)/2,"")</f>
        <v/>
      </c>
      <c r="AK78" s="5">
        <f>IF(AD78,SUMPRODUCT(--(calc!$AD$3:$AD$306=TRUE),--(ROW(calc!$AD$3:$AD$306)&gt;ROW(AD78)),--(((calc!$AI$3:$AI$306&gt;AI78)*(calc!$AJ$3:$AJ$306&gt;AJ78)+(calc!$AI$3:$AI$306&lt;AI78)*(calc!$AJ$3:$AJ$306&lt;AJ78))&gt;0))-SUMPRODUCT(--(calc!$AD$3:$AD$306=TRUE),--(ROW(calc!$AD$3:$AD$306)&gt;ROW(AD78)),--(((calc!$AI$3:$AI$306&gt;AI78)*(calc!$AJ$3:$AJ$306&lt;AJ78)+(calc!$AI$3:$AI$306&lt;AI78)*(calc!$AJ$3:$AJ$306&gt;AJ78))&gt;0)),0)</f>
        <v/>
      </c>
      <c r="AL78" s="5">
        <f>IF(mos_metrics!J77="","",mos_metrics!J77)</f>
        <v/>
      </c>
      <c r="AM78" s="2">
        <f>AND($J78,ISNUMBER(AL78),correlation!$I$29=1)</f>
        <v/>
      </c>
      <c r="AN78" s="5">
        <f>IF(AM78,$F78,"")</f>
        <v/>
      </c>
      <c r="AO78" s="5">
        <f>IF(AM78,AL78*correlation!$J$29,"")</f>
        <v/>
      </c>
      <c r="AP78" s="5">
        <f>IF(AND(AM78,ISNUMBER(correlation!$F$29)),AO78*correlation!$F$29+correlation!$G$29,"")</f>
        <v/>
      </c>
      <c r="AQ78" s="5">
        <f>IF(AND(AM78,ISNUMBER(AP78)),(AN78-AP78)^2,"")</f>
        <v/>
      </c>
      <c r="AR78" s="5">
        <f>IF(AM78,1+SUMPRODUCT(--(calc!$AM$3:$AM$306=TRUE),--(calc!$AN$3:$AN$306&gt;AN78))+(SUMPRODUCT(--(calc!$AM$3:$AM$306=TRUE),--(calc!$AN$3:$AN$306=AN78))-1)/2,"")</f>
        <v/>
      </c>
      <c r="AS78" s="5">
        <f>IF(AM78,1+SUMPRODUCT(--(calc!$AM$3:$AM$306=TRUE),--(calc!$AO$3:$AO$306&gt;AO78))+(SUMPRODUCT(--(calc!$AM$3:$AM$306=TRUE),--(calc!$AO$3:$AO$306=AO78))-1)/2,"")</f>
        <v/>
      </c>
      <c r="AT78" s="5">
        <f>IF(AM78,SUMPRODUCT(--(calc!$AM$3:$AM$306=TRUE),--(ROW(calc!$AM$3:$AM$306)&gt;ROW(AM78)),--(((calc!$AR$3:$AR$306&gt;AR78)*(calc!$AS$3:$AS$306&gt;AS78)+(calc!$AR$3:$AR$306&lt;AR78)*(calc!$AS$3:$AS$306&lt;AS78))&gt;0))-SUMPRODUCT(--(calc!$AM$3:$AM$306=TRUE),--(ROW(calc!$AM$3:$AM$306)&gt;ROW(AM78)),--(((calc!$AR$3:$AR$306&gt;AR78)*(calc!$AS$3:$AS$306&lt;AS78)+(calc!$AR$3:$AR$306&lt;AR78)*(calc!$AS$3:$AS$306&gt;AS78))&gt;0)),0)</f>
        <v/>
      </c>
      <c r="AU78" s="5">
        <f>IF(mos_metrics!K77="","",mos_metrics!K77)</f>
        <v/>
      </c>
      <c r="AV78" s="2">
        <f>AND($J78,ISNUMBER(AU78),correlation!$I$30=1)</f>
        <v/>
      </c>
      <c r="AW78" s="5">
        <f>IF(AV78,$F78,"")</f>
        <v/>
      </c>
      <c r="AX78" s="5">
        <f>IF(AV78,AU78*correlation!$J$30,"")</f>
        <v/>
      </c>
      <c r="AY78" s="5">
        <f>IF(AND(AV78,ISNUMBER(correlation!$F$30)),AX78*correlation!$F$30+correlation!$G$30,"")</f>
        <v/>
      </c>
      <c r="AZ78" s="5">
        <f>IF(AND(AV78,ISNUMBER(AY78)),(AW78-AY78)^2,"")</f>
        <v/>
      </c>
      <c r="BA78" s="5">
        <f>IF(AV78,1+SUMPRODUCT(--(calc!$AV$3:$AV$306=TRUE),--(calc!$AW$3:$AW$306&gt;AW78))+(SUMPRODUCT(--(calc!$AV$3:$AV$306=TRUE),--(calc!$AW$3:$AW$306=AW78))-1)/2,"")</f>
        <v/>
      </c>
      <c r="BB78" s="5">
        <f>IF(AV78,1+SUMPRODUCT(--(calc!$AV$3:$AV$306=TRUE),--(calc!$AX$3:$AX$306&gt;AX78))+(SUMPRODUCT(--(calc!$AV$3:$AV$306=TRUE),--(calc!$AX$3:$AX$306=AX78))-1)/2,"")</f>
        <v/>
      </c>
      <c r="BC78" s="5">
        <f>IF(AV78,SUMPRODUCT(--(calc!$AV$3:$AV$306=TRUE),--(ROW(calc!$AV$3:$AV$306)&gt;ROW(AV78)),--(((calc!$BA$3:$BA$306&gt;BA78)*(calc!$BB$3:$BB$306&gt;BB78)+(calc!$BA$3:$BA$306&lt;BA78)*(calc!$BB$3:$BB$306&lt;BB78))&gt;0))-SUMPRODUCT(--(calc!$AV$3:$AV$306=TRUE),--(ROW(calc!$AV$3:$AV$306)&gt;ROW(AV78)),--(((calc!$BA$3:$BA$306&gt;BA78)*(calc!$BB$3:$BB$306&lt;BB78)+(calc!$BA$3:$BA$306&lt;BA78)*(calc!$BB$3:$BB$306&gt;BB78))&gt;0)),0)</f>
        <v/>
      </c>
      <c r="BD78" s="5">
        <f>IF(mos_metrics!L77="","",mos_metrics!L77)</f>
        <v/>
      </c>
      <c r="BE78" s="2">
        <f>AND($J78,ISNUMBER(BD78),correlation!$I$31=1)</f>
        <v/>
      </c>
      <c r="BF78" s="5">
        <f>IF(BE78,$F78,"")</f>
        <v/>
      </c>
      <c r="BG78" s="5">
        <f>IF(BE78,BD78*correlation!$J$31,"")</f>
        <v/>
      </c>
      <c r="BH78" s="5">
        <f>IF(AND(BE78,ISNUMBER(correlation!$F$31)),BG78*correlation!$F$31+correlation!$G$31,"")</f>
        <v/>
      </c>
      <c r="BI78" s="5">
        <f>IF(AND(BE78,ISNUMBER(BH78)),(BF78-BH78)^2,"")</f>
        <v/>
      </c>
      <c r="BJ78" s="5">
        <f>IF(BE78,1+SUMPRODUCT(--(calc!$BE$3:$BE$306=TRUE),--(calc!$BF$3:$BF$306&gt;BF78))+(SUMPRODUCT(--(calc!$BE$3:$BE$306=TRUE),--(calc!$BF$3:$BF$306=BF78))-1)/2,"")</f>
        <v/>
      </c>
      <c r="BK78" s="5">
        <f>IF(BE78,1+SUMPRODUCT(--(calc!$BE$3:$BE$306=TRUE),--(calc!$BG$3:$BG$306&gt;BG78))+(SUMPRODUCT(--(calc!$BE$3:$BE$306=TRUE),--(calc!$BG$3:$BG$306=BG78))-1)/2,"")</f>
        <v/>
      </c>
      <c r="BL78" s="5">
        <f>IF(BE78,SUMPRODUCT(--(calc!$BE$3:$BE$306=TRUE),--(ROW(calc!$BE$3:$BE$306)&gt;ROW(BE78)),--(((calc!$BJ$3:$BJ$306&gt;BJ78)*(calc!$BK$3:$BK$306&gt;BK78)+(calc!$BJ$3:$BJ$306&lt;BJ78)*(calc!$BK$3:$BK$306&lt;BK78))&gt;0))-SUMPRODUCT(--(calc!$BE$3:$BE$306=TRUE),--(ROW(calc!$BE$3:$BE$306)&gt;ROW(BE78)),--(((calc!$BJ$3:$BJ$306&gt;BJ78)*(calc!$BK$3:$BK$306&lt;BK78)+(calc!$BJ$3:$BJ$306&lt;BJ78)*(calc!$BK$3:$BK$306&gt;BK78))&gt;0)),0)</f>
        <v/>
      </c>
      <c r="BM78" s="5">
        <f>IF(mos_metrics!M77="","",mos_metrics!M77)</f>
        <v/>
      </c>
      <c r="BN78" s="2">
        <f>AND($J78,ISNUMBER(BM78),correlation!$I$32=1)</f>
        <v/>
      </c>
      <c r="BO78" s="5">
        <f>IF(BN78,$F78,"")</f>
        <v/>
      </c>
      <c r="BP78" s="5">
        <f>IF(BN78,BM78*correlation!$J$32,"")</f>
        <v/>
      </c>
      <c r="BQ78" s="5">
        <f>IF(AND(BN78,ISNUMBER(correlation!$F$32)),BP78*correlation!$F$32+correlation!$G$32,"")</f>
        <v/>
      </c>
      <c r="BR78" s="5">
        <f>IF(AND(BN78,ISNUMBER(BQ78)),(BO78-BQ78)^2,"")</f>
        <v/>
      </c>
      <c r="BS78" s="5">
        <f>IF(BN78,1+SUMPRODUCT(--(calc!$BN$3:$BN$306=TRUE),--(calc!$BO$3:$BO$306&gt;BO78))+(SUMPRODUCT(--(calc!$BN$3:$BN$306=TRUE),--(calc!$BO$3:$BO$306=BO78))-1)/2,"")</f>
        <v/>
      </c>
      <c r="BT78" s="5">
        <f>IF(BN78,1+SUMPRODUCT(--(calc!$BN$3:$BN$306=TRUE),--(calc!$BP$3:$BP$306&gt;BP78))+(SUMPRODUCT(--(calc!$BN$3:$BN$306=TRUE),--(calc!$BP$3:$BP$306=BP78))-1)/2,"")</f>
        <v/>
      </c>
      <c r="BU78" s="5">
        <f>IF(BN78,SUMPRODUCT(--(calc!$BN$3:$BN$306=TRUE),--(ROW(calc!$BN$3:$BN$306)&gt;ROW(BN78)),--(((calc!$BS$3:$BS$306&gt;BS78)*(calc!$BT$3:$BT$306&gt;BT78)+(calc!$BS$3:$BS$306&lt;BS78)*(calc!$BT$3:$BT$306&lt;BT78))&gt;0))-SUMPRODUCT(--(calc!$BN$3:$BN$306=TRUE),--(ROW(calc!$BN$3:$BN$306)&gt;ROW(BN78)),--(((calc!$BS$3:$BS$306&gt;BS78)*(calc!$BT$3:$BT$306&lt;BT78)+(calc!$BS$3:$BS$306&lt;BS78)*(calc!$BT$3:$BT$306&gt;BT78))&gt;0)),0)</f>
        <v/>
      </c>
    </row>
    <row r="79">
      <c r="A79" s="2">
        <f>mos_metrics!A78</f>
        <v/>
      </c>
      <c r="B79" s="2">
        <f>mos_metrics!B78</f>
        <v/>
      </c>
      <c r="C79" s="2">
        <f>mos_metrics!C78</f>
        <v/>
      </c>
      <c r="D79" s="2">
        <f>mos_metrics!D78</f>
        <v/>
      </c>
      <c r="E79" s="2">
        <f>mos_metrics!E78</f>
        <v/>
      </c>
      <c r="F79" s="2">
        <f>mos_metrics!F78</f>
        <v/>
      </c>
      <c r="G79" s="2">
        <f>IF($B79="","",IFERROR(VLOOKUP($B79,correlation!$A$2:$B$16,2,FALSE),1))</f>
        <v/>
      </c>
      <c r="H79" s="2">
        <f>IF($E79="","",IFERROR(VLOOKUP($E79,correlation!$D$2:$E$8,2,FALSE),1))</f>
        <v/>
      </c>
      <c r="I79" s="2">
        <f>ISNUMBER($F79)</f>
        <v/>
      </c>
      <c r="J79" s="2">
        <f>AND($G79=1,$H79=1,$I79)</f>
        <v/>
      </c>
      <c r="K79" s="5">
        <f>IF(mos_metrics!G78="","",mos_metrics!G78)</f>
        <v/>
      </c>
      <c r="L79" s="2">
        <f>AND($J79,ISNUMBER(K79),correlation!$I$26=1)</f>
        <v/>
      </c>
      <c r="M79" s="5">
        <f>IF(L79,$F79,"")</f>
        <v/>
      </c>
      <c r="N79" s="5">
        <f>IF(L79,K79*correlation!$J$26,"")</f>
        <v/>
      </c>
      <c r="O79" s="5">
        <f>IF(AND(L79,ISNUMBER(correlation!$F$26)),N79*correlation!$F$26+correlation!$G$26,"")</f>
        <v/>
      </c>
      <c r="P79" s="5">
        <f>IF(AND(L79,ISNUMBER(O79)),(M79-O79)^2,"")</f>
        <v/>
      </c>
      <c r="Q79" s="5">
        <f>IF(L79,1+SUMPRODUCT(--(calc!$L$3:$L$306=TRUE),--(calc!$M$3:$M$306&gt;M79))+(SUMPRODUCT(--(calc!$L$3:$L$306=TRUE),--(calc!$M$3:$M$306=M79))-1)/2,"")</f>
        <v/>
      </c>
      <c r="R79" s="5">
        <f>IF(L79,1+SUMPRODUCT(--(calc!$L$3:$L$306=TRUE),--(calc!$N$3:$N$306&gt;N79))+(SUMPRODUCT(--(calc!$L$3:$L$306=TRUE),--(calc!$N$3:$N$306=N79))-1)/2,"")</f>
        <v/>
      </c>
      <c r="S79" s="5">
        <f>IF(L79,SUMPRODUCT(--(calc!$L$3:$L$306=TRUE),--(ROW(calc!$L$3:$L$306)&gt;ROW(L79)),--(((calc!$Q$3:$Q$306&gt;Q79)*(calc!$R$3:$R$306&gt;R79)+(calc!$Q$3:$Q$306&lt;Q79)*(calc!$R$3:$R$306&lt;R79))&gt;0))-SUMPRODUCT(--(calc!$L$3:$L$306=TRUE),--(ROW(calc!$L$3:$L$306)&gt;ROW(L79)),--(((calc!$Q$3:$Q$306&gt;Q79)*(calc!$R$3:$R$306&lt;R79)+(calc!$Q$3:$Q$306&lt;Q79)*(calc!$R$3:$R$306&gt;R79))&gt;0)),0)</f>
        <v/>
      </c>
      <c r="T79" s="5">
        <f>IF(mos_metrics!H78="","",mos_metrics!H78)</f>
        <v/>
      </c>
      <c r="U79" s="2">
        <f>AND($J79,ISNUMBER(T79),correlation!$I$27=1)</f>
        <v/>
      </c>
      <c r="V79" s="5">
        <f>IF(U79,$F79,"")</f>
        <v/>
      </c>
      <c r="W79" s="5">
        <f>IF(U79,T79*correlation!$J$27,"")</f>
        <v/>
      </c>
      <c r="X79" s="5">
        <f>IF(AND(U79,ISNUMBER(correlation!$F$27)),W79*correlation!$F$27+correlation!$G$27,"")</f>
        <v/>
      </c>
      <c r="Y79" s="5">
        <f>IF(AND(U79,ISNUMBER(X79)),(V79-X79)^2,"")</f>
        <v/>
      </c>
      <c r="Z79" s="5">
        <f>IF(U79,1+SUMPRODUCT(--(calc!$U$3:$U$306=TRUE),--(calc!$V$3:$V$306&gt;V79))+(SUMPRODUCT(--(calc!$U$3:$U$306=TRUE),--(calc!$V$3:$V$306=V79))-1)/2,"")</f>
        <v/>
      </c>
      <c r="AA79" s="5">
        <f>IF(U79,1+SUMPRODUCT(--(calc!$U$3:$U$306=TRUE),--(calc!$W$3:$W$306&gt;W79))+(SUMPRODUCT(--(calc!$U$3:$U$306=TRUE),--(calc!$W$3:$W$306=W79))-1)/2,"")</f>
        <v/>
      </c>
      <c r="AB79" s="5">
        <f>IF(U79,SUMPRODUCT(--(calc!$U$3:$U$306=TRUE),--(ROW(calc!$U$3:$U$306)&gt;ROW(U79)),--(((calc!$Z$3:$Z$306&gt;Z79)*(calc!$AA$3:$AA$306&gt;AA79)+(calc!$Z$3:$Z$306&lt;Z79)*(calc!$AA$3:$AA$306&lt;AA79))&gt;0))-SUMPRODUCT(--(calc!$U$3:$U$306=TRUE),--(ROW(calc!$U$3:$U$306)&gt;ROW(U79)),--(((calc!$Z$3:$Z$306&gt;Z79)*(calc!$AA$3:$AA$306&lt;AA79)+(calc!$Z$3:$Z$306&lt;Z79)*(calc!$AA$3:$AA$306&gt;AA79))&gt;0)),0)</f>
        <v/>
      </c>
      <c r="AC79" s="5">
        <f>IF(mos_metrics!I78="","",mos_metrics!I78)</f>
        <v/>
      </c>
      <c r="AD79" s="2">
        <f>AND($J79,ISNUMBER(AC79),correlation!$I$28=1)</f>
        <v/>
      </c>
      <c r="AE79" s="5">
        <f>IF(AD79,$F79,"")</f>
        <v/>
      </c>
      <c r="AF79" s="5">
        <f>IF(AD79,AC79*correlation!$J$28,"")</f>
        <v/>
      </c>
      <c r="AG79" s="5">
        <f>IF(AND(AD79,ISNUMBER(correlation!$F$28)),AF79*correlation!$F$28+correlation!$G$28,"")</f>
        <v/>
      </c>
      <c r="AH79" s="5">
        <f>IF(AND(AD79,ISNUMBER(AG79)),(AE79-AG79)^2,"")</f>
        <v/>
      </c>
      <c r="AI79" s="5">
        <f>IF(AD79,1+SUMPRODUCT(--(calc!$AD$3:$AD$306=TRUE),--(calc!$AE$3:$AE$306&gt;AE79))+(SUMPRODUCT(--(calc!$AD$3:$AD$306=TRUE),--(calc!$AE$3:$AE$306=AE79))-1)/2,"")</f>
        <v/>
      </c>
      <c r="AJ79" s="5">
        <f>IF(AD79,1+SUMPRODUCT(--(calc!$AD$3:$AD$306=TRUE),--(calc!$AF$3:$AF$306&gt;AF79))+(SUMPRODUCT(--(calc!$AD$3:$AD$306=TRUE),--(calc!$AF$3:$AF$306=AF79))-1)/2,"")</f>
        <v/>
      </c>
      <c r="AK79" s="5">
        <f>IF(AD79,SUMPRODUCT(--(calc!$AD$3:$AD$306=TRUE),--(ROW(calc!$AD$3:$AD$306)&gt;ROW(AD79)),--(((calc!$AI$3:$AI$306&gt;AI79)*(calc!$AJ$3:$AJ$306&gt;AJ79)+(calc!$AI$3:$AI$306&lt;AI79)*(calc!$AJ$3:$AJ$306&lt;AJ79))&gt;0))-SUMPRODUCT(--(calc!$AD$3:$AD$306=TRUE),--(ROW(calc!$AD$3:$AD$306)&gt;ROW(AD79)),--(((calc!$AI$3:$AI$306&gt;AI79)*(calc!$AJ$3:$AJ$306&lt;AJ79)+(calc!$AI$3:$AI$306&lt;AI79)*(calc!$AJ$3:$AJ$306&gt;AJ79))&gt;0)),0)</f>
        <v/>
      </c>
      <c r="AL79" s="5">
        <f>IF(mos_metrics!J78="","",mos_metrics!J78)</f>
        <v/>
      </c>
      <c r="AM79" s="2">
        <f>AND($J79,ISNUMBER(AL79),correlation!$I$29=1)</f>
        <v/>
      </c>
      <c r="AN79" s="5">
        <f>IF(AM79,$F79,"")</f>
        <v/>
      </c>
      <c r="AO79" s="5">
        <f>IF(AM79,AL79*correlation!$J$29,"")</f>
        <v/>
      </c>
      <c r="AP79" s="5">
        <f>IF(AND(AM79,ISNUMBER(correlation!$F$29)),AO79*correlation!$F$29+correlation!$G$29,"")</f>
        <v/>
      </c>
      <c r="AQ79" s="5">
        <f>IF(AND(AM79,ISNUMBER(AP79)),(AN79-AP79)^2,"")</f>
        <v/>
      </c>
      <c r="AR79" s="5">
        <f>IF(AM79,1+SUMPRODUCT(--(calc!$AM$3:$AM$306=TRUE),--(calc!$AN$3:$AN$306&gt;AN79))+(SUMPRODUCT(--(calc!$AM$3:$AM$306=TRUE),--(calc!$AN$3:$AN$306=AN79))-1)/2,"")</f>
        <v/>
      </c>
      <c r="AS79" s="5">
        <f>IF(AM79,1+SUMPRODUCT(--(calc!$AM$3:$AM$306=TRUE),--(calc!$AO$3:$AO$306&gt;AO79))+(SUMPRODUCT(--(calc!$AM$3:$AM$306=TRUE),--(calc!$AO$3:$AO$306=AO79))-1)/2,"")</f>
        <v/>
      </c>
      <c r="AT79" s="5">
        <f>IF(AM79,SUMPRODUCT(--(calc!$AM$3:$AM$306=TRUE),--(ROW(calc!$AM$3:$AM$306)&gt;ROW(AM79)),--(((calc!$AR$3:$AR$306&gt;AR79)*(calc!$AS$3:$AS$306&gt;AS79)+(calc!$AR$3:$AR$306&lt;AR79)*(calc!$AS$3:$AS$306&lt;AS79))&gt;0))-SUMPRODUCT(--(calc!$AM$3:$AM$306=TRUE),--(ROW(calc!$AM$3:$AM$306)&gt;ROW(AM79)),--(((calc!$AR$3:$AR$306&gt;AR79)*(calc!$AS$3:$AS$306&lt;AS79)+(calc!$AR$3:$AR$306&lt;AR79)*(calc!$AS$3:$AS$306&gt;AS79))&gt;0)),0)</f>
        <v/>
      </c>
      <c r="AU79" s="5">
        <f>IF(mos_metrics!K78="","",mos_metrics!K78)</f>
        <v/>
      </c>
      <c r="AV79" s="2">
        <f>AND($J79,ISNUMBER(AU79),correlation!$I$30=1)</f>
        <v/>
      </c>
      <c r="AW79" s="5">
        <f>IF(AV79,$F79,"")</f>
        <v/>
      </c>
      <c r="AX79" s="5">
        <f>IF(AV79,AU79*correlation!$J$30,"")</f>
        <v/>
      </c>
      <c r="AY79" s="5">
        <f>IF(AND(AV79,ISNUMBER(correlation!$F$30)),AX79*correlation!$F$30+correlation!$G$30,"")</f>
        <v/>
      </c>
      <c r="AZ79" s="5">
        <f>IF(AND(AV79,ISNUMBER(AY79)),(AW79-AY79)^2,"")</f>
        <v/>
      </c>
      <c r="BA79" s="5">
        <f>IF(AV79,1+SUMPRODUCT(--(calc!$AV$3:$AV$306=TRUE),--(calc!$AW$3:$AW$306&gt;AW79))+(SUMPRODUCT(--(calc!$AV$3:$AV$306=TRUE),--(calc!$AW$3:$AW$306=AW79))-1)/2,"")</f>
        <v/>
      </c>
      <c r="BB79" s="5">
        <f>IF(AV79,1+SUMPRODUCT(--(calc!$AV$3:$AV$306=TRUE),--(calc!$AX$3:$AX$306&gt;AX79))+(SUMPRODUCT(--(calc!$AV$3:$AV$306=TRUE),--(calc!$AX$3:$AX$306=AX79))-1)/2,"")</f>
        <v/>
      </c>
      <c r="BC79" s="5">
        <f>IF(AV79,SUMPRODUCT(--(calc!$AV$3:$AV$306=TRUE),--(ROW(calc!$AV$3:$AV$306)&gt;ROW(AV79)),--(((calc!$BA$3:$BA$306&gt;BA79)*(calc!$BB$3:$BB$306&gt;BB79)+(calc!$BA$3:$BA$306&lt;BA79)*(calc!$BB$3:$BB$306&lt;BB79))&gt;0))-SUMPRODUCT(--(calc!$AV$3:$AV$306=TRUE),--(ROW(calc!$AV$3:$AV$306)&gt;ROW(AV79)),--(((calc!$BA$3:$BA$306&gt;BA79)*(calc!$BB$3:$BB$306&lt;BB79)+(calc!$BA$3:$BA$306&lt;BA79)*(calc!$BB$3:$BB$306&gt;BB79))&gt;0)),0)</f>
        <v/>
      </c>
      <c r="BD79" s="5">
        <f>IF(mos_metrics!L78="","",mos_metrics!L78)</f>
        <v/>
      </c>
      <c r="BE79" s="2">
        <f>AND($J79,ISNUMBER(BD79),correlation!$I$31=1)</f>
        <v/>
      </c>
      <c r="BF79" s="5">
        <f>IF(BE79,$F79,"")</f>
        <v/>
      </c>
      <c r="BG79" s="5">
        <f>IF(BE79,BD79*correlation!$J$31,"")</f>
        <v/>
      </c>
      <c r="BH79" s="5">
        <f>IF(AND(BE79,ISNUMBER(correlation!$F$31)),BG79*correlation!$F$31+correlation!$G$31,"")</f>
        <v/>
      </c>
      <c r="BI79" s="5">
        <f>IF(AND(BE79,ISNUMBER(BH79)),(BF79-BH79)^2,"")</f>
        <v/>
      </c>
      <c r="BJ79" s="5">
        <f>IF(BE79,1+SUMPRODUCT(--(calc!$BE$3:$BE$306=TRUE),--(calc!$BF$3:$BF$306&gt;BF79))+(SUMPRODUCT(--(calc!$BE$3:$BE$306=TRUE),--(calc!$BF$3:$BF$306=BF79))-1)/2,"")</f>
        <v/>
      </c>
      <c r="BK79" s="5">
        <f>IF(BE79,1+SUMPRODUCT(--(calc!$BE$3:$BE$306=TRUE),--(calc!$BG$3:$BG$306&gt;BG79))+(SUMPRODUCT(--(calc!$BE$3:$BE$306=TRUE),--(calc!$BG$3:$BG$306=BG79))-1)/2,"")</f>
        <v/>
      </c>
      <c r="BL79" s="5">
        <f>IF(BE79,SUMPRODUCT(--(calc!$BE$3:$BE$306=TRUE),--(ROW(calc!$BE$3:$BE$306)&gt;ROW(BE79)),--(((calc!$BJ$3:$BJ$306&gt;BJ79)*(calc!$BK$3:$BK$306&gt;BK79)+(calc!$BJ$3:$BJ$306&lt;BJ79)*(calc!$BK$3:$BK$306&lt;BK79))&gt;0))-SUMPRODUCT(--(calc!$BE$3:$BE$306=TRUE),--(ROW(calc!$BE$3:$BE$306)&gt;ROW(BE79)),--(((calc!$BJ$3:$BJ$306&gt;BJ79)*(calc!$BK$3:$BK$306&lt;BK79)+(calc!$BJ$3:$BJ$306&lt;BJ79)*(calc!$BK$3:$BK$306&gt;BK79))&gt;0)),0)</f>
        <v/>
      </c>
      <c r="BM79" s="5">
        <f>IF(mos_metrics!M78="","",mos_metrics!M78)</f>
        <v/>
      </c>
      <c r="BN79" s="2">
        <f>AND($J79,ISNUMBER(BM79),correlation!$I$32=1)</f>
        <v/>
      </c>
      <c r="BO79" s="5">
        <f>IF(BN79,$F79,"")</f>
        <v/>
      </c>
      <c r="BP79" s="5">
        <f>IF(BN79,BM79*correlation!$J$32,"")</f>
        <v/>
      </c>
      <c r="BQ79" s="5">
        <f>IF(AND(BN79,ISNUMBER(correlation!$F$32)),BP79*correlation!$F$32+correlation!$G$32,"")</f>
        <v/>
      </c>
      <c r="BR79" s="5">
        <f>IF(AND(BN79,ISNUMBER(BQ79)),(BO79-BQ79)^2,"")</f>
        <v/>
      </c>
      <c r="BS79" s="5">
        <f>IF(BN79,1+SUMPRODUCT(--(calc!$BN$3:$BN$306=TRUE),--(calc!$BO$3:$BO$306&gt;BO79))+(SUMPRODUCT(--(calc!$BN$3:$BN$306=TRUE),--(calc!$BO$3:$BO$306=BO79))-1)/2,"")</f>
        <v/>
      </c>
      <c r="BT79" s="5">
        <f>IF(BN79,1+SUMPRODUCT(--(calc!$BN$3:$BN$306=TRUE),--(calc!$BP$3:$BP$306&gt;BP79))+(SUMPRODUCT(--(calc!$BN$3:$BN$306=TRUE),--(calc!$BP$3:$BP$306=BP79))-1)/2,"")</f>
        <v/>
      </c>
      <c r="BU79" s="5">
        <f>IF(BN79,SUMPRODUCT(--(calc!$BN$3:$BN$306=TRUE),--(ROW(calc!$BN$3:$BN$306)&gt;ROW(BN79)),--(((calc!$BS$3:$BS$306&gt;BS79)*(calc!$BT$3:$BT$306&gt;BT79)+(calc!$BS$3:$BS$306&lt;BS79)*(calc!$BT$3:$BT$306&lt;BT79))&gt;0))-SUMPRODUCT(--(calc!$BN$3:$BN$306=TRUE),--(ROW(calc!$BN$3:$BN$306)&gt;ROW(BN79)),--(((calc!$BS$3:$BS$306&gt;BS79)*(calc!$BT$3:$BT$306&lt;BT79)+(calc!$BS$3:$BS$306&lt;BS79)*(calc!$BT$3:$BT$306&gt;BT79))&gt;0)),0)</f>
        <v/>
      </c>
    </row>
    <row r="80">
      <c r="A80" s="2">
        <f>mos_metrics!A79</f>
        <v/>
      </c>
      <c r="B80" s="2">
        <f>mos_metrics!B79</f>
        <v/>
      </c>
      <c r="C80" s="2">
        <f>mos_metrics!C79</f>
        <v/>
      </c>
      <c r="D80" s="2">
        <f>mos_metrics!D79</f>
        <v/>
      </c>
      <c r="E80" s="2">
        <f>mos_metrics!E79</f>
        <v/>
      </c>
      <c r="F80" s="2">
        <f>mos_metrics!F79</f>
        <v/>
      </c>
      <c r="G80" s="2">
        <f>IF($B80="","",IFERROR(VLOOKUP($B80,correlation!$A$2:$B$16,2,FALSE),1))</f>
        <v/>
      </c>
      <c r="H80" s="2">
        <f>IF($E80="","",IFERROR(VLOOKUP($E80,correlation!$D$2:$E$8,2,FALSE),1))</f>
        <v/>
      </c>
      <c r="I80" s="2">
        <f>ISNUMBER($F80)</f>
        <v/>
      </c>
      <c r="J80" s="2">
        <f>AND($G80=1,$H80=1,$I80)</f>
        <v/>
      </c>
      <c r="K80" s="5">
        <f>IF(mos_metrics!G79="","",mos_metrics!G79)</f>
        <v/>
      </c>
      <c r="L80" s="2">
        <f>AND($J80,ISNUMBER(K80),correlation!$I$26=1)</f>
        <v/>
      </c>
      <c r="M80" s="5">
        <f>IF(L80,$F80,"")</f>
        <v/>
      </c>
      <c r="N80" s="5">
        <f>IF(L80,K80*correlation!$J$26,"")</f>
        <v/>
      </c>
      <c r="O80" s="5">
        <f>IF(AND(L80,ISNUMBER(correlation!$F$26)),N80*correlation!$F$26+correlation!$G$26,"")</f>
        <v/>
      </c>
      <c r="P80" s="5">
        <f>IF(AND(L80,ISNUMBER(O80)),(M80-O80)^2,"")</f>
        <v/>
      </c>
      <c r="Q80" s="5">
        <f>IF(L80,1+SUMPRODUCT(--(calc!$L$3:$L$306=TRUE),--(calc!$M$3:$M$306&gt;M80))+(SUMPRODUCT(--(calc!$L$3:$L$306=TRUE),--(calc!$M$3:$M$306=M80))-1)/2,"")</f>
        <v/>
      </c>
      <c r="R80" s="5">
        <f>IF(L80,1+SUMPRODUCT(--(calc!$L$3:$L$306=TRUE),--(calc!$N$3:$N$306&gt;N80))+(SUMPRODUCT(--(calc!$L$3:$L$306=TRUE),--(calc!$N$3:$N$306=N80))-1)/2,"")</f>
        <v/>
      </c>
      <c r="S80" s="5">
        <f>IF(L80,SUMPRODUCT(--(calc!$L$3:$L$306=TRUE),--(ROW(calc!$L$3:$L$306)&gt;ROW(L80)),--(((calc!$Q$3:$Q$306&gt;Q80)*(calc!$R$3:$R$306&gt;R80)+(calc!$Q$3:$Q$306&lt;Q80)*(calc!$R$3:$R$306&lt;R80))&gt;0))-SUMPRODUCT(--(calc!$L$3:$L$306=TRUE),--(ROW(calc!$L$3:$L$306)&gt;ROW(L80)),--(((calc!$Q$3:$Q$306&gt;Q80)*(calc!$R$3:$R$306&lt;R80)+(calc!$Q$3:$Q$306&lt;Q80)*(calc!$R$3:$R$306&gt;R80))&gt;0)),0)</f>
        <v/>
      </c>
      <c r="T80" s="5">
        <f>IF(mos_metrics!H79="","",mos_metrics!H79)</f>
        <v/>
      </c>
      <c r="U80" s="2">
        <f>AND($J80,ISNUMBER(T80),correlation!$I$27=1)</f>
        <v/>
      </c>
      <c r="V80" s="5">
        <f>IF(U80,$F80,"")</f>
        <v/>
      </c>
      <c r="W80" s="5">
        <f>IF(U80,T80*correlation!$J$27,"")</f>
        <v/>
      </c>
      <c r="X80" s="5">
        <f>IF(AND(U80,ISNUMBER(correlation!$F$27)),W80*correlation!$F$27+correlation!$G$27,"")</f>
        <v/>
      </c>
      <c r="Y80" s="5">
        <f>IF(AND(U80,ISNUMBER(X80)),(V80-X80)^2,"")</f>
        <v/>
      </c>
      <c r="Z80" s="5">
        <f>IF(U80,1+SUMPRODUCT(--(calc!$U$3:$U$306=TRUE),--(calc!$V$3:$V$306&gt;V80))+(SUMPRODUCT(--(calc!$U$3:$U$306=TRUE),--(calc!$V$3:$V$306=V80))-1)/2,"")</f>
        <v/>
      </c>
      <c r="AA80" s="5">
        <f>IF(U80,1+SUMPRODUCT(--(calc!$U$3:$U$306=TRUE),--(calc!$W$3:$W$306&gt;W80))+(SUMPRODUCT(--(calc!$U$3:$U$306=TRUE),--(calc!$W$3:$W$306=W80))-1)/2,"")</f>
        <v/>
      </c>
      <c r="AB80" s="5">
        <f>IF(U80,SUMPRODUCT(--(calc!$U$3:$U$306=TRUE),--(ROW(calc!$U$3:$U$306)&gt;ROW(U80)),--(((calc!$Z$3:$Z$306&gt;Z80)*(calc!$AA$3:$AA$306&gt;AA80)+(calc!$Z$3:$Z$306&lt;Z80)*(calc!$AA$3:$AA$306&lt;AA80))&gt;0))-SUMPRODUCT(--(calc!$U$3:$U$306=TRUE),--(ROW(calc!$U$3:$U$306)&gt;ROW(U80)),--(((calc!$Z$3:$Z$306&gt;Z80)*(calc!$AA$3:$AA$306&lt;AA80)+(calc!$Z$3:$Z$306&lt;Z80)*(calc!$AA$3:$AA$306&gt;AA80))&gt;0)),0)</f>
        <v/>
      </c>
      <c r="AC80" s="5">
        <f>IF(mos_metrics!I79="","",mos_metrics!I79)</f>
        <v/>
      </c>
      <c r="AD80" s="2">
        <f>AND($J80,ISNUMBER(AC80),correlation!$I$28=1)</f>
        <v/>
      </c>
      <c r="AE80" s="5">
        <f>IF(AD80,$F80,"")</f>
        <v/>
      </c>
      <c r="AF80" s="5">
        <f>IF(AD80,AC80*correlation!$J$28,"")</f>
        <v/>
      </c>
      <c r="AG80" s="5">
        <f>IF(AND(AD80,ISNUMBER(correlation!$F$28)),AF80*correlation!$F$28+correlation!$G$28,"")</f>
        <v/>
      </c>
      <c r="AH80" s="5">
        <f>IF(AND(AD80,ISNUMBER(AG80)),(AE80-AG80)^2,"")</f>
        <v/>
      </c>
      <c r="AI80" s="5">
        <f>IF(AD80,1+SUMPRODUCT(--(calc!$AD$3:$AD$306=TRUE),--(calc!$AE$3:$AE$306&gt;AE80))+(SUMPRODUCT(--(calc!$AD$3:$AD$306=TRUE),--(calc!$AE$3:$AE$306=AE80))-1)/2,"")</f>
        <v/>
      </c>
      <c r="AJ80" s="5">
        <f>IF(AD80,1+SUMPRODUCT(--(calc!$AD$3:$AD$306=TRUE),--(calc!$AF$3:$AF$306&gt;AF80))+(SUMPRODUCT(--(calc!$AD$3:$AD$306=TRUE),--(calc!$AF$3:$AF$306=AF80))-1)/2,"")</f>
        <v/>
      </c>
      <c r="AK80" s="5">
        <f>IF(AD80,SUMPRODUCT(--(calc!$AD$3:$AD$306=TRUE),--(ROW(calc!$AD$3:$AD$306)&gt;ROW(AD80)),--(((calc!$AI$3:$AI$306&gt;AI80)*(calc!$AJ$3:$AJ$306&gt;AJ80)+(calc!$AI$3:$AI$306&lt;AI80)*(calc!$AJ$3:$AJ$306&lt;AJ80))&gt;0))-SUMPRODUCT(--(calc!$AD$3:$AD$306=TRUE),--(ROW(calc!$AD$3:$AD$306)&gt;ROW(AD80)),--(((calc!$AI$3:$AI$306&gt;AI80)*(calc!$AJ$3:$AJ$306&lt;AJ80)+(calc!$AI$3:$AI$306&lt;AI80)*(calc!$AJ$3:$AJ$306&gt;AJ80))&gt;0)),0)</f>
        <v/>
      </c>
      <c r="AL80" s="5">
        <f>IF(mos_metrics!J79="","",mos_metrics!J79)</f>
        <v/>
      </c>
      <c r="AM80" s="2">
        <f>AND($J80,ISNUMBER(AL80),correlation!$I$29=1)</f>
        <v/>
      </c>
      <c r="AN80" s="5">
        <f>IF(AM80,$F80,"")</f>
        <v/>
      </c>
      <c r="AO80" s="5">
        <f>IF(AM80,AL80*correlation!$J$29,"")</f>
        <v/>
      </c>
      <c r="AP80" s="5">
        <f>IF(AND(AM80,ISNUMBER(correlation!$F$29)),AO80*correlation!$F$29+correlation!$G$29,"")</f>
        <v/>
      </c>
      <c r="AQ80" s="5">
        <f>IF(AND(AM80,ISNUMBER(AP80)),(AN80-AP80)^2,"")</f>
        <v/>
      </c>
      <c r="AR80" s="5">
        <f>IF(AM80,1+SUMPRODUCT(--(calc!$AM$3:$AM$306=TRUE),--(calc!$AN$3:$AN$306&gt;AN80))+(SUMPRODUCT(--(calc!$AM$3:$AM$306=TRUE),--(calc!$AN$3:$AN$306=AN80))-1)/2,"")</f>
        <v/>
      </c>
      <c r="AS80" s="5">
        <f>IF(AM80,1+SUMPRODUCT(--(calc!$AM$3:$AM$306=TRUE),--(calc!$AO$3:$AO$306&gt;AO80))+(SUMPRODUCT(--(calc!$AM$3:$AM$306=TRUE),--(calc!$AO$3:$AO$306=AO80))-1)/2,"")</f>
        <v/>
      </c>
      <c r="AT80" s="5">
        <f>IF(AM80,SUMPRODUCT(--(calc!$AM$3:$AM$306=TRUE),--(ROW(calc!$AM$3:$AM$306)&gt;ROW(AM80)),--(((calc!$AR$3:$AR$306&gt;AR80)*(calc!$AS$3:$AS$306&gt;AS80)+(calc!$AR$3:$AR$306&lt;AR80)*(calc!$AS$3:$AS$306&lt;AS80))&gt;0))-SUMPRODUCT(--(calc!$AM$3:$AM$306=TRUE),--(ROW(calc!$AM$3:$AM$306)&gt;ROW(AM80)),--(((calc!$AR$3:$AR$306&gt;AR80)*(calc!$AS$3:$AS$306&lt;AS80)+(calc!$AR$3:$AR$306&lt;AR80)*(calc!$AS$3:$AS$306&gt;AS80))&gt;0)),0)</f>
        <v/>
      </c>
      <c r="AU80" s="5">
        <f>IF(mos_metrics!K79="","",mos_metrics!K79)</f>
        <v/>
      </c>
      <c r="AV80" s="2">
        <f>AND($J80,ISNUMBER(AU80),correlation!$I$30=1)</f>
        <v/>
      </c>
      <c r="AW80" s="5">
        <f>IF(AV80,$F80,"")</f>
        <v/>
      </c>
      <c r="AX80" s="5">
        <f>IF(AV80,AU80*correlation!$J$30,"")</f>
        <v/>
      </c>
      <c r="AY80" s="5">
        <f>IF(AND(AV80,ISNUMBER(correlation!$F$30)),AX80*correlation!$F$30+correlation!$G$30,"")</f>
        <v/>
      </c>
      <c r="AZ80" s="5">
        <f>IF(AND(AV80,ISNUMBER(AY80)),(AW80-AY80)^2,"")</f>
        <v/>
      </c>
      <c r="BA80" s="5">
        <f>IF(AV80,1+SUMPRODUCT(--(calc!$AV$3:$AV$306=TRUE),--(calc!$AW$3:$AW$306&gt;AW80))+(SUMPRODUCT(--(calc!$AV$3:$AV$306=TRUE),--(calc!$AW$3:$AW$306=AW80))-1)/2,"")</f>
        <v/>
      </c>
      <c r="BB80" s="5">
        <f>IF(AV80,1+SUMPRODUCT(--(calc!$AV$3:$AV$306=TRUE),--(calc!$AX$3:$AX$306&gt;AX80))+(SUMPRODUCT(--(calc!$AV$3:$AV$306=TRUE),--(calc!$AX$3:$AX$306=AX80))-1)/2,"")</f>
        <v/>
      </c>
      <c r="BC80" s="5">
        <f>IF(AV80,SUMPRODUCT(--(calc!$AV$3:$AV$306=TRUE),--(ROW(calc!$AV$3:$AV$306)&gt;ROW(AV80)),--(((calc!$BA$3:$BA$306&gt;BA80)*(calc!$BB$3:$BB$306&gt;BB80)+(calc!$BA$3:$BA$306&lt;BA80)*(calc!$BB$3:$BB$306&lt;BB80))&gt;0))-SUMPRODUCT(--(calc!$AV$3:$AV$306=TRUE),--(ROW(calc!$AV$3:$AV$306)&gt;ROW(AV80)),--(((calc!$BA$3:$BA$306&gt;BA80)*(calc!$BB$3:$BB$306&lt;BB80)+(calc!$BA$3:$BA$306&lt;BA80)*(calc!$BB$3:$BB$306&gt;BB80))&gt;0)),0)</f>
        <v/>
      </c>
      <c r="BD80" s="5">
        <f>IF(mos_metrics!L79="","",mos_metrics!L79)</f>
        <v/>
      </c>
      <c r="BE80" s="2">
        <f>AND($J80,ISNUMBER(BD80),correlation!$I$31=1)</f>
        <v/>
      </c>
      <c r="BF80" s="5">
        <f>IF(BE80,$F80,"")</f>
        <v/>
      </c>
      <c r="BG80" s="5">
        <f>IF(BE80,BD80*correlation!$J$31,"")</f>
        <v/>
      </c>
      <c r="BH80" s="5">
        <f>IF(AND(BE80,ISNUMBER(correlation!$F$31)),BG80*correlation!$F$31+correlation!$G$31,"")</f>
        <v/>
      </c>
      <c r="BI80" s="5">
        <f>IF(AND(BE80,ISNUMBER(BH80)),(BF80-BH80)^2,"")</f>
        <v/>
      </c>
      <c r="BJ80" s="5">
        <f>IF(BE80,1+SUMPRODUCT(--(calc!$BE$3:$BE$306=TRUE),--(calc!$BF$3:$BF$306&gt;BF80))+(SUMPRODUCT(--(calc!$BE$3:$BE$306=TRUE),--(calc!$BF$3:$BF$306=BF80))-1)/2,"")</f>
        <v/>
      </c>
      <c r="BK80" s="5">
        <f>IF(BE80,1+SUMPRODUCT(--(calc!$BE$3:$BE$306=TRUE),--(calc!$BG$3:$BG$306&gt;BG80))+(SUMPRODUCT(--(calc!$BE$3:$BE$306=TRUE),--(calc!$BG$3:$BG$306=BG80))-1)/2,"")</f>
        <v/>
      </c>
      <c r="BL80" s="5">
        <f>IF(BE80,SUMPRODUCT(--(calc!$BE$3:$BE$306=TRUE),--(ROW(calc!$BE$3:$BE$306)&gt;ROW(BE80)),--(((calc!$BJ$3:$BJ$306&gt;BJ80)*(calc!$BK$3:$BK$306&gt;BK80)+(calc!$BJ$3:$BJ$306&lt;BJ80)*(calc!$BK$3:$BK$306&lt;BK80))&gt;0))-SUMPRODUCT(--(calc!$BE$3:$BE$306=TRUE),--(ROW(calc!$BE$3:$BE$306)&gt;ROW(BE80)),--(((calc!$BJ$3:$BJ$306&gt;BJ80)*(calc!$BK$3:$BK$306&lt;BK80)+(calc!$BJ$3:$BJ$306&lt;BJ80)*(calc!$BK$3:$BK$306&gt;BK80))&gt;0)),0)</f>
        <v/>
      </c>
      <c r="BM80" s="5">
        <f>IF(mos_metrics!M79="","",mos_metrics!M79)</f>
        <v/>
      </c>
      <c r="BN80" s="2">
        <f>AND($J80,ISNUMBER(BM80),correlation!$I$32=1)</f>
        <v/>
      </c>
      <c r="BO80" s="5">
        <f>IF(BN80,$F80,"")</f>
        <v/>
      </c>
      <c r="BP80" s="5">
        <f>IF(BN80,BM80*correlation!$J$32,"")</f>
        <v/>
      </c>
      <c r="BQ80" s="5">
        <f>IF(AND(BN80,ISNUMBER(correlation!$F$32)),BP80*correlation!$F$32+correlation!$G$32,"")</f>
        <v/>
      </c>
      <c r="BR80" s="5">
        <f>IF(AND(BN80,ISNUMBER(BQ80)),(BO80-BQ80)^2,"")</f>
        <v/>
      </c>
      <c r="BS80" s="5">
        <f>IF(BN80,1+SUMPRODUCT(--(calc!$BN$3:$BN$306=TRUE),--(calc!$BO$3:$BO$306&gt;BO80))+(SUMPRODUCT(--(calc!$BN$3:$BN$306=TRUE),--(calc!$BO$3:$BO$306=BO80))-1)/2,"")</f>
        <v/>
      </c>
      <c r="BT80" s="5">
        <f>IF(BN80,1+SUMPRODUCT(--(calc!$BN$3:$BN$306=TRUE),--(calc!$BP$3:$BP$306&gt;BP80))+(SUMPRODUCT(--(calc!$BN$3:$BN$306=TRUE),--(calc!$BP$3:$BP$306=BP80))-1)/2,"")</f>
        <v/>
      </c>
      <c r="BU80" s="5">
        <f>IF(BN80,SUMPRODUCT(--(calc!$BN$3:$BN$306=TRUE),--(ROW(calc!$BN$3:$BN$306)&gt;ROW(BN80)),--(((calc!$BS$3:$BS$306&gt;BS80)*(calc!$BT$3:$BT$306&gt;BT80)+(calc!$BS$3:$BS$306&lt;BS80)*(calc!$BT$3:$BT$306&lt;BT80))&gt;0))-SUMPRODUCT(--(calc!$BN$3:$BN$306=TRUE),--(ROW(calc!$BN$3:$BN$306)&gt;ROW(BN80)),--(((calc!$BS$3:$BS$306&gt;BS80)*(calc!$BT$3:$BT$306&lt;BT80)+(calc!$BS$3:$BS$306&lt;BS80)*(calc!$BT$3:$BT$306&gt;BT80))&gt;0)),0)</f>
        <v/>
      </c>
    </row>
    <row r="81">
      <c r="A81" s="2">
        <f>mos_metrics!A80</f>
        <v/>
      </c>
      <c r="B81" s="2">
        <f>mos_metrics!B80</f>
        <v/>
      </c>
      <c r="C81" s="2">
        <f>mos_metrics!C80</f>
        <v/>
      </c>
      <c r="D81" s="2">
        <f>mos_metrics!D80</f>
        <v/>
      </c>
      <c r="E81" s="2">
        <f>mos_metrics!E80</f>
        <v/>
      </c>
      <c r="F81" s="2">
        <f>mos_metrics!F80</f>
        <v/>
      </c>
      <c r="G81" s="2">
        <f>IF($B81="","",IFERROR(VLOOKUP($B81,correlation!$A$2:$B$16,2,FALSE),1))</f>
        <v/>
      </c>
      <c r="H81" s="2">
        <f>IF($E81="","",IFERROR(VLOOKUP($E81,correlation!$D$2:$E$8,2,FALSE),1))</f>
        <v/>
      </c>
      <c r="I81" s="2">
        <f>ISNUMBER($F81)</f>
        <v/>
      </c>
      <c r="J81" s="2">
        <f>AND($G81=1,$H81=1,$I81)</f>
        <v/>
      </c>
      <c r="K81" s="5">
        <f>IF(mos_metrics!G80="","",mos_metrics!G80)</f>
        <v/>
      </c>
      <c r="L81" s="2">
        <f>AND($J81,ISNUMBER(K81),correlation!$I$26=1)</f>
        <v/>
      </c>
      <c r="M81" s="5">
        <f>IF(L81,$F81,"")</f>
        <v/>
      </c>
      <c r="N81" s="5">
        <f>IF(L81,K81*correlation!$J$26,"")</f>
        <v/>
      </c>
      <c r="O81" s="5">
        <f>IF(AND(L81,ISNUMBER(correlation!$F$26)),N81*correlation!$F$26+correlation!$G$26,"")</f>
        <v/>
      </c>
      <c r="P81" s="5">
        <f>IF(AND(L81,ISNUMBER(O81)),(M81-O81)^2,"")</f>
        <v/>
      </c>
      <c r="Q81" s="5">
        <f>IF(L81,1+SUMPRODUCT(--(calc!$L$3:$L$306=TRUE),--(calc!$M$3:$M$306&gt;M81))+(SUMPRODUCT(--(calc!$L$3:$L$306=TRUE),--(calc!$M$3:$M$306=M81))-1)/2,"")</f>
        <v/>
      </c>
      <c r="R81" s="5">
        <f>IF(L81,1+SUMPRODUCT(--(calc!$L$3:$L$306=TRUE),--(calc!$N$3:$N$306&gt;N81))+(SUMPRODUCT(--(calc!$L$3:$L$306=TRUE),--(calc!$N$3:$N$306=N81))-1)/2,"")</f>
        <v/>
      </c>
      <c r="S81" s="5">
        <f>IF(L81,SUMPRODUCT(--(calc!$L$3:$L$306=TRUE),--(ROW(calc!$L$3:$L$306)&gt;ROW(L81)),--(((calc!$Q$3:$Q$306&gt;Q81)*(calc!$R$3:$R$306&gt;R81)+(calc!$Q$3:$Q$306&lt;Q81)*(calc!$R$3:$R$306&lt;R81))&gt;0))-SUMPRODUCT(--(calc!$L$3:$L$306=TRUE),--(ROW(calc!$L$3:$L$306)&gt;ROW(L81)),--(((calc!$Q$3:$Q$306&gt;Q81)*(calc!$R$3:$R$306&lt;R81)+(calc!$Q$3:$Q$306&lt;Q81)*(calc!$R$3:$R$306&gt;R81))&gt;0)),0)</f>
        <v/>
      </c>
      <c r="T81" s="5">
        <f>IF(mos_metrics!H80="","",mos_metrics!H80)</f>
        <v/>
      </c>
      <c r="U81" s="2">
        <f>AND($J81,ISNUMBER(T81),correlation!$I$27=1)</f>
        <v/>
      </c>
      <c r="V81" s="5">
        <f>IF(U81,$F81,"")</f>
        <v/>
      </c>
      <c r="W81" s="5">
        <f>IF(U81,T81*correlation!$J$27,"")</f>
        <v/>
      </c>
      <c r="X81" s="5">
        <f>IF(AND(U81,ISNUMBER(correlation!$F$27)),W81*correlation!$F$27+correlation!$G$27,"")</f>
        <v/>
      </c>
      <c r="Y81" s="5">
        <f>IF(AND(U81,ISNUMBER(X81)),(V81-X81)^2,"")</f>
        <v/>
      </c>
      <c r="Z81" s="5">
        <f>IF(U81,1+SUMPRODUCT(--(calc!$U$3:$U$306=TRUE),--(calc!$V$3:$V$306&gt;V81))+(SUMPRODUCT(--(calc!$U$3:$U$306=TRUE),--(calc!$V$3:$V$306=V81))-1)/2,"")</f>
        <v/>
      </c>
      <c r="AA81" s="5">
        <f>IF(U81,1+SUMPRODUCT(--(calc!$U$3:$U$306=TRUE),--(calc!$W$3:$W$306&gt;W81))+(SUMPRODUCT(--(calc!$U$3:$U$306=TRUE),--(calc!$W$3:$W$306=W81))-1)/2,"")</f>
        <v/>
      </c>
      <c r="AB81" s="5">
        <f>IF(U81,SUMPRODUCT(--(calc!$U$3:$U$306=TRUE),--(ROW(calc!$U$3:$U$306)&gt;ROW(U81)),--(((calc!$Z$3:$Z$306&gt;Z81)*(calc!$AA$3:$AA$306&gt;AA81)+(calc!$Z$3:$Z$306&lt;Z81)*(calc!$AA$3:$AA$306&lt;AA81))&gt;0))-SUMPRODUCT(--(calc!$U$3:$U$306=TRUE),--(ROW(calc!$U$3:$U$306)&gt;ROW(U81)),--(((calc!$Z$3:$Z$306&gt;Z81)*(calc!$AA$3:$AA$306&lt;AA81)+(calc!$Z$3:$Z$306&lt;Z81)*(calc!$AA$3:$AA$306&gt;AA81))&gt;0)),0)</f>
        <v/>
      </c>
      <c r="AC81" s="5">
        <f>IF(mos_metrics!I80="","",mos_metrics!I80)</f>
        <v/>
      </c>
      <c r="AD81" s="2">
        <f>AND($J81,ISNUMBER(AC81),correlation!$I$28=1)</f>
        <v/>
      </c>
      <c r="AE81" s="5">
        <f>IF(AD81,$F81,"")</f>
        <v/>
      </c>
      <c r="AF81" s="5">
        <f>IF(AD81,AC81*correlation!$J$28,"")</f>
        <v/>
      </c>
      <c r="AG81" s="5">
        <f>IF(AND(AD81,ISNUMBER(correlation!$F$28)),AF81*correlation!$F$28+correlation!$G$28,"")</f>
        <v/>
      </c>
      <c r="AH81" s="5">
        <f>IF(AND(AD81,ISNUMBER(AG81)),(AE81-AG81)^2,"")</f>
        <v/>
      </c>
      <c r="AI81" s="5">
        <f>IF(AD81,1+SUMPRODUCT(--(calc!$AD$3:$AD$306=TRUE),--(calc!$AE$3:$AE$306&gt;AE81))+(SUMPRODUCT(--(calc!$AD$3:$AD$306=TRUE),--(calc!$AE$3:$AE$306=AE81))-1)/2,"")</f>
        <v/>
      </c>
      <c r="AJ81" s="5">
        <f>IF(AD81,1+SUMPRODUCT(--(calc!$AD$3:$AD$306=TRUE),--(calc!$AF$3:$AF$306&gt;AF81))+(SUMPRODUCT(--(calc!$AD$3:$AD$306=TRUE),--(calc!$AF$3:$AF$306=AF81))-1)/2,"")</f>
        <v/>
      </c>
      <c r="AK81" s="5">
        <f>IF(AD81,SUMPRODUCT(--(calc!$AD$3:$AD$306=TRUE),--(ROW(calc!$AD$3:$AD$306)&gt;ROW(AD81)),--(((calc!$AI$3:$AI$306&gt;AI81)*(calc!$AJ$3:$AJ$306&gt;AJ81)+(calc!$AI$3:$AI$306&lt;AI81)*(calc!$AJ$3:$AJ$306&lt;AJ81))&gt;0))-SUMPRODUCT(--(calc!$AD$3:$AD$306=TRUE),--(ROW(calc!$AD$3:$AD$306)&gt;ROW(AD81)),--(((calc!$AI$3:$AI$306&gt;AI81)*(calc!$AJ$3:$AJ$306&lt;AJ81)+(calc!$AI$3:$AI$306&lt;AI81)*(calc!$AJ$3:$AJ$306&gt;AJ81))&gt;0)),0)</f>
        <v/>
      </c>
      <c r="AL81" s="5">
        <f>IF(mos_metrics!J80="","",mos_metrics!J80)</f>
        <v/>
      </c>
      <c r="AM81" s="2">
        <f>AND($J81,ISNUMBER(AL81),correlation!$I$29=1)</f>
        <v/>
      </c>
      <c r="AN81" s="5">
        <f>IF(AM81,$F81,"")</f>
        <v/>
      </c>
      <c r="AO81" s="5">
        <f>IF(AM81,AL81*correlation!$J$29,"")</f>
        <v/>
      </c>
      <c r="AP81" s="5">
        <f>IF(AND(AM81,ISNUMBER(correlation!$F$29)),AO81*correlation!$F$29+correlation!$G$29,"")</f>
        <v/>
      </c>
      <c r="AQ81" s="5">
        <f>IF(AND(AM81,ISNUMBER(AP81)),(AN81-AP81)^2,"")</f>
        <v/>
      </c>
      <c r="AR81" s="5">
        <f>IF(AM81,1+SUMPRODUCT(--(calc!$AM$3:$AM$306=TRUE),--(calc!$AN$3:$AN$306&gt;AN81))+(SUMPRODUCT(--(calc!$AM$3:$AM$306=TRUE),--(calc!$AN$3:$AN$306=AN81))-1)/2,"")</f>
        <v/>
      </c>
      <c r="AS81" s="5">
        <f>IF(AM81,1+SUMPRODUCT(--(calc!$AM$3:$AM$306=TRUE),--(calc!$AO$3:$AO$306&gt;AO81))+(SUMPRODUCT(--(calc!$AM$3:$AM$306=TRUE),--(calc!$AO$3:$AO$306=AO81))-1)/2,"")</f>
        <v/>
      </c>
      <c r="AT81" s="5">
        <f>IF(AM81,SUMPRODUCT(--(calc!$AM$3:$AM$306=TRUE),--(ROW(calc!$AM$3:$AM$306)&gt;ROW(AM81)),--(((calc!$AR$3:$AR$306&gt;AR81)*(calc!$AS$3:$AS$306&gt;AS81)+(calc!$AR$3:$AR$306&lt;AR81)*(calc!$AS$3:$AS$306&lt;AS81))&gt;0))-SUMPRODUCT(--(calc!$AM$3:$AM$306=TRUE),--(ROW(calc!$AM$3:$AM$306)&gt;ROW(AM81)),--(((calc!$AR$3:$AR$306&gt;AR81)*(calc!$AS$3:$AS$306&lt;AS81)+(calc!$AR$3:$AR$306&lt;AR81)*(calc!$AS$3:$AS$306&gt;AS81))&gt;0)),0)</f>
        <v/>
      </c>
      <c r="AU81" s="5">
        <f>IF(mos_metrics!K80="","",mos_metrics!K80)</f>
        <v/>
      </c>
      <c r="AV81" s="2">
        <f>AND($J81,ISNUMBER(AU81),correlation!$I$30=1)</f>
        <v/>
      </c>
      <c r="AW81" s="5">
        <f>IF(AV81,$F81,"")</f>
        <v/>
      </c>
      <c r="AX81" s="5">
        <f>IF(AV81,AU81*correlation!$J$30,"")</f>
        <v/>
      </c>
      <c r="AY81" s="5">
        <f>IF(AND(AV81,ISNUMBER(correlation!$F$30)),AX81*correlation!$F$30+correlation!$G$30,"")</f>
        <v/>
      </c>
      <c r="AZ81" s="5">
        <f>IF(AND(AV81,ISNUMBER(AY81)),(AW81-AY81)^2,"")</f>
        <v/>
      </c>
      <c r="BA81" s="5">
        <f>IF(AV81,1+SUMPRODUCT(--(calc!$AV$3:$AV$306=TRUE),--(calc!$AW$3:$AW$306&gt;AW81))+(SUMPRODUCT(--(calc!$AV$3:$AV$306=TRUE),--(calc!$AW$3:$AW$306=AW81))-1)/2,"")</f>
        <v/>
      </c>
      <c r="BB81" s="5">
        <f>IF(AV81,1+SUMPRODUCT(--(calc!$AV$3:$AV$306=TRUE),--(calc!$AX$3:$AX$306&gt;AX81))+(SUMPRODUCT(--(calc!$AV$3:$AV$306=TRUE),--(calc!$AX$3:$AX$306=AX81))-1)/2,"")</f>
        <v/>
      </c>
      <c r="BC81" s="5">
        <f>IF(AV81,SUMPRODUCT(--(calc!$AV$3:$AV$306=TRUE),--(ROW(calc!$AV$3:$AV$306)&gt;ROW(AV81)),--(((calc!$BA$3:$BA$306&gt;BA81)*(calc!$BB$3:$BB$306&gt;BB81)+(calc!$BA$3:$BA$306&lt;BA81)*(calc!$BB$3:$BB$306&lt;BB81))&gt;0))-SUMPRODUCT(--(calc!$AV$3:$AV$306=TRUE),--(ROW(calc!$AV$3:$AV$306)&gt;ROW(AV81)),--(((calc!$BA$3:$BA$306&gt;BA81)*(calc!$BB$3:$BB$306&lt;BB81)+(calc!$BA$3:$BA$306&lt;BA81)*(calc!$BB$3:$BB$306&gt;BB81))&gt;0)),0)</f>
        <v/>
      </c>
      <c r="BD81" s="5">
        <f>IF(mos_metrics!L80="","",mos_metrics!L80)</f>
        <v/>
      </c>
      <c r="BE81" s="2">
        <f>AND($J81,ISNUMBER(BD81),correlation!$I$31=1)</f>
        <v/>
      </c>
      <c r="BF81" s="5">
        <f>IF(BE81,$F81,"")</f>
        <v/>
      </c>
      <c r="BG81" s="5">
        <f>IF(BE81,BD81*correlation!$J$31,"")</f>
        <v/>
      </c>
      <c r="BH81" s="5">
        <f>IF(AND(BE81,ISNUMBER(correlation!$F$31)),BG81*correlation!$F$31+correlation!$G$31,"")</f>
        <v/>
      </c>
      <c r="BI81" s="5">
        <f>IF(AND(BE81,ISNUMBER(BH81)),(BF81-BH81)^2,"")</f>
        <v/>
      </c>
      <c r="BJ81" s="5">
        <f>IF(BE81,1+SUMPRODUCT(--(calc!$BE$3:$BE$306=TRUE),--(calc!$BF$3:$BF$306&gt;BF81))+(SUMPRODUCT(--(calc!$BE$3:$BE$306=TRUE),--(calc!$BF$3:$BF$306=BF81))-1)/2,"")</f>
        <v/>
      </c>
      <c r="BK81" s="5">
        <f>IF(BE81,1+SUMPRODUCT(--(calc!$BE$3:$BE$306=TRUE),--(calc!$BG$3:$BG$306&gt;BG81))+(SUMPRODUCT(--(calc!$BE$3:$BE$306=TRUE),--(calc!$BG$3:$BG$306=BG81))-1)/2,"")</f>
        <v/>
      </c>
      <c r="BL81" s="5">
        <f>IF(BE81,SUMPRODUCT(--(calc!$BE$3:$BE$306=TRUE),--(ROW(calc!$BE$3:$BE$306)&gt;ROW(BE81)),--(((calc!$BJ$3:$BJ$306&gt;BJ81)*(calc!$BK$3:$BK$306&gt;BK81)+(calc!$BJ$3:$BJ$306&lt;BJ81)*(calc!$BK$3:$BK$306&lt;BK81))&gt;0))-SUMPRODUCT(--(calc!$BE$3:$BE$306=TRUE),--(ROW(calc!$BE$3:$BE$306)&gt;ROW(BE81)),--(((calc!$BJ$3:$BJ$306&gt;BJ81)*(calc!$BK$3:$BK$306&lt;BK81)+(calc!$BJ$3:$BJ$306&lt;BJ81)*(calc!$BK$3:$BK$306&gt;BK81))&gt;0)),0)</f>
        <v/>
      </c>
      <c r="BM81" s="5">
        <f>IF(mos_metrics!M80="","",mos_metrics!M80)</f>
        <v/>
      </c>
      <c r="BN81" s="2">
        <f>AND($J81,ISNUMBER(BM81),correlation!$I$32=1)</f>
        <v/>
      </c>
      <c r="BO81" s="5">
        <f>IF(BN81,$F81,"")</f>
        <v/>
      </c>
      <c r="BP81" s="5">
        <f>IF(BN81,BM81*correlation!$J$32,"")</f>
        <v/>
      </c>
      <c r="BQ81" s="5">
        <f>IF(AND(BN81,ISNUMBER(correlation!$F$32)),BP81*correlation!$F$32+correlation!$G$32,"")</f>
        <v/>
      </c>
      <c r="BR81" s="5">
        <f>IF(AND(BN81,ISNUMBER(BQ81)),(BO81-BQ81)^2,"")</f>
        <v/>
      </c>
      <c r="BS81" s="5">
        <f>IF(BN81,1+SUMPRODUCT(--(calc!$BN$3:$BN$306=TRUE),--(calc!$BO$3:$BO$306&gt;BO81))+(SUMPRODUCT(--(calc!$BN$3:$BN$306=TRUE),--(calc!$BO$3:$BO$306=BO81))-1)/2,"")</f>
        <v/>
      </c>
      <c r="BT81" s="5">
        <f>IF(BN81,1+SUMPRODUCT(--(calc!$BN$3:$BN$306=TRUE),--(calc!$BP$3:$BP$306&gt;BP81))+(SUMPRODUCT(--(calc!$BN$3:$BN$306=TRUE),--(calc!$BP$3:$BP$306=BP81))-1)/2,"")</f>
        <v/>
      </c>
      <c r="BU81" s="5">
        <f>IF(BN81,SUMPRODUCT(--(calc!$BN$3:$BN$306=TRUE),--(ROW(calc!$BN$3:$BN$306)&gt;ROW(BN81)),--(((calc!$BS$3:$BS$306&gt;BS81)*(calc!$BT$3:$BT$306&gt;BT81)+(calc!$BS$3:$BS$306&lt;BS81)*(calc!$BT$3:$BT$306&lt;BT81))&gt;0))-SUMPRODUCT(--(calc!$BN$3:$BN$306=TRUE),--(ROW(calc!$BN$3:$BN$306)&gt;ROW(BN81)),--(((calc!$BS$3:$BS$306&gt;BS81)*(calc!$BT$3:$BT$306&lt;BT81)+(calc!$BS$3:$BS$306&lt;BS81)*(calc!$BT$3:$BT$306&gt;BT81))&gt;0)),0)</f>
        <v/>
      </c>
    </row>
    <row r="82">
      <c r="A82" s="2">
        <f>mos_metrics!A81</f>
        <v/>
      </c>
      <c r="B82" s="2">
        <f>mos_metrics!B81</f>
        <v/>
      </c>
      <c r="C82" s="2">
        <f>mos_metrics!C81</f>
        <v/>
      </c>
      <c r="D82" s="2">
        <f>mos_metrics!D81</f>
        <v/>
      </c>
      <c r="E82" s="2">
        <f>mos_metrics!E81</f>
        <v/>
      </c>
      <c r="F82" s="2">
        <f>mos_metrics!F81</f>
        <v/>
      </c>
      <c r="G82" s="2">
        <f>IF($B82="","",IFERROR(VLOOKUP($B82,correlation!$A$2:$B$16,2,FALSE),1))</f>
        <v/>
      </c>
      <c r="H82" s="2">
        <f>IF($E82="","",IFERROR(VLOOKUP($E82,correlation!$D$2:$E$8,2,FALSE),1))</f>
        <v/>
      </c>
      <c r="I82" s="2">
        <f>ISNUMBER($F82)</f>
        <v/>
      </c>
      <c r="J82" s="2">
        <f>AND($G82=1,$H82=1,$I82)</f>
        <v/>
      </c>
      <c r="K82" s="5">
        <f>IF(mos_metrics!G81="","",mos_metrics!G81)</f>
        <v/>
      </c>
      <c r="L82" s="2">
        <f>AND($J82,ISNUMBER(K82),correlation!$I$26=1)</f>
        <v/>
      </c>
      <c r="M82" s="5">
        <f>IF(L82,$F82,"")</f>
        <v/>
      </c>
      <c r="N82" s="5">
        <f>IF(L82,K82*correlation!$J$26,"")</f>
        <v/>
      </c>
      <c r="O82" s="5">
        <f>IF(AND(L82,ISNUMBER(correlation!$F$26)),N82*correlation!$F$26+correlation!$G$26,"")</f>
        <v/>
      </c>
      <c r="P82" s="5">
        <f>IF(AND(L82,ISNUMBER(O82)),(M82-O82)^2,"")</f>
        <v/>
      </c>
      <c r="Q82" s="5">
        <f>IF(L82,1+SUMPRODUCT(--(calc!$L$3:$L$306=TRUE),--(calc!$M$3:$M$306&gt;M82))+(SUMPRODUCT(--(calc!$L$3:$L$306=TRUE),--(calc!$M$3:$M$306=M82))-1)/2,"")</f>
        <v/>
      </c>
      <c r="R82" s="5">
        <f>IF(L82,1+SUMPRODUCT(--(calc!$L$3:$L$306=TRUE),--(calc!$N$3:$N$306&gt;N82))+(SUMPRODUCT(--(calc!$L$3:$L$306=TRUE),--(calc!$N$3:$N$306=N82))-1)/2,"")</f>
        <v/>
      </c>
      <c r="S82" s="5">
        <f>IF(L82,SUMPRODUCT(--(calc!$L$3:$L$306=TRUE),--(ROW(calc!$L$3:$L$306)&gt;ROW(L82)),--(((calc!$Q$3:$Q$306&gt;Q82)*(calc!$R$3:$R$306&gt;R82)+(calc!$Q$3:$Q$306&lt;Q82)*(calc!$R$3:$R$306&lt;R82))&gt;0))-SUMPRODUCT(--(calc!$L$3:$L$306=TRUE),--(ROW(calc!$L$3:$L$306)&gt;ROW(L82)),--(((calc!$Q$3:$Q$306&gt;Q82)*(calc!$R$3:$R$306&lt;R82)+(calc!$Q$3:$Q$306&lt;Q82)*(calc!$R$3:$R$306&gt;R82))&gt;0)),0)</f>
        <v/>
      </c>
      <c r="T82" s="5">
        <f>IF(mos_metrics!H81="","",mos_metrics!H81)</f>
        <v/>
      </c>
      <c r="U82" s="2">
        <f>AND($J82,ISNUMBER(T82),correlation!$I$27=1)</f>
        <v/>
      </c>
      <c r="V82" s="5">
        <f>IF(U82,$F82,"")</f>
        <v/>
      </c>
      <c r="W82" s="5">
        <f>IF(U82,T82*correlation!$J$27,"")</f>
        <v/>
      </c>
      <c r="X82" s="5">
        <f>IF(AND(U82,ISNUMBER(correlation!$F$27)),W82*correlation!$F$27+correlation!$G$27,"")</f>
        <v/>
      </c>
      <c r="Y82" s="5">
        <f>IF(AND(U82,ISNUMBER(X82)),(V82-X82)^2,"")</f>
        <v/>
      </c>
      <c r="Z82" s="5">
        <f>IF(U82,1+SUMPRODUCT(--(calc!$U$3:$U$306=TRUE),--(calc!$V$3:$V$306&gt;V82))+(SUMPRODUCT(--(calc!$U$3:$U$306=TRUE),--(calc!$V$3:$V$306=V82))-1)/2,"")</f>
        <v/>
      </c>
      <c r="AA82" s="5">
        <f>IF(U82,1+SUMPRODUCT(--(calc!$U$3:$U$306=TRUE),--(calc!$W$3:$W$306&gt;W82))+(SUMPRODUCT(--(calc!$U$3:$U$306=TRUE),--(calc!$W$3:$W$306=W82))-1)/2,"")</f>
        <v/>
      </c>
      <c r="AB82" s="5">
        <f>IF(U82,SUMPRODUCT(--(calc!$U$3:$U$306=TRUE),--(ROW(calc!$U$3:$U$306)&gt;ROW(U82)),--(((calc!$Z$3:$Z$306&gt;Z82)*(calc!$AA$3:$AA$306&gt;AA82)+(calc!$Z$3:$Z$306&lt;Z82)*(calc!$AA$3:$AA$306&lt;AA82))&gt;0))-SUMPRODUCT(--(calc!$U$3:$U$306=TRUE),--(ROW(calc!$U$3:$U$306)&gt;ROW(U82)),--(((calc!$Z$3:$Z$306&gt;Z82)*(calc!$AA$3:$AA$306&lt;AA82)+(calc!$Z$3:$Z$306&lt;Z82)*(calc!$AA$3:$AA$306&gt;AA82))&gt;0)),0)</f>
        <v/>
      </c>
      <c r="AC82" s="5">
        <f>IF(mos_metrics!I81="","",mos_metrics!I81)</f>
        <v/>
      </c>
      <c r="AD82" s="2">
        <f>AND($J82,ISNUMBER(AC82),correlation!$I$28=1)</f>
        <v/>
      </c>
      <c r="AE82" s="5">
        <f>IF(AD82,$F82,"")</f>
        <v/>
      </c>
      <c r="AF82" s="5">
        <f>IF(AD82,AC82*correlation!$J$28,"")</f>
        <v/>
      </c>
      <c r="AG82" s="5">
        <f>IF(AND(AD82,ISNUMBER(correlation!$F$28)),AF82*correlation!$F$28+correlation!$G$28,"")</f>
        <v/>
      </c>
      <c r="AH82" s="5">
        <f>IF(AND(AD82,ISNUMBER(AG82)),(AE82-AG82)^2,"")</f>
        <v/>
      </c>
      <c r="AI82" s="5">
        <f>IF(AD82,1+SUMPRODUCT(--(calc!$AD$3:$AD$306=TRUE),--(calc!$AE$3:$AE$306&gt;AE82))+(SUMPRODUCT(--(calc!$AD$3:$AD$306=TRUE),--(calc!$AE$3:$AE$306=AE82))-1)/2,"")</f>
        <v/>
      </c>
      <c r="AJ82" s="5">
        <f>IF(AD82,1+SUMPRODUCT(--(calc!$AD$3:$AD$306=TRUE),--(calc!$AF$3:$AF$306&gt;AF82))+(SUMPRODUCT(--(calc!$AD$3:$AD$306=TRUE),--(calc!$AF$3:$AF$306=AF82))-1)/2,"")</f>
        <v/>
      </c>
      <c r="AK82" s="5">
        <f>IF(AD82,SUMPRODUCT(--(calc!$AD$3:$AD$306=TRUE),--(ROW(calc!$AD$3:$AD$306)&gt;ROW(AD82)),--(((calc!$AI$3:$AI$306&gt;AI82)*(calc!$AJ$3:$AJ$306&gt;AJ82)+(calc!$AI$3:$AI$306&lt;AI82)*(calc!$AJ$3:$AJ$306&lt;AJ82))&gt;0))-SUMPRODUCT(--(calc!$AD$3:$AD$306=TRUE),--(ROW(calc!$AD$3:$AD$306)&gt;ROW(AD82)),--(((calc!$AI$3:$AI$306&gt;AI82)*(calc!$AJ$3:$AJ$306&lt;AJ82)+(calc!$AI$3:$AI$306&lt;AI82)*(calc!$AJ$3:$AJ$306&gt;AJ82))&gt;0)),0)</f>
        <v/>
      </c>
      <c r="AL82" s="5">
        <f>IF(mos_metrics!J81="","",mos_metrics!J81)</f>
        <v/>
      </c>
      <c r="AM82" s="2">
        <f>AND($J82,ISNUMBER(AL82),correlation!$I$29=1)</f>
        <v/>
      </c>
      <c r="AN82" s="5">
        <f>IF(AM82,$F82,"")</f>
        <v/>
      </c>
      <c r="AO82" s="5">
        <f>IF(AM82,AL82*correlation!$J$29,"")</f>
        <v/>
      </c>
      <c r="AP82" s="5">
        <f>IF(AND(AM82,ISNUMBER(correlation!$F$29)),AO82*correlation!$F$29+correlation!$G$29,"")</f>
        <v/>
      </c>
      <c r="AQ82" s="5">
        <f>IF(AND(AM82,ISNUMBER(AP82)),(AN82-AP82)^2,"")</f>
        <v/>
      </c>
      <c r="AR82" s="5">
        <f>IF(AM82,1+SUMPRODUCT(--(calc!$AM$3:$AM$306=TRUE),--(calc!$AN$3:$AN$306&gt;AN82))+(SUMPRODUCT(--(calc!$AM$3:$AM$306=TRUE),--(calc!$AN$3:$AN$306=AN82))-1)/2,"")</f>
        <v/>
      </c>
      <c r="AS82" s="5">
        <f>IF(AM82,1+SUMPRODUCT(--(calc!$AM$3:$AM$306=TRUE),--(calc!$AO$3:$AO$306&gt;AO82))+(SUMPRODUCT(--(calc!$AM$3:$AM$306=TRUE),--(calc!$AO$3:$AO$306=AO82))-1)/2,"")</f>
        <v/>
      </c>
      <c r="AT82" s="5">
        <f>IF(AM82,SUMPRODUCT(--(calc!$AM$3:$AM$306=TRUE),--(ROW(calc!$AM$3:$AM$306)&gt;ROW(AM82)),--(((calc!$AR$3:$AR$306&gt;AR82)*(calc!$AS$3:$AS$306&gt;AS82)+(calc!$AR$3:$AR$306&lt;AR82)*(calc!$AS$3:$AS$306&lt;AS82))&gt;0))-SUMPRODUCT(--(calc!$AM$3:$AM$306=TRUE),--(ROW(calc!$AM$3:$AM$306)&gt;ROW(AM82)),--(((calc!$AR$3:$AR$306&gt;AR82)*(calc!$AS$3:$AS$306&lt;AS82)+(calc!$AR$3:$AR$306&lt;AR82)*(calc!$AS$3:$AS$306&gt;AS82))&gt;0)),0)</f>
        <v/>
      </c>
      <c r="AU82" s="5">
        <f>IF(mos_metrics!K81="","",mos_metrics!K81)</f>
        <v/>
      </c>
      <c r="AV82" s="2">
        <f>AND($J82,ISNUMBER(AU82),correlation!$I$30=1)</f>
        <v/>
      </c>
      <c r="AW82" s="5">
        <f>IF(AV82,$F82,"")</f>
        <v/>
      </c>
      <c r="AX82" s="5">
        <f>IF(AV82,AU82*correlation!$J$30,"")</f>
        <v/>
      </c>
      <c r="AY82" s="5">
        <f>IF(AND(AV82,ISNUMBER(correlation!$F$30)),AX82*correlation!$F$30+correlation!$G$30,"")</f>
        <v/>
      </c>
      <c r="AZ82" s="5">
        <f>IF(AND(AV82,ISNUMBER(AY82)),(AW82-AY82)^2,"")</f>
        <v/>
      </c>
      <c r="BA82" s="5">
        <f>IF(AV82,1+SUMPRODUCT(--(calc!$AV$3:$AV$306=TRUE),--(calc!$AW$3:$AW$306&gt;AW82))+(SUMPRODUCT(--(calc!$AV$3:$AV$306=TRUE),--(calc!$AW$3:$AW$306=AW82))-1)/2,"")</f>
        <v/>
      </c>
      <c r="BB82" s="5">
        <f>IF(AV82,1+SUMPRODUCT(--(calc!$AV$3:$AV$306=TRUE),--(calc!$AX$3:$AX$306&gt;AX82))+(SUMPRODUCT(--(calc!$AV$3:$AV$306=TRUE),--(calc!$AX$3:$AX$306=AX82))-1)/2,"")</f>
        <v/>
      </c>
      <c r="BC82" s="5">
        <f>IF(AV82,SUMPRODUCT(--(calc!$AV$3:$AV$306=TRUE),--(ROW(calc!$AV$3:$AV$306)&gt;ROW(AV82)),--(((calc!$BA$3:$BA$306&gt;BA82)*(calc!$BB$3:$BB$306&gt;BB82)+(calc!$BA$3:$BA$306&lt;BA82)*(calc!$BB$3:$BB$306&lt;BB82))&gt;0))-SUMPRODUCT(--(calc!$AV$3:$AV$306=TRUE),--(ROW(calc!$AV$3:$AV$306)&gt;ROW(AV82)),--(((calc!$BA$3:$BA$306&gt;BA82)*(calc!$BB$3:$BB$306&lt;BB82)+(calc!$BA$3:$BA$306&lt;BA82)*(calc!$BB$3:$BB$306&gt;BB82))&gt;0)),0)</f>
        <v/>
      </c>
      <c r="BD82" s="5">
        <f>IF(mos_metrics!L81="","",mos_metrics!L81)</f>
        <v/>
      </c>
      <c r="BE82" s="2">
        <f>AND($J82,ISNUMBER(BD82),correlation!$I$31=1)</f>
        <v/>
      </c>
      <c r="BF82" s="5">
        <f>IF(BE82,$F82,"")</f>
        <v/>
      </c>
      <c r="BG82" s="5">
        <f>IF(BE82,BD82*correlation!$J$31,"")</f>
        <v/>
      </c>
      <c r="BH82" s="5">
        <f>IF(AND(BE82,ISNUMBER(correlation!$F$31)),BG82*correlation!$F$31+correlation!$G$31,"")</f>
        <v/>
      </c>
      <c r="BI82" s="5">
        <f>IF(AND(BE82,ISNUMBER(BH82)),(BF82-BH82)^2,"")</f>
        <v/>
      </c>
      <c r="BJ82" s="5">
        <f>IF(BE82,1+SUMPRODUCT(--(calc!$BE$3:$BE$306=TRUE),--(calc!$BF$3:$BF$306&gt;BF82))+(SUMPRODUCT(--(calc!$BE$3:$BE$306=TRUE),--(calc!$BF$3:$BF$306=BF82))-1)/2,"")</f>
        <v/>
      </c>
      <c r="BK82" s="5">
        <f>IF(BE82,1+SUMPRODUCT(--(calc!$BE$3:$BE$306=TRUE),--(calc!$BG$3:$BG$306&gt;BG82))+(SUMPRODUCT(--(calc!$BE$3:$BE$306=TRUE),--(calc!$BG$3:$BG$306=BG82))-1)/2,"")</f>
        <v/>
      </c>
      <c r="BL82" s="5">
        <f>IF(BE82,SUMPRODUCT(--(calc!$BE$3:$BE$306=TRUE),--(ROW(calc!$BE$3:$BE$306)&gt;ROW(BE82)),--(((calc!$BJ$3:$BJ$306&gt;BJ82)*(calc!$BK$3:$BK$306&gt;BK82)+(calc!$BJ$3:$BJ$306&lt;BJ82)*(calc!$BK$3:$BK$306&lt;BK82))&gt;0))-SUMPRODUCT(--(calc!$BE$3:$BE$306=TRUE),--(ROW(calc!$BE$3:$BE$306)&gt;ROW(BE82)),--(((calc!$BJ$3:$BJ$306&gt;BJ82)*(calc!$BK$3:$BK$306&lt;BK82)+(calc!$BJ$3:$BJ$306&lt;BJ82)*(calc!$BK$3:$BK$306&gt;BK82))&gt;0)),0)</f>
        <v/>
      </c>
      <c r="BM82" s="5">
        <f>IF(mos_metrics!M81="","",mos_metrics!M81)</f>
        <v/>
      </c>
      <c r="BN82" s="2">
        <f>AND($J82,ISNUMBER(BM82),correlation!$I$32=1)</f>
        <v/>
      </c>
      <c r="BO82" s="5">
        <f>IF(BN82,$F82,"")</f>
        <v/>
      </c>
      <c r="BP82" s="5">
        <f>IF(BN82,BM82*correlation!$J$32,"")</f>
        <v/>
      </c>
      <c r="BQ82" s="5">
        <f>IF(AND(BN82,ISNUMBER(correlation!$F$32)),BP82*correlation!$F$32+correlation!$G$32,"")</f>
        <v/>
      </c>
      <c r="BR82" s="5">
        <f>IF(AND(BN82,ISNUMBER(BQ82)),(BO82-BQ82)^2,"")</f>
        <v/>
      </c>
      <c r="BS82" s="5">
        <f>IF(BN82,1+SUMPRODUCT(--(calc!$BN$3:$BN$306=TRUE),--(calc!$BO$3:$BO$306&gt;BO82))+(SUMPRODUCT(--(calc!$BN$3:$BN$306=TRUE),--(calc!$BO$3:$BO$306=BO82))-1)/2,"")</f>
        <v/>
      </c>
      <c r="BT82" s="5">
        <f>IF(BN82,1+SUMPRODUCT(--(calc!$BN$3:$BN$306=TRUE),--(calc!$BP$3:$BP$306&gt;BP82))+(SUMPRODUCT(--(calc!$BN$3:$BN$306=TRUE),--(calc!$BP$3:$BP$306=BP82))-1)/2,"")</f>
        <v/>
      </c>
      <c r="BU82" s="5">
        <f>IF(BN82,SUMPRODUCT(--(calc!$BN$3:$BN$306=TRUE),--(ROW(calc!$BN$3:$BN$306)&gt;ROW(BN82)),--(((calc!$BS$3:$BS$306&gt;BS82)*(calc!$BT$3:$BT$306&gt;BT82)+(calc!$BS$3:$BS$306&lt;BS82)*(calc!$BT$3:$BT$306&lt;BT82))&gt;0))-SUMPRODUCT(--(calc!$BN$3:$BN$306=TRUE),--(ROW(calc!$BN$3:$BN$306)&gt;ROW(BN82)),--(((calc!$BS$3:$BS$306&gt;BS82)*(calc!$BT$3:$BT$306&lt;BT82)+(calc!$BS$3:$BS$306&lt;BS82)*(calc!$BT$3:$BT$306&gt;BT82))&gt;0)),0)</f>
        <v/>
      </c>
    </row>
    <row r="83">
      <c r="A83" s="2">
        <f>mos_metrics!A82</f>
        <v/>
      </c>
      <c r="B83" s="2">
        <f>mos_metrics!B82</f>
        <v/>
      </c>
      <c r="C83" s="2">
        <f>mos_metrics!C82</f>
        <v/>
      </c>
      <c r="D83" s="2">
        <f>mos_metrics!D82</f>
        <v/>
      </c>
      <c r="E83" s="2">
        <f>mos_metrics!E82</f>
        <v/>
      </c>
      <c r="F83" s="2">
        <f>mos_metrics!F82</f>
        <v/>
      </c>
      <c r="G83" s="2">
        <f>IF($B83="","",IFERROR(VLOOKUP($B83,correlation!$A$2:$B$16,2,FALSE),1))</f>
        <v/>
      </c>
      <c r="H83" s="2">
        <f>IF($E83="","",IFERROR(VLOOKUP($E83,correlation!$D$2:$E$8,2,FALSE),1))</f>
        <v/>
      </c>
      <c r="I83" s="2">
        <f>ISNUMBER($F83)</f>
        <v/>
      </c>
      <c r="J83" s="2">
        <f>AND($G83=1,$H83=1,$I83)</f>
        <v/>
      </c>
      <c r="K83" s="5">
        <f>IF(mos_metrics!G82="","",mos_metrics!G82)</f>
        <v/>
      </c>
      <c r="L83" s="2">
        <f>AND($J83,ISNUMBER(K83),correlation!$I$26=1)</f>
        <v/>
      </c>
      <c r="M83" s="5">
        <f>IF(L83,$F83,"")</f>
        <v/>
      </c>
      <c r="N83" s="5">
        <f>IF(L83,K83*correlation!$J$26,"")</f>
        <v/>
      </c>
      <c r="O83" s="5">
        <f>IF(AND(L83,ISNUMBER(correlation!$F$26)),N83*correlation!$F$26+correlation!$G$26,"")</f>
        <v/>
      </c>
      <c r="P83" s="5">
        <f>IF(AND(L83,ISNUMBER(O83)),(M83-O83)^2,"")</f>
        <v/>
      </c>
      <c r="Q83" s="5">
        <f>IF(L83,1+SUMPRODUCT(--(calc!$L$3:$L$306=TRUE),--(calc!$M$3:$M$306&gt;M83))+(SUMPRODUCT(--(calc!$L$3:$L$306=TRUE),--(calc!$M$3:$M$306=M83))-1)/2,"")</f>
        <v/>
      </c>
      <c r="R83" s="5">
        <f>IF(L83,1+SUMPRODUCT(--(calc!$L$3:$L$306=TRUE),--(calc!$N$3:$N$306&gt;N83))+(SUMPRODUCT(--(calc!$L$3:$L$306=TRUE),--(calc!$N$3:$N$306=N83))-1)/2,"")</f>
        <v/>
      </c>
      <c r="S83" s="5">
        <f>IF(L83,SUMPRODUCT(--(calc!$L$3:$L$306=TRUE),--(ROW(calc!$L$3:$L$306)&gt;ROW(L83)),--(((calc!$Q$3:$Q$306&gt;Q83)*(calc!$R$3:$R$306&gt;R83)+(calc!$Q$3:$Q$306&lt;Q83)*(calc!$R$3:$R$306&lt;R83))&gt;0))-SUMPRODUCT(--(calc!$L$3:$L$306=TRUE),--(ROW(calc!$L$3:$L$306)&gt;ROW(L83)),--(((calc!$Q$3:$Q$306&gt;Q83)*(calc!$R$3:$R$306&lt;R83)+(calc!$Q$3:$Q$306&lt;Q83)*(calc!$R$3:$R$306&gt;R83))&gt;0)),0)</f>
        <v/>
      </c>
      <c r="T83" s="5">
        <f>IF(mos_metrics!H82="","",mos_metrics!H82)</f>
        <v/>
      </c>
      <c r="U83" s="2">
        <f>AND($J83,ISNUMBER(T83),correlation!$I$27=1)</f>
        <v/>
      </c>
      <c r="V83" s="5">
        <f>IF(U83,$F83,"")</f>
        <v/>
      </c>
      <c r="W83" s="5">
        <f>IF(U83,T83*correlation!$J$27,"")</f>
        <v/>
      </c>
      <c r="X83" s="5">
        <f>IF(AND(U83,ISNUMBER(correlation!$F$27)),W83*correlation!$F$27+correlation!$G$27,"")</f>
        <v/>
      </c>
      <c r="Y83" s="5">
        <f>IF(AND(U83,ISNUMBER(X83)),(V83-X83)^2,"")</f>
        <v/>
      </c>
      <c r="Z83" s="5">
        <f>IF(U83,1+SUMPRODUCT(--(calc!$U$3:$U$306=TRUE),--(calc!$V$3:$V$306&gt;V83))+(SUMPRODUCT(--(calc!$U$3:$U$306=TRUE),--(calc!$V$3:$V$306=V83))-1)/2,"")</f>
        <v/>
      </c>
      <c r="AA83" s="5">
        <f>IF(U83,1+SUMPRODUCT(--(calc!$U$3:$U$306=TRUE),--(calc!$W$3:$W$306&gt;W83))+(SUMPRODUCT(--(calc!$U$3:$U$306=TRUE),--(calc!$W$3:$W$306=W83))-1)/2,"")</f>
        <v/>
      </c>
      <c r="AB83" s="5">
        <f>IF(U83,SUMPRODUCT(--(calc!$U$3:$U$306=TRUE),--(ROW(calc!$U$3:$U$306)&gt;ROW(U83)),--(((calc!$Z$3:$Z$306&gt;Z83)*(calc!$AA$3:$AA$306&gt;AA83)+(calc!$Z$3:$Z$306&lt;Z83)*(calc!$AA$3:$AA$306&lt;AA83))&gt;0))-SUMPRODUCT(--(calc!$U$3:$U$306=TRUE),--(ROW(calc!$U$3:$U$306)&gt;ROW(U83)),--(((calc!$Z$3:$Z$306&gt;Z83)*(calc!$AA$3:$AA$306&lt;AA83)+(calc!$Z$3:$Z$306&lt;Z83)*(calc!$AA$3:$AA$306&gt;AA83))&gt;0)),0)</f>
        <v/>
      </c>
      <c r="AC83" s="5">
        <f>IF(mos_metrics!I82="","",mos_metrics!I82)</f>
        <v/>
      </c>
      <c r="AD83" s="2">
        <f>AND($J83,ISNUMBER(AC83),correlation!$I$28=1)</f>
        <v/>
      </c>
      <c r="AE83" s="5">
        <f>IF(AD83,$F83,"")</f>
        <v/>
      </c>
      <c r="AF83" s="5">
        <f>IF(AD83,AC83*correlation!$J$28,"")</f>
        <v/>
      </c>
      <c r="AG83" s="5">
        <f>IF(AND(AD83,ISNUMBER(correlation!$F$28)),AF83*correlation!$F$28+correlation!$G$28,"")</f>
        <v/>
      </c>
      <c r="AH83" s="5">
        <f>IF(AND(AD83,ISNUMBER(AG83)),(AE83-AG83)^2,"")</f>
        <v/>
      </c>
      <c r="AI83" s="5">
        <f>IF(AD83,1+SUMPRODUCT(--(calc!$AD$3:$AD$306=TRUE),--(calc!$AE$3:$AE$306&gt;AE83))+(SUMPRODUCT(--(calc!$AD$3:$AD$306=TRUE),--(calc!$AE$3:$AE$306=AE83))-1)/2,"")</f>
        <v/>
      </c>
      <c r="AJ83" s="5">
        <f>IF(AD83,1+SUMPRODUCT(--(calc!$AD$3:$AD$306=TRUE),--(calc!$AF$3:$AF$306&gt;AF83))+(SUMPRODUCT(--(calc!$AD$3:$AD$306=TRUE),--(calc!$AF$3:$AF$306=AF83))-1)/2,"")</f>
        <v/>
      </c>
      <c r="AK83" s="5">
        <f>IF(AD83,SUMPRODUCT(--(calc!$AD$3:$AD$306=TRUE),--(ROW(calc!$AD$3:$AD$306)&gt;ROW(AD83)),--(((calc!$AI$3:$AI$306&gt;AI83)*(calc!$AJ$3:$AJ$306&gt;AJ83)+(calc!$AI$3:$AI$306&lt;AI83)*(calc!$AJ$3:$AJ$306&lt;AJ83))&gt;0))-SUMPRODUCT(--(calc!$AD$3:$AD$306=TRUE),--(ROW(calc!$AD$3:$AD$306)&gt;ROW(AD83)),--(((calc!$AI$3:$AI$306&gt;AI83)*(calc!$AJ$3:$AJ$306&lt;AJ83)+(calc!$AI$3:$AI$306&lt;AI83)*(calc!$AJ$3:$AJ$306&gt;AJ83))&gt;0)),0)</f>
        <v/>
      </c>
      <c r="AL83" s="5">
        <f>IF(mos_metrics!J82="","",mos_metrics!J82)</f>
        <v/>
      </c>
      <c r="AM83" s="2">
        <f>AND($J83,ISNUMBER(AL83),correlation!$I$29=1)</f>
        <v/>
      </c>
      <c r="AN83" s="5">
        <f>IF(AM83,$F83,"")</f>
        <v/>
      </c>
      <c r="AO83" s="5">
        <f>IF(AM83,AL83*correlation!$J$29,"")</f>
        <v/>
      </c>
      <c r="AP83" s="5">
        <f>IF(AND(AM83,ISNUMBER(correlation!$F$29)),AO83*correlation!$F$29+correlation!$G$29,"")</f>
        <v/>
      </c>
      <c r="AQ83" s="5">
        <f>IF(AND(AM83,ISNUMBER(AP83)),(AN83-AP83)^2,"")</f>
        <v/>
      </c>
      <c r="AR83" s="5">
        <f>IF(AM83,1+SUMPRODUCT(--(calc!$AM$3:$AM$306=TRUE),--(calc!$AN$3:$AN$306&gt;AN83))+(SUMPRODUCT(--(calc!$AM$3:$AM$306=TRUE),--(calc!$AN$3:$AN$306=AN83))-1)/2,"")</f>
        <v/>
      </c>
      <c r="AS83" s="5">
        <f>IF(AM83,1+SUMPRODUCT(--(calc!$AM$3:$AM$306=TRUE),--(calc!$AO$3:$AO$306&gt;AO83))+(SUMPRODUCT(--(calc!$AM$3:$AM$306=TRUE),--(calc!$AO$3:$AO$306=AO83))-1)/2,"")</f>
        <v/>
      </c>
      <c r="AT83" s="5">
        <f>IF(AM83,SUMPRODUCT(--(calc!$AM$3:$AM$306=TRUE),--(ROW(calc!$AM$3:$AM$306)&gt;ROW(AM83)),--(((calc!$AR$3:$AR$306&gt;AR83)*(calc!$AS$3:$AS$306&gt;AS83)+(calc!$AR$3:$AR$306&lt;AR83)*(calc!$AS$3:$AS$306&lt;AS83))&gt;0))-SUMPRODUCT(--(calc!$AM$3:$AM$306=TRUE),--(ROW(calc!$AM$3:$AM$306)&gt;ROW(AM83)),--(((calc!$AR$3:$AR$306&gt;AR83)*(calc!$AS$3:$AS$306&lt;AS83)+(calc!$AR$3:$AR$306&lt;AR83)*(calc!$AS$3:$AS$306&gt;AS83))&gt;0)),0)</f>
        <v/>
      </c>
      <c r="AU83" s="5">
        <f>IF(mos_metrics!K82="","",mos_metrics!K82)</f>
        <v/>
      </c>
      <c r="AV83" s="2">
        <f>AND($J83,ISNUMBER(AU83),correlation!$I$30=1)</f>
        <v/>
      </c>
      <c r="AW83" s="5">
        <f>IF(AV83,$F83,"")</f>
        <v/>
      </c>
      <c r="AX83" s="5">
        <f>IF(AV83,AU83*correlation!$J$30,"")</f>
        <v/>
      </c>
      <c r="AY83" s="5">
        <f>IF(AND(AV83,ISNUMBER(correlation!$F$30)),AX83*correlation!$F$30+correlation!$G$30,"")</f>
        <v/>
      </c>
      <c r="AZ83" s="5">
        <f>IF(AND(AV83,ISNUMBER(AY83)),(AW83-AY83)^2,"")</f>
        <v/>
      </c>
      <c r="BA83" s="5">
        <f>IF(AV83,1+SUMPRODUCT(--(calc!$AV$3:$AV$306=TRUE),--(calc!$AW$3:$AW$306&gt;AW83))+(SUMPRODUCT(--(calc!$AV$3:$AV$306=TRUE),--(calc!$AW$3:$AW$306=AW83))-1)/2,"")</f>
        <v/>
      </c>
      <c r="BB83" s="5">
        <f>IF(AV83,1+SUMPRODUCT(--(calc!$AV$3:$AV$306=TRUE),--(calc!$AX$3:$AX$306&gt;AX83))+(SUMPRODUCT(--(calc!$AV$3:$AV$306=TRUE),--(calc!$AX$3:$AX$306=AX83))-1)/2,"")</f>
        <v/>
      </c>
      <c r="BC83" s="5">
        <f>IF(AV83,SUMPRODUCT(--(calc!$AV$3:$AV$306=TRUE),--(ROW(calc!$AV$3:$AV$306)&gt;ROW(AV83)),--(((calc!$BA$3:$BA$306&gt;BA83)*(calc!$BB$3:$BB$306&gt;BB83)+(calc!$BA$3:$BA$306&lt;BA83)*(calc!$BB$3:$BB$306&lt;BB83))&gt;0))-SUMPRODUCT(--(calc!$AV$3:$AV$306=TRUE),--(ROW(calc!$AV$3:$AV$306)&gt;ROW(AV83)),--(((calc!$BA$3:$BA$306&gt;BA83)*(calc!$BB$3:$BB$306&lt;BB83)+(calc!$BA$3:$BA$306&lt;BA83)*(calc!$BB$3:$BB$306&gt;BB83))&gt;0)),0)</f>
        <v/>
      </c>
      <c r="BD83" s="5">
        <f>IF(mos_metrics!L82="","",mos_metrics!L82)</f>
        <v/>
      </c>
      <c r="BE83" s="2">
        <f>AND($J83,ISNUMBER(BD83),correlation!$I$31=1)</f>
        <v/>
      </c>
      <c r="BF83" s="5">
        <f>IF(BE83,$F83,"")</f>
        <v/>
      </c>
      <c r="BG83" s="5">
        <f>IF(BE83,BD83*correlation!$J$31,"")</f>
        <v/>
      </c>
      <c r="BH83" s="5">
        <f>IF(AND(BE83,ISNUMBER(correlation!$F$31)),BG83*correlation!$F$31+correlation!$G$31,"")</f>
        <v/>
      </c>
      <c r="BI83" s="5">
        <f>IF(AND(BE83,ISNUMBER(BH83)),(BF83-BH83)^2,"")</f>
        <v/>
      </c>
      <c r="BJ83" s="5">
        <f>IF(BE83,1+SUMPRODUCT(--(calc!$BE$3:$BE$306=TRUE),--(calc!$BF$3:$BF$306&gt;BF83))+(SUMPRODUCT(--(calc!$BE$3:$BE$306=TRUE),--(calc!$BF$3:$BF$306=BF83))-1)/2,"")</f>
        <v/>
      </c>
      <c r="BK83" s="5">
        <f>IF(BE83,1+SUMPRODUCT(--(calc!$BE$3:$BE$306=TRUE),--(calc!$BG$3:$BG$306&gt;BG83))+(SUMPRODUCT(--(calc!$BE$3:$BE$306=TRUE),--(calc!$BG$3:$BG$306=BG83))-1)/2,"")</f>
        <v/>
      </c>
      <c r="BL83" s="5">
        <f>IF(BE83,SUMPRODUCT(--(calc!$BE$3:$BE$306=TRUE),--(ROW(calc!$BE$3:$BE$306)&gt;ROW(BE83)),--(((calc!$BJ$3:$BJ$306&gt;BJ83)*(calc!$BK$3:$BK$306&gt;BK83)+(calc!$BJ$3:$BJ$306&lt;BJ83)*(calc!$BK$3:$BK$306&lt;BK83))&gt;0))-SUMPRODUCT(--(calc!$BE$3:$BE$306=TRUE),--(ROW(calc!$BE$3:$BE$306)&gt;ROW(BE83)),--(((calc!$BJ$3:$BJ$306&gt;BJ83)*(calc!$BK$3:$BK$306&lt;BK83)+(calc!$BJ$3:$BJ$306&lt;BJ83)*(calc!$BK$3:$BK$306&gt;BK83))&gt;0)),0)</f>
        <v/>
      </c>
      <c r="BM83" s="5">
        <f>IF(mos_metrics!M82="","",mos_metrics!M82)</f>
        <v/>
      </c>
      <c r="BN83" s="2">
        <f>AND($J83,ISNUMBER(BM83),correlation!$I$32=1)</f>
        <v/>
      </c>
      <c r="BO83" s="5">
        <f>IF(BN83,$F83,"")</f>
        <v/>
      </c>
      <c r="BP83" s="5">
        <f>IF(BN83,BM83*correlation!$J$32,"")</f>
        <v/>
      </c>
      <c r="BQ83" s="5">
        <f>IF(AND(BN83,ISNUMBER(correlation!$F$32)),BP83*correlation!$F$32+correlation!$G$32,"")</f>
        <v/>
      </c>
      <c r="BR83" s="5">
        <f>IF(AND(BN83,ISNUMBER(BQ83)),(BO83-BQ83)^2,"")</f>
        <v/>
      </c>
      <c r="BS83" s="5">
        <f>IF(BN83,1+SUMPRODUCT(--(calc!$BN$3:$BN$306=TRUE),--(calc!$BO$3:$BO$306&gt;BO83))+(SUMPRODUCT(--(calc!$BN$3:$BN$306=TRUE),--(calc!$BO$3:$BO$306=BO83))-1)/2,"")</f>
        <v/>
      </c>
      <c r="BT83" s="5">
        <f>IF(BN83,1+SUMPRODUCT(--(calc!$BN$3:$BN$306=TRUE),--(calc!$BP$3:$BP$306&gt;BP83))+(SUMPRODUCT(--(calc!$BN$3:$BN$306=TRUE),--(calc!$BP$3:$BP$306=BP83))-1)/2,"")</f>
        <v/>
      </c>
      <c r="BU83" s="5">
        <f>IF(BN83,SUMPRODUCT(--(calc!$BN$3:$BN$306=TRUE),--(ROW(calc!$BN$3:$BN$306)&gt;ROW(BN83)),--(((calc!$BS$3:$BS$306&gt;BS83)*(calc!$BT$3:$BT$306&gt;BT83)+(calc!$BS$3:$BS$306&lt;BS83)*(calc!$BT$3:$BT$306&lt;BT83))&gt;0))-SUMPRODUCT(--(calc!$BN$3:$BN$306=TRUE),--(ROW(calc!$BN$3:$BN$306)&gt;ROW(BN83)),--(((calc!$BS$3:$BS$306&gt;BS83)*(calc!$BT$3:$BT$306&lt;BT83)+(calc!$BS$3:$BS$306&lt;BS83)*(calc!$BT$3:$BT$306&gt;BT83))&gt;0)),0)</f>
        <v/>
      </c>
    </row>
    <row r="84">
      <c r="A84" s="2">
        <f>mos_metrics!A83</f>
        <v/>
      </c>
      <c r="B84" s="2">
        <f>mos_metrics!B83</f>
        <v/>
      </c>
      <c r="C84" s="2">
        <f>mos_metrics!C83</f>
        <v/>
      </c>
      <c r="D84" s="2">
        <f>mos_metrics!D83</f>
        <v/>
      </c>
      <c r="E84" s="2">
        <f>mos_metrics!E83</f>
        <v/>
      </c>
      <c r="F84" s="2">
        <f>mos_metrics!F83</f>
        <v/>
      </c>
      <c r="G84" s="2">
        <f>IF($B84="","",IFERROR(VLOOKUP($B84,correlation!$A$2:$B$16,2,FALSE),1))</f>
        <v/>
      </c>
      <c r="H84" s="2">
        <f>IF($E84="","",IFERROR(VLOOKUP($E84,correlation!$D$2:$E$8,2,FALSE),1))</f>
        <v/>
      </c>
      <c r="I84" s="2">
        <f>ISNUMBER($F84)</f>
        <v/>
      </c>
      <c r="J84" s="2">
        <f>AND($G84=1,$H84=1,$I84)</f>
        <v/>
      </c>
      <c r="K84" s="5">
        <f>IF(mos_metrics!G83="","",mos_metrics!G83)</f>
        <v/>
      </c>
      <c r="L84" s="2">
        <f>AND($J84,ISNUMBER(K84),correlation!$I$26=1)</f>
        <v/>
      </c>
      <c r="M84" s="5">
        <f>IF(L84,$F84,"")</f>
        <v/>
      </c>
      <c r="N84" s="5">
        <f>IF(L84,K84*correlation!$J$26,"")</f>
        <v/>
      </c>
      <c r="O84" s="5">
        <f>IF(AND(L84,ISNUMBER(correlation!$F$26)),N84*correlation!$F$26+correlation!$G$26,"")</f>
        <v/>
      </c>
      <c r="P84" s="5">
        <f>IF(AND(L84,ISNUMBER(O84)),(M84-O84)^2,"")</f>
        <v/>
      </c>
      <c r="Q84" s="5">
        <f>IF(L84,1+SUMPRODUCT(--(calc!$L$3:$L$306=TRUE),--(calc!$M$3:$M$306&gt;M84))+(SUMPRODUCT(--(calc!$L$3:$L$306=TRUE),--(calc!$M$3:$M$306=M84))-1)/2,"")</f>
        <v/>
      </c>
      <c r="R84" s="5">
        <f>IF(L84,1+SUMPRODUCT(--(calc!$L$3:$L$306=TRUE),--(calc!$N$3:$N$306&gt;N84))+(SUMPRODUCT(--(calc!$L$3:$L$306=TRUE),--(calc!$N$3:$N$306=N84))-1)/2,"")</f>
        <v/>
      </c>
      <c r="S84" s="5">
        <f>IF(L84,SUMPRODUCT(--(calc!$L$3:$L$306=TRUE),--(ROW(calc!$L$3:$L$306)&gt;ROW(L84)),--(((calc!$Q$3:$Q$306&gt;Q84)*(calc!$R$3:$R$306&gt;R84)+(calc!$Q$3:$Q$306&lt;Q84)*(calc!$R$3:$R$306&lt;R84))&gt;0))-SUMPRODUCT(--(calc!$L$3:$L$306=TRUE),--(ROW(calc!$L$3:$L$306)&gt;ROW(L84)),--(((calc!$Q$3:$Q$306&gt;Q84)*(calc!$R$3:$R$306&lt;R84)+(calc!$Q$3:$Q$306&lt;Q84)*(calc!$R$3:$R$306&gt;R84))&gt;0)),0)</f>
        <v/>
      </c>
      <c r="T84" s="5">
        <f>IF(mos_metrics!H83="","",mos_metrics!H83)</f>
        <v/>
      </c>
      <c r="U84" s="2">
        <f>AND($J84,ISNUMBER(T84),correlation!$I$27=1)</f>
        <v/>
      </c>
      <c r="V84" s="5">
        <f>IF(U84,$F84,"")</f>
        <v/>
      </c>
      <c r="W84" s="5">
        <f>IF(U84,T84*correlation!$J$27,"")</f>
        <v/>
      </c>
      <c r="X84" s="5">
        <f>IF(AND(U84,ISNUMBER(correlation!$F$27)),W84*correlation!$F$27+correlation!$G$27,"")</f>
        <v/>
      </c>
      <c r="Y84" s="5">
        <f>IF(AND(U84,ISNUMBER(X84)),(V84-X84)^2,"")</f>
        <v/>
      </c>
      <c r="Z84" s="5">
        <f>IF(U84,1+SUMPRODUCT(--(calc!$U$3:$U$306=TRUE),--(calc!$V$3:$V$306&gt;V84))+(SUMPRODUCT(--(calc!$U$3:$U$306=TRUE),--(calc!$V$3:$V$306=V84))-1)/2,"")</f>
        <v/>
      </c>
      <c r="AA84" s="5">
        <f>IF(U84,1+SUMPRODUCT(--(calc!$U$3:$U$306=TRUE),--(calc!$W$3:$W$306&gt;W84))+(SUMPRODUCT(--(calc!$U$3:$U$306=TRUE),--(calc!$W$3:$W$306=W84))-1)/2,"")</f>
        <v/>
      </c>
      <c r="AB84" s="5">
        <f>IF(U84,SUMPRODUCT(--(calc!$U$3:$U$306=TRUE),--(ROW(calc!$U$3:$U$306)&gt;ROW(U84)),--(((calc!$Z$3:$Z$306&gt;Z84)*(calc!$AA$3:$AA$306&gt;AA84)+(calc!$Z$3:$Z$306&lt;Z84)*(calc!$AA$3:$AA$306&lt;AA84))&gt;0))-SUMPRODUCT(--(calc!$U$3:$U$306=TRUE),--(ROW(calc!$U$3:$U$306)&gt;ROW(U84)),--(((calc!$Z$3:$Z$306&gt;Z84)*(calc!$AA$3:$AA$306&lt;AA84)+(calc!$Z$3:$Z$306&lt;Z84)*(calc!$AA$3:$AA$306&gt;AA84))&gt;0)),0)</f>
        <v/>
      </c>
      <c r="AC84" s="5">
        <f>IF(mos_metrics!I83="","",mos_metrics!I83)</f>
        <v/>
      </c>
      <c r="AD84" s="2">
        <f>AND($J84,ISNUMBER(AC84),correlation!$I$28=1)</f>
        <v/>
      </c>
      <c r="AE84" s="5">
        <f>IF(AD84,$F84,"")</f>
        <v/>
      </c>
      <c r="AF84" s="5">
        <f>IF(AD84,AC84*correlation!$J$28,"")</f>
        <v/>
      </c>
      <c r="AG84" s="5">
        <f>IF(AND(AD84,ISNUMBER(correlation!$F$28)),AF84*correlation!$F$28+correlation!$G$28,"")</f>
        <v/>
      </c>
      <c r="AH84" s="5">
        <f>IF(AND(AD84,ISNUMBER(AG84)),(AE84-AG84)^2,"")</f>
        <v/>
      </c>
      <c r="AI84" s="5">
        <f>IF(AD84,1+SUMPRODUCT(--(calc!$AD$3:$AD$306=TRUE),--(calc!$AE$3:$AE$306&gt;AE84))+(SUMPRODUCT(--(calc!$AD$3:$AD$306=TRUE),--(calc!$AE$3:$AE$306=AE84))-1)/2,"")</f>
        <v/>
      </c>
      <c r="AJ84" s="5">
        <f>IF(AD84,1+SUMPRODUCT(--(calc!$AD$3:$AD$306=TRUE),--(calc!$AF$3:$AF$306&gt;AF84))+(SUMPRODUCT(--(calc!$AD$3:$AD$306=TRUE),--(calc!$AF$3:$AF$306=AF84))-1)/2,"")</f>
        <v/>
      </c>
      <c r="AK84" s="5">
        <f>IF(AD84,SUMPRODUCT(--(calc!$AD$3:$AD$306=TRUE),--(ROW(calc!$AD$3:$AD$306)&gt;ROW(AD84)),--(((calc!$AI$3:$AI$306&gt;AI84)*(calc!$AJ$3:$AJ$306&gt;AJ84)+(calc!$AI$3:$AI$306&lt;AI84)*(calc!$AJ$3:$AJ$306&lt;AJ84))&gt;0))-SUMPRODUCT(--(calc!$AD$3:$AD$306=TRUE),--(ROW(calc!$AD$3:$AD$306)&gt;ROW(AD84)),--(((calc!$AI$3:$AI$306&gt;AI84)*(calc!$AJ$3:$AJ$306&lt;AJ84)+(calc!$AI$3:$AI$306&lt;AI84)*(calc!$AJ$3:$AJ$306&gt;AJ84))&gt;0)),0)</f>
        <v/>
      </c>
      <c r="AL84" s="5">
        <f>IF(mos_metrics!J83="","",mos_metrics!J83)</f>
        <v/>
      </c>
      <c r="AM84" s="2">
        <f>AND($J84,ISNUMBER(AL84),correlation!$I$29=1)</f>
        <v/>
      </c>
      <c r="AN84" s="5">
        <f>IF(AM84,$F84,"")</f>
        <v/>
      </c>
      <c r="AO84" s="5">
        <f>IF(AM84,AL84*correlation!$J$29,"")</f>
        <v/>
      </c>
      <c r="AP84" s="5">
        <f>IF(AND(AM84,ISNUMBER(correlation!$F$29)),AO84*correlation!$F$29+correlation!$G$29,"")</f>
        <v/>
      </c>
      <c r="AQ84" s="5">
        <f>IF(AND(AM84,ISNUMBER(AP84)),(AN84-AP84)^2,"")</f>
        <v/>
      </c>
      <c r="AR84" s="5">
        <f>IF(AM84,1+SUMPRODUCT(--(calc!$AM$3:$AM$306=TRUE),--(calc!$AN$3:$AN$306&gt;AN84))+(SUMPRODUCT(--(calc!$AM$3:$AM$306=TRUE),--(calc!$AN$3:$AN$306=AN84))-1)/2,"")</f>
        <v/>
      </c>
      <c r="AS84" s="5">
        <f>IF(AM84,1+SUMPRODUCT(--(calc!$AM$3:$AM$306=TRUE),--(calc!$AO$3:$AO$306&gt;AO84))+(SUMPRODUCT(--(calc!$AM$3:$AM$306=TRUE),--(calc!$AO$3:$AO$306=AO84))-1)/2,"")</f>
        <v/>
      </c>
      <c r="AT84" s="5">
        <f>IF(AM84,SUMPRODUCT(--(calc!$AM$3:$AM$306=TRUE),--(ROW(calc!$AM$3:$AM$306)&gt;ROW(AM84)),--(((calc!$AR$3:$AR$306&gt;AR84)*(calc!$AS$3:$AS$306&gt;AS84)+(calc!$AR$3:$AR$306&lt;AR84)*(calc!$AS$3:$AS$306&lt;AS84))&gt;0))-SUMPRODUCT(--(calc!$AM$3:$AM$306=TRUE),--(ROW(calc!$AM$3:$AM$306)&gt;ROW(AM84)),--(((calc!$AR$3:$AR$306&gt;AR84)*(calc!$AS$3:$AS$306&lt;AS84)+(calc!$AR$3:$AR$306&lt;AR84)*(calc!$AS$3:$AS$306&gt;AS84))&gt;0)),0)</f>
        <v/>
      </c>
      <c r="AU84" s="5">
        <f>IF(mos_metrics!K83="","",mos_metrics!K83)</f>
        <v/>
      </c>
      <c r="AV84" s="2">
        <f>AND($J84,ISNUMBER(AU84),correlation!$I$30=1)</f>
        <v/>
      </c>
      <c r="AW84" s="5">
        <f>IF(AV84,$F84,"")</f>
        <v/>
      </c>
      <c r="AX84" s="5">
        <f>IF(AV84,AU84*correlation!$J$30,"")</f>
        <v/>
      </c>
      <c r="AY84" s="5">
        <f>IF(AND(AV84,ISNUMBER(correlation!$F$30)),AX84*correlation!$F$30+correlation!$G$30,"")</f>
        <v/>
      </c>
      <c r="AZ84" s="5">
        <f>IF(AND(AV84,ISNUMBER(AY84)),(AW84-AY84)^2,"")</f>
        <v/>
      </c>
      <c r="BA84" s="5">
        <f>IF(AV84,1+SUMPRODUCT(--(calc!$AV$3:$AV$306=TRUE),--(calc!$AW$3:$AW$306&gt;AW84))+(SUMPRODUCT(--(calc!$AV$3:$AV$306=TRUE),--(calc!$AW$3:$AW$306=AW84))-1)/2,"")</f>
        <v/>
      </c>
      <c r="BB84" s="5">
        <f>IF(AV84,1+SUMPRODUCT(--(calc!$AV$3:$AV$306=TRUE),--(calc!$AX$3:$AX$306&gt;AX84))+(SUMPRODUCT(--(calc!$AV$3:$AV$306=TRUE),--(calc!$AX$3:$AX$306=AX84))-1)/2,"")</f>
        <v/>
      </c>
      <c r="BC84" s="5">
        <f>IF(AV84,SUMPRODUCT(--(calc!$AV$3:$AV$306=TRUE),--(ROW(calc!$AV$3:$AV$306)&gt;ROW(AV84)),--(((calc!$BA$3:$BA$306&gt;BA84)*(calc!$BB$3:$BB$306&gt;BB84)+(calc!$BA$3:$BA$306&lt;BA84)*(calc!$BB$3:$BB$306&lt;BB84))&gt;0))-SUMPRODUCT(--(calc!$AV$3:$AV$306=TRUE),--(ROW(calc!$AV$3:$AV$306)&gt;ROW(AV84)),--(((calc!$BA$3:$BA$306&gt;BA84)*(calc!$BB$3:$BB$306&lt;BB84)+(calc!$BA$3:$BA$306&lt;BA84)*(calc!$BB$3:$BB$306&gt;BB84))&gt;0)),0)</f>
        <v/>
      </c>
      <c r="BD84" s="5">
        <f>IF(mos_metrics!L83="","",mos_metrics!L83)</f>
        <v/>
      </c>
      <c r="BE84" s="2">
        <f>AND($J84,ISNUMBER(BD84),correlation!$I$31=1)</f>
        <v/>
      </c>
      <c r="BF84" s="5">
        <f>IF(BE84,$F84,"")</f>
        <v/>
      </c>
      <c r="BG84" s="5">
        <f>IF(BE84,BD84*correlation!$J$31,"")</f>
        <v/>
      </c>
      <c r="BH84" s="5">
        <f>IF(AND(BE84,ISNUMBER(correlation!$F$31)),BG84*correlation!$F$31+correlation!$G$31,"")</f>
        <v/>
      </c>
      <c r="BI84" s="5">
        <f>IF(AND(BE84,ISNUMBER(BH84)),(BF84-BH84)^2,"")</f>
        <v/>
      </c>
      <c r="BJ84" s="5">
        <f>IF(BE84,1+SUMPRODUCT(--(calc!$BE$3:$BE$306=TRUE),--(calc!$BF$3:$BF$306&gt;BF84))+(SUMPRODUCT(--(calc!$BE$3:$BE$306=TRUE),--(calc!$BF$3:$BF$306=BF84))-1)/2,"")</f>
        <v/>
      </c>
      <c r="BK84" s="5">
        <f>IF(BE84,1+SUMPRODUCT(--(calc!$BE$3:$BE$306=TRUE),--(calc!$BG$3:$BG$306&gt;BG84))+(SUMPRODUCT(--(calc!$BE$3:$BE$306=TRUE),--(calc!$BG$3:$BG$306=BG84))-1)/2,"")</f>
        <v/>
      </c>
      <c r="BL84" s="5">
        <f>IF(BE84,SUMPRODUCT(--(calc!$BE$3:$BE$306=TRUE),--(ROW(calc!$BE$3:$BE$306)&gt;ROW(BE84)),--(((calc!$BJ$3:$BJ$306&gt;BJ84)*(calc!$BK$3:$BK$306&gt;BK84)+(calc!$BJ$3:$BJ$306&lt;BJ84)*(calc!$BK$3:$BK$306&lt;BK84))&gt;0))-SUMPRODUCT(--(calc!$BE$3:$BE$306=TRUE),--(ROW(calc!$BE$3:$BE$306)&gt;ROW(BE84)),--(((calc!$BJ$3:$BJ$306&gt;BJ84)*(calc!$BK$3:$BK$306&lt;BK84)+(calc!$BJ$3:$BJ$306&lt;BJ84)*(calc!$BK$3:$BK$306&gt;BK84))&gt;0)),0)</f>
        <v/>
      </c>
      <c r="BM84" s="5">
        <f>IF(mos_metrics!M83="","",mos_metrics!M83)</f>
        <v/>
      </c>
      <c r="BN84" s="2">
        <f>AND($J84,ISNUMBER(BM84),correlation!$I$32=1)</f>
        <v/>
      </c>
      <c r="BO84" s="5">
        <f>IF(BN84,$F84,"")</f>
        <v/>
      </c>
      <c r="BP84" s="5">
        <f>IF(BN84,BM84*correlation!$J$32,"")</f>
        <v/>
      </c>
      <c r="BQ84" s="5">
        <f>IF(AND(BN84,ISNUMBER(correlation!$F$32)),BP84*correlation!$F$32+correlation!$G$32,"")</f>
        <v/>
      </c>
      <c r="BR84" s="5">
        <f>IF(AND(BN84,ISNUMBER(BQ84)),(BO84-BQ84)^2,"")</f>
        <v/>
      </c>
      <c r="BS84" s="5">
        <f>IF(BN84,1+SUMPRODUCT(--(calc!$BN$3:$BN$306=TRUE),--(calc!$BO$3:$BO$306&gt;BO84))+(SUMPRODUCT(--(calc!$BN$3:$BN$306=TRUE),--(calc!$BO$3:$BO$306=BO84))-1)/2,"")</f>
        <v/>
      </c>
      <c r="BT84" s="5">
        <f>IF(BN84,1+SUMPRODUCT(--(calc!$BN$3:$BN$306=TRUE),--(calc!$BP$3:$BP$306&gt;BP84))+(SUMPRODUCT(--(calc!$BN$3:$BN$306=TRUE),--(calc!$BP$3:$BP$306=BP84))-1)/2,"")</f>
        <v/>
      </c>
      <c r="BU84" s="5">
        <f>IF(BN84,SUMPRODUCT(--(calc!$BN$3:$BN$306=TRUE),--(ROW(calc!$BN$3:$BN$306)&gt;ROW(BN84)),--(((calc!$BS$3:$BS$306&gt;BS84)*(calc!$BT$3:$BT$306&gt;BT84)+(calc!$BS$3:$BS$306&lt;BS84)*(calc!$BT$3:$BT$306&lt;BT84))&gt;0))-SUMPRODUCT(--(calc!$BN$3:$BN$306=TRUE),--(ROW(calc!$BN$3:$BN$306)&gt;ROW(BN84)),--(((calc!$BS$3:$BS$306&gt;BS84)*(calc!$BT$3:$BT$306&lt;BT84)+(calc!$BS$3:$BS$306&lt;BS84)*(calc!$BT$3:$BT$306&gt;BT84))&gt;0)),0)</f>
        <v/>
      </c>
    </row>
    <row r="85">
      <c r="A85" s="2">
        <f>mos_metrics!A84</f>
        <v/>
      </c>
      <c r="B85" s="2">
        <f>mos_metrics!B84</f>
        <v/>
      </c>
      <c r="C85" s="2">
        <f>mos_metrics!C84</f>
        <v/>
      </c>
      <c r="D85" s="2">
        <f>mos_metrics!D84</f>
        <v/>
      </c>
      <c r="E85" s="2">
        <f>mos_metrics!E84</f>
        <v/>
      </c>
      <c r="F85" s="2">
        <f>mos_metrics!F84</f>
        <v/>
      </c>
      <c r="G85" s="2">
        <f>IF($B85="","",IFERROR(VLOOKUP($B85,correlation!$A$2:$B$16,2,FALSE),1))</f>
        <v/>
      </c>
      <c r="H85" s="2">
        <f>IF($E85="","",IFERROR(VLOOKUP($E85,correlation!$D$2:$E$8,2,FALSE),1))</f>
        <v/>
      </c>
      <c r="I85" s="2">
        <f>ISNUMBER($F85)</f>
        <v/>
      </c>
      <c r="J85" s="2">
        <f>AND($G85=1,$H85=1,$I85)</f>
        <v/>
      </c>
      <c r="K85" s="5">
        <f>IF(mos_metrics!G84="","",mos_metrics!G84)</f>
        <v/>
      </c>
      <c r="L85" s="2">
        <f>AND($J85,ISNUMBER(K85),correlation!$I$26=1)</f>
        <v/>
      </c>
      <c r="M85" s="5">
        <f>IF(L85,$F85,"")</f>
        <v/>
      </c>
      <c r="N85" s="5">
        <f>IF(L85,K85*correlation!$J$26,"")</f>
        <v/>
      </c>
      <c r="O85" s="5">
        <f>IF(AND(L85,ISNUMBER(correlation!$F$26)),N85*correlation!$F$26+correlation!$G$26,"")</f>
        <v/>
      </c>
      <c r="P85" s="5">
        <f>IF(AND(L85,ISNUMBER(O85)),(M85-O85)^2,"")</f>
        <v/>
      </c>
      <c r="Q85" s="5">
        <f>IF(L85,1+SUMPRODUCT(--(calc!$L$3:$L$306=TRUE),--(calc!$M$3:$M$306&gt;M85))+(SUMPRODUCT(--(calc!$L$3:$L$306=TRUE),--(calc!$M$3:$M$306=M85))-1)/2,"")</f>
        <v/>
      </c>
      <c r="R85" s="5">
        <f>IF(L85,1+SUMPRODUCT(--(calc!$L$3:$L$306=TRUE),--(calc!$N$3:$N$306&gt;N85))+(SUMPRODUCT(--(calc!$L$3:$L$306=TRUE),--(calc!$N$3:$N$306=N85))-1)/2,"")</f>
        <v/>
      </c>
      <c r="S85" s="5">
        <f>IF(L85,SUMPRODUCT(--(calc!$L$3:$L$306=TRUE),--(ROW(calc!$L$3:$L$306)&gt;ROW(L85)),--(((calc!$Q$3:$Q$306&gt;Q85)*(calc!$R$3:$R$306&gt;R85)+(calc!$Q$3:$Q$306&lt;Q85)*(calc!$R$3:$R$306&lt;R85))&gt;0))-SUMPRODUCT(--(calc!$L$3:$L$306=TRUE),--(ROW(calc!$L$3:$L$306)&gt;ROW(L85)),--(((calc!$Q$3:$Q$306&gt;Q85)*(calc!$R$3:$R$306&lt;R85)+(calc!$Q$3:$Q$306&lt;Q85)*(calc!$R$3:$R$306&gt;R85))&gt;0)),0)</f>
        <v/>
      </c>
      <c r="T85" s="5">
        <f>IF(mos_metrics!H84="","",mos_metrics!H84)</f>
        <v/>
      </c>
      <c r="U85" s="2">
        <f>AND($J85,ISNUMBER(T85),correlation!$I$27=1)</f>
        <v/>
      </c>
      <c r="V85" s="5">
        <f>IF(U85,$F85,"")</f>
        <v/>
      </c>
      <c r="W85" s="5">
        <f>IF(U85,T85*correlation!$J$27,"")</f>
        <v/>
      </c>
      <c r="X85" s="5">
        <f>IF(AND(U85,ISNUMBER(correlation!$F$27)),W85*correlation!$F$27+correlation!$G$27,"")</f>
        <v/>
      </c>
      <c r="Y85" s="5">
        <f>IF(AND(U85,ISNUMBER(X85)),(V85-X85)^2,"")</f>
        <v/>
      </c>
      <c r="Z85" s="5">
        <f>IF(U85,1+SUMPRODUCT(--(calc!$U$3:$U$306=TRUE),--(calc!$V$3:$V$306&gt;V85))+(SUMPRODUCT(--(calc!$U$3:$U$306=TRUE),--(calc!$V$3:$V$306=V85))-1)/2,"")</f>
        <v/>
      </c>
      <c r="AA85" s="5">
        <f>IF(U85,1+SUMPRODUCT(--(calc!$U$3:$U$306=TRUE),--(calc!$W$3:$W$306&gt;W85))+(SUMPRODUCT(--(calc!$U$3:$U$306=TRUE),--(calc!$W$3:$W$306=W85))-1)/2,"")</f>
        <v/>
      </c>
      <c r="AB85" s="5">
        <f>IF(U85,SUMPRODUCT(--(calc!$U$3:$U$306=TRUE),--(ROW(calc!$U$3:$U$306)&gt;ROW(U85)),--(((calc!$Z$3:$Z$306&gt;Z85)*(calc!$AA$3:$AA$306&gt;AA85)+(calc!$Z$3:$Z$306&lt;Z85)*(calc!$AA$3:$AA$306&lt;AA85))&gt;0))-SUMPRODUCT(--(calc!$U$3:$U$306=TRUE),--(ROW(calc!$U$3:$U$306)&gt;ROW(U85)),--(((calc!$Z$3:$Z$306&gt;Z85)*(calc!$AA$3:$AA$306&lt;AA85)+(calc!$Z$3:$Z$306&lt;Z85)*(calc!$AA$3:$AA$306&gt;AA85))&gt;0)),0)</f>
        <v/>
      </c>
      <c r="AC85" s="5">
        <f>IF(mos_metrics!I84="","",mos_metrics!I84)</f>
        <v/>
      </c>
      <c r="AD85" s="2">
        <f>AND($J85,ISNUMBER(AC85),correlation!$I$28=1)</f>
        <v/>
      </c>
      <c r="AE85" s="5">
        <f>IF(AD85,$F85,"")</f>
        <v/>
      </c>
      <c r="AF85" s="5">
        <f>IF(AD85,AC85*correlation!$J$28,"")</f>
        <v/>
      </c>
      <c r="AG85" s="5">
        <f>IF(AND(AD85,ISNUMBER(correlation!$F$28)),AF85*correlation!$F$28+correlation!$G$28,"")</f>
        <v/>
      </c>
      <c r="AH85" s="5">
        <f>IF(AND(AD85,ISNUMBER(AG85)),(AE85-AG85)^2,"")</f>
        <v/>
      </c>
      <c r="AI85" s="5">
        <f>IF(AD85,1+SUMPRODUCT(--(calc!$AD$3:$AD$306=TRUE),--(calc!$AE$3:$AE$306&gt;AE85))+(SUMPRODUCT(--(calc!$AD$3:$AD$306=TRUE),--(calc!$AE$3:$AE$306=AE85))-1)/2,"")</f>
        <v/>
      </c>
      <c r="AJ85" s="5">
        <f>IF(AD85,1+SUMPRODUCT(--(calc!$AD$3:$AD$306=TRUE),--(calc!$AF$3:$AF$306&gt;AF85))+(SUMPRODUCT(--(calc!$AD$3:$AD$306=TRUE),--(calc!$AF$3:$AF$306=AF85))-1)/2,"")</f>
        <v/>
      </c>
      <c r="AK85" s="5">
        <f>IF(AD85,SUMPRODUCT(--(calc!$AD$3:$AD$306=TRUE),--(ROW(calc!$AD$3:$AD$306)&gt;ROW(AD85)),--(((calc!$AI$3:$AI$306&gt;AI85)*(calc!$AJ$3:$AJ$306&gt;AJ85)+(calc!$AI$3:$AI$306&lt;AI85)*(calc!$AJ$3:$AJ$306&lt;AJ85))&gt;0))-SUMPRODUCT(--(calc!$AD$3:$AD$306=TRUE),--(ROW(calc!$AD$3:$AD$306)&gt;ROW(AD85)),--(((calc!$AI$3:$AI$306&gt;AI85)*(calc!$AJ$3:$AJ$306&lt;AJ85)+(calc!$AI$3:$AI$306&lt;AI85)*(calc!$AJ$3:$AJ$306&gt;AJ85))&gt;0)),0)</f>
        <v/>
      </c>
      <c r="AL85" s="5">
        <f>IF(mos_metrics!J84="","",mos_metrics!J84)</f>
        <v/>
      </c>
      <c r="AM85" s="2">
        <f>AND($J85,ISNUMBER(AL85),correlation!$I$29=1)</f>
        <v/>
      </c>
      <c r="AN85" s="5">
        <f>IF(AM85,$F85,"")</f>
        <v/>
      </c>
      <c r="AO85" s="5">
        <f>IF(AM85,AL85*correlation!$J$29,"")</f>
        <v/>
      </c>
      <c r="AP85" s="5">
        <f>IF(AND(AM85,ISNUMBER(correlation!$F$29)),AO85*correlation!$F$29+correlation!$G$29,"")</f>
        <v/>
      </c>
      <c r="AQ85" s="5">
        <f>IF(AND(AM85,ISNUMBER(AP85)),(AN85-AP85)^2,"")</f>
        <v/>
      </c>
      <c r="AR85" s="5">
        <f>IF(AM85,1+SUMPRODUCT(--(calc!$AM$3:$AM$306=TRUE),--(calc!$AN$3:$AN$306&gt;AN85))+(SUMPRODUCT(--(calc!$AM$3:$AM$306=TRUE),--(calc!$AN$3:$AN$306=AN85))-1)/2,"")</f>
        <v/>
      </c>
      <c r="AS85" s="5">
        <f>IF(AM85,1+SUMPRODUCT(--(calc!$AM$3:$AM$306=TRUE),--(calc!$AO$3:$AO$306&gt;AO85))+(SUMPRODUCT(--(calc!$AM$3:$AM$306=TRUE),--(calc!$AO$3:$AO$306=AO85))-1)/2,"")</f>
        <v/>
      </c>
      <c r="AT85" s="5">
        <f>IF(AM85,SUMPRODUCT(--(calc!$AM$3:$AM$306=TRUE),--(ROW(calc!$AM$3:$AM$306)&gt;ROW(AM85)),--(((calc!$AR$3:$AR$306&gt;AR85)*(calc!$AS$3:$AS$306&gt;AS85)+(calc!$AR$3:$AR$306&lt;AR85)*(calc!$AS$3:$AS$306&lt;AS85))&gt;0))-SUMPRODUCT(--(calc!$AM$3:$AM$306=TRUE),--(ROW(calc!$AM$3:$AM$306)&gt;ROW(AM85)),--(((calc!$AR$3:$AR$306&gt;AR85)*(calc!$AS$3:$AS$306&lt;AS85)+(calc!$AR$3:$AR$306&lt;AR85)*(calc!$AS$3:$AS$306&gt;AS85))&gt;0)),0)</f>
        <v/>
      </c>
      <c r="AU85" s="5">
        <f>IF(mos_metrics!K84="","",mos_metrics!K84)</f>
        <v/>
      </c>
      <c r="AV85" s="2">
        <f>AND($J85,ISNUMBER(AU85),correlation!$I$30=1)</f>
        <v/>
      </c>
      <c r="AW85" s="5">
        <f>IF(AV85,$F85,"")</f>
        <v/>
      </c>
      <c r="AX85" s="5">
        <f>IF(AV85,AU85*correlation!$J$30,"")</f>
        <v/>
      </c>
      <c r="AY85" s="5">
        <f>IF(AND(AV85,ISNUMBER(correlation!$F$30)),AX85*correlation!$F$30+correlation!$G$30,"")</f>
        <v/>
      </c>
      <c r="AZ85" s="5">
        <f>IF(AND(AV85,ISNUMBER(AY85)),(AW85-AY85)^2,"")</f>
        <v/>
      </c>
      <c r="BA85" s="5">
        <f>IF(AV85,1+SUMPRODUCT(--(calc!$AV$3:$AV$306=TRUE),--(calc!$AW$3:$AW$306&gt;AW85))+(SUMPRODUCT(--(calc!$AV$3:$AV$306=TRUE),--(calc!$AW$3:$AW$306=AW85))-1)/2,"")</f>
        <v/>
      </c>
      <c r="BB85" s="5">
        <f>IF(AV85,1+SUMPRODUCT(--(calc!$AV$3:$AV$306=TRUE),--(calc!$AX$3:$AX$306&gt;AX85))+(SUMPRODUCT(--(calc!$AV$3:$AV$306=TRUE),--(calc!$AX$3:$AX$306=AX85))-1)/2,"")</f>
        <v/>
      </c>
      <c r="BC85" s="5">
        <f>IF(AV85,SUMPRODUCT(--(calc!$AV$3:$AV$306=TRUE),--(ROW(calc!$AV$3:$AV$306)&gt;ROW(AV85)),--(((calc!$BA$3:$BA$306&gt;BA85)*(calc!$BB$3:$BB$306&gt;BB85)+(calc!$BA$3:$BA$306&lt;BA85)*(calc!$BB$3:$BB$306&lt;BB85))&gt;0))-SUMPRODUCT(--(calc!$AV$3:$AV$306=TRUE),--(ROW(calc!$AV$3:$AV$306)&gt;ROW(AV85)),--(((calc!$BA$3:$BA$306&gt;BA85)*(calc!$BB$3:$BB$306&lt;BB85)+(calc!$BA$3:$BA$306&lt;BA85)*(calc!$BB$3:$BB$306&gt;BB85))&gt;0)),0)</f>
        <v/>
      </c>
      <c r="BD85" s="5">
        <f>IF(mos_metrics!L84="","",mos_metrics!L84)</f>
        <v/>
      </c>
      <c r="BE85" s="2">
        <f>AND($J85,ISNUMBER(BD85),correlation!$I$31=1)</f>
        <v/>
      </c>
      <c r="BF85" s="5">
        <f>IF(BE85,$F85,"")</f>
        <v/>
      </c>
      <c r="BG85" s="5">
        <f>IF(BE85,BD85*correlation!$J$31,"")</f>
        <v/>
      </c>
      <c r="BH85" s="5">
        <f>IF(AND(BE85,ISNUMBER(correlation!$F$31)),BG85*correlation!$F$31+correlation!$G$31,"")</f>
        <v/>
      </c>
      <c r="BI85" s="5">
        <f>IF(AND(BE85,ISNUMBER(BH85)),(BF85-BH85)^2,"")</f>
        <v/>
      </c>
      <c r="BJ85" s="5">
        <f>IF(BE85,1+SUMPRODUCT(--(calc!$BE$3:$BE$306=TRUE),--(calc!$BF$3:$BF$306&gt;BF85))+(SUMPRODUCT(--(calc!$BE$3:$BE$306=TRUE),--(calc!$BF$3:$BF$306=BF85))-1)/2,"")</f>
        <v/>
      </c>
      <c r="BK85" s="5">
        <f>IF(BE85,1+SUMPRODUCT(--(calc!$BE$3:$BE$306=TRUE),--(calc!$BG$3:$BG$306&gt;BG85))+(SUMPRODUCT(--(calc!$BE$3:$BE$306=TRUE),--(calc!$BG$3:$BG$306=BG85))-1)/2,"")</f>
        <v/>
      </c>
      <c r="BL85" s="5">
        <f>IF(BE85,SUMPRODUCT(--(calc!$BE$3:$BE$306=TRUE),--(ROW(calc!$BE$3:$BE$306)&gt;ROW(BE85)),--(((calc!$BJ$3:$BJ$306&gt;BJ85)*(calc!$BK$3:$BK$306&gt;BK85)+(calc!$BJ$3:$BJ$306&lt;BJ85)*(calc!$BK$3:$BK$306&lt;BK85))&gt;0))-SUMPRODUCT(--(calc!$BE$3:$BE$306=TRUE),--(ROW(calc!$BE$3:$BE$306)&gt;ROW(BE85)),--(((calc!$BJ$3:$BJ$306&gt;BJ85)*(calc!$BK$3:$BK$306&lt;BK85)+(calc!$BJ$3:$BJ$306&lt;BJ85)*(calc!$BK$3:$BK$306&gt;BK85))&gt;0)),0)</f>
        <v/>
      </c>
      <c r="BM85" s="5">
        <f>IF(mos_metrics!M84="","",mos_metrics!M84)</f>
        <v/>
      </c>
      <c r="BN85" s="2">
        <f>AND($J85,ISNUMBER(BM85),correlation!$I$32=1)</f>
        <v/>
      </c>
      <c r="BO85" s="5">
        <f>IF(BN85,$F85,"")</f>
        <v/>
      </c>
      <c r="BP85" s="5">
        <f>IF(BN85,BM85*correlation!$J$32,"")</f>
        <v/>
      </c>
      <c r="BQ85" s="5">
        <f>IF(AND(BN85,ISNUMBER(correlation!$F$32)),BP85*correlation!$F$32+correlation!$G$32,"")</f>
        <v/>
      </c>
      <c r="BR85" s="5">
        <f>IF(AND(BN85,ISNUMBER(BQ85)),(BO85-BQ85)^2,"")</f>
        <v/>
      </c>
      <c r="BS85" s="5">
        <f>IF(BN85,1+SUMPRODUCT(--(calc!$BN$3:$BN$306=TRUE),--(calc!$BO$3:$BO$306&gt;BO85))+(SUMPRODUCT(--(calc!$BN$3:$BN$306=TRUE),--(calc!$BO$3:$BO$306=BO85))-1)/2,"")</f>
        <v/>
      </c>
      <c r="BT85" s="5">
        <f>IF(BN85,1+SUMPRODUCT(--(calc!$BN$3:$BN$306=TRUE),--(calc!$BP$3:$BP$306&gt;BP85))+(SUMPRODUCT(--(calc!$BN$3:$BN$306=TRUE),--(calc!$BP$3:$BP$306=BP85))-1)/2,"")</f>
        <v/>
      </c>
      <c r="BU85" s="5">
        <f>IF(BN85,SUMPRODUCT(--(calc!$BN$3:$BN$306=TRUE),--(ROW(calc!$BN$3:$BN$306)&gt;ROW(BN85)),--(((calc!$BS$3:$BS$306&gt;BS85)*(calc!$BT$3:$BT$306&gt;BT85)+(calc!$BS$3:$BS$306&lt;BS85)*(calc!$BT$3:$BT$306&lt;BT85))&gt;0))-SUMPRODUCT(--(calc!$BN$3:$BN$306=TRUE),--(ROW(calc!$BN$3:$BN$306)&gt;ROW(BN85)),--(((calc!$BS$3:$BS$306&gt;BS85)*(calc!$BT$3:$BT$306&lt;BT85)+(calc!$BS$3:$BS$306&lt;BS85)*(calc!$BT$3:$BT$306&gt;BT85))&gt;0)),0)</f>
        <v/>
      </c>
    </row>
    <row r="86">
      <c r="A86" s="2">
        <f>mos_metrics!A85</f>
        <v/>
      </c>
      <c r="B86" s="2">
        <f>mos_metrics!B85</f>
        <v/>
      </c>
      <c r="C86" s="2">
        <f>mos_metrics!C85</f>
        <v/>
      </c>
      <c r="D86" s="2">
        <f>mos_metrics!D85</f>
        <v/>
      </c>
      <c r="E86" s="2">
        <f>mos_metrics!E85</f>
        <v/>
      </c>
      <c r="F86" s="2">
        <f>mos_metrics!F85</f>
        <v/>
      </c>
      <c r="G86" s="2">
        <f>IF($B86="","",IFERROR(VLOOKUP($B86,correlation!$A$2:$B$16,2,FALSE),1))</f>
        <v/>
      </c>
      <c r="H86" s="2">
        <f>IF($E86="","",IFERROR(VLOOKUP($E86,correlation!$D$2:$E$8,2,FALSE),1))</f>
        <v/>
      </c>
      <c r="I86" s="2">
        <f>ISNUMBER($F86)</f>
        <v/>
      </c>
      <c r="J86" s="2">
        <f>AND($G86=1,$H86=1,$I86)</f>
        <v/>
      </c>
      <c r="K86" s="5">
        <f>IF(mos_metrics!G85="","",mos_metrics!G85)</f>
        <v/>
      </c>
      <c r="L86" s="2">
        <f>AND($J86,ISNUMBER(K86),correlation!$I$26=1)</f>
        <v/>
      </c>
      <c r="M86" s="5">
        <f>IF(L86,$F86,"")</f>
        <v/>
      </c>
      <c r="N86" s="5">
        <f>IF(L86,K86*correlation!$J$26,"")</f>
        <v/>
      </c>
      <c r="O86" s="5">
        <f>IF(AND(L86,ISNUMBER(correlation!$F$26)),N86*correlation!$F$26+correlation!$G$26,"")</f>
        <v/>
      </c>
      <c r="P86" s="5">
        <f>IF(AND(L86,ISNUMBER(O86)),(M86-O86)^2,"")</f>
        <v/>
      </c>
      <c r="Q86" s="5">
        <f>IF(L86,1+SUMPRODUCT(--(calc!$L$3:$L$306=TRUE),--(calc!$M$3:$M$306&gt;M86))+(SUMPRODUCT(--(calc!$L$3:$L$306=TRUE),--(calc!$M$3:$M$306=M86))-1)/2,"")</f>
        <v/>
      </c>
      <c r="R86" s="5">
        <f>IF(L86,1+SUMPRODUCT(--(calc!$L$3:$L$306=TRUE),--(calc!$N$3:$N$306&gt;N86))+(SUMPRODUCT(--(calc!$L$3:$L$306=TRUE),--(calc!$N$3:$N$306=N86))-1)/2,"")</f>
        <v/>
      </c>
      <c r="S86" s="5">
        <f>IF(L86,SUMPRODUCT(--(calc!$L$3:$L$306=TRUE),--(ROW(calc!$L$3:$L$306)&gt;ROW(L86)),--(((calc!$Q$3:$Q$306&gt;Q86)*(calc!$R$3:$R$306&gt;R86)+(calc!$Q$3:$Q$306&lt;Q86)*(calc!$R$3:$R$306&lt;R86))&gt;0))-SUMPRODUCT(--(calc!$L$3:$L$306=TRUE),--(ROW(calc!$L$3:$L$306)&gt;ROW(L86)),--(((calc!$Q$3:$Q$306&gt;Q86)*(calc!$R$3:$R$306&lt;R86)+(calc!$Q$3:$Q$306&lt;Q86)*(calc!$R$3:$R$306&gt;R86))&gt;0)),0)</f>
        <v/>
      </c>
      <c r="T86" s="5">
        <f>IF(mos_metrics!H85="","",mos_metrics!H85)</f>
        <v/>
      </c>
      <c r="U86" s="2">
        <f>AND($J86,ISNUMBER(T86),correlation!$I$27=1)</f>
        <v/>
      </c>
      <c r="V86" s="5">
        <f>IF(U86,$F86,"")</f>
        <v/>
      </c>
      <c r="W86" s="5">
        <f>IF(U86,T86*correlation!$J$27,"")</f>
        <v/>
      </c>
      <c r="X86" s="5">
        <f>IF(AND(U86,ISNUMBER(correlation!$F$27)),W86*correlation!$F$27+correlation!$G$27,"")</f>
        <v/>
      </c>
      <c r="Y86" s="5">
        <f>IF(AND(U86,ISNUMBER(X86)),(V86-X86)^2,"")</f>
        <v/>
      </c>
      <c r="Z86" s="5">
        <f>IF(U86,1+SUMPRODUCT(--(calc!$U$3:$U$306=TRUE),--(calc!$V$3:$V$306&gt;V86))+(SUMPRODUCT(--(calc!$U$3:$U$306=TRUE),--(calc!$V$3:$V$306=V86))-1)/2,"")</f>
        <v/>
      </c>
      <c r="AA86" s="5">
        <f>IF(U86,1+SUMPRODUCT(--(calc!$U$3:$U$306=TRUE),--(calc!$W$3:$W$306&gt;W86))+(SUMPRODUCT(--(calc!$U$3:$U$306=TRUE),--(calc!$W$3:$W$306=W86))-1)/2,"")</f>
        <v/>
      </c>
      <c r="AB86" s="5">
        <f>IF(U86,SUMPRODUCT(--(calc!$U$3:$U$306=TRUE),--(ROW(calc!$U$3:$U$306)&gt;ROW(U86)),--(((calc!$Z$3:$Z$306&gt;Z86)*(calc!$AA$3:$AA$306&gt;AA86)+(calc!$Z$3:$Z$306&lt;Z86)*(calc!$AA$3:$AA$306&lt;AA86))&gt;0))-SUMPRODUCT(--(calc!$U$3:$U$306=TRUE),--(ROW(calc!$U$3:$U$306)&gt;ROW(U86)),--(((calc!$Z$3:$Z$306&gt;Z86)*(calc!$AA$3:$AA$306&lt;AA86)+(calc!$Z$3:$Z$306&lt;Z86)*(calc!$AA$3:$AA$306&gt;AA86))&gt;0)),0)</f>
        <v/>
      </c>
      <c r="AC86" s="5">
        <f>IF(mos_metrics!I85="","",mos_metrics!I85)</f>
        <v/>
      </c>
      <c r="AD86" s="2">
        <f>AND($J86,ISNUMBER(AC86),correlation!$I$28=1)</f>
        <v/>
      </c>
      <c r="AE86" s="5">
        <f>IF(AD86,$F86,"")</f>
        <v/>
      </c>
      <c r="AF86" s="5">
        <f>IF(AD86,AC86*correlation!$J$28,"")</f>
        <v/>
      </c>
      <c r="AG86" s="5">
        <f>IF(AND(AD86,ISNUMBER(correlation!$F$28)),AF86*correlation!$F$28+correlation!$G$28,"")</f>
        <v/>
      </c>
      <c r="AH86" s="5">
        <f>IF(AND(AD86,ISNUMBER(AG86)),(AE86-AG86)^2,"")</f>
        <v/>
      </c>
      <c r="AI86" s="5">
        <f>IF(AD86,1+SUMPRODUCT(--(calc!$AD$3:$AD$306=TRUE),--(calc!$AE$3:$AE$306&gt;AE86))+(SUMPRODUCT(--(calc!$AD$3:$AD$306=TRUE),--(calc!$AE$3:$AE$306=AE86))-1)/2,"")</f>
        <v/>
      </c>
      <c r="AJ86" s="5">
        <f>IF(AD86,1+SUMPRODUCT(--(calc!$AD$3:$AD$306=TRUE),--(calc!$AF$3:$AF$306&gt;AF86))+(SUMPRODUCT(--(calc!$AD$3:$AD$306=TRUE),--(calc!$AF$3:$AF$306=AF86))-1)/2,"")</f>
        <v/>
      </c>
      <c r="AK86" s="5">
        <f>IF(AD86,SUMPRODUCT(--(calc!$AD$3:$AD$306=TRUE),--(ROW(calc!$AD$3:$AD$306)&gt;ROW(AD86)),--(((calc!$AI$3:$AI$306&gt;AI86)*(calc!$AJ$3:$AJ$306&gt;AJ86)+(calc!$AI$3:$AI$306&lt;AI86)*(calc!$AJ$3:$AJ$306&lt;AJ86))&gt;0))-SUMPRODUCT(--(calc!$AD$3:$AD$306=TRUE),--(ROW(calc!$AD$3:$AD$306)&gt;ROW(AD86)),--(((calc!$AI$3:$AI$306&gt;AI86)*(calc!$AJ$3:$AJ$306&lt;AJ86)+(calc!$AI$3:$AI$306&lt;AI86)*(calc!$AJ$3:$AJ$306&gt;AJ86))&gt;0)),0)</f>
        <v/>
      </c>
      <c r="AL86" s="5">
        <f>IF(mos_metrics!J85="","",mos_metrics!J85)</f>
        <v/>
      </c>
      <c r="AM86" s="2">
        <f>AND($J86,ISNUMBER(AL86),correlation!$I$29=1)</f>
        <v/>
      </c>
      <c r="AN86" s="5">
        <f>IF(AM86,$F86,"")</f>
        <v/>
      </c>
      <c r="AO86" s="5">
        <f>IF(AM86,AL86*correlation!$J$29,"")</f>
        <v/>
      </c>
      <c r="AP86" s="5">
        <f>IF(AND(AM86,ISNUMBER(correlation!$F$29)),AO86*correlation!$F$29+correlation!$G$29,"")</f>
        <v/>
      </c>
      <c r="AQ86" s="5">
        <f>IF(AND(AM86,ISNUMBER(AP86)),(AN86-AP86)^2,"")</f>
        <v/>
      </c>
      <c r="AR86" s="5">
        <f>IF(AM86,1+SUMPRODUCT(--(calc!$AM$3:$AM$306=TRUE),--(calc!$AN$3:$AN$306&gt;AN86))+(SUMPRODUCT(--(calc!$AM$3:$AM$306=TRUE),--(calc!$AN$3:$AN$306=AN86))-1)/2,"")</f>
        <v/>
      </c>
      <c r="AS86" s="5">
        <f>IF(AM86,1+SUMPRODUCT(--(calc!$AM$3:$AM$306=TRUE),--(calc!$AO$3:$AO$306&gt;AO86))+(SUMPRODUCT(--(calc!$AM$3:$AM$306=TRUE),--(calc!$AO$3:$AO$306=AO86))-1)/2,"")</f>
        <v/>
      </c>
      <c r="AT86" s="5">
        <f>IF(AM86,SUMPRODUCT(--(calc!$AM$3:$AM$306=TRUE),--(ROW(calc!$AM$3:$AM$306)&gt;ROW(AM86)),--(((calc!$AR$3:$AR$306&gt;AR86)*(calc!$AS$3:$AS$306&gt;AS86)+(calc!$AR$3:$AR$306&lt;AR86)*(calc!$AS$3:$AS$306&lt;AS86))&gt;0))-SUMPRODUCT(--(calc!$AM$3:$AM$306=TRUE),--(ROW(calc!$AM$3:$AM$306)&gt;ROW(AM86)),--(((calc!$AR$3:$AR$306&gt;AR86)*(calc!$AS$3:$AS$306&lt;AS86)+(calc!$AR$3:$AR$306&lt;AR86)*(calc!$AS$3:$AS$306&gt;AS86))&gt;0)),0)</f>
        <v/>
      </c>
      <c r="AU86" s="5">
        <f>IF(mos_metrics!K85="","",mos_metrics!K85)</f>
        <v/>
      </c>
      <c r="AV86" s="2">
        <f>AND($J86,ISNUMBER(AU86),correlation!$I$30=1)</f>
        <v/>
      </c>
      <c r="AW86" s="5">
        <f>IF(AV86,$F86,"")</f>
        <v/>
      </c>
      <c r="AX86" s="5">
        <f>IF(AV86,AU86*correlation!$J$30,"")</f>
        <v/>
      </c>
      <c r="AY86" s="5">
        <f>IF(AND(AV86,ISNUMBER(correlation!$F$30)),AX86*correlation!$F$30+correlation!$G$30,"")</f>
        <v/>
      </c>
      <c r="AZ86" s="5">
        <f>IF(AND(AV86,ISNUMBER(AY86)),(AW86-AY86)^2,"")</f>
        <v/>
      </c>
      <c r="BA86" s="5">
        <f>IF(AV86,1+SUMPRODUCT(--(calc!$AV$3:$AV$306=TRUE),--(calc!$AW$3:$AW$306&gt;AW86))+(SUMPRODUCT(--(calc!$AV$3:$AV$306=TRUE),--(calc!$AW$3:$AW$306=AW86))-1)/2,"")</f>
        <v/>
      </c>
      <c r="BB86" s="5">
        <f>IF(AV86,1+SUMPRODUCT(--(calc!$AV$3:$AV$306=TRUE),--(calc!$AX$3:$AX$306&gt;AX86))+(SUMPRODUCT(--(calc!$AV$3:$AV$306=TRUE),--(calc!$AX$3:$AX$306=AX86))-1)/2,"")</f>
        <v/>
      </c>
      <c r="BC86" s="5">
        <f>IF(AV86,SUMPRODUCT(--(calc!$AV$3:$AV$306=TRUE),--(ROW(calc!$AV$3:$AV$306)&gt;ROW(AV86)),--(((calc!$BA$3:$BA$306&gt;BA86)*(calc!$BB$3:$BB$306&gt;BB86)+(calc!$BA$3:$BA$306&lt;BA86)*(calc!$BB$3:$BB$306&lt;BB86))&gt;0))-SUMPRODUCT(--(calc!$AV$3:$AV$306=TRUE),--(ROW(calc!$AV$3:$AV$306)&gt;ROW(AV86)),--(((calc!$BA$3:$BA$306&gt;BA86)*(calc!$BB$3:$BB$306&lt;BB86)+(calc!$BA$3:$BA$306&lt;BA86)*(calc!$BB$3:$BB$306&gt;BB86))&gt;0)),0)</f>
        <v/>
      </c>
      <c r="BD86" s="5">
        <f>IF(mos_metrics!L85="","",mos_metrics!L85)</f>
        <v/>
      </c>
      <c r="BE86" s="2">
        <f>AND($J86,ISNUMBER(BD86),correlation!$I$31=1)</f>
        <v/>
      </c>
      <c r="BF86" s="5">
        <f>IF(BE86,$F86,"")</f>
        <v/>
      </c>
      <c r="BG86" s="5">
        <f>IF(BE86,BD86*correlation!$J$31,"")</f>
        <v/>
      </c>
      <c r="BH86" s="5">
        <f>IF(AND(BE86,ISNUMBER(correlation!$F$31)),BG86*correlation!$F$31+correlation!$G$31,"")</f>
        <v/>
      </c>
      <c r="BI86" s="5">
        <f>IF(AND(BE86,ISNUMBER(BH86)),(BF86-BH86)^2,"")</f>
        <v/>
      </c>
      <c r="BJ86" s="5">
        <f>IF(BE86,1+SUMPRODUCT(--(calc!$BE$3:$BE$306=TRUE),--(calc!$BF$3:$BF$306&gt;BF86))+(SUMPRODUCT(--(calc!$BE$3:$BE$306=TRUE),--(calc!$BF$3:$BF$306=BF86))-1)/2,"")</f>
        <v/>
      </c>
      <c r="BK86" s="5">
        <f>IF(BE86,1+SUMPRODUCT(--(calc!$BE$3:$BE$306=TRUE),--(calc!$BG$3:$BG$306&gt;BG86))+(SUMPRODUCT(--(calc!$BE$3:$BE$306=TRUE),--(calc!$BG$3:$BG$306=BG86))-1)/2,"")</f>
        <v/>
      </c>
      <c r="BL86" s="5">
        <f>IF(BE86,SUMPRODUCT(--(calc!$BE$3:$BE$306=TRUE),--(ROW(calc!$BE$3:$BE$306)&gt;ROW(BE86)),--(((calc!$BJ$3:$BJ$306&gt;BJ86)*(calc!$BK$3:$BK$306&gt;BK86)+(calc!$BJ$3:$BJ$306&lt;BJ86)*(calc!$BK$3:$BK$306&lt;BK86))&gt;0))-SUMPRODUCT(--(calc!$BE$3:$BE$306=TRUE),--(ROW(calc!$BE$3:$BE$306)&gt;ROW(BE86)),--(((calc!$BJ$3:$BJ$306&gt;BJ86)*(calc!$BK$3:$BK$306&lt;BK86)+(calc!$BJ$3:$BJ$306&lt;BJ86)*(calc!$BK$3:$BK$306&gt;BK86))&gt;0)),0)</f>
        <v/>
      </c>
      <c r="BM86" s="5">
        <f>IF(mos_metrics!M85="","",mos_metrics!M85)</f>
        <v/>
      </c>
      <c r="BN86" s="2">
        <f>AND($J86,ISNUMBER(BM86),correlation!$I$32=1)</f>
        <v/>
      </c>
      <c r="BO86" s="5">
        <f>IF(BN86,$F86,"")</f>
        <v/>
      </c>
      <c r="BP86" s="5">
        <f>IF(BN86,BM86*correlation!$J$32,"")</f>
        <v/>
      </c>
      <c r="BQ86" s="5">
        <f>IF(AND(BN86,ISNUMBER(correlation!$F$32)),BP86*correlation!$F$32+correlation!$G$32,"")</f>
        <v/>
      </c>
      <c r="BR86" s="5">
        <f>IF(AND(BN86,ISNUMBER(BQ86)),(BO86-BQ86)^2,"")</f>
        <v/>
      </c>
      <c r="BS86" s="5">
        <f>IF(BN86,1+SUMPRODUCT(--(calc!$BN$3:$BN$306=TRUE),--(calc!$BO$3:$BO$306&gt;BO86))+(SUMPRODUCT(--(calc!$BN$3:$BN$306=TRUE),--(calc!$BO$3:$BO$306=BO86))-1)/2,"")</f>
        <v/>
      </c>
      <c r="BT86" s="5">
        <f>IF(BN86,1+SUMPRODUCT(--(calc!$BN$3:$BN$306=TRUE),--(calc!$BP$3:$BP$306&gt;BP86))+(SUMPRODUCT(--(calc!$BN$3:$BN$306=TRUE),--(calc!$BP$3:$BP$306=BP86))-1)/2,"")</f>
        <v/>
      </c>
      <c r="BU86" s="5">
        <f>IF(BN86,SUMPRODUCT(--(calc!$BN$3:$BN$306=TRUE),--(ROW(calc!$BN$3:$BN$306)&gt;ROW(BN86)),--(((calc!$BS$3:$BS$306&gt;BS86)*(calc!$BT$3:$BT$306&gt;BT86)+(calc!$BS$3:$BS$306&lt;BS86)*(calc!$BT$3:$BT$306&lt;BT86))&gt;0))-SUMPRODUCT(--(calc!$BN$3:$BN$306=TRUE),--(ROW(calc!$BN$3:$BN$306)&gt;ROW(BN86)),--(((calc!$BS$3:$BS$306&gt;BS86)*(calc!$BT$3:$BT$306&lt;BT86)+(calc!$BS$3:$BS$306&lt;BS86)*(calc!$BT$3:$BT$306&gt;BT86))&gt;0)),0)</f>
        <v/>
      </c>
    </row>
    <row r="87">
      <c r="A87" s="2">
        <f>mos_metrics!A86</f>
        <v/>
      </c>
      <c r="B87" s="2">
        <f>mos_metrics!B86</f>
        <v/>
      </c>
      <c r="C87" s="2">
        <f>mos_metrics!C86</f>
        <v/>
      </c>
      <c r="D87" s="2">
        <f>mos_metrics!D86</f>
        <v/>
      </c>
      <c r="E87" s="2">
        <f>mos_metrics!E86</f>
        <v/>
      </c>
      <c r="F87" s="2">
        <f>mos_metrics!F86</f>
        <v/>
      </c>
      <c r="G87" s="2">
        <f>IF($B87="","",IFERROR(VLOOKUP($B87,correlation!$A$2:$B$16,2,FALSE),1))</f>
        <v/>
      </c>
      <c r="H87" s="2">
        <f>IF($E87="","",IFERROR(VLOOKUP($E87,correlation!$D$2:$E$8,2,FALSE),1))</f>
        <v/>
      </c>
      <c r="I87" s="2">
        <f>ISNUMBER($F87)</f>
        <v/>
      </c>
      <c r="J87" s="2">
        <f>AND($G87=1,$H87=1,$I87)</f>
        <v/>
      </c>
      <c r="K87" s="5">
        <f>IF(mos_metrics!G86="","",mos_metrics!G86)</f>
        <v/>
      </c>
      <c r="L87" s="2">
        <f>AND($J87,ISNUMBER(K87),correlation!$I$26=1)</f>
        <v/>
      </c>
      <c r="M87" s="5">
        <f>IF(L87,$F87,"")</f>
        <v/>
      </c>
      <c r="N87" s="5">
        <f>IF(L87,K87*correlation!$J$26,"")</f>
        <v/>
      </c>
      <c r="O87" s="5">
        <f>IF(AND(L87,ISNUMBER(correlation!$F$26)),N87*correlation!$F$26+correlation!$G$26,"")</f>
        <v/>
      </c>
      <c r="P87" s="5">
        <f>IF(AND(L87,ISNUMBER(O87)),(M87-O87)^2,"")</f>
        <v/>
      </c>
      <c r="Q87" s="5">
        <f>IF(L87,1+SUMPRODUCT(--(calc!$L$3:$L$306=TRUE),--(calc!$M$3:$M$306&gt;M87))+(SUMPRODUCT(--(calc!$L$3:$L$306=TRUE),--(calc!$M$3:$M$306=M87))-1)/2,"")</f>
        <v/>
      </c>
      <c r="R87" s="5">
        <f>IF(L87,1+SUMPRODUCT(--(calc!$L$3:$L$306=TRUE),--(calc!$N$3:$N$306&gt;N87))+(SUMPRODUCT(--(calc!$L$3:$L$306=TRUE),--(calc!$N$3:$N$306=N87))-1)/2,"")</f>
        <v/>
      </c>
      <c r="S87" s="5">
        <f>IF(L87,SUMPRODUCT(--(calc!$L$3:$L$306=TRUE),--(ROW(calc!$L$3:$L$306)&gt;ROW(L87)),--(((calc!$Q$3:$Q$306&gt;Q87)*(calc!$R$3:$R$306&gt;R87)+(calc!$Q$3:$Q$306&lt;Q87)*(calc!$R$3:$R$306&lt;R87))&gt;0))-SUMPRODUCT(--(calc!$L$3:$L$306=TRUE),--(ROW(calc!$L$3:$L$306)&gt;ROW(L87)),--(((calc!$Q$3:$Q$306&gt;Q87)*(calc!$R$3:$R$306&lt;R87)+(calc!$Q$3:$Q$306&lt;Q87)*(calc!$R$3:$R$306&gt;R87))&gt;0)),0)</f>
        <v/>
      </c>
      <c r="T87" s="5">
        <f>IF(mos_metrics!H86="","",mos_metrics!H86)</f>
        <v/>
      </c>
      <c r="U87" s="2">
        <f>AND($J87,ISNUMBER(T87),correlation!$I$27=1)</f>
        <v/>
      </c>
      <c r="V87" s="5">
        <f>IF(U87,$F87,"")</f>
        <v/>
      </c>
      <c r="W87" s="5">
        <f>IF(U87,T87*correlation!$J$27,"")</f>
        <v/>
      </c>
      <c r="X87" s="5">
        <f>IF(AND(U87,ISNUMBER(correlation!$F$27)),W87*correlation!$F$27+correlation!$G$27,"")</f>
        <v/>
      </c>
      <c r="Y87" s="5">
        <f>IF(AND(U87,ISNUMBER(X87)),(V87-X87)^2,"")</f>
        <v/>
      </c>
      <c r="Z87" s="5">
        <f>IF(U87,1+SUMPRODUCT(--(calc!$U$3:$U$306=TRUE),--(calc!$V$3:$V$306&gt;V87))+(SUMPRODUCT(--(calc!$U$3:$U$306=TRUE),--(calc!$V$3:$V$306=V87))-1)/2,"")</f>
        <v/>
      </c>
      <c r="AA87" s="5">
        <f>IF(U87,1+SUMPRODUCT(--(calc!$U$3:$U$306=TRUE),--(calc!$W$3:$W$306&gt;W87))+(SUMPRODUCT(--(calc!$U$3:$U$306=TRUE),--(calc!$W$3:$W$306=W87))-1)/2,"")</f>
        <v/>
      </c>
      <c r="AB87" s="5">
        <f>IF(U87,SUMPRODUCT(--(calc!$U$3:$U$306=TRUE),--(ROW(calc!$U$3:$U$306)&gt;ROW(U87)),--(((calc!$Z$3:$Z$306&gt;Z87)*(calc!$AA$3:$AA$306&gt;AA87)+(calc!$Z$3:$Z$306&lt;Z87)*(calc!$AA$3:$AA$306&lt;AA87))&gt;0))-SUMPRODUCT(--(calc!$U$3:$U$306=TRUE),--(ROW(calc!$U$3:$U$306)&gt;ROW(U87)),--(((calc!$Z$3:$Z$306&gt;Z87)*(calc!$AA$3:$AA$306&lt;AA87)+(calc!$Z$3:$Z$306&lt;Z87)*(calc!$AA$3:$AA$306&gt;AA87))&gt;0)),0)</f>
        <v/>
      </c>
      <c r="AC87" s="5">
        <f>IF(mos_metrics!I86="","",mos_metrics!I86)</f>
        <v/>
      </c>
      <c r="AD87" s="2">
        <f>AND($J87,ISNUMBER(AC87),correlation!$I$28=1)</f>
        <v/>
      </c>
      <c r="AE87" s="5">
        <f>IF(AD87,$F87,"")</f>
        <v/>
      </c>
      <c r="AF87" s="5">
        <f>IF(AD87,AC87*correlation!$J$28,"")</f>
        <v/>
      </c>
      <c r="AG87" s="5">
        <f>IF(AND(AD87,ISNUMBER(correlation!$F$28)),AF87*correlation!$F$28+correlation!$G$28,"")</f>
        <v/>
      </c>
      <c r="AH87" s="5">
        <f>IF(AND(AD87,ISNUMBER(AG87)),(AE87-AG87)^2,"")</f>
        <v/>
      </c>
      <c r="AI87" s="5">
        <f>IF(AD87,1+SUMPRODUCT(--(calc!$AD$3:$AD$306=TRUE),--(calc!$AE$3:$AE$306&gt;AE87))+(SUMPRODUCT(--(calc!$AD$3:$AD$306=TRUE),--(calc!$AE$3:$AE$306=AE87))-1)/2,"")</f>
        <v/>
      </c>
      <c r="AJ87" s="5">
        <f>IF(AD87,1+SUMPRODUCT(--(calc!$AD$3:$AD$306=TRUE),--(calc!$AF$3:$AF$306&gt;AF87))+(SUMPRODUCT(--(calc!$AD$3:$AD$306=TRUE),--(calc!$AF$3:$AF$306=AF87))-1)/2,"")</f>
        <v/>
      </c>
      <c r="AK87" s="5">
        <f>IF(AD87,SUMPRODUCT(--(calc!$AD$3:$AD$306=TRUE),--(ROW(calc!$AD$3:$AD$306)&gt;ROW(AD87)),--(((calc!$AI$3:$AI$306&gt;AI87)*(calc!$AJ$3:$AJ$306&gt;AJ87)+(calc!$AI$3:$AI$306&lt;AI87)*(calc!$AJ$3:$AJ$306&lt;AJ87))&gt;0))-SUMPRODUCT(--(calc!$AD$3:$AD$306=TRUE),--(ROW(calc!$AD$3:$AD$306)&gt;ROW(AD87)),--(((calc!$AI$3:$AI$306&gt;AI87)*(calc!$AJ$3:$AJ$306&lt;AJ87)+(calc!$AI$3:$AI$306&lt;AI87)*(calc!$AJ$3:$AJ$306&gt;AJ87))&gt;0)),0)</f>
        <v/>
      </c>
      <c r="AL87" s="5">
        <f>IF(mos_metrics!J86="","",mos_metrics!J86)</f>
        <v/>
      </c>
      <c r="AM87" s="2">
        <f>AND($J87,ISNUMBER(AL87),correlation!$I$29=1)</f>
        <v/>
      </c>
      <c r="AN87" s="5">
        <f>IF(AM87,$F87,"")</f>
        <v/>
      </c>
      <c r="AO87" s="5">
        <f>IF(AM87,AL87*correlation!$J$29,"")</f>
        <v/>
      </c>
      <c r="AP87" s="5">
        <f>IF(AND(AM87,ISNUMBER(correlation!$F$29)),AO87*correlation!$F$29+correlation!$G$29,"")</f>
        <v/>
      </c>
      <c r="AQ87" s="5">
        <f>IF(AND(AM87,ISNUMBER(AP87)),(AN87-AP87)^2,"")</f>
        <v/>
      </c>
      <c r="AR87" s="5">
        <f>IF(AM87,1+SUMPRODUCT(--(calc!$AM$3:$AM$306=TRUE),--(calc!$AN$3:$AN$306&gt;AN87))+(SUMPRODUCT(--(calc!$AM$3:$AM$306=TRUE),--(calc!$AN$3:$AN$306=AN87))-1)/2,"")</f>
        <v/>
      </c>
      <c r="AS87" s="5">
        <f>IF(AM87,1+SUMPRODUCT(--(calc!$AM$3:$AM$306=TRUE),--(calc!$AO$3:$AO$306&gt;AO87))+(SUMPRODUCT(--(calc!$AM$3:$AM$306=TRUE),--(calc!$AO$3:$AO$306=AO87))-1)/2,"")</f>
        <v/>
      </c>
      <c r="AT87" s="5">
        <f>IF(AM87,SUMPRODUCT(--(calc!$AM$3:$AM$306=TRUE),--(ROW(calc!$AM$3:$AM$306)&gt;ROW(AM87)),--(((calc!$AR$3:$AR$306&gt;AR87)*(calc!$AS$3:$AS$306&gt;AS87)+(calc!$AR$3:$AR$306&lt;AR87)*(calc!$AS$3:$AS$306&lt;AS87))&gt;0))-SUMPRODUCT(--(calc!$AM$3:$AM$306=TRUE),--(ROW(calc!$AM$3:$AM$306)&gt;ROW(AM87)),--(((calc!$AR$3:$AR$306&gt;AR87)*(calc!$AS$3:$AS$306&lt;AS87)+(calc!$AR$3:$AR$306&lt;AR87)*(calc!$AS$3:$AS$306&gt;AS87))&gt;0)),0)</f>
        <v/>
      </c>
      <c r="AU87" s="5">
        <f>IF(mos_metrics!K86="","",mos_metrics!K86)</f>
        <v/>
      </c>
      <c r="AV87" s="2">
        <f>AND($J87,ISNUMBER(AU87),correlation!$I$30=1)</f>
        <v/>
      </c>
      <c r="AW87" s="5">
        <f>IF(AV87,$F87,"")</f>
        <v/>
      </c>
      <c r="AX87" s="5">
        <f>IF(AV87,AU87*correlation!$J$30,"")</f>
        <v/>
      </c>
      <c r="AY87" s="5">
        <f>IF(AND(AV87,ISNUMBER(correlation!$F$30)),AX87*correlation!$F$30+correlation!$G$30,"")</f>
        <v/>
      </c>
      <c r="AZ87" s="5">
        <f>IF(AND(AV87,ISNUMBER(AY87)),(AW87-AY87)^2,"")</f>
        <v/>
      </c>
      <c r="BA87" s="5">
        <f>IF(AV87,1+SUMPRODUCT(--(calc!$AV$3:$AV$306=TRUE),--(calc!$AW$3:$AW$306&gt;AW87))+(SUMPRODUCT(--(calc!$AV$3:$AV$306=TRUE),--(calc!$AW$3:$AW$306=AW87))-1)/2,"")</f>
        <v/>
      </c>
      <c r="BB87" s="5">
        <f>IF(AV87,1+SUMPRODUCT(--(calc!$AV$3:$AV$306=TRUE),--(calc!$AX$3:$AX$306&gt;AX87))+(SUMPRODUCT(--(calc!$AV$3:$AV$306=TRUE),--(calc!$AX$3:$AX$306=AX87))-1)/2,"")</f>
        <v/>
      </c>
      <c r="BC87" s="5">
        <f>IF(AV87,SUMPRODUCT(--(calc!$AV$3:$AV$306=TRUE),--(ROW(calc!$AV$3:$AV$306)&gt;ROW(AV87)),--(((calc!$BA$3:$BA$306&gt;BA87)*(calc!$BB$3:$BB$306&gt;BB87)+(calc!$BA$3:$BA$306&lt;BA87)*(calc!$BB$3:$BB$306&lt;BB87))&gt;0))-SUMPRODUCT(--(calc!$AV$3:$AV$306=TRUE),--(ROW(calc!$AV$3:$AV$306)&gt;ROW(AV87)),--(((calc!$BA$3:$BA$306&gt;BA87)*(calc!$BB$3:$BB$306&lt;BB87)+(calc!$BA$3:$BA$306&lt;BA87)*(calc!$BB$3:$BB$306&gt;BB87))&gt;0)),0)</f>
        <v/>
      </c>
      <c r="BD87" s="5">
        <f>IF(mos_metrics!L86="","",mos_metrics!L86)</f>
        <v/>
      </c>
      <c r="BE87" s="2">
        <f>AND($J87,ISNUMBER(BD87),correlation!$I$31=1)</f>
        <v/>
      </c>
      <c r="BF87" s="5">
        <f>IF(BE87,$F87,"")</f>
        <v/>
      </c>
      <c r="BG87" s="5">
        <f>IF(BE87,BD87*correlation!$J$31,"")</f>
        <v/>
      </c>
      <c r="BH87" s="5">
        <f>IF(AND(BE87,ISNUMBER(correlation!$F$31)),BG87*correlation!$F$31+correlation!$G$31,"")</f>
        <v/>
      </c>
      <c r="BI87" s="5">
        <f>IF(AND(BE87,ISNUMBER(BH87)),(BF87-BH87)^2,"")</f>
        <v/>
      </c>
      <c r="BJ87" s="5">
        <f>IF(BE87,1+SUMPRODUCT(--(calc!$BE$3:$BE$306=TRUE),--(calc!$BF$3:$BF$306&gt;BF87))+(SUMPRODUCT(--(calc!$BE$3:$BE$306=TRUE),--(calc!$BF$3:$BF$306=BF87))-1)/2,"")</f>
        <v/>
      </c>
      <c r="BK87" s="5">
        <f>IF(BE87,1+SUMPRODUCT(--(calc!$BE$3:$BE$306=TRUE),--(calc!$BG$3:$BG$306&gt;BG87))+(SUMPRODUCT(--(calc!$BE$3:$BE$306=TRUE),--(calc!$BG$3:$BG$306=BG87))-1)/2,"")</f>
        <v/>
      </c>
      <c r="BL87" s="5">
        <f>IF(BE87,SUMPRODUCT(--(calc!$BE$3:$BE$306=TRUE),--(ROW(calc!$BE$3:$BE$306)&gt;ROW(BE87)),--(((calc!$BJ$3:$BJ$306&gt;BJ87)*(calc!$BK$3:$BK$306&gt;BK87)+(calc!$BJ$3:$BJ$306&lt;BJ87)*(calc!$BK$3:$BK$306&lt;BK87))&gt;0))-SUMPRODUCT(--(calc!$BE$3:$BE$306=TRUE),--(ROW(calc!$BE$3:$BE$306)&gt;ROW(BE87)),--(((calc!$BJ$3:$BJ$306&gt;BJ87)*(calc!$BK$3:$BK$306&lt;BK87)+(calc!$BJ$3:$BJ$306&lt;BJ87)*(calc!$BK$3:$BK$306&gt;BK87))&gt;0)),0)</f>
        <v/>
      </c>
      <c r="BM87" s="5">
        <f>IF(mos_metrics!M86="","",mos_metrics!M86)</f>
        <v/>
      </c>
      <c r="BN87" s="2">
        <f>AND($J87,ISNUMBER(BM87),correlation!$I$32=1)</f>
        <v/>
      </c>
      <c r="BO87" s="5">
        <f>IF(BN87,$F87,"")</f>
        <v/>
      </c>
      <c r="BP87" s="5">
        <f>IF(BN87,BM87*correlation!$J$32,"")</f>
        <v/>
      </c>
      <c r="BQ87" s="5">
        <f>IF(AND(BN87,ISNUMBER(correlation!$F$32)),BP87*correlation!$F$32+correlation!$G$32,"")</f>
        <v/>
      </c>
      <c r="BR87" s="5">
        <f>IF(AND(BN87,ISNUMBER(BQ87)),(BO87-BQ87)^2,"")</f>
        <v/>
      </c>
      <c r="BS87" s="5">
        <f>IF(BN87,1+SUMPRODUCT(--(calc!$BN$3:$BN$306=TRUE),--(calc!$BO$3:$BO$306&gt;BO87))+(SUMPRODUCT(--(calc!$BN$3:$BN$306=TRUE),--(calc!$BO$3:$BO$306=BO87))-1)/2,"")</f>
        <v/>
      </c>
      <c r="BT87" s="5">
        <f>IF(BN87,1+SUMPRODUCT(--(calc!$BN$3:$BN$306=TRUE),--(calc!$BP$3:$BP$306&gt;BP87))+(SUMPRODUCT(--(calc!$BN$3:$BN$306=TRUE),--(calc!$BP$3:$BP$306=BP87))-1)/2,"")</f>
        <v/>
      </c>
      <c r="BU87" s="5">
        <f>IF(BN87,SUMPRODUCT(--(calc!$BN$3:$BN$306=TRUE),--(ROW(calc!$BN$3:$BN$306)&gt;ROW(BN87)),--(((calc!$BS$3:$BS$306&gt;BS87)*(calc!$BT$3:$BT$306&gt;BT87)+(calc!$BS$3:$BS$306&lt;BS87)*(calc!$BT$3:$BT$306&lt;BT87))&gt;0))-SUMPRODUCT(--(calc!$BN$3:$BN$306=TRUE),--(ROW(calc!$BN$3:$BN$306)&gt;ROW(BN87)),--(((calc!$BS$3:$BS$306&gt;BS87)*(calc!$BT$3:$BT$306&lt;BT87)+(calc!$BS$3:$BS$306&lt;BS87)*(calc!$BT$3:$BT$306&gt;BT87))&gt;0)),0)</f>
        <v/>
      </c>
    </row>
    <row r="88">
      <c r="A88" s="2">
        <f>mos_metrics!A87</f>
        <v/>
      </c>
      <c r="B88" s="2">
        <f>mos_metrics!B87</f>
        <v/>
      </c>
      <c r="C88" s="2">
        <f>mos_metrics!C87</f>
        <v/>
      </c>
      <c r="D88" s="2">
        <f>mos_metrics!D87</f>
        <v/>
      </c>
      <c r="E88" s="2">
        <f>mos_metrics!E87</f>
        <v/>
      </c>
      <c r="F88" s="2">
        <f>mos_metrics!F87</f>
        <v/>
      </c>
      <c r="G88" s="2">
        <f>IF($B88="","",IFERROR(VLOOKUP($B88,correlation!$A$2:$B$16,2,FALSE),1))</f>
        <v/>
      </c>
      <c r="H88" s="2">
        <f>IF($E88="","",IFERROR(VLOOKUP($E88,correlation!$D$2:$E$8,2,FALSE),1))</f>
        <v/>
      </c>
      <c r="I88" s="2">
        <f>ISNUMBER($F88)</f>
        <v/>
      </c>
      <c r="J88" s="2">
        <f>AND($G88=1,$H88=1,$I88)</f>
        <v/>
      </c>
      <c r="K88" s="5">
        <f>IF(mos_metrics!G87="","",mos_metrics!G87)</f>
        <v/>
      </c>
      <c r="L88" s="2">
        <f>AND($J88,ISNUMBER(K88),correlation!$I$26=1)</f>
        <v/>
      </c>
      <c r="M88" s="5">
        <f>IF(L88,$F88,"")</f>
        <v/>
      </c>
      <c r="N88" s="5">
        <f>IF(L88,K88*correlation!$J$26,"")</f>
        <v/>
      </c>
      <c r="O88" s="5">
        <f>IF(AND(L88,ISNUMBER(correlation!$F$26)),N88*correlation!$F$26+correlation!$G$26,"")</f>
        <v/>
      </c>
      <c r="P88" s="5">
        <f>IF(AND(L88,ISNUMBER(O88)),(M88-O88)^2,"")</f>
        <v/>
      </c>
      <c r="Q88" s="5">
        <f>IF(L88,1+SUMPRODUCT(--(calc!$L$3:$L$306=TRUE),--(calc!$M$3:$M$306&gt;M88))+(SUMPRODUCT(--(calc!$L$3:$L$306=TRUE),--(calc!$M$3:$M$306=M88))-1)/2,"")</f>
        <v/>
      </c>
      <c r="R88" s="5">
        <f>IF(L88,1+SUMPRODUCT(--(calc!$L$3:$L$306=TRUE),--(calc!$N$3:$N$306&gt;N88))+(SUMPRODUCT(--(calc!$L$3:$L$306=TRUE),--(calc!$N$3:$N$306=N88))-1)/2,"")</f>
        <v/>
      </c>
      <c r="S88" s="5">
        <f>IF(L88,SUMPRODUCT(--(calc!$L$3:$L$306=TRUE),--(ROW(calc!$L$3:$L$306)&gt;ROW(L88)),--(((calc!$Q$3:$Q$306&gt;Q88)*(calc!$R$3:$R$306&gt;R88)+(calc!$Q$3:$Q$306&lt;Q88)*(calc!$R$3:$R$306&lt;R88))&gt;0))-SUMPRODUCT(--(calc!$L$3:$L$306=TRUE),--(ROW(calc!$L$3:$L$306)&gt;ROW(L88)),--(((calc!$Q$3:$Q$306&gt;Q88)*(calc!$R$3:$R$306&lt;R88)+(calc!$Q$3:$Q$306&lt;Q88)*(calc!$R$3:$R$306&gt;R88))&gt;0)),0)</f>
        <v/>
      </c>
      <c r="T88" s="5">
        <f>IF(mos_metrics!H87="","",mos_metrics!H87)</f>
        <v/>
      </c>
      <c r="U88" s="2">
        <f>AND($J88,ISNUMBER(T88),correlation!$I$27=1)</f>
        <v/>
      </c>
      <c r="V88" s="5">
        <f>IF(U88,$F88,"")</f>
        <v/>
      </c>
      <c r="W88" s="5">
        <f>IF(U88,T88*correlation!$J$27,"")</f>
        <v/>
      </c>
      <c r="X88" s="5">
        <f>IF(AND(U88,ISNUMBER(correlation!$F$27)),W88*correlation!$F$27+correlation!$G$27,"")</f>
        <v/>
      </c>
      <c r="Y88" s="5">
        <f>IF(AND(U88,ISNUMBER(X88)),(V88-X88)^2,"")</f>
        <v/>
      </c>
      <c r="Z88" s="5">
        <f>IF(U88,1+SUMPRODUCT(--(calc!$U$3:$U$306=TRUE),--(calc!$V$3:$V$306&gt;V88))+(SUMPRODUCT(--(calc!$U$3:$U$306=TRUE),--(calc!$V$3:$V$306=V88))-1)/2,"")</f>
        <v/>
      </c>
      <c r="AA88" s="5">
        <f>IF(U88,1+SUMPRODUCT(--(calc!$U$3:$U$306=TRUE),--(calc!$W$3:$W$306&gt;W88))+(SUMPRODUCT(--(calc!$U$3:$U$306=TRUE),--(calc!$W$3:$W$306=W88))-1)/2,"")</f>
        <v/>
      </c>
      <c r="AB88" s="5">
        <f>IF(U88,SUMPRODUCT(--(calc!$U$3:$U$306=TRUE),--(ROW(calc!$U$3:$U$306)&gt;ROW(U88)),--(((calc!$Z$3:$Z$306&gt;Z88)*(calc!$AA$3:$AA$306&gt;AA88)+(calc!$Z$3:$Z$306&lt;Z88)*(calc!$AA$3:$AA$306&lt;AA88))&gt;0))-SUMPRODUCT(--(calc!$U$3:$U$306=TRUE),--(ROW(calc!$U$3:$U$306)&gt;ROW(U88)),--(((calc!$Z$3:$Z$306&gt;Z88)*(calc!$AA$3:$AA$306&lt;AA88)+(calc!$Z$3:$Z$306&lt;Z88)*(calc!$AA$3:$AA$306&gt;AA88))&gt;0)),0)</f>
        <v/>
      </c>
      <c r="AC88" s="5">
        <f>IF(mos_metrics!I87="","",mos_metrics!I87)</f>
        <v/>
      </c>
      <c r="AD88" s="2">
        <f>AND($J88,ISNUMBER(AC88),correlation!$I$28=1)</f>
        <v/>
      </c>
      <c r="AE88" s="5">
        <f>IF(AD88,$F88,"")</f>
        <v/>
      </c>
      <c r="AF88" s="5">
        <f>IF(AD88,AC88*correlation!$J$28,"")</f>
        <v/>
      </c>
      <c r="AG88" s="5">
        <f>IF(AND(AD88,ISNUMBER(correlation!$F$28)),AF88*correlation!$F$28+correlation!$G$28,"")</f>
        <v/>
      </c>
      <c r="AH88" s="5">
        <f>IF(AND(AD88,ISNUMBER(AG88)),(AE88-AG88)^2,"")</f>
        <v/>
      </c>
      <c r="AI88" s="5">
        <f>IF(AD88,1+SUMPRODUCT(--(calc!$AD$3:$AD$306=TRUE),--(calc!$AE$3:$AE$306&gt;AE88))+(SUMPRODUCT(--(calc!$AD$3:$AD$306=TRUE),--(calc!$AE$3:$AE$306=AE88))-1)/2,"")</f>
        <v/>
      </c>
      <c r="AJ88" s="5">
        <f>IF(AD88,1+SUMPRODUCT(--(calc!$AD$3:$AD$306=TRUE),--(calc!$AF$3:$AF$306&gt;AF88))+(SUMPRODUCT(--(calc!$AD$3:$AD$306=TRUE),--(calc!$AF$3:$AF$306=AF88))-1)/2,"")</f>
        <v/>
      </c>
      <c r="AK88" s="5">
        <f>IF(AD88,SUMPRODUCT(--(calc!$AD$3:$AD$306=TRUE),--(ROW(calc!$AD$3:$AD$306)&gt;ROW(AD88)),--(((calc!$AI$3:$AI$306&gt;AI88)*(calc!$AJ$3:$AJ$306&gt;AJ88)+(calc!$AI$3:$AI$306&lt;AI88)*(calc!$AJ$3:$AJ$306&lt;AJ88))&gt;0))-SUMPRODUCT(--(calc!$AD$3:$AD$306=TRUE),--(ROW(calc!$AD$3:$AD$306)&gt;ROW(AD88)),--(((calc!$AI$3:$AI$306&gt;AI88)*(calc!$AJ$3:$AJ$306&lt;AJ88)+(calc!$AI$3:$AI$306&lt;AI88)*(calc!$AJ$3:$AJ$306&gt;AJ88))&gt;0)),0)</f>
        <v/>
      </c>
      <c r="AL88" s="5">
        <f>IF(mos_metrics!J87="","",mos_metrics!J87)</f>
        <v/>
      </c>
      <c r="AM88" s="2">
        <f>AND($J88,ISNUMBER(AL88),correlation!$I$29=1)</f>
        <v/>
      </c>
      <c r="AN88" s="5">
        <f>IF(AM88,$F88,"")</f>
        <v/>
      </c>
      <c r="AO88" s="5">
        <f>IF(AM88,AL88*correlation!$J$29,"")</f>
        <v/>
      </c>
      <c r="AP88" s="5">
        <f>IF(AND(AM88,ISNUMBER(correlation!$F$29)),AO88*correlation!$F$29+correlation!$G$29,"")</f>
        <v/>
      </c>
      <c r="AQ88" s="5">
        <f>IF(AND(AM88,ISNUMBER(AP88)),(AN88-AP88)^2,"")</f>
        <v/>
      </c>
      <c r="AR88" s="5">
        <f>IF(AM88,1+SUMPRODUCT(--(calc!$AM$3:$AM$306=TRUE),--(calc!$AN$3:$AN$306&gt;AN88))+(SUMPRODUCT(--(calc!$AM$3:$AM$306=TRUE),--(calc!$AN$3:$AN$306=AN88))-1)/2,"")</f>
        <v/>
      </c>
      <c r="AS88" s="5">
        <f>IF(AM88,1+SUMPRODUCT(--(calc!$AM$3:$AM$306=TRUE),--(calc!$AO$3:$AO$306&gt;AO88))+(SUMPRODUCT(--(calc!$AM$3:$AM$306=TRUE),--(calc!$AO$3:$AO$306=AO88))-1)/2,"")</f>
        <v/>
      </c>
      <c r="AT88" s="5">
        <f>IF(AM88,SUMPRODUCT(--(calc!$AM$3:$AM$306=TRUE),--(ROW(calc!$AM$3:$AM$306)&gt;ROW(AM88)),--(((calc!$AR$3:$AR$306&gt;AR88)*(calc!$AS$3:$AS$306&gt;AS88)+(calc!$AR$3:$AR$306&lt;AR88)*(calc!$AS$3:$AS$306&lt;AS88))&gt;0))-SUMPRODUCT(--(calc!$AM$3:$AM$306=TRUE),--(ROW(calc!$AM$3:$AM$306)&gt;ROW(AM88)),--(((calc!$AR$3:$AR$306&gt;AR88)*(calc!$AS$3:$AS$306&lt;AS88)+(calc!$AR$3:$AR$306&lt;AR88)*(calc!$AS$3:$AS$306&gt;AS88))&gt;0)),0)</f>
        <v/>
      </c>
      <c r="AU88" s="5">
        <f>IF(mos_metrics!K87="","",mos_metrics!K87)</f>
        <v/>
      </c>
      <c r="AV88" s="2">
        <f>AND($J88,ISNUMBER(AU88),correlation!$I$30=1)</f>
        <v/>
      </c>
      <c r="AW88" s="5">
        <f>IF(AV88,$F88,"")</f>
        <v/>
      </c>
      <c r="AX88" s="5">
        <f>IF(AV88,AU88*correlation!$J$30,"")</f>
        <v/>
      </c>
      <c r="AY88" s="5">
        <f>IF(AND(AV88,ISNUMBER(correlation!$F$30)),AX88*correlation!$F$30+correlation!$G$30,"")</f>
        <v/>
      </c>
      <c r="AZ88" s="5">
        <f>IF(AND(AV88,ISNUMBER(AY88)),(AW88-AY88)^2,"")</f>
        <v/>
      </c>
      <c r="BA88" s="5">
        <f>IF(AV88,1+SUMPRODUCT(--(calc!$AV$3:$AV$306=TRUE),--(calc!$AW$3:$AW$306&gt;AW88))+(SUMPRODUCT(--(calc!$AV$3:$AV$306=TRUE),--(calc!$AW$3:$AW$306=AW88))-1)/2,"")</f>
        <v/>
      </c>
      <c r="BB88" s="5">
        <f>IF(AV88,1+SUMPRODUCT(--(calc!$AV$3:$AV$306=TRUE),--(calc!$AX$3:$AX$306&gt;AX88))+(SUMPRODUCT(--(calc!$AV$3:$AV$306=TRUE),--(calc!$AX$3:$AX$306=AX88))-1)/2,"")</f>
        <v/>
      </c>
      <c r="BC88" s="5">
        <f>IF(AV88,SUMPRODUCT(--(calc!$AV$3:$AV$306=TRUE),--(ROW(calc!$AV$3:$AV$306)&gt;ROW(AV88)),--(((calc!$BA$3:$BA$306&gt;BA88)*(calc!$BB$3:$BB$306&gt;BB88)+(calc!$BA$3:$BA$306&lt;BA88)*(calc!$BB$3:$BB$306&lt;BB88))&gt;0))-SUMPRODUCT(--(calc!$AV$3:$AV$306=TRUE),--(ROW(calc!$AV$3:$AV$306)&gt;ROW(AV88)),--(((calc!$BA$3:$BA$306&gt;BA88)*(calc!$BB$3:$BB$306&lt;BB88)+(calc!$BA$3:$BA$306&lt;BA88)*(calc!$BB$3:$BB$306&gt;BB88))&gt;0)),0)</f>
        <v/>
      </c>
      <c r="BD88" s="5">
        <f>IF(mos_metrics!L87="","",mos_metrics!L87)</f>
        <v/>
      </c>
      <c r="BE88" s="2">
        <f>AND($J88,ISNUMBER(BD88),correlation!$I$31=1)</f>
        <v/>
      </c>
      <c r="BF88" s="5">
        <f>IF(BE88,$F88,"")</f>
        <v/>
      </c>
      <c r="BG88" s="5">
        <f>IF(BE88,BD88*correlation!$J$31,"")</f>
        <v/>
      </c>
      <c r="BH88" s="5">
        <f>IF(AND(BE88,ISNUMBER(correlation!$F$31)),BG88*correlation!$F$31+correlation!$G$31,"")</f>
        <v/>
      </c>
      <c r="BI88" s="5">
        <f>IF(AND(BE88,ISNUMBER(BH88)),(BF88-BH88)^2,"")</f>
        <v/>
      </c>
      <c r="BJ88" s="5">
        <f>IF(BE88,1+SUMPRODUCT(--(calc!$BE$3:$BE$306=TRUE),--(calc!$BF$3:$BF$306&gt;BF88))+(SUMPRODUCT(--(calc!$BE$3:$BE$306=TRUE),--(calc!$BF$3:$BF$306=BF88))-1)/2,"")</f>
        <v/>
      </c>
      <c r="BK88" s="5">
        <f>IF(BE88,1+SUMPRODUCT(--(calc!$BE$3:$BE$306=TRUE),--(calc!$BG$3:$BG$306&gt;BG88))+(SUMPRODUCT(--(calc!$BE$3:$BE$306=TRUE),--(calc!$BG$3:$BG$306=BG88))-1)/2,"")</f>
        <v/>
      </c>
      <c r="BL88" s="5">
        <f>IF(BE88,SUMPRODUCT(--(calc!$BE$3:$BE$306=TRUE),--(ROW(calc!$BE$3:$BE$306)&gt;ROW(BE88)),--(((calc!$BJ$3:$BJ$306&gt;BJ88)*(calc!$BK$3:$BK$306&gt;BK88)+(calc!$BJ$3:$BJ$306&lt;BJ88)*(calc!$BK$3:$BK$306&lt;BK88))&gt;0))-SUMPRODUCT(--(calc!$BE$3:$BE$306=TRUE),--(ROW(calc!$BE$3:$BE$306)&gt;ROW(BE88)),--(((calc!$BJ$3:$BJ$306&gt;BJ88)*(calc!$BK$3:$BK$306&lt;BK88)+(calc!$BJ$3:$BJ$306&lt;BJ88)*(calc!$BK$3:$BK$306&gt;BK88))&gt;0)),0)</f>
        <v/>
      </c>
      <c r="BM88" s="5">
        <f>IF(mos_metrics!M87="","",mos_metrics!M87)</f>
        <v/>
      </c>
      <c r="BN88" s="2">
        <f>AND($J88,ISNUMBER(BM88),correlation!$I$32=1)</f>
        <v/>
      </c>
      <c r="BO88" s="5">
        <f>IF(BN88,$F88,"")</f>
        <v/>
      </c>
      <c r="BP88" s="5">
        <f>IF(BN88,BM88*correlation!$J$32,"")</f>
        <v/>
      </c>
      <c r="BQ88" s="5">
        <f>IF(AND(BN88,ISNUMBER(correlation!$F$32)),BP88*correlation!$F$32+correlation!$G$32,"")</f>
        <v/>
      </c>
      <c r="BR88" s="5">
        <f>IF(AND(BN88,ISNUMBER(BQ88)),(BO88-BQ88)^2,"")</f>
        <v/>
      </c>
      <c r="BS88" s="5">
        <f>IF(BN88,1+SUMPRODUCT(--(calc!$BN$3:$BN$306=TRUE),--(calc!$BO$3:$BO$306&gt;BO88))+(SUMPRODUCT(--(calc!$BN$3:$BN$306=TRUE),--(calc!$BO$3:$BO$306=BO88))-1)/2,"")</f>
        <v/>
      </c>
      <c r="BT88" s="5">
        <f>IF(BN88,1+SUMPRODUCT(--(calc!$BN$3:$BN$306=TRUE),--(calc!$BP$3:$BP$306&gt;BP88))+(SUMPRODUCT(--(calc!$BN$3:$BN$306=TRUE),--(calc!$BP$3:$BP$306=BP88))-1)/2,"")</f>
        <v/>
      </c>
      <c r="BU88" s="5">
        <f>IF(BN88,SUMPRODUCT(--(calc!$BN$3:$BN$306=TRUE),--(ROW(calc!$BN$3:$BN$306)&gt;ROW(BN88)),--(((calc!$BS$3:$BS$306&gt;BS88)*(calc!$BT$3:$BT$306&gt;BT88)+(calc!$BS$3:$BS$306&lt;BS88)*(calc!$BT$3:$BT$306&lt;BT88))&gt;0))-SUMPRODUCT(--(calc!$BN$3:$BN$306=TRUE),--(ROW(calc!$BN$3:$BN$306)&gt;ROW(BN88)),--(((calc!$BS$3:$BS$306&gt;BS88)*(calc!$BT$3:$BT$306&lt;BT88)+(calc!$BS$3:$BS$306&lt;BS88)*(calc!$BT$3:$BT$306&gt;BT88))&gt;0)),0)</f>
        <v/>
      </c>
    </row>
    <row r="89">
      <c r="A89" s="2">
        <f>mos_metrics!A88</f>
        <v/>
      </c>
      <c r="B89" s="2">
        <f>mos_metrics!B88</f>
        <v/>
      </c>
      <c r="C89" s="2">
        <f>mos_metrics!C88</f>
        <v/>
      </c>
      <c r="D89" s="2">
        <f>mos_metrics!D88</f>
        <v/>
      </c>
      <c r="E89" s="2">
        <f>mos_metrics!E88</f>
        <v/>
      </c>
      <c r="F89" s="2">
        <f>mos_metrics!F88</f>
        <v/>
      </c>
      <c r="G89" s="2">
        <f>IF($B89="","",IFERROR(VLOOKUP($B89,correlation!$A$2:$B$16,2,FALSE),1))</f>
        <v/>
      </c>
      <c r="H89" s="2">
        <f>IF($E89="","",IFERROR(VLOOKUP($E89,correlation!$D$2:$E$8,2,FALSE),1))</f>
        <v/>
      </c>
      <c r="I89" s="2">
        <f>ISNUMBER($F89)</f>
        <v/>
      </c>
      <c r="J89" s="2">
        <f>AND($G89=1,$H89=1,$I89)</f>
        <v/>
      </c>
      <c r="K89" s="5">
        <f>IF(mos_metrics!G88="","",mos_metrics!G88)</f>
        <v/>
      </c>
      <c r="L89" s="2">
        <f>AND($J89,ISNUMBER(K89),correlation!$I$26=1)</f>
        <v/>
      </c>
      <c r="M89" s="5">
        <f>IF(L89,$F89,"")</f>
        <v/>
      </c>
      <c r="N89" s="5">
        <f>IF(L89,K89*correlation!$J$26,"")</f>
        <v/>
      </c>
      <c r="O89" s="5">
        <f>IF(AND(L89,ISNUMBER(correlation!$F$26)),N89*correlation!$F$26+correlation!$G$26,"")</f>
        <v/>
      </c>
      <c r="P89" s="5">
        <f>IF(AND(L89,ISNUMBER(O89)),(M89-O89)^2,"")</f>
        <v/>
      </c>
      <c r="Q89" s="5">
        <f>IF(L89,1+SUMPRODUCT(--(calc!$L$3:$L$306=TRUE),--(calc!$M$3:$M$306&gt;M89))+(SUMPRODUCT(--(calc!$L$3:$L$306=TRUE),--(calc!$M$3:$M$306=M89))-1)/2,"")</f>
        <v/>
      </c>
      <c r="R89" s="5">
        <f>IF(L89,1+SUMPRODUCT(--(calc!$L$3:$L$306=TRUE),--(calc!$N$3:$N$306&gt;N89))+(SUMPRODUCT(--(calc!$L$3:$L$306=TRUE),--(calc!$N$3:$N$306=N89))-1)/2,"")</f>
        <v/>
      </c>
      <c r="S89" s="5">
        <f>IF(L89,SUMPRODUCT(--(calc!$L$3:$L$306=TRUE),--(ROW(calc!$L$3:$L$306)&gt;ROW(L89)),--(((calc!$Q$3:$Q$306&gt;Q89)*(calc!$R$3:$R$306&gt;R89)+(calc!$Q$3:$Q$306&lt;Q89)*(calc!$R$3:$R$306&lt;R89))&gt;0))-SUMPRODUCT(--(calc!$L$3:$L$306=TRUE),--(ROW(calc!$L$3:$L$306)&gt;ROW(L89)),--(((calc!$Q$3:$Q$306&gt;Q89)*(calc!$R$3:$R$306&lt;R89)+(calc!$Q$3:$Q$306&lt;Q89)*(calc!$R$3:$R$306&gt;R89))&gt;0)),0)</f>
        <v/>
      </c>
      <c r="T89" s="5">
        <f>IF(mos_metrics!H88="","",mos_metrics!H88)</f>
        <v/>
      </c>
      <c r="U89" s="2">
        <f>AND($J89,ISNUMBER(T89),correlation!$I$27=1)</f>
        <v/>
      </c>
      <c r="V89" s="5">
        <f>IF(U89,$F89,"")</f>
        <v/>
      </c>
      <c r="W89" s="5">
        <f>IF(U89,T89*correlation!$J$27,"")</f>
        <v/>
      </c>
      <c r="X89" s="5">
        <f>IF(AND(U89,ISNUMBER(correlation!$F$27)),W89*correlation!$F$27+correlation!$G$27,"")</f>
        <v/>
      </c>
      <c r="Y89" s="5">
        <f>IF(AND(U89,ISNUMBER(X89)),(V89-X89)^2,"")</f>
        <v/>
      </c>
      <c r="Z89" s="5">
        <f>IF(U89,1+SUMPRODUCT(--(calc!$U$3:$U$306=TRUE),--(calc!$V$3:$V$306&gt;V89))+(SUMPRODUCT(--(calc!$U$3:$U$306=TRUE),--(calc!$V$3:$V$306=V89))-1)/2,"")</f>
        <v/>
      </c>
      <c r="AA89" s="5">
        <f>IF(U89,1+SUMPRODUCT(--(calc!$U$3:$U$306=TRUE),--(calc!$W$3:$W$306&gt;W89))+(SUMPRODUCT(--(calc!$U$3:$U$306=TRUE),--(calc!$W$3:$W$306=W89))-1)/2,"")</f>
        <v/>
      </c>
      <c r="AB89" s="5">
        <f>IF(U89,SUMPRODUCT(--(calc!$U$3:$U$306=TRUE),--(ROW(calc!$U$3:$U$306)&gt;ROW(U89)),--(((calc!$Z$3:$Z$306&gt;Z89)*(calc!$AA$3:$AA$306&gt;AA89)+(calc!$Z$3:$Z$306&lt;Z89)*(calc!$AA$3:$AA$306&lt;AA89))&gt;0))-SUMPRODUCT(--(calc!$U$3:$U$306=TRUE),--(ROW(calc!$U$3:$U$306)&gt;ROW(U89)),--(((calc!$Z$3:$Z$306&gt;Z89)*(calc!$AA$3:$AA$306&lt;AA89)+(calc!$Z$3:$Z$306&lt;Z89)*(calc!$AA$3:$AA$306&gt;AA89))&gt;0)),0)</f>
        <v/>
      </c>
      <c r="AC89" s="5">
        <f>IF(mos_metrics!I88="","",mos_metrics!I88)</f>
        <v/>
      </c>
      <c r="AD89" s="2">
        <f>AND($J89,ISNUMBER(AC89),correlation!$I$28=1)</f>
        <v/>
      </c>
      <c r="AE89" s="5">
        <f>IF(AD89,$F89,"")</f>
        <v/>
      </c>
      <c r="AF89" s="5">
        <f>IF(AD89,AC89*correlation!$J$28,"")</f>
        <v/>
      </c>
      <c r="AG89" s="5">
        <f>IF(AND(AD89,ISNUMBER(correlation!$F$28)),AF89*correlation!$F$28+correlation!$G$28,"")</f>
        <v/>
      </c>
      <c r="AH89" s="5">
        <f>IF(AND(AD89,ISNUMBER(AG89)),(AE89-AG89)^2,"")</f>
        <v/>
      </c>
      <c r="AI89" s="5">
        <f>IF(AD89,1+SUMPRODUCT(--(calc!$AD$3:$AD$306=TRUE),--(calc!$AE$3:$AE$306&gt;AE89))+(SUMPRODUCT(--(calc!$AD$3:$AD$306=TRUE),--(calc!$AE$3:$AE$306=AE89))-1)/2,"")</f>
        <v/>
      </c>
      <c r="AJ89" s="5">
        <f>IF(AD89,1+SUMPRODUCT(--(calc!$AD$3:$AD$306=TRUE),--(calc!$AF$3:$AF$306&gt;AF89))+(SUMPRODUCT(--(calc!$AD$3:$AD$306=TRUE),--(calc!$AF$3:$AF$306=AF89))-1)/2,"")</f>
        <v/>
      </c>
      <c r="AK89" s="5">
        <f>IF(AD89,SUMPRODUCT(--(calc!$AD$3:$AD$306=TRUE),--(ROW(calc!$AD$3:$AD$306)&gt;ROW(AD89)),--(((calc!$AI$3:$AI$306&gt;AI89)*(calc!$AJ$3:$AJ$306&gt;AJ89)+(calc!$AI$3:$AI$306&lt;AI89)*(calc!$AJ$3:$AJ$306&lt;AJ89))&gt;0))-SUMPRODUCT(--(calc!$AD$3:$AD$306=TRUE),--(ROW(calc!$AD$3:$AD$306)&gt;ROW(AD89)),--(((calc!$AI$3:$AI$306&gt;AI89)*(calc!$AJ$3:$AJ$306&lt;AJ89)+(calc!$AI$3:$AI$306&lt;AI89)*(calc!$AJ$3:$AJ$306&gt;AJ89))&gt;0)),0)</f>
        <v/>
      </c>
      <c r="AL89" s="5">
        <f>IF(mos_metrics!J88="","",mos_metrics!J88)</f>
        <v/>
      </c>
      <c r="AM89" s="2">
        <f>AND($J89,ISNUMBER(AL89),correlation!$I$29=1)</f>
        <v/>
      </c>
      <c r="AN89" s="5">
        <f>IF(AM89,$F89,"")</f>
        <v/>
      </c>
      <c r="AO89" s="5">
        <f>IF(AM89,AL89*correlation!$J$29,"")</f>
        <v/>
      </c>
      <c r="AP89" s="5">
        <f>IF(AND(AM89,ISNUMBER(correlation!$F$29)),AO89*correlation!$F$29+correlation!$G$29,"")</f>
        <v/>
      </c>
      <c r="AQ89" s="5">
        <f>IF(AND(AM89,ISNUMBER(AP89)),(AN89-AP89)^2,"")</f>
        <v/>
      </c>
      <c r="AR89" s="5">
        <f>IF(AM89,1+SUMPRODUCT(--(calc!$AM$3:$AM$306=TRUE),--(calc!$AN$3:$AN$306&gt;AN89))+(SUMPRODUCT(--(calc!$AM$3:$AM$306=TRUE),--(calc!$AN$3:$AN$306=AN89))-1)/2,"")</f>
        <v/>
      </c>
      <c r="AS89" s="5">
        <f>IF(AM89,1+SUMPRODUCT(--(calc!$AM$3:$AM$306=TRUE),--(calc!$AO$3:$AO$306&gt;AO89))+(SUMPRODUCT(--(calc!$AM$3:$AM$306=TRUE),--(calc!$AO$3:$AO$306=AO89))-1)/2,"")</f>
        <v/>
      </c>
      <c r="AT89" s="5">
        <f>IF(AM89,SUMPRODUCT(--(calc!$AM$3:$AM$306=TRUE),--(ROW(calc!$AM$3:$AM$306)&gt;ROW(AM89)),--(((calc!$AR$3:$AR$306&gt;AR89)*(calc!$AS$3:$AS$306&gt;AS89)+(calc!$AR$3:$AR$306&lt;AR89)*(calc!$AS$3:$AS$306&lt;AS89))&gt;0))-SUMPRODUCT(--(calc!$AM$3:$AM$306=TRUE),--(ROW(calc!$AM$3:$AM$306)&gt;ROW(AM89)),--(((calc!$AR$3:$AR$306&gt;AR89)*(calc!$AS$3:$AS$306&lt;AS89)+(calc!$AR$3:$AR$306&lt;AR89)*(calc!$AS$3:$AS$306&gt;AS89))&gt;0)),0)</f>
        <v/>
      </c>
      <c r="AU89" s="5">
        <f>IF(mos_metrics!K88="","",mos_metrics!K88)</f>
        <v/>
      </c>
      <c r="AV89" s="2">
        <f>AND($J89,ISNUMBER(AU89),correlation!$I$30=1)</f>
        <v/>
      </c>
      <c r="AW89" s="5">
        <f>IF(AV89,$F89,"")</f>
        <v/>
      </c>
      <c r="AX89" s="5">
        <f>IF(AV89,AU89*correlation!$J$30,"")</f>
        <v/>
      </c>
      <c r="AY89" s="5">
        <f>IF(AND(AV89,ISNUMBER(correlation!$F$30)),AX89*correlation!$F$30+correlation!$G$30,"")</f>
        <v/>
      </c>
      <c r="AZ89" s="5">
        <f>IF(AND(AV89,ISNUMBER(AY89)),(AW89-AY89)^2,"")</f>
        <v/>
      </c>
      <c r="BA89" s="5">
        <f>IF(AV89,1+SUMPRODUCT(--(calc!$AV$3:$AV$306=TRUE),--(calc!$AW$3:$AW$306&gt;AW89))+(SUMPRODUCT(--(calc!$AV$3:$AV$306=TRUE),--(calc!$AW$3:$AW$306=AW89))-1)/2,"")</f>
        <v/>
      </c>
      <c r="BB89" s="5">
        <f>IF(AV89,1+SUMPRODUCT(--(calc!$AV$3:$AV$306=TRUE),--(calc!$AX$3:$AX$306&gt;AX89))+(SUMPRODUCT(--(calc!$AV$3:$AV$306=TRUE),--(calc!$AX$3:$AX$306=AX89))-1)/2,"")</f>
        <v/>
      </c>
      <c r="BC89" s="5">
        <f>IF(AV89,SUMPRODUCT(--(calc!$AV$3:$AV$306=TRUE),--(ROW(calc!$AV$3:$AV$306)&gt;ROW(AV89)),--(((calc!$BA$3:$BA$306&gt;BA89)*(calc!$BB$3:$BB$306&gt;BB89)+(calc!$BA$3:$BA$306&lt;BA89)*(calc!$BB$3:$BB$306&lt;BB89))&gt;0))-SUMPRODUCT(--(calc!$AV$3:$AV$306=TRUE),--(ROW(calc!$AV$3:$AV$306)&gt;ROW(AV89)),--(((calc!$BA$3:$BA$306&gt;BA89)*(calc!$BB$3:$BB$306&lt;BB89)+(calc!$BA$3:$BA$306&lt;BA89)*(calc!$BB$3:$BB$306&gt;BB89))&gt;0)),0)</f>
        <v/>
      </c>
      <c r="BD89" s="5">
        <f>IF(mos_metrics!L88="","",mos_metrics!L88)</f>
        <v/>
      </c>
      <c r="BE89" s="2">
        <f>AND($J89,ISNUMBER(BD89),correlation!$I$31=1)</f>
        <v/>
      </c>
      <c r="BF89" s="5">
        <f>IF(BE89,$F89,"")</f>
        <v/>
      </c>
      <c r="BG89" s="5">
        <f>IF(BE89,BD89*correlation!$J$31,"")</f>
        <v/>
      </c>
      <c r="BH89" s="5">
        <f>IF(AND(BE89,ISNUMBER(correlation!$F$31)),BG89*correlation!$F$31+correlation!$G$31,"")</f>
        <v/>
      </c>
      <c r="BI89" s="5">
        <f>IF(AND(BE89,ISNUMBER(BH89)),(BF89-BH89)^2,"")</f>
        <v/>
      </c>
      <c r="BJ89" s="5">
        <f>IF(BE89,1+SUMPRODUCT(--(calc!$BE$3:$BE$306=TRUE),--(calc!$BF$3:$BF$306&gt;BF89))+(SUMPRODUCT(--(calc!$BE$3:$BE$306=TRUE),--(calc!$BF$3:$BF$306=BF89))-1)/2,"")</f>
        <v/>
      </c>
      <c r="BK89" s="5">
        <f>IF(BE89,1+SUMPRODUCT(--(calc!$BE$3:$BE$306=TRUE),--(calc!$BG$3:$BG$306&gt;BG89))+(SUMPRODUCT(--(calc!$BE$3:$BE$306=TRUE),--(calc!$BG$3:$BG$306=BG89))-1)/2,"")</f>
        <v/>
      </c>
      <c r="BL89" s="5">
        <f>IF(BE89,SUMPRODUCT(--(calc!$BE$3:$BE$306=TRUE),--(ROW(calc!$BE$3:$BE$306)&gt;ROW(BE89)),--(((calc!$BJ$3:$BJ$306&gt;BJ89)*(calc!$BK$3:$BK$306&gt;BK89)+(calc!$BJ$3:$BJ$306&lt;BJ89)*(calc!$BK$3:$BK$306&lt;BK89))&gt;0))-SUMPRODUCT(--(calc!$BE$3:$BE$306=TRUE),--(ROW(calc!$BE$3:$BE$306)&gt;ROW(BE89)),--(((calc!$BJ$3:$BJ$306&gt;BJ89)*(calc!$BK$3:$BK$306&lt;BK89)+(calc!$BJ$3:$BJ$306&lt;BJ89)*(calc!$BK$3:$BK$306&gt;BK89))&gt;0)),0)</f>
        <v/>
      </c>
      <c r="BM89" s="5">
        <f>IF(mos_metrics!M88="","",mos_metrics!M88)</f>
        <v/>
      </c>
      <c r="BN89" s="2">
        <f>AND($J89,ISNUMBER(BM89),correlation!$I$32=1)</f>
        <v/>
      </c>
      <c r="BO89" s="5">
        <f>IF(BN89,$F89,"")</f>
        <v/>
      </c>
      <c r="BP89" s="5">
        <f>IF(BN89,BM89*correlation!$J$32,"")</f>
        <v/>
      </c>
      <c r="BQ89" s="5">
        <f>IF(AND(BN89,ISNUMBER(correlation!$F$32)),BP89*correlation!$F$32+correlation!$G$32,"")</f>
        <v/>
      </c>
      <c r="BR89" s="5">
        <f>IF(AND(BN89,ISNUMBER(BQ89)),(BO89-BQ89)^2,"")</f>
        <v/>
      </c>
      <c r="BS89" s="5">
        <f>IF(BN89,1+SUMPRODUCT(--(calc!$BN$3:$BN$306=TRUE),--(calc!$BO$3:$BO$306&gt;BO89))+(SUMPRODUCT(--(calc!$BN$3:$BN$306=TRUE),--(calc!$BO$3:$BO$306=BO89))-1)/2,"")</f>
        <v/>
      </c>
      <c r="BT89" s="5">
        <f>IF(BN89,1+SUMPRODUCT(--(calc!$BN$3:$BN$306=TRUE),--(calc!$BP$3:$BP$306&gt;BP89))+(SUMPRODUCT(--(calc!$BN$3:$BN$306=TRUE),--(calc!$BP$3:$BP$306=BP89))-1)/2,"")</f>
        <v/>
      </c>
      <c r="BU89" s="5">
        <f>IF(BN89,SUMPRODUCT(--(calc!$BN$3:$BN$306=TRUE),--(ROW(calc!$BN$3:$BN$306)&gt;ROW(BN89)),--(((calc!$BS$3:$BS$306&gt;BS89)*(calc!$BT$3:$BT$306&gt;BT89)+(calc!$BS$3:$BS$306&lt;BS89)*(calc!$BT$3:$BT$306&lt;BT89))&gt;0))-SUMPRODUCT(--(calc!$BN$3:$BN$306=TRUE),--(ROW(calc!$BN$3:$BN$306)&gt;ROW(BN89)),--(((calc!$BS$3:$BS$306&gt;BS89)*(calc!$BT$3:$BT$306&lt;BT89)+(calc!$BS$3:$BS$306&lt;BS89)*(calc!$BT$3:$BT$306&gt;BT89))&gt;0)),0)</f>
        <v/>
      </c>
    </row>
    <row r="90">
      <c r="A90" s="2">
        <f>mos_metrics!A89</f>
        <v/>
      </c>
      <c r="B90" s="2">
        <f>mos_metrics!B89</f>
        <v/>
      </c>
      <c r="C90" s="2">
        <f>mos_metrics!C89</f>
        <v/>
      </c>
      <c r="D90" s="2">
        <f>mos_metrics!D89</f>
        <v/>
      </c>
      <c r="E90" s="2">
        <f>mos_metrics!E89</f>
        <v/>
      </c>
      <c r="F90" s="2">
        <f>mos_metrics!F89</f>
        <v/>
      </c>
      <c r="G90" s="2">
        <f>IF($B90="","",IFERROR(VLOOKUP($B90,correlation!$A$2:$B$16,2,FALSE),1))</f>
        <v/>
      </c>
      <c r="H90" s="2">
        <f>IF($E90="","",IFERROR(VLOOKUP($E90,correlation!$D$2:$E$8,2,FALSE),1))</f>
        <v/>
      </c>
      <c r="I90" s="2">
        <f>ISNUMBER($F90)</f>
        <v/>
      </c>
      <c r="J90" s="2">
        <f>AND($G90=1,$H90=1,$I90)</f>
        <v/>
      </c>
      <c r="K90" s="5">
        <f>IF(mos_metrics!G89="","",mos_metrics!G89)</f>
        <v/>
      </c>
      <c r="L90" s="2">
        <f>AND($J90,ISNUMBER(K90),correlation!$I$26=1)</f>
        <v/>
      </c>
      <c r="M90" s="5">
        <f>IF(L90,$F90,"")</f>
        <v/>
      </c>
      <c r="N90" s="5">
        <f>IF(L90,K90*correlation!$J$26,"")</f>
        <v/>
      </c>
      <c r="O90" s="5">
        <f>IF(AND(L90,ISNUMBER(correlation!$F$26)),N90*correlation!$F$26+correlation!$G$26,"")</f>
        <v/>
      </c>
      <c r="P90" s="5">
        <f>IF(AND(L90,ISNUMBER(O90)),(M90-O90)^2,"")</f>
        <v/>
      </c>
      <c r="Q90" s="5">
        <f>IF(L90,1+SUMPRODUCT(--(calc!$L$3:$L$306=TRUE),--(calc!$M$3:$M$306&gt;M90))+(SUMPRODUCT(--(calc!$L$3:$L$306=TRUE),--(calc!$M$3:$M$306=M90))-1)/2,"")</f>
        <v/>
      </c>
      <c r="R90" s="5">
        <f>IF(L90,1+SUMPRODUCT(--(calc!$L$3:$L$306=TRUE),--(calc!$N$3:$N$306&gt;N90))+(SUMPRODUCT(--(calc!$L$3:$L$306=TRUE),--(calc!$N$3:$N$306=N90))-1)/2,"")</f>
        <v/>
      </c>
      <c r="S90" s="5">
        <f>IF(L90,SUMPRODUCT(--(calc!$L$3:$L$306=TRUE),--(ROW(calc!$L$3:$L$306)&gt;ROW(L90)),--(((calc!$Q$3:$Q$306&gt;Q90)*(calc!$R$3:$R$306&gt;R90)+(calc!$Q$3:$Q$306&lt;Q90)*(calc!$R$3:$R$306&lt;R90))&gt;0))-SUMPRODUCT(--(calc!$L$3:$L$306=TRUE),--(ROW(calc!$L$3:$L$306)&gt;ROW(L90)),--(((calc!$Q$3:$Q$306&gt;Q90)*(calc!$R$3:$R$306&lt;R90)+(calc!$Q$3:$Q$306&lt;Q90)*(calc!$R$3:$R$306&gt;R90))&gt;0)),0)</f>
        <v/>
      </c>
      <c r="T90" s="5">
        <f>IF(mos_metrics!H89="","",mos_metrics!H89)</f>
        <v/>
      </c>
      <c r="U90" s="2">
        <f>AND($J90,ISNUMBER(T90),correlation!$I$27=1)</f>
        <v/>
      </c>
      <c r="V90" s="5">
        <f>IF(U90,$F90,"")</f>
        <v/>
      </c>
      <c r="W90" s="5">
        <f>IF(U90,T90*correlation!$J$27,"")</f>
        <v/>
      </c>
      <c r="X90" s="5">
        <f>IF(AND(U90,ISNUMBER(correlation!$F$27)),W90*correlation!$F$27+correlation!$G$27,"")</f>
        <v/>
      </c>
      <c r="Y90" s="5">
        <f>IF(AND(U90,ISNUMBER(X90)),(V90-X90)^2,"")</f>
        <v/>
      </c>
      <c r="Z90" s="5">
        <f>IF(U90,1+SUMPRODUCT(--(calc!$U$3:$U$306=TRUE),--(calc!$V$3:$V$306&gt;V90))+(SUMPRODUCT(--(calc!$U$3:$U$306=TRUE),--(calc!$V$3:$V$306=V90))-1)/2,"")</f>
        <v/>
      </c>
      <c r="AA90" s="5">
        <f>IF(U90,1+SUMPRODUCT(--(calc!$U$3:$U$306=TRUE),--(calc!$W$3:$W$306&gt;W90))+(SUMPRODUCT(--(calc!$U$3:$U$306=TRUE),--(calc!$W$3:$W$306=W90))-1)/2,"")</f>
        <v/>
      </c>
      <c r="AB90" s="5">
        <f>IF(U90,SUMPRODUCT(--(calc!$U$3:$U$306=TRUE),--(ROW(calc!$U$3:$U$306)&gt;ROW(U90)),--(((calc!$Z$3:$Z$306&gt;Z90)*(calc!$AA$3:$AA$306&gt;AA90)+(calc!$Z$3:$Z$306&lt;Z90)*(calc!$AA$3:$AA$306&lt;AA90))&gt;0))-SUMPRODUCT(--(calc!$U$3:$U$306=TRUE),--(ROW(calc!$U$3:$U$306)&gt;ROW(U90)),--(((calc!$Z$3:$Z$306&gt;Z90)*(calc!$AA$3:$AA$306&lt;AA90)+(calc!$Z$3:$Z$306&lt;Z90)*(calc!$AA$3:$AA$306&gt;AA90))&gt;0)),0)</f>
        <v/>
      </c>
      <c r="AC90" s="5">
        <f>IF(mos_metrics!I89="","",mos_metrics!I89)</f>
        <v/>
      </c>
      <c r="AD90" s="2">
        <f>AND($J90,ISNUMBER(AC90),correlation!$I$28=1)</f>
        <v/>
      </c>
      <c r="AE90" s="5">
        <f>IF(AD90,$F90,"")</f>
        <v/>
      </c>
      <c r="AF90" s="5">
        <f>IF(AD90,AC90*correlation!$J$28,"")</f>
        <v/>
      </c>
      <c r="AG90" s="5">
        <f>IF(AND(AD90,ISNUMBER(correlation!$F$28)),AF90*correlation!$F$28+correlation!$G$28,"")</f>
        <v/>
      </c>
      <c r="AH90" s="5">
        <f>IF(AND(AD90,ISNUMBER(AG90)),(AE90-AG90)^2,"")</f>
        <v/>
      </c>
      <c r="AI90" s="5">
        <f>IF(AD90,1+SUMPRODUCT(--(calc!$AD$3:$AD$306=TRUE),--(calc!$AE$3:$AE$306&gt;AE90))+(SUMPRODUCT(--(calc!$AD$3:$AD$306=TRUE),--(calc!$AE$3:$AE$306=AE90))-1)/2,"")</f>
        <v/>
      </c>
      <c r="AJ90" s="5">
        <f>IF(AD90,1+SUMPRODUCT(--(calc!$AD$3:$AD$306=TRUE),--(calc!$AF$3:$AF$306&gt;AF90))+(SUMPRODUCT(--(calc!$AD$3:$AD$306=TRUE),--(calc!$AF$3:$AF$306=AF90))-1)/2,"")</f>
        <v/>
      </c>
      <c r="AK90" s="5">
        <f>IF(AD90,SUMPRODUCT(--(calc!$AD$3:$AD$306=TRUE),--(ROW(calc!$AD$3:$AD$306)&gt;ROW(AD90)),--(((calc!$AI$3:$AI$306&gt;AI90)*(calc!$AJ$3:$AJ$306&gt;AJ90)+(calc!$AI$3:$AI$306&lt;AI90)*(calc!$AJ$3:$AJ$306&lt;AJ90))&gt;0))-SUMPRODUCT(--(calc!$AD$3:$AD$306=TRUE),--(ROW(calc!$AD$3:$AD$306)&gt;ROW(AD90)),--(((calc!$AI$3:$AI$306&gt;AI90)*(calc!$AJ$3:$AJ$306&lt;AJ90)+(calc!$AI$3:$AI$306&lt;AI90)*(calc!$AJ$3:$AJ$306&gt;AJ90))&gt;0)),0)</f>
        <v/>
      </c>
      <c r="AL90" s="5">
        <f>IF(mos_metrics!J89="","",mos_metrics!J89)</f>
        <v/>
      </c>
      <c r="AM90" s="2">
        <f>AND($J90,ISNUMBER(AL90),correlation!$I$29=1)</f>
        <v/>
      </c>
      <c r="AN90" s="5">
        <f>IF(AM90,$F90,"")</f>
        <v/>
      </c>
      <c r="AO90" s="5">
        <f>IF(AM90,AL90*correlation!$J$29,"")</f>
        <v/>
      </c>
      <c r="AP90" s="5">
        <f>IF(AND(AM90,ISNUMBER(correlation!$F$29)),AO90*correlation!$F$29+correlation!$G$29,"")</f>
        <v/>
      </c>
      <c r="AQ90" s="5">
        <f>IF(AND(AM90,ISNUMBER(AP90)),(AN90-AP90)^2,"")</f>
        <v/>
      </c>
      <c r="AR90" s="5">
        <f>IF(AM90,1+SUMPRODUCT(--(calc!$AM$3:$AM$306=TRUE),--(calc!$AN$3:$AN$306&gt;AN90))+(SUMPRODUCT(--(calc!$AM$3:$AM$306=TRUE),--(calc!$AN$3:$AN$306=AN90))-1)/2,"")</f>
        <v/>
      </c>
      <c r="AS90" s="5">
        <f>IF(AM90,1+SUMPRODUCT(--(calc!$AM$3:$AM$306=TRUE),--(calc!$AO$3:$AO$306&gt;AO90))+(SUMPRODUCT(--(calc!$AM$3:$AM$306=TRUE),--(calc!$AO$3:$AO$306=AO90))-1)/2,"")</f>
        <v/>
      </c>
      <c r="AT90" s="5">
        <f>IF(AM90,SUMPRODUCT(--(calc!$AM$3:$AM$306=TRUE),--(ROW(calc!$AM$3:$AM$306)&gt;ROW(AM90)),--(((calc!$AR$3:$AR$306&gt;AR90)*(calc!$AS$3:$AS$306&gt;AS90)+(calc!$AR$3:$AR$306&lt;AR90)*(calc!$AS$3:$AS$306&lt;AS90))&gt;0))-SUMPRODUCT(--(calc!$AM$3:$AM$306=TRUE),--(ROW(calc!$AM$3:$AM$306)&gt;ROW(AM90)),--(((calc!$AR$3:$AR$306&gt;AR90)*(calc!$AS$3:$AS$306&lt;AS90)+(calc!$AR$3:$AR$306&lt;AR90)*(calc!$AS$3:$AS$306&gt;AS90))&gt;0)),0)</f>
        <v/>
      </c>
      <c r="AU90" s="5">
        <f>IF(mos_metrics!K89="","",mos_metrics!K89)</f>
        <v/>
      </c>
      <c r="AV90" s="2">
        <f>AND($J90,ISNUMBER(AU90),correlation!$I$30=1)</f>
        <v/>
      </c>
      <c r="AW90" s="5">
        <f>IF(AV90,$F90,"")</f>
        <v/>
      </c>
      <c r="AX90" s="5">
        <f>IF(AV90,AU90*correlation!$J$30,"")</f>
        <v/>
      </c>
      <c r="AY90" s="5">
        <f>IF(AND(AV90,ISNUMBER(correlation!$F$30)),AX90*correlation!$F$30+correlation!$G$30,"")</f>
        <v/>
      </c>
      <c r="AZ90" s="5">
        <f>IF(AND(AV90,ISNUMBER(AY90)),(AW90-AY90)^2,"")</f>
        <v/>
      </c>
      <c r="BA90" s="5">
        <f>IF(AV90,1+SUMPRODUCT(--(calc!$AV$3:$AV$306=TRUE),--(calc!$AW$3:$AW$306&gt;AW90))+(SUMPRODUCT(--(calc!$AV$3:$AV$306=TRUE),--(calc!$AW$3:$AW$306=AW90))-1)/2,"")</f>
        <v/>
      </c>
      <c r="BB90" s="5">
        <f>IF(AV90,1+SUMPRODUCT(--(calc!$AV$3:$AV$306=TRUE),--(calc!$AX$3:$AX$306&gt;AX90))+(SUMPRODUCT(--(calc!$AV$3:$AV$306=TRUE),--(calc!$AX$3:$AX$306=AX90))-1)/2,"")</f>
        <v/>
      </c>
      <c r="BC90" s="5">
        <f>IF(AV90,SUMPRODUCT(--(calc!$AV$3:$AV$306=TRUE),--(ROW(calc!$AV$3:$AV$306)&gt;ROW(AV90)),--(((calc!$BA$3:$BA$306&gt;BA90)*(calc!$BB$3:$BB$306&gt;BB90)+(calc!$BA$3:$BA$306&lt;BA90)*(calc!$BB$3:$BB$306&lt;BB90))&gt;0))-SUMPRODUCT(--(calc!$AV$3:$AV$306=TRUE),--(ROW(calc!$AV$3:$AV$306)&gt;ROW(AV90)),--(((calc!$BA$3:$BA$306&gt;BA90)*(calc!$BB$3:$BB$306&lt;BB90)+(calc!$BA$3:$BA$306&lt;BA90)*(calc!$BB$3:$BB$306&gt;BB90))&gt;0)),0)</f>
        <v/>
      </c>
      <c r="BD90" s="5">
        <f>IF(mos_metrics!L89="","",mos_metrics!L89)</f>
        <v/>
      </c>
      <c r="BE90" s="2">
        <f>AND($J90,ISNUMBER(BD90),correlation!$I$31=1)</f>
        <v/>
      </c>
      <c r="BF90" s="5">
        <f>IF(BE90,$F90,"")</f>
        <v/>
      </c>
      <c r="BG90" s="5">
        <f>IF(BE90,BD90*correlation!$J$31,"")</f>
        <v/>
      </c>
      <c r="BH90" s="5">
        <f>IF(AND(BE90,ISNUMBER(correlation!$F$31)),BG90*correlation!$F$31+correlation!$G$31,"")</f>
        <v/>
      </c>
      <c r="BI90" s="5">
        <f>IF(AND(BE90,ISNUMBER(BH90)),(BF90-BH90)^2,"")</f>
        <v/>
      </c>
      <c r="BJ90" s="5">
        <f>IF(BE90,1+SUMPRODUCT(--(calc!$BE$3:$BE$306=TRUE),--(calc!$BF$3:$BF$306&gt;BF90))+(SUMPRODUCT(--(calc!$BE$3:$BE$306=TRUE),--(calc!$BF$3:$BF$306=BF90))-1)/2,"")</f>
        <v/>
      </c>
      <c r="BK90" s="5">
        <f>IF(BE90,1+SUMPRODUCT(--(calc!$BE$3:$BE$306=TRUE),--(calc!$BG$3:$BG$306&gt;BG90))+(SUMPRODUCT(--(calc!$BE$3:$BE$306=TRUE),--(calc!$BG$3:$BG$306=BG90))-1)/2,"")</f>
        <v/>
      </c>
      <c r="BL90" s="5">
        <f>IF(BE90,SUMPRODUCT(--(calc!$BE$3:$BE$306=TRUE),--(ROW(calc!$BE$3:$BE$306)&gt;ROW(BE90)),--(((calc!$BJ$3:$BJ$306&gt;BJ90)*(calc!$BK$3:$BK$306&gt;BK90)+(calc!$BJ$3:$BJ$306&lt;BJ90)*(calc!$BK$3:$BK$306&lt;BK90))&gt;0))-SUMPRODUCT(--(calc!$BE$3:$BE$306=TRUE),--(ROW(calc!$BE$3:$BE$306)&gt;ROW(BE90)),--(((calc!$BJ$3:$BJ$306&gt;BJ90)*(calc!$BK$3:$BK$306&lt;BK90)+(calc!$BJ$3:$BJ$306&lt;BJ90)*(calc!$BK$3:$BK$306&gt;BK90))&gt;0)),0)</f>
        <v/>
      </c>
      <c r="BM90" s="5">
        <f>IF(mos_metrics!M89="","",mos_metrics!M89)</f>
        <v/>
      </c>
      <c r="BN90" s="2">
        <f>AND($J90,ISNUMBER(BM90),correlation!$I$32=1)</f>
        <v/>
      </c>
      <c r="BO90" s="5">
        <f>IF(BN90,$F90,"")</f>
        <v/>
      </c>
      <c r="BP90" s="5">
        <f>IF(BN90,BM90*correlation!$J$32,"")</f>
        <v/>
      </c>
      <c r="BQ90" s="5">
        <f>IF(AND(BN90,ISNUMBER(correlation!$F$32)),BP90*correlation!$F$32+correlation!$G$32,"")</f>
        <v/>
      </c>
      <c r="BR90" s="5">
        <f>IF(AND(BN90,ISNUMBER(BQ90)),(BO90-BQ90)^2,"")</f>
        <v/>
      </c>
      <c r="BS90" s="5">
        <f>IF(BN90,1+SUMPRODUCT(--(calc!$BN$3:$BN$306=TRUE),--(calc!$BO$3:$BO$306&gt;BO90))+(SUMPRODUCT(--(calc!$BN$3:$BN$306=TRUE),--(calc!$BO$3:$BO$306=BO90))-1)/2,"")</f>
        <v/>
      </c>
      <c r="BT90" s="5">
        <f>IF(BN90,1+SUMPRODUCT(--(calc!$BN$3:$BN$306=TRUE),--(calc!$BP$3:$BP$306&gt;BP90))+(SUMPRODUCT(--(calc!$BN$3:$BN$306=TRUE),--(calc!$BP$3:$BP$306=BP90))-1)/2,"")</f>
        <v/>
      </c>
      <c r="BU90" s="5">
        <f>IF(BN90,SUMPRODUCT(--(calc!$BN$3:$BN$306=TRUE),--(ROW(calc!$BN$3:$BN$306)&gt;ROW(BN90)),--(((calc!$BS$3:$BS$306&gt;BS90)*(calc!$BT$3:$BT$306&gt;BT90)+(calc!$BS$3:$BS$306&lt;BS90)*(calc!$BT$3:$BT$306&lt;BT90))&gt;0))-SUMPRODUCT(--(calc!$BN$3:$BN$306=TRUE),--(ROW(calc!$BN$3:$BN$306)&gt;ROW(BN90)),--(((calc!$BS$3:$BS$306&gt;BS90)*(calc!$BT$3:$BT$306&lt;BT90)+(calc!$BS$3:$BS$306&lt;BS90)*(calc!$BT$3:$BT$306&gt;BT90))&gt;0)),0)</f>
        <v/>
      </c>
    </row>
    <row r="91">
      <c r="A91" s="2">
        <f>mos_metrics!A90</f>
        <v/>
      </c>
      <c r="B91" s="2">
        <f>mos_metrics!B90</f>
        <v/>
      </c>
      <c r="C91" s="2">
        <f>mos_metrics!C90</f>
        <v/>
      </c>
      <c r="D91" s="2">
        <f>mos_metrics!D90</f>
        <v/>
      </c>
      <c r="E91" s="2">
        <f>mos_metrics!E90</f>
        <v/>
      </c>
      <c r="F91" s="2">
        <f>mos_metrics!F90</f>
        <v/>
      </c>
      <c r="G91" s="2">
        <f>IF($B91="","",IFERROR(VLOOKUP($B91,correlation!$A$2:$B$16,2,FALSE),1))</f>
        <v/>
      </c>
      <c r="H91" s="2">
        <f>IF($E91="","",IFERROR(VLOOKUP($E91,correlation!$D$2:$E$8,2,FALSE),1))</f>
        <v/>
      </c>
      <c r="I91" s="2">
        <f>ISNUMBER($F91)</f>
        <v/>
      </c>
      <c r="J91" s="2">
        <f>AND($G91=1,$H91=1,$I91)</f>
        <v/>
      </c>
      <c r="K91" s="5">
        <f>IF(mos_metrics!G90="","",mos_metrics!G90)</f>
        <v/>
      </c>
      <c r="L91" s="2">
        <f>AND($J91,ISNUMBER(K91),correlation!$I$26=1)</f>
        <v/>
      </c>
      <c r="M91" s="5">
        <f>IF(L91,$F91,"")</f>
        <v/>
      </c>
      <c r="N91" s="5">
        <f>IF(L91,K91*correlation!$J$26,"")</f>
        <v/>
      </c>
      <c r="O91" s="5">
        <f>IF(AND(L91,ISNUMBER(correlation!$F$26)),N91*correlation!$F$26+correlation!$G$26,"")</f>
        <v/>
      </c>
      <c r="P91" s="5">
        <f>IF(AND(L91,ISNUMBER(O91)),(M91-O91)^2,"")</f>
        <v/>
      </c>
      <c r="Q91" s="5">
        <f>IF(L91,1+SUMPRODUCT(--(calc!$L$3:$L$306=TRUE),--(calc!$M$3:$M$306&gt;M91))+(SUMPRODUCT(--(calc!$L$3:$L$306=TRUE),--(calc!$M$3:$M$306=M91))-1)/2,"")</f>
        <v/>
      </c>
      <c r="R91" s="5">
        <f>IF(L91,1+SUMPRODUCT(--(calc!$L$3:$L$306=TRUE),--(calc!$N$3:$N$306&gt;N91))+(SUMPRODUCT(--(calc!$L$3:$L$306=TRUE),--(calc!$N$3:$N$306=N91))-1)/2,"")</f>
        <v/>
      </c>
      <c r="S91" s="5">
        <f>IF(L91,SUMPRODUCT(--(calc!$L$3:$L$306=TRUE),--(ROW(calc!$L$3:$L$306)&gt;ROW(L91)),--(((calc!$Q$3:$Q$306&gt;Q91)*(calc!$R$3:$R$306&gt;R91)+(calc!$Q$3:$Q$306&lt;Q91)*(calc!$R$3:$R$306&lt;R91))&gt;0))-SUMPRODUCT(--(calc!$L$3:$L$306=TRUE),--(ROW(calc!$L$3:$L$306)&gt;ROW(L91)),--(((calc!$Q$3:$Q$306&gt;Q91)*(calc!$R$3:$R$306&lt;R91)+(calc!$Q$3:$Q$306&lt;Q91)*(calc!$R$3:$R$306&gt;R91))&gt;0)),0)</f>
        <v/>
      </c>
      <c r="T91" s="5">
        <f>IF(mos_metrics!H90="","",mos_metrics!H90)</f>
        <v/>
      </c>
      <c r="U91" s="2">
        <f>AND($J91,ISNUMBER(T91),correlation!$I$27=1)</f>
        <v/>
      </c>
      <c r="V91" s="5">
        <f>IF(U91,$F91,"")</f>
        <v/>
      </c>
      <c r="W91" s="5">
        <f>IF(U91,T91*correlation!$J$27,"")</f>
        <v/>
      </c>
      <c r="X91" s="5">
        <f>IF(AND(U91,ISNUMBER(correlation!$F$27)),W91*correlation!$F$27+correlation!$G$27,"")</f>
        <v/>
      </c>
      <c r="Y91" s="5">
        <f>IF(AND(U91,ISNUMBER(X91)),(V91-X91)^2,"")</f>
        <v/>
      </c>
      <c r="Z91" s="5">
        <f>IF(U91,1+SUMPRODUCT(--(calc!$U$3:$U$306=TRUE),--(calc!$V$3:$V$306&gt;V91))+(SUMPRODUCT(--(calc!$U$3:$U$306=TRUE),--(calc!$V$3:$V$306=V91))-1)/2,"")</f>
        <v/>
      </c>
      <c r="AA91" s="5">
        <f>IF(U91,1+SUMPRODUCT(--(calc!$U$3:$U$306=TRUE),--(calc!$W$3:$W$306&gt;W91))+(SUMPRODUCT(--(calc!$U$3:$U$306=TRUE),--(calc!$W$3:$W$306=W91))-1)/2,"")</f>
        <v/>
      </c>
      <c r="AB91" s="5">
        <f>IF(U91,SUMPRODUCT(--(calc!$U$3:$U$306=TRUE),--(ROW(calc!$U$3:$U$306)&gt;ROW(U91)),--(((calc!$Z$3:$Z$306&gt;Z91)*(calc!$AA$3:$AA$306&gt;AA91)+(calc!$Z$3:$Z$306&lt;Z91)*(calc!$AA$3:$AA$306&lt;AA91))&gt;0))-SUMPRODUCT(--(calc!$U$3:$U$306=TRUE),--(ROW(calc!$U$3:$U$306)&gt;ROW(U91)),--(((calc!$Z$3:$Z$306&gt;Z91)*(calc!$AA$3:$AA$306&lt;AA91)+(calc!$Z$3:$Z$306&lt;Z91)*(calc!$AA$3:$AA$306&gt;AA91))&gt;0)),0)</f>
        <v/>
      </c>
      <c r="AC91" s="5">
        <f>IF(mos_metrics!I90="","",mos_metrics!I90)</f>
        <v/>
      </c>
      <c r="AD91" s="2">
        <f>AND($J91,ISNUMBER(AC91),correlation!$I$28=1)</f>
        <v/>
      </c>
      <c r="AE91" s="5">
        <f>IF(AD91,$F91,"")</f>
        <v/>
      </c>
      <c r="AF91" s="5">
        <f>IF(AD91,AC91*correlation!$J$28,"")</f>
        <v/>
      </c>
      <c r="AG91" s="5">
        <f>IF(AND(AD91,ISNUMBER(correlation!$F$28)),AF91*correlation!$F$28+correlation!$G$28,"")</f>
        <v/>
      </c>
      <c r="AH91" s="5">
        <f>IF(AND(AD91,ISNUMBER(AG91)),(AE91-AG91)^2,"")</f>
        <v/>
      </c>
      <c r="AI91" s="5">
        <f>IF(AD91,1+SUMPRODUCT(--(calc!$AD$3:$AD$306=TRUE),--(calc!$AE$3:$AE$306&gt;AE91))+(SUMPRODUCT(--(calc!$AD$3:$AD$306=TRUE),--(calc!$AE$3:$AE$306=AE91))-1)/2,"")</f>
        <v/>
      </c>
      <c r="AJ91" s="5">
        <f>IF(AD91,1+SUMPRODUCT(--(calc!$AD$3:$AD$306=TRUE),--(calc!$AF$3:$AF$306&gt;AF91))+(SUMPRODUCT(--(calc!$AD$3:$AD$306=TRUE),--(calc!$AF$3:$AF$306=AF91))-1)/2,"")</f>
        <v/>
      </c>
      <c r="AK91" s="5">
        <f>IF(AD91,SUMPRODUCT(--(calc!$AD$3:$AD$306=TRUE),--(ROW(calc!$AD$3:$AD$306)&gt;ROW(AD91)),--(((calc!$AI$3:$AI$306&gt;AI91)*(calc!$AJ$3:$AJ$306&gt;AJ91)+(calc!$AI$3:$AI$306&lt;AI91)*(calc!$AJ$3:$AJ$306&lt;AJ91))&gt;0))-SUMPRODUCT(--(calc!$AD$3:$AD$306=TRUE),--(ROW(calc!$AD$3:$AD$306)&gt;ROW(AD91)),--(((calc!$AI$3:$AI$306&gt;AI91)*(calc!$AJ$3:$AJ$306&lt;AJ91)+(calc!$AI$3:$AI$306&lt;AI91)*(calc!$AJ$3:$AJ$306&gt;AJ91))&gt;0)),0)</f>
        <v/>
      </c>
      <c r="AL91" s="5">
        <f>IF(mos_metrics!J90="","",mos_metrics!J90)</f>
        <v/>
      </c>
      <c r="AM91" s="2">
        <f>AND($J91,ISNUMBER(AL91),correlation!$I$29=1)</f>
        <v/>
      </c>
      <c r="AN91" s="5">
        <f>IF(AM91,$F91,"")</f>
        <v/>
      </c>
      <c r="AO91" s="5">
        <f>IF(AM91,AL91*correlation!$J$29,"")</f>
        <v/>
      </c>
      <c r="AP91" s="5">
        <f>IF(AND(AM91,ISNUMBER(correlation!$F$29)),AO91*correlation!$F$29+correlation!$G$29,"")</f>
        <v/>
      </c>
      <c r="AQ91" s="5">
        <f>IF(AND(AM91,ISNUMBER(AP91)),(AN91-AP91)^2,"")</f>
        <v/>
      </c>
      <c r="AR91" s="5">
        <f>IF(AM91,1+SUMPRODUCT(--(calc!$AM$3:$AM$306=TRUE),--(calc!$AN$3:$AN$306&gt;AN91))+(SUMPRODUCT(--(calc!$AM$3:$AM$306=TRUE),--(calc!$AN$3:$AN$306=AN91))-1)/2,"")</f>
        <v/>
      </c>
      <c r="AS91" s="5">
        <f>IF(AM91,1+SUMPRODUCT(--(calc!$AM$3:$AM$306=TRUE),--(calc!$AO$3:$AO$306&gt;AO91))+(SUMPRODUCT(--(calc!$AM$3:$AM$306=TRUE),--(calc!$AO$3:$AO$306=AO91))-1)/2,"")</f>
        <v/>
      </c>
      <c r="AT91" s="5">
        <f>IF(AM91,SUMPRODUCT(--(calc!$AM$3:$AM$306=TRUE),--(ROW(calc!$AM$3:$AM$306)&gt;ROW(AM91)),--(((calc!$AR$3:$AR$306&gt;AR91)*(calc!$AS$3:$AS$306&gt;AS91)+(calc!$AR$3:$AR$306&lt;AR91)*(calc!$AS$3:$AS$306&lt;AS91))&gt;0))-SUMPRODUCT(--(calc!$AM$3:$AM$306=TRUE),--(ROW(calc!$AM$3:$AM$306)&gt;ROW(AM91)),--(((calc!$AR$3:$AR$306&gt;AR91)*(calc!$AS$3:$AS$306&lt;AS91)+(calc!$AR$3:$AR$306&lt;AR91)*(calc!$AS$3:$AS$306&gt;AS91))&gt;0)),0)</f>
        <v/>
      </c>
      <c r="AU91" s="5">
        <f>IF(mos_metrics!K90="","",mos_metrics!K90)</f>
        <v/>
      </c>
      <c r="AV91" s="2">
        <f>AND($J91,ISNUMBER(AU91),correlation!$I$30=1)</f>
        <v/>
      </c>
      <c r="AW91" s="5">
        <f>IF(AV91,$F91,"")</f>
        <v/>
      </c>
      <c r="AX91" s="5">
        <f>IF(AV91,AU91*correlation!$J$30,"")</f>
        <v/>
      </c>
      <c r="AY91" s="5">
        <f>IF(AND(AV91,ISNUMBER(correlation!$F$30)),AX91*correlation!$F$30+correlation!$G$30,"")</f>
        <v/>
      </c>
      <c r="AZ91" s="5">
        <f>IF(AND(AV91,ISNUMBER(AY91)),(AW91-AY91)^2,"")</f>
        <v/>
      </c>
      <c r="BA91" s="5">
        <f>IF(AV91,1+SUMPRODUCT(--(calc!$AV$3:$AV$306=TRUE),--(calc!$AW$3:$AW$306&gt;AW91))+(SUMPRODUCT(--(calc!$AV$3:$AV$306=TRUE),--(calc!$AW$3:$AW$306=AW91))-1)/2,"")</f>
        <v/>
      </c>
      <c r="BB91" s="5">
        <f>IF(AV91,1+SUMPRODUCT(--(calc!$AV$3:$AV$306=TRUE),--(calc!$AX$3:$AX$306&gt;AX91))+(SUMPRODUCT(--(calc!$AV$3:$AV$306=TRUE),--(calc!$AX$3:$AX$306=AX91))-1)/2,"")</f>
        <v/>
      </c>
      <c r="BC91" s="5">
        <f>IF(AV91,SUMPRODUCT(--(calc!$AV$3:$AV$306=TRUE),--(ROW(calc!$AV$3:$AV$306)&gt;ROW(AV91)),--(((calc!$BA$3:$BA$306&gt;BA91)*(calc!$BB$3:$BB$306&gt;BB91)+(calc!$BA$3:$BA$306&lt;BA91)*(calc!$BB$3:$BB$306&lt;BB91))&gt;0))-SUMPRODUCT(--(calc!$AV$3:$AV$306=TRUE),--(ROW(calc!$AV$3:$AV$306)&gt;ROW(AV91)),--(((calc!$BA$3:$BA$306&gt;BA91)*(calc!$BB$3:$BB$306&lt;BB91)+(calc!$BA$3:$BA$306&lt;BA91)*(calc!$BB$3:$BB$306&gt;BB91))&gt;0)),0)</f>
        <v/>
      </c>
      <c r="BD91" s="5">
        <f>IF(mos_metrics!L90="","",mos_metrics!L90)</f>
        <v/>
      </c>
      <c r="BE91" s="2">
        <f>AND($J91,ISNUMBER(BD91),correlation!$I$31=1)</f>
        <v/>
      </c>
      <c r="BF91" s="5">
        <f>IF(BE91,$F91,"")</f>
        <v/>
      </c>
      <c r="BG91" s="5">
        <f>IF(BE91,BD91*correlation!$J$31,"")</f>
        <v/>
      </c>
      <c r="BH91" s="5">
        <f>IF(AND(BE91,ISNUMBER(correlation!$F$31)),BG91*correlation!$F$31+correlation!$G$31,"")</f>
        <v/>
      </c>
      <c r="BI91" s="5">
        <f>IF(AND(BE91,ISNUMBER(BH91)),(BF91-BH91)^2,"")</f>
        <v/>
      </c>
      <c r="BJ91" s="5">
        <f>IF(BE91,1+SUMPRODUCT(--(calc!$BE$3:$BE$306=TRUE),--(calc!$BF$3:$BF$306&gt;BF91))+(SUMPRODUCT(--(calc!$BE$3:$BE$306=TRUE),--(calc!$BF$3:$BF$306=BF91))-1)/2,"")</f>
        <v/>
      </c>
      <c r="BK91" s="5">
        <f>IF(BE91,1+SUMPRODUCT(--(calc!$BE$3:$BE$306=TRUE),--(calc!$BG$3:$BG$306&gt;BG91))+(SUMPRODUCT(--(calc!$BE$3:$BE$306=TRUE),--(calc!$BG$3:$BG$306=BG91))-1)/2,"")</f>
        <v/>
      </c>
      <c r="BL91" s="5">
        <f>IF(BE91,SUMPRODUCT(--(calc!$BE$3:$BE$306=TRUE),--(ROW(calc!$BE$3:$BE$306)&gt;ROW(BE91)),--(((calc!$BJ$3:$BJ$306&gt;BJ91)*(calc!$BK$3:$BK$306&gt;BK91)+(calc!$BJ$3:$BJ$306&lt;BJ91)*(calc!$BK$3:$BK$306&lt;BK91))&gt;0))-SUMPRODUCT(--(calc!$BE$3:$BE$306=TRUE),--(ROW(calc!$BE$3:$BE$306)&gt;ROW(BE91)),--(((calc!$BJ$3:$BJ$306&gt;BJ91)*(calc!$BK$3:$BK$306&lt;BK91)+(calc!$BJ$3:$BJ$306&lt;BJ91)*(calc!$BK$3:$BK$306&gt;BK91))&gt;0)),0)</f>
        <v/>
      </c>
      <c r="BM91" s="5">
        <f>IF(mos_metrics!M90="","",mos_metrics!M90)</f>
        <v/>
      </c>
      <c r="BN91" s="2">
        <f>AND($J91,ISNUMBER(BM91),correlation!$I$32=1)</f>
        <v/>
      </c>
      <c r="BO91" s="5">
        <f>IF(BN91,$F91,"")</f>
        <v/>
      </c>
      <c r="BP91" s="5">
        <f>IF(BN91,BM91*correlation!$J$32,"")</f>
        <v/>
      </c>
      <c r="BQ91" s="5">
        <f>IF(AND(BN91,ISNUMBER(correlation!$F$32)),BP91*correlation!$F$32+correlation!$G$32,"")</f>
        <v/>
      </c>
      <c r="BR91" s="5">
        <f>IF(AND(BN91,ISNUMBER(BQ91)),(BO91-BQ91)^2,"")</f>
        <v/>
      </c>
      <c r="BS91" s="5">
        <f>IF(BN91,1+SUMPRODUCT(--(calc!$BN$3:$BN$306=TRUE),--(calc!$BO$3:$BO$306&gt;BO91))+(SUMPRODUCT(--(calc!$BN$3:$BN$306=TRUE),--(calc!$BO$3:$BO$306=BO91))-1)/2,"")</f>
        <v/>
      </c>
      <c r="BT91" s="5">
        <f>IF(BN91,1+SUMPRODUCT(--(calc!$BN$3:$BN$306=TRUE),--(calc!$BP$3:$BP$306&gt;BP91))+(SUMPRODUCT(--(calc!$BN$3:$BN$306=TRUE),--(calc!$BP$3:$BP$306=BP91))-1)/2,"")</f>
        <v/>
      </c>
      <c r="BU91" s="5">
        <f>IF(BN91,SUMPRODUCT(--(calc!$BN$3:$BN$306=TRUE),--(ROW(calc!$BN$3:$BN$306)&gt;ROW(BN91)),--(((calc!$BS$3:$BS$306&gt;BS91)*(calc!$BT$3:$BT$306&gt;BT91)+(calc!$BS$3:$BS$306&lt;BS91)*(calc!$BT$3:$BT$306&lt;BT91))&gt;0))-SUMPRODUCT(--(calc!$BN$3:$BN$306=TRUE),--(ROW(calc!$BN$3:$BN$306)&gt;ROW(BN91)),--(((calc!$BS$3:$BS$306&gt;BS91)*(calc!$BT$3:$BT$306&lt;BT91)+(calc!$BS$3:$BS$306&lt;BS91)*(calc!$BT$3:$BT$306&gt;BT91))&gt;0)),0)</f>
        <v/>
      </c>
    </row>
    <row r="92">
      <c r="A92" s="2">
        <f>mos_metrics!A91</f>
        <v/>
      </c>
      <c r="B92" s="2">
        <f>mos_metrics!B91</f>
        <v/>
      </c>
      <c r="C92" s="2">
        <f>mos_metrics!C91</f>
        <v/>
      </c>
      <c r="D92" s="2">
        <f>mos_metrics!D91</f>
        <v/>
      </c>
      <c r="E92" s="2">
        <f>mos_metrics!E91</f>
        <v/>
      </c>
      <c r="F92" s="2">
        <f>mos_metrics!F91</f>
        <v/>
      </c>
      <c r="G92" s="2">
        <f>IF($B92="","",IFERROR(VLOOKUP($B92,correlation!$A$2:$B$16,2,FALSE),1))</f>
        <v/>
      </c>
      <c r="H92" s="2">
        <f>IF($E92="","",IFERROR(VLOOKUP($E92,correlation!$D$2:$E$8,2,FALSE),1))</f>
        <v/>
      </c>
      <c r="I92" s="2">
        <f>ISNUMBER($F92)</f>
        <v/>
      </c>
      <c r="J92" s="2">
        <f>AND($G92=1,$H92=1,$I92)</f>
        <v/>
      </c>
      <c r="K92" s="5">
        <f>IF(mos_metrics!G91="","",mos_metrics!G91)</f>
        <v/>
      </c>
      <c r="L92" s="2">
        <f>AND($J92,ISNUMBER(K92),correlation!$I$26=1)</f>
        <v/>
      </c>
      <c r="M92" s="5">
        <f>IF(L92,$F92,"")</f>
        <v/>
      </c>
      <c r="N92" s="5">
        <f>IF(L92,K92*correlation!$J$26,"")</f>
        <v/>
      </c>
      <c r="O92" s="5">
        <f>IF(AND(L92,ISNUMBER(correlation!$F$26)),N92*correlation!$F$26+correlation!$G$26,"")</f>
        <v/>
      </c>
      <c r="P92" s="5">
        <f>IF(AND(L92,ISNUMBER(O92)),(M92-O92)^2,"")</f>
        <v/>
      </c>
      <c r="Q92" s="5">
        <f>IF(L92,1+SUMPRODUCT(--(calc!$L$3:$L$306=TRUE),--(calc!$M$3:$M$306&gt;M92))+(SUMPRODUCT(--(calc!$L$3:$L$306=TRUE),--(calc!$M$3:$M$306=M92))-1)/2,"")</f>
        <v/>
      </c>
      <c r="R92" s="5">
        <f>IF(L92,1+SUMPRODUCT(--(calc!$L$3:$L$306=TRUE),--(calc!$N$3:$N$306&gt;N92))+(SUMPRODUCT(--(calc!$L$3:$L$306=TRUE),--(calc!$N$3:$N$306=N92))-1)/2,"")</f>
        <v/>
      </c>
      <c r="S92" s="5">
        <f>IF(L92,SUMPRODUCT(--(calc!$L$3:$L$306=TRUE),--(ROW(calc!$L$3:$L$306)&gt;ROW(L92)),--(((calc!$Q$3:$Q$306&gt;Q92)*(calc!$R$3:$R$306&gt;R92)+(calc!$Q$3:$Q$306&lt;Q92)*(calc!$R$3:$R$306&lt;R92))&gt;0))-SUMPRODUCT(--(calc!$L$3:$L$306=TRUE),--(ROW(calc!$L$3:$L$306)&gt;ROW(L92)),--(((calc!$Q$3:$Q$306&gt;Q92)*(calc!$R$3:$R$306&lt;R92)+(calc!$Q$3:$Q$306&lt;Q92)*(calc!$R$3:$R$306&gt;R92))&gt;0)),0)</f>
        <v/>
      </c>
      <c r="T92" s="5">
        <f>IF(mos_metrics!H91="","",mos_metrics!H91)</f>
        <v/>
      </c>
      <c r="U92" s="2">
        <f>AND($J92,ISNUMBER(T92),correlation!$I$27=1)</f>
        <v/>
      </c>
      <c r="V92" s="5">
        <f>IF(U92,$F92,"")</f>
        <v/>
      </c>
      <c r="W92" s="5">
        <f>IF(U92,T92*correlation!$J$27,"")</f>
        <v/>
      </c>
      <c r="X92" s="5">
        <f>IF(AND(U92,ISNUMBER(correlation!$F$27)),W92*correlation!$F$27+correlation!$G$27,"")</f>
        <v/>
      </c>
      <c r="Y92" s="5">
        <f>IF(AND(U92,ISNUMBER(X92)),(V92-X92)^2,"")</f>
        <v/>
      </c>
      <c r="Z92" s="5">
        <f>IF(U92,1+SUMPRODUCT(--(calc!$U$3:$U$306=TRUE),--(calc!$V$3:$V$306&gt;V92))+(SUMPRODUCT(--(calc!$U$3:$U$306=TRUE),--(calc!$V$3:$V$306=V92))-1)/2,"")</f>
        <v/>
      </c>
      <c r="AA92" s="5">
        <f>IF(U92,1+SUMPRODUCT(--(calc!$U$3:$U$306=TRUE),--(calc!$W$3:$W$306&gt;W92))+(SUMPRODUCT(--(calc!$U$3:$U$306=TRUE),--(calc!$W$3:$W$306=W92))-1)/2,"")</f>
        <v/>
      </c>
      <c r="AB92" s="5">
        <f>IF(U92,SUMPRODUCT(--(calc!$U$3:$U$306=TRUE),--(ROW(calc!$U$3:$U$306)&gt;ROW(U92)),--(((calc!$Z$3:$Z$306&gt;Z92)*(calc!$AA$3:$AA$306&gt;AA92)+(calc!$Z$3:$Z$306&lt;Z92)*(calc!$AA$3:$AA$306&lt;AA92))&gt;0))-SUMPRODUCT(--(calc!$U$3:$U$306=TRUE),--(ROW(calc!$U$3:$U$306)&gt;ROW(U92)),--(((calc!$Z$3:$Z$306&gt;Z92)*(calc!$AA$3:$AA$306&lt;AA92)+(calc!$Z$3:$Z$306&lt;Z92)*(calc!$AA$3:$AA$306&gt;AA92))&gt;0)),0)</f>
        <v/>
      </c>
      <c r="AC92" s="5">
        <f>IF(mos_metrics!I91="","",mos_metrics!I91)</f>
        <v/>
      </c>
      <c r="AD92" s="2">
        <f>AND($J92,ISNUMBER(AC92),correlation!$I$28=1)</f>
        <v/>
      </c>
      <c r="AE92" s="5">
        <f>IF(AD92,$F92,"")</f>
        <v/>
      </c>
      <c r="AF92" s="5">
        <f>IF(AD92,AC92*correlation!$J$28,"")</f>
        <v/>
      </c>
      <c r="AG92" s="5">
        <f>IF(AND(AD92,ISNUMBER(correlation!$F$28)),AF92*correlation!$F$28+correlation!$G$28,"")</f>
        <v/>
      </c>
      <c r="AH92" s="5">
        <f>IF(AND(AD92,ISNUMBER(AG92)),(AE92-AG92)^2,"")</f>
        <v/>
      </c>
      <c r="AI92" s="5">
        <f>IF(AD92,1+SUMPRODUCT(--(calc!$AD$3:$AD$306=TRUE),--(calc!$AE$3:$AE$306&gt;AE92))+(SUMPRODUCT(--(calc!$AD$3:$AD$306=TRUE),--(calc!$AE$3:$AE$306=AE92))-1)/2,"")</f>
        <v/>
      </c>
      <c r="AJ92" s="5">
        <f>IF(AD92,1+SUMPRODUCT(--(calc!$AD$3:$AD$306=TRUE),--(calc!$AF$3:$AF$306&gt;AF92))+(SUMPRODUCT(--(calc!$AD$3:$AD$306=TRUE),--(calc!$AF$3:$AF$306=AF92))-1)/2,"")</f>
        <v/>
      </c>
      <c r="AK92" s="5">
        <f>IF(AD92,SUMPRODUCT(--(calc!$AD$3:$AD$306=TRUE),--(ROW(calc!$AD$3:$AD$306)&gt;ROW(AD92)),--(((calc!$AI$3:$AI$306&gt;AI92)*(calc!$AJ$3:$AJ$306&gt;AJ92)+(calc!$AI$3:$AI$306&lt;AI92)*(calc!$AJ$3:$AJ$306&lt;AJ92))&gt;0))-SUMPRODUCT(--(calc!$AD$3:$AD$306=TRUE),--(ROW(calc!$AD$3:$AD$306)&gt;ROW(AD92)),--(((calc!$AI$3:$AI$306&gt;AI92)*(calc!$AJ$3:$AJ$306&lt;AJ92)+(calc!$AI$3:$AI$306&lt;AI92)*(calc!$AJ$3:$AJ$306&gt;AJ92))&gt;0)),0)</f>
        <v/>
      </c>
      <c r="AL92" s="5">
        <f>IF(mos_metrics!J91="","",mos_metrics!J91)</f>
        <v/>
      </c>
      <c r="AM92" s="2">
        <f>AND($J92,ISNUMBER(AL92),correlation!$I$29=1)</f>
        <v/>
      </c>
      <c r="AN92" s="5">
        <f>IF(AM92,$F92,"")</f>
        <v/>
      </c>
      <c r="AO92" s="5">
        <f>IF(AM92,AL92*correlation!$J$29,"")</f>
        <v/>
      </c>
      <c r="AP92" s="5">
        <f>IF(AND(AM92,ISNUMBER(correlation!$F$29)),AO92*correlation!$F$29+correlation!$G$29,"")</f>
        <v/>
      </c>
      <c r="AQ92" s="5">
        <f>IF(AND(AM92,ISNUMBER(AP92)),(AN92-AP92)^2,"")</f>
        <v/>
      </c>
      <c r="AR92" s="5">
        <f>IF(AM92,1+SUMPRODUCT(--(calc!$AM$3:$AM$306=TRUE),--(calc!$AN$3:$AN$306&gt;AN92))+(SUMPRODUCT(--(calc!$AM$3:$AM$306=TRUE),--(calc!$AN$3:$AN$306=AN92))-1)/2,"")</f>
        <v/>
      </c>
      <c r="AS92" s="5">
        <f>IF(AM92,1+SUMPRODUCT(--(calc!$AM$3:$AM$306=TRUE),--(calc!$AO$3:$AO$306&gt;AO92))+(SUMPRODUCT(--(calc!$AM$3:$AM$306=TRUE),--(calc!$AO$3:$AO$306=AO92))-1)/2,"")</f>
        <v/>
      </c>
      <c r="AT92" s="5">
        <f>IF(AM92,SUMPRODUCT(--(calc!$AM$3:$AM$306=TRUE),--(ROW(calc!$AM$3:$AM$306)&gt;ROW(AM92)),--(((calc!$AR$3:$AR$306&gt;AR92)*(calc!$AS$3:$AS$306&gt;AS92)+(calc!$AR$3:$AR$306&lt;AR92)*(calc!$AS$3:$AS$306&lt;AS92))&gt;0))-SUMPRODUCT(--(calc!$AM$3:$AM$306=TRUE),--(ROW(calc!$AM$3:$AM$306)&gt;ROW(AM92)),--(((calc!$AR$3:$AR$306&gt;AR92)*(calc!$AS$3:$AS$306&lt;AS92)+(calc!$AR$3:$AR$306&lt;AR92)*(calc!$AS$3:$AS$306&gt;AS92))&gt;0)),0)</f>
        <v/>
      </c>
      <c r="AU92" s="5">
        <f>IF(mos_metrics!K91="","",mos_metrics!K91)</f>
        <v/>
      </c>
      <c r="AV92" s="2">
        <f>AND($J92,ISNUMBER(AU92),correlation!$I$30=1)</f>
        <v/>
      </c>
      <c r="AW92" s="5">
        <f>IF(AV92,$F92,"")</f>
        <v/>
      </c>
      <c r="AX92" s="5">
        <f>IF(AV92,AU92*correlation!$J$30,"")</f>
        <v/>
      </c>
      <c r="AY92" s="5">
        <f>IF(AND(AV92,ISNUMBER(correlation!$F$30)),AX92*correlation!$F$30+correlation!$G$30,"")</f>
        <v/>
      </c>
      <c r="AZ92" s="5">
        <f>IF(AND(AV92,ISNUMBER(AY92)),(AW92-AY92)^2,"")</f>
        <v/>
      </c>
      <c r="BA92" s="5">
        <f>IF(AV92,1+SUMPRODUCT(--(calc!$AV$3:$AV$306=TRUE),--(calc!$AW$3:$AW$306&gt;AW92))+(SUMPRODUCT(--(calc!$AV$3:$AV$306=TRUE),--(calc!$AW$3:$AW$306=AW92))-1)/2,"")</f>
        <v/>
      </c>
      <c r="BB92" s="5">
        <f>IF(AV92,1+SUMPRODUCT(--(calc!$AV$3:$AV$306=TRUE),--(calc!$AX$3:$AX$306&gt;AX92))+(SUMPRODUCT(--(calc!$AV$3:$AV$306=TRUE),--(calc!$AX$3:$AX$306=AX92))-1)/2,"")</f>
        <v/>
      </c>
      <c r="BC92" s="5">
        <f>IF(AV92,SUMPRODUCT(--(calc!$AV$3:$AV$306=TRUE),--(ROW(calc!$AV$3:$AV$306)&gt;ROW(AV92)),--(((calc!$BA$3:$BA$306&gt;BA92)*(calc!$BB$3:$BB$306&gt;BB92)+(calc!$BA$3:$BA$306&lt;BA92)*(calc!$BB$3:$BB$306&lt;BB92))&gt;0))-SUMPRODUCT(--(calc!$AV$3:$AV$306=TRUE),--(ROW(calc!$AV$3:$AV$306)&gt;ROW(AV92)),--(((calc!$BA$3:$BA$306&gt;BA92)*(calc!$BB$3:$BB$306&lt;BB92)+(calc!$BA$3:$BA$306&lt;BA92)*(calc!$BB$3:$BB$306&gt;BB92))&gt;0)),0)</f>
        <v/>
      </c>
      <c r="BD92" s="5">
        <f>IF(mos_metrics!L91="","",mos_metrics!L91)</f>
        <v/>
      </c>
      <c r="BE92" s="2">
        <f>AND($J92,ISNUMBER(BD92),correlation!$I$31=1)</f>
        <v/>
      </c>
      <c r="BF92" s="5">
        <f>IF(BE92,$F92,"")</f>
        <v/>
      </c>
      <c r="BG92" s="5">
        <f>IF(BE92,BD92*correlation!$J$31,"")</f>
        <v/>
      </c>
      <c r="BH92" s="5">
        <f>IF(AND(BE92,ISNUMBER(correlation!$F$31)),BG92*correlation!$F$31+correlation!$G$31,"")</f>
        <v/>
      </c>
      <c r="BI92" s="5">
        <f>IF(AND(BE92,ISNUMBER(BH92)),(BF92-BH92)^2,"")</f>
        <v/>
      </c>
      <c r="BJ92" s="5">
        <f>IF(BE92,1+SUMPRODUCT(--(calc!$BE$3:$BE$306=TRUE),--(calc!$BF$3:$BF$306&gt;BF92))+(SUMPRODUCT(--(calc!$BE$3:$BE$306=TRUE),--(calc!$BF$3:$BF$306=BF92))-1)/2,"")</f>
        <v/>
      </c>
      <c r="BK92" s="5">
        <f>IF(BE92,1+SUMPRODUCT(--(calc!$BE$3:$BE$306=TRUE),--(calc!$BG$3:$BG$306&gt;BG92))+(SUMPRODUCT(--(calc!$BE$3:$BE$306=TRUE),--(calc!$BG$3:$BG$306=BG92))-1)/2,"")</f>
        <v/>
      </c>
      <c r="BL92" s="5">
        <f>IF(BE92,SUMPRODUCT(--(calc!$BE$3:$BE$306=TRUE),--(ROW(calc!$BE$3:$BE$306)&gt;ROW(BE92)),--(((calc!$BJ$3:$BJ$306&gt;BJ92)*(calc!$BK$3:$BK$306&gt;BK92)+(calc!$BJ$3:$BJ$306&lt;BJ92)*(calc!$BK$3:$BK$306&lt;BK92))&gt;0))-SUMPRODUCT(--(calc!$BE$3:$BE$306=TRUE),--(ROW(calc!$BE$3:$BE$306)&gt;ROW(BE92)),--(((calc!$BJ$3:$BJ$306&gt;BJ92)*(calc!$BK$3:$BK$306&lt;BK92)+(calc!$BJ$3:$BJ$306&lt;BJ92)*(calc!$BK$3:$BK$306&gt;BK92))&gt;0)),0)</f>
        <v/>
      </c>
      <c r="BM92" s="5">
        <f>IF(mos_metrics!M91="","",mos_metrics!M91)</f>
        <v/>
      </c>
      <c r="BN92" s="2">
        <f>AND($J92,ISNUMBER(BM92),correlation!$I$32=1)</f>
        <v/>
      </c>
      <c r="BO92" s="5">
        <f>IF(BN92,$F92,"")</f>
        <v/>
      </c>
      <c r="BP92" s="5">
        <f>IF(BN92,BM92*correlation!$J$32,"")</f>
        <v/>
      </c>
      <c r="BQ92" s="5">
        <f>IF(AND(BN92,ISNUMBER(correlation!$F$32)),BP92*correlation!$F$32+correlation!$G$32,"")</f>
        <v/>
      </c>
      <c r="BR92" s="5">
        <f>IF(AND(BN92,ISNUMBER(BQ92)),(BO92-BQ92)^2,"")</f>
        <v/>
      </c>
      <c r="BS92" s="5">
        <f>IF(BN92,1+SUMPRODUCT(--(calc!$BN$3:$BN$306=TRUE),--(calc!$BO$3:$BO$306&gt;BO92))+(SUMPRODUCT(--(calc!$BN$3:$BN$306=TRUE),--(calc!$BO$3:$BO$306=BO92))-1)/2,"")</f>
        <v/>
      </c>
      <c r="BT92" s="5">
        <f>IF(BN92,1+SUMPRODUCT(--(calc!$BN$3:$BN$306=TRUE),--(calc!$BP$3:$BP$306&gt;BP92))+(SUMPRODUCT(--(calc!$BN$3:$BN$306=TRUE),--(calc!$BP$3:$BP$306=BP92))-1)/2,"")</f>
        <v/>
      </c>
      <c r="BU92" s="5">
        <f>IF(BN92,SUMPRODUCT(--(calc!$BN$3:$BN$306=TRUE),--(ROW(calc!$BN$3:$BN$306)&gt;ROW(BN92)),--(((calc!$BS$3:$BS$306&gt;BS92)*(calc!$BT$3:$BT$306&gt;BT92)+(calc!$BS$3:$BS$306&lt;BS92)*(calc!$BT$3:$BT$306&lt;BT92))&gt;0))-SUMPRODUCT(--(calc!$BN$3:$BN$306=TRUE),--(ROW(calc!$BN$3:$BN$306)&gt;ROW(BN92)),--(((calc!$BS$3:$BS$306&gt;BS92)*(calc!$BT$3:$BT$306&lt;BT92)+(calc!$BS$3:$BS$306&lt;BS92)*(calc!$BT$3:$BT$306&gt;BT92))&gt;0)),0)</f>
        <v/>
      </c>
    </row>
    <row r="93">
      <c r="A93" s="2">
        <f>mos_metrics!A92</f>
        <v/>
      </c>
      <c r="B93" s="2">
        <f>mos_metrics!B92</f>
        <v/>
      </c>
      <c r="C93" s="2">
        <f>mos_metrics!C92</f>
        <v/>
      </c>
      <c r="D93" s="2">
        <f>mos_metrics!D92</f>
        <v/>
      </c>
      <c r="E93" s="2">
        <f>mos_metrics!E92</f>
        <v/>
      </c>
      <c r="F93" s="2">
        <f>mos_metrics!F92</f>
        <v/>
      </c>
      <c r="G93" s="2">
        <f>IF($B93="","",IFERROR(VLOOKUP($B93,correlation!$A$2:$B$16,2,FALSE),1))</f>
        <v/>
      </c>
      <c r="H93" s="2">
        <f>IF($E93="","",IFERROR(VLOOKUP($E93,correlation!$D$2:$E$8,2,FALSE),1))</f>
        <v/>
      </c>
      <c r="I93" s="2">
        <f>ISNUMBER($F93)</f>
        <v/>
      </c>
      <c r="J93" s="2">
        <f>AND($G93=1,$H93=1,$I93)</f>
        <v/>
      </c>
      <c r="K93" s="5">
        <f>IF(mos_metrics!G92="","",mos_metrics!G92)</f>
        <v/>
      </c>
      <c r="L93" s="2">
        <f>AND($J93,ISNUMBER(K93),correlation!$I$26=1)</f>
        <v/>
      </c>
      <c r="M93" s="5">
        <f>IF(L93,$F93,"")</f>
        <v/>
      </c>
      <c r="N93" s="5">
        <f>IF(L93,K93*correlation!$J$26,"")</f>
        <v/>
      </c>
      <c r="O93" s="5">
        <f>IF(AND(L93,ISNUMBER(correlation!$F$26)),N93*correlation!$F$26+correlation!$G$26,"")</f>
        <v/>
      </c>
      <c r="P93" s="5">
        <f>IF(AND(L93,ISNUMBER(O93)),(M93-O93)^2,"")</f>
        <v/>
      </c>
      <c r="Q93" s="5">
        <f>IF(L93,1+SUMPRODUCT(--(calc!$L$3:$L$306=TRUE),--(calc!$M$3:$M$306&gt;M93))+(SUMPRODUCT(--(calc!$L$3:$L$306=TRUE),--(calc!$M$3:$M$306=M93))-1)/2,"")</f>
        <v/>
      </c>
      <c r="R93" s="5">
        <f>IF(L93,1+SUMPRODUCT(--(calc!$L$3:$L$306=TRUE),--(calc!$N$3:$N$306&gt;N93))+(SUMPRODUCT(--(calc!$L$3:$L$306=TRUE),--(calc!$N$3:$N$306=N93))-1)/2,"")</f>
        <v/>
      </c>
      <c r="S93" s="5">
        <f>IF(L93,SUMPRODUCT(--(calc!$L$3:$L$306=TRUE),--(ROW(calc!$L$3:$L$306)&gt;ROW(L93)),--(((calc!$Q$3:$Q$306&gt;Q93)*(calc!$R$3:$R$306&gt;R93)+(calc!$Q$3:$Q$306&lt;Q93)*(calc!$R$3:$R$306&lt;R93))&gt;0))-SUMPRODUCT(--(calc!$L$3:$L$306=TRUE),--(ROW(calc!$L$3:$L$306)&gt;ROW(L93)),--(((calc!$Q$3:$Q$306&gt;Q93)*(calc!$R$3:$R$306&lt;R93)+(calc!$Q$3:$Q$306&lt;Q93)*(calc!$R$3:$R$306&gt;R93))&gt;0)),0)</f>
        <v/>
      </c>
      <c r="T93" s="5">
        <f>IF(mos_metrics!H92="","",mos_metrics!H92)</f>
        <v/>
      </c>
      <c r="U93" s="2">
        <f>AND($J93,ISNUMBER(T93),correlation!$I$27=1)</f>
        <v/>
      </c>
      <c r="V93" s="5">
        <f>IF(U93,$F93,"")</f>
        <v/>
      </c>
      <c r="W93" s="5">
        <f>IF(U93,T93*correlation!$J$27,"")</f>
        <v/>
      </c>
      <c r="X93" s="5">
        <f>IF(AND(U93,ISNUMBER(correlation!$F$27)),W93*correlation!$F$27+correlation!$G$27,"")</f>
        <v/>
      </c>
      <c r="Y93" s="5">
        <f>IF(AND(U93,ISNUMBER(X93)),(V93-X93)^2,"")</f>
        <v/>
      </c>
      <c r="Z93" s="5">
        <f>IF(U93,1+SUMPRODUCT(--(calc!$U$3:$U$306=TRUE),--(calc!$V$3:$V$306&gt;V93))+(SUMPRODUCT(--(calc!$U$3:$U$306=TRUE),--(calc!$V$3:$V$306=V93))-1)/2,"")</f>
        <v/>
      </c>
      <c r="AA93" s="5">
        <f>IF(U93,1+SUMPRODUCT(--(calc!$U$3:$U$306=TRUE),--(calc!$W$3:$W$306&gt;W93))+(SUMPRODUCT(--(calc!$U$3:$U$306=TRUE),--(calc!$W$3:$W$306=W93))-1)/2,"")</f>
        <v/>
      </c>
      <c r="AB93" s="5">
        <f>IF(U93,SUMPRODUCT(--(calc!$U$3:$U$306=TRUE),--(ROW(calc!$U$3:$U$306)&gt;ROW(U93)),--(((calc!$Z$3:$Z$306&gt;Z93)*(calc!$AA$3:$AA$306&gt;AA93)+(calc!$Z$3:$Z$306&lt;Z93)*(calc!$AA$3:$AA$306&lt;AA93))&gt;0))-SUMPRODUCT(--(calc!$U$3:$U$306=TRUE),--(ROW(calc!$U$3:$U$306)&gt;ROW(U93)),--(((calc!$Z$3:$Z$306&gt;Z93)*(calc!$AA$3:$AA$306&lt;AA93)+(calc!$Z$3:$Z$306&lt;Z93)*(calc!$AA$3:$AA$306&gt;AA93))&gt;0)),0)</f>
        <v/>
      </c>
      <c r="AC93" s="5">
        <f>IF(mos_metrics!I92="","",mos_metrics!I92)</f>
        <v/>
      </c>
      <c r="AD93" s="2">
        <f>AND($J93,ISNUMBER(AC93),correlation!$I$28=1)</f>
        <v/>
      </c>
      <c r="AE93" s="5">
        <f>IF(AD93,$F93,"")</f>
        <v/>
      </c>
      <c r="AF93" s="5">
        <f>IF(AD93,AC93*correlation!$J$28,"")</f>
        <v/>
      </c>
      <c r="AG93" s="5">
        <f>IF(AND(AD93,ISNUMBER(correlation!$F$28)),AF93*correlation!$F$28+correlation!$G$28,"")</f>
        <v/>
      </c>
      <c r="AH93" s="5">
        <f>IF(AND(AD93,ISNUMBER(AG93)),(AE93-AG93)^2,"")</f>
        <v/>
      </c>
      <c r="AI93" s="5">
        <f>IF(AD93,1+SUMPRODUCT(--(calc!$AD$3:$AD$306=TRUE),--(calc!$AE$3:$AE$306&gt;AE93))+(SUMPRODUCT(--(calc!$AD$3:$AD$306=TRUE),--(calc!$AE$3:$AE$306=AE93))-1)/2,"")</f>
        <v/>
      </c>
      <c r="AJ93" s="5">
        <f>IF(AD93,1+SUMPRODUCT(--(calc!$AD$3:$AD$306=TRUE),--(calc!$AF$3:$AF$306&gt;AF93))+(SUMPRODUCT(--(calc!$AD$3:$AD$306=TRUE),--(calc!$AF$3:$AF$306=AF93))-1)/2,"")</f>
        <v/>
      </c>
      <c r="AK93" s="5">
        <f>IF(AD93,SUMPRODUCT(--(calc!$AD$3:$AD$306=TRUE),--(ROW(calc!$AD$3:$AD$306)&gt;ROW(AD93)),--(((calc!$AI$3:$AI$306&gt;AI93)*(calc!$AJ$3:$AJ$306&gt;AJ93)+(calc!$AI$3:$AI$306&lt;AI93)*(calc!$AJ$3:$AJ$306&lt;AJ93))&gt;0))-SUMPRODUCT(--(calc!$AD$3:$AD$306=TRUE),--(ROW(calc!$AD$3:$AD$306)&gt;ROW(AD93)),--(((calc!$AI$3:$AI$306&gt;AI93)*(calc!$AJ$3:$AJ$306&lt;AJ93)+(calc!$AI$3:$AI$306&lt;AI93)*(calc!$AJ$3:$AJ$306&gt;AJ93))&gt;0)),0)</f>
        <v/>
      </c>
      <c r="AL93" s="5">
        <f>IF(mos_metrics!J92="","",mos_metrics!J92)</f>
        <v/>
      </c>
      <c r="AM93" s="2">
        <f>AND($J93,ISNUMBER(AL93),correlation!$I$29=1)</f>
        <v/>
      </c>
      <c r="AN93" s="5">
        <f>IF(AM93,$F93,"")</f>
        <v/>
      </c>
      <c r="AO93" s="5">
        <f>IF(AM93,AL93*correlation!$J$29,"")</f>
        <v/>
      </c>
      <c r="AP93" s="5">
        <f>IF(AND(AM93,ISNUMBER(correlation!$F$29)),AO93*correlation!$F$29+correlation!$G$29,"")</f>
        <v/>
      </c>
      <c r="AQ93" s="5">
        <f>IF(AND(AM93,ISNUMBER(AP93)),(AN93-AP93)^2,"")</f>
        <v/>
      </c>
      <c r="AR93" s="5">
        <f>IF(AM93,1+SUMPRODUCT(--(calc!$AM$3:$AM$306=TRUE),--(calc!$AN$3:$AN$306&gt;AN93))+(SUMPRODUCT(--(calc!$AM$3:$AM$306=TRUE),--(calc!$AN$3:$AN$306=AN93))-1)/2,"")</f>
        <v/>
      </c>
      <c r="AS93" s="5">
        <f>IF(AM93,1+SUMPRODUCT(--(calc!$AM$3:$AM$306=TRUE),--(calc!$AO$3:$AO$306&gt;AO93))+(SUMPRODUCT(--(calc!$AM$3:$AM$306=TRUE),--(calc!$AO$3:$AO$306=AO93))-1)/2,"")</f>
        <v/>
      </c>
      <c r="AT93" s="5">
        <f>IF(AM93,SUMPRODUCT(--(calc!$AM$3:$AM$306=TRUE),--(ROW(calc!$AM$3:$AM$306)&gt;ROW(AM93)),--(((calc!$AR$3:$AR$306&gt;AR93)*(calc!$AS$3:$AS$306&gt;AS93)+(calc!$AR$3:$AR$306&lt;AR93)*(calc!$AS$3:$AS$306&lt;AS93))&gt;0))-SUMPRODUCT(--(calc!$AM$3:$AM$306=TRUE),--(ROW(calc!$AM$3:$AM$306)&gt;ROW(AM93)),--(((calc!$AR$3:$AR$306&gt;AR93)*(calc!$AS$3:$AS$306&lt;AS93)+(calc!$AR$3:$AR$306&lt;AR93)*(calc!$AS$3:$AS$306&gt;AS93))&gt;0)),0)</f>
        <v/>
      </c>
      <c r="AU93" s="5">
        <f>IF(mos_metrics!K92="","",mos_metrics!K92)</f>
        <v/>
      </c>
      <c r="AV93" s="2">
        <f>AND($J93,ISNUMBER(AU93),correlation!$I$30=1)</f>
        <v/>
      </c>
      <c r="AW93" s="5">
        <f>IF(AV93,$F93,"")</f>
        <v/>
      </c>
      <c r="AX93" s="5">
        <f>IF(AV93,AU93*correlation!$J$30,"")</f>
        <v/>
      </c>
      <c r="AY93" s="5">
        <f>IF(AND(AV93,ISNUMBER(correlation!$F$30)),AX93*correlation!$F$30+correlation!$G$30,"")</f>
        <v/>
      </c>
      <c r="AZ93" s="5">
        <f>IF(AND(AV93,ISNUMBER(AY93)),(AW93-AY93)^2,"")</f>
        <v/>
      </c>
      <c r="BA93" s="5">
        <f>IF(AV93,1+SUMPRODUCT(--(calc!$AV$3:$AV$306=TRUE),--(calc!$AW$3:$AW$306&gt;AW93))+(SUMPRODUCT(--(calc!$AV$3:$AV$306=TRUE),--(calc!$AW$3:$AW$306=AW93))-1)/2,"")</f>
        <v/>
      </c>
      <c r="BB93" s="5">
        <f>IF(AV93,1+SUMPRODUCT(--(calc!$AV$3:$AV$306=TRUE),--(calc!$AX$3:$AX$306&gt;AX93))+(SUMPRODUCT(--(calc!$AV$3:$AV$306=TRUE),--(calc!$AX$3:$AX$306=AX93))-1)/2,"")</f>
        <v/>
      </c>
      <c r="BC93" s="5">
        <f>IF(AV93,SUMPRODUCT(--(calc!$AV$3:$AV$306=TRUE),--(ROW(calc!$AV$3:$AV$306)&gt;ROW(AV93)),--(((calc!$BA$3:$BA$306&gt;BA93)*(calc!$BB$3:$BB$306&gt;BB93)+(calc!$BA$3:$BA$306&lt;BA93)*(calc!$BB$3:$BB$306&lt;BB93))&gt;0))-SUMPRODUCT(--(calc!$AV$3:$AV$306=TRUE),--(ROW(calc!$AV$3:$AV$306)&gt;ROW(AV93)),--(((calc!$BA$3:$BA$306&gt;BA93)*(calc!$BB$3:$BB$306&lt;BB93)+(calc!$BA$3:$BA$306&lt;BA93)*(calc!$BB$3:$BB$306&gt;BB93))&gt;0)),0)</f>
        <v/>
      </c>
      <c r="BD93" s="5">
        <f>IF(mos_metrics!L92="","",mos_metrics!L92)</f>
        <v/>
      </c>
      <c r="BE93" s="2">
        <f>AND($J93,ISNUMBER(BD93),correlation!$I$31=1)</f>
        <v/>
      </c>
      <c r="BF93" s="5">
        <f>IF(BE93,$F93,"")</f>
        <v/>
      </c>
      <c r="BG93" s="5">
        <f>IF(BE93,BD93*correlation!$J$31,"")</f>
        <v/>
      </c>
      <c r="BH93" s="5">
        <f>IF(AND(BE93,ISNUMBER(correlation!$F$31)),BG93*correlation!$F$31+correlation!$G$31,"")</f>
        <v/>
      </c>
      <c r="BI93" s="5">
        <f>IF(AND(BE93,ISNUMBER(BH93)),(BF93-BH93)^2,"")</f>
        <v/>
      </c>
      <c r="BJ93" s="5">
        <f>IF(BE93,1+SUMPRODUCT(--(calc!$BE$3:$BE$306=TRUE),--(calc!$BF$3:$BF$306&gt;BF93))+(SUMPRODUCT(--(calc!$BE$3:$BE$306=TRUE),--(calc!$BF$3:$BF$306=BF93))-1)/2,"")</f>
        <v/>
      </c>
      <c r="BK93" s="5">
        <f>IF(BE93,1+SUMPRODUCT(--(calc!$BE$3:$BE$306=TRUE),--(calc!$BG$3:$BG$306&gt;BG93))+(SUMPRODUCT(--(calc!$BE$3:$BE$306=TRUE),--(calc!$BG$3:$BG$306=BG93))-1)/2,"")</f>
        <v/>
      </c>
      <c r="BL93" s="5">
        <f>IF(BE93,SUMPRODUCT(--(calc!$BE$3:$BE$306=TRUE),--(ROW(calc!$BE$3:$BE$306)&gt;ROW(BE93)),--(((calc!$BJ$3:$BJ$306&gt;BJ93)*(calc!$BK$3:$BK$306&gt;BK93)+(calc!$BJ$3:$BJ$306&lt;BJ93)*(calc!$BK$3:$BK$306&lt;BK93))&gt;0))-SUMPRODUCT(--(calc!$BE$3:$BE$306=TRUE),--(ROW(calc!$BE$3:$BE$306)&gt;ROW(BE93)),--(((calc!$BJ$3:$BJ$306&gt;BJ93)*(calc!$BK$3:$BK$306&lt;BK93)+(calc!$BJ$3:$BJ$306&lt;BJ93)*(calc!$BK$3:$BK$306&gt;BK93))&gt;0)),0)</f>
        <v/>
      </c>
      <c r="BM93" s="5">
        <f>IF(mos_metrics!M92="","",mos_metrics!M92)</f>
        <v/>
      </c>
      <c r="BN93" s="2">
        <f>AND($J93,ISNUMBER(BM93),correlation!$I$32=1)</f>
        <v/>
      </c>
      <c r="BO93" s="5">
        <f>IF(BN93,$F93,"")</f>
        <v/>
      </c>
      <c r="BP93" s="5">
        <f>IF(BN93,BM93*correlation!$J$32,"")</f>
        <v/>
      </c>
      <c r="BQ93" s="5">
        <f>IF(AND(BN93,ISNUMBER(correlation!$F$32)),BP93*correlation!$F$32+correlation!$G$32,"")</f>
        <v/>
      </c>
      <c r="BR93" s="5">
        <f>IF(AND(BN93,ISNUMBER(BQ93)),(BO93-BQ93)^2,"")</f>
        <v/>
      </c>
      <c r="BS93" s="5">
        <f>IF(BN93,1+SUMPRODUCT(--(calc!$BN$3:$BN$306=TRUE),--(calc!$BO$3:$BO$306&gt;BO93))+(SUMPRODUCT(--(calc!$BN$3:$BN$306=TRUE),--(calc!$BO$3:$BO$306=BO93))-1)/2,"")</f>
        <v/>
      </c>
      <c r="BT93" s="5">
        <f>IF(BN93,1+SUMPRODUCT(--(calc!$BN$3:$BN$306=TRUE),--(calc!$BP$3:$BP$306&gt;BP93))+(SUMPRODUCT(--(calc!$BN$3:$BN$306=TRUE),--(calc!$BP$3:$BP$306=BP93))-1)/2,"")</f>
        <v/>
      </c>
      <c r="BU93" s="5">
        <f>IF(BN93,SUMPRODUCT(--(calc!$BN$3:$BN$306=TRUE),--(ROW(calc!$BN$3:$BN$306)&gt;ROW(BN93)),--(((calc!$BS$3:$BS$306&gt;BS93)*(calc!$BT$3:$BT$306&gt;BT93)+(calc!$BS$3:$BS$306&lt;BS93)*(calc!$BT$3:$BT$306&lt;BT93))&gt;0))-SUMPRODUCT(--(calc!$BN$3:$BN$306=TRUE),--(ROW(calc!$BN$3:$BN$306)&gt;ROW(BN93)),--(((calc!$BS$3:$BS$306&gt;BS93)*(calc!$BT$3:$BT$306&lt;BT93)+(calc!$BS$3:$BS$306&lt;BS93)*(calc!$BT$3:$BT$306&gt;BT93))&gt;0)),0)</f>
        <v/>
      </c>
    </row>
    <row r="94">
      <c r="A94" s="2">
        <f>mos_metrics!A93</f>
        <v/>
      </c>
      <c r="B94" s="2">
        <f>mos_metrics!B93</f>
        <v/>
      </c>
      <c r="C94" s="2">
        <f>mos_metrics!C93</f>
        <v/>
      </c>
      <c r="D94" s="2">
        <f>mos_metrics!D93</f>
        <v/>
      </c>
      <c r="E94" s="2">
        <f>mos_metrics!E93</f>
        <v/>
      </c>
      <c r="F94" s="2">
        <f>mos_metrics!F93</f>
        <v/>
      </c>
      <c r="G94" s="2">
        <f>IF($B94="","",IFERROR(VLOOKUP($B94,correlation!$A$2:$B$16,2,FALSE),1))</f>
        <v/>
      </c>
      <c r="H94" s="2">
        <f>IF($E94="","",IFERROR(VLOOKUP($E94,correlation!$D$2:$E$8,2,FALSE),1))</f>
        <v/>
      </c>
      <c r="I94" s="2">
        <f>ISNUMBER($F94)</f>
        <v/>
      </c>
      <c r="J94" s="2">
        <f>AND($G94=1,$H94=1,$I94)</f>
        <v/>
      </c>
      <c r="K94" s="5">
        <f>IF(mos_metrics!G93="","",mos_metrics!G93)</f>
        <v/>
      </c>
      <c r="L94" s="2">
        <f>AND($J94,ISNUMBER(K94),correlation!$I$26=1)</f>
        <v/>
      </c>
      <c r="M94" s="5">
        <f>IF(L94,$F94,"")</f>
        <v/>
      </c>
      <c r="N94" s="5">
        <f>IF(L94,K94*correlation!$J$26,"")</f>
        <v/>
      </c>
      <c r="O94" s="5">
        <f>IF(AND(L94,ISNUMBER(correlation!$F$26)),N94*correlation!$F$26+correlation!$G$26,"")</f>
        <v/>
      </c>
      <c r="P94" s="5">
        <f>IF(AND(L94,ISNUMBER(O94)),(M94-O94)^2,"")</f>
        <v/>
      </c>
      <c r="Q94" s="5">
        <f>IF(L94,1+SUMPRODUCT(--(calc!$L$3:$L$306=TRUE),--(calc!$M$3:$M$306&gt;M94))+(SUMPRODUCT(--(calc!$L$3:$L$306=TRUE),--(calc!$M$3:$M$306=M94))-1)/2,"")</f>
        <v/>
      </c>
      <c r="R94" s="5">
        <f>IF(L94,1+SUMPRODUCT(--(calc!$L$3:$L$306=TRUE),--(calc!$N$3:$N$306&gt;N94))+(SUMPRODUCT(--(calc!$L$3:$L$306=TRUE),--(calc!$N$3:$N$306=N94))-1)/2,"")</f>
        <v/>
      </c>
      <c r="S94" s="5">
        <f>IF(L94,SUMPRODUCT(--(calc!$L$3:$L$306=TRUE),--(ROW(calc!$L$3:$L$306)&gt;ROW(L94)),--(((calc!$Q$3:$Q$306&gt;Q94)*(calc!$R$3:$R$306&gt;R94)+(calc!$Q$3:$Q$306&lt;Q94)*(calc!$R$3:$R$306&lt;R94))&gt;0))-SUMPRODUCT(--(calc!$L$3:$L$306=TRUE),--(ROW(calc!$L$3:$L$306)&gt;ROW(L94)),--(((calc!$Q$3:$Q$306&gt;Q94)*(calc!$R$3:$R$306&lt;R94)+(calc!$Q$3:$Q$306&lt;Q94)*(calc!$R$3:$R$306&gt;R94))&gt;0)),0)</f>
        <v/>
      </c>
      <c r="T94" s="5">
        <f>IF(mos_metrics!H93="","",mos_metrics!H93)</f>
        <v/>
      </c>
      <c r="U94" s="2">
        <f>AND($J94,ISNUMBER(T94),correlation!$I$27=1)</f>
        <v/>
      </c>
      <c r="V94" s="5">
        <f>IF(U94,$F94,"")</f>
        <v/>
      </c>
      <c r="W94" s="5">
        <f>IF(U94,T94*correlation!$J$27,"")</f>
        <v/>
      </c>
      <c r="X94" s="5">
        <f>IF(AND(U94,ISNUMBER(correlation!$F$27)),W94*correlation!$F$27+correlation!$G$27,"")</f>
        <v/>
      </c>
      <c r="Y94" s="5">
        <f>IF(AND(U94,ISNUMBER(X94)),(V94-X94)^2,"")</f>
        <v/>
      </c>
      <c r="Z94" s="5">
        <f>IF(U94,1+SUMPRODUCT(--(calc!$U$3:$U$306=TRUE),--(calc!$V$3:$V$306&gt;V94))+(SUMPRODUCT(--(calc!$U$3:$U$306=TRUE),--(calc!$V$3:$V$306=V94))-1)/2,"")</f>
        <v/>
      </c>
      <c r="AA94" s="5">
        <f>IF(U94,1+SUMPRODUCT(--(calc!$U$3:$U$306=TRUE),--(calc!$W$3:$W$306&gt;W94))+(SUMPRODUCT(--(calc!$U$3:$U$306=TRUE),--(calc!$W$3:$W$306=W94))-1)/2,"")</f>
        <v/>
      </c>
      <c r="AB94" s="5">
        <f>IF(U94,SUMPRODUCT(--(calc!$U$3:$U$306=TRUE),--(ROW(calc!$U$3:$U$306)&gt;ROW(U94)),--(((calc!$Z$3:$Z$306&gt;Z94)*(calc!$AA$3:$AA$306&gt;AA94)+(calc!$Z$3:$Z$306&lt;Z94)*(calc!$AA$3:$AA$306&lt;AA94))&gt;0))-SUMPRODUCT(--(calc!$U$3:$U$306=TRUE),--(ROW(calc!$U$3:$U$306)&gt;ROW(U94)),--(((calc!$Z$3:$Z$306&gt;Z94)*(calc!$AA$3:$AA$306&lt;AA94)+(calc!$Z$3:$Z$306&lt;Z94)*(calc!$AA$3:$AA$306&gt;AA94))&gt;0)),0)</f>
        <v/>
      </c>
      <c r="AC94" s="5">
        <f>IF(mos_metrics!I93="","",mos_metrics!I93)</f>
        <v/>
      </c>
      <c r="AD94" s="2">
        <f>AND($J94,ISNUMBER(AC94),correlation!$I$28=1)</f>
        <v/>
      </c>
      <c r="AE94" s="5">
        <f>IF(AD94,$F94,"")</f>
        <v/>
      </c>
      <c r="AF94" s="5">
        <f>IF(AD94,AC94*correlation!$J$28,"")</f>
        <v/>
      </c>
      <c r="AG94" s="5">
        <f>IF(AND(AD94,ISNUMBER(correlation!$F$28)),AF94*correlation!$F$28+correlation!$G$28,"")</f>
        <v/>
      </c>
      <c r="AH94" s="5">
        <f>IF(AND(AD94,ISNUMBER(AG94)),(AE94-AG94)^2,"")</f>
        <v/>
      </c>
      <c r="AI94" s="5">
        <f>IF(AD94,1+SUMPRODUCT(--(calc!$AD$3:$AD$306=TRUE),--(calc!$AE$3:$AE$306&gt;AE94))+(SUMPRODUCT(--(calc!$AD$3:$AD$306=TRUE),--(calc!$AE$3:$AE$306=AE94))-1)/2,"")</f>
        <v/>
      </c>
      <c r="AJ94" s="5">
        <f>IF(AD94,1+SUMPRODUCT(--(calc!$AD$3:$AD$306=TRUE),--(calc!$AF$3:$AF$306&gt;AF94))+(SUMPRODUCT(--(calc!$AD$3:$AD$306=TRUE),--(calc!$AF$3:$AF$306=AF94))-1)/2,"")</f>
        <v/>
      </c>
      <c r="AK94" s="5">
        <f>IF(AD94,SUMPRODUCT(--(calc!$AD$3:$AD$306=TRUE),--(ROW(calc!$AD$3:$AD$306)&gt;ROW(AD94)),--(((calc!$AI$3:$AI$306&gt;AI94)*(calc!$AJ$3:$AJ$306&gt;AJ94)+(calc!$AI$3:$AI$306&lt;AI94)*(calc!$AJ$3:$AJ$306&lt;AJ94))&gt;0))-SUMPRODUCT(--(calc!$AD$3:$AD$306=TRUE),--(ROW(calc!$AD$3:$AD$306)&gt;ROW(AD94)),--(((calc!$AI$3:$AI$306&gt;AI94)*(calc!$AJ$3:$AJ$306&lt;AJ94)+(calc!$AI$3:$AI$306&lt;AI94)*(calc!$AJ$3:$AJ$306&gt;AJ94))&gt;0)),0)</f>
        <v/>
      </c>
      <c r="AL94" s="5">
        <f>IF(mos_metrics!J93="","",mos_metrics!J93)</f>
        <v/>
      </c>
      <c r="AM94" s="2">
        <f>AND($J94,ISNUMBER(AL94),correlation!$I$29=1)</f>
        <v/>
      </c>
      <c r="AN94" s="5">
        <f>IF(AM94,$F94,"")</f>
        <v/>
      </c>
      <c r="AO94" s="5">
        <f>IF(AM94,AL94*correlation!$J$29,"")</f>
        <v/>
      </c>
      <c r="AP94" s="5">
        <f>IF(AND(AM94,ISNUMBER(correlation!$F$29)),AO94*correlation!$F$29+correlation!$G$29,"")</f>
        <v/>
      </c>
      <c r="AQ94" s="5">
        <f>IF(AND(AM94,ISNUMBER(AP94)),(AN94-AP94)^2,"")</f>
        <v/>
      </c>
      <c r="AR94" s="5">
        <f>IF(AM94,1+SUMPRODUCT(--(calc!$AM$3:$AM$306=TRUE),--(calc!$AN$3:$AN$306&gt;AN94))+(SUMPRODUCT(--(calc!$AM$3:$AM$306=TRUE),--(calc!$AN$3:$AN$306=AN94))-1)/2,"")</f>
        <v/>
      </c>
      <c r="AS94" s="5">
        <f>IF(AM94,1+SUMPRODUCT(--(calc!$AM$3:$AM$306=TRUE),--(calc!$AO$3:$AO$306&gt;AO94))+(SUMPRODUCT(--(calc!$AM$3:$AM$306=TRUE),--(calc!$AO$3:$AO$306=AO94))-1)/2,"")</f>
        <v/>
      </c>
      <c r="AT94" s="5">
        <f>IF(AM94,SUMPRODUCT(--(calc!$AM$3:$AM$306=TRUE),--(ROW(calc!$AM$3:$AM$306)&gt;ROW(AM94)),--(((calc!$AR$3:$AR$306&gt;AR94)*(calc!$AS$3:$AS$306&gt;AS94)+(calc!$AR$3:$AR$306&lt;AR94)*(calc!$AS$3:$AS$306&lt;AS94))&gt;0))-SUMPRODUCT(--(calc!$AM$3:$AM$306=TRUE),--(ROW(calc!$AM$3:$AM$306)&gt;ROW(AM94)),--(((calc!$AR$3:$AR$306&gt;AR94)*(calc!$AS$3:$AS$306&lt;AS94)+(calc!$AR$3:$AR$306&lt;AR94)*(calc!$AS$3:$AS$306&gt;AS94))&gt;0)),0)</f>
        <v/>
      </c>
      <c r="AU94" s="5">
        <f>IF(mos_metrics!K93="","",mos_metrics!K93)</f>
        <v/>
      </c>
      <c r="AV94" s="2">
        <f>AND($J94,ISNUMBER(AU94),correlation!$I$30=1)</f>
        <v/>
      </c>
      <c r="AW94" s="5">
        <f>IF(AV94,$F94,"")</f>
        <v/>
      </c>
      <c r="AX94" s="5">
        <f>IF(AV94,AU94*correlation!$J$30,"")</f>
        <v/>
      </c>
      <c r="AY94" s="5">
        <f>IF(AND(AV94,ISNUMBER(correlation!$F$30)),AX94*correlation!$F$30+correlation!$G$30,"")</f>
        <v/>
      </c>
      <c r="AZ94" s="5">
        <f>IF(AND(AV94,ISNUMBER(AY94)),(AW94-AY94)^2,"")</f>
        <v/>
      </c>
      <c r="BA94" s="5">
        <f>IF(AV94,1+SUMPRODUCT(--(calc!$AV$3:$AV$306=TRUE),--(calc!$AW$3:$AW$306&gt;AW94))+(SUMPRODUCT(--(calc!$AV$3:$AV$306=TRUE),--(calc!$AW$3:$AW$306=AW94))-1)/2,"")</f>
        <v/>
      </c>
      <c r="BB94" s="5">
        <f>IF(AV94,1+SUMPRODUCT(--(calc!$AV$3:$AV$306=TRUE),--(calc!$AX$3:$AX$306&gt;AX94))+(SUMPRODUCT(--(calc!$AV$3:$AV$306=TRUE),--(calc!$AX$3:$AX$306=AX94))-1)/2,"")</f>
        <v/>
      </c>
      <c r="BC94" s="5">
        <f>IF(AV94,SUMPRODUCT(--(calc!$AV$3:$AV$306=TRUE),--(ROW(calc!$AV$3:$AV$306)&gt;ROW(AV94)),--(((calc!$BA$3:$BA$306&gt;BA94)*(calc!$BB$3:$BB$306&gt;BB94)+(calc!$BA$3:$BA$306&lt;BA94)*(calc!$BB$3:$BB$306&lt;BB94))&gt;0))-SUMPRODUCT(--(calc!$AV$3:$AV$306=TRUE),--(ROW(calc!$AV$3:$AV$306)&gt;ROW(AV94)),--(((calc!$BA$3:$BA$306&gt;BA94)*(calc!$BB$3:$BB$306&lt;BB94)+(calc!$BA$3:$BA$306&lt;BA94)*(calc!$BB$3:$BB$306&gt;BB94))&gt;0)),0)</f>
        <v/>
      </c>
      <c r="BD94" s="5">
        <f>IF(mos_metrics!L93="","",mos_metrics!L93)</f>
        <v/>
      </c>
      <c r="BE94" s="2">
        <f>AND($J94,ISNUMBER(BD94),correlation!$I$31=1)</f>
        <v/>
      </c>
      <c r="BF94" s="5">
        <f>IF(BE94,$F94,"")</f>
        <v/>
      </c>
      <c r="BG94" s="5">
        <f>IF(BE94,BD94*correlation!$J$31,"")</f>
        <v/>
      </c>
      <c r="BH94" s="5">
        <f>IF(AND(BE94,ISNUMBER(correlation!$F$31)),BG94*correlation!$F$31+correlation!$G$31,"")</f>
        <v/>
      </c>
      <c r="BI94" s="5">
        <f>IF(AND(BE94,ISNUMBER(BH94)),(BF94-BH94)^2,"")</f>
        <v/>
      </c>
      <c r="BJ94" s="5">
        <f>IF(BE94,1+SUMPRODUCT(--(calc!$BE$3:$BE$306=TRUE),--(calc!$BF$3:$BF$306&gt;BF94))+(SUMPRODUCT(--(calc!$BE$3:$BE$306=TRUE),--(calc!$BF$3:$BF$306=BF94))-1)/2,"")</f>
        <v/>
      </c>
      <c r="BK94" s="5">
        <f>IF(BE94,1+SUMPRODUCT(--(calc!$BE$3:$BE$306=TRUE),--(calc!$BG$3:$BG$306&gt;BG94))+(SUMPRODUCT(--(calc!$BE$3:$BE$306=TRUE),--(calc!$BG$3:$BG$306=BG94))-1)/2,"")</f>
        <v/>
      </c>
      <c r="BL94" s="5">
        <f>IF(BE94,SUMPRODUCT(--(calc!$BE$3:$BE$306=TRUE),--(ROW(calc!$BE$3:$BE$306)&gt;ROW(BE94)),--(((calc!$BJ$3:$BJ$306&gt;BJ94)*(calc!$BK$3:$BK$306&gt;BK94)+(calc!$BJ$3:$BJ$306&lt;BJ94)*(calc!$BK$3:$BK$306&lt;BK94))&gt;0))-SUMPRODUCT(--(calc!$BE$3:$BE$306=TRUE),--(ROW(calc!$BE$3:$BE$306)&gt;ROW(BE94)),--(((calc!$BJ$3:$BJ$306&gt;BJ94)*(calc!$BK$3:$BK$306&lt;BK94)+(calc!$BJ$3:$BJ$306&lt;BJ94)*(calc!$BK$3:$BK$306&gt;BK94))&gt;0)),0)</f>
        <v/>
      </c>
      <c r="BM94" s="5">
        <f>IF(mos_metrics!M93="","",mos_metrics!M93)</f>
        <v/>
      </c>
      <c r="BN94" s="2">
        <f>AND($J94,ISNUMBER(BM94),correlation!$I$32=1)</f>
        <v/>
      </c>
      <c r="BO94" s="5">
        <f>IF(BN94,$F94,"")</f>
        <v/>
      </c>
      <c r="BP94" s="5">
        <f>IF(BN94,BM94*correlation!$J$32,"")</f>
        <v/>
      </c>
      <c r="BQ94" s="5">
        <f>IF(AND(BN94,ISNUMBER(correlation!$F$32)),BP94*correlation!$F$32+correlation!$G$32,"")</f>
        <v/>
      </c>
      <c r="BR94" s="5">
        <f>IF(AND(BN94,ISNUMBER(BQ94)),(BO94-BQ94)^2,"")</f>
        <v/>
      </c>
      <c r="BS94" s="5">
        <f>IF(BN94,1+SUMPRODUCT(--(calc!$BN$3:$BN$306=TRUE),--(calc!$BO$3:$BO$306&gt;BO94))+(SUMPRODUCT(--(calc!$BN$3:$BN$306=TRUE),--(calc!$BO$3:$BO$306=BO94))-1)/2,"")</f>
        <v/>
      </c>
      <c r="BT94" s="5">
        <f>IF(BN94,1+SUMPRODUCT(--(calc!$BN$3:$BN$306=TRUE),--(calc!$BP$3:$BP$306&gt;BP94))+(SUMPRODUCT(--(calc!$BN$3:$BN$306=TRUE),--(calc!$BP$3:$BP$306=BP94))-1)/2,"")</f>
        <v/>
      </c>
      <c r="BU94" s="5">
        <f>IF(BN94,SUMPRODUCT(--(calc!$BN$3:$BN$306=TRUE),--(ROW(calc!$BN$3:$BN$306)&gt;ROW(BN94)),--(((calc!$BS$3:$BS$306&gt;BS94)*(calc!$BT$3:$BT$306&gt;BT94)+(calc!$BS$3:$BS$306&lt;BS94)*(calc!$BT$3:$BT$306&lt;BT94))&gt;0))-SUMPRODUCT(--(calc!$BN$3:$BN$306=TRUE),--(ROW(calc!$BN$3:$BN$306)&gt;ROW(BN94)),--(((calc!$BS$3:$BS$306&gt;BS94)*(calc!$BT$3:$BT$306&lt;BT94)+(calc!$BS$3:$BS$306&lt;BS94)*(calc!$BT$3:$BT$306&gt;BT94))&gt;0)),0)</f>
        <v/>
      </c>
    </row>
    <row r="95">
      <c r="A95" s="2">
        <f>mos_metrics!A94</f>
        <v/>
      </c>
      <c r="B95" s="2">
        <f>mos_metrics!B94</f>
        <v/>
      </c>
      <c r="C95" s="2">
        <f>mos_metrics!C94</f>
        <v/>
      </c>
      <c r="D95" s="2">
        <f>mos_metrics!D94</f>
        <v/>
      </c>
      <c r="E95" s="2">
        <f>mos_metrics!E94</f>
        <v/>
      </c>
      <c r="F95" s="2">
        <f>mos_metrics!F94</f>
        <v/>
      </c>
      <c r="G95" s="2">
        <f>IF($B95="","",IFERROR(VLOOKUP($B95,correlation!$A$2:$B$16,2,FALSE),1))</f>
        <v/>
      </c>
      <c r="H95" s="2">
        <f>IF($E95="","",IFERROR(VLOOKUP($E95,correlation!$D$2:$E$8,2,FALSE),1))</f>
        <v/>
      </c>
      <c r="I95" s="2">
        <f>ISNUMBER($F95)</f>
        <v/>
      </c>
      <c r="J95" s="2">
        <f>AND($G95=1,$H95=1,$I95)</f>
        <v/>
      </c>
      <c r="K95" s="5">
        <f>IF(mos_metrics!G94="","",mos_metrics!G94)</f>
        <v/>
      </c>
      <c r="L95" s="2">
        <f>AND($J95,ISNUMBER(K95),correlation!$I$26=1)</f>
        <v/>
      </c>
      <c r="M95" s="5">
        <f>IF(L95,$F95,"")</f>
        <v/>
      </c>
      <c r="N95" s="5">
        <f>IF(L95,K95*correlation!$J$26,"")</f>
        <v/>
      </c>
      <c r="O95" s="5">
        <f>IF(AND(L95,ISNUMBER(correlation!$F$26)),N95*correlation!$F$26+correlation!$G$26,"")</f>
        <v/>
      </c>
      <c r="P95" s="5">
        <f>IF(AND(L95,ISNUMBER(O95)),(M95-O95)^2,"")</f>
        <v/>
      </c>
      <c r="Q95" s="5">
        <f>IF(L95,1+SUMPRODUCT(--(calc!$L$3:$L$306=TRUE),--(calc!$M$3:$M$306&gt;M95))+(SUMPRODUCT(--(calc!$L$3:$L$306=TRUE),--(calc!$M$3:$M$306=M95))-1)/2,"")</f>
        <v/>
      </c>
      <c r="R95" s="5">
        <f>IF(L95,1+SUMPRODUCT(--(calc!$L$3:$L$306=TRUE),--(calc!$N$3:$N$306&gt;N95))+(SUMPRODUCT(--(calc!$L$3:$L$306=TRUE),--(calc!$N$3:$N$306=N95))-1)/2,"")</f>
        <v/>
      </c>
      <c r="S95" s="5">
        <f>IF(L95,SUMPRODUCT(--(calc!$L$3:$L$306=TRUE),--(ROW(calc!$L$3:$L$306)&gt;ROW(L95)),--(((calc!$Q$3:$Q$306&gt;Q95)*(calc!$R$3:$R$306&gt;R95)+(calc!$Q$3:$Q$306&lt;Q95)*(calc!$R$3:$R$306&lt;R95))&gt;0))-SUMPRODUCT(--(calc!$L$3:$L$306=TRUE),--(ROW(calc!$L$3:$L$306)&gt;ROW(L95)),--(((calc!$Q$3:$Q$306&gt;Q95)*(calc!$R$3:$R$306&lt;R95)+(calc!$Q$3:$Q$306&lt;Q95)*(calc!$R$3:$R$306&gt;R95))&gt;0)),0)</f>
        <v/>
      </c>
      <c r="T95" s="5">
        <f>IF(mos_metrics!H94="","",mos_metrics!H94)</f>
        <v/>
      </c>
      <c r="U95" s="2">
        <f>AND($J95,ISNUMBER(T95),correlation!$I$27=1)</f>
        <v/>
      </c>
      <c r="V95" s="5">
        <f>IF(U95,$F95,"")</f>
        <v/>
      </c>
      <c r="W95" s="5">
        <f>IF(U95,T95*correlation!$J$27,"")</f>
        <v/>
      </c>
      <c r="X95" s="5">
        <f>IF(AND(U95,ISNUMBER(correlation!$F$27)),W95*correlation!$F$27+correlation!$G$27,"")</f>
        <v/>
      </c>
      <c r="Y95" s="5">
        <f>IF(AND(U95,ISNUMBER(X95)),(V95-X95)^2,"")</f>
        <v/>
      </c>
      <c r="Z95" s="5">
        <f>IF(U95,1+SUMPRODUCT(--(calc!$U$3:$U$306=TRUE),--(calc!$V$3:$V$306&gt;V95))+(SUMPRODUCT(--(calc!$U$3:$U$306=TRUE),--(calc!$V$3:$V$306=V95))-1)/2,"")</f>
        <v/>
      </c>
      <c r="AA95" s="5">
        <f>IF(U95,1+SUMPRODUCT(--(calc!$U$3:$U$306=TRUE),--(calc!$W$3:$W$306&gt;W95))+(SUMPRODUCT(--(calc!$U$3:$U$306=TRUE),--(calc!$W$3:$W$306=W95))-1)/2,"")</f>
        <v/>
      </c>
      <c r="AB95" s="5">
        <f>IF(U95,SUMPRODUCT(--(calc!$U$3:$U$306=TRUE),--(ROW(calc!$U$3:$U$306)&gt;ROW(U95)),--(((calc!$Z$3:$Z$306&gt;Z95)*(calc!$AA$3:$AA$306&gt;AA95)+(calc!$Z$3:$Z$306&lt;Z95)*(calc!$AA$3:$AA$306&lt;AA95))&gt;0))-SUMPRODUCT(--(calc!$U$3:$U$306=TRUE),--(ROW(calc!$U$3:$U$306)&gt;ROW(U95)),--(((calc!$Z$3:$Z$306&gt;Z95)*(calc!$AA$3:$AA$306&lt;AA95)+(calc!$Z$3:$Z$306&lt;Z95)*(calc!$AA$3:$AA$306&gt;AA95))&gt;0)),0)</f>
        <v/>
      </c>
      <c r="AC95" s="5">
        <f>IF(mos_metrics!I94="","",mos_metrics!I94)</f>
        <v/>
      </c>
      <c r="AD95" s="2">
        <f>AND($J95,ISNUMBER(AC95),correlation!$I$28=1)</f>
        <v/>
      </c>
      <c r="AE95" s="5">
        <f>IF(AD95,$F95,"")</f>
        <v/>
      </c>
      <c r="AF95" s="5">
        <f>IF(AD95,AC95*correlation!$J$28,"")</f>
        <v/>
      </c>
      <c r="AG95" s="5">
        <f>IF(AND(AD95,ISNUMBER(correlation!$F$28)),AF95*correlation!$F$28+correlation!$G$28,"")</f>
        <v/>
      </c>
      <c r="AH95" s="5">
        <f>IF(AND(AD95,ISNUMBER(AG95)),(AE95-AG95)^2,"")</f>
        <v/>
      </c>
      <c r="AI95" s="5">
        <f>IF(AD95,1+SUMPRODUCT(--(calc!$AD$3:$AD$306=TRUE),--(calc!$AE$3:$AE$306&gt;AE95))+(SUMPRODUCT(--(calc!$AD$3:$AD$306=TRUE),--(calc!$AE$3:$AE$306=AE95))-1)/2,"")</f>
        <v/>
      </c>
      <c r="AJ95" s="5">
        <f>IF(AD95,1+SUMPRODUCT(--(calc!$AD$3:$AD$306=TRUE),--(calc!$AF$3:$AF$306&gt;AF95))+(SUMPRODUCT(--(calc!$AD$3:$AD$306=TRUE),--(calc!$AF$3:$AF$306=AF95))-1)/2,"")</f>
        <v/>
      </c>
      <c r="AK95" s="5">
        <f>IF(AD95,SUMPRODUCT(--(calc!$AD$3:$AD$306=TRUE),--(ROW(calc!$AD$3:$AD$306)&gt;ROW(AD95)),--(((calc!$AI$3:$AI$306&gt;AI95)*(calc!$AJ$3:$AJ$306&gt;AJ95)+(calc!$AI$3:$AI$306&lt;AI95)*(calc!$AJ$3:$AJ$306&lt;AJ95))&gt;0))-SUMPRODUCT(--(calc!$AD$3:$AD$306=TRUE),--(ROW(calc!$AD$3:$AD$306)&gt;ROW(AD95)),--(((calc!$AI$3:$AI$306&gt;AI95)*(calc!$AJ$3:$AJ$306&lt;AJ95)+(calc!$AI$3:$AI$306&lt;AI95)*(calc!$AJ$3:$AJ$306&gt;AJ95))&gt;0)),0)</f>
        <v/>
      </c>
      <c r="AL95" s="5">
        <f>IF(mos_metrics!J94="","",mos_metrics!J94)</f>
        <v/>
      </c>
      <c r="AM95" s="2">
        <f>AND($J95,ISNUMBER(AL95),correlation!$I$29=1)</f>
        <v/>
      </c>
      <c r="AN95" s="5">
        <f>IF(AM95,$F95,"")</f>
        <v/>
      </c>
      <c r="AO95" s="5">
        <f>IF(AM95,AL95*correlation!$J$29,"")</f>
        <v/>
      </c>
      <c r="AP95" s="5">
        <f>IF(AND(AM95,ISNUMBER(correlation!$F$29)),AO95*correlation!$F$29+correlation!$G$29,"")</f>
        <v/>
      </c>
      <c r="AQ95" s="5">
        <f>IF(AND(AM95,ISNUMBER(AP95)),(AN95-AP95)^2,"")</f>
        <v/>
      </c>
      <c r="AR95" s="5">
        <f>IF(AM95,1+SUMPRODUCT(--(calc!$AM$3:$AM$306=TRUE),--(calc!$AN$3:$AN$306&gt;AN95))+(SUMPRODUCT(--(calc!$AM$3:$AM$306=TRUE),--(calc!$AN$3:$AN$306=AN95))-1)/2,"")</f>
        <v/>
      </c>
      <c r="AS95" s="5">
        <f>IF(AM95,1+SUMPRODUCT(--(calc!$AM$3:$AM$306=TRUE),--(calc!$AO$3:$AO$306&gt;AO95))+(SUMPRODUCT(--(calc!$AM$3:$AM$306=TRUE),--(calc!$AO$3:$AO$306=AO95))-1)/2,"")</f>
        <v/>
      </c>
      <c r="AT95" s="5">
        <f>IF(AM95,SUMPRODUCT(--(calc!$AM$3:$AM$306=TRUE),--(ROW(calc!$AM$3:$AM$306)&gt;ROW(AM95)),--(((calc!$AR$3:$AR$306&gt;AR95)*(calc!$AS$3:$AS$306&gt;AS95)+(calc!$AR$3:$AR$306&lt;AR95)*(calc!$AS$3:$AS$306&lt;AS95))&gt;0))-SUMPRODUCT(--(calc!$AM$3:$AM$306=TRUE),--(ROW(calc!$AM$3:$AM$306)&gt;ROW(AM95)),--(((calc!$AR$3:$AR$306&gt;AR95)*(calc!$AS$3:$AS$306&lt;AS95)+(calc!$AR$3:$AR$306&lt;AR95)*(calc!$AS$3:$AS$306&gt;AS95))&gt;0)),0)</f>
        <v/>
      </c>
      <c r="AU95" s="5">
        <f>IF(mos_metrics!K94="","",mos_metrics!K94)</f>
        <v/>
      </c>
      <c r="AV95" s="2">
        <f>AND($J95,ISNUMBER(AU95),correlation!$I$30=1)</f>
        <v/>
      </c>
      <c r="AW95" s="5">
        <f>IF(AV95,$F95,"")</f>
        <v/>
      </c>
      <c r="AX95" s="5">
        <f>IF(AV95,AU95*correlation!$J$30,"")</f>
        <v/>
      </c>
      <c r="AY95" s="5">
        <f>IF(AND(AV95,ISNUMBER(correlation!$F$30)),AX95*correlation!$F$30+correlation!$G$30,"")</f>
        <v/>
      </c>
      <c r="AZ95" s="5">
        <f>IF(AND(AV95,ISNUMBER(AY95)),(AW95-AY95)^2,"")</f>
        <v/>
      </c>
      <c r="BA95" s="5">
        <f>IF(AV95,1+SUMPRODUCT(--(calc!$AV$3:$AV$306=TRUE),--(calc!$AW$3:$AW$306&gt;AW95))+(SUMPRODUCT(--(calc!$AV$3:$AV$306=TRUE),--(calc!$AW$3:$AW$306=AW95))-1)/2,"")</f>
        <v/>
      </c>
      <c r="BB95" s="5">
        <f>IF(AV95,1+SUMPRODUCT(--(calc!$AV$3:$AV$306=TRUE),--(calc!$AX$3:$AX$306&gt;AX95))+(SUMPRODUCT(--(calc!$AV$3:$AV$306=TRUE),--(calc!$AX$3:$AX$306=AX95))-1)/2,"")</f>
        <v/>
      </c>
      <c r="BC95" s="5">
        <f>IF(AV95,SUMPRODUCT(--(calc!$AV$3:$AV$306=TRUE),--(ROW(calc!$AV$3:$AV$306)&gt;ROW(AV95)),--(((calc!$BA$3:$BA$306&gt;BA95)*(calc!$BB$3:$BB$306&gt;BB95)+(calc!$BA$3:$BA$306&lt;BA95)*(calc!$BB$3:$BB$306&lt;BB95))&gt;0))-SUMPRODUCT(--(calc!$AV$3:$AV$306=TRUE),--(ROW(calc!$AV$3:$AV$306)&gt;ROW(AV95)),--(((calc!$BA$3:$BA$306&gt;BA95)*(calc!$BB$3:$BB$306&lt;BB95)+(calc!$BA$3:$BA$306&lt;BA95)*(calc!$BB$3:$BB$306&gt;BB95))&gt;0)),0)</f>
        <v/>
      </c>
      <c r="BD95" s="5">
        <f>IF(mos_metrics!L94="","",mos_metrics!L94)</f>
        <v/>
      </c>
      <c r="BE95" s="2">
        <f>AND($J95,ISNUMBER(BD95),correlation!$I$31=1)</f>
        <v/>
      </c>
      <c r="BF95" s="5">
        <f>IF(BE95,$F95,"")</f>
        <v/>
      </c>
      <c r="BG95" s="5">
        <f>IF(BE95,BD95*correlation!$J$31,"")</f>
        <v/>
      </c>
      <c r="BH95" s="5">
        <f>IF(AND(BE95,ISNUMBER(correlation!$F$31)),BG95*correlation!$F$31+correlation!$G$31,"")</f>
        <v/>
      </c>
      <c r="BI95" s="5">
        <f>IF(AND(BE95,ISNUMBER(BH95)),(BF95-BH95)^2,"")</f>
        <v/>
      </c>
      <c r="BJ95" s="5">
        <f>IF(BE95,1+SUMPRODUCT(--(calc!$BE$3:$BE$306=TRUE),--(calc!$BF$3:$BF$306&gt;BF95))+(SUMPRODUCT(--(calc!$BE$3:$BE$306=TRUE),--(calc!$BF$3:$BF$306=BF95))-1)/2,"")</f>
        <v/>
      </c>
      <c r="BK95" s="5">
        <f>IF(BE95,1+SUMPRODUCT(--(calc!$BE$3:$BE$306=TRUE),--(calc!$BG$3:$BG$306&gt;BG95))+(SUMPRODUCT(--(calc!$BE$3:$BE$306=TRUE),--(calc!$BG$3:$BG$306=BG95))-1)/2,"")</f>
        <v/>
      </c>
      <c r="BL95" s="5">
        <f>IF(BE95,SUMPRODUCT(--(calc!$BE$3:$BE$306=TRUE),--(ROW(calc!$BE$3:$BE$306)&gt;ROW(BE95)),--(((calc!$BJ$3:$BJ$306&gt;BJ95)*(calc!$BK$3:$BK$306&gt;BK95)+(calc!$BJ$3:$BJ$306&lt;BJ95)*(calc!$BK$3:$BK$306&lt;BK95))&gt;0))-SUMPRODUCT(--(calc!$BE$3:$BE$306=TRUE),--(ROW(calc!$BE$3:$BE$306)&gt;ROW(BE95)),--(((calc!$BJ$3:$BJ$306&gt;BJ95)*(calc!$BK$3:$BK$306&lt;BK95)+(calc!$BJ$3:$BJ$306&lt;BJ95)*(calc!$BK$3:$BK$306&gt;BK95))&gt;0)),0)</f>
        <v/>
      </c>
      <c r="BM95" s="5">
        <f>IF(mos_metrics!M94="","",mos_metrics!M94)</f>
        <v/>
      </c>
      <c r="BN95" s="2">
        <f>AND($J95,ISNUMBER(BM95),correlation!$I$32=1)</f>
        <v/>
      </c>
      <c r="BO95" s="5">
        <f>IF(BN95,$F95,"")</f>
        <v/>
      </c>
      <c r="BP95" s="5">
        <f>IF(BN95,BM95*correlation!$J$32,"")</f>
        <v/>
      </c>
      <c r="BQ95" s="5">
        <f>IF(AND(BN95,ISNUMBER(correlation!$F$32)),BP95*correlation!$F$32+correlation!$G$32,"")</f>
        <v/>
      </c>
      <c r="BR95" s="5">
        <f>IF(AND(BN95,ISNUMBER(BQ95)),(BO95-BQ95)^2,"")</f>
        <v/>
      </c>
      <c r="BS95" s="5">
        <f>IF(BN95,1+SUMPRODUCT(--(calc!$BN$3:$BN$306=TRUE),--(calc!$BO$3:$BO$306&gt;BO95))+(SUMPRODUCT(--(calc!$BN$3:$BN$306=TRUE),--(calc!$BO$3:$BO$306=BO95))-1)/2,"")</f>
        <v/>
      </c>
      <c r="BT95" s="5">
        <f>IF(BN95,1+SUMPRODUCT(--(calc!$BN$3:$BN$306=TRUE),--(calc!$BP$3:$BP$306&gt;BP95))+(SUMPRODUCT(--(calc!$BN$3:$BN$306=TRUE),--(calc!$BP$3:$BP$306=BP95))-1)/2,"")</f>
        <v/>
      </c>
      <c r="BU95" s="5">
        <f>IF(BN95,SUMPRODUCT(--(calc!$BN$3:$BN$306=TRUE),--(ROW(calc!$BN$3:$BN$306)&gt;ROW(BN95)),--(((calc!$BS$3:$BS$306&gt;BS95)*(calc!$BT$3:$BT$306&gt;BT95)+(calc!$BS$3:$BS$306&lt;BS95)*(calc!$BT$3:$BT$306&lt;BT95))&gt;0))-SUMPRODUCT(--(calc!$BN$3:$BN$306=TRUE),--(ROW(calc!$BN$3:$BN$306)&gt;ROW(BN95)),--(((calc!$BS$3:$BS$306&gt;BS95)*(calc!$BT$3:$BT$306&lt;BT95)+(calc!$BS$3:$BS$306&lt;BS95)*(calc!$BT$3:$BT$306&gt;BT95))&gt;0)),0)</f>
        <v/>
      </c>
    </row>
    <row r="96">
      <c r="A96" s="2">
        <f>mos_metrics!A95</f>
        <v/>
      </c>
      <c r="B96" s="2">
        <f>mos_metrics!B95</f>
        <v/>
      </c>
      <c r="C96" s="2">
        <f>mos_metrics!C95</f>
        <v/>
      </c>
      <c r="D96" s="2">
        <f>mos_metrics!D95</f>
        <v/>
      </c>
      <c r="E96" s="2">
        <f>mos_metrics!E95</f>
        <v/>
      </c>
      <c r="F96" s="2">
        <f>mos_metrics!F95</f>
        <v/>
      </c>
      <c r="G96" s="2">
        <f>IF($B96="","",IFERROR(VLOOKUP($B96,correlation!$A$2:$B$16,2,FALSE),1))</f>
        <v/>
      </c>
      <c r="H96" s="2">
        <f>IF($E96="","",IFERROR(VLOOKUP($E96,correlation!$D$2:$E$8,2,FALSE),1))</f>
        <v/>
      </c>
      <c r="I96" s="2">
        <f>ISNUMBER($F96)</f>
        <v/>
      </c>
      <c r="J96" s="2">
        <f>AND($G96=1,$H96=1,$I96)</f>
        <v/>
      </c>
      <c r="K96" s="5">
        <f>IF(mos_metrics!G95="","",mos_metrics!G95)</f>
        <v/>
      </c>
      <c r="L96" s="2">
        <f>AND($J96,ISNUMBER(K96),correlation!$I$26=1)</f>
        <v/>
      </c>
      <c r="M96" s="5">
        <f>IF(L96,$F96,"")</f>
        <v/>
      </c>
      <c r="N96" s="5">
        <f>IF(L96,K96*correlation!$J$26,"")</f>
        <v/>
      </c>
      <c r="O96" s="5">
        <f>IF(AND(L96,ISNUMBER(correlation!$F$26)),N96*correlation!$F$26+correlation!$G$26,"")</f>
        <v/>
      </c>
      <c r="P96" s="5">
        <f>IF(AND(L96,ISNUMBER(O96)),(M96-O96)^2,"")</f>
        <v/>
      </c>
      <c r="Q96" s="5">
        <f>IF(L96,1+SUMPRODUCT(--(calc!$L$3:$L$306=TRUE),--(calc!$M$3:$M$306&gt;M96))+(SUMPRODUCT(--(calc!$L$3:$L$306=TRUE),--(calc!$M$3:$M$306=M96))-1)/2,"")</f>
        <v/>
      </c>
      <c r="R96" s="5">
        <f>IF(L96,1+SUMPRODUCT(--(calc!$L$3:$L$306=TRUE),--(calc!$N$3:$N$306&gt;N96))+(SUMPRODUCT(--(calc!$L$3:$L$306=TRUE),--(calc!$N$3:$N$306=N96))-1)/2,"")</f>
        <v/>
      </c>
      <c r="S96" s="5">
        <f>IF(L96,SUMPRODUCT(--(calc!$L$3:$L$306=TRUE),--(ROW(calc!$L$3:$L$306)&gt;ROW(L96)),--(((calc!$Q$3:$Q$306&gt;Q96)*(calc!$R$3:$R$306&gt;R96)+(calc!$Q$3:$Q$306&lt;Q96)*(calc!$R$3:$R$306&lt;R96))&gt;0))-SUMPRODUCT(--(calc!$L$3:$L$306=TRUE),--(ROW(calc!$L$3:$L$306)&gt;ROW(L96)),--(((calc!$Q$3:$Q$306&gt;Q96)*(calc!$R$3:$R$306&lt;R96)+(calc!$Q$3:$Q$306&lt;Q96)*(calc!$R$3:$R$306&gt;R96))&gt;0)),0)</f>
        <v/>
      </c>
      <c r="T96" s="5">
        <f>IF(mos_metrics!H95="","",mos_metrics!H95)</f>
        <v/>
      </c>
      <c r="U96" s="2">
        <f>AND($J96,ISNUMBER(T96),correlation!$I$27=1)</f>
        <v/>
      </c>
      <c r="V96" s="5">
        <f>IF(U96,$F96,"")</f>
        <v/>
      </c>
      <c r="W96" s="5">
        <f>IF(U96,T96*correlation!$J$27,"")</f>
        <v/>
      </c>
      <c r="X96" s="5">
        <f>IF(AND(U96,ISNUMBER(correlation!$F$27)),W96*correlation!$F$27+correlation!$G$27,"")</f>
        <v/>
      </c>
      <c r="Y96" s="5">
        <f>IF(AND(U96,ISNUMBER(X96)),(V96-X96)^2,"")</f>
        <v/>
      </c>
      <c r="Z96" s="5">
        <f>IF(U96,1+SUMPRODUCT(--(calc!$U$3:$U$306=TRUE),--(calc!$V$3:$V$306&gt;V96))+(SUMPRODUCT(--(calc!$U$3:$U$306=TRUE),--(calc!$V$3:$V$306=V96))-1)/2,"")</f>
        <v/>
      </c>
      <c r="AA96" s="5">
        <f>IF(U96,1+SUMPRODUCT(--(calc!$U$3:$U$306=TRUE),--(calc!$W$3:$W$306&gt;W96))+(SUMPRODUCT(--(calc!$U$3:$U$306=TRUE),--(calc!$W$3:$W$306=W96))-1)/2,"")</f>
        <v/>
      </c>
      <c r="AB96" s="5">
        <f>IF(U96,SUMPRODUCT(--(calc!$U$3:$U$306=TRUE),--(ROW(calc!$U$3:$U$306)&gt;ROW(U96)),--(((calc!$Z$3:$Z$306&gt;Z96)*(calc!$AA$3:$AA$306&gt;AA96)+(calc!$Z$3:$Z$306&lt;Z96)*(calc!$AA$3:$AA$306&lt;AA96))&gt;0))-SUMPRODUCT(--(calc!$U$3:$U$306=TRUE),--(ROW(calc!$U$3:$U$306)&gt;ROW(U96)),--(((calc!$Z$3:$Z$306&gt;Z96)*(calc!$AA$3:$AA$306&lt;AA96)+(calc!$Z$3:$Z$306&lt;Z96)*(calc!$AA$3:$AA$306&gt;AA96))&gt;0)),0)</f>
        <v/>
      </c>
      <c r="AC96" s="5">
        <f>IF(mos_metrics!I95="","",mos_metrics!I95)</f>
        <v/>
      </c>
      <c r="AD96" s="2">
        <f>AND($J96,ISNUMBER(AC96),correlation!$I$28=1)</f>
        <v/>
      </c>
      <c r="AE96" s="5">
        <f>IF(AD96,$F96,"")</f>
        <v/>
      </c>
      <c r="AF96" s="5">
        <f>IF(AD96,AC96*correlation!$J$28,"")</f>
        <v/>
      </c>
      <c r="AG96" s="5">
        <f>IF(AND(AD96,ISNUMBER(correlation!$F$28)),AF96*correlation!$F$28+correlation!$G$28,"")</f>
        <v/>
      </c>
      <c r="AH96" s="5">
        <f>IF(AND(AD96,ISNUMBER(AG96)),(AE96-AG96)^2,"")</f>
        <v/>
      </c>
      <c r="AI96" s="5">
        <f>IF(AD96,1+SUMPRODUCT(--(calc!$AD$3:$AD$306=TRUE),--(calc!$AE$3:$AE$306&gt;AE96))+(SUMPRODUCT(--(calc!$AD$3:$AD$306=TRUE),--(calc!$AE$3:$AE$306=AE96))-1)/2,"")</f>
        <v/>
      </c>
      <c r="AJ96" s="5">
        <f>IF(AD96,1+SUMPRODUCT(--(calc!$AD$3:$AD$306=TRUE),--(calc!$AF$3:$AF$306&gt;AF96))+(SUMPRODUCT(--(calc!$AD$3:$AD$306=TRUE),--(calc!$AF$3:$AF$306=AF96))-1)/2,"")</f>
        <v/>
      </c>
      <c r="AK96" s="5">
        <f>IF(AD96,SUMPRODUCT(--(calc!$AD$3:$AD$306=TRUE),--(ROW(calc!$AD$3:$AD$306)&gt;ROW(AD96)),--(((calc!$AI$3:$AI$306&gt;AI96)*(calc!$AJ$3:$AJ$306&gt;AJ96)+(calc!$AI$3:$AI$306&lt;AI96)*(calc!$AJ$3:$AJ$306&lt;AJ96))&gt;0))-SUMPRODUCT(--(calc!$AD$3:$AD$306=TRUE),--(ROW(calc!$AD$3:$AD$306)&gt;ROW(AD96)),--(((calc!$AI$3:$AI$306&gt;AI96)*(calc!$AJ$3:$AJ$306&lt;AJ96)+(calc!$AI$3:$AI$306&lt;AI96)*(calc!$AJ$3:$AJ$306&gt;AJ96))&gt;0)),0)</f>
        <v/>
      </c>
      <c r="AL96" s="5">
        <f>IF(mos_metrics!J95="","",mos_metrics!J95)</f>
        <v/>
      </c>
      <c r="AM96" s="2">
        <f>AND($J96,ISNUMBER(AL96),correlation!$I$29=1)</f>
        <v/>
      </c>
      <c r="AN96" s="5">
        <f>IF(AM96,$F96,"")</f>
        <v/>
      </c>
      <c r="AO96" s="5">
        <f>IF(AM96,AL96*correlation!$J$29,"")</f>
        <v/>
      </c>
      <c r="AP96" s="5">
        <f>IF(AND(AM96,ISNUMBER(correlation!$F$29)),AO96*correlation!$F$29+correlation!$G$29,"")</f>
        <v/>
      </c>
      <c r="AQ96" s="5">
        <f>IF(AND(AM96,ISNUMBER(AP96)),(AN96-AP96)^2,"")</f>
        <v/>
      </c>
      <c r="AR96" s="5">
        <f>IF(AM96,1+SUMPRODUCT(--(calc!$AM$3:$AM$306=TRUE),--(calc!$AN$3:$AN$306&gt;AN96))+(SUMPRODUCT(--(calc!$AM$3:$AM$306=TRUE),--(calc!$AN$3:$AN$306=AN96))-1)/2,"")</f>
        <v/>
      </c>
      <c r="AS96" s="5">
        <f>IF(AM96,1+SUMPRODUCT(--(calc!$AM$3:$AM$306=TRUE),--(calc!$AO$3:$AO$306&gt;AO96))+(SUMPRODUCT(--(calc!$AM$3:$AM$306=TRUE),--(calc!$AO$3:$AO$306=AO96))-1)/2,"")</f>
        <v/>
      </c>
      <c r="AT96" s="5">
        <f>IF(AM96,SUMPRODUCT(--(calc!$AM$3:$AM$306=TRUE),--(ROW(calc!$AM$3:$AM$306)&gt;ROW(AM96)),--(((calc!$AR$3:$AR$306&gt;AR96)*(calc!$AS$3:$AS$306&gt;AS96)+(calc!$AR$3:$AR$306&lt;AR96)*(calc!$AS$3:$AS$306&lt;AS96))&gt;0))-SUMPRODUCT(--(calc!$AM$3:$AM$306=TRUE),--(ROW(calc!$AM$3:$AM$306)&gt;ROW(AM96)),--(((calc!$AR$3:$AR$306&gt;AR96)*(calc!$AS$3:$AS$306&lt;AS96)+(calc!$AR$3:$AR$306&lt;AR96)*(calc!$AS$3:$AS$306&gt;AS96))&gt;0)),0)</f>
        <v/>
      </c>
      <c r="AU96" s="5">
        <f>IF(mos_metrics!K95="","",mos_metrics!K95)</f>
        <v/>
      </c>
      <c r="AV96" s="2">
        <f>AND($J96,ISNUMBER(AU96),correlation!$I$30=1)</f>
        <v/>
      </c>
      <c r="AW96" s="5">
        <f>IF(AV96,$F96,"")</f>
        <v/>
      </c>
      <c r="AX96" s="5">
        <f>IF(AV96,AU96*correlation!$J$30,"")</f>
        <v/>
      </c>
      <c r="AY96" s="5">
        <f>IF(AND(AV96,ISNUMBER(correlation!$F$30)),AX96*correlation!$F$30+correlation!$G$30,"")</f>
        <v/>
      </c>
      <c r="AZ96" s="5">
        <f>IF(AND(AV96,ISNUMBER(AY96)),(AW96-AY96)^2,"")</f>
        <v/>
      </c>
      <c r="BA96" s="5">
        <f>IF(AV96,1+SUMPRODUCT(--(calc!$AV$3:$AV$306=TRUE),--(calc!$AW$3:$AW$306&gt;AW96))+(SUMPRODUCT(--(calc!$AV$3:$AV$306=TRUE),--(calc!$AW$3:$AW$306=AW96))-1)/2,"")</f>
        <v/>
      </c>
      <c r="BB96" s="5">
        <f>IF(AV96,1+SUMPRODUCT(--(calc!$AV$3:$AV$306=TRUE),--(calc!$AX$3:$AX$306&gt;AX96))+(SUMPRODUCT(--(calc!$AV$3:$AV$306=TRUE),--(calc!$AX$3:$AX$306=AX96))-1)/2,"")</f>
        <v/>
      </c>
      <c r="BC96" s="5">
        <f>IF(AV96,SUMPRODUCT(--(calc!$AV$3:$AV$306=TRUE),--(ROW(calc!$AV$3:$AV$306)&gt;ROW(AV96)),--(((calc!$BA$3:$BA$306&gt;BA96)*(calc!$BB$3:$BB$306&gt;BB96)+(calc!$BA$3:$BA$306&lt;BA96)*(calc!$BB$3:$BB$306&lt;BB96))&gt;0))-SUMPRODUCT(--(calc!$AV$3:$AV$306=TRUE),--(ROW(calc!$AV$3:$AV$306)&gt;ROW(AV96)),--(((calc!$BA$3:$BA$306&gt;BA96)*(calc!$BB$3:$BB$306&lt;BB96)+(calc!$BA$3:$BA$306&lt;BA96)*(calc!$BB$3:$BB$306&gt;BB96))&gt;0)),0)</f>
        <v/>
      </c>
      <c r="BD96" s="5">
        <f>IF(mos_metrics!L95="","",mos_metrics!L95)</f>
        <v/>
      </c>
      <c r="BE96" s="2">
        <f>AND($J96,ISNUMBER(BD96),correlation!$I$31=1)</f>
        <v/>
      </c>
      <c r="BF96" s="5">
        <f>IF(BE96,$F96,"")</f>
        <v/>
      </c>
      <c r="BG96" s="5">
        <f>IF(BE96,BD96*correlation!$J$31,"")</f>
        <v/>
      </c>
      <c r="BH96" s="5">
        <f>IF(AND(BE96,ISNUMBER(correlation!$F$31)),BG96*correlation!$F$31+correlation!$G$31,"")</f>
        <v/>
      </c>
      <c r="BI96" s="5">
        <f>IF(AND(BE96,ISNUMBER(BH96)),(BF96-BH96)^2,"")</f>
        <v/>
      </c>
      <c r="BJ96" s="5">
        <f>IF(BE96,1+SUMPRODUCT(--(calc!$BE$3:$BE$306=TRUE),--(calc!$BF$3:$BF$306&gt;BF96))+(SUMPRODUCT(--(calc!$BE$3:$BE$306=TRUE),--(calc!$BF$3:$BF$306=BF96))-1)/2,"")</f>
        <v/>
      </c>
      <c r="BK96" s="5">
        <f>IF(BE96,1+SUMPRODUCT(--(calc!$BE$3:$BE$306=TRUE),--(calc!$BG$3:$BG$306&gt;BG96))+(SUMPRODUCT(--(calc!$BE$3:$BE$306=TRUE),--(calc!$BG$3:$BG$306=BG96))-1)/2,"")</f>
        <v/>
      </c>
      <c r="BL96" s="5">
        <f>IF(BE96,SUMPRODUCT(--(calc!$BE$3:$BE$306=TRUE),--(ROW(calc!$BE$3:$BE$306)&gt;ROW(BE96)),--(((calc!$BJ$3:$BJ$306&gt;BJ96)*(calc!$BK$3:$BK$306&gt;BK96)+(calc!$BJ$3:$BJ$306&lt;BJ96)*(calc!$BK$3:$BK$306&lt;BK96))&gt;0))-SUMPRODUCT(--(calc!$BE$3:$BE$306=TRUE),--(ROW(calc!$BE$3:$BE$306)&gt;ROW(BE96)),--(((calc!$BJ$3:$BJ$306&gt;BJ96)*(calc!$BK$3:$BK$306&lt;BK96)+(calc!$BJ$3:$BJ$306&lt;BJ96)*(calc!$BK$3:$BK$306&gt;BK96))&gt;0)),0)</f>
        <v/>
      </c>
      <c r="BM96" s="5">
        <f>IF(mos_metrics!M95="","",mos_metrics!M95)</f>
        <v/>
      </c>
      <c r="BN96" s="2">
        <f>AND($J96,ISNUMBER(BM96),correlation!$I$32=1)</f>
        <v/>
      </c>
      <c r="BO96" s="5">
        <f>IF(BN96,$F96,"")</f>
        <v/>
      </c>
      <c r="BP96" s="5">
        <f>IF(BN96,BM96*correlation!$J$32,"")</f>
        <v/>
      </c>
      <c r="BQ96" s="5">
        <f>IF(AND(BN96,ISNUMBER(correlation!$F$32)),BP96*correlation!$F$32+correlation!$G$32,"")</f>
        <v/>
      </c>
      <c r="BR96" s="5">
        <f>IF(AND(BN96,ISNUMBER(BQ96)),(BO96-BQ96)^2,"")</f>
        <v/>
      </c>
      <c r="BS96" s="5">
        <f>IF(BN96,1+SUMPRODUCT(--(calc!$BN$3:$BN$306=TRUE),--(calc!$BO$3:$BO$306&gt;BO96))+(SUMPRODUCT(--(calc!$BN$3:$BN$306=TRUE),--(calc!$BO$3:$BO$306=BO96))-1)/2,"")</f>
        <v/>
      </c>
      <c r="BT96" s="5">
        <f>IF(BN96,1+SUMPRODUCT(--(calc!$BN$3:$BN$306=TRUE),--(calc!$BP$3:$BP$306&gt;BP96))+(SUMPRODUCT(--(calc!$BN$3:$BN$306=TRUE),--(calc!$BP$3:$BP$306=BP96))-1)/2,"")</f>
        <v/>
      </c>
      <c r="BU96" s="5">
        <f>IF(BN96,SUMPRODUCT(--(calc!$BN$3:$BN$306=TRUE),--(ROW(calc!$BN$3:$BN$306)&gt;ROW(BN96)),--(((calc!$BS$3:$BS$306&gt;BS96)*(calc!$BT$3:$BT$306&gt;BT96)+(calc!$BS$3:$BS$306&lt;BS96)*(calc!$BT$3:$BT$306&lt;BT96))&gt;0))-SUMPRODUCT(--(calc!$BN$3:$BN$306=TRUE),--(ROW(calc!$BN$3:$BN$306)&gt;ROW(BN96)),--(((calc!$BS$3:$BS$306&gt;BS96)*(calc!$BT$3:$BT$306&lt;BT96)+(calc!$BS$3:$BS$306&lt;BS96)*(calc!$BT$3:$BT$306&gt;BT96))&gt;0)),0)</f>
        <v/>
      </c>
    </row>
    <row r="97">
      <c r="A97" s="2">
        <f>mos_metrics!A96</f>
        <v/>
      </c>
      <c r="B97" s="2">
        <f>mos_metrics!B96</f>
        <v/>
      </c>
      <c r="C97" s="2">
        <f>mos_metrics!C96</f>
        <v/>
      </c>
      <c r="D97" s="2">
        <f>mos_metrics!D96</f>
        <v/>
      </c>
      <c r="E97" s="2">
        <f>mos_metrics!E96</f>
        <v/>
      </c>
      <c r="F97" s="2">
        <f>mos_metrics!F96</f>
        <v/>
      </c>
      <c r="G97" s="2">
        <f>IF($B97="","",IFERROR(VLOOKUP($B97,correlation!$A$2:$B$16,2,FALSE),1))</f>
        <v/>
      </c>
      <c r="H97" s="2">
        <f>IF($E97="","",IFERROR(VLOOKUP($E97,correlation!$D$2:$E$8,2,FALSE),1))</f>
        <v/>
      </c>
      <c r="I97" s="2">
        <f>ISNUMBER($F97)</f>
        <v/>
      </c>
      <c r="J97" s="2">
        <f>AND($G97=1,$H97=1,$I97)</f>
        <v/>
      </c>
      <c r="K97" s="5">
        <f>IF(mos_metrics!G96="","",mos_metrics!G96)</f>
        <v/>
      </c>
      <c r="L97" s="2">
        <f>AND($J97,ISNUMBER(K97),correlation!$I$26=1)</f>
        <v/>
      </c>
      <c r="M97" s="5">
        <f>IF(L97,$F97,"")</f>
        <v/>
      </c>
      <c r="N97" s="5">
        <f>IF(L97,K97*correlation!$J$26,"")</f>
        <v/>
      </c>
      <c r="O97" s="5">
        <f>IF(AND(L97,ISNUMBER(correlation!$F$26)),N97*correlation!$F$26+correlation!$G$26,"")</f>
        <v/>
      </c>
      <c r="P97" s="5">
        <f>IF(AND(L97,ISNUMBER(O97)),(M97-O97)^2,"")</f>
        <v/>
      </c>
      <c r="Q97" s="5">
        <f>IF(L97,1+SUMPRODUCT(--(calc!$L$3:$L$306=TRUE),--(calc!$M$3:$M$306&gt;M97))+(SUMPRODUCT(--(calc!$L$3:$L$306=TRUE),--(calc!$M$3:$M$306=M97))-1)/2,"")</f>
        <v/>
      </c>
      <c r="R97" s="5">
        <f>IF(L97,1+SUMPRODUCT(--(calc!$L$3:$L$306=TRUE),--(calc!$N$3:$N$306&gt;N97))+(SUMPRODUCT(--(calc!$L$3:$L$306=TRUE),--(calc!$N$3:$N$306=N97))-1)/2,"")</f>
        <v/>
      </c>
      <c r="S97" s="5">
        <f>IF(L97,SUMPRODUCT(--(calc!$L$3:$L$306=TRUE),--(ROW(calc!$L$3:$L$306)&gt;ROW(L97)),--(((calc!$Q$3:$Q$306&gt;Q97)*(calc!$R$3:$R$306&gt;R97)+(calc!$Q$3:$Q$306&lt;Q97)*(calc!$R$3:$R$306&lt;R97))&gt;0))-SUMPRODUCT(--(calc!$L$3:$L$306=TRUE),--(ROW(calc!$L$3:$L$306)&gt;ROW(L97)),--(((calc!$Q$3:$Q$306&gt;Q97)*(calc!$R$3:$R$306&lt;R97)+(calc!$Q$3:$Q$306&lt;Q97)*(calc!$R$3:$R$306&gt;R97))&gt;0)),0)</f>
        <v/>
      </c>
      <c r="T97" s="5">
        <f>IF(mos_metrics!H96="","",mos_metrics!H96)</f>
        <v/>
      </c>
      <c r="U97" s="2">
        <f>AND($J97,ISNUMBER(T97),correlation!$I$27=1)</f>
        <v/>
      </c>
      <c r="V97" s="5">
        <f>IF(U97,$F97,"")</f>
        <v/>
      </c>
      <c r="W97" s="5">
        <f>IF(U97,T97*correlation!$J$27,"")</f>
        <v/>
      </c>
      <c r="X97" s="5">
        <f>IF(AND(U97,ISNUMBER(correlation!$F$27)),W97*correlation!$F$27+correlation!$G$27,"")</f>
        <v/>
      </c>
      <c r="Y97" s="5">
        <f>IF(AND(U97,ISNUMBER(X97)),(V97-X97)^2,"")</f>
        <v/>
      </c>
      <c r="Z97" s="5">
        <f>IF(U97,1+SUMPRODUCT(--(calc!$U$3:$U$306=TRUE),--(calc!$V$3:$V$306&gt;V97))+(SUMPRODUCT(--(calc!$U$3:$U$306=TRUE),--(calc!$V$3:$V$306=V97))-1)/2,"")</f>
        <v/>
      </c>
      <c r="AA97" s="5">
        <f>IF(U97,1+SUMPRODUCT(--(calc!$U$3:$U$306=TRUE),--(calc!$W$3:$W$306&gt;W97))+(SUMPRODUCT(--(calc!$U$3:$U$306=TRUE),--(calc!$W$3:$W$306=W97))-1)/2,"")</f>
        <v/>
      </c>
      <c r="AB97" s="5">
        <f>IF(U97,SUMPRODUCT(--(calc!$U$3:$U$306=TRUE),--(ROW(calc!$U$3:$U$306)&gt;ROW(U97)),--(((calc!$Z$3:$Z$306&gt;Z97)*(calc!$AA$3:$AA$306&gt;AA97)+(calc!$Z$3:$Z$306&lt;Z97)*(calc!$AA$3:$AA$306&lt;AA97))&gt;0))-SUMPRODUCT(--(calc!$U$3:$U$306=TRUE),--(ROW(calc!$U$3:$U$306)&gt;ROW(U97)),--(((calc!$Z$3:$Z$306&gt;Z97)*(calc!$AA$3:$AA$306&lt;AA97)+(calc!$Z$3:$Z$306&lt;Z97)*(calc!$AA$3:$AA$306&gt;AA97))&gt;0)),0)</f>
        <v/>
      </c>
      <c r="AC97" s="5">
        <f>IF(mos_metrics!I96="","",mos_metrics!I96)</f>
        <v/>
      </c>
      <c r="AD97" s="2">
        <f>AND($J97,ISNUMBER(AC97),correlation!$I$28=1)</f>
        <v/>
      </c>
      <c r="AE97" s="5">
        <f>IF(AD97,$F97,"")</f>
        <v/>
      </c>
      <c r="AF97" s="5">
        <f>IF(AD97,AC97*correlation!$J$28,"")</f>
        <v/>
      </c>
      <c r="AG97" s="5">
        <f>IF(AND(AD97,ISNUMBER(correlation!$F$28)),AF97*correlation!$F$28+correlation!$G$28,"")</f>
        <v/>
      </c>
      <c r="AH97" s="5">
        <f>IF(AND(AD97,ISNUMBER(AG97)),(AE97-AG97)^2,"")</f>
        <v/>
      </c>
      <c r="AI97" s="5">
        <f>IF(AD97,1+SUMPRODUCT(--(calc!$AD$3:$AD$306=TRUE),--(calc!$AE$3:$AE$306&gt;AE97))+(SUMPRODUCT(--(calc!$AD$3:$AD$306=TRUE),--(calc!$AE$3:$AE$306=AE97))-1)/2,"")</f>
        <v/>
      </c>
      <c r="AJ97" s="5">
        <f>IF(AD97,1+SUMPRODUCT(--(calc!$AD$3:$AD$306=TRUE),--(calc!$AF$3:$AF$306&gt;AF97))+(SUMPRODUCT(--(calc!$AD$3:$AD$306=TRUE),--(calc!$AF$3:$AF$306=AF97))-1)/2,"")</f>
        <v/>
      </c>
      <c r="AK97" s="5">
        <f>IF(AD97,SUMPRODUCT(--(calc!$AD$3:$AD$306=TRUE),--(ROW(calc!$AD$3:$AD$306)&gt;ROW(AD97)),--(((calc!$AI$3:$AI$306&gt;AI97)*(calc!$AJ$3:$AJ$306&gt;AJ97)+(calc!$AI$3:$AI$306&lt;AI97)*(calc!$AJ$3:$AJ$306&lt;AJ97))&gt;0))-SUMPRODUCT(--(calc!$AD$3:$AD$306=TRUE),--(ROW(calc!$AD$3:$AD$306)&gt;ROW(AD97)),--(((calc!$AI$3:$AI$306&gt;AI97)*(calc!$AJ$3:$AJ$306&lt;AJ97)+(calc!$AI$3:$AI$306&lt;AI97)*(calc!$AJ$3:$AJ$306&gt;AJ97))&gt;0)),0)</f>
        <v/>
      </c>
      <c r="AL97" s="5">
        <f>IF(mos_metrics!J96="","",mos_metrics!J96)</f>
        <v/>
      </c>
      <c r="AM97" s="2">
        <f>AND($J97,ISNUMBER(AL97),correlation!$I$29=1)</f>
        <v/>
      </c>
      <c r="AN97" s="5">
        <f>IF(AM97,$F97,"")</f>
        <v/>
      </c>
      <c r="AO97" s="5">
        <f>IF(AM97,AL97*correlation!$J$29,"")</f>
        <v/>
      </c>
      <c r="AP97" s="5">
        <f>IF(AND(AM97,ISNUMBER(correlation!$F$29)),AO97*correlation!$F$29+correlation!$G$29,"")</f>
        <v/>
      </c>
      <c r="AQ97" s="5">
        <f>IF(AND(AM97,ISNUMBER(AP97)),(AN97-AP97)^2,"")</f>
        <v/>
      </c>
      <c r="AR97" s="5">
        <f>IF(AM97,1+SUMPRODUCT(--(calc!$AM$3:$AM$306=TRUE),--(calc!$AN$3:$AN$306&gt;AN97))+(SUMPRODUCT(--(calc!$AM$3:$AM$306=TRUE),--(calc!$AN$3:$AN$306=AN97))-1)/2,"")</f>
        <v/>
      </c>
      <c r="AS97" s="5">
        <f>IF(AM97,1+SUMPRODUCT(--(calc!$AM$3:$AM$306=TRUE),--(calc!$AO$3:$AO$306&gt;AO97))+(SUMPRODUCT(--(calc!$AM$3:$AM$306=TRUE),--(calc!$AO$3:$AO$306=AO97))-1)/2,"")</f>
        <v/>
      </c>
      <c r="AT97" s="5">
        <f>IF(AM97,SUMPRODUCT(--(calc!$AM$3:$AM$306=TRUE),--(ROW(calc!$AM$3:$AM$306)&gt;ROW(AM97)),--(((calc!$AR$3:$AR$306&gt;AR97)*(calc!$AS$3:$AS$306&gt;AS97)+(calc!$AR$3:$AR$306&lt;AR97)*(calc!$AS$3:$AS$306&lt;AS97))&gt;0))-SUMPRODUCT(--(calc!$AM$3:$AM$306=TRUE),--(ROW(calc!$AM$3:$AM$306)&gt;ROW(AM97)),--(((calc!$AR$3:$AR$306&gt;AR97)*(calc!$AS$3:$AS$306&lt;AS97)+(calc!$AR$3:$AR$306&lt;AR97)*(calc!$AS$3:$AS$306&gt;AS97))&gt;0)),0)</f>
        <v/>
      </c>
      <c r="AU97" s="5">
        <f>IF(mos_metrics!K96="","",mos_metrics!K96)</f>
        <v/>
      </c>
      <c r="AV97" s="2">
        <f>AND($J97,ISNUMBER(AU97),correlation!$I$30=1)</f>
        <v/>
      </c>
      <c r="AW97" s="5">
        <f>IF(AV97,$F97,"")</f>
        <v/>
      </c>
      <c r="AX97" s="5">
        <f>IF(AV97,AU97*correlation!$J$30,"")</f>
        <v/>
      </c>
      <c r="AY97" s="5">
        <f>IF(AND(AV97,ISNUMBER(correlation!$F$30)),AX97*correlation!$F$30+correlation!$G$30,"")</f>
        <v/>
      </c>
      <c r="AZ97" s="5">
        <f>IF(AND(AV97,ISNUMBER(AY97)),(AW97-AY97)^2,"")</f>
        <v/>
      </c>
      <c r="BA97" s="5">
        <f>IF(AV97,1+SUMPRODUCT(--(calc!$AV$3:$AV$306=TRUE),--(calc!$AW$3:$AW$306&gt;AW97))+(SUMPRODUCT(--(calc!$AV$3:$AV$306=TRUE),--(calc!$AW$3:$AW$306=AW97))-1)/2,"")</f>
        <v/>
      </c>
      <c r="BB97" s="5">
        <f>IF(AV97,1+SUMPRODUCT(--(calc!$AV$3:$AV$306=TRUE),--(calc!$AX$3:$AX$306&gt;AX97))+(SUMPRODUCT(--(calc!$AV$3:$AV$306=TRUE),--(calc!$AX$3:$AX$306=AX97))-1)/2,"")</f>
        <v/>
      </c>
      <c r="BC97" s="5">
        <f>IF(AV97,SUMPRODUCT(--(calc!$AV$3:$AV$306=TRUE),--(ROW(calc!$AV$3:$AV$306)&gt;ROW(AV97)),--(((calc!$BA$3:$BA$306&gt;BA97)*(calc!$BB$3:$BB$306&gt;BB97)+(calc!$BA$3:$BA$306&lt;BA97)*(calc!$BB$3:$BB$306&lt;BB97))&gt;0))-SUMPRODUCT(--(calc!$AV$3:$AV$306=TRUE),--(ROW(calc!$AV$3:$AV$306)&gt;ROW(AV97)),--(((calc!$BA$3:$BA$306&gt;BA97)*(calc!$BB$3:$BB$306&lt;BB97)+(calc!$BA$3:$BA$306&lt;BA97)*(calc!$BB$3:$BB$306&gt;BB97))&gt;0)),0)</f>
        <v/>
      </c>
      <c r="BD97" s="5">
        <f>IF(mos_metrics!L96="","",mos_metrics!L96)</f>
        <v/>
      </c>
      <c r="BE97" s="2">
        <f>AND($J97,ISNUMBER(BD97),correlation!$I$31=1)</f>
        <v/>
      </c>
      <c r="BF97" s="5">
        <f>IF(BE97,$F97,"")</f>
        <v/>
      </c>
      <c r="BG97" s="5">
        <f>IF(BE97,BD97*correlation!$J$31,"")</f>
        <v/>
      </c>
      <c r="BH97" s="5">
        <f>IF(AND(BE97,ISNUMBER(correlation!$F$31)),BG97*correlation!$F$31+correlation!$G$31,"")</f>
        <v/>
      </c>
      <c r="BI97" s="5">
        <f>IF(AND(BE97,ISNUMBER(BH97)),(BF97-BH97)^2,"")</f>
        <v/>
      </c>
      <c r="BJ97" s="5">
        <f>IF(BE97,1+SUMPRODUCT(--(calc!$BE$3:$BE$306=TRUE),--(calc!$BF$3:$BF$306&gt;BF97))+(SUMPRODUCT(--(calc!$BE$3:$BE$306=TRUE),--(calc!$BF$3:$BF$306=BF97))-1)/2,"")</f>
        <v/>
      </c>
      <c r="BK97" s="5">
        <f>IF(BE97,1+SUMPRODUCT(--(calc!$BE$3:$BE$306=TRUE),--(calc!$BG$3:$BG$306&gt;BG97))+(SUMPRODUCT(--(calc!$BE$3:$BE$306=TRUE),--(calc!$BG$3:$BG$306=BG97))-1)/2,"")</f>
        <v/>
      </c>
      <c r="BL97" s="5">
        <f>IF(BE97,SUMPRODUCT(--(calc!$BE$3:$BE$306=TRUE),--(ROW(calc!$BE$3:$BE$306)&gt;ROW(BE97)),--(((calc!$BJ$3:$BJ$306&gt;BJ97)*(calc!$BK$3:$BK$306&gt;BK97)+(calc!$BJ$3:$BJ$306&lt;BJ97)*(calc!$BK$3:$BK$306&lt;BK97))&gt;0))-SUMPRODUCT(--(calc!$BE$3:$BE$306=TRUE),--(ROW(calc!$BE$3:$BE$306)&gt;ROW(BE97)),--(((calc!$BJ$3:$BJ$306&gt;BJ97)*(calc!$BK$3:$BK$306&lt;BK97)+(calc!$BJ$3:$BJ$306&lt;BJ97)*(calc!$BK$3:$BK$306&gt;BK97))&gt;0)),0)</f>
        <v/>
      </c>
      <c r="BM97" s="5">
        <f>IF(mos_metrics!M96="","",mos_metrics!M96)</f>
        <v/>
      </c>
      <c r="BN97" s="2">
        <f>AND($J97,ISNUMBER(BM97),correlation!$I$32=1)</f>
        <v/>
      </c>
      <c r="BO97" s="5">
        <f>IF(BN97,$F97,"")</f>
        <v/>
      </c>
      <c r="BP97" s="5">
        <f>IF(BN97,BM97*correlation!$J$32,"")</f>
        <v/>
      </c>
      <c r="BQ97" s="5">
        <f>IF(AND(BN97,ISNUMBER(correlation!$F$32)),BP97*correlation!$F$32+correlation!$G$32,"")</f>
        <v/>
      </c>
      <c r="BR97" s="5">
        <f>IF(AND(BN97,ISNUMBER(BQ97)),(BO97-BQ97)^2,"")</f>
        <v/>
      </c>
      <c r="BS97" s="5">
        <f>IF(BN97,1+SUMPRODUCT(--(calc!$BN$3:$BN$306=TRUE),--(calc!$BO$3:$BO$306&gt;BO97))+(SUMPRODUCT(--(calc!$BN$3:$BN$306=TRUE),--(calc!$BO$3:$BO$306=BO97))-1)/2,"")</f>
        <v/>
      </c>
      <c r="BT97" s="5">
        <f>IF(BN97,1+SUMPRODUCT(--(calc!$BN$3:$BN$306=TRUE),--(calc!$BP$3:$BP$306&gt;BP97))+(SUMPRODUCT(--(calc!$BN$3:$BN$306=TRUE),--(calc!$BP$3:$BP$306=BP97))-1)/2,"")</f>
        <v/>
      </c>
      <c r="BU97" s="5">
        <f>IF(BN97,SUMPRODUCT(--(calc!$BN$3:$BN$306=TRUE),--(ROW(calc!$BN$3:$BN$306)&gt;ROW(BN97)),--(((calc!$BS$3:$BS$306&gt;BS97)*(calc!$BT$3:$BT$306&gt;BT97)+(calc!$BS$3:$BS$306&lt;BS97)*(calc!$BT$3:$BT$306&lt;BT97))&gt;0))-SUMPRODUCT(--(calc!$BN$3:$BN$306=TRUE),--(ROW(calc!$BN$3:$BN$306)&gt;ROW(BN97)),--(((calc!$BS$3:$BS$306&gt;BS97)*(calc!$BT$3:$BT$306&lt;BT97)+(calc!$BS$3:$BS$306&lt;BS97)*(calc!$BT$3:$BT$306&gt;BT97))&gt;0)),0)</f>
        <v/>
      </c>
    </row>
    <row r="98">
      <c r="A98" s="2">
        <f>mos_metrics!A97</f>
        <v/>
      </c>
      <c r="B98" s="2">
        <f>mos_metrics!B97</f>
        <v/>
      </c>
      <c r="C98" s="2">
        <f>mos_metrics!C97</f>
        <v/>
      </c>
      <c r="D98" s="2">
        <f>mos_metrics!D97</f>
        <v/>
      </c>
      <c r="E98" s="2">
        <f>mos_metrics!E97</f>
        <v/>
      </c>
      <c r="F98" s="2">
        <f>mos_metrics!F97</f>
        <v/>
      </c>
      <c r="G98" s="2">
        <f>IF($B98="","",IFERROR(VLOOKUP($B98,correlation!$A$2:$B$16,2,FALSE),1))</f>
        <v/>
      </c>
      <c r="H98" s="2">
        <f>IF($E98="","",IFERROR(VLOOKUP($E98,correlation!$D$2:$E$8,2,FALSE),1))</f>
        <v/>
      </c>
      <c r="I98" s="2">
        <f>ISNUMBER($F98)</f>
        <v/>
      </c>
      <c r="J98" s="2">
        <f>AND($G98=1,$H98=1,$I98)</f>
        <v/>
      </c>
      <c r="K98" s="5">
        <f>IF(mos_metrics!G97="","",mos_metrics!G97)</f>
        <v/>
      </c>
      <c r="L98" s="2">
        <f>AND($J98,ISNUMBER(K98),correlation!$I$26=1)</f>
        <v/>
      </c>
      <c r="M98" s="5">
        <f>IF(L98,$F98,"")</f>
        <v/>
      </c>
      <c r="N98" s="5">
        <f>IF(L98,K98*correlation!$J$26,"")</f>
        <v/>
      </c>
      <c r="O98" s="5">
        <f>IF(AND(L98,ISNUMBER(correlation!$F$26)),N98*correlation!$F$26+correlation!$G$26,"")</f>
        <v/>
      </c>
      <c r="P98" s="5">
        <f>IF(AND(L98,ISNUMBER(O98)),(M98-O98)^2,"")</f>
        <v/>
      </c>
      <c r="Q98" s="5">
        <f>IF(L98,1+SUMPRODUCT(--(calc!$L$3:$L$306=TRUE),--(calc!$M$3:$M$306&gt;M98))+(SUMPRODUCT(--(calc!$L$3:$L$306=TRUE),--(calc!$M$3:$M$306=M98))-1)/2,"")</f>
        <v/>
      </c>
      <c r="R98" s="5">
        <f>IF(L98,1+SUMPRODUCT(--(calc!$L$3:$L$306=TRUE),--(calc!$N$3:$N$306&gt;N98))+(SUMPRODUCT(--(calc!$L$3:$L$306=TRUE),--(calc!$N$3:$N$306=N98))-1)/2,"")</f>
        <v/>
      </c>
      <c r="S98" s="5">
        <f>IF(L98,SUMPRODUCT(--(calc!$L$3:$L$306=TRUE),--(ROW(calc!$L$3:$L$306)&gt;ROW(L98)),--(((calc!$Q$3:$Q$306&gt;Q98)*(calc!$R$3:$R$306&gt;R98)+(calc!$Q$3:$Q$306&lt;Q98)*(calc!$R$3:$R$306&lt;R98))&gt;0))-SUMPRODUCT(--(calc!$L$3:$L$306=TRUE),--(ROW(calc!$L$3:$L$306)&gt;ROW(L98)),--(((calc!$Q$3:$Q$306&gt;Q98)*(calc!$R$3:$R$306&lt;R98)+(calc!$Q$3:$Q$306&lt;Q98)*(calc!$R$3:$R$306&gt;R98))&gt;0)),0)</f>
        <v/>
      </c>
      <c r="T98" s="5">
        <f>IF(mos_metrics!H97="","",mos_metrics!H97)</f>
        <v/>
      </c>
      <c r="U98" s="2">
        <f>AND($J98,ISNUMBER(T98),correlation!$I$27=1)</f>
        <v/>
      </c>
      <c r="V98" s="5">
        <f>IF(U98,$F98,"")</f>
        <v/>
      </c>
      <c r="W98" s="5">
        <f>IF(U98,T98*correlation!$J$27,"")</f>
        <v/>
      </c>
      <c r="X98" s="5">
        <f>IF(AND(U98,ISNUMBER(correlation!$F$27)),W98*correlation!$F$27+correlation!$G$27,"")</f>
        <v/>
      </c>
      <c r="Y98" s="5">
        <f>IF(AND(U98,ISNUMBER(X98)),(V98-X98)^2,"")</f>
        <v/>
      </c>
      <c r="Z98" s="5">
        <f>IF(U98,1+SUMPRODUCT(--(calc!$U$3:$U$306=TRUE),--(calc!$V$3:$V$306&gt;V98))+(SUMPRODUCT(--(calc!$U$3:$U$306=TRUE),--(calc!$V$3:$V$306=V98))-1)/2,"")</f>
        <v/>
      </c>
      <c r="AA98" s="5">
        <f>IF(U98,1+SUMPRODUCT(--(calc!$U$3:$U$306=TRUE),--(calc!$W$3:$W$306&gt;W98))+(SUMPRODUCT(--(calc!$U$3:$U$306=TRUE),--(calc!$W$3:$W$306=W98))-1)/2,"")</f>
        <v/>
      </c>
      <c r="AB98" s="5">
        <f>IF(U98,SUMPRODUCT(--(calc!$U$3:$U$306=TRUE),--(ROW(calc!$U$3:$U$306)&gt;ROW(U98)),--(((calc!$Z$3:$Z$306&gt;Z98)*(calc!$AA$3:$AA$306&gt;AA98)+(calc!$Z$3:$Z$306&lt;Z98)*(calc!$AA$3:$AA$306&lt;AA98))&gt;0))-SUMPRODUCT(--(calc!$U$3:$U$306=TRUE),--(ROW(calc!$U$3:$U$306)&gt;ROW(U98)),--(((calc!$Z$3:$Z$306&gt;Z98)*(calc!$AA$3:$AA$306&lt;AA98)+(calc!$Z$3:$Z$306&lt;Z98)*(calc!$AA$3:$AA$306&gt;AA98))&gt;0)),0)</f>
        <v/>
      </c>
      <c r="AC98" s="5">
        <f>IF(mos_metrics!I97="","",mos_metrics!I97)</f>
        <v/>
      </c>
      <c r="AD98" s="2">
        <f>AND($J98,ISNUMBER(AC98),correlation!$I$28=1)</f>
        <v/>
      </c>
      <c r="AE98" s="5">
        <f>IF(AD98,$F98,"")</f>
        <v/>
      </c>
      <c r="AF98" s="5">
        <f>IF(AD98,AC98*correlation!$J$28,"")</f>
        <v/>
      </c>
      <c r="AG98" s="5">
        <f>IF(AND(AD98,ISNUMBER(correlation!$F$28)),AF98*correlation!$F$28+correlation!$G$28,"")</f>
        <v/>
      </c>
      <c r="AH98" s="5">
        <f>IF(AND(AD98,ISNUMBER(AG98)),(AE98-AG98)^2,"")</f>
        <v/>
      </c>
      <c r="AI98" s="5">
        <f>IF(AD98,1+SUMPRODUCT(--(calc!$AD$3:$AD$306=TRUE),--(calc!$AE$3:$AE$306&gt;AE98))+(SUMPRODUCT(--(calc!$AD$3:$AD$306=TRUE),--(calc!$AE$3:$AE$306=AE98))-1)/2,"")</f>
        <v/>
      </c>
      <c r="AJ98" s="5">
        <f>IF(AD98,1+SUMPRODUCT(--(calc!$AD$3:$AD$306=TRUE),--(calc!$AF$3:$AF$306&gt;AF98))+(SUMPRODUCT(--(calc!$AD$3:$AD$306=TRUE),--(calc!$AF$3:$AF$306=AF98))-1)/2,"")</f>
        <v/>
      </c>
      <c r="AK98" s="5">
        <f>IF(AD98,SUMPRODUCT(--(calc!$AD$3:$AD$306=TRUE),--(ROW(calc!$AD$3:$AD$306)&gt;ROW(AD98)),--(((calc!$AI$3:$AI$306&gt;AI98)*(calc!$AJ$3:$AJ$306&gt;AJ98)+(calc!$AI$3:$AI$306&lt;AI98)*(calc!$AJ$3:$AJ$306&lt;AJ98))&gt;0))-SUMPRODUCT(--(calc!$AD$3:$AD$306=TRUE),--(ROW(calc!$AD$3:$AD$306)&gt;ROW(AD98)),--(((calc!$AI$3:$AI$306&gt;AI98)*(calc!$AJ$3:$AJ$306&lt;AJ98)+(calc!$AI$3:$AI$306&lt;AI98)*(calc!$AJ$3:$AJ$306&gt;AJ98))&gt;0)),0)</f>
        <v/>
      </c>
      <c r="AL98" s="5">
        <f>IF(mos_metrics!J97="","",mos_metrics!J97)</f>
        <v/>
      </c>
      <c r="AM98" s="2">
        <f>AND($J98,ISNUMBER(AL98),correlation!$I$29=1)</f>
        <v/>
      </c>
      <c r="AN98" s="5">
        <f>IF(AM98,$F98,"")</f>
        <v/>
      </c>
      <c r="AO98" s="5">
        <f>IF(AM98,AL98*correlation!$J$29,"")</f>
        <v/>
      </c>
      <c r="AP98" s="5">
        <f>IF(AND(AM98,ISNUMBER(correlation!$F$29)),AO98*correlation!$F$29+correlation!$G$29,"")</f>
        <v/>
      </c>
      <c r="AQ98" s="5">
        <f>IF(AND(AM98,ISNUMBER(AP98)),(AN98-AP98)^2,"")</f>
        <v/>
      </c>
      <c r="AR98" s="5">
        <f>IF(AM98,1+SUMPRODUCT(--(calc!$AM$3:$AM$306=TRUE),--(calc!$AN$3:$AN$306&gt;AN98))+(SUMPRODUCT(--(calc!$AM$3:$AM$306=TRUE),--(calc!$AN$3:$AN$306=AN98))-1)/2,"")</f>
        <v/>
      </c>
      <c r="AS98" s="5">
        <f>IF(AM98,1+SUMPRODUCT(--(calc!$AM$3:$AM$306=TRUE),--(calc!$AO$3:$AO$306&gt;AO98))+(SUMPRODUCT(--(calc!$AM$3:$AM$306=TRUE),--(calc!$AO$3:$AO$306=AO98))-1)/2,"")</f>
        <v/>
      </c>
      <c r="AT98" s="5">
        <f>IF(AM98,SUMPRODUCT(--(calc!$AM$3:$AM$306=TRUE),--(ROW(calc!$AM$3:$AM$306)&gt;ROW(AM98)),--(((calc!$AR$3:$AR$306&gt;AR98)*(calc!$AS$3:$AS$306&gt;AS98)+(calc!$AR$3:$AR$306&lt;AR98)*(calc!$AS$3:$AS$306&lt;AS98))&gt;0))-SUMPRODUCT(--(calc!$AM$3:$AM$306=TRUE),--(ROW(calc!$AM$3:$AM$306)&gt;ROW(AM98)),--(((calc!$AR$3:$AR$306&gt;AR98)*(calc!$AS$3:$AS$306&lt;AS98)+(calc!$AR$3:$AR$306&lt;AR98)*(calc!$AS$3:$AS$306&gt;AS98))&gt;0)),0)</f>
        <v/>
      </c>
      <c r="AU98" s="5">
        <f>IF(mos_metrics!K97="","",mos_metrics!K97)</f>
        <v/>
      </c>
      <c r="AV98" s="2">
        <f>AND($J98,ISNUMBER(AU98),correlation!$I$30=1)</f>
        <v/>
      </c>
      <c r="AW98" s="5">
        <f>IF(AV98,$F98,"")</f>
        <v/>
      </c>
      <c r="AX98" s="5">
        <f>IF(AV98,AU98*correlation!$J$30,"")</f>
        <v/>
      </c>
      <c r="AY98" s="5">
        <f>IF(AND(AV98,ISNUMBER(correlation!$F$30)),AX98*correlation!$F$30+correlation!$G$30,"")</f>
        <v/>
      </c>
      <c r="AZ98" s="5">
        <f>IF(AND(AV98,ISNUMBER(AY98)),(AW98-AY98)^2,"")</f>
        <v/>
      </c>
      <c r="BA98" s="5">
        <f>IF(AV98,1+SUMPRODUCT(--(calc!$AV$3:$AV$306=TRUE),--(calc!$AW$3:$AW$306&gt;AW98))+(SUMPRODUCT(--(calc!$AV$3:$AV$306=TRUE),--(calc!$AW$3:$AW$306=AW98))-1)/2,"")</f>
        <v/>
      </c>
      <c r="BB98" s="5">
        <f>IF(AV98,1+SUMPRODUCT(--(calc!$AV$3:$AV$306=TRUE),--(calc!$AX$3:$AX$306&gt;AX98))+(SUMPRODUCT(--(calc!$AV$3:$AV$306=TRUE),--(calc!$AX$3:$AX$306=AX98))-1)/2,"")</f>
        <v/>
      </c>
      <c r="BC98" s="5">
        <f>IF(AV98,SUMPRODUCT(--(calc!$AV$3:$AV$306=TRUE),--(ROW(calc!$AV$3:$AV$306)&gt;ROW(AV98)),--(((calc!$BA$3:$BA$306&gt;BA98)*(calc!$BB$3:$BB$306&gt;BB98)+(calc!$BA$3:$BA$306&lt;BA98)*(calc!$BB$3:$BB$306&lt;BB98))&gt;0))-SUMPRODUCT(--(calc!$AV$3:$AV$306=TRUE),--(ROW(calc!$AV$3:$AV$306)&gt;ROW(AV98)),--(((calc!$BA$3:$BA$306&gt;BA98)*(calc!$BB$3:$BB$306&lt;BB98)+(calc!$BA$3:$BA$306&lt;BA98)*(calc!$BB$3:$BB$306&gt;BB98))&gt;0)),0)</f>
        <v/>
      </c>
      <c r="BD98" s="5">
        <f>IF(mos_metrics!L97="","",mos_metrics!L97)</f>
        <v/>
      </c>
      <c r="BE98" s="2">
        <f>AND($J98,ISNUMBER(BD98),correlation!$I$31=1)</f>
        <v/>
      </c>
      <c r="BF98" s="5">
        <f>IF(BE98,$F98,"")</f>
        <v/>
      </c>
      <c r="BG98" s="5">
        <f>IF(BE98,BD98*correlation!$J$31,"")</f>
        <v/>
      </c>
      <c r="BH98" s="5">
        <f>IF(AND(BE98,ISNUMBER(correlation!$F$31)),BG98*correlation!$F$31+correlation!$G$31,"")</f>
        <v/>
      </c>
      <c r="BI98" s="5">
        <f>IF(AND(BE98,ISNUMBER(BH98)),(BF98-BH98)^2,"")</f>
        <v/>
      </c>
      <c r="BJ98" s="5">
        <f>IF(BE98,1+SUMPRODUCT(--(calc!$BE$3:$BE$306=TRUE),--(calc!$BF$3:$BF$306&gt;BF98))+(SUMPRODUCT(--(calc!$BE$3:$BE$306=TRUE),--(calc!$BF$3:$BF$306=BF98))-1)/2,"")</f>
        <v/>
      </c>
      <c r="BK98" s="5">
        <f>IF(BE98,1+SUMPRODUCT(--(calc!$BE$3:$BE$306=TRUE),--(calc!$BG$3:$BG$306&gt;BG98))+(SUMPRODUCT(--(calc!$BE$3:$BE$306=TRUE),--(calc!$BG$3:$BG$306=BG98))-1)/2,"")</f>
        <v/>
      </c>
      <c r="BL98" s="5">
        <f>IF(BE98,SUMPRODUCT(--(calc!$BE$3:$BE$306=TRUE),--(ROW(calc!$BE$3:$BE$306)&gt;ROW(BE98)),--(((calc!$BJ$3:$BJ$306&gt;BJ98)*(calc!$BK$3:$BK$306&gt;BK98)+(calc!$BJ$3:$BJ$306&lt;BJ98)*(calc!$BK$3:$BK$306&lt;BK98))&gt;0))-SUMPRODUCT(--(calc!$BE$3:$BE$306=TRUE),--(ROW(calc!$BE$3:$BE$306)&gt;ROW(BE98)),--(((calc!$BJ$3:$BJ$306&gt;BJ98)*(calc!$BK$3:$BK$306&lt;BK98)+(calc!$BJ$3:$BJ$306&lt;BJ98)*(calc!$BK$3:$BK$306&gt;BK98))&gt;0)),0)</f>
        <v/>
      </c>
      <c r="BM98" s="5">
        <f>IF(mos_metrics!M97="","",mos_metrics!M97)</f>
        <v/>
      </c>
      <c r="BN98" s="2">
        <f>AND($J98,ISNUMBER(BM98),correlation!$I$32=1)</f>
        <v/>
      </c>
      <c r="BO98" s="5">
        <f>IF(BN98,$F98,"")</f>
        <v/>
      </c>
      <c r="BP98" s="5">
        <f>IF(BN98,BM98*correlation!$J$32,"")</f>
        <v/>
      </c>
      <c r="BQ98" s="5">
        <f>IF(AND(BN98,ISNUMBER(correlation!$F$32)),BP98*correlation!$F$32+correlation!$G$32,"")</f>
        <v/>
      </c>
      <c r="BR98" s="5">
        <f>IF(AND(BN98,ISNUMBER(BQ98)),(BO98-BQ98)^2,"")</f>
        <v/>
      </c>
      <c r="BS98" s="5">
        <f>IF(BN98,1+SUMPRODUCT(--(calc!$BN$3:$BN$306=TRUE),--(calc!$BO$3:$BO$306&gt;BO98))+(SUMPRODUCT(--(calc!$BN$3:$BN$306=TRUE),--(calc!$BO$3:$BO$306=BO98))-1)/2,"")</f>
        <v/>
      </c>
      <c r="BT98" s="5">
        <f>IF(BN98,1+SUMPRODUCT(--(calc!$BN$3:$BN$306=TRUE),--(calc!$BP$3:$BP$306&gt;BP98))+(SUMPRODUCT(--(calc!$BN$3:$BN$306=TRUE),--(calc!$BP$3:$BP$306=BP98))-1)/2,"")</f>
        <v/>
      </c>
      <c r="BU98" s="5">
        <f>IF(BN98,SUMPRODUCT(--(calc!$BN$3:$BN$306=TRUE),--(ROW(calc!$BN$3:$BN$306)&gt;ROW(BN98)),--(((calc!$BS$3:$BS$306&gt;BS98)*(calc!$BT$3:$BT$306&gt;BT98)+(calc!$BS$3:$BS$306&lt;BS98)*(calc!$BT$3:$BT$306&lt;BT98))&gt;0))-SUMPRODUCT(--(calc!$BN$3:$BN$306=TRUE),--(ROW(calc!$BN$3:$BN$306)&gt;ROW(BN98)),--(((calc!$BS$3:$BS$306&gt;BS98)*(calc!$BT$3:$BT$306&lt;BT98)+(calc!$BS$3:$BS$306&lt;BS98)*(calc!$BT$3:$BT$306&gt;BT98))&gt;0)),0)</f>
        <v/>
      </c>
    </row>
    <row r="99">
      <c r="A99" s="2">
        <f>mos_metrics!A98</f>
        <v/>
      </c>
      <c r="B99" s="2">
        <f>mos_metrics!B98</f>
        <v/>
      </c>
      <c r="C99" s="2">
        <f>mos_metrics!C98</f>
        <v/>
      </c>
      <c r="D99" s="2">
        <f>mos_metrics!D98</f>
        <v/>
      </c>
      <c r="E99" s="2">
        <f>mos_metrics!E98</f>
        <v/>
      </c>
      <c r="F99" s="2">
        <f>mos_metrics!F98</f>
        <v/>
      </c>
      <c r="G99" s="2">
        <f>IF($B99="","",IFERROR(VLOOKUP($B99,correlation!$A$2:$B$16,2,FALSE),1))</f>
        <v/>
      </c>
      <c r="H99" s="2">
        <f>IF($E99="","",IFERROR(VLOOKUP($E99,correlation!$D$2:$E$8,2,FALSE),1))</f>
        <v/>
      </c>
      <c r="I99" s="2">
        <f>ISNUMBER($F99)</f>
        <v/>
      </c>
      <c r="J99" s="2">
        <f>AND($G99=1,$H99=1,$I99)</f>
        <v/>
      </c>
      <c r="K99" s="5">
        <f>IF(mos_metrics!G98="","",mos_metrics!G98)</f>
        <v/>
      </c>
      <c r="L99" s="2">
        <f>AND($J99,ISNUMBER(K99),correlation!$I$26=1)</f>
        <v/>
      </c>
      <c r="M99" s="5">
        <f>IF(L99,$F99,"")</f>
        <v/>
      </c>
      <c r="N99" s="5">
        <f>IF(L99,K99*correlation!$J$26,"")</f>
        <v/>
      </c>
      <c r="O99" s="5">
        <f>IF(AND(L99,ISNUMBER(correlation!$F$26)),N99*correlation!$F$26+correlation!$G$26,"")</f>
        <v/>
      </c>
      <c r="P99" s="5">
        <f>IF(AND(L99,ISNUMBER(O99)),(M99-O99)^2,"")</f>
        <v/>
      </c>
      <c r="Q99" s="5">
        <f>IF(L99,1+SUMPRODUCT(--(calc!$L$3:$L$306=TRUE),--(calc!$M$3:$M$306&gt;M99))+(SUMPRODUCT(--(calc!$L$3:$L$306=TRUE),--(calc!$M$3:$M$306=M99))-1)/2,"")</f>
        <v/>
      </c>
      <c r="R99" s="5">
        <f>IF(L99,1+SUMPRODUCT(--(calc!$L$3:$L$306=TRUE),--(calc!$N$3:$N$306&gt;N99))+(SUMPRODUCT(--(calc!$L$3:$L$306=TRUE),--(calc!$N$3:$N$306=N99))-1)/2,"")</f>
        <v/>
      </c>
      <c r="S99" s="5">
        <f>IF(L99,SUMPRODUCT(--(calc!$L$3:$L$306=TRUE),--(ROW(calc!$L$3:$L$306)&gt;ROW(L99)),--(((calc!$Q$3:$Q$306&gt;Q99)*(calc!$R$3:$R$306&gt;R99)+(calc!$Q$3:$Q$306&lt;Q99)*(calc!$R$3:$R$306&lt;R99))&gt;0))-SUMPRODUCT(--(calc!$L$3:$L$306=TRUE),--(ROW(calc!$L$3:$L$306)&gt;ROW(L99)),--(((calc!$Q$3:$Q$306&gt;Q99)*(calc!$R$3:$R$306&lt;R99)+(calc!$Q$3:$Q$306&lt;Q99)*(calc!$R$3:$R$306&gt;R99))&gt;0)),0)</f>
        <v/>
      </c>
      <c r="T99" s="5">
        <f>IF(mos_metrics!H98="","",mos_metrics!H98)</f>
        <v/>
      </c>
      <c r="U99" s="2">
        <f>AND($J99,ISNUMBER(T99),correlation!$I$27=1)</f>
        <v/>
      </c>
      <c r="V99" s="5">
        <f>IF(U99,$F99,"")</f>
        <v/>
      </c>
      <c r="W99" s="5">
        <f>IF(U99,T99*correlation!$J$27,"")</f>
        <v/>
      </c>
      <c r="X99" s="5">
        <f>IF(AND(U99,ISNUMBER(correlation!$F$27)),W99*correlation!$F$27+correlation!$G$27,"")</f>
        <v/>
      </c>
      <c r="Y99" s="5">
        <f>IF(AND(U99,ISNUMBER(X99)),(V99-X99)^2,"")</f>
        <v/>
      </c>
      <c r="Z99" s="5">
        <f>IF(U99,1+SUMPRODUCT(--(calc!$U$3:$U$306=TRUE),--(calc!$V$3:$V$306&gt;V99))+(SUMPRODUCT(--(calc!$U$3:$U$306=TRUE),--(calc!$V$3:$V$306=V99))-1)/2,"")</f>
        <v/>
      </c>
      <c r="AA99" s="5">
        <f>IF(U99,1+SUMPRODUCT(--(calc!$U$3:$U$306=TRUE),--(calc!$W$3:$W$306&gt;W99))+(SUMPRODUCT(--(calc!$U$3:$U$306=TRUE),--(calc!$W$3:$W$306=W99))-1)/2,"")</f>
        <v/>
      </c>
      <c r="AB99" s="5">
        <f>IF(U99,SUMPRODUCT(--(calc!$U$3:$U$306=TRUE),--(ROW(calc!$U$3:$U$306)&gt;ROW(U99)),--(((calc!$Z$3:$Z$306&gt;Z99)*(calc!$AA$3:$AA$306&gt;AA99)+(calc!$Z$3:$Z$306&lt;Z99)*(calc!$AA$3:$AA$306&lt;AA99))&gt;0))-SUMPRODUCT(--(calc!$U$3:$U$306=TRUE),--(ROW(calc!$U$3:$U$306)&gt;ROW(U99)),--(((calc!$Z$3:$Z$306&gt;Z99)*(calc!$AA$3:$AA$306&lt;AA99)+(calc!$Z$3:$Z$306&lt;Z99)*(calc!$AA$3:$AA$306&gt;AA99))&gt;0)),0)</f>
        <v/>
      </c>
      <c r="AC99" s="5">
        <f>IF(mos_metrics!I98="","",mos_metrics!I98)</f>
        <v/>
      </c>
      <c r="AD99" s="2">
        <f>AND($J99,ISNUMBER(AC99),correlation!$I$28=1)</f>
        <v/>
      </c>
      <c r="AE99" s="5">
        <f>IF(AD99,$F99,"")</f>
        <v/>
      </c>
      <c r="AF99" s="5">
        <f>IF(AD99,AC99*correlation!$J$28,"")</f>
        <v/>
      </c>
      <c r="AG99" s="5">
        <f>IF(AND(AD99,ISNUMBER(correlation!$F$28)),AF99*correlation!$F$28+correlation!$G$28,"")</f>
        <v/>
      </c>
      <c r="AH99" s="5">
        <f>IF(AND(AD99,ISNUMBER(AG99)),(AE99-AG99)^2,"")</f>
        <v/>
      </c>
      <c r="AI99" s="5">
        <f>IF(AD99,1+SUMPRODUCT(--(calc!$AD$3:$AD$306=TRUE),--(calc!$AE$3:$AE$306&gt;AE99))+(SUMPRODUCT(--(calc!$AD$3:$AD$306=TRUE),--(calc!$AE$3:$AE$306=AE99))-1)/2,"")</f>
        <v/>
      </c>
      <c r="AJ99" s="5">
        <f>IF(AD99,1+SUMPRODUCT(--(calc!$AD$3:$AD$306=TRUE),--(calc!$AF$3:$AF$306&gt;AF99))+(SUMPRODUCT(--(calc!$AD$3:$AD$306=TRUE),--(calc!$AF$3:$AF$306=AF99))-1)/2,"")</f>
        <v/>
      </c>
      <c r="AK99" s="5">
        <f>IF(AD99,SUMPRODUCT(--(calc!$AD$3:$AD$306=TRUE),--(ROW(calc!$AD$3:$AD$306)&gt;ROW(AD99)),--(((calc!$AI$3:$AI$306&gt;AI99)*(calc!$AJ$3:$AJ$306&gt;AJ99)+(calc!$AI$3:$AI$306&lt;AI99)*(calc!$AJ$3:$AJ$306&lt;AJ99))&gt;0))-SUMPRODUCT(--(calc!$AD$3:$AD$306=TRUE),--(ROW(calc!$AD$3:$AD$306)&gt;ROW(AD99)),--(((calc!$AI$3:$AI$306&gt;AI99)*(calc!$AJ$3:$AJ$306&lt;AJ99)+(calc!$AI$3:$AI$306&lt;AI99)*(calc!$AJ$3:$AJ$306&gt;AJ99))&gt;0)),0)</f>
        <v/>
      </c>
      <c r="AL99" s="5">
        <f>IF(mos_metrics!J98="","",mos_metrics!J98)</f>
        <v/>
      </c>
      <c r="AM99" s="2">
        <f>AND($J99,ISNUMBER(AL99),correlation!$I$29=1)</f>
        <v/>
      </c>
      <c r="AN99" s="5">
        <f>IF(AM99,$F99,"")</f>
        <v/>
      </c>
      <c r="AO99" s="5">
        <f>IF(AM99,AL99*correlation!$J$29,"")</f>
        <v/>
      </c>
      <c r="AP99" s="5">
        <f>IF(AND(AM99,ISNUMBER(correlation!$F$29)),AO99*correlation!$F$29+correlation!$G$29,"")</f>
        <v/>
      </c>
      <c r="AQ99" s="5">
        <f>IF(AND(AM99,ISNUMBER(AP99)),(AN99-AP99)^2,"")</f>
        <v/>
      </c>
      <c r="AR99" s="5">
        <f>IF(AM99,1+SUMPRODUCT(--(calc!$AM$3:$AM$306=TRUE),--(calc!$AN$3:$AN$306&gt;AN99))+(SUMPRODUCT(--(calc!$AM$3:$AM$306=TRUE),--(calc!$AN$3:$AN$306=AN99))-1)/2,"")</f>
        <v/>
      </c>
      <c r="AS99" s="5">
        <f>IF(AM99,1+SUMPRODUCT(--(calc!$AM$3:$AM$306=TRUE),--(calc!$AO$3:$AO$306&gt;AO99))+(SUMPRODUCT(--(calc!$AM$3:$AM$306=TRUE),--(calc!$AO$3:$AO$306=AO99))-1)/2,"")</f>
        <v/>
      </c>
      <c r="AT99" s="5">
        <f>IF(AM99,SUMPRODUCT(--(calc!$AM$3:$AM$306=TRUE),--(ROW(calc!$AM$3:$AM$306)&gt;ROW(AM99)),--(((calc!$AR$3:$AR$306&gt;AR99)*(calc!$AS$3:$AS$306&gt;AS99)+(calc!$AR$3:$AR$306&lt;AR99)*(calc!$AS$3:$AS$306&lt;AS99))&gt;0))-SUMPRODUCT(--(calc!$AM$3:$AM$306=TRUE),--(ROW(calc!$AM$3:$AM$306)&gt;ROW(AM99)),--(((calc!$AR$3:$AR$306&gt;AR99)*(calc!$AS$3:$AS$306&lt;AS99)+(calc!$AR$3:$AR$306&lt;AR99)*(calc!$AS$3:$AS$306&gt;AS99))&gt;0)),0)</f>
        <v/>
      </c>
      <c r="AU99" s="5">
        <f>IF(mos_metrics!K98="","",mos_metrics!K98)</f>
        <v/>
      </c>
      <c r="AV99" s="2">
        <f>AND($J99,ISNUMBER(AU99),correlation!$I$30=1)</f>
        <v/>
      </c>
      <c r="AW99" s="5">
        <f>IF(AV99,$F99,"")</f>
        <v/>
      </c>
      <c r="AX99" s="5">
        <f>IF(AV99,AU99*correlation!$J$30,"")</f>
        <v/>
      </c>
      <c r="AY99" s="5">
        <f>IF(AND(AV99,ISNUMBER(correlation!$F$30)),AX99*correlation!$F$30+correlation!$G$30,"")</f>
        <v/>
      </c>
      <c r="AZ99" s="5">
        <f>IF(AND(AV99,ISNUMBER(AY99)),(AW99-AY99)^2,"")</f>
        <v/>
      </c>
      <c r="BA99" s="5">
        <f>IF(AV99,1+SUMPRODUCT(--(calc!$AV$3:$AV$306=TRUE),--(calc!$AW$3:$AW$306&gt;AW99))+(SUMPRODUCT(--(calc!$AV$3:$AV$306=TRUE),--(calc!$AW$3:$AW$306=AW99))-1)/2,"")</f>
        <v/>
      </c>
      <c r="BB99" s="5">
        <f>IF(AV99,1+SUMPRODUCT(--(calc!$AV$3:$AV$306=TRUE),--(calc!$AX$3:$AX$306&gt;AX99))+(SUMPRODUCT(--(calc!$AV$3:$AV$306=TRUE),--(calc!$AX$3:$AX$306=AX99))-1)/2,"")</f>
        <v/>
      </c>
      <c r="BC99" s="5">
        <f>IF(AV99,SUMPRODUCT(--(calc!$AV$3:$AV$306=TRUE),--(ROW(calc!$AV$3:$AV$306)&gt;ROW(AV99)),--(((calc!$BA$3:$BA$306&gt;BA99)*(calc!$BB$3:$BB$306&gt;BB99)+(calc!$BA$3:$BA$306&lt;BA99)*(calc!$BB$3:$BB$306&lt;BB99))&gt;0))-SUMPRODUCT(--(calc!$AV$3:$AV$306=TRUE),--(ROW(calc!$AV$3:$AV$306)&gt;ROW(AV99)),--(((calc!$BA$3:$BA$306&gt;BA99)*(calc!$BB$3:$BB$306&lt;BB99)+(calc!$BA$3:$BA$306&lt;BA99)*(calc!$BB$3:$BB$306&gt;BB99))&gt;0)),0)</f>
        <v/>
      </c>
      <c r="BD99" s="5">
        <f>IF(mos_metrics!L98="","",mos_metrics!L98)</f>
        <v/>
      </c>
      <c r="BE99" s="2">
        <f>AND($J99,ISNUMBER(BD99),correlation!$I$31=1)</f>
        <v/>
      </c>
      <c r="BF99" s="5">
        <f>IF(BE99,$F99,"")</f>
        <v/>
      </c>
      <c r="BG99" s="5">
        <f>IF(BE99,BD99*correlation!$J$31,"")</f>
        <v/>
      </c>
      <c r="BH99" s="5">
        <f>IF(AND(BE99,ISNUMBER(correlation!$F$31)),BG99*correlation!$F$31+correlation!$G$31,"")</f>
        <v/>
      </c>
      <c r="BI99" s="5">
        <f>IF(AND(BE99,ISNUMBER(BH99)),(BF99-BH99)^2,"")</f>
        <v/>
      </c>
      <c r="BJ99" s="5">
        <f>IF(BE99,1+SUMPRODUCT(--(calc!$BE$3:$BE$306=TRUE),--(calc!$BF$3:$BF$306&gt;BF99))+(SUMPRODUCT(--(calc!$BE$3:$BE$306=TRUE),--(calc!$BF$3:$BF$306=BF99))-1)/2,"")</f>
        <v/>
      </c>
      <c r="BK99" s="5">
        <f>IF(BE99,1+SUMPRODUCT(--(calc!$BE$3:$BE$306=TRUE),--(calc!$BG$3:$BG$306&gt;BG99))+(SUMPRODUCT(--(calc!$BE$3:$BE$306=TRUE),--(calc!$BG$3:$BG$306=BG99))-1)/2,"")</f>
        <v/>
      </c>
      <c r="BL99" s="5">
        <f>IF(BE99,SUMPRODUCT(--(calc!$BE$3:$BE$306=TRUE),--(ROW(calc!$BE$3:$BE$306)&gt;ROW(BE99)),--(((calc!$BJ$3:$BJ$306&gt;BJ99)*(calc!$BK$3:$BK$306&gt;BK99)+(calc!$BJ$3:$BJ$306&lt;BJ99)*(calc!$BK$3:$BK$306&lt;BK99))&gt;0))-SUMPRODUCT(--(calc!$BE$3:$BE$306=TRUE),--(ROW(calc!$BE$3:$BE$306)&gt;ROW(BE99)),--(((calc!$BJ$3:$BJ$306&gt;BJ99)*(calc!$BK$3:$BK$306&lt;BK99)+(calc!$BJ$3:$BJ$306&lt;BJ99)*(calc!$BK$3:$BK$306&gt;BK99))&gt;0)),0)</f>
        <v/>
      </c>
      <c r="BM99" s="5">
        <f>IF(mos_metrics!M98="","",mos_metrics!M98)</f>
        <v/>
      </c>
      <c r="BN99" s="2">
        <f>AND($J99,ISNUMBER(BM99),correlation!$I$32=1)</f>
        <v/>
      </c>
      <c r="BO99" s="5">
        <f>IF(BN99,$F99,"")</f>
        <v/>
      </c>
      <c r="BP99" s="5">
        <f>IF(BN99,BM99*correlation!$J$32,"")</f>
        <v/>
      </c>
      <c r="BQ99" s="5">
        <f>IF(AND(BN99,ISNUMBER(correlation!$F$32)),BP99*correlation!$F$32+correlation!$G$32,"")</f>
        <v/>
      </c>
      <c r="BR99" s="5">
        <f>IF(AND(BN99,ISNUMBER(BQ99)),(BO99-BQ99)^2,"")</f>
        <v/>
      </c>
      <c r="BS99" s="5">
        <f>IF(BN99,1+SUMPRODUCT(--(calc!$BN$3:$BN$306=TRUE),--(calc!$BO$3:$BO$306&gt;BO99))+(SUMPRODUCT(--(calc!$BN$3:$BN$306=TRUE),--(calc!$BO$3:$BO$306=BO99))-1)/2,"")</f>
        <v/>
      </c>
      <c r="BT99" s="5">
        <f>IF(BN99,1+SUMPRODUCT(--(calc!$BN$3:$BN$306=TRUE),--(calc!$BP$3:$BP$306&gt;BP99))+(SUMPRODUCT(--(calc!$BN$3:$BN$306=TRUE),--(calc!$BP$3:$BP$306=BP99))-1)/2,"")</f>
        <v/>
      </c>
      <c r="BU99" s="5">
        <f>IF(BN99,SUMPRODUCT(--(calc!$BN$3:$BN$306=TRUE),--(ROW(calc!$BN$3:$BN$306)&gt;ROW(BN99)),--(((calc!$BS$3:$BS$306&gt;BS99)*(calc!$BT$3:$BT$306&gt;BT99)+(calc!$BS$3:$BS$306&lt;BS99)*(calc!$BT$3:$BT$306&lt;BT99))&gt;0))-SUMPRODUCT(--(calc!$BN$3:$BN$306=TRUE),--(ROW(calc!$BN$3:$BN$306)&gt;ROW(BN99)),--(((calc!$BS$3:$BS$306&gt;BS99)*(calc!$BT$3:$BT$306&lt;BT99)+(calc!$BS$3:$BS$306&lt;BS99)*(calc!$BT$3:$BT$306&gt;BT99))&gt;0)),0)</f>
        <v/>
      </c>
    </row>
    <row r="100">
      <c r="A100" s="2">
        <f>mos_metrics!A99</f>
        <v/>
      </c>
      <c r="B100" s="2">
        <f>mos_metrics!B99</f>
        <v/>
      </c>
      <c r="C100" s="2">
        <f>mos_metrics!C99</f>
        <v/>
      </c>
      <c r="D100" s="2">
        <f>mos_metrics!D99</f>
        <v/>
      </c>
      <c r="E100" s="2">
        <f>mos_metrics!E99</f>
        <v/>
      </c>
      <c r="F100" s="2">
        <f>mos_metrics!F99</f>
        <v/>
      </c>
      <c r="G100" s="2">
        <f>IF($B100="","",IFERROR(VLOOKUP($B100,correlation!$A$2:$B$16,2,FALSE),1))</f>
        <v/>
      </c>
      <c r="H100" s="2">
        <f>IF($E100="","",IFERROR(VLOOKUP($E100,correlation!$D$2:$E$8,2,FALSE),1))</f>
        <v/>
      </c>
      <c r="I100" s="2">
        <f>ISNUMBER($F100)</f>
        <v/>
      </c>
      <c r="J100" s="2">
        <f>AND($G100=1,$H100=1,$I100)</f>
        <v/>
      </c>
      <c r="K100" s="5">
        <f>IF(mos_metrics!G99="","",mos_metrics!G99)</f>
        <v/>
      </c>
      <c r="L100" s="2">
        <f>AND($J100,ISNUMBER(K100),correlation!$I$26=1)</f>
        <v/>
      </c>
      <c r="M100" s="5">
        <f>IF(L100,$F100,"")</f>
        <v/>
      </c>
      <c r="N100" s="5">
        <f>IF(L100,K100*correlation!$J$26,"")</f>
        <v/>
      </c>
      <c r="O100" s="5">
        <f>IF(AND(L100,ISNUMBER(correlation!$F$26)),N100*correlation!$F$26+correlation!$G$26,"")</f>
        <v/>
      </c>
      <c r="P100" s="5">
        <f>IF(AND(L100,ISNUMBER(O100)),(M100-O100)^2,"")</f>
        <v/>
      </c>
      <c r="Q100" s="5">
        <f>IF(L100,1+SUMPRODUCT(--(calc!$L$3:$L$306=TRUE),--(calc!$M$3:$M$306&gt;M100))+(SUMPRODUCT(--(calc!$L$3:$L$306=TRUE),--(calc!$M$3:$M$306=M100))-1)/2,"")</f>
        <v/>
      </c>
      <c r="R100" s="5">
        <f>IF(L100,1+SUMPRODUCT(--(calc!$L$3:$L$306=TRUE),--(calc!$N$3:$N$306&gt;N100))+(SUMPRODUCT(--(calc!$L$3:$L$306=TRUE),--(calc!$N$3:$N$306=N100))-1)/2,"")</f>
        <v/>
      </c>
      <c r="S100" s="5">
        <f>IF(L100,SUMPRODUCT(--(calc!$L$3:$L$306=TRUE),--(ROW(calc!$L$3:$L$306)&gt;ROW(L100)),--(((calc!$Q$3:$Q$306&gt;Q100)*(calc!$R$3:$R$306&gt;R100)+(calc!$Q$3:$Q$306&lt;Q100)*(calc!$R$3:$R$306&lt;R100))&gt;0))-SUMPRODUCT(--(calc!$L$3:$L$306=TRUE),--(ROW(calc!$L$3:$L$306)&gt;ROW(L100)),--(((calc!$Q$3:$Q$306&gt;Q100)*(calc!$R$3:$R$306&lt;R100)+(calc!$Q$3:$Q$306&lt;Q100)*(calc!$R$3:$R$306&gt;R100))&gt;0)),0)</f>
        <v/>
      </c>
      <c r="T100" s="5">
        <f>IF(mos_metrics!H99="","",mos_metrics!H99)</f>
        <v/>
      </c>
      <c r="U100" s="2">
        <f>AND($J100,ISNUMBER(T100),correlation!$I$27=1)</f>
        <v/>
      </c>
      <c r="V100" s="5">
        <f>IF(U100,$F100,"")</f>
        <v/>
      </c>
      <c r="W100" s="5">
        <f>IF(U100,T100*correlation!$J$27,"")</f>
        <v/>
      </c>
      <c r="X100" s="5">
        <f>IF(AND(U100,ISNUMBER(correlation!$F$27)),W100*correlation!$F$27+correlation!$G$27,"")</f>
        <v/>
      </c>
      <c r="Y100" s="5">
        <f>IF(AND(U100,ISNUMBER(X100)),(V100-X100)^2,"")</f>
        <v/>
      </c>
      <c r="Z100" s="5">
        <f>IF(U100,1+SUMPRODUCT(--(calc!$U$3:$U$306=TRUE),--(calc!$V$3:$V$306&gt;V100))+(SUMPRODUCT(--(calc!$U$3:$U$306=TRUE),--(calc!$V$3:$V$306=V100))-1)/2,"")</f>
        <v/>
      </c>
      <c r="AA100" s="5">
        <f>IF(U100,1+SUMPRODUCT(--(calc!$U$3:$U$306=TRUE),--(calc!$W$3:$W$306&gt;W100))+(SUMPRODUCT(--(calc!$U$3:$U$306=TRUE),--(calc!$W$3:$W$306=W100))-1)/2,"")</f>
        <v/>
      </c>
      <c r="AB100" s="5">
        <f>IF(U100,SUMPRODUCT(--(calc!$U$3:$U$306=TRUE),--(ROW(calc!$U$3:$U$306)&gt;ROW(U100)),--(((calc!$Z$3:$Z$306&gt;Z100)*(calc!$AA$3:$AA$306&gt;AA100)+(calc!$Z$3:$Z$306&lt;Z100)*(calc!$AA$3:$AA$306&lt;AA100))&gt;0))-SUMPRODUCT(--(calc!$U$3:$U$306=TRUE),--(ROW(calc!$U$3:$U$306)&gt;ROW(U100)),--(((calc!$Z$3:$Z$306&gt;Z100)*(calc!$AA$3:$AA$306&lt;AA100)+(calc!$Z$3:$Z$306&lt;Z100)*(calc!$AA$3:$AA$306&gt;AA100))&gt;0)),0)</f>
        <v/>
      </c>
      <c r="AC100" s="5">
        <f>IF(mos_metrics!I99="","",mos_metrics!I99)</f>
        <v/>
      </c>
      <c r="AD100" s="2">
        <f>AND($J100,ISNUMBER(AC100),correlation!$I$28=1)</f>
        <v/>
      </c>
      <c r="AE100" s="5">
        <f>IF(AD100,$F100,"")</f>
        <v/>
      </c>
      <c r="AF100" s="5">
        <f>IF(AD100,AC100*correlation!$J$28,"")</f>
        <v/>
      </c>
      <c r="AG100" s="5">
        <f>IF(AND(AD100,ISNUMBER(correlation!$F$28)),AF100*correlation!$F$28+correlation!$G$28,"")</f>
        <v/>
      </c>
      <c r="AH100" s="5">
        <f>IF(AND(AD100,ISNUMBER(AG100)),(AE100-AG100)^2,"")</f>
        <v/>
      </c>
      <c r="AI100" s="5">
        <f>IF(AD100,1+SUMPRODUCT(--(calc!$AD$3:$AD$306=TRUE),--(calc!$AE$3:$AE$306&gt;AE100))+(SUMPRODUCT(--(calc!$AD$3:$AD$306=TRUE),--(calc!$AE$3:$AE$306=AE100))-1)/2,"")</f>
        <v/>
      </c>
      <c r="AJ100" s="5">
        <f>IF(AD100,1+SUMPRODUCT(--(calc!$AD$3:$AD$306=TRUE),--(calc!$AF$3:$AF$306&gt;AF100))+(SUMPRODUCT(--(calc!$AD$3:$AD$306=TRUE),--(calc!$AF$3:$AF$306=AF100))-1)/2,"")</f>
        <v/>
      </c>
      <c r="AK100" s="5">
        <f>IF(AD100,SUMPRODUCT(--(calc!$AD$3:$AD$306=TRUE),--(ROW(calc!$AD$3:$AD$306)&gt;ROW(AD100)),--(((calc!$AI$3:$AI$306&gt;AI100)*(calc!$AJ$3:$AJ$306&gt;AJ100)+(calc!$AI$3:$AI$306&lt;AI100)*(calc!$AJ$3:$AJ$306&lt;AJ100))&gt;0))-SUMPRODUCT(--(calc!$AD$3:$AD$306=TRUE),--(ROW(calc!$AD$3:$AD$306)&gt;ROW(AD100)),--(((calc!$AI$3:$AI$306&gt;AI100)*(calc!$AJ$3:$AJ$306&lt;AJ100)+(calc!$AI$3:$AI$306&lt;AI100)*(calc!$AJ$3:$AJ$306&gt;AJ100))&gt;0)),0)</f>
        <v/>
      </c>
      <c r="AL100" s="5">
        <f>IF(mos_metrics!J99="","",mos_metrics!J99)</f>
        <v/>
      </c>
      <c r="AM100" s="2">
        <f>AND($J100,ISNUMBER(AL100),correlation!$I$29=1)</f>
        <v/>
      </c>
      <c r="AN100" s="5">
        <f>IF(AM100,$F100,"")</f>
        <v/>
      </c>
      <c r="AO100" s="5">
        <f>IF(AM100,AL100*correlation!$J$29,"")</f>
        <v/>
      </c>
      <c r="AP100" s="5">
        <f>IF(AND(AM100,ISNUMBER(correlation!$F$29)),AO100*correlation!$F$29+correlation!$G$29,"")</f>
        <v/>
      </c>
      <c r="AQ100" s="5">
        <f>IF(AND(AM100,ISNUMBER(AP100)),(AN100-AP100)^2,"")</f>
        <v/>
      </c>
      <c r="AR100" s="5">
        <f>IF(AM100,1+SUMPRODUCT(--(calc!$AM$3:$AM$306=TRUE),--(calc!$AN$3:$AN$306&gt;AN100))+(SUMPRODUCT(--(calc!$AM$3:$AM$306=TRUE),--(calc!$AN$3:$AN$306=AN100))-1)/2,"")</f>
        <v/>
      </c>
      <c r="AS100" s="5">
        <f>IF(AM100,1+SUMPRODUCT(--(calc!$AM$3:$AM$306=TRUE),--(calc!$AO$3:$AO$306&gt;AO100))+(SUMPRODUCT(--(calc!$AM$3:$AM$306=TRUE),--(calc!$AO$3:$AO$306=AO100))-1)/2,"")</f>
        <v/>
      </c>
      <c r="AT100" s="5">
        <f>IF(AM100,SUMPRODUCT(--(calc!$AM$3:$AM$306=TRUE),--(ROW(calc!$AM$3:$AM$306)&gt;ROW(AM100)),--(((calc!$AR$3:$AR$306&gt;AR100)*(calc!$AS$3:$AS$306&gt;AS100)+(calc!$AR$3:$AR$306&lt;AR100)*(calc!$AS$3:$AS$306&lt;AS100))&gt;0))-SUMPRODUCT(--(calc!$AM$3:$AM$306=TRUE),--(ROW(calc!$AM$3:$AM$306)&gt;ROW(AM100)),--(((calc!$AR$3:$AR$306&gt;AR100)*(calc!$AS$3:$AS$306&lt;AS100)+(calc!$AR$3:$AR$306&lt;AR100)*(calc!$AS$3:$AS$306&gt;AS100))&gt;0)),0)</f>
        <v/>
      </c>
      <c r="AU100" s="5">
        <f>IF(mos_metrics!K99="","",mos_metrics!K99)</f>
        <v/>
      </c>
      <c r="AV100" s="2">
        <f>AND($J100,ISNUMBER(AU100),correlation!$I$30=1)</f>
        <v/>
      </c>
      <c r="AW100" s="5">
        <f>IF(AV100,$F100,"")</f>
        <v/>
      </c>
      <c r="AX100" s="5">
        <f>IF(AV100,AU100*correlation!$J$30,"")</f>
        <v/>
      </c>
      <c r="AY100" s="5">
        <f>IF(AND(AV100,ISNUMBER(correlation!$F$30)),AX100*correlation!$F$30+correlation!$G$30,"")</f>
        <v/>
      </c>
      <c r="AZ100" s="5">
        <f>IF(AND(AV100,ISNUMBER(AY100)),(AW100-AY100)^2,"")</f>
        <v/>
      </c>
      <c r="BA100" s="5">
        <f>IF(AV100,1+SUMPRODUCT(--(calc!$AV$3:$AV$306=TRUE),--(calc!$AW$3:$AW$306&gt;AW100))+(SUMPRODUCT(--(calc!$AV$3:$AV$306=TRUE),--(calc!$AW$3:$AW$306=AW100))-1)/2,"")</f>
        <v/>
      </c>
      <c r="BB100" s="5">
        <f>IF(AV100,1+SUMPRODUCT(--(calc!$AV$3:$AV$306=TRUE),--(calc!$AX$3:$AX$306&gt;AX100))+(SUMPRODUCT(--(calc!$AV$3:$AV$306=TRUE),--(calc!$AX$3:$AX$306=AX100))-1)/2,"")</f>
        <v/>
      </c>
      <c r="BC100" s="5">
        <f>IF(AV100,SUMPRODUCT(--(calc!$AV$3:$AV$306=TRUE),--(ROW(calc!$AV$3:$AV$306)&gt;ROW(AV100)),--(((calc!$BA$3:$BA$306&gt;BA100)*(calc!$BB$3:$BB$306&gt;BB100)+(calc!$BA$3:$BA$306&lt;BA100)*(calc!$BB$3:$BB$306&lt;BB100))&gt;0))-SUMPRODUCT(--(calc!$AV$3:$AV$306=TRUE),--(ROW(calc!$AV$3:$AV$306)&gt;ROW(AV100)),--(((calc!$BA$3:$BA$306&gt;BA100)*(calc!$BB$3:$BB$306&lt;BB100)+(calc!$BA$3:$BA$306&lt;BA100)*(calc!$BB$3:$BB$306&gt;BB100))&gt;0)),0)</f>
        <v/>
      </c>
      <c r="BD100" s="5">
        <f>IF(mos_metrics!L99="","",mos_metrics!L99)</f>
        <v/>
      </c>
      <c r="BE100" s="2">
        <f>AND($J100,ISNUMBER(BD100),correlation!$I$31=1)</f>
        <v/>
      </c>
      <c r="BF100" s="5">
        <f>IF(BE100,$F100,"")</f>
        <v/>
      </c>
      <c r="BG100" s="5">
        <f>IF(BE100,BD100*correlation!$J$31,"")</f>
        <v/>
      </c>
      <c r="BH100" s="5">
        <f>IF(AND(BE100,ISNUMBER(correlation!$F$31)),BG100*correlation!$F$31+correlation!$G$31,"")</f>
        <v/>
      </c>
      <c r="BI100" s="5">
        <f>IF(AND(BE100,ISNUMBER(BH100)),(BF100-BH100)^2,"")</f>
        <v/>
      </c>
      <c r="BJ100" s="5">
        <f>IF(BE100,1+SUMPRODUCT(--(calc!$BE$3:$BE$306=TRUE),--(calc!$BF$3:$BF$306&gt;BF100))+(SUMPRODUCT(--(calc!$BE$3:$BE$306=TRUE),--(calc!$BF$3:$BF$306=BF100))-1)/2,"")</f>
        <v/>
      </c>
      <c r="BK100" s="5">
        <f>IF(BE100,1+SUMPRODUCT(--(calc!$BE$3:$BE$306=TRUE),--(calc!$BG$3:$BG$306&gt;BG100))+(SUMPRODUCT(--(calc!$BE$3:$BE$306=TRUE),--(calc!$BG$3:$BG$306=BG100))-1)/2,"")</f>
        <v/>
      </c>
      <c r="BL100" s="5">
        <f>IF(BE100,SUMPRODUCT(--(calc!$BE$3:$BE$306=TRUE),--(ROW(calc!$BE$3:$BE$306)&gt;ROW(BE100)),--(((calc!$BJ$3:$BJ$306&gt;BJ100)*(calc!$BK$3:$BK$306&gt;BK100)+(calc!$BJ$3:$BJ$306&lt;BJ100)*(calc!$BK$3:$BK$306&lt;BK100))&gt;0))-SUMPRODUCT(--(calc!$BE$3:$BE$306=TRUE),--(ROW(calc!$BE$3:$BE$306)&gt;ROW(BE100)),--(((calc!$BJ$3:$BJ$306&gt;BJ100)*(calc!$BK$3:$BK$306&lt;BK100)+(calc!$BJ$3:$BJ$306&lt;BJ100)*(calc!$BK$3:$BK$306&gt;BK100))&gt;0)),0)</f>
        <v/>
      </c>
      <c r="BM100" s="5">
        <f>IF(mos_metrics!M99="","",mos_metrics!M99)</f>
        <v/>
      </c>
      <c r="BN100" s="2">
        <f>AND($J100,ISNUMBER(BM100),correlation!$I$32=1)</f>
        <v/>
      </c>
      <c r="BO100" s="5">
        <f>IF(BN100,$F100,"")</f>
        <v/>
      </c>
      <c r="BP100" s="5">
        <f>IF(BN100,BM100*correlation!$J$32,"")</f>
        <v/>
      </c>
      <c r="BQ100" s="5">
        <f>IF(AND(BN100,ISNUMBER(correlation!$F$32)),BP100*correlation!$F$32+correlation!$G$32,"")</f>
        <v/>
      </c>
      <c r="BR100" s="5">
        <f>IF(AND(BN100,ISNUMBER(BQ100)),(BO100-BQ100)^2,"")</f>
        <v/>
      </c>
      <c r="BS100" s="5">
        <f>IF(BN100,1+SUMPRODUCT(--(calc!$BN$3:$BN$306=TRUE),--(calc!$BO$3:$BO$306&gt;BO100))+(SUMPRODUCT(--(calc!$BN$3:$BN$306=TRUE),--(calc!$BO$3:$BO$306=BO100))-1)/2,"")</f>
        <v/>
      </c>
      <c r="BT100" s="5">
        <f>IF(BN100,1+SUMPRODUCT(--(calc!$BN$3:$BN$306=TRUE),--(calc!$BP$3:$BP$306&gt;BP100))+(SUMPRODUCT(--(calc!$BN$3:$BN$306=TRUE),--(calc!$BP$3:$BP$306=BP100))-1)/2,"")</f>
        <v/>
      </c>
      <c r="BU100" s="5">
        <f>IF(BN100,SUMPRODUCT(--(calc!$BN$3:$BN$306=TRUE),--(ROW(calc!$BN$3:$BN$306)&gt;ROW(BN100)),--(((calc!$BS$3:$BS$306&gt;BS100)*(calc!$BT$3:$BT$306&gt;BT100)+(calc!$BS$3:$BS$306&lt;BS100)*(calc!$BT$3:$BT$306&lt;BT100))&gt;0))-SUMPRODUCT(--(calc!$BN$3:$BN$306=TRUE),--(ROW(calc!$BN$3:$BN$306)&gt;ROW(BN100)),--(((calc!$BS$3:$BS$306&gt;BS100)*(calc!$BT$3:$BT$306&lt;BT100)+(calc!$BS$3:$BS$306&lt;BS100)*(calc!$BT$3:$BT$306&gt;BT100))&gt;0)),0)</f>
        <v/>
      </c>
    </row>
    <row r="101">
      <c r="A101" s="2">
        <f>mos_metrics!A100</f>
        <v/>
      </c>
      <c r="B101" s="2">
        <f>mos_metrics!B100</f>
        <v/>
      </c>
      <c r="C101" s="2">
        <f>mos_metrics!C100</f>
        <v/>
      </c>
      <c r="D101" s="2">
        <f>mos_metrics!D100</f>
        <v/>
      </c>
      <c r="E101" s="2">
        <f>mos_metrics!E100</f>
        <v/>
      </c>
      <c r="F101" s="2">
        <f>mos_metrics!F100</f>
        <v/>
      </c>
      <c r="G101" s="2">
        <f>IF($B101="","",IFERROR(VLOOKUP($B101,correlation!$A$2:$B$16,2,FALSE),1))</f>
        <v/>
      </c>
      <c r="H101" s="2">
        <f>IF($E101="","",IFERROR(VLOOKUP($E101,correlation!$D$2:$E$8,2,FALSE),1))</f>
        <v/>
      </c>
      <c r="I101" s="2">
        <f>ISNUMBER($F101)</f>
        <v/>
      </c>
      <c r="J101" s="2">
        <f>AND($G101=1,$H101=1,$I101)</f>
        <v/>
      </c>
      <c r="K101" s="5">
        <f>IF(mos_metrics!G100="","",mos_metrics!G100)</f>
        <v/>
      </c>
      <c r="L101" s="2">
        <f>AND($J101,ISNUMBER(K101),correlation!$I$26=1)</f>
        <v/>
      </c>
      <c r="M101" s="5">
        <f>IF(L101,$F101,"")</f>
        <v/>
      </c>
      <c r="N101" s="5">
        <f>IF(L101,K101*correlation!$J$26,"")</f>
        <v/>
      </c>
      <c r="O101" s="5">
        <f>IF(AND(L101,ISNUMBER(correlation!$F$26)),N101*correlation!$F$26+correlation!$G$26,"")</f>
        <v/>
      </c>
      <c r="P101" s="5">
        <f>IF(AND(L101,ISNUMBER(O101)),(M101-O101)^2,"")</f>
        <v/>
      </c>
      <c r="Q101" s="5">
        <f>IF(L101,1+SUMPRODUCT(--(calc!$L$3:$L$306=TRUE),--(calc!$M$3:$M$306&gt;M101))+(SUMPRODUCT(--(calc!$L$3:$L$306=TRUE),--(calc!$M$3:$M$306=M101))-1)/2,"")</f>
        <v/>
      </c>
      <c r="R101" s="5">
        <f>IF(L101,1+SUMPRODUCT(--(calc!$L$3:$L$306=TRUE),--(calc!$N$3:$N$306&gt;N101))+(SUMPRODUCT(--(calc!$L$3:$L$306=TRUE),--(calc!$N$3:$N$306=N101))-1)/2,"")</f>
        <v/>
      </c>
      <c r="S101" s="5">
        <f>IF(L101,SUMPRODUCT(--(calc!$L$3:$L$306=TRUE),--(ROW(calc!$L$3:$L$306)&gt;ROW(L101)),--(((calc!$Q$3:$Q$306&gt;Q101)*(calc!$R$3:$R$306&gt;R101)+(calc!$Q$3:$Q$306&lt;Q101)*(calc!$R$3:$R$306&lt;R101))&gt;0))-SUMPRODUCT(--(calc!$L$3:$L$306=TRUE),--(ROW(calc!$L$3:$L$306)&gt;ROW(L101)),--(((calc!$Q$3:$Q$306&gt;Q101)*(calc!$R$3:$R$306&lt;R101)+(calc!$Q$3:$Q$306&lt;Q101)*(calc!$R$3:$R$306&gt;R101))&gt;0)),0)</f>
        <v/>
      </c>
      <c r="T101" s="5">
        <f>IF(mos_metrics!H100="","",mos_metrics!H100)</f>
        <v/>
      </c>
      <c r="U101" s="2">
        <f>AND($J101,ISNUMBER(T101),correlation!$I$27=1)</f>
        <v/>
      </c>
      <c r="V101" s="5">
        <f>IF(U101,$F101,"")</f>
        <v/>
      </c>
      <c r="W101" s="5">
        <f>IF(U101,T101*correlation!$J$27,"")</f>
        <v/>
      </c>
      <c r="X101" s="5">
        <f>IF(AND(U101,ISNUMBER(correlation!$F$27)),W101*correlation!$F$27+correlation!$G$27,"")</f>
        <v/>
      </c>
      <c r="Y101" s="5">
        <f>IF(AND(U101,ISNUMBER(X101)),(V101-X101)^2,"")</f>
        <v/>
      </c>
      <c r="Z101" s="5">
        <f>IF(U101,1+SUMPRODUCT(--(calc!$U$3:$U$306=TRUE),--(calc!$V$3:$V$306&gt;V101))+(SUMPRODUCT(--(calc!$U$3:$U$306=TRUE),--(calc!$V$3:$V$306=V101))-1)/2,"")</f>
        <v/>
      </c>
      <c r="AA101" s="5">
        <f>IF(U101,1+SUMPRODUCT(--(calc!$U$3:$U$306=TRUE),--(calc!$W$3:$W$306&gt;W101))+(SUMPRODUCT(--(calc!$U$3:$U$306=TRUE),--(calc!$W$3:$W$306=W101))-1)/2,"")</f>
        <v/>
      </c>
      <c r="AB101" s="5">
        <f>IF(U101,SUMPRODUCT(--(calc!$U$3:$U$306=TRUE),--(ROW(calc!$U$3:$U$306)&gt;ROW(U101)),--(((calc!$Z$3:$Z$306&gt;Z101)*(calc!$AA$3:$AA$306&gt;AA101)+(calc!$Z$3:$Z$306&lt;Z101)*(calc!$AA$3:$AA$306&lt;AA101))&gt;0))-SUMPRODUCT(--(calc!$U$3:$U$306=TRUE),--(ROW(calc!$U$3:$U$306)&gt;ROW(U101)),--(((calc!$Z$3:$Z$306&gt;Z101)*(calc!$AA$3:$AA$306&lt;AA101)+(calc!$Z$3:$Z$306&lt;Z101)*(calc!$AA$3:$AA$306&gt;AA101))&gt;0)),0)</f>
        <v/>
      </c>
      <c r="AC101" s="5">
        <f>IF(mos_metrics!I100="","",mos_metrics!I100)</f>
        <v/>
      </c>
      <c r="AD101" s="2">
        <f>AND($J101,ISNUMBER(AC101),correlation!$I$28=1)</f>
        <v/>
      </c>
      <c r="AE101" s="5">
        <f>IF(AD101,$F101,"")</f>
        <v/>
      </c>
      <c r="AF101" s="5">
        <f>IF(AD101,AC101*correlation!$J$28,"")</f>
        <v/>
      </c>
      <c r="AG101" s="5">
        <f>IF(AND(AD101,ISNUMBER(correlation!$F$28)),AF101*correlation!$F$28+correlation!$G$28,"")</f>
        <v/>
      </c>
      <c r="AH101" s="5">
        <f>IF(AND(AD101,ISNUMBER(AG101)),(AE101-AG101)^2,"")</f>
        <v/>
      </c>
      <c r="AI101" s="5">
        <f>IF(AD101,1+SUMPRODUCT(--(calc!$AD$3:$AD$306=TRUE),--(calc!$AE$3:$AE$306&gt;AE101))+(SUMPRODUCT(--(calc!$AD$3:$AD$306=TRUE),--(calc!$AE$3:$AE$306=AE101))-1)/2,"")</f>
        <v/>
      </c>
      <c r="AJ101" s="5">
        <f>IF(AD101,1+SUMPRODUCT(--(calc!$AD$3:$AD$306=TRUE),--(calc!$AF$3:$AF$306&gt;AF101))+(SUMPRODUCT(--(calc!$AD$3:$AD$306=TRUE),--(calc!$AF$3:$AF$306=AF101))-1)/2,"")</f>
        <v/>
      </c>
      <c r="AK101" s="5">
        <f>IF(AD101,SUMPRODUCT(--(calc!$AD$3:$AD$306=TRUE),--(ROW(calc!$AD$3:$AD$306)&gt;ROW(AD101)),--(((calc!$AI$3:$AI$306&gt;AI101)*(calc!$AJ$3:$AJ$306&gt;AJ101)+(calc!$AI$3:$AI$306&lt;AI101)*(calc!$AJ$3:$AJ$306&lt;AJ101))&gt;0))-SUMPRODUCT(--(calc!$AD$3:$AD$306=TRUE),--(ROW(calc!$AD$3:$AD$306)&gt;ROW(AD101)),--(((calc!$AI$3:$AI$306&gt;AI101)*(calc!$AJ$3:$AJ$306&lt;AJ101)+(calc!$AI$3:$AI$306&lt;AI101)*(calc!$AJ$3:$AJ$306&gt;AJ101))&gt;0)),0)</f>
        <v/>
      </c>
      <c r="AL101" s="5">
        <f>IF(mos_metrics!J100="","",mos_metrics!J100)</f>
        <v/>
      </c>
      <c r="AM101" s="2">
        <f>AND($J101,ISNUMBER(AL101),correlation!$I$29=1)</f>
        <v/>
      </c>
      <c r="AN101" s="5">
        <f>IF(AM101,$F101,"")</f>
        <v/>
      </c>
      <c r="AO101" s="5">
        <f>IF(AM101,AL101*correlation!$J$29,"")</f>
        <v/>
      </c>
      <c r="AP101" s="5">
        <f>IF(AND(AM101,ISNUMBER(correlation!$F$29)),AO101*correlation!$F$29+correlation!$G$29,"")</f>
        <v/>
      </c>
      <c r="AQ101" s="5">
        <f>IF(AND(AM101,ISNUMBER(AP101)),(AN101-AP101)^2,"")</f>
        <v/>
      </c>
      <c r="AR101" s="5">
        <f>IF(AM101,1+SUMPRODUCT(--(calc!$AM$3:$AM$306=TRUE),--(calc!$AN$3:$AN$306&gt;AN101))+(SUMPRODUCT(--(calc!$AM$3:$AM$306=TRUE),--(calc!$AN$3:$AN$306=AN101))-1)/2,"")</f>
        <v/>
      </c>
      <c r="AS101" s="5">
        <f>IF(AM101,1+SUMPRODUCT(--(calc!$AM$3:$AM$306=TRUE),--(calc!$AO$3:$AO$306&gt;AO101))+(SUMPRODUCT(--(calc!$AM$3:$AM$306=TRUE),--(calc!$AO$3:$AO$306=AO101))-1)/2,"")</f>
        <v/>
      </c>
      <c r="AT101" s="5">
        <f>IF(AM101,SUMPRODUCT(--(calc!$AM$3:$AM$306=TRUE),--(ROW(calc!$AM$3:$AM$306)&gt;ROW(AM101)),--(((calc!$AR$3:$AR$306&gt;AR101)*(calc!$AS$3:$AS$306&gt;AS101)+(calc!$AR$3:$AR$306&lt;AR101)*(calc!$AS$3:$AS$306&lt;AS101))&gt;0))-SUMPRODUCT(--(calc!$AM$3:$AM$306=TRUE),--(ROW(calc!$AM$3:$AM$306)&gt;ROW(AM101)),--(((calc!$AR$3:$AR$306&gt;AR101)*(calc!$AS$3:$AS$306&lt;AS101)+(calc!$AR$3:$AR$306&lt;AR101)*(calc!$AS$3:$AS$306&gt;AS101))&gt;0)),0)</f>
        <v/>
      </c>
      <c r="AU101" s="5">
        <f>IF(mos_metrics!K100="","",mos_metrics!K100)</f>
        <v/>
      </c>
      <c r="AV101" s="2">
        <f>AND($J101,ISNUMBER(AU101),correlation!$I$30=1)</f>
        <v/>
      </c>
      <c r="AW101" s="5">
        <f>IF(AV101,$F101,"")</f>
        <v/>
      </c>
      <c r="AX101" s="5">
        <f>IF(AV101,AU101*correlation!$J$30,"")</f>
        <v/>
      </c>
      <c r="AY101" s="5">
        <f>IF(AND(AV101,ISNUMBER(correlation!$F$30)),AX101*correlation!$F$30+correlation!$G$30,"")</f>
        <v/>
      </c>
      <c r="AZ101" s="5">
        <f>IF(AND(AV101,ISNUMBER(AY101)),(AW101-AY101)^2,"")</f>
        <v/>
      </c>
      <c r="BA101" s="5">
        <f>IF(AV101,1+SUMPRODUCT(--(calc!$AV$3:$AV$306=TRUE),--(calc!$AW$3:$AW$306&gt;AW101))+(SUMPRODUCT(--(calc!$AV$3:$AV$306=TRUE),--(calc!$AW$3:$AW$306=AW101))-1)/2,"")</f>
        <v/>
      </c>
      <c r="BB101" s="5">
        <f>IF(AV101,1+SUMPRODUCT(--(calc!$AV$3:$AV$306=TRUE),--(calc!$AX$3:$AX$306&gt;AX101))+(SUMPRODUCT(--(calc!$AV$3:$AV$306=TRUE),--(calc!$AX$3:$AX$306=AX101))-1)/2,"")</f>
        <v/>
      </c>
      <c r="BC101" s="5">
        <f>IF(AV101,SUMPRODUCT(--(calc!$AV$3:$AV$306=TRUE),--(ROW(calc!$AV$3:$AV$306)&gt;ROW(AV101)),--(((calc!$BA$3:$BA$306&gt;BA101)*(calc!$BB$3:$BB$306&gt;BB101)+(calc!$BA$3:$BA$306&lt;BA101)*(calc!$BB$3:$BB$306&lt;BB101))&gt;0))-SUMPRODUCT(--(calc!$AV$3:$AV$306=TRUE),--(ROW(calc!$AV$3:$AV$306)&gt;ROW(AV101)),--(((calc!$BA$3:$BA$306&gt;BA101)*(calc!$BB$3:$BB$306&lt;BB101)+(calc!$BA$3:$BA$306&lt;BA101)*(calc!$BB$3:$BB$306&gt;BB101))&gt;0)),0)</f>
        <v/>
      </c>
      <c r="BD101" s="5">
        <f>IF(mos_metrics!L100="","",mos_metrics!L100)</f>
        <v/>
      </c>
      <c r="BE101" s="2">
        <f>AND($J101,ISNUMBER(BD101),correlation!$I$31=1)</f>
        <v/>
      </c>
      <c r="BF101" s="5">
        <f>IF(BE101,$F101,"")</f>
        <v/>
      </c>
      <c r="BG101" s="5">
        <f>IF(BE101,BD101*correlation!$J$31,"")</f>
        <v/>
      </c>
      <c r="BH101" s="5">
        <f>IF(AND(BE101,ISNUMBER(correlation!$F$31)),BG101*correlation!$F$31+correlation!$G$31,"")</f>
        <v/>
      </c>
      <c r="BI101" s="5">
        <f>IF(AND(BE101,ISNUMBER(BH101)),(BF101-BH101)^2,"")</f>
        <v/>
      </c>
      <c r="BJ101" s="5">
        <f>IF(BE101,1+SUMPRODUCT(--(calc!$BE$3:$BE$306=TRUE),--(calc!$BF$3:$BF$306&gt;BF101))+(SUMPRODUCT(--(calc!$BE$3:$BE$306=TRUE),--(calc!$BF$3:$BF$306=BF101))-1)/2,"")</f>
        <v/>
      </c>
      <c r="BK101" s="5">
        <f>IF(BE101,1+SUMPRODUCT(--(calc!$BE$3:$BE$306=TRUE),--(calc!$BG$3:$BG$306&gt;BG101))+(SUMPRODUCT(--(calc!$BE$3:$BE$306=TRUE),--(calc!$BG$3:$BG$306=BG101))-1)/2,"")</f>
        <v/>
      </c>
      <c r="BL101" s="5">
        <f>IF(BE101,SUMPRODUCT(--(calc!$BE$3:$BE$306=TRUE),--(ROW(calc!$BE$3:$BE$306)&gt;ROW(BE101)),--(((calc!$BJ$3:$BJ$306&gt;BJ101)*(calc!$BK$3:$BK$306&gt;BK101)+(calc!$BJ$3:$BJ$306&lt;BJ101)*(calc!$BK$3:$BK$306&lt;BK101))&gt;0))-SUMPRODUCT(--(calc!$BE$3:$BE$306=TRUE),--(ROW(calc!$BE$3:$BE$306)&gt;ROW(BE101)),--(((calc!$BJ$3:$BJ$306&gt;BJ101)*(calc!$BK$3:$BK$306&lt;BK101)+(calc!$BJ$3:$BJ$306&lt;BJ101)*(calc!$BK$3:$BK$306&gt;BK101))&gt;0)),0)</f>
        <v/>
      </c>
      <c r="BM101" s="5">
        <f>IF(mos_metrics!M100="","",mos_metrics!M100)</f>
        <v/>
      </c>
      <c r="BN101" s="2">
        <f>AND($J101,ISNUMBER(BM101),correlation!$I$32=1)</f>
        <v/>
      </c>
      <c r="BO101" s="5">
        <f>IF(BN101,$F101,"")</f>
        <v/>
      </c>
      <c r="BP101" s="5">
        <f>IF(BN101,BM101*correlation!$J$32,"")</f>
        <v/>
      </c>
      <c r="BQ101" s="5">
        <f>IF(AND(BN101,ISNUMBER(correlation!$F$32)),BP101*correlation!$F$32+correlation!$G$32,"")</f>
        <v/>
      </c>
      <c r="BR101" s="5">
        <f>IF(AND(BN101,ISNUMBER(BQ101)),(BO101-BQ101)^2,"")</f>
        <v/>
      </c>
      <c r="BS101" s="5">
        <f>IF(BN101,1+SUMPRODUCT(--(calc!$BN$3:$BN$306=TRUE),--(calc!$BO$3:$BO$306&gt;BO101))+(SUMPRODUCT(--(calc!$BN$3:$BN$306=TRUE),--(calc!$BO$3:$BO$306=BO101))-1)/2,"")</f>
        <v/>
      </c>
      <c r="BT101" s="5">
        <f>IF(BN101,1+SUMPRODUCT(--(calc!$BN$3:$BN$306=TRUE),--(calc!$BP$3:$BP$306&gt;BP101))+(SUMPRODUCT(--(calc!$BN$3:$BN$306=TRUE),--(calc!$BP$3:$BP$306=BP101))-1)/2,"")</f>
        <v/>
      </c>
      <c r="BU101" s="5">
        <f>IF(BN101,SUMPRODUCT(--(calc!$BN$3:$BN$306=TRUE),--(ROW(calc!$BN$3:$BN$306)&gt;ROW(BN101)),--(((calc!$BS$3:$BS$306&gt;BS101)*(calc!$BT$3:$BT$306&gt;BT101)+(calc!$BS$3:$BS$306&lt;BS101)*(calc!$BT$3:$BT$306&lt;BT101))&gt;0))-SUMPRODUCT(--(calc!$BN$3:$BN$306=TRUE),--(ROW(calc!$BN$3:$BN$306)&gt;ROW(BN101)),--(((calc!$BS$3:$BS$306&gt;BS101)*(calc!$BT$3:$BT$306&lt;BT101)+(calc!$BS$3:$BS$306&lt;BS101)*(calc!$BT$3:$BT$306&gt;BT101))&gt;0)),0)</f>
        <v/>
      </c>
    </row>
    <row r="102">
      <c r="A102" s="2">
        <f>mos_metrics!A101</f>
        <v/>
      </c>
      <c r="B102" s="2">
        <f>mos_metrics!B101</f>
        <v/>
      </c>
      <c r="C102" s="2">
        <f>mos_metrics!C101</f>
        <v/>
      </c>
      <c r="D102" s="2">
        <f>mos_metrics!D101</f>
        <v/>
      </c>
      <c r="E102" s="2">
        <f>mos_metrics!E101</f>
        <v/>
      </c>
      <c r="F102" s="2">
        <f>mos_metrics!F101</f>
        <v/>
      </c>
      <c r="G102" s="2">
        <f>IF($B102="","",IFERROR(VLOOKUP($B102,correlation!$A$2:$B$16,2,FALSE),1))</f>
        <v/>
      </c>
      <c r="H102" s="2">
        <f>IF($E102="","",IFERROR(VLOOKUP($E102,correlation!$D$2:$E$8,2,FALSE),1))</f>
        <v/>
      </c>
      <c r="I102" s="2">
        <f>ISNUMBER($F102)</f>
        <v/>
      </c>
      <c r="J102" s="2">
        <f>AND($G102=1,$H102=1,$I102)</f>
        <v/>
      </c>
      <c r="K102" s="5">
        <f>IF(mos_metrics!G101="","",mos_metrics!G101)</f>
        <v/>
      </c>
      <c r="L102" s="2">
        <f>AND($J102,ISNUMBER(K102),correlation!$I$26=1)</f>
        <v/>
      </c>
      <c r="M102" s="5">
        <f>IF(L102,$F102,"")</f>
        <v/>
      </c>
      <c r="N102" s="5">
        <f>IF(L102,K102*correlation!$J$26,"")</f>
        <v/>
      </c>
      <c r="O102" s="5">
        <f>IF(AND(L102,ISNUMBER(correlation!$F$26)),N102*correlation!$F$26+correlation!$G$26,"")</f>
        <v/>
      </c>
      <c r="P102" s="5">
        <f>IF(AND(L102,ISNUMBER(O102)),(M102-O102)^2,"")</f>
        <v/>
      </c>
      <c r="Q102" s="5">
        <f>IF(L102,1+SUMPRODUCT(--(calc!$L$3:$L$306=TRUE),--(calc!$M$3:$M$306&gt;M102))+(SUMPRODUCT(--(calc!$L$3:$L$306=TRUE),--(calc!$M$3:$M$306=M102))-1)/2,"")</f>
        <v/>
      </c>
      <c r="R102" s="5">
        <f>IF(L102,1+SUMPRODUCT(--(calc!$L$3:$L$306=TRUE),--(calc!$N$3:$N$306&gt;N102))+(SUMPRODUCT(--(calc!$L$3:$L$306=TRUE),--(calc!$N$3:$N$306=N102))-1)/2,"")</f>
        <v/>
      </c>
      <c r="S102" s="5">
        <f>IF(L102,SUMPRODUCT(--(calc!$L$3:$L$306=TRUE),--(ROW(calc!$L$3:$L$306)&gt;ROW(L102)),--(((calc!$Q$3:$Q$306&gt;Q102)*(calc!$R$3:$R$306&gt;R102)+(calc!$Q$3:$Q$306&lt;Q102)*(calc!$R$3:$R$306&lt;R102))&gt;0))-SUMPRODUCT(--(calc!$L$3:$L$306=TRUE),--(ROW(calc!$L$3:$L$306)&gt;ROW(L102)),--(((calc!$Q$3:$Q$306&gt;Q102)*(calc!$R$3:$R$306&lt;R102)+(calc!$Q$3:$Q$306&lt;Q102)*(calc!$R$3:$R$306&gt;R102))&gt;0)),0)</f>
        <v/>
      </c>
      <c r="T102" s="5">
        <f>IF(mos_metrics!H101="","",mos_metrics!H101)</f>
        <v/>
      </c>
      <c r="U102" s="2">
        <f>AND($J102,ISNUMBER(T102),correlation!$I$27=1)</f>
        <v/>
      </c>
      <c r="V102" s="5">
        <f>IF(U102,$F102,"")</f>
        <v/>
      </c>
      <c r="W102" s="5">
        <f>IF(U102,T102*correlation!$J$27,"")</f>
        <v/>
      </c>
      <c r="X102" s="5">
        <f>IF(AND(U102,ISNUMBER(correlation!$F$27)),W102*correlation!$F$27+correlation!$G$27,"")</f>
        <v/>
      </c>
      <c r="Y102" s="5">
        <f>IF(AND(U102,ISNUMBER(X102)),(V102-X102)^2,"")</f>
        <v/>
      </c>
      <c r="Z102" s="5">
        <f>IF(U102,1+SUMPRODUCT(--(calc!$U$3:$U$306=TRUE),--(calc!$V$3:$V$306&gt;V102))+(SUMPRODUCT(--(calc!$U$3:$U$306=TRUE),--(calc!$V$3:$V$306=V102))-1)/2,"")</f>
        <v/>
      </c>
      <c r="AA102" s="5">
        <f>IF(U102,1+SUMPRODUCT(--(calc!$U$3:$U$306=TRUE),--(calc!$W$3:$W$306&gt;W102))+(SUMPRODUCT(--(calc!$U$3:$U$306=TRUE),--(calc!$W$3:$W$306=W102))-1)/2,"")</f>
        <v/>
      </c>
      <c r="AB102" s="5">
        <f>IF(U102,SUMPRODUCT(--(calc!$U$3:$U$306=TRUE),--(ROW(calc!$U$3:$U$306)&gt;ROW(U102)),--(((calc!$Z$3:$Z$306&gt;Z102)*(calc!$AA$3:$AA$306&gt;AA102)+(calc!$Z$3:$Z$306&lt;Z102)*(calc!$AA$3:$AA$306&lt;AA102))&gt;0))-SUMPRODUCT(--(calc!$U$3:$U$306=TRUE),--(ROW(calc!$U$3:$U$306)&gt;ROW(U102)),--(((calc!$Z$3:$Z$306&gt;Z102)*(calc!$AA$3:$AA$306&lt;AA102)+(calc!$Z$3:$Z$306&lt;Z102)*(calc!$AA$3:$AA$306&gt;AA102))&gt;0)),0)</f>
        <v/>
      </c>
      <c r="AC102" s="5">
        <f>IF(mos_metrics!I101="","",mos_metrics!I101)</f>
        <v/>
      </c>
      <c r="AD102" s="2">
        <f>AND($J102,ISNUMBER(AC102),correlation!$I$28=1)</f>
        <v/>
      </c>
      <c r="AE102" s="5">
        <f>IF(AD102,$F102,"")</f>
        <v/>
      </c>
      <c r="AF102" s="5">
        <f>IF(AD102,AC102*correlation!$J$28,"")</f>
        <v/>
      </c>
      <c r="AG102" s="5">
        <f>IF(AND(AD102,ISNUMBER(correlation!$F$28)),AF102*correlation!$F$28+correlation!$G$28,"")</f>
        <v/>
      </c>
      <c r="AH102" s="5">
        <f>IF(AND(AD102,ISNUMBER(AG102)),(AE102-AG102)^2,"")</f>
        <v/>
      </c>
      <c r="AI102" s="5">
        <f>IF(AD102,1+SUMPRODUCT(--(calc!$AD$3:$AD$306=TRUE),--(calc!$AE$3:$AE$306&gt;AE102))+(SUMPRODUCT(--(calc!$AD$3:$AD$306=TRUE),--(calc!$AE$3:$AE$306=AE102))-1)/2,"")</f>
        <v/>
      </c>
      <c r="AJ102" s="5">
        <f>IF(AD102,1+SUMPRODUCT(--(calc!$AD$3:$AD$306=TRUE),--(calc!$AF$3:$AF$306&gt;AF102))+(SUMPRODUCT(--(calc!$AD$3:$AD$306=TRUE),--(calc!$AF$3:$AF$306=AF102))-1)/2,"")</f>
        <v/>
      </c>
      <c r="AK102" s="5">
        <f>IF(AD102,SUMPRODUCT(--(calc!$AD$3:$AD$306=TRUE),--(ROW(calc!$AD$3:$AD$306)&gt;ROW(AD102)),--(((calc!$AI$3:$AI$306&gt;AI102)*(calc!$AJ$3:$AJ$306&gt;AJ102)+(calc!$AI$3:$AI$306&lt;AI102)*(calc!$AJ$3:$AJ$306&lt;AJ102))&gt;0))-SUMPRODUCT(--(calc!$AD$3:$AD$306=TRUE),--(ROW(calc!$AD$3:$AD$306)&gt;ROW(AD102)),--(((calc!$AI$3:$AI$306&gt;AI102)*(calc!$AJ$3:$AJ$306&lt;AJ102)+(calc!$AI$3:$AI$306&lt;AI102)*(calc!$AJ$3:$AJ$306&gt;AJ102))&gt;0)),0)</f>
        <v/>
      </c>
      <c r="AL102" s="5">
        <f>IF(mos_metrics!J101="","",mos_metrics!J101)</f>
        <v/>
      </c>
      <c r="AM102" s="2">
        <f>AND($J102,ISNUMBER(AL102),correlation!$I$29=1)</f>
        <v/>
      </c>
      <c r="AN102" s="5">
        <f>IF(AM102,$F102,"")</f>
        <v/>
      </c>
      <c r="AO102" s="5">
        <f>IF(AM102,AL102*correlation!$J$29,"")</f>
        <v/>
      </c>
      <c r="AP102" s="5">
        <f>IF(AND(AM102,ISNUMBER(correlation!$F$29)),AO102*correlation!$F$29+correlation!$G$29,"")</f>
        <v/>
      </c>
      <c r="AQ102" s="5">
        <f>IF(AND(AM102,ISNUMBER(AP102)),(AN102-AP102)^2,"")</f>
        <v/>
      </c>
      <c r="AR102" s="5">
        <f>IF(AM102,1+SUMPRODUCT(--(calc!$AM$3:$AM$306=TRUE),--(calc!$AN$3:$AN$306&gt;AN102))+(SUMPRODUCT(--(calc!$AM$3:$AM$306=TRUE),--(calc!$AN$3:$AN$306=AN102))-1)/2,"")</f>
        <v/>
      </c>
      <c r="AS102" s="5">
        <f>IF(AM102,1+SUMPRODUCT(--(calc!$AM$3:$AM$306=TRUE),--(calc!$AO$3:$AO$306&gt;AO102))+(SUMPRODUCT(--(calc!$AM$3:$AM$306=TRUE),--(calc!$AO$3:$AO$306=AO102))-1)/2,"")</f>
        <v/>
      </c>
      <c r="AT102" s="5">
        <f>IF(AM102,SUMPRODUCT(--(calc!$AM$3:$AM$306=TRUE),--(ROW(calc!$AM$3:$AM$306)&gt;ROW(AM102)),--(((calc!$AR$3:$AR$306&gt;AR102)*(calc!$AS$3:$AS$306&gt;AS102)+(calc!$AR$3:$AR$306&lt;AR102)*(calc!$AS$3:$AS$306&lt;AS102))&gt;0))-SUMPRODUCT(--(calc!$AM$3:$AM$306=TRUE),--(ROW(calc!$AM$3:$AM$306)&gt;ROW(AM102)),--(((calc!$AR$3:$AR$306&gt;AR102)*(calc!$AS$3:$AS$306&lt;AS102)+(calc!$AR$3:$AR$306&lt;AR102)*(calc!$AS$3:$AS$306&gt;AS102))&gt;0)),0)</f>
        <v/>
      </c>
      <c r="AU102" s="5">
        <f>IF(mos_metrics!K101="","",mos_metrics!K101)</f>
        <v/>
      </c>
      <c r="AV102" s="2">
        <f>AND($J102,ISNUMBER(AU102),correlation!$I$30=1)</f>
        <v/>
      </c>
      <c r="AW102" s="5">
        <f>IF(AV102,$F102,"")</f>
        <v/>
      </c>
      <c r="AX102" s="5">
        <f>IF(AV102,AU102*correlation!$J$30,"")</f>
        <v/>
      </c>
      <c r="AY102" s="5">
        <f>IF(AND(AV102,ISNUMBER(correlation!$F$30)),AX102*correlation!$F$30+correlation!$G$30,"")</f>
        <v/>
      </c>
      <c r="AZ102" s="5">
        <f>IF(AND(AV102,ISNUMBER(AY102)),(AW102-AY102)^2,"")</f>
        <v/>
      </c>
      <c r="BA102" s="5">
        <f>IF(AV102,1+SUMPRODUCT(--(calc!$AV$3:$AV$306=TRUE),--(calc!$AW$3:$AW$306&gt;AW102))+(SUMPRODUCT(--(calc!$AV$3:$AV$306=TRUE),--(calc!$AW$3:$AW$306=AW102))-1)/2,"")</f>
        <v/>
      </c>
      <c r="BB102" s="5">
        <f>IF(AV102,1+SUMPRODUCT(--(calc!$AV$3:$AV$306=TRUE),--(calc!$AX$3:$AX$306&gt;AX102))+(SUMPRODUCT(--(calc!$AV$3:$AV$306=TRUE),--(calc!$AX$3:$AX$306=AX102))-1)/2,"")</f>
        <v/>
      </c>
      <c r="BC102" s="5">
        <f>IF(AV102,SUMPRODUCT(--(calc!$AV$3:$AV$306=TRUE),--(ROW(calc!$AV$3:$AV$306)&gt;ROW(AV102)),--(((calc!$BA$3:$BA$306&gt;BA102)*(calc!$BB$3:$BB$306&gt;BB102)+(calc!$BA$3:$BA$306&lt;BA102)*(calc!$BB$3:$BB$306&lt;BB102))&gt;0))-SUMPRODUCT(--(calc!$AV$3:$AV$306=TRUE),--(ROW(calc!$AV$3:$AV$306)&gt;ROW(AV102)),--(((calc!$BA$3:$BA$306&gt;BA102)*(calc!$BB$3:$BB$306&lt;BB102)+(calc!$BA$3:$BA$306&lt;BA102)*(calc!$BB$3:$BB$306&gt;BB102))&gt;0)),0)</f>
        <v/>
      </c>
      <c r="BD102" s="5">
        <f>IF(mos_metrics!L101="","",mos_metrics!L101)</f>
        <v/>
      </c>
      <c r="BE102" s="2">
        <f>AND($J102,ISNUMBER(BD102),correlation!$I$31=1)</f>
        <v/>
      </c>
      <c r="BF102" s="5">
        <f>IF(BE102,$F102,"")</f>
        <v/>
      </c>
      <c r="BG102" s="5">
        <f>IF(BE102,BD102*correlation!$J$31,"")</f>
        <v/>
      </c>
      <c r="BH102" s="5">
        <f>IF(AND(BE102,ISNUMBER(correlation!$F$31)),BG102*correlation!$F$31+correlation!$G$31,"")</f>
        <v/>
      </c>
      <c r="BI102" s="5">
        <f>IF(AND(BE102,ISNUMBER(BH102)),(BF102-BH102)^2,"")</f>
        <v/>
      </c>
      <c r="BJ102" s="5">
        <f>IF(BE102,1+SUMPRODUCT(--(calc!$BE$3:$BE$306=TRUE),--(calc!$BF$3:$BF$306&gt;BF102))+(SUMPRODUCT(--(calc!$BE$3:$BE$306=TRUE),--(calc!$BF$3:$BF$306=BF102))-1)/2,"")</f>
        <v/>
      </c>
      <c r="BK102" s="5">
        <f>IF(BE102,1+SUMPRODUCT(--(calc!$BE$3:$BE$306=TRUE),--(calc!$BG$3:$BG$306&gt;BG102))+(SUMPRODUCT(--(calc!$BE$3:$BE$306=TRUE),--(calc!$BG$3:$BG$306=BG102))-1)/2,"")</f>
        <v/>
      </c>
      <c r="BL102" s="5">
        <f>IF(BE102,SUMPRODUCT(--(calc!$BE$3:$BE$306=TRUE),--(ROW(calc!$BE$3:$BE$306)&gt;ROW(BE102)),--(((calc!$BJ$3:$BJ$306&gt;BJ102)*(calc!$BK$3:$BK$306&gt;BK102)+(calc!$BJ$3:$BJ$306&lt;BJ102)*(calc!$BK$3:$BK$306&lt;BK102))&gt;0))-SUMPRODUCT(--(calc!$BE$3:$BE$306=TRUE),--(ROW(calc!$BE$3:$BE$306)&gt;ROW(BE102)),--(((calc!$BJ$3:$BJ$306&gt;BJ102)*(calc!$BK$3:$BK$306&lt;BK102)+(calc!$BJ$3:$BJ$306&lt;BJ102)*(calc!$BK$3:$BK$306&gt;BK102))&gt;0)),0)</f>
        <v/>
      </c>
      <c r="BM102" s="5">
        <f>IF(mos_metrics!M101="","",mos_metrics!M101)</f>
        <v/>
      </c>
      <c r="BN102" s="2">
        <f>AND($J102,ISNUMBER(BM102),correlation!$I$32=1)</f>
        <v/>
      </c>
      <c r="BO102" s="5">
        <f>IF(BN102,$F102,"")</f>
        <v/>
      </c>
      <c r="BP102" s="5">
        <f>IF(BN102,BM102*correlation!$J$32,"")</f>
        <v/>
      </c>
      <c r="BQ102" s="5">
        <f>IF(AND(BN102,ISNUMBER(correlation!$F$32)),BP102*correlation!$F$32+correlation!$G$32,"")</f>
        <v/>
      </c>
      <c r="BR102" s="5">
        <f>IF(AND(BN102,ISNUMBER(BQ102)),(BO102-BQ102)^2,"")</f>
        <v/>
      </c>
      <c r="BS102" s="5">
        <f>IF(BN102,1+SUMPRODUCT(--(calc!$BN$3:$BN$306=TRUE),--(calc!$BO$3:$BO$306&gt;BO102))+(SUMPRODUCT(--(calc!$BN$3:$BN$306=TRUE),--(calc!$BO$3:$BO$306=BO102))-1)/2,"")</f>
        <v/>
      </c>
      <c r="BT102" s="5">
        <f>IF(BN102,1+SUMPRODUCT(--(calc!$BN$3:$BN$306=TRUE),--(calc!$BP$3:$BP$306&gt;BP102))+(SUMPRODUCT(--(calc!$BN$3:$BN$306=TRUE),--(calc!$BP$3:$BP$306=BP102))-1)/2,"")</f>
        <v/>
      </c>
      <c r="BU102" s="5">
        <f>IF(BN102,SUMPRODUCT(--(calc!$BN$3:$BN$306=TRUE),--(ROW(calc!$BN$3:$BN$306)&gt;ROW(BN102)),--(((calc!$BS$3:$BS$306&gt;BS102)*(calc!$BT$3:$BT$306&gt;BT102)+(calc!$BS$3:$BS$306&lt;BS102)*(calc!$BT$3:$BT$306&lt;BT102))&gt;0))-SUMPRODUCT(--(calc!$BN$3:$BN$306=TRUE),--(ROW(calc!$BN$3:$BN$306)&gt;ROW(BN102)),--(((calc!$BS$3:$BS$306&gt;BS102)*(calc!$BT$3:$BT$306&lt;BT102)+(calc!$BS$3:$BS$306&lt;BS102)*(calc!$BT$3:$BT$306&gt;BT102))&gt;0)),0)</f>
        <v/>
      </c>
    </row>
    <row r="103">
      <c r="A103" s="2">
        <f>mos_metrics!A102</f>
        <v/>
      </c>
      <c r="B103" s="2">
        <f>mos_metrics!B102</f>
        <v/>
      </c>
      <c r="C103" s="2">
        <f>mos_metrics!C102</f>
        <v/>
      </c>
      <c r="D103" s="2">
        <f>mos_metrics!D102</f>
        <v/>
      </c>
      <c r="E103" s="2">
        <f>mos_metrics!E102</f>
        <v/>
      </c>
      <c r="F103" s="2">
        <f>mos_metrics!F102</f>
        <v/>
      </c>
      <c r="G103" s="2">
        <f>IF($B103="","",IFERROR(VLOOKUP($B103,correlation!$A$2:$B$16,2,FALSE),1))</f>
        <v/>
      </c>
      <c r="H103" s="2">
        <f>IF($E103="","",IFERROR(VLOOKUP($E103,correlation!$D$2:$E$8,2,FALSE),1))</f>
        <v/>
      </c>
      <c r="I103" s="2">
        <f>ISNUMBER($F103)</f>
        <v/>
      </c>
      <c r="J103" s="2">
        <f>AND($G103=1,$H103=1,$I103)</f>
        <v/>
      </c>
      <c r="K103" s="5">
        <f>IF(mos_metrics!G102="","",mos_metrics!G102)</f>
        <v/>
      </c>
      <c r="L103" s="2">
        <f>AND($J103,ISNUMBER(K103),correlation!$I$26=1)</f>
        <v/>
      </c>
      <c r="M103" s="5">
        <f>IF(L103,$F103,"")</f>
        <v/>
      </c>
      <c r="N103" s="5">
        <f>IF(L103,K103*correlation!$J$26,"")</f>
        <v/>
      </c>
      <c r="O103" s="5">
        <f>IF(AND(L103,ISNUMBER(correlation!$F$26)),N103*correlation!$F$26+correlation!$G$26,"")</f>
        <v/>
      </c>
      <c r="P103" s="5">
        <f>IF(AND(L103,ISNUMBER(O103)),(M103-O103)^2,"")</f>
        <v/>
      </c>
      <c r="Q103" s="5">
        <f>IF(L103,1+SUMPRODUCT(--(calc!$L$3:$L$306=TRUE),--(calc!$M$3:$M$306&gt;M103))+(SUMPRODUCT(--(calc!$L$3:$L$306=TRUE),--(calc!$M$3:$M$306=M103))-1)/2,"")</f>
        <v/>
      </c>
      <c r="R103" s="5">
        <f>IF(L103,1+SUMPRODUCT(--(calc!$L$3:$L$306=TRUE),--(calc!$N$3:$N$306&gt;N103))+(SUMPRODUCT(--(calc!$L$3:$L$306=TRUE),--(calc!$N$3:$N$306=N103))-1)/2,"")</f>
        <v/>
      </c>
      <c r="S103" s="5">
        <f>IF(L103,SUMPRODUCT(--(calc!$L$3:$L$306=TRUE),--(ROW(calc!$L$3:$L$306)&gt;ROW(L103)),--(((calc!$Q$3:$Q$306&gt;Q103)*(calc!$R$3:$R$306&gt;R103)+(calc!$Q$3:$Q$306&lt;Q103)*(calc!$R$3:$R$306&lt;R103))&gt;0))-SUMPRODUCT(--(calc!$L$3:$L$306=TRUE),--(ROW(calc!$L$3:$L$306)&gt;ROW(L103)),--(((calc!$Q$3:$Q$306&gt;Q103)*(calc!$R$3:$R$306&lt;R103)+(calc!$Q$3:$Q$306&lt;Q103)*(calc!$R$3:$R$306&gt;R103))&gt;0)),0)</f>
        <v/>
      </c>
      <c r="T103" s="5">
        <f>IF(mos_metrics!H102="","",mos_metrics!H102)</f>
        <v/>
      </c>
      <c r="U103" s="2">
        <f>AND($J103,ISNUMBER(T103),correlation!$I$27=1)</f>
        <v/>
      </c>
      <c r="V103" s="5">
        <f>IF(U103,$F103,"")</f>
        <v/>
      </c>
      <c r="W103" s="5">
        <f>IF(U103,T103*correlation!$J$27,"")</f>
        <v/>
      </c>
      <c r="X103" s="5">
        <f>IF(AND(U103,ISNUMBER(correlation!$F$27)),W103*correlation!$F$27+correlation!$G$27,"")</f>
        <v/>
      </c>
      <c r="Y103" s="5">
        <f>IF(AND(U103,ISNUMBER(X103)),(V103-X103)^2,"")</f>
        <v/>
      </c>
      <c r="Z103" s="5">
        <f>IF(U103,1+SUMPRODUCT(--(calc!$U$3:$U$306=TRUE),--(calc!$V$3:$V$306&gt;V103))+(SUMPRODUCT(--(calc!$U$3:$U$306=TRUE),--(calc!$V$3:$V$306=V103))-1)/2,"")</f>
        <v/>
      </c>
      <c r="AA103" s="5">
        <f>IF(U103,1+SUMPRODUCT(--(calc!$U$3:$U$306=TRUE),--(calc!$W$3:$W$306&gt;W103))+(SUMPRODUCT(--(calc!$U$3:$U$306=TRUE),--(calc!$W$3:$W$306=W103))-1)/2,"")</f>
        <v/>
      </c>
      <c r="AB103" s="5">
        <f>IF(U103,SUMPRODUCT(--(calc!$U$3:$U$306=TRUE),--(ROW(calc!$U$3:$U$306)&gt;ROW(U103)),--(((calc!$Z$3:$Z$306&gt;Z103)*(calc!$AA$3:$AA$306&gt;AA103)+(calc!$Z$3:$Z$306&lt;Z103)*(calc!$AA$3:$AA$306&lt;AA103))&gt;0))-SUMPRODUCT(--(calc!$U$3:$U$306=TRUE),--(ROW(calc!$U$3:$U$306)&gt;ROW(U103)),--(((calc!$Z$3:$Z$306&gt;Z103)*(calc!$AA$3:$AA$306&lt;AA103)+(calc!$Z$3:$Z$306&lt;Z103)*(calc!$AA$3:$AA$306&gt;AA103))&gt;0)),0)</f>
        <v/>
      </c>
      <c r="AC103" s="5">
        <f>IF(mos_metrics!I102="","",mos_metrics!I102)</f>
        <v/>
      </c>
      <c r="AD103" s="2">
        <f>AND($J103,ISNUMBER(AC103),correlation!$I$28=1)</f>
        <v/>
      </c>
      <c r="AE103" s="5">
        <f>IF(AD103,$F103,"")</f>
        <v/>
      </c>
      <c r="AF103" s="5">
        <f>IF(AD103,AC103*correlation!$J$28,"")</f>
        <v/>
      </c>
      <c r="AG103" s="5">
        <f>IF(AND(AD103,ISNUMBER(correlation!$F$28)),AF103*correlation!$F$28+correlation!$G$28,"")</f>
        <v/>
      </c>
      <c r="AH103" s="5">
        <f>IF(AND(AD103,ISNUMBER(AG103)),(AE103-AG103)^2,"")</f>
        <v/>
      </c>
      <c r="AI103" s="5">
        <f>IF(AD103,1+SUMPRODUCT(--(calc!$AD$3:$AD$306=TRUE),--(calc!$AE$3:$AE$306&gt;AE103))+(SUMPRODUCT(--(calc!$AD$3:$AD$306=TRUE),--(calc!$AE$3:$AE$306=AE103))-1)/2,"")</f>
        <v/>
      </c>
      <c r="AJ103" s="5">
        <f>IF(AD103,1+SUMPRODUCT(--(calc!$AD$3:$AD$306=TRUE),--(calc!$AF$3:$AF$306&gt;AF103))+(SUMPRODUCT(--(calc!$AD$3:$AD$306=TRUE),--(calc!$AF$3:$AF$306=AF103))-1)/2,"")</f>
        <v/>
      </c>
      <c r="AK103" s="5">
        <f>IF(AD103,SUMPRODUCT(--(calc!$AD$3:$AD$306=TRUE),--(ROW(calc!$AD$3:$AD$306)&gt;ROW(AD103)),--(((calc!$AI$3:$AI$306&gt;AI103)*(calc!$AJ$3:$AJ$306&gt;AJ103)+(calc!$AI$3:$AI$306&lt;AI103)*(calc!$AJ$3:$AJ$306&lt;AJ103))&gt;0))-SUMPRODUCT(--(calc!$AD$3:$AD$306=TRUE),--(ROW(calc!$AD$3:$AD$306)&gt;ROW(AD103)),--(((calc!$AI$3:$AI$306&gt;AI103)*(calc!$AJ$3:$AJ$306&lt;AJ103)+(calc!$AI$3:$AI$306&lt;AI103)*(calc!$AJ$3:$AJ$306&gt;AJ103))&gt;0)),0)</f>
        <v/>
      </c>
      <c r="AL103" s="5">
        <f>IF(mos_metrics!J102="","",mos_metrics!J102)</f>
        <v/>
      </c>
      <c r="AM103" s="2">
        <f>AND($J103,ISNUMBER(AL103),correlation!$I$29=1)</f>
        <v/>
      </c>
      <c r="AN103" s="5">
        <f>IF(AM103,$F103,"")</f>
        <v/>
      </c>
      <c r="AO103" s="5">
        <f>IF(AM103,AL103*correlation!$J$29,"")</f>
        <v/>
      </c>
      <c r="AP103" s="5">
        <f>IF(AND(AM103,ISNUMBER(correlation!$F$29)),AO103*correlation!$F$29+correlation!$G$29,"")</f>
        <v/>
      </c>
      <c r="AQ103" s="5">
        <f>IF(AND(AM103,ISNUMBER(AP103)),(AN103-AP103)^2,"")</f>
        <v/>
      </c>
      <c r="AR103" s="5">
        <f>IF(AM103,1+SUMPRODUCT(--(calc!$AM$3:$AM$306=TRUE),--(calc!$AN$3:$AN$306&gt;AN103))+(SUMPRODUCT(--(calc!$AM$3:$AM$306=TRUE),--(calc!$AN$3:$AN$306=AN103))-1)/2,"")</f>
        <v/>
      </c>
      <c r="AS103" s="5">
        <f>IF(AM103,1+SUMPRODUCT(--(calc!$AM$3:$AM$306=TRUE),--(calc!$AO$3:$AO$306&gt;AO103))+(SUMPRODUCT(--(calc!$AM$3:$AM$306=TRUE),--(calc!$AO$3:$AO$306=AO103))-1)/2,"")</f>
        <v/>
      </c>
      <c r="AT103" s="5">
        <f>IF(AM103,SUMPRODUCT(--(calc!$AM$3:$AM$306=TRUE),--(ROW(calc!$AM$3:$AM$306)&gt;ROW(AM103)),--(((calc!$AR$3:$AR$306&gt;AR103)*(calc!$AS$3:$AS$306&gt;AS103)+(calc!$AR$3:$AR$306&lt;AR103)*(calc!$AS$3:$AS$306&lt;AS103))&gt;0))-SUMPRODUCT(--(calc!$AM$3:$AM$306=TRUE),--(ROW(calc!$AM$3:$AM$306)&gt;ROW(AM103)),--(((calc!$AR$3:$AR$306&gt;AR103)*(calc!$AS$3:$AS$306&lt;AS103)+(calc!$AR$3:$AR$306&lt;AR103)*(calc!$AS$3:$AS$306&gt;AS103))&gt;0)),0)</f>
        <v/>
      </c>
      <c r="AU103" s="5">
        <f>IF(mos_metrics!K102="","",mos_metrics!K102)</f>
        <v/>
      </c>
      <c r="AV103" s="2">
        <f>AND($J103,ISNUMBER(AU103),correlation!$I$30=1)</f>
        <v/>
      </c>
      <c r="AW103" s="5">
        <f>IF(AV103,$F103,"")</f>
        <v/>
      </c>
      <c r="AX103" s="5">
        <f>IF(AV103,AU103*correlation!$J$30,"")</f>
        <v/>
      </c>
      <c r="AY103" s="5">
        <f>IF(AND(AV103,ISNUMBER(correlation!$F$30)),AX103*correlation!$F$30+correlation!$G$30,"")</f>
        <v/>
      </c>
      <c r="AZ103" s="5">
        <f>IF(AND(AV103,ISNUMBER(AY103)),(AW103-AY103)^2,"")</f>
        <v/>
      </c>
      <c r="BA103" s="5">
        <f>IF(AV103,1+SUMPRODUCT(--(calc!$AV$3:$AV$306=TRUE),--(calc!$AW$3:$AW$306&gt;AW103))+(SUMPRODUCT(--(calc!$AV$3:$AV$306=TRUE),--(calc!$AW$3:$AW$306=AW103))-1)/2,"")</f>
        <v/>
      </c>
      <c r="BB103" s="5">
        <f>IF(AV103,1+SUMPRODUCT(--(calc!$AV$3:$AV$306=TRUE),--(calc!$AX$3:$AX$306&gt;AX103))+(SUMPRODUCT(--(calc!$AV$3:$AV$306=TRUE),--(calc!$AX$3:$AX$306=AX103))-1)/2,"")</f>
        <v/>
      </c>
      <c r="BC103" s="5">
        <f>IF(AV103,SUMPRODUCT(--(calc!$AV$3:$AV$306=TRUE),--(ROW(calc!$AV$3:$AV$306)&gt;ROW(AV103)),--(((calc!$BA$3:$BA$306&gt;BA103)*(calc!$BB$3:$BB$306&gt;BB103)+(calc!$BA$3:$BA$306&lt;BA103)*(calc!$BB$3:$BB$306&lt;BB103))&gt;0))-SUMPRODUCT(--(calc!$AV$3:$AV$306=TRUE),--(ROW(calc!$AV$3:$AV$306)&gt;ROW(AV103)),--(((calc!$BA$3:$BA$306&gt;BA103)*(calc!$BB$3:$BB$306&lt;BB103)+(calc!$BA$3:$BA$306&lt;BA103)*(calc!$BB$3:$BB$306&gt;BB103))&gt;0)),0)</f>
        <v/>
      </c>
      <c r="BD103" s="5">
        <f>IF(mos_metrics!L102="","",mos_metrics!L102)</f>
        <v/>
      </c>
      <c r="BE103" s="2">
        <f>AND($J103,ISNUMBER(BD103),correlation!$I$31=1)</f>
        <v/>
      </c>
      <c r="BF103" s="5">
        <f>IF(BE103,$F103,"")</f>
        <v/>
      </c>
      <c r="BG103" s="5">
        <f>IF(BE103,BD103*correlation!$J$31,"")</f>
        <v/>
      </c>
      <c r="BH103" s="5">
        <f>IF(AND(BE103,ISNUMBER(correlation!$F$31)),BG103*correlation!$F$31+correlation!$G$31,"")</f>
        <v/>
      </c>
      <c r="BI103" s="5">
        <f>IF(AND(BE103,ISNUMBER(BH103)),(BF103-BH103)^2,"")</f>
        <v/>
      </c>
      <c r="BJ103" s="5">
        <f>IF(BE103,1+SUMPRODUCT(--(calc!$BE$3:$BE$306=TRUE),--(calc!$BF$3:$BF$306&gt;BF103))+(SUMPRODUCT(--(calc!$BE$3:$BE$306=TRUE),--(calc!$BF$3:$BF$306=BF103))-1)/2,"")</f>
        <v/>
      </c>
      <c r="BK103" s="5">
        <f>IF(BE103,1+SUMPRODUCT(--(calc!$BE$3:$BE$306=TRUE),--(calc!$BG$3:$BG$306&gt;BG103))+(SUMPRODUCT(--(calc!$BE$3:$BE$306=TRUE),--(calc!$BG$3:$BG$306=BG103))-1)/2,"")</f>
        <v/>
      </c>
      <c r="BL103" s="5">
        <f>IF(BE103,SUMPRODUCT(--(calc!$BE$3:$BE$306=TRUE),--(ROW(calc!$BE$3:$BE$306)&gt;ROW(BE103)),--(((calc!$BJ$3:$BJ$306&gt;BJ103)*(calc!$BK$3:$BK$306&gt;BK103)+(calc!$BJ$3:$BJ$306&lt;BJ103)*(calc!$BK$3:$BK$306&lt;BK103))&gt;0))-SUMPRODUCT(--(calc!$BE$3:$BE$306=TRUE),--(ROW(calc!$BE$3:$BE$306)&gt;ROW(BE103)),--(((calc!$BJ$3:$BJ$306&gt;BJ103)*(calc!$BK$3:$BK$306&lt;BK103)+(calc!$BJ$3:$BJ$306&lt;BJ103)*(calc!$BK$3:$BK$306&gt;BK103))&gt;0)),0)</f>
        <v/>
      </c>
      <c r="BM103" s="5">
        <f>IF(mos_metrics!M102="","",mos_metrics!M102)</f>
        <v/>
      </c>
      <c r="BN103" s="2">
        <f>AND($J103,ISNUMBER(BM103),correlation!$I$32=1)</f>
        <v/>
      </c>
      <c r="BO103" s="5">
        <f>IF(BN103,$F103,"")</f>
        <v/>
      </c>
      <c r="BP103" s="5">
        <f>IF(BN103,BM103*correlation!$J$32,"")</f>
        <v/>
      </c>
      <c r="BQ103" s="5">
        <f>IF(AND(BN103,ISNUMBER(correlation!$F$32)),BP103*correlation!$F$32+correlation!$G$32,"")</f>
        <v/>
      </c>
      <c r="BR103" s="5">
        <f>IF(AND(BN103,ISNUMBER(BQ103)),(BO103-BQ103)^2,"")</f>
        <v/>
      </c>
      <c r="BS103" s="5">
        <f>IF(BN103,1+SUMPRODUCT(--(calc!$BN$3:$BN$306=TRUE),--(calc!$BO$3:$BO$306&gt;BO103))+(SUMPRODUCT(--(calc!$BN$3:$BN$306=TRUE),--(calc!$BO$3:$BO$306=BO103))-1)/2,"")</f>
        <v/>
      </c>
      <c r="BT103" s="5">
        <f>IF(BN103,1+SUMPRODUCT(--(calc!$BN$3:$BN$306=TRUE),--(calc!$BP$3:$BP$306&gt;BP103))+(SUMPRODUCT(--(calc!$BN$3:$BN$306=TRUE),--(calc!$BP$3:$BP$306=BP103))-1)/2,"")</f>
        <v/>
      </c>
      <c r="BU103" s="5">
        <f>IF(BN103,SUMPRODUCT(--(calc!$BN$3:$BN$306=TRUE),--(ROW(calc!$BN$3:$BN$306)&gt;ROW(BN103)),--(((calc!$BS$3:$BS$306&gt;BS103)*(calc!$BT$3:$BT$306&gt;BT103)+(calc!$BS$3:$BS$306&lt;BS103)*(calc!$BT$3:$BT$306&lt;BT103))&gt;0))-SUMPRODUCT(--(calc!$BN$3:$BN$306=TRUE),--(ROW(calc!$BN$3:$BN$306)&gt;ROW(BN103)),--(((calc!$BS$3:$BS$306&gt;BS103)*(calc!$BT$3:$BT$306&lt;BT103)+(calc!$BS$3:$BS$306&lt;BS103)*(calc!$BT$3:$BT$306&gt;BT103))&gt;0)),0)</f>
        <v/>
      </c>
    </row>
    <row r="104">
      <c r="A104" s="2">
        <f>mos_metrics!A103</f>
        <v/>
      </c>
      <c r="B104" s="2">
        <f>mos_metrics!B103</f>
        <v/>
      </c>
      <c r="C104" s="2">
        <f>mos_metrics!C103</f>
        <v/>
      </c>
      <c r="D104" s="2">
        <f>mos_metrics!D103</f>
        <v/>
      </c>
      <c r="E104" s="2">
        <f>mos_metrics!E103</f>
        <v/>
      </c>
      <c r="F104" s="2">
        <f>mos_metrics!F103</f>
        <v/>
      </c>
      <c r="G104" s="2">
        <f>IF($B104="","",IFERROR(VLOOKUP($B104,correlation!$A$2:$B$16,2,FALSE),1))</f>
        <v/>
      </c>
      <c r="H104" s="2">
        <f>IF($E104="","",IFERROR(VLOOKUP($E104,correlation!$D$2:$E$8,2,FALSE),1))</f>
        <v/>
      </c>
      <c r="I104" s="2">
        <f>ISNUMBER($F104)</f>
        <v/>
      </c>
      <c r="J104" s="2">
        <f>AND($G104=1,$H104=1,$I104)</f>
        <v/>
      </c>
      <c r="K104" s="5">
        <f>IF(mos_metrics!G103="","",mos_metrics!G103)</f>
        <v/>
      </c>
      <c r="L104" s="2">
        <f>AND($J104,ISNUMBER(K104),correlation!$I$26=1)</f>
        <v/>
      </c>
      <c r="M104" s="5">
        <f>IF(L104,$F104,"")</f>
        <v/>
      </c>
      <c r="N104" s="5">
        <f>IF(L104,K104*correlation!$J$26,"")</f>
        <v/>
      </c>
      <c r="O104" s="5">
        <f>IF(AND(L104,ISNUMBER(correlation!$F$26)),N104*correlation!$F$26+correlation!$G$26,"")</f>
        <v/>
      </c>
      <c r="P104" s="5">
        <f>IF(AND(L104,ISNUMBER(O104)),(M104-O104)^2,"")</f>
        <v/>
      </c>
      <c r="Q104" s="5">
        <f>IF(L104,1+SUMPRODUCT(--(calc!$L$3:$L$306=TRUE),--(calc!$M$3:$M$306&gt;M104))+(SUMPRODUCT(--(calc!$L$3:$L$306=TRUE),--(calc!$M$3:$M$306=M104))-1)/2,"")</f>
        <v/>
      </c>
      <c r="R104" s="5">
        <f>IF(L104,1+SUMPRODUCT(--(calc!$L$3:$L$306=TRUE),--(calc!$N$3:$N$306&gt;N104))+(SUMPRODUCT(--(calc!$L$3:$L$306=TRUE),--(calc!$N$3:$N$306=N104))-1)/2,"")</f>
        <v/>
      </c>
      <c r="S104" s="5">
        <f>IF(L104,SUMPRODUCT(--(calc!$L$3:$L$306=TRUE),--(ROW(calc!$L$3:$L$306)&gt;ROW(L104)),--(((calc!$Q$3:$Q$306&gt;Q104)*(calc!$R$3:$R$306&gt;R104)+(calc!$Q$3:$Q$306&lt;Q104)*(calc!$R$3:$R$306&lt;R104))&gt;0))-SUMPRODUCT(--(calc!$L$3:$L$306=TRUE),--(ROW(calc!$L$3:$L$306)&gt;ROW(L104)),--(((calc!$Q$3:$Q$306&gt;Q104)*(calc!$R$3:$R$306&lt;R104)+(calc!$Q$3:$Q$306&lt;Q104)*(calc!$R$3:$R$306&gt;R104))&gt;0)),0)</f>
        <v/>
      </c>
      <c r="T104" s="5">
        <f>IF(mos_metrics!H103="","",mos_metrics!H103)</f>
        <v/>
      </c>
      <c r="U104" s="2">
        <f>AND($J104,ISNUMBER(T104),correlation!$I$27=1)</f>
        <v/>
      </c>
      <c r="V104" s="5">
        <f>IF(U104,$F104,"")</f>
        <v/>
      </c>
      <c r="W104" s="5">
        <f>IF(U104,T104*correlation!$J$27,"")</f>
        <v/>
      </c>
      <c r="X104" s="5">
        <f>IF(AND(U104,ISNUMBER(correlation!$F$27)),W104*correlation!$F$27+correlation!$G$27,"")</f>
        <v/>
      </c>
      <c r="Y104" s="5">
        <f>IF(AND(U104,ISNUMBER(X104)),(V104-X104)^2,"")</f>
        <v/>
      </c>
      <c r="Z104" s="5">
        <f>IF(U104,1+SUMPRODUCT(--(calc!$U$3:$U$306=TRUE),--(calc!$V$3:$V$306&gt;V104))+(SUMPRODUCT(--(calc!$U$3:$U$306=TRUE),--(calc!$V$3:$V$306=V104))-1)/2,"")</f>
        <v/>
      </c>
      <c r="AA104" s="5">
        <f>IF(U104,1+SUMPRODUCT(--(calc!$U$3:$U$306=TRUE),--(calc!$W$3:$W$306&gt;W104))+(SUMPRODUCT(--(calc!$U$3:$U$306=TRUE),--(calc!$W$3:$W$306=W104))-1)/2,"")</f>
        <v/>
      </c>
      <c r="AB104" s="5">
        <f>IF(U104,SUMPRODUCT(--(calc!$U$3:$U$306=TRUE),--(ROW(calc!$U$3:$U$306)&gt;ROW(U104)),--(((calc!$Z$3:$Z$306&gt;Z104)*(calc!$AA$3:$AA$306&gt;AA104)+(calc!$Z$3:$Z$306&lt;Z104)*(calc!$AA$3:$AA$306&lt;AA104))&gt;0))-SUMPRODUCT(--(calc!$U$3:$U$306=TRUE),--(ROW(calc!$U$3:$U$306)&gt;ROW(U104)),--(((calc!$Z$3:$Z$306&gt;Z104)*(calc!$AA$3:$AA$306&lt;AA104)+(calc!$Z$3:$Z$306&lt;Z104)*(calc!$AA$3:$AA$306&gt;AA104))&gt;0)),0)</f>
        <v/>
      </c>
      <c r="AC104" s="5">
        <f>IF(mos_metrics!I103="","",mos_metrics!I103)</f>
        <v/>
      </c>
      <c r="AD104" s="2">
        <f>AND($J104,ISNUMBER(AC104),correlation!$I$28=1)</f>
        <v/>
      </c>
      <c r="AE104" s="5">
        <f>IF(AD104,$F104,"")</f>
        <v/>
      </c>
      <c r="AF104" s="5">
        <f>IF(AD104,AC104*correlation!$J$28,"")</f>
        <v/>
      </c>
      <c r="AG104" s="5">
        <f>IF(AND(AD104,ISNUMBER(correlation!$F$28)),AF104*correlation!$F$28+correlation!$G$28,"")</f>
        <v/>
      </c>
      <c r="AH104" s="5">
        <f>IF(AND(AD104,ISNUMBER(AG104)),(AE104-AG104)^2,"")</f>
        <v/>
      </c>
      <c r="AI104" s="5">
        <f>IF(AD104,1+SUMPRODUCT(--(calc!$AD$3:$AD$306=TRUE),--(calc!$AE$3:$AE$306&gt;AE104))+(SUMPRODUCT(--(calc!$AD$3:$AD$306=TRUE),--(calc!$AE$3:$AE$306=AE104))-1)/2,"")</f>
        <v/>
      </c>
      <c r="AJ104" s="5">
        <f>IF(AD104,1+SUMPRODUCT(--(calc!$AD$3:$AD$306=TRUE),--(calc!$AF$3:$AF$306&gt;AF104))+(SUMPRODUCT(--(calc!$AD$3:$AD$306=TRUE),--(calc!$AF$3:$AF$306=AF104))-1)/2,"")</f>
        <v/>
      </c>
      <c r="AK104" s="5">
        <f>IF(AD104,SUMPRODUCT(--(calc!$AD$3:$AD$306=TRUE),--(ROW(calc!$AD$3:$AD$306)&gt;ROW(AD104)),--(((calc!$AI$3:$AI$306&gt;AI104)*(calc!$AJ$3:$AJ$306&gt;AJ104)+(calc!$AI$3:$AI$306&lt;AI104)*(calc!$AJ$3:$AJ$306&lt;AJ104))&gt;0))-SUMPRODUCT(--(calc!$AD$3:$AD$306=TRUE),--(ROW(calc!$AD$3:$AD$306)&gt;ROW(AD104)),--(((calc!$AI$3:$AI$306&gt;AI104)*(calc!$AJ$3:$AJ$306&lt;AJ104)+(calc!$AI$3:$AI$306&lt;AI104)*(calc!$AJ$3:$AJ$306&gt;AJ104))&gt;0)),0)</f>
        <v/>
      </c>
      <c r="AL104" s="5">
        <f>IF(mos_metrics!J103="","",mos_metrics!J103)</f>
        <v/>
      </c>
      <c r="AM104" s="2">
        <f>AND($J104,ISNUMBER(AL104),correlation!$I$29=1)</f>
        <v/>
      </c>
      <c r="AN104" s="5">
        <f>IF(AM104,$F104,"")</f>
        <v/>
      </c>
      <c r="AO104" s="5">
        <f>IF(AM104,AL104*correlation!$J$29,"")</f>
        <v/>
      </c>
      <c r="AP104" s="5">
        <f>IF(AND(AM104,ISNUMBER(correlation!$F$29)),AO104*correlation!$F$29+correlation!$G$29,"")</f>
        <v/>
      </c>
      <c r="AQ104" s="5">
        <f>IF(AND(AM104,ISNUMBER(AP104)),(AN104-AP104)^2,"")</f>
        <v/>
      </c>
      <c r="AR104" s="5">
        <f>IF(AM104,1+SUMPRODUCT(--(calc!$AM$3:$AM$306=TRUE),--(calc!$AN$3:$AN$306&gt;AN104))+(SUMPRODUCT(--(calc!$AM$3:$AM$306=TRUE),--(calc!$AN$3:$AN$306=AN104))-1)/2,"")</f>
        <v/>
      </c>
      <c r="AS104" s="5">
        <f>IF(AM104,1+SUMPRODUCT(--(calc!$AM$3:$AM$306=TRUE),--(calc!$AO$3:$AO$306&gt;AO104))+(SUMPRODUCT(--(calc!$AM$3:$AM$306=TRUE),--(calc!$AO$3:$AO$306=AO104))-1)/2,"")</f>
        <v/>
      </c>
      <c r="AT104" s="5">
        <f>IF(AM104,SUMPRODUCT(--(calc!$AM$3:$AM$306=TRUE),--(ROW(calc!$AM$3:$AM$306)&gt;ROW(AM104)),--(((calc!$AR$3:$AR$306&gt;AR104)*(calc!$AS$3:$AS$306&gt;AS104)+(calc!$AR$3:$AR$306&lt;AR104)*(calc!$AS$3:$AS$306&lt;AS104))&gt;0))-SUMPRODUCT(--(calc!$AM$3:$AM$306=TRUE),--(ROW(calc!$AM$3:$AM$306)&gt;ROW(AM104)),--(((calc!$AR$3:$AR$306&gt;AR104)*(calc!$AS$3:$AS$306&lt;AS104)+(calc!$AR$3:$AR$306&lt;AR104)*(calc!$AS$3:$AS$306&gt;AS104))&gt;0)),0)</f>
        <v/>
      </c>
      <c r="AU104" s="5">
        <f>IF(mos_metrics!K103="","",mos_metrics!K103)</f>
        <v/>
      </c>
      <c r="AV104" s="2">
        <f>AND($J104,ISNUMBER(AU104),correlation!$I$30=1)</f>
        <v/>
      </c>
      <c r="AW104" s="5">
        <f>IF(AV104,$F104,"")</f>
        <v/>
      </c>
      <c r="AX104" s="5">
        <f>IF(AV104,AU104*correlation!$J$30,"")</f>
        <v/>
      </c>
      <c r="AY104" s="5">
        <f>IF(AND(AV104,ISNUMBER(correlation!$F$30)),AX104*correlation!$F$30+correlation!$G$30,"")</f>
        <v/>
      </c>
      <c r="AZ104" s="5">
        <f>IF(AND(AV104,ISNUMBER(AY104)),(AW104-AY104)^2,"")</f>
        <v/>
      </c>
      <c r="BA104" s="5">
        <f>IF(AV104,1+SUMPRODUCT(--(calc!$AV$3:$AV$306=TRUE),--(calc!$AW$3:$AW$306&gt;AW104))+(SUMPRODUCT(--(calc!$AV$3:$AV$306=TRUE),--(calc!$AW$3:$AW$306=AW104))-1)/2,"")</f>
        <v/>
      </c>
      <c r="BB104" s="5">
        <f>IF(AV104,1+SUMPRODUCT(--(calc!$AV$3:$AV$306=TRUE),--(calc!$AX$3:$AX$306&gt;AX104))+(SUMPRODUCT(--(calc!$AV$3:$AV$306=TRUE),--(calc!$AX$3:$AX$306=AX104))-1)/2,"")</f>
        <v/>
      </c>
      <c r="BC104" s="5">
        <f>IF(AV104,SUMPRODUCT(--(calc!$AV$3:$AV$306=TRUE),--(ROW(calc!$AV$3:$AV$306)&gt;ROW(AV104)),--(((calc!$BA$3:$BA$306&gt;BA104)*(calc!$BB$3:$BB$306&gt;BB104)+(calc!$BA$3:$BA$306&lt;BA104)*(calc!$BB$3:$BB$306&lt;BB104))&gt;0))-SUMPRODUCT(--(calc!$AV$3:$AV$306=TRUE),--(ROW(calc!$AV$3:$AV$306)&gt;ROW(AV104)),--(((calc!$BA$3:$BA$306&gt;BA104)*(calc!$BB$3:$BB$306&lt;BB104)+(calc!$BA$3:$BA$306&lt;BA104)*(calc!$BB$3:$BB$306&gt;BB104))&gt;0)),0)</f>
        <v/>
      </c>
      <c r="BD104" s="5">
        <f>IF(mos_metrics!L103="","",mos_metrics!L103)</f>
        <v/>
      </c>
      <c r="BE104" s="2">
        <f>AND($J104,ISNUMBER(BD104),correlation!$I$31=1)</f>
        <v/>
      </c>
      <c r="BF104" s="5">
        <f>IF(BE104,$F104,"")</f>
        <v/>
      </c>
      <c r="BG104" s="5">
        <f>IF(BE104,BD104*correlation!$J$31,"")</f>
        <v/>
      </c>
      <c r="BH104" s="5">
        <f>IF(AND(BE104,ISNUMBER(correlation!$F$31)),BG104*correlation!$F$31+correlation!$G$31,"")</f>
        <v/>
      </c>
      <c r="BI104" s="5">
        <f>IF(AND(BE104,ISNUMBER(BH104)),(BF104-BH104)^2,"")</f>
        <v/>
      </c>
      <c r="BJ104" s="5">
        <f>IF(BE104,1+SUMPRODUCT(--(calc!$BE$3:$BE$306=TRUE),--(calc!$BF$3:$BF$306&gt;BF104))+(SUMPRODUCT(--(calc!$BE$3:$BE$306=TRUE),--(calc!$BF$3:$BF$306=BF104))-1)/2,"")</f>
        <v/>
      </c>
      <c r="BK104" s="5">
        <f>IF(BE104,1+SUMPRODUCT(--(calc!$BE$3:$BE$306=TRUE),--(calc!$BG$3:$BG$306&gt;BG104))+(SUMPRODUCT(--(calc!$BE$3:$BE$306=TRUE),--(calc!$BG$3:$BG$306=BG104))-1)/2,"")</f>
        <v/>
      </c>
      <c r="BL104" s="5">
        <f>IF(BE104,SUMPRODUCT(--(calc!$BE$3:$BE$306=TRUE),--(ROW(calc!$BE$3:$BE$306)&gt;ROW(BE104)),--(((calc!$BJ$3:$BJ$306&gt;BJ104)*(calc!$BK$3:$BK$306&gt;BK104)+(calc!$BJ$3:$BJ$306&lt;BJ104)*(calc!$BK$3:$BK$306&lt;BK104))&gt;0))-SUMPRODUCT(--(calc!$BE$3:$BE$306=TRUE),--(ROW(calc!$BE$3:$BE$306)&gt;ROW(BE104)),--(((calc!$BJ$3:$BJ$306&gt;BJ104)*(calc!$BK$3:$BK$306&lt;BK104)+(calc!$BJ$3:$BJ$306&lt;BJ104)*(calc!$BK$3:$BK$306&gt;BK104))&gt;0)),0)</f>
        <v/>
      </c>
      <c r="BM104" s="5">
        <f>IF(mos_metrics!M103="","",mos_metrics!M103)</f>
        <v/>
      </c>
      <c r="BN104" s="2">
        <f>AND($J104,ISNUMBER(BM104),correlation!$I$32=1)</f>
        <v/>
      </c>
      <c r="BO104" s="5">
        <f>IF(BN104,$F104,"")</f>
        <v/>
      </c>
      <c r="BP104" s="5">
        <f>IF(BN104,BM104*correlation!$J$32,"")</f>
        <v/>
      </c>
      <c r="BQ104" s="5">
        <f>IF(AND(BN104,ISNUMBER(correlation!$F$32)),BP104*correlation!$F$32+correlation!$G$32,"")</f>
        <v/>
      </c>
      <c r="BR104" s="5">
        <f>IF(AND(BN104,ISNUMBER(BQ104)),(BO104-BQ104)^2,"")</f>
        <v/>
      </c>
      <c r="BS104" s="5">
        <f>IF(BN104,1+SUMPRODUCT(--(calc!$BN$3:$BN$306=TRUE),--(calc!$BO$3:$BO$306&gt;BO104))+(SUMPRODUCT(--(calc!$BN$3:$BN$306=TRUE),--(calc!$BO$3:$BO$306=BO104))-1)/2,"")</f>
        <v/>
      </c>
      <c r="BT104" s="5">
        <f>IF(BN104,1+SUMPRODUCT(--(calc!$BN$3:$BN$306=TRUE),--(calc!$BP$3:$BP$306&gt;BP104))+(SUMPRODUCT(--(calc!$BN$3:$BN$306=TRUE),--(calc!$BP$3:$BP$306=BP104))-1)/2,"")</f>
        <v/>
      </c>
      <c r="BU104" s="5">
        <f>IF(BN104,SUMPRODUCT(--(calc!$BN$3:$BN$306=TRUE),--(ROW(calc!$BN$3:$BN$306)&gt;ROW(BN104)),--(((calc!$BS$3:$BS$306&gt;BS104)*(calc!$BT$3:$BT$306&gt;BT104)+(calc!$BS$3:$BS$306&lt;BS104)*(calc!$BT$3:$BT$306&lt;BT104))&gt;0))-SUMPRODUCT(--(calc!$BN$3:$BN$306=TRUE),--(ROW(calc!$BN$3:$BN$306)&gt;ROW(BN104)),--(((calc!$BS$3:$BS$306&gt;BS104)*(calc!$BT$3:$BT$306&lt;BT104)+(calc!$BS$3:$BS$306&lt;BS104)*(calc!$BT$3:$BT$306&gt;BT104))&gt;0)),0)</f>
        <v/>
      </c>
    </row>
    <row r="105">
      <c r="A105" s="2">
        <f>mos_metrics!A104</f>
        <v/>
      </c>
      <c r="B105" s="2">
        <f>mos_metrics!B104</f>
        <v/>
      </c>
      <c r="C105" s="2">
        <f>mos_metrics!C104</f>
        <v/>
      </c>
      <c r="D105" s="2">
        <f>mos_metrics!D104</f>
        <v/>
      </c>
      <c r="E105" s="2">
        <f>mos_metrics!E104</f>
        <v/>
      </c>
      <c r="F105" s="2">
        <f>mos_metrics!F104</f>
        <v/>
      </c>
      <c r="G105" s="2">
        <f>IF($B105="","",IFERROR(VLOOKUP($B105,correlation!$A$2:$B$16,2,FALSE),1))</f>
        <v/>
      </c>
      <c r="H105" s="2">
        <f>IF($E105="","",IFERROR(VLOOKUP($E105,correlation!$D$2:$E$8,2,FALSE),1))</f>
        <v/>
      </c>
      <c r="I105" s="2">
        <f>ISNUMBER($F105)</f>
        <v/>
      </c>
      <c r="J105" s="2">
        <f>AND($G105=1,$H105=1,$I105)</f>
        <v/>
      </c>
      <c r="K105" s="5">
        <f>IF(mos_metrics!G104="","",mos_metrics!G104)</f>
        <v/>
      </c>
      <c r="L105" s="2">
        <f>AND($J105,ISNUMBER(K105),correlation!$I$26=1)</f>
        <v/>
      </c>
      <c r="M105" s="5">
        <f>IF(L105,$F105,"")</f>
        <v/>
      </c>
      <c r="N105" s="5">
        <f>IF(L105,K105*correlation!$J$26,"")</f>
        <v/>
      </c>
      <c r="O105" s="5">
        <f>IF(AND(L105,ISNUMBER(correlation!$F$26)),N105*correlation!$F$26+correlation!$G$26,"")</f>
        <v/>
      </c>
      <c r="P105" s="5">
        <f>IF(AND(L105,ISNUMBER(O105)),(M105-O105)^2,"")</f>
        <v/>
      </c>
      <c r="Q105" s="5">
        <f>IF(L105,1+SUMPRODUCT(--(calc!$L$3:$L$306=TRUE),--(calc!$M$3:$M$306&gt;M105))+(SUMPRODUCT(--(calc!$L$3:$L$306=TRUE),--(calc!$M$3:$M$306=M105))-1)/2,"")</f>
        <v/>
      </c>
      <c r="R105" s="5">
        <f>IF(L105,1+SUMPRODUCT(--(calc!$L$3:$L$306=TRUE),--(calc!$N$3:$N$306&gt;N105))+(SUMPRODUCT(--(calc!$L$3:$L$306=TRUE),--(calc!$N$3:$N$306=N105))-1)/2,"")</f>
        <v/>
      </c>
      <c r="S105" s="5">
        <f>IF(L105,SUMPRODUCT(--(calc!$L$3:$L$306=TRUE),--(ROW(calc!$L$3:$L$306)&gt;ROW(L105)),--(((calc!$Q$3:$Q$306&gt;Q105)*(calc!$R$3:$R$306&gt;R105)+(calc!$Q$3:$Q$306&lt;Q105)*(calc!$R$3:$R$306&lt;R105))&gt;0))-SUMPRODUCT(--(calc!$L$3:$L$306=TRUE),--(ROW(calc!$L$3:$L$306)&gt;ROW(L105)),--(((calc!$Q$3:$Q$306&gt;Q105)*(calc!$R$3:$R$306&lt;R105)+(calc!$Q$3:$Q$306&lt;Q105)*(calc!$R$3:$R$306&gt;R105))&gt;0)),0)</f>
        <v/>
      </c>
      <c r="T105" s="5">
        <f>IF(mos_metrics!H104="","",mos_metrics!H104)</f>
        <v/>
      </c>
      <c r="U105" s="2">
        <f>AND($J105,ISNUMBER(T105),correlation!$I$27=1)</f>
        <v/>
      </c>
      <c r="V105" s="5">
        <f>IF(U105,$F105,"")</f>
        <v/>
      </c>
      <c r="W105" s="5">
        <f>IF(U105,T105*correlation!$J$27,"")</f>
        <v/>
      </c>
      <c r="X105" s="5">
        <f>IF(AND(U105,ISNUMBER(correlation!$F$27)),W105*correlation!$F$27+correlation!$G$27,"")</f>
        <v/>
      </c>
      <c r="Y105" s="5">
        <f>IF(AND(U105,ISNUMBER(X105)),(V105-X105)^2,"")</f>
        <v/>
      </c>
      <c r="Z105" s="5">
        <f>IF(U105,1+SUMPRODUCT(--(calc!$U$3:$U$306=TRUE),--(calc!$V$3:$V$306&gt;V105))+(SUMPRODUCT(--(calc!$U$3:$U$306=TRUE),--(calc!$V$3:$V$306=V105))-1)/2,"")</f>
        <v/>
      </c>
      <c r="AA105" s="5">
        <f>IF(U105,1+SUMPRODUCT(--(calc!$U$3:$U$306=TRUE),--(calc!$W$3:$W$306&gt;W105))+(SUMPRODUCT(--(calc!$U$3:$U$306=TRUE),--(calc!$W$3:$W$306=W105))-1)/2,"")</f>
        <v/>
      </c>
      <c r="AB105" s="5">
        <f>IF(U105,SUMPRODUCT(--(calc!$U$3:$U$306=TRUE),--(ROW(calc!$U$3:$U$306)&gt;ROW(U105)),--(((calc!$Z$3:$Z$306&gt;Z105)*(calc!$AA$3:$AA$306&gt;AA105)+(calc!$Z$3:$Z$306&lt;Z105)*(calc!$AA$3:$AA$306&lt;AA105))&gt;0))-SUMPRODUCT(--(calc!$U$3:$U$306=TRUE),--(ROW(calc!$U$3:$U$306)&gt;ROW(U105)),--(((calc!$Z$3:$Z$306&gt;Z105)*(calc!$AA$3:$AA$306&lt;AA105)+(calc!$Z$3:$Z$306&lt;Z105)*(calc!$AA$3:$AA$306&gt;AA105))&gt;0)),0)</f>
        <v/>
      </c>
      <c r="AC105" s="5">
        <f>IF(mos_metrics!I104="","",mos_metrics!I104)</f>
        <v/>
      </c>
      <c r="AD105" s="2">
        <f>AND($J105,ISNUMBER(AC105),correlation!$I$28=1)</f>
        <v/>
      </c>
      <c r="AE105" s="5">
        <f>IF(AD105,$F105,"")</f>
        <v/>
      </c>
      <c r="AF105" s="5">
        <f>IF(AD105,AC105*correlation!$J$28,"")</f>
        <v/>
      </c>
      <c r="AG105" s="5">
        <f>IF(AND(AD105,ISNUMBER(correlation!$F$28)),AF105*correlation!$F$28+correlation!$G$28,"")</f>
        <v/>
      </c>
      <c r="AH105" s="5">
        <f>IF(AND(AD105,ISNUMBER(AG105)),(AE105-AG105)^2,"")</f>
        <v/>
      </c>
      <c r="AI105" s="5">
        <f>IF(AD105,1+SUMPRODUCT(--(calc!$AD$3:$AD$306=TRUE),--(calc!$AE$3:$AE$306&gt;AE105))+(SUMPRODUCT(--(calc!$AD$3:$AD$306=TRUE),--(calc!$AE$3:$AE$306=AE105))-1)/2,"")</f>
        <v/>
      </c>
      <c r="AJ105" s="5">
        <f>IF(AD105,1+SUMPRODUCT(--(calc!$AD$3:$AD$306=TRUE),--(calc!$AF$3:$AF$306&gt;AF105))+(SUMPRODUCT(--(calc!$AD$3:$AD$306=TRUE),--(calc!$AF$3:$AF$306=AF105))-1)/2,"")</f>
        <v/>
      </c>
      <c r="AK105" s="5">
        <f>IF(AD105,SUMPRODUCT(--(calc!$AD$3:$AD$306=TRUE),--(ROW(calc!$AD$3:$AD$306)&gt;ROW(AD105)),--(((calc!$AI$3:$AI$306&gt;AI105)*(calc!$AJ$3:$AJ$306&gt;AJ105)+(calc!$AI$3:$AI$306&lt;AI105)*(calc!$AJ$3:$AJ$306&lt;AJ105))&gt;0))-SUMPRODUCT(--(calc!$AD$3:$AD$306=TRUE),--(ROW(calc!$AD$3:$AD$306)&gt;ROW(AD105)),--(((calc!$AI$3:$AI$306&gt;AI105)*(calc!$AJ$3:$AJ$306&lt;AJ105)+(calc!$AI$3:$AI$306&lt;AI105)*(calc!$AJ$3:$AJ$306&gt;AJ105))&gt;0)),0)</f>
        <v/>
      </c>
      <c r="AL105" s="5">
        <f>IF(mos_metrics!J104="","",mos_metrics!J104)</f>
        <v/>
      </c>
      <c r="AM105" s="2">
        <f>AND($J105,ISNUMBER(AL105),correlation!$I$29=1)</f>
        <v/>
      </c>
      <c r="AN105" s="5">
        <f>IF(AM105,$F105,"")</f>
        <v/>
      </c>
      <c r="AO105" s="5">
        <f>IF(AM105,AL105*correlation!$J$29,"")</f>
        <v/>
      </c>
      <c r="AP105" s="5">
        <f>IF(AND(AM105,ISNUMBER(correlation!$F$29)),AO105*correlation!$F$29+correlation!$G$29,"")</f>
        <v/>
      </c>
      <c r="AQ105" s="5">
        <f>IF(AND(AM105,ISNUMBER(AP105)),(AN105-AP105)^2,"")</f>
        <v/>
      </c>
      <c r="AR105" s="5">
        <f>IF(AM105,1+SUMPRODUCT(--(calc!$AM$3:$AM$306=TRUE),--(calc!$AN$3:$AN$306&gt;AN105))+(SUMPRODUCT(--(calc!$AM$3:$AM$306=TRUE),--(calc!$AN$3:$AN$306=AN105))-1)/2,"")</f>
        <v/>
      </c>
      <c r="AS105" s="5">
        <f>IF(AM105,1+SUMPRODUCT(--(calc!$AM$3:$AM$306=TRUE),--(calc!$AO$3:$AO$306&gt;AO105))+(SUMPRODUCT(--(calc!$AM$3:$AM$306=TRUE),--(calc!$AO$3:$AO$306=AO105))-1)/2,"")</f>
        <v/>
      </c>
      <c r="AT105" s="5">
        <f>IF(AM105,SUMPRODUCT(--(calc!$AM$3:$AM$306=TRUE),--(ROW(calc!$AM$3:$AM$306)&gt;ROW(AM105)),--(((calc!$AR$3:$AR$306&gt;AR105)*(calc!$AS$3:$AS$306&gt;AS105)+(calc!$AR$3:$AR$306&lt;AR105)*(calc!$AS$3:$AS$306&lt;AS105))&gt;0))-SUMPRODUCT(--(calc!$AM$3:$AM$306=TRUE),--(ROW(calc!$AM$3:$AM$306)&gt;ROW(AM105)),--(((calc!$AR$3:$AR$306&gt;AR105)*(calc!$AS$3:$AS$306&lt;AS105)+(calc!$AR$3:$AR$306&lt;AR105)*(calc!$AS$3:$AS$306&gt;AS105))&gt;0)),0)</f>
        <v/>
      </c>
      <c r="AU105" s="5">
        <f>IF(mos_metrics!K104="","",mos_metrics!K104)</f>
        <v/>
      </c>
      <c r="AV105" s="2">
        <f>AND($J105,ISNUMBER(AU105),correlation!$I$30=1)</f>
        <v/>
      </c>
      <c r="AW105" s="5">
        <f>IF(AV105,$F105,"")</f>
        <v/>
      </c>
      <c r="AX105" s="5">
        <f>IF(AV105,AU105*correlation!$J$30,"")</f>
        <v/>
      </c>
      <c r="AY105" s="5">
        <f>IF(AND(AV105,ISNUMBER(correlation!$F$30)),AX105*correlation!$F$30+correlation!$G$30,"")</f>
        <v/>
      </c>
      <c r="AZ105" s="5">
        <f>IF(AND(AV105,ISNUMBER(AY105)),(AW105-AY105)^2,"")</f>
        <v/>
      </c>
      <c r="BA105" s="5">
        <f>IF(AV105,1+SUMPRODUCT(--(calc!$AV$3:$AV$306=TRUE),--(calc!$AW$3:$AW$306&gt;AW105))+(SUMPRODUCT(--(calc!$AV$3:$AV$306=TRUE),--(calc!$AW$3:$AW$306=AW105))-1)/2,"")</f>
        <v/>
      </c>
      <c r="BB105" s="5">
        <f>IF(AV105,1+SUMPRODUCT(--(calc!$AV$3:$AV$306=TRUE),--(calc!$AX$3:$AX$306&gt;AX105))+(SUMPRODUCT(--(calc!$AV$3:$AV$306=TRUE),--(calc!$AX$3:$AX$306=AX105))-1)/2,"")</f>
        <v/>
      </c>
      <c r="BC105" s="5">
        <f>IF(AV105,SUMPRODUCT(--(calc!$AV$3:$AV$306=TRUE),--(ROW(calc!$AV$3:$AV$306)&gt;ROW(AV105)),--(((calc!$BA$3:$BA$306&gt;BA105)*(calc!$BB$3:$BB$306&gt;BB105)+(calc!$BA$3:$BA$306&lt;BA105)*(calc!$BB$3:$BB$306&lt;BB105))&gt;0))-SUMPRODUCT(--(calc!$AV$3:$AV$306=TRUE),--(ROW(calc!$AV$3:$AV$306)&gt;ROW(AV105)),--(((calc!$BA$3:$BA$306&gt;BA105)*(calc!$BB$3:$BB$306&lt;BB105)+(calc!$BA$3:$BA$306&lt;BA105)*(calc!$BB$3:$BB$306&gt;BB105))&gt;0)),0)</f>
        <v/>
      </c>
      <c r="BD105" s="5">
        <f>IF(mos_metrics!L104="","",mos_metrics!L104)</f>
        <v/>
      </c>
      <c r="BE105" s="2">
        <f>AND($J105,ISNUMBER(BD105),correlation!$I$31=1)</f>
        <v/>
      </c>
      <c r="BF105" s="5">
        <f>IF(BE105,$F105,"")</f>
        <v/>
      </c>
      <c r="BG105" s="5">
        <f>IF(BE105,BD105*correlation!$J$31,"")</f>
        <v/>
      </c>
      <c r="BH105" s="5">
        <f>IF(AND(BE105,ISNUMBER(correlation!$F$31)),BG105*correlation!$F$31+correlation!$G$31,"")</f>
        <v/>
      </c>
      <c r="BI105" s="5">
        <f>IF(AND(BE105,ISNUMBER(BH105)),(BF105-BH105)^2,"")</f>
        <v/>
      </c>
      <c r="BJ105" s="5">
        <f>IF(BE105,1+SUMPRODUCT(--(calc!$BE$3:$BE$306=TRUE),--(calc!$BF$3:$BF$306&gt;BF105))+(SUMPRODUCT(--(calc!$BE$3:$BE$306=TRUE),--(calc!$BF$3:$BF$306=BF105))-1)/2,"")</f>
        <v/>
      </c>
      <c r="BK105" s="5">
        <f>IF(BE105,1+SUMPRODUCT(--(calc!$BE$3:$BE$306=TRUE),--(calc!$BG$3:$BG$306&gt;BG105))+(SUMPRODUCT(--(calc!$BE$3:$BE$306=TRUE),--(calc!$BG$3:$BG$306=BG105))-1)/2,"")</f>
        <v/>
      </c>
      <c r="BL105" s="5">
        <f>IF(BE105,SUMPRODUCT(--(calc!$BE$3:$BE$306=TRUE),--(ROW(calc!$BE$3:$BE$306)&gt;ROW(BE105)),--(((calc!$BJ$3:$BJ$306&gt;BJ105)*(calc!$BK$3:$BK$306&gt;BK105)+(calc!$BJ$3:$BJ$306&lt;BJ105)*(calc!$BK$3:$BK$306&lt;BK105))&gt;0))-SUMPRODUCT(--(calc!$BE$3:$BE$306=TRUE),--(ROW(calc!$BE$3:$BE$306)&gt;ROW(BE105)),--(((calc!$BJ$3:$BJ$306&gt;BJ105)*(calc!$BK$3:$BK$306&lt;BK105)+(calc!$BJ$3:$BJ$306&lt;BJ105)*(calc!$BK$3:$BK$306&gt;BK105))&gt;0)),0)</f>
        <v/>
      </c>
      <c r="BM105" s="5">
        <f>IF(mos_metrics!M104="","",mos_metrics!M104)</f>
        <v/>
      </c>
      <c r="BN105" s="2">
        <f>AND($J105,ISNUMBER(BM105),correlation!$I$32=1)</f>
        <v/>
      </c>
      <c r="BO105" s="5">
        <f>IF(BN105,$F105,"")</f>
        <v/>
      </c>
      <c r="BP105" s="5">
        <f>IF(BN105,BM105*correlation!$J$32,"")</f>
        <v/>
      </c>
      <c r="BQ105" s="5">
        <f>IF(AND(BN105,ISNUMBER(correlation!$F$32)),BP105*correlation!$F$32+correlation!$G$32,"")</f>
        <v/>
      </c>
      <c r="BR105" s="5">
        <f>IF(AND(BN105,ISNUMBER(BQ105)),(BO105-BQ105)^2,"")</f>
        <v/>
      </c>
      <c r="BS105" s="5">
        <f>IF(BN105,1+SUMPRODUCT(--(calc!$BN$3:$BN$306=TRUE),--(calc!$BO$3:$BO$306&gt;BO105))+(SUMPRODUCT(--(calc!$BN$3:$BN$306=TRUE),--(calc!$BO$3:$BO$306=BO105))-1)/2,"")</f>
        <v/>
      </c>
      <c r="BT105" s="5">
        <f>IF(BN105,1+SUMPRODUCT(--(calc!$BN$3:$BN$306=TRUE),--(calc!$BP$3:$BP$306&gt;BP105))+(SUMPRODUCT(--(calc!$BN$3:$BN$306=TRUE),--(calc!$BP$3:$BP$306=BP105))-1)/2,"")</f>
        <v/>
      </c>
      <c r="BU105" s="5">
        <f>IF(BN105,SUMPRODUCT(--(calc!$BN$3:$BN$306=TRUE),--(ROW(calc!$BN$3:$BN$306)&gt;ROW(BN105)),--(((calc!$BS$3:$BS$306&gt;BS105)*(calc!$BT$3:$BT$306&gt;BT105)+(calc!$BS$3:$BS$306&lt;BS105)*(calc!$BT$3:$BT$306&lt;BT105))&gt;0))-SUMPRODUCT(--(calc!$BN$3:$BN$306=TRUE),--(ROW(calc!$BN$3:$BN$306)&gt;ROW(BN105)),--(((calc!$BS$3:$BS$306&gt;BS105)*(calc!$BT$3:$BT$306&lt;BT105)+(calc!$BS$3:$BS$306&lt;BS105)*(calc!$BT$3:$BT$306&gt;BT105))&gt;0)),0)</f>
        <v/>
      </c>
    </row>
    <row r="106">
      <c r="A106" s="2">
        <f>mos_metrics!A105</f>
        <v/>
      </c>
      <c r="B106" s="2">
        <f>mos_metrics!B105</f>
        <v/>
      </c>
      <c r="C106" s="2">
        <f>mos_metrics!C105</f>
        <v/>
      </c>
      <c r="D106" s="2">
        <f>mos_metrics!D105</f>
        <v/>
      </c>
      <c r="E106" s="2">
        <f>mos_metrics!E105</f>
        <v/>
      </c>
      <c r="F106" s="2">
        <f>mos_metrics!F105</f>
        <v/>
      </c>
      <c r="G106" s="2">
        <f>IF($B106="","",IFERROR(VLOOKUP($B106,correlation!$A$2:$B$16,2,FALSE),1))</f>
        <v/>
      </c>
      <c r="H106" s="2">
        <f>IF($E106="","",IFERROR(VLOOKUP($E106,correlation!$D$2:$E$8,2,FALSE),1))</f>
        <v/>
      </c>
      <c r="I106" s="2">
        <f>ISNUMBER($F106)</f>
        <v/>
      </c>
      <c r="J106" s="2">
        <f>AND($G106=1,$H106=1,$I106)</f>
        <v/>
      </c>
      <c r="K106" s="5">
        <f>IF(mos_metrics!G105="","",mos_metrics!G105)</f>
        <v/>
      </c>
      <c r="L106" s="2">
        <f>AND($J106,ISNUMBER(K106),correlation!$I$26=1)</f>
        <v/>
      </c>
      <c r="M106" s="5">
        <f>IF(L106,$F106,"")</f>
        <v/>
      </c>
      <c r="N106" s="5">
        <f>IF(L106,K106*correlation!$J$26,"")</f>
        <v/>
      </c>
      <c r="O106" s="5">
        <f>IF(AND(L106,ISNUMBER(correlation!$F$26)),N106*correlation!$F$26+correlation!$G$26,"")</f>
        <v/>
      </c>
      <c r="P106" s="5">
        <f>IF(AND(L106,ISNUMBER(O106)),(M106-O106)^2,"")</f>
        <v/>
      </c>
      <c r="Q106" s="5">
        <f>IF(L106,1+SUMPRODUCT(--(calc!$L$3:$L$306=TRUE),--(calc!$M$3:$M$306&gt;M106))+(SUMPRODUCT(--(calc!$L$3:$L$306=TRUE),--(calc!$M$3:$M$306=M106))-1)/2,"")</f>
        <v/>
      </c>
      <c r="R106" s="5">
        <f>IF(L106,1+SUMPRODUCT(--(calc!$L$3:$L$306=TRUE),--(calc!$N$3:$N$306&gt;N106))+(SUMPRODUCT(--(calc!$L$3:$L$306=TRUE),--(calc!$N$3:$N$306=N106))-1)/2,"")</f>
        <v/>
      </c>
      <c r="S106" s="5">
        <f>IF(L106,SUMPRODUCT(--(calc!$L$3:$L$306=TRUE),--(ROW(calc!$L$3:$L$306)&gt;ROW(L106)),--(((calc!$Q$3:$Q$306&gt;Q106)*(calc!$R$3:$R$306&gt;R106)+(calc!$Q$3:$Q$306&lt;Q106)*(calc!$R$3:$R$306&lt;R106))&gt;0))-SUMPRODUCT(--(calc!$L$3:$L$306=TRUE),--(ROW(calc!$L$3:$L$306)&gt;ROW(L106)),--(((calc!$Q$3:$Q$306&gt;Q106)*(calc!$R$3:$R$306&lt;R106)+(calc!$Q$3:$Q$306&lt;Q106)*(calc!$R$3:$R$306&gt;R106))&gt;0)),0)</f>
        <v/>
      </c>
      <c r="T106" s="5">
        <f>IF(mos_metrics!H105="","",mos_metrics!H105)</f>
        <v/>
      </c>
      <c r="U106" s="2">
        <f>AND($J106,ISNUMBER(T106),correlation!$I$27=1)</f>
        <v/>
      </c>
      <c r="V106" s="5">
        <f>IF(U106,$F106,"")</f>
        <v/>
      </c>
      <c r="W106" s="5">
        <f>IF(U106,T106*correlation!$J$27,"")</f>
        <v/>
      </c>
      <c r="X106" s="5">
        <f>IF(AND(U106,ISNUMBER(correlation!$F$27)),W106*correlation!$F$27+correlation!$G$27,"")</f>
        <v/>
      </c>
      <c r="Y106" s="5">
        <f>IF(AND(U106,ISNUMBER(X106)),(V106-X106)^2,"")</f>
        <v/>
      </c>
      <c r="Z106" s="5">
        <f>IF(U106,1+SUMPRODUCT(--(calc!$U$3:$U$306=TRUE),--(calc!$V$3:$V$306&gt;V106))+(SUMPRODUCT(--(calc!$U$3:$U$306=TRUE),--(calc!$V$3:$V$306=V106))-1)/2,"")</f>
        <v/>
      </c>
      <c r="AA106" s="5">
        <f>IF(U106,1+SUMPRODUCT(--(calc!$U$3:$U$306=TRUE),--(calc!$W$3:$W$306&gt;W106))+(SUMPRODUCT(--(calc!$U$3:$U$306=TRUE),--(calc!$W$3:$W$306=W106))-1)/2,"")</f>
        <v/>
      </c>
      <c r="AB106" s="5">
        <f>IF(U106,SUMPRODUCT(--(calc!$U$3:$U$306=TRUE),--(ROW(calc!$U$3:$U$306)&gt;ROW(U106)),--(((calc!$Z$3:$Z$306&gt;Z106)*(calc!$AA$3:$AA$306&gt;AA106)+(calc!$Z$3:$Z$306&lt;Z106)*(calc!$AA$3:$AA$306&lt;AA106))&gt;0))-SUMPRODUCT(--(calc!$U$3:$U$306=TRUE),--(ROW(calc!$U$3:$U$306)&gt;ROW(U106)),--(((calc!$Z$3:$Z$306&gt;Z106)*(calc!$AA$3:$AA$306&lt;AA106)+(calc!$Z$3:$Z$306&lt;Z106)*(calc!$AA$3:$AA$306&gt;AA106))&gt;0)),0)</f>
        <v/>
      </c>
      <c r="AC106" s="5">
        <f>IF(mos_metrics!I105="","",mos_metrics!I105)</f>
        <v/>
      </c>
      <c r="AD106" s="2">
        <f>AND($J106,ISNUMBER(AC106),correlation!$I$28=1)</f>
        <v/>
      </c>
      <c r="AE106" s="5">
        <f>IF(AD106,$F106,"")</f>
        <v/>
      </c>
      <c r="AF106" s="5">
        <f>IF(AD106,AC106*correlation!$J$28,"")</f>
        <v/>
      </c>
      <c r="AG106" s="5">
        <f>IF(AND(AD106,ISNUMBER(correlation!$F$28)),AF106*correlation!$F$28+correlation!$G$28,"")</f>
        <v/>
      </c>
      <c r="AH106" s="5">
        <f>IF(AND(AD106,ISNUMBER(AG106)),(AE106-AG106)^2,"")</f>
        <v/>
      </c>
      <c r="AI106" s="5">
        <f>IF(AD106,1+SUMPRODUCT(--(calc!$AD$3:$AD$306=TRUE),--(calc!$AE$3:$AE$306&gt;AE106))+(SUMPRODUCT(--(calc!$AD$3:$AD$306=TRUE),--(calc!$AE$3:$AE$306=AE106))-1)/2,"")</f>
        <v/>
      </c>
      <c r="AJ106" s="5">
        <f>IF(AD106,1+SUMPRODUCT(--(calc!$AD$3:$AD$306=TRUE),--(calc!$AF$3:$AF$306&gt;AF106))+(SUMPRODUCT(--(calc!$AD$3:$AD$306=TRUE),--(calc!$AF$3:$AF$306=AF106))-1)/2,"")</f>
        <v/>
      </c>
      <c r="AK106" s="5">
        <f>IF(AD106,SUMPRODUCT(--(calc!$AD$3:$AD$306=TRUE),--(ROW(calc!$AD$3:$AD$306)&gt;ROW(AD106)),--(((calc!$AI$3:$AI$306&gt;AI106)*(calc!$AJ$3:$AJ$306&gt;AJ106)+(calc!$AI$3:$AI$306&lt;AI106)*(calc!$AJ$3:$AJ$306&lt;AJ106))&gt;0))-SUMPRODUCT(--(calc!$AD$3:$AD$306=TRUE),--(ROW(calc!$AD$3:$AD$306)&gt;ROW(AD106)),--(((calc!$AI$3:$AI$306&gt;AI106)*(calc!$AJ$3:$AJ$306&lt;AJ106)+(calc!$AI$3:$AI$306&lt;AI106)*(calc!$AJ$3:$AJ$306&gt;AJ106))&gt;0)),0)</f>
        <v/>
      </c>
      <c r="AL106" s="5">
        <f>IF(mos_metrics!J105="","",mos_metrics!J105)</f>
        <v/>
      </c>
      <c r="AM106" s="2">
        <f>AND($J106,ISNUMBER(AL106),correlation!$I$29=1)</f>
        <v/>
      </c>
      <c r="AN106" s="5">
        <f>IF(AM106,$F106,"")</f>
        <v/>
      </c>
      <c r="AO106" s="5">
        <f>IF(AM106,AL106*correlation!$J$29,"")</f>
        <v/>
      </c>
      <c r="AP106" s="5">
        <f>IF(AND(AM106,ISNUMBER(correlation!$F$29)),AO106*correlation!$F$29+correlation!$G$29,"")</f>
        <v/>
      </c>
      <c r="AQ106" s="5">
        <f>IF(AND(AM106,ISNUMBER(AP106)),(AN106-AP106)^2,"")</f>
        <v/>
      </c>
      <c r="AR106" s="5">
        <f>IF(AM106,1+SUMPRODUCT(--(calc!$AM$3:$AM$306=TRUE),--(calc!$AN$3:$AN$306&gt;AN106))+(SUMPRODUCT(--(calc!$AM$3:$AM$306=TRUE),--(calc!$AN$3:$AN$306=AN106))-1)/2,"")</f>
        <v/>
      </c>
      <c r="AS106" s="5">
        <f>IF(AM106,1+SUMPRODUCT(--(calc!$AM$3:$AM$306=TRUE),--(calc!$AO$3:$AO$306&gt;AO106))+(SUMPRODUCT(--(calc!$AM$3:$AM$306=TRUE),--(calc!$AO$3:$AO$306=AO106))-1)/2,"")</f>
        <v/>
      </c>
      <c r="AT106" s="5">
        <f>IF(AM106,SUMPRODUCT(--(calc!$AM$3:$AM$306=TRUE),--(ROW(calc!$AM$3:$AM$306)&gt;ROW(AM106)),--(((calc!$AR$3:$AR$306&gt;AR106)*(calc!$AS$3:$AS$306&gt;AS106)+(calc!$AR$3:$AR$306&lt;AR106)*(calc!$AS$3:$AS$306&lt;AS106))&gt;0))-SUMPRODUCT(--(calc!$AM$3:$AM$306=TRUE),--(ROW(calc!$AM$3:$AM$306)&gt;ROW(AM106)),--(((calc!$AR$3:$AR$306&gt;AR106)*(calc!$AS$3:$AS$306&lt;AS106)+(calc!$AR$3:$AR$306&lt;AR106)*(calc!$AS$3:$AS$306&gt;AS106))&gt;0)),0)</f>
        <v/>
      </c>
      <c r="AU106" s="5">
        <f>IF(mos_metrics!K105="","",mos_metrics!K105)</f>
        <v/>
      </c>
      <c r="AV106" s="2">
        <f>AND($J106,ISNUMBER(AU106),correlation!$I$30=1)</f>
        <v/>
      </c>
      <c r="AW106" s="5">
        <f>IF(AV106,$F106,"")</f>
        <v/>
      </c>
      <c r="AX106" s="5">
        <f>IF(AV106,AU106*correlation!$J$30,"")</f>
        <v/>
      </c>
      <c r="AY106" s="5">
        <f>IF(AND(AV106,ISNUMBER(correlation!$F$30)),AX106*correlation!$F$30+correlation!$G$30,"")</f>
        <v/>
      </c>
      <c r="AZ106" s="5">
        <f>IF(AND(AV106,ISNUMBER(AY106)),(AW106-AY106)^2,"")</f>
        <v/>
      </c>
      <c r="BA106" s="5">
        <f>IF(AV106,1+SUMPRODUCT(--(calc!$AV$3:$AV$306=TRUE),--(calc!$AW$3:$AW$306&gt;AW106))+(SUMPRODUCT(--(calc!$AV$3:$AV$306=TRUE),--(calc!$AW$3:$AW$306=AW106))-1)/2,"")</f>
        <v/>
      </c>
      <c r="BB106" s="5">
        <f>IF(AV106,1+SUMPRODUCT(--(calc!$AV$3:$AV$306=TRUE),--(calc!$AX$3:$AX$306&gt;AX106))+(SUMPRODUCT(--(calc!$AV$3:$AV$306=TRUE),--(calc!$AX$3:$AX$306=AX106))-1)/2,"")</f>
        <v/>
      </c>
      <c r="BC106" s="5">
        <f>IF(AV106,SUMPRODUCT(--(calc!$AV$3:$AV$306=TRUE),--(ROW(calc!$AV$3:$AV$306)&gt;ROW(AV106)),--(((calc!$BA$3:$BA$306&gt;BA106)*(calc!$BB$3:$BB$306&gt;BB106)+(calc!$BA$3:$BA$306&lt;BA106)*(calc!$BB$3:$BB$306&lt;BB106))&gt;0))-SUMPRODUCT(--(calc!$AV$3:$AV$306=TRUE),--(ROW(calc!$AV$3:$AV$306)&gt;ROW(AV106)),--(((calc!$BA$3:$BA$306&gt;BA106)*(calc!$BB$3:$BB$306&lt;BB106)+(calc!$BA$3:$BA$306&lt;BA106)*(calc!$BB$3:$BB$306&gt;BB106))&gt;0)),0)</f>
        <v/>
      </c>
      <c r="BD106" s="5">
        <f>IF(mos_metrics!L105="","",mos_metrics!L105)</f>
        <v/>
      </c>
      <c r="BE106" s="2">
        <f>AND($J106,ISNUMBER(BD106),correlation!$I$31=1)</f>
        <v/>
      </c>
      <c r="BF106" s="5">
        <f>IF(BE106,$F106,"")</f>
        <v/>
      </c>
      <c r="BG106" s="5">
        <f>IF(BE106,BD106*correlation!$J$31,"")</f>
        <v/>
      </c>
      <c r="BH106" s="5">
        <f>IF(AND(BE106,ISNUMBER(correlation!$F$31)),BG106*correlation!$F$31+correlation!$G$31,"")</f>
        <v/>
      </c>
      <c r="BI106" s="5">
        <f>IF(AND(BE106,ISNUMBER(BH106)),(BF106-BH106)^2,"")</f>
        <v/>
      </c>
      <c r="BJ106" s="5">
        <f>IF(BE106,1+SUMPRODUCT(--(calc!$BE$3:$BE$306=TRUE),--(calc!$BF$3:$BF$306&gt;BF106))+(SUMPRODUCT(--(calc!$BE$3:$BE$306=TRUE),--(calc!$BF$3:$BF$306=BF106))-1)/2,"")</f>
        <v/>
      </c>
      <c r="BK106" s="5">
        <f>IF(BE106,1+SUMPRODUCT(--(calc!$BE$3:$BE$306=TRUE),--(calc!$BG$3:$BG$306&gt;BG106))+(SUMPRODUCT(--(calc!$BE$3:$BE$306=TRUE),--(calc!$BG$3:$BG$306=BG106))-1)/2,"")</f>
        <v/>
      </c>
      <c r="BL106" s="5">
        <f>IF(BE106,SUMPRODUCT(--(calc!$BE$3:$BE$306=TRUE),--(ROW(calc!$BE$3:$BE$306)&gt;ROW(BE106)),--(((calc!$BJ$3:$BJ$306&gt;BJ106)*(calc!$BK$3:$BK$306&gt;BK106)+(calc!$BJ$3:$BJ$306&lt;BJ106)*(calc!$BK$3:$BK$306&lt;BK106))&gt;0))-SUMPRODUCT(--(calc!$BE$3:$BE$306=TRUE),--(ROW(calc!$BE$3:$BE$306)&gt;ROW(BE106)),--(((calc!$BJ$3:$BJ$306&gt;BJ106)*(calc!$BK$3:$BK$306&lt;BK106)+(calc!$BJ$3:$BJ$306&lt;BJ106)*(calc!$BK$3:$BK$306&gt;BK106))&gt;0)),0)</f>
        <v/>
      </c>
      <c r="BM106" s="5">
        <f>IF(mos_metrics!M105="","",mos_metrics!M105)</f>
        <v/>
      </c>
      <c r="BN106" s="2">
        <f>AND($J106,ISNUMBER(BM106),correlation!$I$32=1)</f>
        <v/>
      </c>
      <c r="BO106" s="5">
        <f>IF(BN106,$F106,"")</f>
        <v/>
      </c>
      <c r="BP106" s="5">
        <f>IF(BN106,BM106*correlation!$J$32,"")</f>
        <v/>
      </c>
      <c r="BQ106" s="5">
        <f>IF(AND(BN106,ISNUMBER(correlation!$F$32)),BP106*correlation!$F$32+correlation!$G$32,"")</f>
        <v/>
      </c>
      <c r="BR106" s="5">
        <f>IF(AND(BN106,ISNUMBER(BQ106)),(BO106-BQ106)^2,"")</f>
        <v/>
      </c>
      <c r="BS106" s="5">
        <f>IF(BN106,1+SUMPRODUCT(--(calc!$BN$3:$BN$306=TRUE),--(calc!$BO$3:$BO$306&gt;BO106))+(SUMPRODUCT(--(calc!$BN$3:$BN$306=TRUE),--(calc!$BO$3:$BO$306=BO106))-1)/2,"")</f>
        <v/>
      </c>
      <c r="BT106" s="5">
        <f>IF(BN106,1+SUMPRODUCT(--(calc!$BN$3:$BN$306=TRUE),--(calc!$BP$3:$BP$306&gt;BP106))+(SUMPRODUCT(--(calc!$BN$3:$BN$306=TRUE),--(calc!$BP$3:$BP$306=BP106))-1)/2,"")</f>
        <v/>
      </c>
      <c r="BU106" s="5">
        <f>IF(BN106,SUMPRODUCT(--(calc!$BN$3:$BN$306=TRUE),--(ROW(calc!$BN$3:$BN$306)&gt;ROW(BN106)),--(((calc!$BS$3:$BS$306&gt;BS106)*(calc!$BT$3:$BT$306&gt;BT106)+(calc!$BS$3:$BS$306&lt;BS106)*(calc!$BT$3:$BT$306&lt;BT106))&gt;0))-SUMPRODUCT(--(calc!$BN$3:$BN$306=TRUE),--(ROW(calc!$BN$3:$BN$306)&gt;ROW(BN106)),--(((calc!$BS$3:$BS$306&gt;BS106)*(calc!$BT$3:$BT$306&lt;BT106)+(calc!$BS$3:$BS$306&lt;BS106)*(calc!$BT$3:$BT$306&gt;BT106))&gt;0)),0)</f>
        <v/>
      </c>
    </row>
    <row r="107">
      <c r="A107" s="2">
        <f>mos_metrics!A106</f>
        <v/>
      </c>
      <c r="B107" s="2">
        <f>mos_metrics!B106</f>
        <v/>
      </c>
      <c r="C107" s="2">
        <f>mos_metrics!C106</f>
        <v/>
      </c>
      <c r="D107" s="2">
        <f>mos_metrics!D106</f>
        <v/>
      </c>
      <c r="E107" s="2">
        <f>mos_metrics!E106</f>
        <v/>
      </c>
      <c r="F107" s="2">
        <f>mos_metrics!F106</f>
        <v/>
      </c>
      <c r="G107" s="2">
        <f>IF($B107="","",IFERROR(VLOOKUP($B107,correlation!$A$2:$B$16,2,FALSE),1))</f>
        <v/>
      </c>
      <c r="H107" s="2">
        <f>IF($E107="","",IFERROR(VLOOKUP($E107,correlation!$D$2:$E$8,2,FALSE),1))</f>
        <v/>
      </c>
      <c r="I107" s="2">
        <f>ISNUMBER($F107)</f>
        <v/>
      </c>
      <c r="J107" s="2">
        <f>AND($G107=1,$H107=1,$I107)</f>
        <v/>
      </c>
      <c r="K107" s="5">
        <f>IF(mos_metrics!G106="","",mos_metrics!G106)</f>
        <v/>
      </c>
      <c r="L107" s="2">
        <f>AND($J107,ISNUMBER(K107),correlation!$I$26=1)</f>
        <v/>
      </c>
      <c r="M107" s="5">
        <f>IF(L107,$F107,"")</f>
        <v/>
      </c>
      <c r="N107" s="5">
        <f>IF(L107,K107*correlation!$J$26,"")</f>
        <v/>
      </c>
      <c r="O107" s="5">
        <f>IF(AND(L107,ISNUMBER(correlation!$F$26)),N107*correlation!$F$26+correlation!$G$26,"")</f>
        <v/>
      </c>
      <c r="P107" s="5">
        <f>IF(AND(L107,ISNUMBER(O107)),(M107-O107)^2,"")</f>
        <v/>
      </c>
      <c r="Q107" s="5">
        <f>IF(L107,1+SUMPRODUCT(--(calc!$L$3:$L$306=TRUE),--(calc!$M$3:$M$306&gt;M107))+(SUMPRODUCT(--(calc!$L$3:$L$306=TRUE),--(calc!$M$3:$M$306=M107))-1)/2,"")</f>
        <v/>
      </c>
      <c r="R107" s="5">
        <f>IF(L107,1+SUMPRODUCT(--(calc!$L$3:$L$306=TRUE),--(calc!$N$3:$N$306&gt;N107))+(SUMPRODUCT(--(calc!$L$3:$L$306=TRUE),--(calc!$N$3:$N$306=N107))-1)/2,"")</f>
        <v/>
      </c>
      <c r="S107" s="5">
        <f>IF(L107,SUMPRODUCT(--(calc!$L$3:$L$306=TRUE),--(ROW(calc!$L$3:$L$306)&gt;ROW(L107)),--(((calc!$Q$3:$Q$306&gt;Q107)*(calc!$R$3:$R$306&gt;R107)+(calc!$Q$3:$Q$306&lt;Q107)*(calc!$R$3:$R$306&lt;R107))&gt;0))-SUMPRODUCT(--(calc!$L$3:$L$306=TRUE),--(ROW(calc!$L$3:$L$306)&gt;ROW(L107)),--(((calc!$Q$3:$Q$306&gt;Q107)*(calc!$R$3:$R$306&lt;R107)+(calc!$Q$3:$Q$306&lt;Q107)*(calc!$R$3:$R$306&gt;R107))&gt;0)),0)</f>
        <v/>
      </c>
      <c r="T107" s="5">
        <f>IF(mos_metrics!H106="","",mos_metrics!H106)</f>
        <v/>
      </c>
      <c r="U107" s="2">
        <f>AND($J107,ISNUMBER(T107),correlation!$I$27=1)</f>
        <v/>
      </c>
      <c r="V107" s="5">
        <f>IF(U107,$F107,"")</f>
        <v/>
      </c>
      <c r="W107" s="5">
        <f>IF(U107,T107*correlation!$J$27,"")</f>
        <v/>
      </c>
      <c r="X107" s="5">
        <f>IF(AND(U107,ISNUMBER(correlation!$F$27)),W107*correlation!$F$27+correlation!$G$27,"")</f>
        <v/>
      </c>
      <c r="Y107" s="5">
        <f>IF(AND(U107,ISNUMBER(X107)),(V107-X107)^2,"")</f>
        <v/>
      </c>
      <c r="Z107" s="5">
        <f>IF(U107,1+SUMPRODUCT(--(calc!$U$3:$U$306=TRUE),--(calc!$V$3:$V$306&gt;V107))+(SUMPRODUCT(--(calc!$U$3:$U$306=TRUE),--(calc!$V$3:$V$306=V107))-1)/2,"")</f>
        <v/>
      </c>
      <c r="AA107" s="5">
        <f>IF(U107,1+SUMPRODUCT(--(calc!$U$3:$U$306=TRUE),--(calc!$W$3:$W$306&gt;W107))+(SUMPRODUCT(--(calc!$U$3:$U$306=TRUE),--(calc!$W$3:$W$306=W107))-1)/2,"")</f>
        <v/>
      </c>
      <c r="AB107" s="5">
        <f>IF(U107,SUMPRODUCT(--(calc!$U$3:$U$306=TRUE),--(ROW(calc!$U$3:$U$306)&gt;ROW(U107)),--(((calc!$Z$3:$Z$306&gt;Z107)*(calc!$AA$3:$AA$306&gt;AA107)+(calc!$Z$3:$Z$306&lt;Z107)*(calc!$AA$3:$AA$306&lt;AA107))&gt;0))-SUMPRODUCT(--(calc!$U$3:$U$306=TRUE),--(ROW(calc!$U$3:$U$306)&gt;ROW(U107)),--(((calc!$Z$3:$Z$306&gt;Z107)*(calc!$AA$3:$AA$306&lt;AA107)+(calc!$Z$3:$Z$306&lt;Z107)*(calc!$AA$3:$AA$306&gt;AA107))&gt;0)),0)</f>
        <v/>
      </c>
      <c r="AC107" s="5">
        <f>IF(mos_metrics!I106="","",mos_metrics!I106)</f>
        <v/>
      </c>
      <c r="AD107" s="2">
        <f>AND($J107,ISNUMBER(AC107),correlation!$I$28=1)</f>
        <v/>
      </c>
      <c r="AE107" s="5">
        <f>IF(AD107,$F107,"")</f>
        <v/>
      </c>
      <c r="AF107" s="5">
        <f>IF(AD107,AC107*correlation!$J$28,"")</f>
        <v/>
      </c>
      <c r="AG107" s="5">
        <f>IF(AND(AD107,ISNUMBER(correlation!$F$28)),AF107*correlation!$F$28+correlation!$G$28,"")</f>
        <v/>
      </c>
      <c r="AH107" s="5">
        <f>IF(AND(AD107,ISNUMBER(AG107)),(AE107-AG107)^2,"")</f>
        <v/>
      </c>
      <c r="AI107" s="5">
        <f>IF(AD107,1+SUMPRODUCT(--(calc!$AD$3:$AD$306=TRUE),--(calc!$AE$3:$AE$306&gt;AE107))+(SUMPRODUCT(--(calc!$AD$3:$AD$306=TRUE),--(calc!$AE$3:$AE$306=AE107))-1)/2,"")</f>
        <v/>
      </c>
      <c r="AJ107" s="5">
        <f>IF(AD107,1+SUMPRODUCT(--(calc!$AD$3:$AD$306=TRUE),--(calc!$AF$3:$AF$306&gt;AF107))+(SUMPRODUCT(--(calc!$AD$3:$AD$306=TRUE),--(calc!$AF$3:$AF$306=AF107))-1)/2,"")</f>
        <v/>
      </c>
      <c r="AK107" s="5">
        <f>IF(AD107,SUMPRODUCT(--(calc!$AD$3:$AD$306=TRUE),--(ROW(calc!$AD$3:$AD$306)&gt;ROW(AD107)),--(((calc!$AI$3:$AI$306&gt;AI107)*(calc!$AJ$3:$AJ$306&gt;AJ107)+(calc!$AI$3:$AI$306&lt;AI107)*(calc!$AJ$3:$AJ$306&lt;AJ107))&gt;0))-SUMPRODUCT(--(calc!$AD$3:$AD$306=TRUE),--(ROW(calc!$AD$3:$AD$306)&gt;ROW(AD107)),--(((calc!$AI$3:$AI$306&gt;AI107)*(calc!$AJ$3:$AJ$306&lt;AJ107)+(calc!$AI$3:$AI$306&lt;AI107)*(calc!$AJ$3:$AJ$306&gt;AJ107))&gt;0)),0)</f>
        <v/>
      </c>
      <c r="AL107" s="5">
        <f>IF(mos_metrics!J106="","",mos_metrics!J106)</f>
        <v/>
      </c>
      <c r="AM107" s="2">
        <f>AND($J107,ISNUMBER(AL107),correlation!$I$29=1)</f>
        <v/>
      </c>
      <c r="AN107" s="5">
        <f>IF(AM107,$F107,"")</f>
        <v/>
      </c>
      <c r="AO107" s="5">
        <f>IF(AM107,AL107*correlation!$J$29,"")</f>
        <v/>
      </c>
      <c r="AP107" s="5">
        <f>IF(AND(AM107,ISNUMBER(correlation!$F$29)),AO107*correlation!$F$29+correlation!$G$29,"")</f>
        <v/>
      </c>
      <c r="AQ107" s="5">
        <f>IF(AND(AM107,ISNUMBER(AP107)),(AN107-AP107)^2,"")</f>
        <v/>
      </c>
      <c r="AR107" s="5">
        <f>IF(AM107,1+SUMPRODUCT(--(calc!$AM$3:$AM$306=TRUE),--(calc!$AN$3:$AN$306&gt;AN107))+(SUMPRODUCT(--(calc!$AM$3:$AM$306=TRUE),--(calc!$AN$3:$AN$306=AN107))-1)/2,"")</f>
        <v/>
      </c>
      <c r="AS107" s="5">
        <f>IF(AM107,1+SUMPRODUCT(--(calc!$AM$3:$AM$306=TRUE),--(calc!$AO$3:$AO$306&gt;AO107))+(SUMPRODUCT(--(calc!$AM$3:$AM$306=TRUE),--(calc!$AO$3:$AO$306=AO107))-1)/2,"")</f>
        <v/>
      </c>
      <c r="AT107" s="5">
        <f>IF(AM107,SUMPRODUCT(--(calc!$AM$3:$AM$306=TRUE),--(ROW(calc!$AM$3:$AM$306)&gt;ROW(AM107)),--(((calc!$AR$3:$AR$306&gt;AR107)*(calc!$AS$3:$AS$306&gt;AS107)+(calc!$AR$3:$AR$306&lt;AR107)*(calc!$AS$3:$AS$306&lt;AS107))&gt;0))-SUMPRODUCT(--(calc!$AM$3:$AM$306=TRUE),--(ROW(calc!$AM$3:$AM$306)&gt;ROW(AM107)),--(((calc!$AR$3:$AR$306&gt;AR107)*(calc!$AS$3:$AS$306&lt;AS107)+(calc!$AR$3:$AR$306&lt;AR107)*(calc!$AS$3:$AS$306&gt;AS107))&gt;0)),0)</f>
        <v/>
      </c>
      <c r="AU107" s="5">
        <f>IF(mos_metrics!K106="","",mos_metrics!K106)</f>
        <v/>
      </c>
      <c r="AV107" s="2">
        <f>AND($J107,ISNUMBER(AU107),correlation!$I$30=1)</f>
        <v/>
      </c>
      <c r="AW107" s="5">
        <f>IF(AV107,$F107,"")</f>
        <v/>
      </c>
      <c r="AX107" s="5">
        <f>IF(AV107,AU107*correlation!$J$30,"")</f>
        <v/>
      </c>
      <c r="AY107" s="5">
        <f>IF(AND(AV107,ISNUMBER(correlation!$F$30)),AX107*correlation!$F$30+correlation!$G$30,"")</f>
        <v/>
      </c>
      <c r="AZ107" s="5">
        <f>IF(AND(AV107,ISNUMBER(AY107)),(AW107-AY107)^2,"")</f>
        <v/>
      </c>
      <c r="BA107" s="5">
        <f>IF(AV107,1+SUMPRODUCT(--(calc!$AV$3:$AV$306=TRUE),--(calc!$AW$3:$AW$306&gt;AW107))+(SUMPRODUCT(--(calc!$AV$3:$AV$306=TRUE),--(calc!$AW$3:$AW$306=AW107))-1)/2,"")</f>
        <v/>
      </c>
      <c r="BB107" s="5">
        <f>IF(AV107,1+SUMPRODUCT(--(calc!$AV$3:$AV$306=TRUE),--(calc!$AX$3:$AX$306&gt;AX107))+(SUMPRODUCT(--(calc!$AV$3:$AV$306=TRUE),--(calc!$AX$3:$AX$306=AX107))-1)/2,"")</f>
        <v/>
      </c>
      <c r="BC107" s="5">
        <f>IF(AV107,SUMPRODUCT(--(calc!$AV$3:$AV$306=TRUE),--(ROW(calc!$AV$3:$AV$306)&gt;ROW(AV107)),--(((calc!$BA$3:$BA$306&gt;BA107)*(calc!$BB$3:$BB$306&gt;BB107)+(calc!$BA$3:$BA$306&lt;BA107)*(calc!$BB$3:$BB$306&lt;BB107))&gt;0))-SUMPRODUCT(--(calc!$AV$3:$AV$306=TRUE),--(ROW(calc!$AV$3:$AV$306)&gt;ROW(AV107)),--(((calc!$BA$3:$BA$306&gt;BA107)*(calc!$BB$3:$BB$306&lt;BB107)+(calc!$BA$3:$BA$306&lt;BA107)*(calc!$BB$3:$BB$306&gt;BB107))&gt;0)),0)</f>
        <v/>
      </c>
      <c r="BD107" s="5">
        <f>IF(mos_metrics!L106="","",mos_metrics!L106)</f>
        <v/>
      </c>
      <c r="BE107" s="2">
        <f>AND($J107,ISNUMBER(BD107),correlation!$I$31=1)</f>
        <v/>
      </c>
      <c r="BF107" s="5">
        <f>IF(BE107,$F107,"")</f>
        <v/>
      </c>
      <c r="BG107" s="5">
        <f>IF(BE107,BD107*correlation!$J$31,"")</f>
        <v/>
      </c>
      <c r="BH107" s="5">
        <f>IF(AND(BE107,ISNUMBER(correlation!$F$31)),BG107*correlation!$F$31+correlation!$G$31,"")</f>
        <v/>
      </c>
      <c r="BI107" s="5">
        <f>IF(AND(BE107,ISNUMBER(BH107)),(BF107-BH107)^2,"")</f>
        <v/>
      </c>
      <c r="BJ107" s="5">
        <f>IF(BE107,1+SUMPRODUCT(--(calc!$BE$3:$BE$306=TRUE),--(calc!$BF$3:$BF$306&gt;BF107))+(SUMPRODUCT(--(calc!$BE$3:$BE$306=TRUE),--(calc!$BF$3:$BF$306=BF107))-1)/2,"")</f>
        <v/>
      </c>
      <c r="BK107" s="5">
        <f>IF(BE107,1+SUMPRODUCT(--(calc!$BE$3:$BE$306=TRUE),--(calc!$BG$3:$BG$306&gt;BG107))+(SUMPRODUCT(--(calc!$BE$3:$BE$306=TRUE),--(calc!$BG$3:$BG$306=BG107))-1)/2,"")</f>
        <v/>
      </c>
      <c r="BL107" s="5">
        <f>IF(BE107,SUMPRODUCT(--(calc!$BE$3:$BE$306=TRUE),--(ROW(calc!$BE$3:$BE$306)&gt;ROW(BE107)),--(((calc!$BJ$3:$BJ$306&gt;BJ107)*(calc!$BK$3:$BK$306&gt;BK107)+(calc!$BJ$3:$BJ$306&lt;BJ107)*(calc!$BK$3:$BK$306&lt;BK107))&gt;0))-SUMPRODUCT(--(calc!$BE$3:$BE$306=TRUE),--(ROW(calc!$BE$3:$BE$306)&gt;ROW(BE107)),--(((calc!$BJ$3:$BJ$306&gt;BJ107)*(calc!$BK$3:$BK$306&lt;BK107)+(calc!$BJ$3:$BJ$306&lt;BJ107)*(calc!$BK$3:$BK$306&gt;BK107))&gt;0)),0)</f>
        <v/>
      </c>
      <c r="BM107" s="5">
        <f>IF(mos_metrics!M106="","",mos_metrics!M106)</f>
        <v/>
      </c>
      <c r="BN107" s="2">
        <f>AND($J107,ISNUMBER(BM107),correlation!$I$32=1)</f>
        <v/>
      </c>
      <c r="BO107" s="5">
        <f>IF(BN107,$F107,"")</f>
        <v/>
      </c>
      <c r="BP107" s="5">
        <f>IF(BN107,BM107*correlation!$J$32,"")</f>
        <v/>
      </c>
      <c r="BQ107" s="5">
        <f>IF(AND(BN107,ISNUMBER(correlation!$F$32)),BP107*correlation!$F$32+correlation!$G$32,"")</f>
        <v/>
      </c>
      <c r="BR107" s="5">
        <f>IF(AND(BN107,ISNUMBER(BQ107)),(BO107-BQ107)^2,"")</f>
        <v/>
      </c>
      <c r="BS107" s="5">
        <f>IF(BN107,1+SUMPRODUCT(--(calc!$BN$3:$BN$306=TRUE),--(calc!$BO$3:$BO$306&gt;BO107))+(SUMPRODUCT(--(calc!$BN$3:$BN$306=TRUE),--(calc!$BO$3:$BO$306=BO107))-1)/2,"")</f>
        <v/>
      </c>
      <c r="BT107" s="5">
        <f>IF(BN107,1+SUMPRODUCT(--(calc!$BN$3:$BN$306=TRUE),--(calc!$BP$3:$BP$306&gt;BP107))+(SUMPRODUCT(--(calc!$BN$3:$BN$306=TRUE),--(calc!$BP$3:$BP$306=BP107))-1)/2,"")</f>
        <v/>
      </c>
      <c r="BU107" s="5">
        <f>IF(BN107,SUMPRODUCT(--(calc!$BN$3:$BN$306=TRUE),--(ROW(calc!$BN$3:$BN$306)&gt;ROW(BN107)),--(((calc!$BS$3:$BS$306&gt;BS107)*(calc!$BT$3:$BT$306&gt;BT107)+(calc!$BS$3:$BS$306&lt;BS107)*(calc!$BT$3:$BT$306&lt;BT107))&gt;0))-SUMPRODUCT(--(calc!$BN$3:$BN$306=TRUE),--(ROW(calc!$BN$3:$BN$306)&gt;ROW(BN107)),--(((calc!$BS$3:$BS$306&gt;BS107)*(calc!$BT$3:$BT$306&lt;BT107)+(calc!$BS$3:$BS$306&lt;BS107)*(calc!$BT$3:$BT$306&gt;BT107))&gt;0)),0)</f>
        <v/>
      </c>
    </row>
    <row r="108">
      <c r="A108" s="2">
        <f>mos_metrics!A107</f>
        <v/>
      </c>
      <c r="B108" s="2">
        <f>mos_metrics!B107</f>
        <v/>
      </c>
      <c r="C108" s="2">
        <f>mos_metrics!C107</f>
        <v/>
      </c>
      <c r="D108" s="2">
        <f>mos_metrics!D107</f>
        <v/>
      </c>
      <c r="E108" s="2">
        <f>mos_metrics!E107</f>
        <v/>
      </c>
      <c r="F108" s="2">
        <f>mos_metrics!F107</f>
        <v/>
      </c>
      <c r="G108" s="2">
        <f>IF($B108="","",IFERROR(VLOOKUP($B108,correlation!$A$2:$B$16,2,FALSE),1))</f>
        <v/>
      </c>
      <c r="H108" s="2">
        <f>IF($E108="","",IFERROR(VLOOKUP($E108,correlation!$D$2:$E$8,2,FALSE),1))</f>
        <v/>
      </c>
      <c r="I108" s="2">
        <f>ISNUMBER($F108)</f>
        <v/>
      </c>
      <c r="J108" s="2">
        <f>AND($G108=1,$H108=1,$I108)</f>
        <v/>
      </c>
      <c r="K108" s="5">
        <f>IF(mos_metrics!G107="","",mos_metrics!G107)</f>
        <v/>
      </c>
      <c r="L108" s="2">
        <f>AND($J108,ISNUMBER(K108),correlation!$I$26=1)</f>
        <v/>
      </c>
      <c r="M108" s="5">
        <f>IF(L108,$F108,"")</f>
        <v/>
      </c>
      <c r="N108" s="5">
        <f>IF(L108,K108*correlation!$J$26,"")</f>
        <v/>
      </c>
      <c r="O108" s="5">
        <f>IF(AND(L108,ISNUMBER(correlation!$F$26)),N108*correlation!$F$26+correlation!$G$26,"")</f>
        <v/>
      </c>
      <c r="P108" s="5">
        <f>IF(AND(L108,ISNUMBER(O108)),(M108-O108)^2,"")</f>
        <v/>
      </c>
      <c r="Q108" s="5">
        <f>IF(L108,1+SUMPRODUCT(--(calc!$L$3:$L$306=TRUE),--(calc!$M$3:$M$306&gt;M108))+(SUMPRODUCT(--(calc!$L$3:$L$306=TRUE),--(calc!$M$3:$M$306=M108))-1)/2,"")</f>
        <v/>
      </c>
      <c r="R108" s="5">
        <f>IF(L108,1+SUMPRODUCT(--(calc!$L$3:$L$306=TRUE),--(calc!$N$3:$N$306&gt;N108))+(SUMPRODUCT(--(calc!$L$3:$L$306=TRUE),--(calc!$N$3:$N$306=N108))-1)/2,"")</f>
        <v/>
      </c>
      <c r="S108" s="5">
        <f>IF(L108,SUMPRODUCT(--(calc!$L$3:$L$306=TRUE),--(ROW(calc!$L$3:$L$306)&gt;ROW(L108)),--(((calc!$Q$3:$Q$306&gt;Q108)*(calc!$R$3:$R$306&gt;R108)+(calc!$Q$3:$Q$306&lt;Q108)*(calc!$R$3:$R$306&lt;R108))&gt;0))-SUMPRODUCT(--(calc!$L$3:$L$306=TRUE),--(ROW(calc!$L$3:$L$306)&gt;ROW(L108)),--(((calc!$Q$3:$Q$306&gt;Q108)*(calc!$R$3:$R$306&lt;R108)+(calc!$Q$3:$Q$306&lt;Q108)*(calc!$R$3:$R$306&gt;R108))&gt;0)),0)</f>
        <v/>
      </c>
      <c r="T108" s="5">
        <f>IF(mos_metrics!H107="","",mos_metrics!H107)</f>
        <v/>
      </c>
      <c r="U108" s="2">
        <f>AND($J108,ISNUMBER(T108),correlation!$I$27=1)</f>
        <v/>
      </c>
      <c r="V108" s="5">
        <f>IF(U108,$F108,"")</f>
        <v/>
      </c>
      <c r="W108" s="5">
        <f>IF(U108,T108*correlation!$J$27,"")</f>
        <v/>
      </c>
      <c r="X108" s="5">
        <f>IF(AND(U108,ISNUMBER(correlation!$F$27)),W108*correlation!$F$27+correlation!$G$27,"")</f>
        <v/>
      </c>
      <c r="Y108" s="5">
        <f>IF(AND(U108,ISNUMBER(X108)),(V108-X108)^2,"")</f>
        <v/>
      </c>
      <c r="Z108" s="5">
        <f>IF(U108,1+SUMPRODUCT(--(calc!$U$3:$U$306=TRUE),--(calc!$V$3:$V$306&gt;V108))+(SUMPRODUCT(--(calc!$U$3:$U$306=TRUE),--(calc!$V$3:$V$306=V108))-1)/2,"")</f>
        <v/>
      </c>
      <c r="AA108" s="5">
        <f>IF(U108,1+SUMPRODUCT(--(calc!$U$3:$U$306=TRUE),--(calc!$W$3:$W$306&gt;W108))+(SUMPRODUCT(--(calc!$U$3:$U$306=TRUE),--(calc!$W$3:$W$306=W108))-1)/2,"")</f>
        <v/>
      </c>
      <c r="AB108" s="5">
        <f>IF(U108,SUMPRODUCT(--(calc!$U$3:$U$306=TRUE),--(ROW(calc!$U$3:$U$306)&gt;ROW(U108)),--(((calc!$Z$3:$Z$306&gt;Z108)*(calc!$AA$3:$AA$306&gt;AA108)+(calc!$Z$3:$Z$306&lt;Z108)*(calc!$AA$3:$AA$306&lt;AA108))&gt;0))-SUMPRODUCT(--(calc!$U$3:$U$306=TRUE),--(ROW(calc!$U$3:$U$306)&gt;ROW(U108)),--(((calc!$Z$3:$Z$306&gt;Z108)*(calc!$AA$3:$AA$306&lt;AA108)+(calc!$Z$3:$Z$306&lt;Z108)*(calc!$AA$3:$AA$306&gt;AA108))&gt;0)),0)</f>
        <v/>
      </c>
      <c r="AC108" s="5">
        <f>IF(mos_metrics!I107="","",mos_metrics!I107)</f>
        <v/>
      </c>
      <c r="AD108" s="2">
        <f>AND($J108,ISNUMBER(AC108),correlation!$I$28=1)</f>
        <v/>
      </c>
      <c r="AE108" s="5">
        <f>IF(AD108,$F108,"")</f>
        <v/>
      </c>
      <c r="AF108" s="5">
        <f>IF(AD108,AC108*correlation!$J$28,"")</f>
        <v/>
      </c>
      <c r="AG108" s="5">
        <f>IF(AND(AD108,ISNUMBER(correlation!$F$28)),AF108*correlation!$F$28+correlation!$G$28,"")</f>
        <v/>
      </c>
      <c r="AH108" s="5">
        <f>IF(AND(AD108,ISNUMBER(AG108)),(AE108-AG108)^2,"")</f>
        <v/>
      </c>
      <c r="AI108" s="5">
        <f>IF(AD108,1+SUMPRODUCT(--(calc!$AD$3:$AD$306=TRUE),--(calc!$AE$3:$AE$306&gt;AE108))+(SUMPRODUCT(--(calc!$AD$3:$AD$306=TRUE),--(calc!$AE$3:$AE$306=AE108))-1)/2,"")</f>
        <v/>
      </c>
      <c r="AJ108" s="5">
        <f>IF(AD108,1+SUMPRODUCT(--(calc!$AD$3:$AD$306=TRUE),--(calc!$AF$3:$AF$306&gt;AF108))+(SUMPRODUCT(--(calc!$AD$3:$AD$306=TRUE),--(calc!$AF$3:$AF$306=AF108))-1)/2,"")</f>
        <v/>
      </c>
      <c r="AK108" s="5">
        <f>IF(AD108,SUMPRODUCT(--(calc!$AD$3:$AD$306=TRUE),--(ROW(calc!$AD$3:$AD$306)&gt;ROW(AD108)),--(((calc!$AI$3:$AI$306&gt;AI108)*(calc!$AJ$3:$AJ$306&gt;AJ108)+(calc!$AI$3:$AI$306&lt;AI108)*(calc!$AJ$3:$AJ$306&lt;AJ108))&gt;0))-SUMPRODUCT(--(calc!$AD$3:$AD$306=TRUE),--(ROW(calc!$AD$3:$AD$306)&gt;ROW(AD108)),--(((calc!$AI$3:$AI$306&gt;AI108)*(calc!$AJ$3:$AJ$306&lt;AJ108)+(calc!$AI$3:$AI$306&lt;AI108)*(calc!$AJ$3:$AJ$306&gt;AJ108))&gt;0)),0)</f>
        <v/>
      </c>
      <c r="AL108" s="5">
        <f>IF(mos_metrics!J107="","",mos_metrics!J107)</f>
        <v/>
      </c>
      <c r="AM108" s="2">
        <f>AND($J108,ISNUMBER(AL108),correlation!$I$29=1)</f>
        <v/>
      </c>
      <c r="AN108" s="5">
        <f>IF(AM108,$F108,"")</f>
        <v/>
      </c>
      <c r="AO108" s="5">
        <f>IF(AM108,AL108*correlation!$J$29,"")</f>
        <v/>
      </c>
      <c r="AP108" s="5">
        <f>IF(AND(AM108,ISNUMBER(correlation!$F$29)),AO108*correlation!$F$29+correlation!$G$29,"")</f>
        <v/>
      </c>
      <c r="AQ108" s="5">
        <f>IF(AND(AM108,ISNUMBER(AP108)),(AN108-AP108)^2,"")</f>
        <v/>
      </c>
      <c r="AR108" s="5">
        <f>IF(AM108,1+SUMPRODUCT(--(calc!$AM$3:$AM$306=TRUE),--(calc!$AN$3:$AN$306&gt;AN108))+(SUMPRODUCT(--(calc!$AM$3:$AM$306=TRUE),--(calc!$AN$3:$AN$306=AN108))-1)/2,"")</f>
        <v/>
      </c>
      <c r="AS108" s="5">
        <f>IF(AM108,1+SUMPRODUCT(--(calc!$AM$3:$AM$306=TRUE),--(calc!$AO$3:$AO$306&gt;AO108))+(SUMPRODUCT(--(calc!$AM$3:$AM$306=TRUE),--(calc!$AO$3:$AO$306=AO108))-1)/2,"")</f>
        <v/>
      </c>
      <c r="AT108" s="5">
        <f>IF(AM108,SUMPRODUCT(--(calc!$AM$3:$AM$306=TRUE),--(ROW(calc!$AM$3:$AM$306)&gt;ROW(AM108)),--(((calc!$AR$3:$AR$306&gt;AR108)*(calc!$AS$3:$AS$306&gt;AS108)+(calc!$AR$3:$AR$306&lt;AR108)*(calc!$AS$3:$AS$306&lt;AS108))&gt;0))-SUMPRODUCT(--(calc!$AM$3:$AM$306=TRUE),--(ROW(calc!$AM$3:$AM$306)&gt;ROW(AM108)),--(((calc!$AR$3:$AR$306&gt;AR108)*(calc!$AS$3:$AS$306&lt;AS108)+(calc!$AR$3:$AR$306&lt;AR108)*(calc!$AS$3:$AS$306&gt;AS108))&gt;0)),0)</f>
        <v/>
      </c>
      <c r="AU108" s="5">
        <f>IF(mos_metrics!K107="","",mos_metrics!K107)</f>
        <v/>
      </c>
      <c r="AV108" s="2">
        <f>AND($J108,ISNUMBER(AU108),correlation!$I$30=1)</f>
        <v/>
      </c>
      <c r="AW108" s="5">
        <f>IF(AV108,$F108,"")</f>
        <v/>
      </c>
      <c r="AX108" s="5">
        <f>IF(AV108,AU108*correlation!$J$30,"")</f>
        <v/>
      </c>
      <c r="AY108" s="5">
        <f>IF(AND(AV108,ISNUMBER(correlation!$F$30)),AX108*correlation!$F$30+correlation!$G$30,"")</f>
        <v/>
      </c>
      <c r="AZ108" s="5">
        <f>IF(AND(AV108,ISNUMBER(AY108)),(AW108-AY108)^2,"")</f>
        <v/>
      </c>
      <c r="BA108" s="5">
        <f>IF(AV108,1+SUMPRODUCT(--(calc!$AV$3:$AV$306=TRUE),--(calc!$AW$3:$AW$306&gt;AW108))+(SUMPRODUCT(--(calc!$AV$3:$AV$306=TRUE),--(calc!$AW$3:$AW$306=AW108))-1)/2,"")</f>
        <v/>
      </c>
      <c r="BB108" s="5">
        <f>IF(AV108,1+SUMPRODUCT(--(calc!$AV$3:$AV$306=TRUE),--(calc!$AX$3:$AX$306&gt;AX108))+(SUMPRODUCT(--(calc!$AV$3:$AV$306=TRUE),--(calc!$AX$3:$AX$306=AX108))-1)/2,"")</f>
        <v/>
      </c>
      <c r="BC108" s="5">
        <f>IF(AV108,SUMPRODUCT(--(calc!$AV$3:$AV$306=TRUE),--(ROW(calc!$AV$3:$AV$306)&gt;ROW(AV108)),--(((calc!$BA$3:$BA$306&gt;BA108)*(calc!$BB$3:$BB$306&gt;BB108)+(calc!$BA$3:$BA$306&lt;BA108)*(calc!$BB$3:$BB$306&lt;BB108))&gt;0))-SUMPRODUCT(--(calc!$AV$3:$AV$306=TRUE),--(ROW(calc!$AV$3:$AV$306)&gt;ROW(AV108)),--(((calc!$BA$3:$BA$306&gt;BA108)*(calc!$BB$3:$BB$306&lt;BB108)+(calc!$BA$3:$BA$306&lt;BA108)*(calc!$BB$3:$BB$306&gt;BB108))&gt;0)),0)</f>
        <v/>
      </c>
      <c r="BD108" s="5">
        <f>IF(mos_metrics!L107="","",mos_metrics!L107)</f>
        <v/>
      </c>
      <c r="BE108" s="2">
        <f>AND($J108,ISNUMBER(BD108),correlation!$I$31=1)</f>
        <v/>
      </c>
      <c r="BF108" s="5">
        <f>IF(BE108,$F108,"")</f>
        <v/>
      </c>
      <c r="BG108" s="5">
        <f>IF(BE108,BD108*correlation!$J$31,"")</f>
        <v/>
      </c>
      <c r="BH108" s="5">
        <f>IF(AND(BE108,ISNUMBER(correlation!$F$31)),BG108*correlation!$F$31+correlation!$G$31,"")</f>
        <v/>
      </c>
      <c r="BI108" s="5">
        <f>IF(AND(BE108,ISNUMBER(BH108)),(BF108-BH108)^2,"")</f>
        <v/>
      </c>
      <c r="BJ108" s="5">
        <f>IF(BE108,1+SUMPRODUCT(--(calc!$BE$3:$BE$306=TRUE),--(calc!$BF$3:$BF$306&gt;BF108))+(SUMPRODUCT(--(calc!$BE$3:$BE$306=TRUE),--(calc!$BF$3:$BF$306=BF108))-1)/2,"")</f>
        <v/>
      </c>
      <c r="BK108" s="5">
        <f>IF(BE108,1+SUMPRODUCT(--(calc!$BE$3:$BE$306=TRUE),--(calc!$BG$3:$BG$306&gt;BG108))+(SUMPRODUCT(--(calc!$BE$3:$BE$306=TRUE),--(calc!$BG$3:$BG$306=BG108))-1)/2,"")</f>
        <v/>
      </c>
      <c r="BL108" s="5">
        <f>IF(BE108,SUMPRODUCT(--(calc!$BE$3:$BE$306=TRUE),--(ROW(calc!$BE$3:$BE$306)&gt;ROW(BE108)),--(((calc!$BJ$3:$BJ$306&gt;BJ108)*(calc!$BK$3:$BK$306&gt;BK108)+(calc!$BJ$3:$BJ$306&lt;BJ108)*(calc!$BK$3:$BK$306&lt;BK108))&gt;0))-SUMPRODUCT(--(calc!$BE$3:$BE$306=TRUE),--(ROW(calc!$BE$3:$BE$306)&gt;ROW(BE108)),--(((calc!$BJ$3:$BJ$306&gt;BJ108)*(calc!$BK$3:$BK$306&lt;BK108)+(calc!$BJ$3:$BJ$306&lt;BJ108)*(calc!$BK$3:$BK$306&gt;BK108))&gt;0)),0)</f>
        <v/>
      </c>
      <c r="BM108" s="5">
        <f>IF(mos_metrics!M107="","",mos_metrics!M107)</f>
        <v/>
      </c>
      <c r="BN108" s="2">
        <f>AND($J108,ISNUMBER(BM108),correlation!$I$32=1)</f>
        <v/>
      </c>
      <c r="BO108" s="5">
        <f>IF(BN108,$F108,"")</f>
        <v/>
      </c>
      <c r="BP108" s="5">
        <f>IF(BN108,BM108*correlation!$J$32,"")</f>
        <v/>
      </c>
      <c r="BQ108" s="5">
        <f>IF(AND(BN108,ISNUMBER(correlation!$F$32)),BP108*correlation!$F$32+correlation!$G$32,"")</f>
        <v/>
      </c>
      <c r="BR108" s="5">
        <f>IF(AND(BN108,ISNUMBER(BQ108)),(BO108-BQ108)^2,"")</f>
        <v/>
      </c>
      <c r="BS108" s="5">
        <f>IF(BN108,1+SUMPRODUCT(--(calc!$BN$3:$BN$306=TRUE),--(calc!$BO$3:$BO$306&gt;BO108))+(SUMPRODUCT(--(calc!$BN$3:$BN$306=TRUE),--(calc!$BO$3:$BO$306=BO108))-1)/2,"")</f>
        <v/>
      </c>
      <c r="BT108" s="5">
        <f>IF(BN108,1+SUMPRODUCT(--(calc!$BN$3:$BN$306=TRUE),--(calc!$BP$3:$BP$306&gt;BP108))+(SUMPRODUCT(--(calc!$BN$3:$BN$306=TRUE),--(calc!$BP$3:$BP$306=BP108))-1)/2,"")</f>
        <v/>
      </c>
      <c r="BU108" s="5">
        <f>IF(BN108,SUMPRODUCT(--(calc!$BN$3:$BN$306=TRUE),--(ROW(calc!$BN$3:$BN$306)&gt;ROW(BN108)),--(((calc!$BS$3:$BS$306&gt;BS108)*(calc!$BT$3:$BT$306&gt;BT108)+(calc!$BS$3:$BS$306&lt;BS108)*(calc!$BT$3:$BT$306&lt;BT108))&gt;0))-SUMPRODUCT(--(calc!$BN$3:$BN$306=TRUE),--(ROW(calc!$BN$3:$BN$306)&gt;ROW(BN108)),--(((calc!$BS$3:$BS$306&gt;BS108)*(calc!$BT$3:$BT$306&lt;BT108)+(calc!$BS$3:$BS$306&lt;BS108)*(calc!$BT$3:$BT$306&gt;BT108))&gt;0)),0)</f>
        <v/>
      </c>
    </row>
    <row r="109">
      <c r="A109" s="2">
        <f>mos_metrics!A108</f>
        <v/>
      </c>
      <c r="B109" s="2">
        <f>mos_metrics!B108</f>
        <v/>
      </c>
      <c r="C109" s="2">
        <f>mos_metrics!C108</f>
        <v/>
      </c>
      <c r="D109" s="2">
        <f>mos_metrics!D108</f>
        <v/>
      </c>
      <c r="E109" s="2">
        <f>mos_metrics!E108</f>
        <v/>
      </c>
      <c r="F109" s="2">
        <f>mos_metrics!F108</f>
        <v/>
      </c>
      <c r="G109" s="2">
        <f>IF($B109="","",IFERROR(VLOOKUP($B109,correlation!$A$2:$B$16,2,FALSE),1))</f>
        <v/>
      </c>
      <c r="H109" s="2">
        <f>IF($E109="","",IFERROR(VLOOKUP($E109,correlation!$D$2:$E$8,2,FALSE),1))</f>
        <v/>
      </c>
      <c r="I109" s="2">
        <f>ISNUMBER($F109)</f>
        <v/>
      </c>
      <c r="J109" s="2">
        <f>AND($G109=1,$H109=1,$I109)</f>
        <v/>
      </c>
      <c r="K109" s="5">
        <f>IF(mos_metrics!G108="","",mos_metrics!G108)</f>
        <v/>
      </c>
      <c r="L109" s="2">
        <f>AND($J109,ISNUMBER(K109),correlation!$I$26=1)</f>
        <v/>
      </c>
      <c r="M109" s="5">
        <f>IF(L109,$F109,"")</f>
        <v/>
      </c>
      <c r="N109" s="5">
        <f>IF(L109,K109*correlation!$J$26,"")</f>
        <v/>
      </c>
      <c r="O109" s="5">
        <f>IF(AND(L109,ISNUMBER(correlation!$F$26)),N109*correlation!$F$26+correlation!$G$26,"")</f>
        <v/>
      </c>
      <c r="P109" s="5">
        <f>IF(AND(L109,ISNUMBER(O109)),(M109-O109)^2,"")</f>
        <v/>
      </c>
      <c r="Q109" s="5">
        <f>IF(L109,1+SUMPRODUCT(--(calc!$L$3:$L$306=TRUE),--(calc!$M$3:$M$306&gt;M109))+(SUMPRODUCT(--(calc!$L$3:$L$306=TRUE),--(calc!$M$3:$M$306=M109))-1)/2,"")</f>
        <v/>
      </c>
      <c r="R109" s="5">
        <f>IF(L109,1+SUMPRODUCT(--(calc!$L$3:$L$306=TRUE),--(calc!$N$3:$N$306&gt;N109))+(SUMPRODUCT(--(calc!$L$3:$L$306=TRUE),--(calc!$N$3:$N$306=N109))-1)/2,"")</f>
        <v/>
      </c>
      <c r="S109" s="5">
        <f>IF(L109,SUMPRODUCT(--(calc!$L$3:$L$306=TRUE),--(ROW(calc!$L$3:$L$306)&gt;ROW(L109)),--(((calc!$Q$3:$Q$306&gt;Q109)*(calc!$R$3:$R$306&gt;R109)+(calc!$Q$3:$Q$306&lt;Q109)*(calc!$R$3:$R$306&lt;R109))&gt;0))-SUMPRODUCT(--(calc!$L$3:$L$306=TRUE),--(ROW(calc!$L$3:$L$306)&gt;ROW(L109)),--(((calc!$Q$3:$Q$306&gt;Q109)*(calc!$R$3:$R$306&lt;R109)+(calc!$Q$3:$Q$306&lt;Q109)*(calc!$R$3:$R$306&gt;R109))&gt;0)),0)</f>
        <v/>
      </c>
      <c r="T109" s="5">
        <f>IF(mos_metrics!H108="","",mos_metrics!H108)</f>
        <v/>
      </c>
      <c r="U109" s="2">
        <f>AND($J109,ISNUMBER(T109),correlation!$I$27=1)</f>
        <v/>
      </c>
      <c r="V109" s="5">
        <f>IF(U109,$F109,"")</f>
        <v/>
      </c>
      <c r="W109" s="5">
        <f>IF(U109,T109*correlation!$J$27,"")</f>
        <v/>
      </c>
      <c r="X109" s="5">
        <f>IF(AND(U109,ISNUMBER(correlation!$F$27)),W109*correlation!$F$27+correlation!$G$27,"")</f>
        <v/>
      </c>
      <c r="Y109" s="5">
        <f>IF(AND(U109,ISNUMBER(X109)),(V109-X109)^2,"")</f>
        <v/>
      </c>
      <c r="Z109" s="5">
        <f>IF(U109,1+SUMPRODUCT(--(calc!$U$3:$U$306=TRUE),--(calc!$V$3:$V$306&gt;V109))+(SUMPRODUCT(--(calc!$U$3:$U$306=TRUE),--(calc!$V$3:$V$306=V109))-1)/2,"")</f>
        <v/>
      </c>
      <c r="AA109" s="5">
        <f>IF(U109,1+SUMPRODUCT(--(calc!$U$3:$U$306=TRUE),--(calc!$W$3:$W$306&gt;W109))+(SUMPRODUCT(--(calc!$U$3:$U$306=TRUE),--(calc!$W$3:$W$306=W109))-1)/2,"")</f>
        <v/>
      </c>
      <c r="AB109" s="5">
        <f>IF(U109,SUMPRODUCT(--(calc!$U$3:$U$306=TRUE),--(ROW(calc!$U$3:$U$306)&gt;ROW(U109)),--(((calc!$Z$3:$Z$306&gt;Z109)*(calc!$AA$3:$AA$306&gt;AA109)+(calc!$Z$3:$Z$306&lt;Z109)*(calc!$AA$3:$AA$306&lt;AA109))&gt;0))-SUMPRODUCT(--(calc!$U$3:$U$306=TRUE),--(ROW(calc!$U$3:$U$306)&gt;ROW(U109)),--(((calc!$Z$3:$Z$306&gt;Z109)*(calc!$AA$3:$AA$306&lt;AA109)+(calc!$Z$3:$Z$306&lt;Z109)*(calc!$AA$3:$AA$306&gt;AA109))&gt;0)),0)</f>
        <v/>
      </c>
      <c r="AC109" s="5">
        <f>IF(mos_metrics!I108="","",mos_metrics!I108)</f>
        <v/>
      </c>
      <c r="AD109" s="2">
        <f>AND($J109,ISNUMBER(AC109),correlation!$I$28=1)</f>
        <v/>
      </c>
      <c r="AE109" s="5">
        <f>IF(AD109,$F109,"")</f>
        <v/>
      </c>
      <c r="AF109" s="5">
        <f>IF(AD109,AC109*correlation!$J$28,"")</f>
        <v/>
      </c>
      <c r="AG109" s="5">
        <f>IF(AND(AD109,ISNUMBER(correlation!$F$28)),AF109*correlation!$F$28+correlation!$G$28,"")</f>
        <v/>
      </c>
      <c r="AH109" s="5">
        <f>IF(AND(AD109,ISNUMBER(AG109)),(AE109-AG109)^2,"")</f>
        <v/>
      </c>
      <c r="AI109" s="5">
        <f>IF(AD109,1+SUMPRODUCT(--(calc!$AD$3:$AD$306=TRUE),--(calc!$AE$3:$AE$306&gt;AE109))+(SUMPRODUCT(--(calc!$AD$3:$AD$306=TRUE),--(calc!$AE$3:$AE$306=AE109))-1)/2,"")</f>
        <v/>
      </c>
      <c r="AJ109" s="5">
        <f>IF(AD109,1+SUMPRODUCT(--(calc!$AD$3:$AD$306=TRUE),--(calc!$AF$3:$AF$306&gt;AF109))+(SUMPRODUCT(--(calc!$AD$3:$AD$306=TRUE),--(calc!$AF$3:$AF$306=AF109))-1)/2,"")</f>
        <v/>
      </c>
      <c r="AK109" s="5">
        <f>IF(AD109,SUMPRODUCT(--(calc!$AD$3:$AD$306=TRUE),--(ROW(calc!$AD$3:$AD$306)&gt;ROW(AD109)),--(((calc!$AI$3:$AI$306&gt;AI109)*(calc!$AJ$3:$AJ$306&gt;AJ109)+(calc!$AI$3:$AI$306&lt;AI109)*(calc!$AJ$3:$AJ$306&lt;AJ109))&gt;0))-SUMPRODUCT(--(calc!$AD$3:$AD$306=TRUE),--(ROW(calc!$AD$3:$AD$306)&gt;ROW(AD109)),--(((calc!$AI$3:$AI$306&gt;AI109)*(calc!$AJ$3:$AJ$306&lt;AJ109)+(calc!$AI$3:$AI$306&lt;AI109)*(calc!$AJ$3:$AJ$306&gt;AJ109))&gt;0)),0)</f>
        <v/>
      </c>
      <c r="AL109" s="5">
        <f>IF(mos_metrics!J108="","",mos_metrics!J108)</f>
        <v/>
      </c>
      <c r="AM109" s="2">
        <f>AND($J109,ISNUMBER(AL109),correlation!$I$29=1)</f>
        <v/>
      </c>
      <c r="AN109" s="5">
        <f>IF(AM109,$F109,"")</f>
        <v/>
      </c>
      <c r="AO109" s="5">
        <f>IF(AM109,AL109*correlation!$J$29,"")</f>
        <v/>
      </c>
      <c r="AP109" s="5">
        <f>IF(AND(AM109,ISNUMBER(correlation!$F$29)),AO109*correlation!$F$29+correlation!$G$29,"")</f>
        <v/>
      </c>
      <c r="AQ109" s="5">
        <f>IF(AND(AM109,ISNUMBER(AP109)),(AN109-AP109)^2,"")</f>
        <v/>
      </c>
      <c r="AR109" s="5">
        <f>IF(AM109,1+SUMPRODUCT(--(calc!$AM$3:$AM$306=TRUE),--(calc!$AN$3:$AN$306&gt;AN109))+(SUMPRODUCT(--(calc!$AM$3:$AM$306=TRUE),--(calc!$AN$3:$AN$306=AN109))-1)/2,"")</f>
        <v/>
      </c>
      <c r="AS109" s="5">
        <f>IF(AM109,1+SUMPRODUCT(--(calc!$AM$3:$AM$306=TRUE),--(calc!$AO$3:$AO$306&gt;AO109))+(SUMPRODUCT(--(calc!$AM$3:$AM$306=TRUE),--(calc!$AO$3:$AO$306=AO109))-1)/2,"")</f>
        <v/>
      </c>
      <c r="AT109" s="5">
        <f>IF(AM109,SUMPRODUCT(--(calc!$AM$3:$AM$306=TRUE),--(ROW(calc!$AM$3:$AM$306)&gt;ROW(AM109)),--(((calc!$AR$3:$AR$306&gt;AR109)*(calc!$AS$3:$AS$306&gt;AS109)+(calc!$AR$3:$AR$306&lt;AR109)*(calc!$AS$3:$AS$306&lt;AS109))&gt;0))-SUMPRODUCT(--(calc!$AM$3:$AM$306=TRUE),--(ROW(calc!$AM$3:$AM$306)&gt;ROW(AM109)),--(((calc!$AR$3:$AR$306&gt;AR109)*(calc!$AS$3:$AS$306&lt;AS109)+(calc!$AR$3:$AR$306&lt;AR109)*(calc!$AS$3:$AS$306&gt;AS109))&gt;0)),0)</f>
        <v/>
      </c>
      <c r="AU109" s="5">
        <f>IF(mos_metrics!K108="","",mos_metrics!K108)</f>
        <v/>
      </c>
      <c r="AV109" s="2">
        <f>AND($J109,ISNUMBER(AU109),correlation!$I$30=1)</f>
        <v/>
      </c>
      <c r="AW109" s="5">
        <f>IF(AV109,$F109,"")</f>
        <v/>
      </c>
      <c r="AX109" s="5">
        <f>IF(AV109,AU109*correlation!$J$30,"")</f>
        <v/>
      </c>
      <c r="AY109" s="5">
        <f>IF(AND(AV109,ISNUMBER(correlation!$F$30)),AX109*correlation!$F$30+correlation!$G$30,"")</f>
        <v/>
      </c>
      <c r="AZ109" s="5">
        <f>IF(AND(AV109,ISNUMBER(AY109)),(AW109-AY109)^2,"")</f>
        <v/>
      </c>
      <c r="BA109" s="5">
        <f>IF(AV109,1+SUMPRODUCT(--(calc!$AV$3:$AV$306=TRUE),--(calc!$AW$3:$AW$306&gt;AW109))+(SUMPRODUCT(--(calc!$AV$3:$AV$306=TRUE),--(calc!$AW$3:$AW$306=AW109))-1)/2,"")</f>
        <v/>
      </c>
      <c r="BB109" s="5">
        <f>IF(AV109,1+SUMPRODUCT(--(calc!$AV$3:$AV$306=TRUE),--(calc!$AX$3:$AX$306&gt;AX109))+(SUMPRODUCT(--(calc!$AV$3:$AV$306=TRUE),--(calc!$AX$3:$AX$306=AX109))-1)/2,"")</f>
        <v/>
      </c>
      <c r="BC109" s="5">
        <f>IF(AV109,SUMPRODUCT(--(calc!$AV$3:$AV$306=TRUE),--(ROW(calc!$AV$3:$AV$306)&gt;ROW(AV109)),--(((calc!$BA$3:$BA$306&gt;BA109)*(calc!$BB$3:$BB$306&gt;BB109)+(calc!$BA$3:$BA$306&lt;BA109)*(calc!$BB$3:$BB$306&lt;BB109))&gt;0))-SUMPRODUCT(--(calc!$AV$3:$AV$306=TRUE),--(ROW(calc!$AV$3:$AV$306)&gt;ROW(AV109)),--(((calc!$BA$3:$BA$306&gt;BA109)*(calc!$BB$3:$BB$306&lt;BB109)+(calc!$BA$3:$BA$306&lt;BA109)*(calc!$BB$3:$BB$306&gt;BB109))&gt;0)),0)</f>
        <v/>
      </c>
      <c r="BD109" s="5">
        <f>IF(mos_metrics!L108="","",mos_metrics!L108)</f>
        <v/>
      </c>
      <c r="BE109" s="2">
        <f>AND($J109,ISNUMBER(BD109),correlation!$I$31=1)</f>
        <v/>
      </c>
      <c r="BF109" s="5">
        <f>IF(BE109,$F109,"")</f>
        <v/>
      </c>
      <c r="BG109" s="5">
        <f>IF(BE109,BD109*correlation!$J$31,"")</f>
        <v/>
      </c>
      <c r="BH109" s="5">
        <f>IF(AND(BE109,ISNUMBER(correlation!$F$31)),BG109*correlation!$F$31+correlation!$G$31,"")</f>
        <v/>
      </c>
      <c r="BI109" s="5">
        <f>IF(AND(BE109,ISNUMBER(BH109)),(BF109-BH109)^2,"")</f>
        <v/>
      </c>
      <c r="BJ109" s="5">
        <f>IF(BE109,1+SUMPRODUCT(--(calc!$BE$3:$BE$306=TRUE),--(calc!$BF$3:$BF$306&gt;BF109))+(SUMPRODUCT(--(calc!$BE$3:$BE$306=TRUE),--(calc!$BF$3:$BF$306=BF109))-1)/2,"")</f>
        <v/>
      </c>
      <c r="BK109" s="5">
        <f>IF(BE109,1+SUMPRODUCT(--(calc!$BE$3:$BE$306=TRUE),--(calc!$BG$3:$BG$306&gt;BG109))+(SUMPRODUCT(--(calc!$BE$3:$BE$306=TRUE),--(calc!$BG$3:$BG$306=BG109))-1)/2,"")</f>
        <v/>
      </c>
      <c r="BL109" s="5">
        <f>IF(BE109,SUMPRODUCT(--(calc!$BE$3:$BE$306=TRUE),--(ROW(calc!$BE$3:$BE$306)&gt;ROW(BE109)),--(((calc!$BJ$3:$BJ$306&gt;BJ109)*(calc!$BK$3:$BK$306&gt;BK109)+(calc!$BJ$3:$BJ$306&lt;BJ109)*(calc!$BK$3:$BK$306&lt;BK109))&gt;0))-SUMPRODUCT(--(calc!$BE$3:$BE$306=TRUE),--(ROW(calc!$BE$3:$BE$306)&gt;ROW(BE109)),--(((calc!$BJ$3:$BJ$306&gt;BJ109)*(calc!$BK$3:$BK$306&lt;BK109)+(calc!$BJ$3:$BJ$306&lt;BJ109)*(calc!$BK$3:$BK$306&gt;BK109))&gt;0)),0)</f>
        <v/>
      </c>
      <c r="BM109" s="5">
        <f>IF(mos_metrics!M108="","",mos_metrics!M108)</f>
        <v/>
      </c>
      <c r="BN109" s="2">
        <f>AND($J109,ISNUMBER(BM109),correlation!$I$32=1)</f>
        <v/>
      </c>
      <c r="BO109" s="5">
        <f>IF(BN109,$F109,"")</f>
        <v/>
      </c>
      <c r="BP109" s="5">
        <f>IF(BN109,BM109*correlation!$J$32,"")</f>
        <v/>
      </c>
      <c r="BQ109" s="5">
        <f>IF(AND(BN109,ISNUMBER(correlation!$F$32)),BP109*correlation!$F$32+correlation!$G$32,"")</f>
        <v/>
      </c>
      <c r="BR109" s="5">
        <f>IF(AND(BN109,ISNUMBER(BQ109)),(BO109-BQ109)^2,"")</f>
        <v/>
      </c>
      <c r="BS109" s="5">
        <f>IF(BN109,1+SUMPRODUCT(--(calc!$BN$3:$BN$306=TRUE),--(calc!$BO$3:$BO$306&gt;BO109))+(SUMPRODUCT(--(calc!$BN$3:$BN$306=TRUE),--(calc!$BO$3:$BO$306=BO109))-1)/2,"")</f>
        <v/>
      </c>
      <c r="BT109" s="5">
        <f>IF(BN109,1+SUMPRODUCT(--(calc!$BN$3:$BN$306=TRUE),--(calc!$BP$3:$BP$306&gt;BP109))+(SUMPRODUCT(--(calc!$BN$3:$BN$306=TRUE),--(calc!$BP$3:$BP$306=BP109))-1)/2,"")</f>
        <v/>
      </c>
      <c r="BU109" s="5">
        <f>IF(BN109,SUMPRODUCT(--(calc!$BN$3:$BN$306=TRUE),--(ROW(calc!$BN$3:$BN$306)&gt;ROW(BN109)),--(((calc!$BS$3:$BS$306&gt;BS109)*(calc!$BT$3:$BT$306&gt;BT109)+(calc!$BS$3:$BS$306&lt;BS109)*(calc!$BT$3:$BT$306&lt;BT109))&gt;0))-SUMPRODUCT(--(calc!$BN$3:$BN$306=TRUE),--(ROW(calc!$BN$3:$BN$306)&gt;ROW(BN109)),--(((calc!$BS$3:$BS$306&gt;BS109)*(calc!$BT$3:$BT$306&lt;BT109)+(calc!$BS$3:$BS$306&lt;BS109)*(calc!$BT$3:$BT$306&gt;BT109))&gt;0)),0)</f>
        <v/>
      </c>
    </row>
    <row r="110">
      <c r="A110" s="2">
        <f>mos_metrics!A109</f>
        <v/>
      </c>
      <c r="B110" s="2">
        <f>mos_metrics!B109</f>
        <v/>
      </c>
      <c r="C110" s="2">
        <f>mos_metrics!C109</f>
        <v/>
      </c>
      <c r="D110" s="2">
        <f>mos_metrics!D109</f>
        <v/>
      </c>
      <c r="E110" s="2">
        <f>mos_metrics!E109</f>
        <v/>
      </c>
      <c r="F110" s="2">
        <f>mos_metrics!F109</f>
        <v/>
      </c>
      <c r="G110" s="2">
        <f>IF($B110="","",IFERROR(VLOOKUP($B110,correlation!$A$2:$B$16,2,FALSE),1))</f>
        <v/>
      </c>
      <c r="H110" s="2">
        <f>IF($E110="","",IFERROR(VLOOKUP($E110,correlation!$D$2:$E$8,2,FALSE),1))</f>
        <v/>
      </c>
      <c r="I110" s="2">
        <f>ISNUMBER($F110)</f>
        <v/>
      </c>
      <c r="J110" s="2">
        <f>AND($G110=1,$H110=1,$I110)</f>
        <v/>
      </c>
      <c r="K110" s="5">
        <f>IF(mos_metrics!G109="","",mos_metrics!G109)</f>
        <v/>
      </c>
      <c r="L110" s="2">
        <f>AND($J110,ISNUMBER(K110),correlation!$I$26=1)</f>
        <v/>
      </c>
      <c r="M110" s="5">
        <f>IF(L110,$F110,"")</f>
        <v/>
      </c>
      <c r="N110" s="5">
        <f>IF(L110,K110*correlation!$J$26,"")</f>
        <v/>
      </c>
      <c r="O110" s="5">
        <f>IF(AND(L110,ISNUMBER(correlation!$F$26)),N110*correlation!$F$26+correlation!$G$26,"")</f>
        <v/>
      </c>
      <c r="P110" s="5">
        <f>IF(AND(L110,ISNUMBER(O110)),(M110-O110)^2,"")</f>
        <v/>
      </c>
      <c r="Q110" s="5">
        <f>IF(L110,1+SUMPRODUCT(--(calc!$L$3:$L$306=TRUE),--(calc!$M$3:$M$306&gt;M110))+(SUMPRODUCT(--(calc!$L$3:$L$306=TRUE),--(calc!$M$3:$M$306=M110))-1)/2,"")</f>
        <v/>
      </c>
      <c r="R110" s="5">
        <f>IF(L110,1+SUMPRODUCT(--(calc!$L$3:$L$306=TRUE),--(calc!$N$3:$N$306&gt;N110))+(SUMPRODUCT(--(calc!$L$3:$L$306=TRUE),--(calc!$N$3:$N$306=N110))-1)/2,"")</f>
        <v/>
      </c>
      <c r="S110" s="5">
        <f>IF(L110,SUMPRODUCT(--(calc!$L$3:$L$306=TRUE),--(ROW(calc!$L$3:$L$306)&gt;ROW(L110)),--(((calc!$Q$3:$Q$306&gt;Q110)*(calc!$R$3:$R$306&gt;R110)+(calc!$Q$3:$Q$306&lt;Q110)*(calc!$R$3:$R$306&lt;R110))&gt;0))-SUMPRODUCT(--(calc!$L$3:$L$306=TRUE),--(ROW(calc!$L$3:$L$306)&gt;ROW(L110)),--(((calc!$Q$3:$Q$306&gt;Q110)*(calc!$R$3:$R$306&lt;R110)+(calc!$Q$3:$Q$306&lt;Q110)*(calc!$R$3:$R$306&gt;R110))&gt;0)),0)</f>
        <v/>
      </c>
      <c r="T110" s="5">
        <f>IF(mos_metrics!H109="","",mos_metrics!H109)</f>
        <v/>
      </c>
      <c r="U110" s="2">
        <f>AND($J110,ISNUMBER(T110),correlation!$I$27=1)</f>
        <v/>
      </c>
      <c r="V110" s="5">
        <f>IF(U110,$F110,"")</f>
        <v/>
      </c>
      <c r="W110" s="5">
        <f>IF(U110,T110*correlation!$J$27,"")</f>
        <v/>
      </c>
      <c r="X110" s="5">
        <f>IF(AND(U110,ISNUMBER(correlation!$F$27)),W110*correlation!$F$27+correlation!$G$27,"")</f>
        <v/>
      </c>
      <c r="Y110" s="5">
        <f>IF(AND(U110,ISNUMBER(X110)),(V110-X110)^2,"")</f>
        <v/>
      </c>
      <c r="Z110" s="5">
        <f>IF(U110,1+SUMPRODUCT(--(calc!$U$3:$U$306=TRUE),--(calc!$V$3:$V$306&gt;V110))+(SUMPRODUCT(--(calc!$U$3:$U$306=TRUE),--(calc!$V$3:$V$306=V110))-1)/2,"")</f>
        <v/>
      </c>
      <c r="AA110" s="5">
        <f>IF(U110,1+SUMPRODUCT(--(calc!$U$3:$U$306=TRUE),--(calc!$W$3:$W$306&gt;W110))+(SUMPRODUCT(--(calc!$U$3:$U$306=TRUE),--(calc!$W$3:$W$306=W110))-1)/2,"")</f>
        <v/>
      </c>
      <c r="AB110" s="5">
        <f>IF(U110,SUMPRODUCT(--(calc!$U$3:$U$306=TRUE),--(ROW(calc!$U$3:$U$306)&gt;ROW(U110)),--(((calc!$Z$3:$Z$306&gt;Z110)*(calc!$AA$3:$AA$306&gt;AA110)+(calc!$Z$3:$Z$306&lt;Z110)*(calc!$AA$3:$AA$306&lt;AA110))&gt;0))-SUMPRODUCT(--(calc!$U$3:$U$306=TRUE),--(ROW(calc!$U$3:$U$306)&gt;ROW(U110)),--(((calc!$Z$3:$Z$306&gt;Z110)*(calc!$AA$3:$AA$306&lt;AA110)+(calc!$Z$3:$Z$306&lt;Z110)*(calc!$AA$3:$AA$306&gt;AA110))&gt;0)),0)</f>
        <v/>
      </c>
      <c r="AC110" s="5">
        <f>IF(mos_metrics!I109="","",mos_metrics!I109)</f>
        <v/>
      </c>
      <c r="AD110" s="2">
        <f>AND($J110,ISNUMBER(AC110),correlation!$I$28=1)</f>
        <v/>
      </c>
      <c r="AE110" s="5">
        <f>IF(AD110,$F110,"")</f>
        <v/>
      </c>
      <c r="AF110" s="5">
        <f>IF(AD110,AC110*correlation!$J$28,"")</f>
        <v/>
      </c>
      <c r="AG110" s="5">
        <f>IF(AND(AD110,ISNUMBER(correlation!$F$28)),AF110*correlation!$F$28+correlation!$G$28,"")</f>
        <v/>
      </c>
      <c r="AH110" s="5">
        <f>IF(AND(AD110,ISNUMBER(AG110)),(AE110-AG110)^2,"")</f>
        <v/>
      </c>
      <c r="AI110" s="5">
        <f>IF(AD110,1+SUMPRODUCT(--(calc!$AD$3:$AD$306=TRUE),--(calc!$AE$3:$AE$306&gt;AE110))+(SUMPRODUCT(--(calc!$AD$3:$AD$306=TRUE),--(calc!$AE$3:$AE$306=AE110))-1)/2,"")</f>
        <v/>
      </c>
      <c r="AJ110" s="5">
        <f>IF(AD110,1+SUMPRODUCT(--(calc!$AD$3:$AD$306=TRUE),--(calc!$AF$3:$AF$306&gt;AF110))+(SUMPRODUCT(--(calc!$AD$3:$AD$306=TRUE),--(calc!$AF$3:$AF$306=AF110))-1)/2,"")</f>
        <v/>
      </c>
      <c r="AK110" s="5">
        <f>IF(AD110,SUMPRODUCT(--(calc!$AD$3:$AD$306=TRUE),--(ROW(calc!$AD$3:$AD$306)&gt;ROW(AD110)),--(((calc!$AI$3:$AI$306&gt;AI110)*(calc!$AJ$3:$AJ$306&gt;AJ110)+(calc!$AI$3:$AI$306&lt;AI110)*(calc!$AJ$3:$AJ$306&lt;AJ110))&gt;0))-SUMPRODUCT(--(calc!$AD$3:$AD$306=TRUE),--(ROW(calc!$AD$3:$AD$306)&gt;ROW(AD110)),--(((calc!$AI$3:$AI$306&gt;AI110)*(calc!$AJ$3:$AJ$306&lt;AJ110)+(calc!$AI$3:$AI$306&lt;AI110)*(calc!$AJ$3:$AJ$306&gt;AJ110))&gt;0)),0)</f>
        <v/>
      </c>
      <c r="AL110" s="5">
        <f>IF(mos_metrics!J109="","",mos_metrics!J109)</f>
        <v/>
      </c>
      <c r="AM110" s="2">
        <f>AND($J110,ISNUMBER(AL110),correlation!$I$29=1)</f>
        <v/>
      </c>
      <c r="AN110" s="5">
        <f>IF(AM110,$F110,"")</f>
        <v/>
      </c>
      <c r="AO110" s="5">
        <f>IF(AM110,AL110*correlation!$J$29,"")</f>
        <v/>
      </c>
      <c r="AP110" s="5">
        <f>IF(AND(AM110,ISNUMBER(correlation!$F$29)),AO110*correlation!$F$29+correlation!$G$29,"")</f>
        <v/>
      </c>
      <c r="AQ110" s="5">
        <f>IF(AND(AM110,ISNUMBER(AP110)),(AN110-AP110)^2,"")</f>
        <v/>
      </c>
      <c r="AR110" s="5">
        <f>IF(AM110,1+SUMPRODUCT(--(calc!$AM$3:$AM$306=TRUE),--(calc!$AN$3:$AN$306&gt;AN110))+(SUMPRODUCT(--(calc!$AM$3:$AM$306=TRUE),--(calc!$AN$3:$AN$306=AN110))-1)/2,"")</f>
        <v/>
      </c>
      <c r="AS110" s="5">
        <f>IF(AM110,1+SUMPRODUCT(--(calc!$AM$3:$AM$306=TRUE),--(calc!$AO$3:$AO$306&gt;AO110))+(SUMPRODUCT(--(calc!$AM$3:$AM$306=TRUE),--(calc!$AO$3:$AO$306=AO110))-1)/2,"")</f>
        <v/>
      </c>
      <c r="AT110" s="5">
        <f>IF(AM110,SUMPRODUCT(--(calc!$AM$3:$AM$306=TRUE),--(ROW(calc!$AM$3:$AM$306)&gt;ROW(AM110)),--(((calc!$AR$3:$AR$306&gt;AR110)*(calc!$AS$3:$AS$306&gt;AS110)+(calc!$AR$3:$AR$306&lt;AR110)*(calc!$AS$3:$AS$306&lt;AS110))&gt;0))-SUMPRODUCT(--(calc!$AM$3:$AM$306=TRUE),--(ROW(calc!$AM$3:$AM$306)&gt;ROW(AM110)),--(((calc!$AR$3:$AR$306&gt;AR110)*(calc!$AS$3:$AS$306&lt;AS110)+(calc!$AR$3:$AR$306&lt;AR110)*(calc!$AS$3:$AS$306&gt;AS110))&gt;0)),0)</f>
        <v/>
      </c>
      <c r="AU110" s="5">
        <f>IF(mos_metrics!K109="","",mos_metrics!K109)</f>
        <v/>
      </c>
      <c r="AV110" s="2">
        <f>AND($J110,ISNUMBER(AU110),correlation!$I$30=1)</f>
        <v/>
      </c>
      <c r="AW110" s="5">
        <f>IF(AV110,$F110,"")</f>
        <v/>
      </c>
      <c r="AX110" s="5">
        <f>IF(AV110,AU110*correlation!$J$30,"")</f>
        <v/>
      </c>
      <c r="AY110" s="5">
        <f>IF(AND(AV110,ISNUMBER(correlation!$F$30)),AX110*correlation!$F$30+correlation!$G$30,"")</f>
        <v/>
      </c>
      <c r="AZ110" s="5">
        <f>IF(AND(AV110,ISNUMBER(AY110)),(AW110-AY110)^2,"")</f>
        <v/>
      </c>
      <c r="BA110" s="5">
        <f>IF(AV110,1+SUMPRODUCT(--(calc!$AV$3:$AV$306=TRUE),--(calc!$AW$3:$AW$306&gt;AW110))+(SUMPRODUCT(--(calc!$AV$3:$AV$306=TRUE),--(calc!$AW$3:$AW$306=AW110))-1)/2,"")</f>
        <v/>
      </c>
      <c r="BB110" s="5">
        <f>IF(AV110,1+SUMPRODUCT(--(calc!$AV$3:$AV$306=TRUE),--(calc!$AX$3:$AX$306&gt;AX110))+(SUMPRODUCT(--(calc!$AV$3:$AV$306=TRUE),--(calc!$AX$3:$AX$306=AX110))-1)/2,"")</f>
        <v/>
      </c>
      <c r="BC110" s="5">
        <f>IF(AV110,SUMPRODUCT(--(calc!$AV$3:$AV$306=TRUE),--(ROW(calc!$AV$3:$AV$306)&gt;ROW(AV110)),--(((calc!$BA$3:$BA$306&gt;BA110)*(calc!$BB$3:$BB$306&gt;BB110)+(calc!$BA$3:$BA$306&lt;BA110)*(calc!$BB$3:$BB$306&lt;BB110))&gt;0))-SUMPRODUCT(--(calc!$AV$3:$AV$306=TRUE),--(ROW(calc!$AV$3:$AV$306)&gt;ROW(AV110)),--(((calc!$BA$3:$BA$306&gt;BA110)*(calc!$BB$3:$BB$306&lt;BB110)+(calc!$BA$3:$BA$306&lt;BA110)*(calc!$BB$3:$BB$306&gt;BB110))&gt;0)),0)</f>
        <v/>
      </c>
      <c r="BD110" s="5">
        <f>IF(mos_metrics!L109="","",mos_metrics!L109)</f>
        <v/>
      </c>
      <c r="BE110" s="2">
        <f>AND($J110,ISNUMBER(BD110),correlation!$I$31=1)</f>
        <v/>
      </c>
      <c r="BF110" s="5">
        <f>IF(BE110,$F110,"")</f>
        <v/>
      </c>
      <c r="BG110" s="5">
        <f>IF(BE110,BD110*correlation!$J$31,"")</f>
        <v/>
      </c>
      <c r="BH110" s="5">
        <f>IF(AND(BE110,ISNUMBER(correlation!$F$31)),BG110*correlation!$F$31+correlation!$G$31,"")</f>
        <v/>
      </c>
      <c r="BI110" s="5">
        <f>IF(AND(BE110,ISNUMBER(BH110)),(BF110-BH110)^2,"")</f>
        <v/>
      </c>
      <c r="BJ110" s="5">
        <f>IF(BE110,1+SUMPRODUCT(--(calc!$BE$3:$BE$306=TRUE),--(calc!$BF$3:$BF$306&gt;BF110))+(SUMPRODUCT(--(calc!$BE$3:$BE$306=TRUE),--(calc!$BF$3:$BF$306=BF110))-1)/2,"")</f>
        <v/>
      </c>
      <c r="BK110" s="5">
        <f>IF(BE110,1+SUMPRODUCT(--(calc!$BE$3:$BE$306=TRUE),--(calc!$BG$3:$BG$306&gt;BG110))+(SUMPRODUCT(--(calc!$BE$3:$BE$306=TRUE),--(calc!$BG$3:$BG$306=BG110))-1)/2,"")</f>
        <v/>
      </c>
      <c r="BL110" s="5">
        <f>IF(BE110,SUMPRODUCT(--(calc!$BE$3:$BE$306=TRUE),--(ROW(calc!$BE$3:$BE$306)&gt;ROW(BE110)),--(((calc!$BJ$3:$BJ$306&gt;BJ110)*(calc!$BK$3:$BK$306&gt;BK110)+(calc!$BJ$3:$BJ$306&lt;BJ110)*(calc!$BK$3:$BK$306&lt;BK110))&gt;0))-SUMPRODUCT(--(calc!$BE$3:$BE$306=TRUE),--(ROW(calc!$BE$3:$BE$306)&gt;ROW(BE110)),--(((calc!$BJ$3:$BJ$306&gt;BJ110)*(calc!$BK$3:$BK$306&lt;BK110)+(calc!$BJ$3:$BJ$306&lt;BJ110)*(calc!$BK$3:$BK$306&gt;BK110))&gt;0)),0)</f>
        <v/>
      </c>
      <c r="BM110" s="5">
        <f>IF(mos_metrics!M109="","",mos_metrics!M109)</f>
        <v/>
      </c>
      <c r="BN110" s="2">
        <f>AND($J110,ISNUMBER(BM110),correlation!$I$32=1)</f>
        <v/>
      </c>
      <c r="BO110" s="5">
        <f>IF(BN110,$F110,"")</f>
        <v/>
      </c>
      <c r="BP110" s="5">
        <f>IF(BN110,BM110*correlation!$J$32,"")</f>
        <v/>
      </c>
      <c r="BQ110" s="5">
        <f>IF(AND(BN110,ISNUMBER(correlation!$F$32)),BP110*correlation!$F$32+correlation!$G$32,"")</f>
        <v/>
      </c>
      <c r="BR110" s="5">
        <f>IF(AND(BN110,ISNUMBER(BQ110)),(BO110-BQ110)^2,"")</f>
        <v/>
      </c>
      <c r="BS110" s="5">
        <f>IF(BN110,1+SUMPRODUCT(--(calc!$BN$3:$BN$306=TRUE),--(calc!$BO$3:$BO$306&gt;BO110))+(SUMPRODUCT(--(calc!$BN$3:$BN$306=TRUE),--(calc!$BO$3:$BO$306=BO110))-1)/2,"")</f>
        <v/>
      </c>
      <c r="BT110" s="5">
        <f>IF(BN110,1+SUMPRODUCT(--(calc!$BN$3:$BN$306=TRUE),--(calc!$BP$3:$BP$306&gt;BP110))+(SUMPRODUCT(--(calc!$BN$3:$BN$306=TRUE),--(calc!$BP$3:$BP$306=BP110))-1)/2,"")</f>
        <v/>
      </c>
      <c r="BU110" s="5">
        <f>IF(BN110,SUMPRODUCT(--(calc!$BN$3:$BN$306=TRUE),--(ROW(calc!$BN$3:$BN$306)&gt;ROW(BN110)),--(((calc!$BS$3:$BS$306&gt;BS110)*(calc!$BT$3:$BT$306&gt;BT110)+(calc!$BS$3:$BS$306&lt;BS110)*(calc!$BT$3:$BT$306&lt;BT110))&gt;0))-SUMPRODUCT(--(calc!$BN$3:$BN$306=TRUE),--(ROW(calc!$BN$3:$BN$306)&gt;ROW(BN110)),--(((calc!$BS$3:$BS$306&gt;BS110)*(calc!$BT$3:$BT$306&lt;BT110)+(calc!$BS$3:$BS$306&lt;BS110)*(calc!$BT$3:$BT$306&gt;BT110))&gt;0)),0)</f>
        <v/>
      </c>
    </row>
    <row r="111">
      <c r="A111" s="2">
        <f>mos_metrics!A110</f>
        <v/>
      </c>
      <c r="B111" s="2">
        <f>mos_metrics!B110</f>
        <v/>
      </c>
      <c r="C111" s="2">
        <f>mos_metrics!C110</f>
        <v/>
      </c>
      <c r="D111" s="2">
        <f>mos_metrics!D110</f>
        <v/>
      </c>
      <c r="E111" s="2">
        <f>mos_metrics!E110</f>
        <v/>
      </c>
      <c r="F111" s="2">
        <f>mos_metrics!F110</f>
        <v/>
      </c>
      <c r="G111" s="2">
        <f>IF($B111="","",IFERROR(VLOOKUP($B111,correlation!$A$2:$B$16,2,FALSE),1))</f>
        <v/>
      </c>
      <c r="H111" s="2">
        <f>IF($E111="","",IFERROR(VLOOKUP($E111,correlation!$D$2:$E$8,2,FALSE),1))</f>
        <v/>
      </c>
      <c r="I111" s="2">
        <f>ISNUMBER($F111)</f>
        <v/>
      </c>
      <c r="J111" s="2">
        <f>AND($G111=1,$H111=1,$I111)</f>
        <v/>
      </c>
      <c r="K111" s="5">
        <f>IF(mos_metrics!G110="","",mos_metrics!G110)</f>
        <v/>
      </c>
      <c r="L111" s="2">
        <f>AND($J111,ISNUMBER(K111),correlation!$I$26=1)</f>
        <v/>
      </c>
      <c r="M111" s="5">
        <f>IF(L111,$F111,"")</f>
        <v/>
      </c>
      <c r="N111" s="5">
        <f>IF(L111,K111*correlation!$J$26,"")</f>
        <v/>
      </c>
      <c r="O111" s="5">
        <f>IF(AND(L111,ISNUMBER(correlation!$F$26)),N111*correlation!$F$26+correlation!$G$26,"")</f>
        <v/>
      </c>
      <c r="P111" s="5">
        <f>IF(AND(L111,ISNUMBER(O111)),(M111-O111)^2,"")</f>
        <v/>
      </c>
      <c r="Q111" s="5">
        <f>IF(L111,1+SUMPRODUCT(--(calc!$L$3:$L$306=TRUE),--(calc!$M$3:$M$306&gt;M111))+(SUMPRODUCT(--(calc!$L$3:$L$306=TRUE),--(calc!$M$3:$M$306=M111))-1)/2,"")</f>
        <v/>
      </c>
      <c r="R111" s="5">
        <f>IF(L111,1+SUMPRODUCT(--(calc!$L$3:$L$306=TRUE),--(calc!$N$3:$N$306&gt;N111))+(SUMPRODUCT(--(calc!$L$3:$L$306=TRUE),--(calc!$N$3:$N$306=N111))-1)/2,"")</f>
        <v/>
      </c>
      <c r="S111" s="5">
        <f>IF(L111,SUMPRODUCT(--(calc!$L$3:$L$306=TRUE),--(ROW(calc!$L$3:$L$306)&gt;ROW(L111)),--(((calc!$Q$3:$Q$306&gt;Q111)*(calc!$R$3:$R$306&gt;R111)+(calc!$Q$3:$Q$306&lt;Q111)*(calc!$R$3:$R$306&lt;R111))&gt;0))-SUMPRODUCT(--(calc!$L$3:$L$306=TRUE),--(ROW(calc!$L$3:$L$306)&gt;ROW(L111)),--(((calc!$Q$3:$Q$306&gt;Q111)*(calc!$R$3:$R$306&lt;R111)+(calc!$Q$3:$Q$306&lt;Q111)*(calc!$R$3:$R$306&gt;R111))&gt;0)),0)</f>
        <v/>
      </c>
      <c r="T111" s="5">
        <f>IF(mos_metrics!H110="","",mos_metrics!H110)</f>
        <v/>
      </c>
      <c r="U111" s="2">
        <f>AND($J111,ISNUMBER(T111),correlation!$I$27=1)</f>
        <v/>
      </c>
      <c r="V111" s="5">
        <f>IF(U111,$F111,"")</f>
        <v/>
      </c>
      <c r="W111" s="5">
        <f>IF(U111,T111*correlation!$J$27,"")</f>
        <v/>
      </c>
      <c r="X111" s="5">
        <f>IF(AND(U111,ISNUMBER(correlation!$F$27)),W111*correlation!$F$27+correlation!$G$27,"")</f>
        <v/>
      </c>
      <c r="Y111" s="5">
        <f>IF(AND(U111,ISNUMBER(X111)),(V111-X111)^2,"")</f>
        <v/>
      </c>
      <c r="Z111" s="5">
        <f>IF(U111,1+SUMPRODUCT(--(calc!$U$3:$U$306=TRUE),--(calc!$V$3:$V$306&gt;V111))+(SUMPRODUCT(--(calc!$U$3:$U$306=TRUE),--(calc!$V$3:$V$306=V111))-1)/2,"")</f>
        <v/>
      </c>
      <c r="AA111" s="5">
        <f>IF(U111,1+SUMPRODUCT(--(calc!$U$3:$U$306=TRUE),--(calc!$W$3:$W$306&gt;W111))+(SUMPRODUCT(--(calc!$U$3:$U$306=TRUE),--(calc!$W$3:$W$306=W111))-1)/2,"")</f>
        <v/>
      </c>
      <c r="AB111" s="5">
        <f>IF(U111,SUMPRODUCT(--(calc!$U$3:$U$306=TRUE),--(ROW(calc!$U$3:$U$306)&gt;ROW(U111)),--(((calc!$Z$3:$Z$306&gt;Z111)*(calc!$AA$3:$AA$306&gt;AA111)+(calc!$Z$3:$Z$306&lt;Z111)*(calc!$AA$3:$AA$306&lt;AA111))&gt;0))-SUMPRODUCT(--(calc!$U$3:$U$306=TRUE),--(ROW(calc!$U$3:$U$306)&gt;ROW(U111)),--(((calc!$Z$3:$Z$306&gt;Z111)*(calc!$AA$3:$AA$306&lt;AA111)+(calc!$Z$3:$Z$306&lt;Z111)*(calc!$AA$3:$AA$306&gt;AA111))&gt;0)),0)</f>
        <v/>
      </c>
      <c r="AC111" s="5">
        <f>IF(mos_metrics!I110="","",mos_metrics!I110)</f>
        <v/>
      </c>
      <c r="AD111" s="2">
        <f>AND($J111,ISNUMBER(AC111),correlation!$I$28=1)</f>
        <v/>
      </c>
      <c r="AE111" s="5">
        <f>IF(AD111,$F111,"")</f>
        <v/>
      </c>
      <c r="AF111" s="5">
        <f>IF(AD111,AC111*correlation!$J$28,"")</f>
        <v/>
      </c>
      <c r="AG111" s="5">
        <f>IF(AND(AD111,ISNUMBER(correlation!$F$28)),AF111*correlation!$F$28+correlation!$G$28,"")</f>
        <v/>
      </c>
      <c r="AH111" s="5">
        <f>IF(AND(AD111,ISNUMBER(AG111)),(AE111-AG111)^2,"")</f>
        <v/>
      </c>
      <c r="AI111" s="5">
        <f>IF(AD111,1+SUMPRODUCT(--(calc!$AD$3:$AD$306=TRUE),--(calc!$AE$3:$AE$306&gt;AE111))+(SUMPRODUCT(--(calc!$AD$3:$AD$306=TRUE),--(calc!$AE$3:$AE$306=AE111))-1)/2,"")</f>
        <v/>
      </c>
      <c r="AJ111" s="5">
        <f>IF(AD111,1+SUMPRODUCT(--(calc!$AD$3:$AD$306=TRUE),--(calc!$AF$3:$AF$306&gt;AF111))+(SUMPRODUCT(--(calc!$AD$3:$AD$306=TRUE),--(calc!$AF$3:$AF$306=AF111))-1)/2,"")</f>
        <v/>
      </c>
      <c r="AK111" s="5">
        <f>IF(AD111,SUMPRODUCT(--(calc!$AD$3:$AD$306=TRUE),--(ROW(calc!$AD$3:$AD$306)&gt;ROW(AD111)),--(((calc!$AI$3:$AI$306&gt;AI111)*(calc!$AJ$3:$AJ$306&gt;AJ111)+(calc!$AI$3:$AI$306&lt;AI111)*(calc!$AJ$3:$AJ$306&lt;AJ111))&gt;0))-SUMPRODUCT(--(calc!$AD$3:$AD$306=TRUE),--(ROW(calc!$AD$3:$AD$306)&gt;ROW(AD111)),--(((calc!$AI$3:$AI$306&gt;AI111)*(calc!$AJ$3:$AJ$306&lt;AJ111)+(calc!$AI$3:$AI$306&lt;AI111)*(calc!$AJ$3:$AJ$306&gt;AJ111))&gt;0)),0)</f>
        <v/>
      </c>
      <c r="AL111" s="5">
        <f>IF(mos_metrics!J110="","",mos_metrics!J110)</f>
        <v/>
      </c>
      <c r="AM111" s="2">
        <f>AND($J111,ISNUMBER(AL111),correlation!$I$29=1)</f>
        <v/>
      </c>
      <c r="AN111" s="5">
        <f>IF(AM111,$F111,"")</f>
        <v/>
      </c>
      <c r="AO111" s="5">
        <f>IF(AM111,AL111*correlation!$J$29,"")</f>
        <v/>
      </c>
      <c r="AP111" s="5">
        <f>IF(AND(AM111,ISNUMBER(correlation!$F$29)),AO111*correlation!$F$29+correlation!$G$29,"")</f>
        <v/>
      </c>
      <c r="AQ111" s="5">
        <f>IF(AND(AM111,ISNUMBER(AP111)),(AN111-AP111)^2,"")</f>
        <v/>
      </c>
      <c r="AR111" s="5">
        <f>IF(AM111,1+SUMPRODUCT(--(calc!$AM$3:$AM$306=TRUE),--(calc!$AN$3:$AN$306&gt;AN111))+(SUMPRODUCT(--(calc!$AM$3:$AM$306=TRUE),--(calc!$AN$3:$AN$306=AN111))-1)/2,"")</f>
        <v/>
      </c>
      <c r="AS111" s="5">
        <f>IF(AM111,1+SUMPRODUCT(--(calc!$AM$3:$AM$306=TRUE),--(calc!$AO$3:$AO$306&gt;AO111))+(SUMPRODUCT(--(calc!$AM$3:$AM$306=TRUE),--(calc!$AO$3:$AO$306=AO111))-1)/2,"")</f>
        <v/>
      </c>
      <c r="AT111" s="5">
        <f>IF(AM111,SUMPRODUCT(--(calc!$AM$3:$AM$306=TRUE),--(ROW(calc!$AM$3:$AM$306)&gt;ROW(AM111)),--(((calc!$AR$3:$AR$306&gt;AR111)*(calc!$AS$3:$AS$306&gt;AS111)+(calc!$AR$3:$AR$306&lt;AR111)*(calc!$AS$3:$AS$306&lt;AS111))&gt;0))-SUMPRODUCT(--(calc!$AM$3:$AM$306=TRUE),--(ROW(calc!$AM$3:$AM$306)&gt;ROW(AM111)),--(((calc!$AR$3:$AR$306&gt;AR111)*(calc!$AS$3:$AS$306&lt;AS111)+(calc!$AR$3:$AR$306&lt;AR111)*(calc!$AS$3:$AS$306&gt;AS111))&gt;0)),0)</f>
        <v/>
      </c>
      <c r="AU111" s="5">
        <f>IF(mos_metrics!K110="","",mos_metrics!K110)</f>
        <v/>
      </c>
      <c r="AV111" s="2">
        <f>AND($J111,ISNUMBER(AU111),correlation!$I$30=1)</f>
        <v/>
      </c>
      <c r="AW111" s="5">
        <f>IF(AV111,$F111,"")</f>
        <v/>
      </c>
      <c r="AX111" s="5">
        <f>IF(AV111,AU111*correlation!$J$30,"")</f>
        <v/>
      </c>
      <c r="AY111" s="5">
        <f>IF(AND(AV111,ISNUMBER(correlation!$F$30)),AX111*correlation!$F$30+correlation!$G$30,"")</f>
        <v/>
      </c>
      <c r="AZ111" s="5">
        <f>IF(AND(AV111,ISNUMBER(AY111)),(AW111-AY111)^2,"")</f>
        <v/>
      </c>
      <c r="BA111" s="5">
        <f>IF(AV111,1+SUMPRODUCT(--(calc!$AV$3:$AV$306=TRUE),--(calc!$AW$3:$AW$306&gt;AW111))+(SUMPRODUCT(--(calc!$AV$3:$AV$306=TRUE),--(calc!$AW$3:$AW$306=AW111))-1)/2,"")</f>
        <v/>
      </c>
      <c r="BB111" s="5">
        <f>IF(AV111,1+SUMPRODUCT(--(calc!$AV$3:$AV$306=TRUE),--(calc!$AX$3:$AX$306&gt;AX111))+(SUMPRODUCT(--(calc!$AV$3:$AV$306=TRUE),--(calc!$AX$3:$AX$306=AX111))-1)/2,"")</f>
        <v/>
      </c>
      <c r="BC111" s="5">
        <f>IF(AV111,SUMPRODUCT(--(calc!$AV$3:$AV$306=TRUE),--(ROW(calc!$AV$3:$AV$306)&gt;ROW(AV111)),--(((calc!$BA$3:$BA$306&gt;BA111)*(calc!$BB$3:$BB$306&gt;BB111)+(calc!$BA$3:$BA$306&lt;BA111)*(calc!$BB$3:$BB$306&lt;BB111))&gt;0))-SUMPRODUCT(--(calc!$AV$3:$AV$306=TRUE),--(ROW(calc!$AV$3:$AV$306)&gt;ROW(AV111)),--(((calc!$BA$3:$BA$306&gt;BA111)*(calc!$BB$3:$BB$306&lt;BB111)+(calc!$BA$3:$BA$306&lt;BA111)*(calc!$BB$3:$BB$306&gt;BB111))&gt;0)),0)</f>
        <v/>
      </c>
      <c r="BD111" s="5">
        <f>IF(mos_metrics!L110="","",mos_metrics!L110)</f>
        <v/>
      </c>
      <c r="BE111" s="2">
        <f>AND($J111,ISNUMBER(BD111),correlation!$I$31=1)</f>
        <v/>
      </c>
      <c r="BF111" s="5">
        <f>IF(BE111,$F111,"")</f>
        <v/>
      </c>
      <c r="BG111" s="5">
        <f>IF(BE111,BD111*correlation!$J$31,"")</f>
        <v/>
      </c>
      <c r="BH111" s="5">
        <f>IF(AND(BE111,ISNUMBER(correlation!$F$31)),BG111*correlation!$F$31+correlation!$G$31,"")</f>
        <v/>
      </c>
      <c r="BI111" s="5">
        <f>IF(AND(BE111,ISNUMBER(BH111)),(BF111-BH111)^2,"")</f>
        <v/>
      </c>
      <c r="BJ111" s="5">
        <f>IF(BE111,1+SUMPRODUCT(--(calc!$BE$3:$BE$306=TRUE),--(calc!$BF$3:$BF$306&gt;BF111))+(SUMPRODUCT(--(calc!$BE$3:$BE$306=TRUE),--(calc!$BF$3:$BF$306=BF111))-1)/2,"")</f>
        <v/>
      </c>
      <c r="BK111" s="5">
        <f>IF(BE111,1+SUMPRODUCT(--(calc!$BE$3:$BE$306=TRUE),--(calc!$BG$3:$BG$306&gt;BG111))+(SUMPRODUCT(--(calc!$BE$3:$BE$306=TRUE),--(calc!$BG$3:$BG$306=BG111))-1)/2,"")</f>
        <v/>
      </c>
      <c r="BL111" s="5">
        <f>IF(BE111,SUMPRODUCT(--(calc!$BE$3:$BE$306=TRUE),--(ROW(calc!$BE$3:$BE$306)&gt;ROW(BE111)),--(((calc!$BJ$3:$BJ$306&gt;BJ111)*(calc!$BK$3:$BK$306&gt;BK111)+(calc!$BJ$3:$BJ$306&lt;BJ111)*(calc!$BK$3:$BK$306&lt;BK111))&gt;0))-SUMPRODUCT(--(calc!$BE$3:$BE$306=TRUE),--(ROW(calc!$BE$3:$BE$306)&gt;ROW(BE111)),--(((calc!$BJ$3:$BJ$306&gt;BJ111)*(calc!$BK$3:$BK$306&lt;BK111)+(calc!$BJ$3:$BJ$306&lt;BJ111)*(calc!$BK$3:$BK$306&gt;BK111))&gt;0)),0)</f>
        <v/>
      </c>
      <c r="BM111" s="5">
        <f>IF(mos_metrics!M110="","",mos_metrics!M110)</f>
        <v/>
      </c>
      <c r="BN111" s="2">
        <f>AND($J111,ISNUMBER(BM111),correlation!$I$32=1)</f>
        <v/>
      </c>
      <c r="BO111" s="5">
        <f>IF(BN111,$F111,"")</f>
        <v/>
      </c>
      <c r="BP111" s="5">
        <f>IF(BN111,BM111*correlation!$J$32,"")</f>
        <v/>
      </c>
      <c r="BQ111" s="5">
        <f>IF(AND(BN111,ISNUMBER(correlation!$F$32)),BP111*correlation!$F$32+correlation!$G$32,"")</f>
        <v/>
      </c>
      <c r="BR111" s="5">
        <f>IF(AND(BN111,ISNUMBER(BQ111)),(BO111-BQ111)^2,"")</f>
        <v/>
      </c>
      <c r="BS111" s="5">
        <f>IF(BN111,1+SUMPRODUCT(--(calc!$BN$3:$BN$306=TRUE),--(calc!$BO$3:$BO$306&gt;BO111))+(SUMPRODUCT(--(calc!$BN$3:$BN$306=TRUE),--(calc!$BO$3:$BO$306=BO111))-1)/2,"")</f>
        <v/>
      </c>
      <c r="BT111" s="5">
        <f>IF(BN111,1+SUMPRODUCT(--(calc!$BN$3:$BN$306=TRUE),--(calc!$BP$3:$BP$306&gt;BP111))+(SUMPRODUCT(--(calc!$BN$3:$BN$306=TRUE),--(calc!$BP$3:$BP$306=BP111))-1)/2,"")</f>
        <v/>
      </c>
      <c r="BU111" s="5">
        <f>IF(BN111,SUMPRODUCT(--(calc!$BN$3:$BN$306=TRUE),--(ROW(calc!$BN$3:$BN$306)&gt;ROW(BN111)),--(((calc!$BS$3:$BS$306&gt;BS111)*(calc!$BT$3:$BT$306&gt;BT111)+(calc!$BS$3:$BS$306&lt;BS111)*(calc!$BT$3:$BT$306&lt;BT111))&gt;0))-SUMPRODUCT(--(calc!$BN$3:$BN$306=TRUE),--(ROW(calc!$BN$3:$BN$306)&gt;ROW(BN111)),--(((calc!$BS$3:$BS$306&gt;BS111)*(calc!$BT$3:$BT$306&lt;BT111)+(calc!$BS$3:$BS$306&lt;BS111)*(calc!$BT$3:$BT$306&gt;BT111))&gt;0)),0)</f>
        <v/>
      </c>
    </row>
    <row r="112">
      <c r="A112" s="2">
        <f>mos_metrics!A111</f>
        <v/>
      </c>
      <c r="B112" s="2">
        <f>mos_metrics!B111</f>
        <v/>
      </c>
      <c r="C112" s="2">
        <f>mos_metrics!C111</f>
        <v/>
      </c>
      <c r="D112" s="2">
        <f>mos_metrics!D111</f>
        <v/>
      </c>
      <c r="E112" s="2">
        <f>mos_metrics!E111</f>
        <v/>
      </c>
      <c r="F112" s="2">
        <f>mos_metrics!F111</f>
        <v/>
      </c>
      <c r="G112" s="2">
        <f>IF($B112="","",IFERROR(VLOOKUP($B112,correlation!$A$2:$B$16,2,FALSE),1))</f>
        <v/>
      </c>
      <c r="H112" s="2">
        <f>IF($E112="","",IFERROR(VLOOKUP($E112,correlation!$D$2:$E$8,2,FALSE),1))</f>
        <v/>
      </c>
      <c r="I112" s="2">
        <f>ISNUMBER($F112)</f>
        <v/>
      </c>
      <c r="J112" s="2">
        <f>AND($G112=1,$H112=1,$I112)</f>
        <v/>
      </c>
      <c r="K112" s="5">
        <f>IF(mos_metrics!G111="","",mos_metrics!G111)</f>
        <v/>
      </c>
      <c r="L112" s="2">
        <f>AND($J112,ISNUMBER(K112),correlation!$I$26=1)</f>
        <v/>
      </c>
      <c r="M112" s="5">
        <f>IF(L112,$F112,"")</f>
        <v/>
      </c>
      <c r="N112" s="5">
        <f>IF(L112,K112*correlation!$J$26,"")</f>
        <v/>
      </c>
      <c r="O112" s="5">
        <f>IF(AND(L112,ISNUMBER(correlation!$F$26)),N112*correlation!$F$26+correlation!$G$26,"")</f>
        <v/>
      </c>
      <c r="P112" s="5">
        <f>IF(AND(L112,ISNUMBER(O112)),(M112-O112)^2,"")</f>
        <v/>
      </c>
      <c r="Q112" s="5">
        <f>IF(L112,1+SUMPRODUCT(--(calc!$L$3:$L$306=TRUE),--(calc!$M$3:$M$306&gt;M112))+(SUMPRODUCT(--(calc!$L$3:$L$306=TRUE),--(calc!$M$3:$M$306=M112))-1)/2,"")</f>
        <v/>
      </c>
      <c r="R112" s="5">
        <f>IF(L112,1+SUMPRODUCT(--(calc!$L$3:$L$306=TRUE),--(calc!$N$3:$N$306&gt;N112))+(SUMPRODUCT(--(calc!$L$3:$L$306=TRUE),--(calc!$N$3:$N$306=N112))-1)/2,"")</f>
        <v/>
      </c>
      <c r="S112" s="5">
        <f>IF(L112,SUMPRODUCT(--(calc!$L$3:$L$306=TRUE),--(ROW(calc!$L$3:$L$306)&gt;ROW(L112)),--(((calc!$Q$3:$Q$306&gt;Q112)*(calc!$R$3:$R$306&gt;R112)+(calc!$Q$3:$Q$306&lt;Q112)*(calc!$R$3:$R$306&lt;R112))&gt;0))-SUMPRODUCT(--(calc!$L$3:$L$306=TRUE),--(ROW(calc!$L$3:$L$306)&gt;ROW(L112)),--(((calc!$Q$3:$Q$306&gt;Q112)*(calc!$R$3:$R$306&lt;R112)+(calc!$Q$3:$Q$306&lt;Q112)*(calc!$R$3:$R$306&gt;R112))&gt;0)),0)</f>
        <v/>
      </c>
      <c r="T112" s="5">
        <f>IF(mos_metrics!H111="","",mos_metrics!H111)</f>
        <v/>
      </c>
      <c r="U112" s="2">
        <f>AND($J112,ISNUMBER(T112),correlation!$I$27=1)</f>
        <v/>
      </c>
      <c r="V112" s="5">
        <f>IF(U112,$F112,"")</f>
        <v/>
      </c>
      <c r="W112" s="5">
        <f>IF(U112,T112*correlation!$J$27,"")</f>
        <v/>
      </c>
      <c r="X112" s="5">
        <f>IF(AND(U112,ISNUMBER(correlation!$F$27)),W112*correlation!$F$27+correlation!$G$27,"")</f>
        <v/>
      </c>
      <c r="Y112" s="5">
        <f>IF(AND(U112,ISNUMBER(X112)),(V112-X112)^2,"")</f>
        <v/>
      </c>
      <c r="Z112" s="5">
        <f>IF(U112,1+SUMPRODUCT(--(calc!$U$3:$U$306=TRUE),--(calc!$V$3:$V$306&gt;V112))+(SUMPRODUCT(--(calc!$U$3:$U$306=TRUE),--(calc!$V$3:$V$306=V112))-1)/2,"")</f>
        <v/>
      </c>
      <c r="AA112" s="5">
        <f>IF(U112,1+SUMPRODUCT(--(calc!$U$3:$U$306=TRUE),--(calc!$W$3:$W$306&gt;W112))+(SUMPRODUCT(--(calc!$U$3:$U$306=TRUE),--(calc!$W$3:$W$306=W112))-1)/2,"")</f>
        <v/>
      </c>
      <c r="AB112" s="5">
        <f>IF(U112,SUMPRODUCT(--(calc!$U$3:$U$306=TRUE),--(ROW(calc!$U$3:$U$306)&gt;ROW(U112)),--(((calc!$Z$3:$Z$306&gt;Z112)*(calc!$AA$3:$AA$306&gt;AA112)+(calc!$Z$3:$Z$306&lt;Z112)*(calc!$AA$3:$AA$306&lt;AA112))&gt;0))-SUMPRODUCT(--(calc!$U$3:$U$306=TRUE),--(ROW(calc!$U$3:$U$306)&gt;ROW(U112)),--(((calc!$Z$3:$Z$306&gt;Z112)*(calc!$AA$3:$AA$306&lt;AA112)+(calc!$Z$3:$Z$306&lt;Z112)*(calc!$AA$3:$AA$306&gt;AA112))&gt;0)),0)</f>
        <v/>
      </c>
      <c r="AC112" s="5">
        <f>IF(mos_metrics!I111="","",mos_metrics!I111)</f>
        <v/>
      </c>
      <c r="AD112" s="2">
        <f>AND($J112,ISNUMBER(AC112),correlation!$I$28=1)</f>
        <v/>
      </c>
      <c r="AE112" s="5">
        <f>IF(AD112,$F112,"")</f>
        <v/>
      </c>
      <c r="AF112" s="5">
        <f>IF(AD112,AC112*correlation!$J$28,"")</f>
        <v/>
      </c>
      <c r="AG112" s="5">
        <f>IF(AND(AD112,ISNUMBER(correlation!$F$28)),AF112*correlation!$F$28+correlation!$G$28,"")</f>
        <v/>
      </c>
      <c r="AH112" s="5">
        <f>IF(AND(AD112,ISNUMBER(AG112)),(AE112-AG112)^2,"")</f>
        <v/>
      </c>
      <c r="AI112" s="5">
        <f>IF(AD112,1+SUMPRODUCT(--(calc!$AD$3:$AD$306=TRUE),--(calc!$AE$3:$AE$306&gt;AE112))+(SUMPRODUCT(--(calc!$AD$3:$AD$306=TRUE),--(calc!$AE$3:$AE$306=AE112))-1)/2,"")</f>
        <v/>
      </c>
      <c r="AJ112" s="5">
        <f>IF(AD112,1+SUMPRODUCT(--(calc!$AD$3:$AD$306=TRUE),--(calc!$AF$3:$AF$306&gt;AF112))+(SUMPRODUCT(--(calc!$AD$3:$AD$306=TRUE),--(calc!$AF$3:$AF$306=AF112))-1)/2,"")</f>
        <v/>
      </c>
      <c r="AK112" s="5">
        <f>IF(AD112,SUMPRODUCT(--(calc!$AD$3:$AD$306=TRUE),--(ROW(calc!$AD$3:$AD$306)&gt;ROW(AD112)),--(((calc!$AI$3:$AI$306&gt;AI112)*(calc!$AJ$3:$AJ$306&gt;AJ112)+(calc!$AI$3:$AI$306&lt;AI112)*(calc!$AJ$3:$AJ$306&lt;AJ112))&gt;0))-SUMPRODUCT(--(calc!$AD$3:$AD$306=TRUE),--(ROW(calc!$AD$3:$AD$306)&gt;ROW(AD112)),--(((calc!$AI$3:$AI$306&gt;AI112)*(calc!$AJ$3:$AJ$306&lt;AJ112)+(calc!$AI$3:$AI$306&lt;AI112)*(calc!$AJ$3:$AJ$306&gt;AJ112))&gt;0)),0)</f>
        <v/>
      </c>
      <c r="AL112" s="5">
        <f>IF(mos_metrics!J111="","",mos_metrics!J111)</f>
        <v/>
      </c>
      <c r="AM112" s="2">
        <f>AND($J112,ISNUMBER(AL112),correlation!$I$29=1)</f>
        <v/>
      </c>
      <c r="AN112" s="5">
        <f>IF(AM112,$F112,"")</f>
        <v/>
      </c>
      <c r="AO112" s="5">
        <f>IF(AM112,AL112*correlation!$J$29,"")</f>
        <v/>
      </c>
      <c r="AP112" s="5">
        <f>IF(AND(AM112,ISNUMBER(correlation!$F$29)),AO112*correlation!$F$29+correlation!$G$29,"")</f>
        <v/>
      </c>
      <c r="AQ112" s="5">
        <f>IF(AND(AM112,ISNUMBER(AP112)),(AN112-AP112)^2,"")</f>
        <v/>
      </c>
      <c r="AR112" s="5">
        <f>IF(AM112,1+SUMPRODUCT(--(calc!$AM$3:$AM$306=TRUE),--(calc!$AN$3:$AN$306&gt;AN112))+(SUMPRODUCT(--(calc!$AM$3:$AM$306=TRUE),--(calc!$AN$3:$AN$306=AN112))-1)/2,"")</f>
        <v/>
      </c>
      <c r="AS112" s="5">
        <f>IF(AM112,1+SUMPRODUCT(--(calc!$AM$3:$AM$306=TRUE),--(calc!$AO$3:$AO$306&gt;AO112))+(SUMPRODUCT(--(calc!$AM$3:$AM$306=TRUE),--(calc!$AO$3:$AO$306=AO112))-1)/2,"")</f>
        <v/>
      </c>
      <c r="AT112" s="5">
        <f>IF(AM112,SUMPRODUCT(--(calc!$AM$3:$AM$306=TRUE),--(ROW(calc!$AM$3:$AM$306)&gt;ROW(AM112)),--(((calc!$AR$3:$AR$306&gt;AR112)*(calc!$AS$3:$AS$306&gt;AS112)+(calc!$AR$3:$AR$306&lt;AR112)*(calc!$AS$3:$AS$306&lt;AS112))&gt;0))-SUMPRODUCT(--(calc!$AM$3:$AM$306=TRUE),--(ROW(calc!$AM$3:$AM$306)&gt;ROW(AM112)),--(((calc!$AR$3:$AR$306&gt;AR112)*(calc!$AS$3:$AS$306&lt;AS112)+(calc!$AR$3:$AR$306&lt;AR112)*(calc!$AS$3:$AS$306&gt;AS112))&gt;0)),0)</f>
        <v/>
      </c>
      <c r="AU112" s="5">
        <f>IF(mos_metrics!K111="","",mos_metrics!K111)</f>
        <v/>
      </c>
      <c r="AV112" s="2">
        <f>AND($J112,ISNUMBER(AU112),correlation!$I$30=1)</f>
        <v/>
      </c>
      <c r="AW112" s="5">
        <f>IF(AV112,$F112,"")</f>
        <v/>
      </c>
      <c r="AX112" s="5">
        <f>IF(AV112,AU112*correlation!$J$30,"")</f>
        <v/>
      </c>
      <c r="AY112" s="5">
        <f>IF(AND(AV112,ISNUMBER(correlation!$F$30)),AX112*correlation!$F$30+correlation!$G$30,"")</f>
        <v/>
      </c>
      <c r="AZ112" s="5">
        <f>IF(AND(AV112,ISNUMBER(AY112)),(AW112-AY112)^2,"")</f>
        <v/>
      </c>
      <c r="BA112" s="5">
        <f>IF(AV112,1+SUMPRODUCT(--(calc!$AV$3:$AV$306=TRUE),--(calc!$AW$3:$AW$306&gt;AW112))+(SUMPRODUCT(--(calc!$AV$3:$AV$306=TRUE),--(calc!$AW$3:$AW$306=AW112))-1)/2,"")</f>
        <v/>
      </c>
      <c r="BB112" s="5">
        <f>IF(AV112,1+SUMPRODUCT(--(calc!$AV$3:$AV$306=TRUE),--(calc!$AX$3:$AX$306&gt;AX112))+(SUMPRODUCT(--(calc!$AV$3:$AV$306=TRUE),--(calc!$AX$3:$AX$306=AX112))-1)/2,"")</f>
        <v/>
      </c>
      <c r="BC112" s="5">
        <f>IF(AV112,SUMPRODUCT(--(calc!$AV$3:$AV$306=TRUE),--(ROW(calc!$AV$3:$AV$306)&gt;ROW(AV112)),--(((calc!$BA$3:$BA$306&gt;BA112)*(calc!$BB$3:$BB$306&gt;BB112)+(calc!$BA$3:$BA$306&lt;BA112)*(calc!$BB$3:$BB$306&lt;BB112))&gt;0))-SUMPRODUCT(--(calc!$AV$3:$AV$306=TRUE),--(ROW(calc!$AV$3:$AV$306)&gt;ROW(AV112)),--(((calc!$BA$3:$BA$306&gt;BA112)*(calc!$BB$3:$BB$306&lt;BB112)+(calc!$BA$3:$BA$306&lt;BA112)*(calc!$BB$3:$BB$306&gt;BB112))&gt;0)),0)</f>
        <v/>
      </c>
      <c r="BD112" s="5">
        <f>IF(mos_metrics!L111="","",mos_metrics!L111)</f>
        <v/>
      </c>
      <c r="BE112" s="2">
        <f>AND($J112,ISNUMBER(BD112),correlation!$I$31=1)</f>
        <v/>
      </c>
      <c r="BF112" s="5">
        <f>IF(BE112,$F112,"")</f>
        <v/>
      </c>
      <c r="BG112" s="5">
        <f>IF(BE112,BD112*correlation!$J$31,"")</f>
        <v/>
      </c>
      <c r="BH112" s="5">
        <f>IF(AND(BE112,ISNUMBER(correlation!$F$31)),BG112*correlation!$F$31+correlation!$G$31,"")</f>
        <v/>
      </c>
      <c r="BI112" s="5">
        <f>IF(AND(BE112,ISNUMBER(BH112)),(BF112-BH112)^2,"")</f>
        <v/>
      </c>
      <c r="BJ112" s="5">
        <f>IF(BE112,1+SUMPRODUCT(--(calc!$BE$3:$BE$306=TRUE),--(calc!$BF$3:$BF$306&gt;BF112))+(SUMPRODUCT(--(calc!$BE$3:$BE$306=TRUE),--(calc!$BF$3:$BF$306=BF112))-1)/2,"")</f>
        <v/>
      </c>
      <c r="BK112" s="5">
        <f>IF(BE112,1+SUMPRODUCT(--(calc!$BE$3:$BE$306=TRUE),--(calc!$BG$3:$BG$306&gt;BG112))+(SUMPRODUCT(--(calc!$BE$3:$BE$306=TRUE),--(calc!$BG$3:$BG$306=BG112))-1)/2,"")</f>
        <v/>
      </c>
      <c r="BL112" s="5">
        <f>IF(BE112,SUMPRODUCT(--(calc!$BE$3:$BE$306=TRUE),--(ROW(calc!$BE$3:$BE$306)&gt;ROW(BE112)),--(((calc!$BJ$3:$BJ$306&gt;BJ112)*(calc!$BK$3:$BK$306&gt;BK112)+(calc!$BJ$3:$BJ$306&lt;BJ112)*(calc!$BK$3:$BK$306&lt;BK112))&gt;0))-SUMPRODUCT(--(calc!$BE$3:$BE$306=TRUE),--(ROW(calc!$BE$3:$BE$306)&gt;ROW(BE112)),--(((calc!$BJ$3:$BJ$306&gt;BJ112)*(calc!$BK$3:$BK$306&lt;BK112)+(calc!$BJ$3:$BJ$306&lt;BJ112)*(calc!$BK$3:$BK$306&gt;BK112))&gt;0)),0)</f>
        <v/>
      </c>
      <c r="BM112" s="5">
        <f>IF(mos_metrics!M111="","",mos_metrics!M111)</f>
        <v/>
      </c>
      <c r="BN112" s="2">
        <f>AND($J112,ISNUMBER(BM112),correlation!$I$32=1)</f>
        <v/>
      </c>
      <c r="BO112" s="5">
        <f>IF(BN112,$F112,"")</f>
        <v/>
      </c>
      <c r="BP112" s="5">
        <f>IF(BN112,BM112*correlation!$J$32,"")</f>
        <v/>
      </c>
      <c r="BQ112" s="5">
        <f>IF(AND(BN112,ISNUMBER(correlation!$F$32)),BP112*correlation!$F$32+correlation!$G$32,"")</f>
        <v/>
      </c>
      <c r="BR112" s="5">
        <f>IF(AND(BN112,ISNUMBER(BQ112)),(BO112-BQ112)^2,"")</f>
        <v/>
      </c>
      <c r="BS112" s="5">
        <f>IF(BN112,1+SUMPRODUCT(--(calc!$BN$3:$BN$306=TRUE),--(calc!$BO$3:$BO$306&gt;BO112))+(SUMPRODUCT(--(calc!$BN$3:$BN$306=TRUE),--(calc!$BO$3:$BO$306=BO112))-1)/2,"")</f>
        <v/>
      </c>
      <c r="BT112" s="5">
        <f>IF(BN112,1+SUMPRODUCT(--(calc!$BN$3:$BN$306=TRUE),--(calc!$BP$3:$BP$306&gt;BP112))+(SUMPRODUCT(--(calc!$BN$3:$BN$306=TRUE),--(calc!$BP$3:$BP$306=BP112))-1)/2,"")</f>
        <v/>
      </c>
      <c r="BU112" s="5">
        <f>IF(BN112,SUMPRODUCT(--(calc!$BN$3:$BN$306=TRUE),--(ROW(calc!$BN$3:$BN$306)&gt;ROW(BN112)),--(((calc!$BS$3:$BS$306&gt;BS112)*(calc!$BT$3:$BT$306&gt;BT112)+(calc!$BS$3:$BS$306&lt;BS112)*(calc!$BT$3:$BT$306&lt;BT112))&gt;0))-SUMPRODUCT(--(calc!$BN$3:$BN$306=TRUE),--(ROW(calc!$BN$3:$BN$306)&gt;ROW(BN112)),--(((calc!$BS$3:$BS$306&gt;BS112)*(calc!$BT$3:$BT$306&lt;BT112)+(calc!$BS$3:$BS$306&lt;BS112)*(calc!$BT$3:$BT$306&gt;BT112))&gt;0)),0)</f>
        <v/>
      </c>
    </row>
    <row r="113">
      <c r="A113" s="2">
        <f>mos_metrics!A112</f>
        <v/>
      </c>
      <c r="B113" s="2">
        <f>mos_metrics!B112</f>
        <v/>
      </c>
      <c r="C113" s="2">
        <f>mos_metrics!C112</f>
        <v/>
      </c>
      <c r="D113" s="2">
        <f>mos_metrics!D112</f>
        <v/>
      </c>
      <c r="E113" s="2">
        <f>mos_metrics!E112</f>
        <v/>
      </c>
      <c r="F113" s="2">
        <f>mos_metrics!F112</f>
        <v/>
      </c>
      <c r="G113" s="2">
        <f>IF($B113="","",IFERROR(VLOOKUP($B113,correlation!$A$2:$B$16,2,FALSE),1))</f>
        <v/>
      </c>
      <c r="H113" s="2">
        <f>IF($E113="","",IFERROR(VLOOKUP($E113,correlation!$D$2:$E$8,2,FALSE),1))</f>
        <v/>
      </c>
      <c r="I113" s="2">
        <f>ISNUMBER($F113)</f>
        <v/>
      </c>
      <c r="J113" s="2">
        <f>AND($G113=1,$H113=1,$I113)</f>
        <v/>
      </c>
      <c r="K113" s="5">
        <f>IF(mos_metrics!G112="","",mos_metrics!G112)</f>
        <v/>
      </c>
      <c r="L113" s="2">
        <f>AND($J113,ISNUMBER(K113),correlation!$I$26=1)</f>
        <v/>
      </c>
      <c r="M113" s="5">
        <f>IF(L113,$F113,"")</f>
        <v/>
      </c>
      <c r="N113" s="5">
        <f>IF(L113,K113*correlation!$J$26,"")</f>
        <v/>
      </c>
      <c r="O113" s="5">
        <f>IF(AND(L113,ISNUMBER(correlation!$F$26)),N113*correlation!$F$26+correlation!$G$26,"")</f>
        <v/>
      </c>
      <c r="P113" s="5">
        <f>IF(AND(L113,ISNUMBER(O113)),(M113-O113)^2,"")</f>
        <v/>
      </c>
      <c r="Q113" s="5">
        <f>IF(L113,1+SUMPRODUCT(--(calc!$L$3:$L$306=TRUE),--(calc!$M$3:$M$306&gt;M113))+(SUMPRODUCT(--(calc!$L$3:$L$306=TRUE),--(calc!$M$3:$M$306=M113))-1)/2,"")</f>
        <v/>
      </c>
      <c r="R113" s="5">
        <f>IF(L113,1+SUMPRODUCT(--(calc!$L$3:$L$306=TRUE),--(calc!$N$3:$N$306&gt;N113))+(SUMPRODUCT(--(calc!$L$3:$L$306=TRUE),--(calc!$N$3:$N$306=N113))-1)/2,"")</f>
        <v/>
      </c>
      <c r="S113" s="5">
        <f>IF(L113,SUMPRODUCT(--(calc!$L$3:$L$306=TRUE),--(ROW(calc!$L$3:$L$306)&gt;ROW(L113)),--(((calc!$Q$3:$Q$306&gt;Q113)*(calc!$R$3:$R$306&gt;R113)+(calc!$Q$3:$Q$306&lt;Q113)*(calc!$R$3:$R$306&lt;R113))&gt;0))-SUMPRODUCT(--(calc!$L$3:$L$306=TRUE),--(ROW(calc!$L$3:$L$306)&gt;ROW(L113)),--(((calc!$Q$3:$Q$306&gt;Q113)*(calc!$R$3:$R$306&lt;R113)+(calc!$Q$3:$Q$306&lt;Q113)*(calc!$R$3:$R$306&gt;R113))&gt;0)),0)</f>
        <v/>
      </c>
      <c r="T113" s="5">
        <f>IF(mos_metrics!H112="","",mos_metrics!H112)</f>
        <v/>
      </c>
      <c r="U113" s="2">
        <f>AND($J113,ISNUMBER(T113),correlation!$I$27=1)</f>
        <v/>
      </c>
      <c r="V113" s="5">
        <f>IF(U113,$F113,"")</f>
        <v/>
      </c>
      <c r="W113" s="5">
        <f>IF(U113,T113*correlation!$J$27,"")</f>
        <v/>
      </c>
      <c r="X113" s="5">
        <f>IF(AND(U113,ISNUMBER(correlation!$F$27)),W113*correlation!$F$27+correlation!$G$27,"")</f>
        <v/>
      </c>
      <c r="Y113" s="5">
        <f>IF(AND(U113,ISNUMBER(X113)),(V113-X113)^2,"")</f>
        <v/>
      </c>
      <c r="Z113" s="5">
        <f>IF(U113,1+SUMPRODUCT(--(calc!$U$3:$U$306=TRUE),--(calc!$V$3:$V$306&gt;V113))+(SUMPRODUCT(--(calc!$U$3:$U$306=TRUE),--(calc!$V$3:$V$306=V113))-1)/2,"")</f>
        <v/>
      </c>
      <c r="AA113" s="5">
        <f>IF(U113,1+SUMPRODUCT(--(calc!$U$3:$U$306=TRUE),--(calc!$W$3:$W$306&gt;W113))+(SUMPRODUCT(--(calc!$U$3:$U$306=TRUE),--(calc!$W$3:$W$306=W113))-1)/2,"")</f>
        <v/>
      </c>
      <c r="AB113" s="5">
        <f>IF(U113,SUMPRODUCT(--(calc!$U$3:$U$306=TRUE),--(ROW(calc!$U$3:$U$306)&gt;ROW(U113)),--(((calc!$Z$3:$Z$306&gt;Z113)*(calc!$AA$3:$AA$306&gt;AA113)+(calc!$Z$3:$Z$306&lt;Z113)*(calc!$AA$3:$AA$306&lt;AA113))&gt;0))-SUMPRODUCT(--(calc!$U$3:$U$306=TRUE),--(ROW(calc!$U$3:$U$306)&gt;ROW(U113)),--(((calc!$Z$3:$Z$306&gt;Z113)*(calc!$AA$3:$AA$306&lt;AA113)+(calc!$Z$3:$Z$306&lt;Z113)*(calc!$AA$3:$AA$306&gt;AA113))&gt;0)),0)</f>
        <v/>
      </c>
      <c r="AC113" s="5">
        <f>IF(mos_metrics!I112="","",mos_metrics!I112)</f>
        <v/>
      </c>
      <c r="AD113" s="2">
        <f>AND($J113,ISNUMBER(AC113),correlation!$I$28=1)</f>
        <v/>
      </c>
      <c r="AE113" s="5">
        <f>IF(AD113,$F113,"")</f>
        <v/>
      </c>
      <c r="AF113" s="5">
        <f>IF(AD113,AC113*correlation!$J$28,"")</f>
        <v/>
      </c>
      <c r="AG113" s="5">
        <f>IF(AND(AD113,ISNUMBER(correlation!$F$28)),AF113*correlation!$F$28+correlation!$G$28,"")</f>
        <v/>
      </c>
      <c r="AH113" s="5">
        <f>IF(AND(AD113,ISNUMBER(AG113)),(AE113-AG113)^2,"")</f>
        <v/>
      </c>
      <c r="AI113" s="5">
        <f>IF(AD113,1+SUMPRODUCT(--(calc!$AD$3:$AD$306=TRUE),--(calc!$AE$3:$AE$306&gt;AE113))+(SUMPRODUCT(--(calc!$AD$3:$AD$306=TRUE),--(calc!$AE$3:$AE$306=AE113))-1)/2,"")</f>
        <v/>
      </c>
      <c r="AJ113" s="5">
        <f>IF(AD113,1+SUMPRODUCT(--(calc!$AD$3:$AD$306=TRUE),--(calc!$AF$3:$AF$306&gt;AF113))+(SUMPRODUCT(--(calc!$AD$3:$AD$306=TRUE),--(calc!$AF$3:$AF$306=AF113))-1)/2,"")</f>
        <v/>
      </c>
      <c r="AK113" s="5">
        <f>IF(AD113,SUMPRODUCT(--(calc!$AD$3:$AD$306=TRUE),--(ROW(calc!$AD$3:$AD$306)&gt;ROW(AD113)),--(((calc!$AI$3:$AI$306&gt;AI113)*(calc!$AJ$3:$AJ$306&gt;AJ113)+(calc!$AI$3:$AI$306&lt;AI113)*(calc!$AJ$3:$AJ$306&lt;AJ113))&gt;0))-SUMPRODUCT(--(calc!$AD$3:$AD$306=TRUE),--(ROW(calc!$AD$3:$AD$306)&gt;ROW(AD113)),--(((calc!$AI$3:$AI$306&gt;AI113)*(calc!$AJ$3:$AJ$306&lt;AJ113)+(calc!$AI$3:$AI$306&lt;AI113)*(calc!$AJ$3:$AJ$306&gt;AJ113))&gt;0)),0)</f>
        <v/>
      </c>
      <c r="AL113" s="5">
        <f>IF(mos_metrics!J112="","",mos_metrics!J112)</f>
        <v/>
      </c>
      <c r="AM113" s="2">
        <f>AND($J113,ISNUMBER(AL113),correlation!$I$29=1)</f>
        <v/>
      </c>
      <c r="AN113" s="5">
        <f>IF(AM113,$F113,"")</f>
        <v/>
      </c>
      <c r="AO113" s="5">
        <f>IF(AM113,AL113*correlation!$J$29,"")</f>
        <v/>
      </c>
      <c r="AP113" s="5">
        <f>IF(AND(AM113,ISNUMBER(correlation!$F$29)),AO113*correlation!$F$29+correlation!$G$29,"")</f>
        <v/>
      </c>
      <c r="AQ113" s="5">
        <f>IF(AND(AM113,ISNUMBER(AP113)),(AN113-AP113)^2,"")</f>
        <v/>
      </c>
      <c r="AR113" s="5">
        <f>IF(AM113,1+SUMPRODUCT(--(calc!$AM$3:$AM$306=TRUE),--(calc!$AN$3:$AN$306&gt;AN113))+(SUMPRODUCT(--(calc!$AM$3:$AM$306=TRUE),--(calc!$AN$3:$AN$306=AN113))-1)/2,"")</f>
        <v/>
      </c>
      <c r="AS113" s="5">
        <f>IF(AM113,1+SUMPRODUCT(--(calc!$AM$3:$AM$306=TRUE),--(calc!$AO$3:$AO$306&gt;AO113))+(SUMPRODUCT(--(calc!$AM$3:$AM$306=TRUE),--(calc!$AO$3:$AO$306=AO113))-1)/2,"")</f>
        <v/>
      </c>
      <c r="AT113" s="5">
        <f>IF(AM113,SUMPRODUCT(--(calc!$AM$3:$AM$306=TRUE),--(ROW(calc!$AM$3:$AM$306)&gt;ROW(AM113)),--(((calc!$AR$3:$AR$306&gt;AR113)*(calc!$AS$3:$AS$306&gt;AS113)+(calc!$AR$3:$AR$306&lt;AR113)*(calc!$AS$3:$AS$306&lt;AS113))&gt;0))-SUMPRODUCT(--(calc!$AM$3:$AM$306=TRUE),--(ROW(calc!$AM$3:$AM$306)&gt;ROW(AM113)),--(((calc!$AR$3:$AR$306&gt;AR113)*(calc!$AS$3:$AS$306&lt;AS113)+(calc!$AR$3:$AR$306&lt;AR113)*(calc!$AS$3:$AS$306&gt;AS113))&gt;0)),0)</f>
        <v/>
      </c>
      <c r="AU113" s="5">
        <f>IF(mos_metrics!K112="","",mos_metrics!K112)</f>
        <v/>
      </c>
      <c r="AV113" s="2">
        <f>AND($J113,ISNUMBER(AU113),correlation!$I$30=1)</f>
        <v/>
      </c>
      <c r="AW113" s="5">
        <f>IF(AV113,$F113,"")</f>
        <v/>
      </c>
      <c r="AX113" s="5">
        <f>IF(AV113,AU113*correlation!$J$30,"")</f>
        <v/>
      </c>
      <c r="AY113" s="5">
        <f>IF(AND(AV113,ISNUMBER(correlation!$F$30)),AX113*correlation!$F$30+correlation!$G$30,"")</f>
        <v/>
      </c>
      <c r="AZ113" s="5">
        <f>IF(AND(AV113,ISNUMBER(AY113)),(AW113-AY113)^2,"")</f>
        <v/>
      </c>
      <c r="BA113" s="5">
        <f>IF(AV113,1+SUMPRODUCT(--(calc!$AV$3:$AV$306=TRUE),--(calc!$AW$3:$AW$306&gt;AW113))+(SUMPRODUCT(--(calc!$AV$3:$AV$306=TRUE),--(calc!$AW$3:$AW$306=AW113))-1)/2,"")</f>
        <v/>
      </c>
      <c r="BB113" s="5">
        <f>IF(AV113,1+SUMPRODUCT(--(calc!$AV$3:$AV$306=TRUE),--(calc!$AX$3:$AX$306&gt;AX113))+(SUMPRODUCT(--(calc!$AV$3:$AV$306=TRUE),--(calc!$AX$3:$AX$306=AX113))-1)/2,"")</f>
        <v/>
      </c>
      <c r="BC113" s="5">
        <f>IF(AV113,SUMPRODUCT(--(calc!$AV$3:$AV$306=TRUE),--(ROW(calc!$AV$3:$AV$306)&gt;ROW(AV113)),--(((calc!$BA$3:$BA$306&gt;BA113)*(calc!$BB$3:$BB$306&gt;BB113)+(calc!$BA$3:$BA$306&lt;BA113)*(calc!$BB$3:$BB$306&lt;BB113))&gt;0))-SUMPRODUCT(--(calc!$AV$3:$AV$306=TRUE),--(ROW(calc!$AV$3:$AV$306)&gt;ROW(AV113)),--(((calc!$BA$3:$BA$306&gt;BA113)*(calc!$BB$3:$BB$306&lt;BB113)+(calc!$BA$3:$BA$306&lt;BA113)*(calc!$BB$3:$BB$306&gt;BB113))&gt;0)),0)</f>
        <v/>
      </c>
      <c r="BD113" s="5">
        <f>IF(mos_metrics!L112="","",mos_metrics!L112)</f>
        <v/>
      </c>
      <c r="BE113" s="2">
        <f>AND($J113,ISNUMBER(BD113),correlation!$I$31=1)</f>
        <v/>
      </c>
      <c r="BF113" s="5">
        <f>IF(BE113,$F113,"")</f>
        <v/>
      </c>
      <c r="BG113" s="5">
        <f>IF(BE113,BD113*correlation!$J$31,"")</f>
        <v/>
      </c>
      <c r="BH113" s="5">
        <f>IF(AND(BE113,ISNUMBER(correlation!$F$31)),BG113*correlation!$F$31+correlation!$G$31,"")</f>
        <v/>
      </c>
      <c r="BI113" s="5">
        <f>IF(AND(BE113,ISNUMBER(BH113)),(BF113-BH113)^2,"")</f>
        <v/>
      </c>
      <c r="BJ113" s="5">
        <f>IF(BE113,1+SUMPRODUCT(--(calc!$BE$3:$BE$306=TRUE),--(calc!$BF$3:$BF$306&gt;BF113))+(SUMPRODUCT(--(calc!$BE$3:$BE$306=TRUE),--(calc!$BF$3:$BF$306=BF113))-1)/2,"")</f>
        <v/>
      </c>
      <c r="BK113" s="5">
        <f>IF(BE113,1+SUMPRODUCT(--(calc!$BE$3:$BE$306=TRUE),--(calc!$BG$3:$BG$306&gt;BG113))+(SUMPRODUCT(--(calc!$BE$3:$BE$306=TRUE),--(calc!$BG$3:$BG$306=BG113))-1)/2,"")</f>
        <v/>
      </c>
      <c r="BL113" s="5">
        <f>IF(BE113,SUMPRODUCT(--(calc!$BE$3:$BE$306=TRUE),--(ROW(calc!$BE$3:$BE$306)&gt;ROW(BE113)),--(((calc!$BJ$3:$BJ$306&gt;BJ113)*(calc!$BK$3:$BK$306&gt;BK113)+(calc!$BJ$3:$BJ$306&lt;BJ113)*(calc!$BK$3:$BK$306&lt;BK113))&gt;0))-SUMPRODUCT(--(calc!$BE$3:$BE$306=TRUE),--(ROW(calc!$BE$3:$BE$306)&gt;ROW(BE113)),--(((calc!$BJ$3:$BJ$306&gt;BJ113)*(calc!$BK$3:$BK$306&lt;BK113)+(calc!$BJ$3:$BJ$306&lt;BJ113)*(calc!$BK$3:$BK$306&gt;BK113))&gt;0)),0)</f>
        <v/>
      </c>
      <c r="BM113" s="5">
        <f>IF(mos_metrics!M112="","",mos_metrics!M112)</f>
        <v/>
      </c>
      <c r="BN113" s="2">
        <f>AND($J113,ISNUMBER(BM113),correlation!$I$32=1)</f>
        <v/>
      </c>
      <c r="BO113" s="5">
        <f>IF(BN113,$F113,"")</f>
        <v/>
      </c>
      <c r="BP113" s="5">
        <f>IF(BN113,BM113*correlation!$J$32,"")</f>
        <v/>
      </c>
      <c r="BQ113" s="5">
        <f>IF(AND(BN113,ISNUMBER(correlation!$F$32)),BP113*correlation!$F$32+correlation!$G$32,"")</f>
        <v/>
      </c>
      <c r="BR113" s="5">
        <f>IF(AND(BN113,ISNUMBER(BQ113)),(BO113-BQ113)^2,"")</f>
        <v/>
      </c>
      <c r="BS113" s="5">
        <f>IF(BN113,1+SUMPRODUCT(--(calc!$BN$3:$BN$306=TRUE),--(calc!$BO$3:$BO$306&gt;BO113))+(SUMPRODUCT(--(calc!$BN$3:$BN$306=TRUE),--(calc!$BO$3:$BO$306=BO113))-1)/2,"")</f>
        <v/>
      </c>
      <c r="BT113" s="5">
        <f>IF(BN113,1+SUMPRODUCT(--(calc!$BN$3:$BN$306=TRUE),--(calc!$BP$3:$BP$306&gt;BP113))+(SUMPRODUCT(--(calc!$BN$3:$BN$306=TRUE),--(calc!$BP$3:$BP$306=BP113))-1)/2,"")</f>
        <v/>
      </c>
      <c r="BU113" s="5">
        <f>IF(BN113,SUMPRODUCT(--(calc!$BN$3:$BN$306=TRUE),--(ROW(calc!$BN$3:$BN$306)&gt;ROW(BN113)),--(((calc!$BS$3:$BS$306&gt;BS113)*(calc!$BT$3:$BT$306&gt;BT113)+(calc!$BS$3:$BS$306&lt;BS113)*(calc!$BT$3:$BT$306&lt;BT113))&gt;0))-SUMPRODUCT(--(calc!$BN$3:$BN$306=TRUE),--(ROW(calc!$BN$3:$BN$306)&gt;ROW(BN113)),--(((calc!$BS$3:$BS$306&gt;BS113)*(calc!$BT$3:$BT$306&lt;BT113)+(calc!$BS$3:$BS$306&lt;BS113)*(calc!$BT$3:$BT$306&gt;BT113))&gt;0)),0)</f>
        <v/>
      </c>
    </row>
    <row r="114">
      <c r="A114" s="2">
        <f>mos_metrics!A113</f>
        <v/>
      </c>
      <c r="B114" s="2">
        <f>mos_metrics!B113</f>
        <v/>
      </c>
      <c r="C114" s="2">
        <f>mos_metrics!C113</f>
        <v/>
      </c>
      <c r="D114" s="2">
        <f>mos_metrics!D113</f>
        <v/>
      </c>
      <c r="E114" s="2">
        <f>mos_metrics!E113</f>
        <v/>
      </c>
      <c r="F114" s="2">
        <f>mos_metrics!F113</f>
        <v/>
      </c>
      <c r="G114" s="2">
        <f>IF($B114="","",IFERROR(VLOOKUP($B114,correlation!$A$2:$B$16,2,FALSE),1))</f>
        <v/>
      </c>
      <c r="H114" s="2">
        <f>IF($E114="","",IFERROR(VLOOKUP($E114,correlation!$D$2:$E$8,2,FALSE),1))</f>
        <v/>
      </c>
      <c r="I114" s="2">
        <f>ISNUMBER($F114)</f>
        <v/>
      </c>
      <c r="J114" s="2">
        <f>AND($G114=1,$H114=1,$I114)</f>
        <v/>
      </c>
      <c r="K114" s="5">
        <f>IF(mos_metrics!G113="","",mos_metrics!G113)</f>
        <v/>
      </c>
      <c r="L114" s="2">
        <f>AND($J114,ISNUMBER(K114),correlation!$I$26=1)</f>
        <v/>
      </c>
      <c r="M114" s="5">
        <f>IF(L114,$F114,"")</f>
        <v/>
      </c>
      <c r="N114" s="5">
        <f>IF(L114,K114*correlation!$J$26,"")</f>
        <v/>
      </c>
      <c r="O114" s="5">
        <f>IF(AND(L114,ISNUMBER(correlation!$F$26)),N114*correlation!$F$26+correlation!$G$26,"")</f>
        <v/>
      </c>
      <c r="P114" s="5">
        <f>IF(AND(L114,ISNUMBER(O114)),(M114-O114)^2,"")</f>
        <v/>
      </c>
      <c r="Q114" s="5">
        <f>IF(L114,1+SUMPRODUCT(--(calc!$L$3:$L$306=TRUE),--(calc!$M$3:$M$306&gt;M114))+(SUMPRODUCT(--(calc!$L$3:$L$306=TRUE),--(calc!$M$3:$M$306=M114))-1)/2,"")</f>
        <v/>
      </c>
      <c r="R114" s="5">
        <f>IF(L114,1+SUMPRODUCT(--(calc!$L$3:$L$306=TRUE),--(calc!$N$3:$N$306&gt;N114))+(SUMPRODUCT(--(calc!$L$3:$L$306=TRUE),--(calc!$N$3:$N$306=N114))-1)/2,"")</f>
        <v/>
      </c>
      <c r="S114" s="5">
        <f>IF(L114,SUMPRODUCT(--(calc!$L$3:$L$306=TRUE),--(ROW(calc!$L$3:$L$306)&gt;ROW(L114)),--(((calc!$Q$3:$Q$306&gt;Q114)*(calc!$R$3:$R$306&gt;R114)+(calc!$Q$3:$Q$306&lt;Q114)*(calc!$R$3:$R$306&lt;R114))&gt;0))-SUMPRODUCT(--(calc!$L$3:$L$306=TRUE),--(ROW(calc!$L$3:$L$306)&gt;ROW(L114)),--(((calc!$Q$3:$Q$306&gt;Q114)*(calc!$R$3:$R$306&lt;R114)+(calc!$Q$3:$Q$306&lt;Q114)*(calc!$R$3:$R$306&gt;R114))&gt;0)),0)</f>
        <v/>
      </c>
      <c r="T114" s="5">
        <f>IF(mos_metrics!H113="","",mos_metrics!H113)</f>
        <v/>
      </c>
      <c r="U114" s="2">
        <f>AND($J114,ISNUMBER(T114),correlation!$I$27=1)</f>
        <v/>
      </c>
      <c r="V114" s="5">
        <f>IF(U114,$F114,"")</f>
        <v/>
      </c>
      <c r="W114" s="5">
        <f>IF(U114,T114*correlation!$J$27,"")</f>
        <v/>
      </c>
      <c r="X114" s="5">
        <f>IF(AND(U114,ISNUMBER(correlation!$F$27)),W114*correlation!$F$27+correlation!$G$27,"")</f>
        <v/>
      </c>
      <c r="Y114" s="5">
        <f>IF(AND(U114,ISNUMBER(X114)),(V114-X114)^2,"")</f>
        <v/>
      </c>
      <c r="Z114" s="5">
        <f>IF(U114,1+SUMPRODUCT(--(calc!$U$3:$U$306=TRUE),--(calc!$V$3:$V$306&gt;V114))+(SUMPRODUCT(--(calc!$U$3:$U$306=TRUE),--(calc!$V$3:$V$306=V114))-1)/2,"")</f>
        <v/>
      </c>
      <c r="AA114" s="5">
        <f>IF(U114,1+SUMPRODUCT(--(calc!$U$3:$U$306=TRUE),--(calc!$W$3:$W$306&gt;W114))+(SUMPRODUCT(--(calc!$U$3:$U$306=TRUE),--(calc!$W$3:$W$306=W114))-1)/2,"")</f>
        <v/>
      </c>
      <c r="AB114" s="5">
        <f>IF(U114,SUMPRODUCT(--(calc!$U$3:$U$306=TRUE),--(ROW(calc!$U$3:$U$306)&gt;ROW(U114)),--(((calc!$Z$3:$Z$306&gt;Z114)*(calc!$AA$3:$AA$306&gt;AA114)+(calc!$Z$3:$Z$306&lt;Z114)*(calc!$AA$3:$AA$306&lt;AA114))&gt;0))-SUMPRODUCT(--(calc!$U$3:$U$306=TRUE),--(ROW(calc!$U$3:$U$306)&gt;ROW(U114)),--(((calc!$Z$3:$Z$306&gt;Z114)*(calc!$AA$3:$AA$306&lt;AA114)+(calc!$Z$3:$Z$306&lt;Z114)*(calc!$AA$3:$AA$306&gt;AA114))&gt;0)),0)</f>
        <v/>
      </c>
      <c r="AC114" s="5">
        <f>IF(mos_metrics!I113="","",mos_metrics!I113)</f>
        <v/>
      </c>
      <c r="AD114" s="2">
        <f>AND($J114,ISNUMBER(AC114),correlation!$I$28=1)</f>
        <v/>
      </c>
      <c r="AE114" s="5">
        <f>IF(AD114,$F114,"")</f>
        <v/>
      </c>
      <c r="AF114" s="5">
        <f>IF(AD114,AC114*correlation!$J$28,"")</f>
        <v/>
      </c>
      <c r="AG114" s="5">
        <f>IF(AND(AD114,ISNUMBER(correlation!$F$28)),AF114*correlation!$F$28+correlation!$G$28,"")</f>
        <v/>
      </c>
      <c r="AH114" s="5">
        <f>IF(AND(AD114,ISNUMBER(AG114)),(AE114-AG114)^2,"")</f>
        <v/>
      </c>
      <c r="AI114" s="5">
        <f>IF(AD114,1+SUMPRODUCT(--(calc!$AD$3:$AD$306=TRUE),--(calc!$AE$3:$AE$306&gt;AE114))+(SUMPRODUCT(--(calc!$AD$3:$AD$306=TRUE),--(calc!$AE$3:$AE$306=AE114))-1)/2,"")</f>
        <v/>
      </c>
      <c r="AJ114" s="5">
        <f>IF(AD114,1+SUMPRODUCT(--(calc!$AD$3:$AD$306=TRUE),--(calc!$AF$3:$AF$306&gt;AF114))+(SUMPRODUCT(--(calc!$AD$3:$AD$306=TRUE),--(calc!$AF$3:$AF$306=AF114))-1)/2,"")</f>
        <v/>
      </c>
      <c r="AK114" s="5">
        <f>IF(AD114,SUMPRODUCT(--(calc!$AD$3:$AD$306=TRUE),--(ROW(calc!$AD$3:$AD$306)&gt;ROW(AD114)),--(((calc!$AI$3:$AI$306&gt;AI114)*(calc!$AJ$3:$AJ$306&gt;AJ114)+(calc!$AI$3:$AI$306&lt;AI114)*(calc!$AJ$3:$AJ$306&lt;AJ114))&gt;0))-SUMPRODUCT(--(calc!$AD$3:$AD$306=TRUE),--(ROW(calc!$AD$3:$AD$306)&gt;ROW(AD114)),--(((calc!$AI$3:$AI$306&gt;AI114)*(calc!$AJ$3:$AJ$306&lt;AJ114)+(calc!$AI$3:$AI$306&lt;AI114)*(calc!$AJ$3:$AJ$306&gt;AJ114))&gt;0)),0)</f>
        <v/>
      </c>
      <c r="AL114" s="5">
        <f>IF(mos_metrics!J113="","",mos_metrics!J113)</f>
        <v/>
      </c>
      <c r="AM114" s="2">
        <f>AND($J114,ISNUMBER(AL114),correlation!$I$29=1)</f>
        <v/>
      </c>
      <c r="AN114" s="5">
        <f>IF(AM114,$F114,"")</f>
        <v/>
      </c>
      <c r="AO114" s="5">
        <f>IF(AM114,AL114*correlation!$J$29,"")</f>
        <v/>
      </c>
      <c r="AP114" s="5">
        <f>IF(AND(AM114,ISNUMBER(correlation!$F$29)),AO114*correlation!$F$29+correlation!$G$29,"")</f>
        <v/>
      </c>
      <c r="AQ114" s="5">
        <f>IF(AND(AM114,ISNUMBER(AP114)),(AN114-AP114)^2,"")</f>
        <v/>
      </c>
      <c r="AR114" s="5">
        <f>IF(AM114,1+SUMPRODUCT(--(calc!$AM$3:$AM$306=TRUE),--(calc!$AN$3:$AN$306&gt;AN114))+(SUMPRODUCT(--(calc!$AM$3:$AM$306=TRUE),--(calc!$AN$3:$AN$306=AN114))-1)/2,"")</f>
        <v/>
      </c>
      <c r="AS114" s="5">
        <f>IF(AM114,1+SUMPRODUCT(--(calc!$AM$3:$AM$306=TRUE),--(calc!$AO$3:$AO$306&gt;AO114))+(SUMPRODUCT(--(calc!$AM$3:$AM$306=TRUE),--(calc!$AO$3:$AO$306=AO114))-1)/2,"")</f>
        <v/>
      </c>
      <c r="AT114" s="5">
        <f>IF(AM114,SUMPRODUCT(--(calc!$AM$3:$AM$306=TRUE),--(ROW(calc!$AM$3:$AM$306)&gt;ROW(AM114)),--(((calc!$AR$3:$AR$306&gt;AR114)*(calc!$AS$3:$AS$306&gt;AS114)+(calc!$AR$3:$AR$306&lt;AR114)*(calc!$AS$3:$AS$306&lt;AS114))&gt;0))-SUMPRODUCT(--(calc!$AM$3:$AM$306=TRUE),--(ROW(calc!$AM$3:$AM$306)&gt;ROW(AM114)),--(((calc!$AR$3:$AR$306&gt;AR114)*(calc!$AS$3:$AS$306&lt;AS114)+(calc!$AR$3:$AR$306&lt;AR114)*(calc!$AS$3:$AS$306&gt;AS114))&gt;0)),0)</f>
        <v/>
      </c>
      <c r="AU114" s="5">
        <f>IF(mos_metrics!K113="","",mos_metrics!K113)</f>
        <v/>
      </c>
      <c r="AV114" s="2">
        <f>AND($J114,ISNUMBER(AU114),correlation!$I$30=1)</f>
        <v/>
      </c>
      <c r="AW114" s="5">
        <f>IF(AV114,$F114,"")</f>
        <v/>
      </c>
      <c r="AX114" s="5">
        <f>IF(AV114,AU114*correlation!$J$30,"")</f>
        <v/>
      </c>
      <c r="AY114" s="5">
        <f>IF(AND(AV114,ISNUMBER(correlation!$F$30)),AX114*correlation!$F$30+correlation!$G$30,"")</f>
        <v/>
      </c>
      <c r="AZ114" s="5">
        <f>IF(AND(AV114,ISNUMBER(AY114)),(AW114-AY114)^2,"")</f>
        <v/>
      </c>
      <c r="BA114" s="5">
        <f>IF(AV114,1+SUMPRODUCT(--(calc!$AV$3:$AV$306=TRUE),--(calc!$AW$3:$AW$306&gt;AW114))+(SUMPRODUCT(--(calc!$AV$3:$AV$306=TRUE),--(calc!$AW$3:$AW$306=AW114))-1)/2,"")</f>
        <v/>
      </c>
      <c r="BB114" s="5">
        <f>IF(AV114,1+SUMPRODUCT(--(calc!$AV$3:$AV$306=TRUE),--(calc!$AX$3:$AX$306&gt;AX114))+(SUMPRODUCT(--(calc!$AV$3:$AV$306=TRUE),--(calc!$AX$3:$AX$306=AX114))-1)/2,"")</f>
        <v/>
      </c>
      <c r="BC114" s="5">
        <f>IF(AV114,SUMPRODUCT(--(calc!$AV$3:$AV$306=TRUE),--(ROW(calc!$AV$3:$AV$306)&gt;ROW(AV114)),--(((calc!$BA$3:$BA$306&gt;BA114)*(calc!$BB$3:$BB$306&gt;BB114)+(calc!$BA$3:$BA$306&lt;BA114)*(calc!$BB$3:$BB$306&lt;BB114))&gt;0))-SUMPRODUCT(--(calc!$AV$3:$AV$306=TRUE),--(ROW(calc!$AV$3:$AV$306)&gt;ROW(AV114)),--(((calc!$BA$3:$BA$306&gt;BA114)*(calc!$BB$3:$BB$306&lt;BB114)+(calc!$BA$3:$BA$306&lt;BA114)*(calc!$BB$3:$BB$306&gt;BB114))&gt;0)),0)</f>
        <v/>
      </c>
      <c r="BD114" s="5">
        <f>IF(mos_metrics!L113="","",mos_metrics!L113)</f>
        <v/>
      </c>
      <c r="BE114" s="2">
        <f>AND($J114,ISNUMBER(BD114),correlation!$I$31=1)</f>
        <v/>
      </c>
      <c r="BF114" s="5">
        <f>IF(BE114,$F114,"")</f>
        <v/>
      </c>
      <c r="BG114" s="5">
        <f>IF(BE114,BD114*correlation!$J$31,"")</f>
        <v/>
      </c>
      <c r="BH114" s="5">
        <f>IF(AND(BE114,ISNUMBER(correlation!$F$31)),BG114*correlation!$F$31+correlation!$G$31,"")</f>
        <v/>
      </c>
      <c r="BI114" s="5">
        <f>IF(AND(BE114,ISNUMBER(BH114)),(BF114-BH114)^2,"")</f>
        <v/>
      </c>
      <c r="BJ114" s="5">
        <f>IF(BE114,1+SUMPRODUCT(--(calc!$BE$3:$BE$306=TRUE),--(calc!$BF$3:$BF$306&gt;BF114))+(SUMPRODUCT(--(calc!$BE$3:$BE$306=TRUE),--(calc!$BF$3:$BF$306=BF114))-1)/2,"")</f>
        <v/>
      </c>
      <c r="BK114" s="5">
        <f>IF(BE114,1+SUMPRODUCT(--(calc!$BE$3:$BE$306=TRUE),--(calc!$BG$3:$BG$306&gt;BG114))+(SUMPRODUCT(--(calc!$BE$3:$BE$306=TRUE),--(calc!$BG$3:$BG$306=BG114))-1)/2,"")</f>
        <v/>
      </c>
      <c r="BL114" s="5">
        <f>IF(BE114,SUMPRODUCT(--(calc!$BE$3:$BE$306=TRUE),--(ROW(calc!$BE$3:$BE$306)&gt;ROW(BE114)),--(((calc!$BJ$3:$BJ$306&gt;BJ114)*(calc!$BK$3:$BK$306&gt;BK114)+(calc!$BJ$3:$BJ$306&lt;BJ114)*(calc!$BK$3:$BK$306&lt;BK114))&gt;0))-SUMPRODUCT(--(calc!$BE$3:$BE$306=TRUE),--(ROW(calc!$BE$3:$BE$306)&gt;ROW(BE114)),--(((calc!$BJ$3:$BJ$306&gt;BJ114)*(calc!$BK$3:$BK$306&lt;BK114)+(calc!$BJ$3:$BJ$306&lt;BJ114)*(calc!$BK$3:$BK$306&gt;BK114))&gt;0)),0)</f>
        <v/>
      </c>
      <c r="BM114" s="5">
        <f>IF(mos_metrics!M113="","",mos_metrics!M113)</f>
        <v/>
      </c>
      <c r="BN114" s="2">
        <f>AND($J114,ISNUMBER(BM114),correlation!$I$32=1)</f>
        <v/>
      </c>
      <c r="BO114" s="5">
        <f>IF(BN114,$F114,"")</f>
        <v/>
      </c>
      <c r="BP114" s="5">
        <f>IF(BN114,BM114*correlation!$J$32,"")</f>
        <v/>
      </c>
      <c r="BQ114" s="5">
        <f>IF(AND(BN114,ISNUMBER(correlation!$F$32)),BP114*correlation!$F$32+correlation!$G$32,"")</f>
        <v/>
      </c>
      <c r="BR114" s="5">
        <f>IF(AND(BN114,ISNUMBER(BQ114)),(BO114-BQ114)^2,"")</f>
        <v/>
      </c>
      <c r="BS114" s="5">
        <f>IF(BN114,1+SUMPRODUCT(--(calc!$BN$3:$BN$306=TRUE),--(calc!$BO$3:$BO$306&gt;BO114))+(SUMPRODUCT(--(calc!$BN$3:$BN$306=TRUE),--(calc!$BO$3:$BO$306=BO114))-1)/2,"")</f>
        <v/>
      </c>
      <c r="BT114" s="5">
        <f>IF(BN114,1+SUMPRODUCT(--(calc!$BN$3:$BN$306=TRUE),--(calc!$BP$3:$BP$306&gt;BP114))+(SUMPRODUCT(--(calc!$BN$3:$BN$306=TRUE),--(calc!$BP$3:$BP$306=BP114))-1)/2,"")</f>
        <v/>
      </c>
      <c r="BU114" s="5">
        <f>IF(BN114,SUMPRODUCT(--(calc!$BN$3:$BN$306=TRUE),--(ROW(calc!$BN$3:$BN$306)&gt;ROW(BN114)),--(((calc!$BS$3:$BS$306&gt;BS114)*(calc!$BT$3:$BT$306&gt;BT114)+(calc!$BS$3:$BS$306&lt;BS114)*(calc!$BT$3:$BT$306&lt;BT114))&gt;0))-SUMPRODUCT(--(calc!$BN$3:$BN$306=TRUE),--(ROW(calc!$BN$3:$BN$306)&gt;ROW(BN114)),--(((calc!$BS$3:$BS$306&gt;BS114)*(calc!$BT$3:$BT$306&lt;BT114)+(calc!$BS$3:$BS$306&lt;BS114)*(calc!$BT$3:$BT$306&gt;BT114))&gt;0)),0)</f>
        <v/>
      </c>
    </row>
    <row r="115">
      <c r="A115" s="2">
        <f>mos_metrics!A114</f>
        <v/>
      </c>
      <c r="B115" s="2">
        <f>mos_metrics!B114</f>
        <v/>
      </c>
      <c r="C115" s="2">
        <f>mos_metrics!C114</f>
        <v/>
      </c>
      <c r="D115" s="2">
        <f>mos_metrics!D114</f>
        <v/>
      </c>
      <c r="E115" s="2">
        <f>mos_metrics!E114</f>
        <v/>
      </c>
      <c r="F115" s="2">
        <f>mos_metrics!F114</f>
        <v/>
      </c>
      <c r="G115" s="2">
        <f>IF($B115="","",IFERROR(VLOOKUP($B115,correlation!$A$2:$B$16,2,FALSE),1))</f>
        <v/>
      </c>
      <c r="H115" s="2">
        <f>IF($E115="","",IFERROR(VLOOKUP($E115,correlation!$D$2:$E$8,2,FALSE),1))</f>
        <v/>
      </c>
      <c r="I115" s="2">
        <f>ISNUMBER($F115)</f>
        <v/>
      </c>
      <c r="J115" s="2">
        <f>AND($G115=1,$H115=1,$I115)</f>
        <v/>
      </c>
      <c r="K115" s="5">
        <f>IF(mos_metrics!G114="","",mos_metrics!G114)</f>
        <v/>
      </c>
      <c r="L115" s="2">
        <f>AND($J115,ISNUMBER(K115),correlation!$I$26=1)</f>
        <v/>
      </c>
      <c r="M115" s="5">
        <f>IF(L115,$F115,"")</f>
        <v/>
      </c>
      <c r="N115" s="5">
        <f>IF(L115,K115*correlation!$J$26,"")</f>
        <v/>
      </c>
      <c r="O115" s="5">
        <f>IF(AND(L115,ISNUMBER(correlation!$F$26)),N115*correlation!$F$26+correlation!$G$26,"")</f>
        <v/>
      </c>
      <c r="P115" s="5">
        <f>IF(AND(L115,ISNUMBER(O115)),(M115-O115)^2,"")</f>
        <v/>
      </c>
      <c r="Q115" s="5">
        <f>IF(L115,1+SUMPRODUCT(--(calc!$L$3:$L$306=TRUE),--(calc!$M$3:$M$306&gt;M115))+(SUMPRODUCT(--(calc!$L$3:$L$306=TRUE),--(calc!$M$3:$M$306=M115))-1)/2,"")</f>
        <v/>
      </c>
      <c r="R115" s="5">
        <f>IF(L115,1+SUMPRODUCT(--(calc!$L$3:$L$306=TRUE),--(calc!$N$3:$N$306&gt;N115))+(SUMPRODUCT(--(calc!$L$3:$L$306=TRUE),--(calc!$N$3:$N$306=N115))-1)/2,"")</f>
        <v/>
      </c>
      <c r="S115" s="5">
        <f>IF(L115,SUMPRODUCT(--(calc!$L$3:$L$306=TRUE),--(ROW(calc!$L$3:$L$306)&gt;ROW(L115)),--(((calc!$Q$3:$Q$306&gt;Q115)*(calc!$R$3:$R$306&gt;R115)+(calc!$Q$3:$Q$306&lt;Q115)*(calc!$R$3:$R$306&lt;R115))&gt;0))-SUMPRODUCT(--(calc!$L$3:$L$306=TRUE),--(ROW(calc!$L$3:$L$306)&gt;ROW(L115)),--(((calc!$Q$3:$Q$306&gt;Q115)*(calc!$R$3:$R$306&lt;R115)+(calc!$Q$3:$Q$306&lt;Q115)*(calc!$R$3:$R$306&gt;R115))&gt;0)),0)</f>
        <v/>
      </c>
      <c r="T115" s="5">
        <f>IF(mos_metrics!H114="","",mos_metrics!H114)</f>
        <v/>
      </c>
      <c r="U115" s="2">
        <f>AND($J115,ISNUMBER(T115),correlation!$I$27=1)</f>
        <v/>
      </c>
      <c r="V115" s="5">
        <f>IF(U115,$F115,"")</f>
        <v/>
      </c>
      <c r="W115" s="5">
        <f>IF(U115,T115*correlation!$J$27,"")</f>
        <v/>
      </c>
      <c r="X115" s="5">
        <f>IF(AND(U115,ISNUMBER(correlation!$F$27)),W115*correlation!$F$27+correlation!$G$27,"")</f>
        <v/>
      </c>
      <c r="Y115" s="5">
        <f>IF(AND(U115,ISNUMBER(X115)),(V115-X115)^2,"")</f>
        <v/>
      </c>
      <c r="Z115" s="5">
        <f>IF(U115,1+SUMPRODUCT(--(calc!$U$3:$U$306=TRUE),--(calc!$V$3:$V$306&gt;V115))+(SUMPRODUCT(--(calc!$U$3:$U$306=TRUE),--(calc!$V$3:$V$306=V115))-1)/2,"")</f>
        <v/>
      </c>
      <c r="AA115" s="5">
        <f>IF(U115,1+SUMPRODUCT(--(calc!$U$3:$U$306=TRUE),--(calc!$W$3:$W$306&gt;W115))+(SUMPRODUCT(--(calc!$U$3:$U$306=TRUE),--(calc!$W$3:$W$306=W115))-1)/2,"")</f>
        <v/>
      </c>
      <c r="AB115" s="5">
        <f>IF(U115,SUMPRODUCT(--(calc!$U$3:$U$306=TRUE),--(ROW(calc!$U$3:$U$306)&gt;ROW(U115)),--(((calc!$Z$3:$Z$306&gt;Z115)*(calc!$AA$3:$AA$306&gt;AA115)+(calc!$Z$3:$Z$306&lt;Z115)*(calc!$AA$3:$AA$306&lt;AA115))&gt;0))-SUMPRODUCT(--(calc!$U$3:$U$306=TRUE),--(ROW(calc!$U$3:$U$306)&gt;ROW(U115)),--(((calc!$Z$3:$Z$306&gt;Z115)*(calc!$AA$3:$AA$306&lt;AA115)+(calc!$Z$3:$Z$306&lt;Z115)*(calc!$AA$3:$AA$306&gt;AA115))&gt;0)),0)</f>
        <v/>
      </c>
      <c r="AC115" s="5">
        <f>IF(mos_metrics!I114="","",mos_metrics!I114)</f>
        <v/>
      </c>
      <c r="AD115" s="2">
        <f>AND($J115,ISNUMBER(AC115),correlation!$I$28=1)</f>
        <v/>
      </c>
      <c r="AE115" s="5">
        <f>IF(AD115,$F115,"")</f>
        <v/>
      </c>
      <c r="AF115" s="5">
        <f>IF(AD115,AC115*correlation!$J$28,"")</f>
        <v/>
      </c>
      <c r="AG115" s="5">
        <f>IF(AND(AD115,ISNUMBER(correlation!$F$28)),AF115*correlation!$F$28+correlation!$G$28,"")</f>
        <v/>
      </c>
      <c r="AH115" s="5">
        <f>IF(AND(AD115,ISNUMBER(AG115)),(AE115-AG115)^2,"")</f>
        <v/>
      </c>
      <c r="AI115" s="5">
        <f>IF(AD115,1+SUMPRODUCT(--(calc!$AD$3:$AD$306=TRUE),--(calc!$AE$3:$AE$306&gt;AE115))+(SUMPRODUCT(--(calc!$AD$3:$AD$306=TRUE),--(calc!$AE$3:$AE$306=AE115))-1)/2,"")</f>
        <v/>
      </c>
      <c r="AJ115" s="5">
        <f>IF(AD115,1+SUMPRODUCT(--(calc!$AD$3:$AD$306=TRUE),--(calc!$AF$3:$AF$306&gt;AF115))+(SUMPRODUCT(--(calc!$AD$3:$AD$306=TRUE),--(calc!$AF$3:$AF$306=AF115))-1)/2,"")</f>
        <v/>
      </c>
      <c r="AK115" s="5">
        <f>IF(AD115,SUMPRODUCT(--(calc!$AD$3:$AD$306=TRUE),--(ROW(calc!$AD$3:$AD$306)&gt;ROW(AD115)),--(((calc!$AI$3:$AI$306&gt;AI115)*(calc!$AJ$3:$AJ$306&gt;AJ115)+(calc!$AI$3:$AI$306&lt;AI115)*(calc!$AJ$3:$AJ$306&lt;AJ115))&gt;0))-SUMPRODUCT(--(calc!$AD$3:$AD$306=TRUE),--(ROW(calc!$AD$3:$AD$306)&gt;ROW(AD115)),--(((calc!$AI$3:$AI$306&gt;AI115)*(calc!$AJ$3:$AJ$306&lt;AJ115)+(calc!$AI$3:$AI$306&lt;AI115)*(calc!$AJ$3:$AJ$306&gt;AJ115))&gt;0)),0)</f>
        <v/>
      </c>
      <c r="AL115" s="5">
        <f>IF(mos_metrics!J114="","",mos_metrics!J114)</f>
        <v/>
      </c>
      <c r="AM115" s="2">
        <f>AND($J115,ISNUMBER(AL115),correlation!$I$29=1)</f>
        <v/>
      </c>
      <c r="AN115" s="5">
        <f>IF(AM115,$F115,"")</f>
        <v/>
      </c>
      <c r="AO115" s="5">
        <f>IF(AM115,AL115*correlation!$J$29,"")</f>
        <v/>
      </c>
      <c r="AP115" s="5">
        <f>IF(AND(AM115,ISNUMBER(correlation!$F$29)),AO115*correlation!$F$29+correlation!$G$29,"")</f>
        <v/>
      </c>
      <c r="AQ115" s="5">
        <f>IF(AND(AM115,ISNUMBER(AP115)),(AN115-AP115)^2,"")</f>
        <v/>
      </c>
      <c r="AR115" s="5">
        <f>IF(AM115,1+SUMPRODUCT(--(calc!$AM$3:$AM$306=TRUE),--(calc!$AN$3:$AN$306&gt;AN115))+(SUMPRODUCT(--(calc!$AM$3:$AM$306=TRUE),--(calc!$AN$3:$AN$306=AN115))-1)/2,"")</f>
        <v/>
      </c>
      <c r="AS115" s="5">
        <f>IF(AM115,1+SUMPRODUCT(--(calc!$AM$3:$AM$306=TRUE),--(calc!$AO$3:$AO$306&gt;AO115))+(SUMPRODUCT(--(calc!$AM$3:$AM$306=TRUE),--(calc!$AO$3:$AO$306=AO115))-1)/2,"")</f>
        <v/>
      </c>
      <c r="AT115" s="5">
        <f>IF(AM115,SUMPRODUCT(--(calc!$AM$3:$AM$306=TRUE),--(ROW(calc!$AM$3:$AM$306)&gt;ROW(AM115)),--(((calc!$AR$3:$AR$306&gt;AR115)*(calc!$AS$3:$AS$306&gt;AS115)+(calc!$AR$3:$AR$306&lt;AR115)*(calc!$AS$3:$AS$306&lt;AS115))&gt;0))-SUMPRODUCT(--(calc!$AM$3:$AM$306=TRUE),--(ROW(calc!$AM$3:$AM$306)&gt;ROW(AM115)),--(((calc!$AR$3:$AR$306&gt;AR115)*(calc!$AS$3:$AS$306&lt;AS115)+(calc!$AR$3:$AR$306&lt;AR115)*(calc!$AS$3:$AS$306&gt;AS115))&gt;0)),0)</f>
        <v/>
      </c>
      <c r="AU115" s="5">
        <f>IF(mos_metrics!K114="","",mos_metrics!K114)</f>
        <v/>
      </c>
      <c r="AV115" s="2">
        <f>AND($J115,ISNUMBER(AU115),correlation!$I$30=1)</f>
        <v/>
      </c>
      <c r="AW115" s="5">
        <f>IF(AV115,$F115,"")</f>
        <v/>
      </c>
      <c r="AX115" s="5">
        <f>IF(AV115,AU115*correlation!$J$30,"")</f>
        <v/>
      </c>
      <c r="AY115" s="5">
        <f>IF(AND(AV115,ISNUMBER(correlation!$F$30)),AX115*correlation!$F$30+correlation!$G$30,"")</f>
        <v/>
      </c>
      <c r="AZ115" s="5">
        <f>IF(AND(AV115,ISNUMBER(AY115)),(AW115-AY115)^2,"")</f>
        <v/>
      </c>
      <c r="BA115" s="5">
        <f>IF(AV115,1+SUMPRODUCT(--(calc!$AV$3:$AV$306=TRUE),--(calc!$AW$3:$AW$306&gt;AW115))+(SUMPRODUCT(--(calc!$AV$3:$AV$306=TRUE),--(calc!$AW$3:$AW$306=AW115))-1)/2,"")</f>
        <v/>
      </c>
      <c r="BB115" s="5">
        <f>IF(AV115,1+SUMPRODUCT(--(calc!$AV$3:$AV$306=TRUE),--(calc!$AX$3:$AX$306&gt;AX115))+(SUMPRODUCT(--(calc!$AV$3:$AV$306=TRUE),--(calc!$AX$3:$AX$306=AX115))-1)/2,"")</f>
        <v/>
      </c>
      <c r="BC115" s="5">
        <f>IF(AV115,SUMPRODUCT(--(calc!$AV$3:$AV$306=TRUE),--(ROW(calc!$AV$3:$AV$306)&gt;ROW(AV115)),--(((calc!$BA$3:$BA$306&gt;BA115)*(calc!$BB$3:$BB$306&gt;BB115)+(calc!$BA$3:$BA$306&lt;BA115)*(calc!$BB$3:$BB$306&lt;BB115))&gt;0))-SUMPRODUCT(--(calc!$AV$3:$AV$306=TRUE),--(ROW(calc!$AV$3:$AV$306)&gt;ROW(AV115)),--(((calc!$BA$3:$BA$306&gt;BA115)*(calc!$BB$3:$BB$306&lt;BB115)+(calc!$BA$3:$BA$306&lt;BA115)*(calc!$BB$3:$BB$306&gt;BB115))&gt;0)),0)</f>
        <v/>
      </c>
      <c r="BD115" s="5">
        <f>IF(mos_metrics!L114="","",mos_metrics!L114)</f>
        <v/>
      </c>
      <c r="BE115" s="2">
        <f>AND($J115,ISNUMBER(BD115),correlation!$I$31=1)</f>
        <v/>
      </c>
      <c r="BF115" s="5">
        <f>IF(BE115,$F115,"")</f>
        <v/>
      </c>
      <c r="BG115" s="5">
        <f>IF(BE115,BD115*correlation!$J$31,"")</f>
        <v/>
      </c>
      <c r="BH115" s="5">
        <f>IF(AND(BE115,ISNUMBER(correlation!$F$31)),BG115*correlation!$F$31+correlation!$G$31,"")</f>
        <v/>
      </c>
      <c r="BI115" s="5">
        <f>IF(AND(BE115,ISNUMBER(BH115)),(BF115-BH115)^2,"")</f>
        <v/>
      </c>
      <c r="BJ115" s="5">
        <f>IF(BE115,1+SUMPRODUCT(--(calc!$BE$3:$BE$306=TRUE),--(calc!$BF$3:$BF$306&gt;BF115))+(SUMPRODUCT(--(calc!$BE$3:$BE$306=TRUE),--(calc!$BF$3:$BF$306=BF115))-1)/2,"")</f>
        <v/>
      </c>
      <c r="BK115" s="5">
        <f>IF(BE115,1+SUMPRODUCT(--(calc!$BE$3:$BE$306=TRUE),--(calc!$BG$3:$BG$306&gt;BG115))+(SUMPRODUCT(--(calc!$BE$3:$BE$306=TRUE),--(calc!$BG$3:$BG$306=BG115))-1)/2,"")</f>
        <v/>
      </c>
      <c r="BL115" s="5">
        <f>IF(BE115,SUMPRODUCT(--(calc!$BE$3:$BE$306=TRUE),--(ROW(calc!$BE$3:$BE$306)&gt;ROW(BE115)),--(((calc!$BJ$3:$BJ$306&gt;BJ115)*(calc!$BK$3:$BK$306&gt;BK115)+(calc!$BJ$3:$BJ$306&lt;BJ115)*(calc!$BK$3:$BK$306&lt;BK115))&gt;0))-SUMPRODUCT(--(calc!$BE$3:$BE$306=TRUE),--(ROW(calc!$BE$3:$BE$306)&gt;ROW(BE115)),--(((calc!$BJ$3:$BJ$306&gt;BJ115)*(calc!$BK$3:$BK$306&lt;BK115)+(calc!$BJ$3:$BJ$306&lt;BJ115)*(calc!$BK$3:$BK$306&gt;BK115))&gt;0)),0)</f>
        <v/>
      </c>
      <c r="BM115" s="5">
        <f>IF(mos_metrics!M114="","",mos_metrics!M114)</f>
        <v/>
      </c>
      <c r="BN115" s="2">
        <f>AND($J115,ISNUMBER(BM115),correlation!$I$32=1)</f>
        <v/>
      </c>
      <c r="BO115" s="5">
        <f>IF(BN115,$F115,"")</f>
        <v/>
      </c>
      <c r="BP115" s="5">
        <f>IF(BN115,BM115*correlation!$J$32,"")</f>
        <v/>
      </c>
      <c r="BQ115" s="5">
        <f>IF(AND(BN115,ISNUMBER(correlation!$F$32)),BP115*correlation!$F$32+correlation!$G$32,"")</f>
        <v/>
      </c>
      <c r="BR115" s="5">
        <f>IF(AND(BN115,ISNUMBER(BQ115)),(BO115-BQ115)^2,"")</f>
        <v/>
      </c>
      <c r="BS115" s="5">
        <f>IF(BN115,1+SUMPRODUCT(--(calc!$BN$3:$BN$306=TRUE),--(calc!$BO$3:$BO$306&gt;BO115))+(SUMPRODUCT(--(calc!$BN$3:$BN$306=TRUE),--(calc!$BO$3:$BO$306=BO115))-1)/2,"")</f>
        <v/>
      </c>
      <c r="BT115" s="5">
        <f>IF(BN115,1+SUMPRODUCT(--(calc!$BN$3:$BN$306=TRUE),--(calc!$BP$3:$BP$306&gt;BP115))+(SUMPRODUCT(--(calc!$BN$3:$BN$306=TRUE),--(calc!$BP$3:$BP$306=BP115))-1)/2,"")</f>
        <v/>
      </c>
      <c r="BU115" s="5">
        <f>IF(BN115,SUMPRODUCT(--(calc!$BN$3:$BN$306=TRUE),--(ROW(calc!$BN$3:$BN$306)&gt;ROW(BN115)),--(((calc!$BS$3:$BS$306&gt;BS115)*(calc!$BT$3:$BT$306&gt;BT115)+(calc!$BS$3:$BS$306&lt;BS115)*(calc!$BT$3:$BT$306&lt;BT115))&gt;0))-SUMPRODUCT(--(calc!$BN$3:$BN$306=TRUE),--(ROW(calc!$BN$3:$BN$306)&gt;ROW(BN115)),--(((calc!$BS$3:$BS$306&gt;BS115)*(calc!$BT$3:$BT$306&lt;BT115)+(calc!$BS$3:$BS$306&lt;BS115)*(calc!$BT$3:$BT$306&gt;BT115))&gt;0)),0)</f>
        <v/>
      </c>
    </row>
    <row r="116">
      <c r="A116" s="2">
        <f>mos_metrics!A115</f>
        <v/>
      </c>
      <c r="B116" s="2">
        <f>mos_metrics!B115</f>
        <v/>
      </c>
      <c r="C116" s="2">
        <f>mos_metrics!C115</f>
        <v/>
      </c>
      <c r="D116" s="2">
        <f>mos_metrics!D115</f>
        <v/>
      </c>
      <c r="E116" s="2">
        <f>mos_metrics!E115</f>
        <v/>
      </c>
      <c r="F116" s="2">
        <f>mos_metrics!F115</f>
        <v/>
      </c>
      <c r="G116" s="2">
        <f>IF($B116="","",IFERROR(VLOOKUP($B116,correlation!$A$2:$B$16,2,FALSE),1))</f>
        <v/>
      </c>
      <c r="H116" s="2">
        <f>IF($E116="","",IFERROR(VLOOKUP($E116,correlation!$D$2:$E$8,2,FALSE),1))</f>
        <v/>
      </c>
      <c r="I116" s="2">
        <f>ISNUMBER($F116)</f>
        <v/>
      </c>
      <c r="J116" s="2">
        <f>AND($G116=1,$H116=1,$I116)</f>
        <v/>
      </c>
      <c r="K116" s="5">
        <f>IF(mos_metrics!G115="","",mos_metrics!G115)</f>
        <v/>
      </c>
      <c r="L116" s="2">
        <f>AND($J116,ISNUMBER(K116),correlation!$I$26=1)</f>
        <v/>
      </c>
      <c r="M116" s="5">
        <f>IF(L116,$F116,"")</f>
        <v/>
      </c>
      <c r="N116" s="5">
        <f>IF(L116,K116*correlation!$J$26,"")</f>
        <v/>
      </c>
      <c r="O116" s="5">
        <f>IF(AND(L116,ISNUMBER(correlation!$F$26)),N116*correlation!$F$26+correlation!$G$26,"")</f>
        <v/>
      </c>
      <c r="P116" s="5">
        <f>IF(AND(L116,ISNUMBER(O116)),(M116-O116)^2,"")</f>
        <v/>
      </c>
      <c r="Q116" s="5">
        <f>IF(L116,1+SUMPRODUCT(--(calc!$L$3:$L$306=TRUE),--(calc!$M$3:$M$306&gt;M116))+(SUMPRODUCT(--(calc!$L$3:$L$306=TRUE),--(calc!$M$3:$M$306=M116))-1)/2,"")</f>
        <v/>
      </c>
      <c r="R116" s="5">
        <f>IF(L116,1+SUMPRODUCT(--(calc!$L$3:$L$306=TRUE),--(calc!$N$3:$N$306&gt;N116))+(SUMPRODUCT(--(calc!$L$3:$L$306=TRUE),--(calc!$N$3:$N$306=N116))-1)/2,"")</f>
        <v/>
      </c>
      <c r="S116" s="5">
        <f>IF(L116,SUMPRODUCT(--(calc!$L$3:$L$306=TRUE),--(ROW(calc!$L$3:$L$306)&gt;ROW(L116)),--(((calc!$Q$3:$Q$306&gt;Q116)*(calc!$R$3:$R$306&gt;R116)+(calc!$Q$3:$Q$306&lt;Q116)*(calc!$R$3:$R$306&lt;R116))&gt;0))-SUMPRODUCT(--(calc!$L$3:$L$306=TRUE),--(ROW(calc!$L$3:$L$306)&gt;ROW(L116)),--(((calc!$Q$3:$Q$306&gt;Q116)*(calc!$R$3:$R$306&lt;R116)+(calc!$Q$3:$Q$306&lt;Q116)*(calc!$R$3:$R$306&gt;R116))&gt;0)),0)</f>
        <v/>
      </c>
      <c r="T116" s="5">
        <f>IF(mos_metrics!H115="","",mos_metrics!H115)</f>
        <v/>
      </c>
      <c r="U116" s="2">
        <f>AND($J116,ISNUMBER(T116),correlation!$I$27=1)</f>
        <v/>
      </c>
      <c r="V116" s="5">
        <f>IF(U116,$F116,"")</f>
        <v/>
      </c>
      <c r="W116" s="5">
        <f>IF(U116,T116*correlation!$J$27,"")</f>
        <v/>
      </c>
      <c r="X116" s="5">
        <f>IF(AND(U116,ISNUMBER(correlation!$F$27)),W116*correlation!$F$27+correlation!$G$27,"")</f>
        <v/>
      </c>
      <c r="Y116" s="5">
        <f>IF(AND(U116,ISNUMBER(X116)),(V116-X116)^2,"")</f>
        <v/>
      </c>
      <c r="Z116" s="5">
        <f>IF(U116,1+SUMPRODUCT(--(calc!$U$3:$U$306=TRUE),--(calc!$V$3:$V$306&gt;V116))+(SUMPRODUCT(--(calc!$U$3:$U$306=TRUE),--(calc!$V$3:$V$306=V116))-1)/2,"")</f>
        <v/>
      </c>
      <c r="AA116" s="5">
        <f>IF(U116,1+SUMPRODUCT(--(calc!$U$3:$U$306=TRUE),--(calc!$W$3:$W$306&gt;W116))+(SUMPRODUCT(--(calc!$U$3:$U$306=TRUE),--(calc!$W$3:$W$306=W116))-1)/2,"")</f>
        <v/>
      </c>
      <c r="AB116" s="5">
        <f>IF(U116,SUMPRODUCT(--(calc!$U$3:$U$306=TRUE),--(ROW(calc!$U$3:$U$306)&gt;ROW(U116)),--(((calc!$Z$3:$Z$306&gt;Z116)*(calc!$AA$3:$AA$306&gt;AA116)+(calc!$Z$3:$Z$306&lt;Z116)*(calc!$AA$3:$AA$306&lt;AA116))&gt;0))-SUMPRODUCT(--(calc!$U$3:$U$306=TRUE),--(ROW(calc!$U$3:$U$306)&gt;ROW(U116)),--(((calc!$Z$3:$Z$306&gt;Z116)*(calc!$AA$3:$AA$306&lt;AA116)+(calc!$Z$3:$Z$306&lt;Z116)*(calc!$AA$3:$AA$306&gt;AA116))&gt;0)),0)</f>
        <v/>
      </c>
      <c r="AC116" s="5">
        <f>IF(mos_metrics!I115="","",mos_metrics!I115)</f>
        <v/>
      </c>
      <c r="AD116" s="2">
        <f>AND($J116,ISNUMBER(AC116),correlation!$I$28=1)</f>
        <v/>
      </c>
      <c r="AE116" s="5">
        <f>IF(AD116,$F116,"")</f>
        <v/>
      </c>
      <c r="AF116" s="5">
        <f>IF(AD116,AC116*correlation!$J$28,"")</f>
        <v/>
      </c>
      <c r="AG116" s="5">
        <f>IF(AND(AD116,ISNUMBER(correlation!$F$28)),AF116*correlation!$F$28+correlation!$G$28,"")</f>
        <v/>
      </c>
      <c r="AH116" s="5">
        <f>IF(AND(AD116,ISNUMBER(AG116)),(AE116-AG116)^2,"")</f>
        <v/>
      </c>
      <c r="AI116" s="5">
        <f>IF(AD116,1+SUMPRODUCT(--(calc!$AD$3:$AD$306=TRUE),--(calc!$AE$3:$AE$306&gt;AE116))+(SUMPRODUCT(--(calc!$AD$3:$AD$306=TRUE),--(calc!$AE$3:$AE$306=AE116))-1)/2,"")</f>
        <v/>
      </c>
      <c r="AJ116" s="5">
        <f>IF(AD116,1+SUMPRODUCT(--(calc!$AD$3:$AD$306=TRUE),--(calc!$AF$3:$AF$306&gt;AF116))+(SUMPRODUCT(--(calc!$AD$3:$AD$306=TRUE),--(calc!$AF$3:$AF$306=AF116))-1)/2,"")</f>
        <v/>
      </c>
      <c r="AK116" s="5">
        <f>IF(AD116,SUMPRODUCT(--(calc!$AD$3:$AD$306=TRUE),--(ROW(calc!$AD$3:$AD$306)&gt;ROW(AD116)),--(((calc!$AI$3:$AI$306&gt;AI116)*(calc!$AJ$3:$AJ$306&gt;AJ116)+(calc!$AI$3:$AI$306&lt;AI116)*(calc!$AJ$3:$AJ$306&lt;AJ116))&gt;0))-SUMPRODUCT(--(calc!$AD$3:$AD$306=TRUE),--(ROW(calc!$AD$3:$AD$306)&gt;ROW(AD116)),--(((calc!$AI$3:$AI$306&gt;AI116)*(calc!$AJ$3:$AJ$306&lt;AJ116)+(calc!$AI$3:$AI$306&lt;AI116)*(calc!$AJ$3:$AJ$306&gt;AJ116))&gt;0)),0)</f>
        <v/>
      </c>
      <c r="AL116" s="5">
        <f>IF(mos_metrics!J115="","",mos_metrics!J115)</f>
        <v/>
      </c>
      <c r="AM116" s="2">
        <f>AND($J116,ISNUMBER(AL116),correlation!$I$29=1)</f>
        <v/>
      </c>
      <c r="AN116" s="5">
        <f>IF(AM116,$F116,"")</f>
        <v/>
      </c>
      <c r="AO116" s="5">
        <f>IF(AM116,AL116*correlation!$J$29,"")</f>
        <v/>
      </c>
      <c r="AP116" s="5">
        <f>IF(AND(AM116,ISNUMBER(correlation!$F$29)),AO116*correlation!$F$29+correlation!$G$29,"")</f>
        <v/>
      </c>
      <c r="AQ116" s="5">
        <f>IF(AND(AM116,ISNUMBER(AP116)),(AN116-AP116)^2,"")</f>
        <v/>
      </c>
      <c r="AR116" s="5">
        <f>IF(AM116,1+SUMPRODUCT(--(calc!$AM$3:$AM$306=TRUE),--(calc!$AN$3:$AN$306&gt;AN116))+(SUMPRODUCT(--(calc!$AM$3:$AM$306=TRUE),--(calc!$AN$3:$AN$306=AN116))-1)/2,"")</f>
        <v/>
      </c>
      <c r="AS116" s="5">
        <f>IF(AM116,1+SUMPRODUCT(--(calc!$AM$3:$AM$306=TRUE),--(calc!$AO$3:$AO$306&gt;AO116))+(SUMPRODUCT(--(calc!$AM$3:$AM$306=TRUE),--(calc!$AO$3:$AO$306=AO116))-1)/2,"")</f>
        <v/>
      </c>
      <c r="AT116" s="5">
        <f>IF(AM116,SUMPRODUCT(--(calc!$AM$3:$AM$306=TRUE),--(ROW(calc!$AM$3:$AM$306)&gt;ROW(AM116)),--(((calc!$AR$3:$AR$306&gt;AR116)*(calc!$AS$3:$AS$306&gt;AS116)+(calc!$AR$3:$AR$306&lt;AR116)*(calc!$AS$3:$AS$306&lt;AS116))&gt;0))-SUMPRODUCT(--(calc!$AM$3:$AM$306=TRUE),--(ROW(calc!$AM$3:$AM$306)&gt;ROW(AM116)),--(((calc!$AR$3:$AR$306&gt;AR116)*(calc!$AS$3:$AS$306&lt;AS116)+(calc!$AR$3:$AR$306&lt;AR116)*(calc!$AS$3:$AS$306&gt;AS116))&gt;0)),0)</f>
        <v/>
      </c>
      <c r="AU116" s="5">
        <f>IF(mos_metrics!K115="","",mos_metrics!K115)</f>
        <v/>
      </c>
      <c r="AV116" s="2">
        <f>AND($J116,ISNUMBER(AU116),correlation!$I$30=1)</f>
        <v/>
      </c>
      <c r="AW116" s="5">
        <f>IF(AV116,$F116,"")</f>
        <v/>
      </c>
      <c r="AX116" s="5">
        <f>IF(AV116,AU116*correlation!$J$30,"")</f>
        <v/>
      </c>
      <c r="AY116" s="5">
        <f>IF(AND(AV116,ISNUMBER(correlation!$F$30)),AX116*correlation!$F$30+correlation!$G$30,"")</f>
        <v/>
      </c>
      <c r="AZ116" s="5">
        <f>IF(AND(AV116,ISNUMBER(AY116)),(AW116-AY116)^2,"")</f>
        <v/>
      </c>
      <c r="BA116" s="5">
        <f>IF(AV116,1+SUMPRODUCT(--(calc!$AV$3:$AV$306=TRUE),--(calc!$AW$3:$AW$306&gt;AW116))+(SUMPRODUCT(--(calc!$AV$3:$AV$306=TRUE),--(calc!$AW$3:$AW$306=AW116))-1)/2,"")</f>
        <v/>
      </c>
      <c r="BB116" s="5">
        <f>IF(AV116,1+SUMPRODUCT(--(calc!$AV$3:$AV$306=TRUE),--(calc!$AX$3:$AX$306&gt;AX116))+(SUMPRODUCT(--(calc!$AV$3:$AV$306=TRUE),--(calc!$AX$3:$AX$306=AX116))-1)/2,"")</f>
        <v/>
      </c>
      <c r="BC116" s="5">
        <f>IF(AV116,SUMPRODUCT(--(calc!$AV$3:$AV$306=TRUE),--(ROW(calc!$AV$3:$AV$306)&gt;ROW(AV116)),--(((calc!$BA$3:$BA$306&gt;BA116)*(calc!$BB$3:$BB$306&gt;BB116)+(calc!$BA$3:$BA$306&lt;BA116)*(calc!$BB$3:$BB$306&lt;BB116))&gt;0))-SUMPRODUCT(--(calc!$AV$3:$AV$306=TRUE),--(ROW(calc!$AV$3:$AV$306)&gt;ROW(AV116)),--(((calc!$BA$3:$BA$306&gt;BA116)*(calc!$BB$3:$BB$306&lt;BB116)+(calc!$BA$3:$BA$306&lt;BA116)*(calc!$BB$3:$BB$306&gt;BB116))&gt;0)),0)</f>
        <v/>
      </c>
      <c r="BD116" s="5">
        <f>IF(mos_metrics!L115="","",mos_metrics!L115)</f>
        <v/>
      </c>
      <c r="BE116" s="2">
        <f>AND($J116,ISNUMBER(BD116),correlation!$I$31=1)</f>
        <v/>
      </c>
      <c r="BF116" s="5">
        <f>IF(BE116,$F116,"")</f>
        <v/>
      </c>
      <c r="BG116" s="5">
        <f>IF(BE116,BD116*correlation!$J$31,"")</f>
        <v/>
      </c>
      <c r="BH116" s="5">
        <f>IF(AND(BE116,ISNUMBER(correlation!$F$31)),BG116*correlation!$F$31+correlation!$G$31,"")</f>
        <v/>
      </c>
      <c r="BI116" s="5">
        <f>IF(AND(BE116,ISNUMBER(BH116)),(BF116-BH116)^2,"")</f>
        <v/>
      </c>
      <c r="BJ116" s="5">
        <f>IF(BE116,1+SUMPRODUCT(--(calc!$BE$3:$BE$306=TRUE),--(calc!$BF$3:$BF$306&gt;BF116))+(SUMPRODUCT(--(calc!$BE$3:$BE$306=TRUE),--(calc!$BF$3:$BF$306=BF116))-1)/2,"")</f>
        <v/>
      </c>
      <c r="BK116" s="5">
        <f>IF(BE116,1+SUMPRODUCT(--(calc!$BE$3:$BE$306=TRUE),--(calc!$BG$3:$BG$306&gt;BG116))+(SUMPRODUCT(--(calc!$BE$3:$BE$306=TRUE),--(calc!$BG$3:$BG$306=BG116))-1)/2,"")</f>
        <v/>
      </c>
      <c r="BL116" s="5">
        <f>IF(BE116,SUMPRODUCT(--(calc!$BE$3:$BE$306=TRUE),--(ROW(calc!$BE$3:$BE$306)&gt;ROW(BE116)),--(((calc!$BJ$3:$BJ$306&gt;BJ116)*(calc!$BK$3:$BK$306&gt;BK116)+(calc!$BJ$3:$BJ$306&lt;BJ116)*(calc!$BK$3:$BK$306&lt;BK116))&gt;0))-SUMPRODUCT(--(calc!$BE$3:$BE$306=TRUE),--(ROW(calc!$BE$3:$BE$306)&gt;ROW(BE116)),--(((calc!$BJ$3:$BJ$306&gt;BJ116)*(calc!$BK$3:$BK$306&lt;BK116)+(calc!$BJ$3:$BJ$306&lt;BJ116)*(calc!$BK$3:$BK$306&gt;BK116))&gt;0)),0)</f>
        <v/>
      </c>
      <c r="BM116" s="5">
        <f>IF(mos_metrics!M115="","",mos_metrics!M115)</f>
        <v/>
      </c>
      <c r="BN116" s="2">
        <f>AND($J116,ISNUMBER(BM116),correlation!$I$32=1)</f>
        <v/>
      </c>
      <c r="BO116" s="5">
        <f>IF(BN116,$F116,"")</f>
        <v/>
      </c>
      <c r="BP116" s="5">
        <f>IF(BN116,BM116*correlation!$J$32,"")</f>
        <v/>
      </c>
      <c r="BQ116" s="5">
        <f>IF(AND(BN116,ISNUMBER(correlation!$F$32)),BP116*correlation!$F$32+correlation!$G$32,"")</f>
        <v/>
      </c>
      <c r="BR116" s="5">
        <f>IF(AND(BN116,ISNUMBER(BQ116)),(BO116-BQ116)^2,"")</f>
        <v/>
      </c>
      <c r="BS116" s="5">
        <f>IF(BN116,1+SUMPRODUCT(--(calc!$BN$3:$BN$306=TRUE),--(calc!$BO$3:$BO$306&gt;BO116))+(SUMPRODUCT(--(calc!$BN$3:$BN$306=TRUE),--(calc!$BO$3:$BO$306=BO116))-1)/2,"")</f>
        <v/>
      </c>
      <c r="BT116" s="5">
        <f>IF(BN116,1+SUMPRODUCT(--(calc!$BN$3:$BN$306=TRUE),--(calc!$BP$3:$BP$306&gt;BP116))+(SUMPRODUCT(--(calc!$BN$3:$BN$306=TRUE),--(calc!$BP$3:$BP$306=BP116))-1)/2,"")</f>
        <v/>
      </c>
      <c r="BU116" s="5">
        <f>IF(BN116,SUMPRODUCT(--(calc!$BN$3:$BN$306=TRUE),--(ROW(calc!$BN$3:$BN$306)&gt;ROW(BN116)),--(((calc!$BS$3:$BS$306&gt;BS116)*(calc!$BT$3:$BT$306&gt;BT116)+(calc!$BS$3:$BS$306&lt;BS116)*(calc!$BT$3:$BT$306&lt;BT116))&gt;0))-SUMPRODUCT(--(calc!$BN$3:$BN$306=TRUE),--(ROW(calc!$BN$3:$BN$306)&gt;ROW(BN116)),--(((calc!$BS$3:$BS$306&gt;BS116)*(calc!$BT$3:$BT$306&lt;BT116)+(calc!$BS$3:$BS$306&lt;BS116)*(calc!$BT$3:$BT$306&gt;BT116))&gt;0)),0)</f>
        <v/>
      </c>
    </row>
    <row r="117">
      <c r="A117" s="2">
        <f>mos_metrics!A116</f>
        <v/>
      </c>
      <c r="B117" s="2">
        <f>mos_metrics!B116</f>
        <v/>
      </c>
      <c r="C117" s="2">
        <f>mos_metrics!C116</f>
        <v/>
      </c>
      <c r="D117" s="2">
        <f>mos_metrics!D116</f>
        <v/>
      </c>
      <c r="E117" s="2">
        <f>mos_metrics!E116</f>
        <v/>
      </c>
      <c r="F117" s="2">
        <f>mos_metrics!F116</f>
        <v/>
      </c>
      <c r="G117" s="2">
        <f>IF($B117="","",IFERROR(VLOOKUP($B117,correlation!$A$2:$B$16,2,FALSE),1))</f>
        <v/>
      </c>
      <c r="H117" s="2">
        <f>IF($E117="","",IFERROR(VLOOKUP($E117,correlation!$D$2:$E$8,2,FALSE),1))</f>
        <v/>
      </c>
      <c r="I117" s="2">
        <f>ISNUMBER($F117)</f>
        <v/>
      </c>
      <c r="J117" s="2">
        <f>AND($G117=1,$H117=1,$I117)</f>
        <v/>
      </c>
      <c r="K117" s="5">
        <f>IF(mos_metrics!G116="","",mos_metrics!G116)</f>
        <v/>
      </c>
      <c r="L117" s="2">
        <f>AND($J117,ISNUMBER(K117),correlation!$I$26=1)</f>
        <v/>
      </c>
      <c r="M117" s="5">
        <f>IF(L117,$F117,"")</f>
        <v/>
      </c>
      <c r="N117" s="5">
        <f>IF(L117,K117*correlation!$J$26,"")</f>
        <v/>
      </c>
      <c r="O117" s="5">
        <f>IF(AND(L117,ISNUMBER(correlation!$F$26)),N117*correlation!$F$26+correlation!$G$26,"")</f>
        <v/>
      </c>
      <c r="P117" s="5">
        <f>IF(AND(L117,ISNUMBER(O117)),(M117-O117)^2,"")</f>
        <v/>
      </c>
      <c r="Q117" s="5">
        <f>IF(L117,1+SUMPRODUCT(--(calc!$L$3:$L$306=TRUE),--(calc!$M$3:$M$306&gt;M117))+(SUMPRODUCT(--(calc!$L$3:$L$306=TRUE),--(calc!$M$3:$M$306=M117))-1)/2,"")</f>
        <v/>
      </c>
      <c r="R117" s="5">
        <f>IF(L117,1+SUMPRODUCT(--(calc!$L$3:$L$306=TRUE),--(calc!$N$3:$N$306&gt;N117))+(SUMPRODUCT(--(calc!$L$3:$L$306=TRUE),--(calc!$N$3:$N$306=N117))-1)/2,"")</f>
        <v/>
      </c>
      <c r="S117" s="5">
        <f>IF(L117,SUMPRODUCT(--(calc!$L$3:$L$306=TRUE),--(ROW(calc!$L$3:$L$306)&gt;ROW(L117)),--(((calc!$Q$3:$Q$306&gt;Q117)*(calc!$R$3:$R$306&gt;R117)+(calc!$Q$3:$Q$306&lt;Q117)*(calc!$R$3:$R$306&lt;R117))&gt;0))-SUMPRODUCT(--(calc!$L$3:$L$306=TRUE),--(ROW(calc!$L$3:$L$306)&gt;ROW(L117)),--(((calc!$Q$3:$Q$306&gt;Q117)*(calc!$R$3:$R$306&lt;R117)+(calc!$Q$3:$Q$306&lt;Q117)*(calc!$R$3:$R$306&gt;R117))&gt;0)),0)</f>
        <v/>
      </c>
      <c r="T117" s="5">
        <f>IF(mos_metrics!H116="","",mos_metrics!H116)</f>
        <v/>
      </c>
      <c r="U117" s="2">
        <f>AND($J117,ISNUMBER(T117),correlation!$I$27=1)</f>
        <v/>
      </c>
      <c r="V117" s="5">
        <f>IF(U117,$F117,"")</f>
        <v/>
      </c>
      <c r="W117" s="5">
        <f>IF(U117,T117*correlation!$J$27,"")</f>
        <v/>
      </c>
      <c r="X117" s="5">
        <f>IF(AND(U117,ISNUMBER(correlation!$F$27)),W117*correlation!$F$27+correlation!$G$27,"")</f>
        <v/>
      </c>
      <c r="Y117" s="5">
        <f>IF(AND(U117,ISNUMBER(X117)),(V117-X117)^2,"")</f>
        <v/>
      </c>
      <c r="Z117" s="5">
        <f>IF(U117,1+SUMPRODUCT(--(calc!$U$3:$U$306=TRUE),--(calc!$V$3:$V$306&gt;V117))+(SUMPRODUCT(--(calc!$U$3:$U$306=TRUE),--(calc!$V$3:$V$306=V117))-1)/2,"")</f>
        <v/>
      </c>
      <c r="AA117" s="5">
        <f>IF(U117,1+SUMPRODUCT(--(calc!$U$3:$U$306=TRUE),--(calc!$W$3:$W$306&gt;W117))+(SUMPRODUCT(--(calc!$U$3:$U$306=TRUE),--(calc!$W$3:$W$306=W117))-1)/2,"")</f>
        <v/>
      </c>
      <c r="AB117" s="5">
        <f>IF(U117,SUMPRODUCT(--(calc!$U$3:$U$306=TRUE),--(ROW(calc!$U$3:$U$306)&gt;ROW(U117)),--(((calc!$Z$3:$Z$306&gt;Z117)*(calc!$AA$3:$AA$306&gt;AA117)+(calc!$Z$3:$Z$306&lt;Z117)*(calc!$AA$3:$AA$306&lt;AA117))&gt;0))-SUMPRODUCT(--(calc!$U$3:$U$306=TRUE),--(ROW(calc!$U$3:$U$306)&gt;ROW(U117)),--(((calc!$Z$3:$Z$306&gt;Z117)*(calc!$AA$3:$AA$306&lt;AA117)+(calc!$Z$3:$Z$306&lt;Z117)*(calc!$AA$3:$AA$306&gt;AA117))&gt;0)),0)</f>
        <v/>
      </c>
      <c r="AC117" s="5">
        <f>IF(mos_metrics!I116="","",mos_metrics!I116)</f>
        <v/>
      </c>
      <c r="AD117" s="2">
        <f>AND($J117,ISNUMBER(AC117),correlation!$I$28=1)</f>
        <v/>
      </c>
      <c r="AE117" s="5">
        <f>IF(AD117,$F117,"")</f>
        <v/>
      </c>
      <c r="AF117" s="5">
        <f>IF(AD117,AC117*correlation!$J$28,"")</f>
        <v/>
      </c>
      <c r="AG117" s="5">
        <f>IF(AND(AD117,ISNUMBER(correlation!$F$28)),AF117*correlation!$F$28+correlation!$G$28,"")</f>
        <v/>
      </c>
      <c r="AH117" s="5">
        <f>IF(AND(AD117,ISNUMBER(AG117)),(AE117-AG117)^2,"")</f>
        <v/>
      </c>
      <c r="AI117" s="5">
        <f>IF(AD117,1+SUMPRODUCT(--(calc!$AD$3:$AD$306=TRUE),--(calc!$AE$3:$AE$306&gt;AE117))+(SUMPRODUCT(--(calc!$AD$3:$AD$306=TRUE),--(calc!$AE$3:$AE$306=AE117))-1)/2,"")</f>
        <v/>
      </c>
      <c r="AJ117" s="5">
        <f>IF(AD117,1+SUMPRODUCT(--(calc!$AD$3:$AD$306=TRUE),--(calc!$AF$3:$AF$306&gt;AF117))+(SUMPRODUCT(--(calc!$AD$3:$AD$306=TRUE),--(calc!$AF$3:$AF$306=AF117))-1)/2,"")</f>
        <v/>
      </c>
      <c r="AK117" s="5">
        <f>IF(AD117,SUMPRODUCT(--(calc!$AD$3:$AD$306=TRUE),--(ROW(calc!$AD$3:$AD$306)&gt;ROW(AD117)),--(((calc!$AI$3:$AI$306&gt;AI117)*(calc!$AJ$3:$AJ$306&gt;AJ117)+(calc!$AI$3:$AI$306&lt;AI117)*(calc!$AJ$3:$AJ$306&lt;AJ117))&gt;0))-SUMPRODUCT(--(calc!$AD$3:$AD$306=TRUE),--(ROW(calc!$AD$3:$AD$306)&gt;ROW(AD117)),--(((calc!$AI$3:$AI$306&gt;AI117)*(calc!$AJ$3:$AJ$306&lt;AJ117)+(calc!$AI$3:$AI$306&lt;AI117)*(calc!$AJ$3:$AJ$306&gt;AJ117))&gt;0)),0)</f>
        <v/>
      </c>
      <c r="AL117" s="5">
        <f>IF(mos_metrics!J116="","",mos_metrics!J116)</f>
        <v/>
      </c>
      <c r="AM117" s="2">
        <f>AND($J117,ISNUMBER(AL117),correlation!$I$29=1)</f>
        <v/>
      </c>
      <c r="AN117" s="5">
        <f>IF(AM117,$F117,"")</f>
        <v/>
      </c>
      <c r="AO117" s="5">
        <f>IF(AM117,AL117*correlation!$J$29,"")</f>
        <v/>
      </c>
      <c r="AP117" s="5">
        <f>IF(AND(AM117,ISNUMBER(correlation!$F$29)),AO117*correlation!$F$29+correlation!$G$29,"")</f>
        <v/>
      </c>
      <c r="AQ117" s="5">
        <f>IF(AND(AM117,ISNUMBER(AP117)),(AN117-AP117)^2,"")</f>
        <v/>
      </c>
      <c r="AR117" s="5">
        <f>IF(AM117,1+SUMPRODUCT(--(calc!$AM$3:$AM$306=TRUE),--(calc!$AN$3:$AN$306&gt;AN117))+(SUMPRODUCT(--(calc!$AM$3:$AM$306=TRUE),--(calc!$AN$3:$AN$306=AN117))-1)/2,"")</f>
        <v/>
      </c>
      <c r="AS117" s="5">
        <f>IF(AM117,1+SUMPRODUCT(--(calc!$AM$3:$AM$306=TRUE),--(calc!$AO$3:$AO$306&gt;AO117))+(SUMPRODUCT(--(calc!$AM$3:$AM$306=TRUE),--(calc!$AO$3:$AO$306=AO117))-1)/2,"")</f>
        <v/>
      </c>
      <c r="AT117" s="5">
        <f>IF(AM117,SUMPRODUCT(--(calc!$AM$3:$AM$306=TRUE),--(ROW(calc!$AM$3:$AM$306)&gt;ROW(AM117)),--(((calc!$AR$3:$AR$306&gt;AR117)*(calc!$AS$3:$AS$306&gt;AS117)+(calc!$AR$3:$AR$306&lt;AR117)*(calc!$AS$3:$AS$306&lt;AS117))&gt;0))-SUMPRODUCT(--(calc!$AM$3:$AM$306=TRUE),--(ROW(calc!$AM$3:$AM$306)&gt;ROW(AM117)),--(((calc!$AR$3:$AR$306&gt;AR117)*(calc!$AS$3:$AS$306&lt;AS117)+(calc!$AR$3:$AR$306&lt;AR117)*(calc!$AS$3:$AS$306&gt;AS117))&gt;0)),0)</f>
        <v/>
      </c>
      <c r="AU117" s="5">
        <f>IF(mos_metrics!K116="","",mos_metrics!K116)</f>
        <v/>
      </c>
      <c r="AV117" s="2">
        <f>AND($J117,ISNUMBER(AU117),correlation!$I$30=1)</f>
        <v/>
      </c>
      <c r="AW117" s="5">
        <f>IF(AV117,$F117,"")</f>
        <v/>
      </c>
      <c r="AX117" s="5">
        <f>IF(AV117,AU117*correlation!$J$30,"")</f>
        <v/>
      </c>
      <c r="AY117" s="5">
        <f>IF(AND(AV117,ISNUMBER(correlation!$F$30)),AX117*correlation!$F$30+correlation!$G$30,"")</f>
        <v/>
      </c>
      <c r="AZ117" s="5">
        <f>IF(AND(AV117,ISNUMBER(AY117)),(AW117-AY117)^2,"")</f>
        <v/>
      </c>
      <c r="BA117" s="5">
        <f>IF(AV117,1+SUMPRODUCT(--(calc!$AV$3:$AV$306=TRUE),--(calc!$AW$3:$AW$306&gt;AW117))+(SUMPRODUCT(--(calc!$AV$3:$AV$306=TRUE),--(calc!$AW$3:$AW$306=AW117))-1)/2,"")</f>
        <v/>
      </c>
      <c r="BB117" s="5">
        <f>IF(AV117,1+SUMPRODUCT(--(calc!$AV$3:$AV$306=TRUE),--(calc!$AX$3:$AX$306&gt;AX117))+(SUMPRODUCT(--(calc!$AV$3:$AV$306=TRUE),--(calc!$AX$3:$AX$306=AX117))-1)/2,"")</f>
        <v/>
      </c>
      <c r="BC117" s="5">
        <f>IF(AV117,SUMPRODUCT(--(calc!$AV$3:$AV$306=TRUE),--(ROW(calc!$AV$3:$AV$306)&gt;ROW(AV117)),--(((calc!$BA$3:$BA$306&gt;BA117)*(calc!$BB$3:$BB$306&gt;BB117)+(calc!$BA$3:$BA$306&lt;BA117)*(calc!$BB$3:$BB$306&lt;BB117))&gt;0))-SUMPRODUCT(--(calc!$AV$3:$AV$306=TRUE),--(ROW(calc!$AV$3:$AV$306)&gt;ROW(AV117)),--(((calc!$BA$3:$BA$306&gt;BA117)*(calc!$BB$3:$BB$306&lt;BB117)+(calc!$BA$3:$BA$306&lt;BA117)*(calc!$BB$3:$BB$306&gt;BB117))&gt;0)),0)</f>
        <v/>
      </c>
      <c r="BD117" s="5">
        <f>IF(mos_metrics!L116="","",mos_metrics!L116)</f>
        <v/>
      </c>
      <c r="BE117" s="2">
        <f>AND($J117,ISNUMBER(BD117),correlation!$I$31=1)</f>
        <v/>
      </c>
      <c r="BF117" s="5">
        <f>IF(BE117,$F117,"")</f>
        <v/>
      </c>
      <c r="BG117" s="5">
        <f>IF(BE117,BD117*correlation!$J$31,"")</f>
        <v/>
      </c>
      <c r="BH117" s="5">
        <f>IF(AND(BE117,ISNUMBER(correlation!$F$31)),BG117*correlation!$F$31+correlation!$G$31,"")</f>
        <v/>
      </c>
      <c r="BI117" s="5">
        <f>IF(AND(BE117,ISNUMBER(BH117)),(BF117-BH117)^2,"")</f>
        <v/>
      </c>
      <c r="BJ117" s="5">
        <f>IF(BE117,1+SUMPRODUCT(--(calc!$BE$3:$BE$306=TRUE),--(calc!$BF$3:$BF$306&gt;BF117))+(SUMPRODUCT(--(calc!$BE$3:$BE$306=TRUE),--(calc!$BF$3:$BF$306=BF117))-1)/2,"")</f>
        <v/>
      </c>
      <c r="BK117" s="5">
        <f>IF(BE117,1+SUMPRODUCT(--(calc!$BE$3:$BE$306=TRUE),--(calc!$BG$3:$BG$306&gt;BG117))+(SUMPRODUCT(--(calc!$BE$3:$BE$306=TRUE),--(calc!$BG$3:$BG$306=BG117))-1)/2,"")</f>
        <v/>
      </c>
      <c r="BL117" s="5">
        <f>IF(BE117,SUMPRODUCT(--(calc!$BE$3:$BE$306=TRUE),--(ROW(calc!$BE$3:$BE$306)&gt;ROW(BE117)),--(((calc!$BJ$3:$BJ$306&gt;BJ117)*(calc!$BK$3:$BK$306&gt;BK117)+(calc!$BJ$3:$BJ$306&lt;BJ117)*(calc!$BK$3:$BK$306&lt;BK117))&gt;0))-SUMPRODUCT(--(calc!$BE$3:$BE$306=TRUE),--(ROW(calc!$BE$3:$BE$306)&gt;ROW(BE117)),--(((calc!$BJ$3:$BJ$306&gt;BJ117)*(calc!$BK$3:$BK$306&lt;BK117)+(calc!$BJ$3:$BJ$306&lt;BJ117)*(calc!$BK$3:$BK$306&gt;BK117))&gt;0)),0)</f>
        <v/>
      </c>
      <c r="BM117" s="5">
        <f>IF(mos_metrics!M116="","",mos_metrics!M116)</f>
        <v/>
      </c>
      <c r="BN117" s="2">
        <f>AND($J117,ISNUMBER(BM117),correlation!$I$32=1)</f>
        <v/>
      </c>
      <c r="BO117" s="5">
        <f>IF(BN117,$F117,"")</f>
        <v/>
      </c>
      <c r="BP117" s="5">
        <f>IF(BN117,BM117*correlation!$J$32,"")</f>
        <v/>
      </c>
      <c r="BQ117" s="5">
        <f>IF(AND(BN117,ISNUMBER(correlation!$F$32)),BP117*correlation!$F$32+correlation!$G$32,"")</f>
        <v/>
      </c>
      <c r="BR117" s="5">
        <f>IF(AND(BN117,ISNUMBER(BQ117)),(BO117-BQ117)^2,"")</f>
        <v/>
      </c>
      <c r="BS117" s="5">
        <f>IF(BN117,1+SUMPRODUCT(--(calc!$BN$3:$BN$306=TRUE),--(calc!$BO$3:$BO$306&gt;BO117))+(SUMPRODUCT(--(calc!$BN$3:$BN$306=TRUE),--(calc!$BO$3:$BO$306=BO117))-1)/2,"")</f>
        <v/>
      </c>
      <c r="BT117" s="5">
        <f>IF(BN117,1+SUMPRODUCT(--(calc!$BN$3:$BN$306=TRUE),--(calc!$BP$3:$BP$306&gt;BP117))+(SUMPRODUCT(--(calc!$BN$3:$BN$306=TRUE),--(calc!$BP$3:$BP$306=BP117))-1)/2,"")</f>
        <v/>
      </c>
      <c r="BU117" s="5">
        <f>IF(BN117,SUMPRODUCT(--(calc!$BN$3:$BN$306=TRUE),--(ROW(calc!$BN$3:$BN$306)&gt;ROW(BN117)),--(((calc!$BS$3:$BS$306&gt;BS117)*(calc!$BT$3:$BT$306&gt;BT117)+(calc!$BS$3:$BS$306&lt;BS117)*(calc!$BT$3:$BT$306&lt;BT117))&gt;0))-SUMPRODUCT(--(calc!$BN$3:$BN$306=TRUE),--(ROW(calc!$BN$3:$BN$306)&gt;ROW(BN117)),--(((calc!$BS$3:$BS$306&gt;BS117)*(calc!$BT$3:$BT$306&lt;BT117)+(calc!$BS$3:$BS$306&lt;BS117)*(calc!$BT$3:$BT$306&gt;BT117))&gt;0)),0)</f>
        <v/>
      </c>
    </row>
    <row r="118">
      <c r="A118" s="2">
        <f>mos_metrics!A117</f>
        <v/>
      </c>
      <c r="B118" s="2">
        <f>mos_metrics!B117</f>
        <v/>
      </c>
      <c r="C118" s="2">
        <f>mos_metrics!C117</f>
        <v/>
      </c>
      <c r="D118" s="2">
        <f>mos_metrics!D117</f>
        <v/>
      </c>
      <c r="E118" s="2">
        <f>mos_metrics!E117</f>
        <v/>
      </c>
      <c r="F118" s="2">
        <f>mos_metrics!F117</f>
        <v/>
      </c>
      <c r="G118" s="2">
        <f>IF($B118="","",IFERROR(VLOOKUP($B118,correlation!$A$2:$B$16,2,FALSE),1))</f>
        <v/>
      </c>
      <c r="H118" s="2">
        <f>IF($E118="","",IFERROR(VLOOKUP($E118,correlation!$D$2:$E$8,2,FALSE),1))</f>
        <v/>
      </c>
      <c r="I118" s="2">
        <f>ISNUMBER($F118)</f>
        <v/>
      </c>
      <c r="J118" s="2">
        <f>AND($G118=1,$H118=1,$I118)</f>
        <v/>
      </c>
      <c r="K118" s="5">
        <f>IF(mos_metrics!G117="","",mos_metrics!G117)</f>
        <v/>
      </c>
      <c r="L118" s="2">
        <f>AND($J118,ISNUMBER(K118),correlation!$I$26=1)</f>
        <v/>
      </c>
      <c r="M118" s="5">
        <f>IF(L118,$F118,"")</f>
        <v/>
      </c>
      <c r="N118" s="5">
        <f>IF(L118,K118*correlation!$J$26,"")</f>
        <v/>
      </c>
      <c r="O118" s="5">
        <f>IF(AND(L118,ISNUMBER(correlation!$F$26)),N118*correlation!$F$26+correlation!$G$26,"")</f>
        <v/>
      </c>
      <c r="P118" s="5">
        <f>IF(AND(L118,ISNUMBER(O118)),(M118-O118)^2,"")</f>
        <v/>
      </c>
      <c r="Q118" s="5">
        <f>IF(L118,1+SUMPRODUCT(--(calc!$L$3:$L$306=TRUE),--(calc!$M$3:$M$306&gt;M118))+(SUMPRODUCT(--(calc!$L$3:$L$306=TRUE),--(calc!$M$3:$M$306=M118))-1)/2,"")</f>
        <v/>
      </c>
      <c r="R118" s="5">
        <f>IF(L118,1+SUMPRODUCT(--(calc!$L$3:$L$306=TRUE),--(calc!$N$3:$N$306&gt;N118))+(SUMPRODUCT(--(calc!$L$3:$L$306=TRUE),--(calc!$N$3:$N$306=N118))-1)/2,"")</f>
        <v/>
      </c>
      <c r="S118" s="5">
        <f>IF(L118,SUMPRODUCT(--(calc!$L$3:$L$306=TRUE),--(ROW(calc!$L$3:$L$306)&gt;ROW(L118)),--(((calc!$Q$3:$Q$306&gt;Q118)*(calc!$R$3:$R$306&gt;R118)+(calc!$Q$3:$Q$306&lt;Q118)*(calc!$R$3:$R$306&lt;R118))&gt;0))-SUMPRODUCT(--(calc!$L$3:$L$306=TRUE),--(ROW(calc!$L$3:$L$306)&gt;ROW(L118)),--(((calc!$Q$3:$Q$306&gt;Q118)*(calc!$R$3:$R$306&lt;R118)+(calc!$Q$3:$Q$306&lt;Q118)*(calc!$R$3:$R$306&gt;R118))&gt;0)),0)</f>
        <v/>
      </c>
      <c r="T118" s="5">
        <f>IF(mos_metrics!H117="","",mos_metrics!H117)</f>
        <v/>
      </c>
      <c r="U118" s="2">
        <f>AND($J118,ISNUMBER(T118),correlation!$I$27=1)</f>
        <v/>
      </c>
      <c r="V118" s="5">
        <f>IF(U118,$F118,"")</f>
        <v/>
      </c>
      <c r="W118" s="5">
        <f>IF(U118,T118*correlation!$J$27,"")</f>
        <v/>
      </c>
      <c r="X118" s="5">
        <f>IF(AND(U118,ISNUMBER(correlation!$F$27)),W118*correlation!$F$27+correlation!$G$27,"")</f>
        <v/>
      </c>
      <c r="Y118" s="5">
        <f>IF(AND(U118,ISNUMBER(X118)),(V118-X118)^2,"")</f>
        <v/>
      </c>
      <c r="Z118" s="5">
        <f>IF(U118,1+SUMPRODUCT(--(calc!$U$3:$U$306=TRUE),--(calc!$V$3:$V$306&gt;V118))+(SUMPRODUCT(--(calc!$U$3:$U$306=TRUE),--(calc!$V$3:$V$306=V118))-1)/2,"")</f>
        <v/>
      </c>
      <c r="AA118" s="5">
        <f>IF(U118,1+SUMPRODUCT(--(calc!$U$3:$U$306=TRUE),--(calc!$W$3:$W$306&gt;W118))+(SUMPRODUCT(--(calc!$U$3:$U$306=TRUE),--(calc!$W$3:$W$306=W118))-1)/2,"")</f>
        <v/>
      </c>
      <c r="AB118" s="5">
        <f>IF(U118,SUMPRODUCT(--(calc!$U$3:$U$306=TRUE),--(ROW(calc!$U$3:$U$306)&gt;ROW(U118)),--(((calc!$Z$3:$Z$306&gt;Z118)*(calc!$AA$3:$AA$306&gt;AA118)+(calc!$Z$3:$Z$306&lt;Z118)*(calc!$AA$3:$AA$306&lt;AA118))&gt;0))-SUMPRODUCT(--(calc!$U$3:$U$306=TRUE),--(ROW(calc!$U$3:$U$306)&gt;ROW(U118)),--(((calc!$Z$3:$Z$306&gt;Z118)*(calc!$AA$3:$AA$306&lt;AA118)+(calc!$Z$3:$Z$306&lt;Z118)*(calc!$AA$3:$AA$306&gt;AA118))&gt;0)),0)</f>
        <v/>
      </c>
      <c r="AC118" s="5">
        <f>IF(mos_metrics!I117="","",mos_metrics!I117)</f>
        <v/>
      </c>
      <c r="AD118" s="2">
        <f>AND($J118,ISNUMBER(AC118),correlation!$I$28=1)</f>
        <v/>
      </c>
      <c r="AE118" s="5">
        <f>IF(AD118,$F118,"")</f>
        <v/>
      </c>
      <c r="AF118" s="5">
        <f>IF(AD118,AC118*correlation!$J$28,"")</f>
        <v/>
      </c>
      <c r="AG118" s="5">
        <f>IF(AND(AD118,ISNUMBER(correlation!$F$28)),AF118*correlation!$F$28+correlation!$G$28,"")</f>
        <v/>
      </c>
      <c r="AH118" s="5">
        <f>IF(AND(AD118,ISNUMBER(AG118)),(AE118-AG118)^2,"")</f>
        <v/>
      </c>
      <c r="AI118" s="5">
        <f>IF(AD118,1+SUMPRODUCT(--(calc!$AD$3:$AD$306=TRUE),--(calc!$AE$3:$AE$306&gt;AE118))+(SUMPRODUCT(--(calc!$AD$3:$AD$306=TRUE),--(calc!$AE$3:$AE$306=AE118))-1)/2,"")</f>
        <v/>
      </c>
      <c r="AJ118" s="5">
        <f>IF(AD118,1+SUMPRODUCT(--(calc!$AD$3:$AD$306=TRUE),--(calc!$AF$3:$AF$306&gt;AF118))+(SUMPRODUCT(--(calc!$AD$3:$AD$306=TRUE),--(calc!$AF$3:$AF$306=AF118))-1)/2,"")</f>
        <v/>
      </c>
      <c r="AK118" s="5">
        <f>IF(AD118,SUMPRODUCT(--(calc!$AD$3:$AD$306=TRUE),--(ROW(calc!$AD$3:$AD$306)&gt;ROW(AD118)),--(((calc!$AI$3:$AI$306&gt;AI118)*(calc!$AJ$3:$AJ$306&gt;AJ118)+(calc!$AI$3:$AI$306&lt;AI118)*(calc!$AJ$3:$AJ$306&lt;AJ118))&gt;0))-SUMPRODUCT(--(calc!$AD$3:$AD$306=TRUE),--(ROW(calc!$AD$3:$AD$306)&gt;ROW(AD118)),--(((calc!$AI$3:$AI$306&gt;AI118)*(calc!$AJ$3:$AJ$306&lt;AJ118)+(calc!$AI$3:$AI$306&lt;AI118)*(calc!$AJ$3:$AJ$306&gt;AJ118))&gt;0)),0)</f>
        <v/>
      </c>
      <c r="AL118" s="5">
        <f>IF(mos_metrics!J117="","",mos_metrics!J117)</f>
        <v/>
      </c>
      <c r="AM118" s="2">
        <f>AND($J118,ISNUMBER(AL118),correlation!$I$29=1)</f>
        <v/>
      </c>
      <c r="AN118" s="5">
        <f>IF(AM118,$F118,"")</f>
        <v/>
      </c>
      <c r="AO118" s="5">
        <f>IF(AM118,AL118*correlation!$J$29,"")</f>
        <v/>
      </c>
      <c r="AP118" s="5">
        <f>IF(AND(AM118,ISNUMBER(correlation!$F$29)),AO118*correlation!$F$29+correlation!$G$29,"")</f>
        <v/>
      </c>
      <c r="AQ118" s="5">
        <f>IF(AND(AM118,ISNUMBER(AP118)),(AN118-AP118)^2,"")</f>
        <v/>
      </c>
      <c r="AR118" s="5">
        <f>IF(AM118,1+SUMPRODUCT(--(calc!$AM$3:$AM$306=TRUE),--(calc!$AN$3:$AN$306&gt;AN118))+(SUMPRODUCT(--(calc!$AM$3:$AM$306=TRUE),--(calc!$AN$3:$AN$306=AN118))-1)/2,"")</f>
        <v/>
      </c>
      <c r="AS118" s="5">
        <f>IF(AM118,1+SUMPRODUCT(--(calc!$AM$3:$AM$306=TRUE),--(calc!$AO$3:$AO$306&gt;AO118))+(SUMPRODUCT(--(calc!$AM$3:$AM$306=TRUE),--(calc!$AO$3:$AO$306=AO118))-1)/2,"")</f>
        <v/>
      </c>
      <c r="AT118" s="5">
        <f>IF(AM118,SUMPRODUCT(--(calc!$AM$3:$AM$306=TRUE),--(ROW(calc!$AM$3:$AM$306)&gt;ROW(AM118)),--(((calc!$AR$3:$AR$306&gt;AR118)*(calc!$AS$3:$AS$306&gt;AS118)+(calc!$AR$3:$AR$306&lt;AR118)*(calc!$AS$3:$AS$306&lt;AS118))&gt;0))-SUMPRODUCT(--(calc!$AM$3:$AM$306=TRUE),--(ROW(calc!$AM$3:$AM$306)&gt;ROW(AM118)),--(((calc!$AR$3:$AR$306&gt;AR118)*(calc!$AS$3:$AS$306&lt;AS118)+(calc!$AR$3:$AR$306&lt;AR118)*(calc!$AS$3:$AS$306&gt;AS118))&gt;0)),0)</f>
        <v/>
      </c>
      <c r="AU118" s="5">
        <f>IF(mos_metrics!K117="","",mos_metrics!K117)</f>
        <v/>
      </c>
      <c r="AV118" s="2">
        <f>AND($J118,ISNUMBER(AU118),correlation!$I$30=1)</f>
        <v/>
      </c>
      <c r="AW118" s="5">
        <f>IF(AV118,$F118,"")</f>
        <v/>
      </c>
      <c r="AX118" s="5">
        <f>IF(AV118,AU118*correlation!$J$30,"")</f>
        <v/>
      </c>
      <c r="AY118" s="5">
        <f>IF(AND(AV118,ISNUMBER(correlation!$F$30)),AX118*correlation!$F$30+correlation!$G$30,"")</f>
        <v/>
      </c>
      <c r="AZ118" s="5">
        <f>IF(AND(AV118,ISNUMBER(AY118)),(AW118-AY118)^2,"")</f>
        <v/>
      </c>
      <c r="BA118" s="5">
        <f>IF(AV118,1+SUMPRODUCT(--(calc!$AV$3:$AV$306=TRUE),--(calc!$AW$3:$AW$306&gt;AW118))+(SUMPRODUCT(--(calc!$AV$3:$AV$306=TRUE),--(calc!$AW$3:$AW$306=AW118))-1)/2,"")</f>
        <v/>
      </c>
      <c r="BB118" s="5">
        <f>IF(AV118,1+SUMPRODUCT(--(calc!$AV$3:$AV$306=TRUE),--(calc!$AX$3:$AX$306&gt;AX118))+(SUMPRODUCT(--(calc!$AV$3:$AV$306=TRUE),--(calc!$AX$3:$AX$306=AX118))-1)/2,"")</f>
        <v/>
      </c>
      <c r="BC118" s="5">
        <f>IF(AV118,SUMPRODUCT(--(calc!$AV$3:$AV$306=TRUE),--(ROW(calc!$AV$3:$AV$306)&gt;ROW(AV118)),--(((calc!$BA$3:$BA$306&gt;BA118)*(calc!$BB$3:$BB$306&gt;BB118)+(calc!$BA$3:$BA$306&lt;BA118)*(calc!$BB$3:$BB$306&lt;BB118))&gt;0))-SUMPRODUCT(--(calc!$AV$3:$AV$306=TRUE),--(ROW(calc!$AV$3:$AV$306)&gt;ROW(AV118)),--(((calc!$BA$3:$BA$306&gt;BA118)*(calc!$BB$3:$BB$306&lt;BB118)+(calc!$BA$3:$BA$306&lt;BA118)*(calc!$BB$3:$BB$306&gt;BB118))&gt;0)),0)</f>
        <v/>
      </c>
      <c r="BD118" s="5">
        <f>IF(mos_metrics!L117="","",mos_metrics!L117)</f>
        <v/>
      </c>
      <c r="BE118" s="2">
        <f>AND($J118,ISNUMBER(BD118),correlation!$I$31=1)</f>
        <v/>
      </c>
      <c r="BF118" s="5">
        <f>IF(BE118,$F118,"")</f>
        <v/>
      </c>
      <c r="BG118" s="5">
        <f>IF(BE118,BD118*correlation!$J$31,"")</f>
        <v/>
      </c>
      <c r="BH118" s="5">
        <f>IF(AND(BE118,ISNUMBER(correlation!$F$31)),BG118*correlation!$F$31+correlation!$G$31,"")</f>
        <v/>
      </c>
      <c r="BI118" s="5">
        <f>IF(AND(BE118,ISNUMBER(BH118)),(BF118-BH118)^2,"")</f>
        <v/>
      </c>
      <c r="BJ118" s="5">
        <f>IF(BE118,1+SUMPRODUCT(--(calc!$BE$3:$BE$306=TRUE),--(calc!$BF$3:$BF$306&gt;BF118))+(SUMPRODUCT(--(calc!$BE$3:$BE$306=TRUE),--(calc!$BF$3:$BF$306=BF118))-1)/2,"")</f>
        <v/>
      </c>
      <c r="BK118" s="5">
        <f>IF(BE118,1+SUMPRODUCT(--(calc!$BE$3:$BE$306=TRUE),--(calc!$BG$3:$BG$306&gt;BG118))+(SUMPRODUCT(--(calc!$BE$3:$BE$306=TRUE),--(calc!$BG$3:$BG$306=BG118))-1)/2,"")</f>
        <v/>
      </c>
      <c r="BL118" s="5">
        <f>IF(BE118,SUMPRODUCT(--(calc!$BE$3:$BE$306=TRUE),--(ROW(calc!$BE$3:$BE$306)&gt;ROW(BE118)),--(((calc!$BJ$3:$BJ$306&gt;BJ118)*(calc!$BK$3:$BK$306&gt;BK118)+(calc!$BJ$3:$BJ$306&lt;BJ118)*(calc!$BK$3:$BK$306&lt;BK118))&gt;0))-SUMPRODUCT(--(calc!$BE$3:$BE$306=TRUE),--(ROW(calc!$BE$3:$BE$306)&gt;ROW(BE118)),--(((calc!$BJ$3:$BJ$306&gt;BJ118)*(calc!$BK$3:$BK$306&lt;BK118)+(calc!$BJ$3:$BJ$306&lt;BJ118)*(calc!$BK$3:$BK$306&gt;BK118))&gt;0)),0)</f>
        <v/>
      </c>
      <c r="BM118" s="5">
        <f>IF(mos_metrics!M117="","",mos_metrics!M117)</f>
        <v/>
      </c>
      <c r="BN118" s="2">
        <f>AND($J118,ISNUMBER(BM118),correlation!$I$32=1)</f>
        <v/>
      </c>
      <c r="BO118" s="5">
        <f>IF(BN118,$F118,"")</f>
        <v/>
      </c>
      <c r="BP118" s="5">
        <f>IF(BN118,BM118*correlation!$J$32,"")</f>
        <v/>
      </c>
      <c r="BQ118" s="5">
        <f>IF(AND(BN118,ISNUMBER(correlation!$F$32)),BP118*correlation!$F$32+correlation!$G$32,"")</f>
        <v/>
      </c>
      <c r="BR118" s="5">
        <f>IF(AND(BN118,ISNUMBER(BQ118)),(BO118-BQ118)^2,"")</f>
        <v/>
      </c>
      <c r="BS118" s="5">
        <f>IF(BN118,1+SUMPRODUCT(--(calc!$BN$3:$BN$306=TRUE),--(calc!$BO$3:$BO$306&gt;BO118))+(SUMPRODUCT(--(calc!$BN$3:$BN$306=TRUE),--(calc!$BO$3:$BO$306=BO118))-1)/2,"")</f>
        <v/>
      </c>
      <c r="BT118" s="5">
        <f>IF(BN118,1+SUMPRODUCT(--(calc!$BN$3:$BN$306=TRUE),--(calc!$BP$3:$BP$306&gt;BP118))+(SUMPRODUCT(--(calc!$BN$3:$BN$306=TRUE),--(calc!$BP$3:$BP$306=BP118))-1)/2,"")</f>
        <v/>
      </c>
      <c r="BU118" s="5">
        <f>IF(BN118,SUMPRODUCT(--(calc!$BN$3:$BN$306=TRUE),--(ROW(calc!$BN$3:$BN$306)&gt;ROW(BN118)),--(((calc!$BS$3:$BS$306&gt;BS118)*(calc!$BT$3:$BT$306&gt;BT118)+(calc!$BS$3:$BS$306&lt;BS118)*(calc!$BT$3:$BT$306&lt;BT118))&gt;0))-SUMPRODUCT(--(calc!$BN$3:$BN$306=TRUE),--(ROW(calc!$BN$3:$BN$306)&gt;ROW(BN118)),--(((calc!$BS$3:$BS$306&gt;BS118)*(calc!$BT$3:$BT$306&lt;BT118)+(calc!$BS$3:$BS$306&lt;BS118)*(calc!$BT$3:$BT$306&gt;BT118))&gt;0)),0)</f>
        <v/>
      </c>
    </row>
    <row r="119">
      <c r="A119" s="2">
        <f>mos_metrics!A118</f>
        <v/>
      </c>
      <c r="B119" s="2">
        <f>mos_metrics!B118</f>
        <v/>
      </c>
      <c r="C119" s="2">
        <f>mos_metrics!C118</f>
        <v/>
      </c>
      <c r="D119" s="2">
        <f>mos_metrics!D118</f>
        <v/>
      </c>
      <c r="E119" s="2">
        <f>mos_metrics!E118</f>
        <v/>
      </c>
      <c r="F119" s="2">
        <f>mos_metrics!F118</f>
        <v/>
      </c>
      <c r="G119" s="2">
        <f>IF($B119="","",IFERROR(VLOOKUP($B119,correlation!$A$2:$B$16,2,FALSE),1))</f>
        <v/>
      </c>
      <c r="H119" s="2">
        <f>IF($E119="","",IFERROR(VLOOKUP($E119,correlation!$D$2:$E$8,2,FALSE),1))</f>
        <v/>
      </c>
      <c r="I119" s="2">
        <f>ISNUMBER($F119)</f>
        <v/>
      </c>
      <c r="J119" s="2">
        <f>AND($G119=1,$H119=1,$I119)</f>
        <v/>
      </c>
      <c r="K119" s="5">
        <f>IF(mos_metrics!G118="","",mos_metrics!G118)</f>
        <v/>
      </c>
      <c r="L119" s="2">
        <f>AND($J119,ISNUMBER(K119),correlation!$I$26=1)</f>
        <v/>
      </c>
      <c r="M119" s="5">
        <f>IF(L119,$F119,"")</f>
        <v/>
      </c>
      <c r="N119" s="5">
        <f>IF(L119,K119*correlation!$J$26,"")</f>
        <v/>
      </c>
      <c r="O119" s="5">
        <f>IF(AND(L119,ISNUMBER(correlation!$F$26)),N119*correlation!$F$26+correlation!$G$26,"")</f>
        <v/>
      </c>
      <c r="P119" s="5">
        <f>IF(AND(L119,ISNUMBER(O119)),(M119-O119)^2,"")</f>
        <v/>
      </c>
      <c r="Q119" s="5">
        <f>IF(L119,1+SUMPRODUCT(--(calc!$L$3:$L$306=TRUE),--(calc!$M$3:$M$306&gt;M119))+(SUMPRODUCT(--(calc!$L$3:$L$306=TRUE),--(calc!$M$3:$M$306=M119))-1)/2,"")</f>
        <v/>
      </c>
      <c r="R119" s="5">
        <f>IF(L119,1+SUMPRODUCT(--(calc!$L$3:$L$306=TRUE),--(calc!$N$3:$N$306&gt;N119))+(SUMPRODUCT(--(calc!$L$3:$L$306=TRUE),--(calc!$N$3:$N$306=N119))-1)/2,"")</f>
        <v/>
      </c>
      <c r="S119" s="5">
        <f>IF(L119,SUMPRODUCT(--(calc!$L$3:$L$306=TRUE),--(ROW(calc!$L$3:$L$306)&gt;ROW(L119)),--(((calc!$Q$3:$Q$306&gt;Q119)*(calc!$R$3:$R$306&gt;R119)+(calc!$Q$3:$Q$306&lt;Q119)*(calc!$R$3:$R$306&lt;R119))&gt;0))-SUMPRODUCT(--(calc!$L$3:$L$306=TRUE),--(ROW(calc!$L$3:$L$306)&gt;ROW(L119)),--(((calc!$Q$3:$Q$306&gt;Q119)*(calc!$R$3:$R$306&lt;R119)+(calc!$Q$3:$Q$306&lt;Q119)*(calc!$R$3:$R$306&gt;R119))&gt;0)),0)</f>
        <v/>
      </c>
      <c r="T119" s="5">
        <f>IF(mos_metrics!H118="","",mos_metrics!H118)</f>
        <v/>
      </c>
      <c r="U119" s="2">
        <f>AND($J119,ISNUMBER(T119),correlation!$I$27=1)</f>
        <v/>
      </c>
      <c r="V119" s="5">
        <f>IF(U119,$F119,"")</f>
        <v/>
      </c>
      <c r="W119" s="5">
        <f>IF(U119,T119*correlation!$J$27,"")</f>
        <v/>
      </c>
      <c r="X119" s="5">
        <f>IF(AND(U119,ISNUMBER(correlation!$F$27)),W119*correlation!$F$27+correlation!$G$27,"")</f>
        <v/>
      </c>
      <c r="Y119" s="5">
        <f>IF(AND(U119,ISNUMBER(X119)),(V119-X119)^2,"")</f>
        <v/>
      </c>
      <c r="Z119" s="5">
        <f>IF(U119,1+SUMPRODUCT(--(calc!$U$3:$U$306=TRUE),--(calc!$V$3:$V$306&gt;V119))+(SUMPRODUCT(--(calc!$U$3:$U$306=TRUE),--(calc!$V$3:$V$306=V119))-1)/2,"")</f>
        <v/>
      </c>
      <c r="AA119" s="5">
        <f>IF(U119,1+SUMPRODUCT(--(calc!$U$3:$U$306=TRUE),--(calc!$W$3:$W$306&gt;W119))+(SUMPRODUCT(--(calc!$U$3:$U$306=TRUE),--(calc!$W$3:$W$306=W119))-1)/2,"")</f>
        <v/>
      </c>
      <c r="AB119" s="5">
        <f>IF(U119,SUMPRODUCT(--(calc!$U$3:$U$306=TRUE),--(ROW(calc!$U$3:$U$306)&gt;ROW(U119)),--(((calc!$Z$3:$Z$306&gt;Z119)*(calc!$AA$3:$AA$306&gt;AA119)+(calc!$Z$3:$Z$306&lt;Z119)*(calc!$AA$3:$AA$306&lt;AA119))&gt;0))-SUMPRODUCT(--(calc!$U$3:$U$306=TRUE),--(ROW(calc!$U$3:$U$306)&gt;ROW(U119)),--(((calc!$Z$3:$Z$306&gt;Z119)*(calc!$AA$3:$AA$306&lt;AA119)+(calc!$Z$3:$Z$306&lt;Z119)*(calc!$AA$3:$AA$306&gt;AA119))&gt;0)),0)</f>
        <v/>
      </c>
      <c r="AC119" s="5">
        <f>IF(mos_metrics!I118="","",mos_metrics!I118)</f>
        <v/>
      </c>
      <c r="AD119" s="2">
        <f>AND($J119,ISNUMBER(AC119),correlation!$I$28=1)</f>
        <v/>
      </c>
      <c r="AE119" s="5">
        <f>IF(AD119,$F119,"")</f>
        <v/>
      </c>
      <c r="AF119" s="5">
        <f>IF(AD119,AC119*correlation!$J$28,"")</f>
        <v/>
      </c>
      <c r="AG119" s="5">
        <f>IF(AND(AD119,ISNUMBER(correlation!$F$28)),AF119*correlation!$F$28+correlation!$G$28,"")</f>
        <v/>
      </c>
      <c r="AH119" s="5">
        <f>IF(AND(AD119,ISNUMBER(AG119)),(AE119-AG119)^2,"")</f>
        <v/>
      </c>
      <c r="AI119" s="5">
        <f>IF(AD119,1+SUMPRODUCT(--(calc!$AD$3:$AD$306=TRUE),--(calc!$AE$3:$AE$306&gt;AE119))+(SUMPRODUCT(--(calc!$AD$3:$AD$306=TRUE),--(calc!$AE$3:$AE$306=AE119))-1)/2,"")</f>
        <v/>
      </c>
      <c r="AJ119" s="5">
        <f>IF(AD119,1+SUMPRODUCT(--(calc!$AD$3:$AD$306=TRUE),--(calc!$AF$3:$AF$306&gt;AF119))+(SUMPRODUCT(--(calc!$AD$3:$AD$306=TRUE),--(calc!$AF$3:$AF$306=AF119))-1)/2,"")</f>
        <v/>
      </c>
      <c r="AK119" s="5">
        <f>IF(AD119,SUMPRODUCT(--(calc!$AD$3:$AD$306=TRUE),--(ROW(calc!$AD$3:$AD$306)&gt;ROW(AD119)),--(((calc!$AI$3:$AI$306&gt;AI119)*(calc!$AJ$3:$AJ$306&gt;AJ119)+(calc!$AI$3:$AI$306&lt;AI119)*(calc!$AJ$3:$AJ$306&lt;AJ119))&gt;0))-SUMPRODUCT(--(calc!$AD$3:$AD$306=TRUE),--(ROW(calc!$AD$3:$AD$306)&gt;ROW(AD119)),--(((calc!$AI$3:$AI$306&gt;AI119)*(calc!$AJ$3:$AJ$306&lt;AJ119)+(calc!$AI$3:$AI$306&lt;AI119)*(calc!$AJ$3:$AJ$306&gt;AJ119))&gt;0)),0)</f>
        <v/>
      </c>
      <c r="AL119" s="5">
        <f>IF(mos_metrics!J118="","",mos_metrics!J118)</f>
        <v/>
      </c>
      <c r="AM119" s="2">
        <f>AND($J119,ISNUMBER(AL119),correlation!$I$29=1)</f>
        <v/>
      </c>
      <c r="AN119" s="5">
        <f>IF(AM119,$F119,"")</f>
        <v/>
      </c>
      <c r="AO119" s="5">
        <f>IF(AM119,AL119*correlation!$J$29,"")</f>
        <v/>
      </c>
      <c r="AP119" s="5">
        <f>IF(AND(AM119,ISNUMBER(correlation!$F$29)),AO119*correlation!$F$29+correlation!$G$29,"")</f>
        <v/>
      </c>
      <c r="AQ119" s="5">
        <f>IF(AND(AM119,ISNUMBER(AP119)),(AN119-AP119)^2,"")</f>
        <v/>
      </c>
      <c r="AR119" s="5">
        <f>IF(AM119,1+SUMPRODUCT(--(calc!$AM$3:$AM$306=TRUE),--(calc!$AN$3:$AN$306&gt;AN119))+(SUMPRODUCT(--(calc!$AM$3:$AM$306=TRUE),--(calc!$AN$3:$AN$306=AN119))-1)/2,"")</f>
        <v/>
      </c>
      <c r="AS119" s="5">
        <f>IF(AM119,1+SUMPRODUCT(--(calc!$AM$3:$AM$306=TRUE),--(calc!$AO$3:$AO$306&gt;AO119))+(SUMPRODUCT(--(calc!$AM$3:$AM$306=TRUE),--(calc!$AO$3:$AO$306=AO119))-1)/2,"")</f>
        <v/>
      </c>
      <c r="AT119" s="5">
        <f>IF(AM119,SUMPRODUCT(--(calc!$AM$3:$AM$306=TRUE),--(ROW(calc!$AM$3:$AM$306)&gt;ROW(AM119)),--(((calc!$AR$3:$AR$306&gt;AR119)*(calc!$AS$3:$AS$306&gt;AS119)+(calc!$AR$3:$AR$306&lt;AR119)*(calc!$AS$3:$AS$306&lt;AS119))&gt;0))-SUMPRODUCT(--(calc!$AM$3:$AM$306=TRUE),--(ROW(calc!$AM$3:$AM$306)&gt;ROW(AM119)),--(((calc!$AR$3:$AR$306&gt;AR119)*(calc!$AS$3:$AS$306&lt;AS119)+(calc!$AR$3:$AR$306&lt;AR119)*(calc!$AS$3:$AS$306&gt;AS119))&gt;0)),0)</f>
        <v/>
      </c>
      <c r="AU119" s="5">
        <f>IF(mos_metrics!K118="","",mos_metrics!K118)</f>
        <v/>
      </c>
      <c r="AV119" s="2">
        <f>AND($J119,ISNUMBER(AU119),correlation!$I$30=1)</f>
        <v/>
      </c>
      <c r="AW119" s="5">
        <f>IF(AV119,$F119,"")</f>
        <v/>
      </c>
      <c r="AX119" s="5">
        <f>IF(AV119,AU119*correlation!$J$30,"")</f>
        <v/>
      </c>
      <c r="AY119" s="5">
        <f>IF(AND(AV119,ISNUMBER(correlation!$F$30)),AX119*correlation!$F$30+correlation!$G$30,"")</f>
        <v/>
      </c>
      <c r="AZ119" s="5">
        <f>IF(AND(AV119,ISNUMBER(AY119)),(AW119-AY119)^2,"")</f>
        <v/>
      </c>
      <c r="BA119" s="5">
        <f>IF(AV119,1+SUMPRODUCT(--(calc!$AV$3:$AV$306=TRUE),--(calc!$AW$3:$AW$306&gt;AW119))+(SUMPRODUCT(--(calc!$AV$3:$AV$306=TRUE),--(calc!$AW$3:$AW$306=AW119))-1)/2,"")</f>
        <v/>
      </c>
      <c r="BB119" s="5">
        <f>IF(AV119,1+SUMPRODUCT(--(calc!$AV$3:$AV$306=TRUE),--(calc!$AX$3:$AX$306&gt;AX119))+(SUMPRODUCT(--(calc!$AV$3:$AV$306=TRUE),--(calc!$AX$3:$AX$306=AX119))-1)/2,"")</f>
        <v/>
      </c>
      <c r="BC119" s="5">
        <f>IF(AV119,SUMPRODUCT(--(calc!$AV$3:$AV$306=TRUE),--(ROW(calc!$AV$3:$AV$306)&gt;ROW(AV119)),--(((calc!$BA$3:$BA$306&gt;BA119)*(calc!$BB$3:$BB$306&gt;BB119)+(calc!$BA$3:$BA$306&lt;BA119)*(calc!$BB$3:$BB$306&lt;BB119))&gt;0))-SUMPRODUCT(--(calc!$AV$3:$AV$306=TRUE),--(ROW(calc!$AV$3:$AV$306)&gt;ROW(AV119)),--(((calc!$BA$3:$BA$306&gt;BA119)*(calc!$BB$3:$BB$306&lt;BB119)+(calc!$BA$3:$BA$306&lt;BA119)*(calc!$BB$3:$BB$306&gt;BB119))&gt;0)),0)</f>
        <v/>
      </c>
      <c r="BD119" s="5">
        <f>IF(mos_metrics!L118="","",mos_metrics!L118)</f>
        <v/>
      </c>
      <c r="BE119" s="2">
        <f>AND($J119,ISNUMBER(BD119),correlation!$I$31=1)</f>
        <v/>
      </c>
      <c r="BF119" s="5">
        <f>IF(BE119,$F119,"")</f>
        <v/>
      </c>
      <c r="BG119" s="5">
        <f>IF(BE119,BD119*correlation!$J$31,"")</f>
        <v/>
      </c>
      <c r="BH119" s="5">
        <f>IF(AND(BE119,ISNUMBER(correlation!$F$31)),BG119*correlation!$F$31+correlation!$G$31,"")</f>
        <v/>
      </c>
      <c r="BI119" s="5">
        <f>IF(AND(BE119,ISNUMBER(BH119)),(BF119-BH119)^2,"")</f>
        <v/>
      </c>
      <c r="BJ119" s="5">
        <f>IF(BE119,1+SUMPRODUCT(--(calc!$BE$3:$BE$306=TRUE),--(calc!$BF$3:$BF$306&gt;BF119))+(SUMPRODUCT(--(calc!$BE$3:$BE$306=TRUE),--(calc!$BF$3:$BF$306=BF119))-1)/2,"")</f>
        <v/>
      </c>
      <c r="BK119" s="5">
        <f>IF(BE119,1+SUMPRODUCT(--(calc!$BE$3:$BE$306=TRUE),--(calc!$BG$3:$BG$306&gt;BG119))+(SUMPRODUCT(--(calc!$BE$3:$BE$306=TRUE),--(calc!$BG$3:$BG$306=BG119))-1)/2,"")</f>
        <v/>
      </c>
      <c r="BL119" s="5">
        <f>IF(BE119,SUMPRODUCT(--(calc!$BE$3:$BE$306=TRUE),--(ROW(calc!$BE$3:$BE$306)&gt;ROW(BE119)),--(((calc!$BJ$3:$BJ$306&gt;BJ119)*(calc!$BK$3:$BK$306&gt;BK119)+(calc!$BJ$3:$BJ$306&lt;BJ119)*(calc!$BK$3:$BK$306&lt;BK119))&gt;0))-SUMPRODUCT(--(calc!$BE$3:$BE$306=TRUE),--(ROW(calc!$BE$3:$BE$306)&gt;ROW(BE119)),--(((calc!$BJ$3:$BJ$306&gt;BJ119)*(calc!$BK$3:$BK$306&lt;BK119)+(calc!$BJ$3:$BJ$306&lt;BJ119)*(calc!$BK$3:$BK$306&gt;BK119))&gt;0)),0)</f>
        <v/>
      </c>
      <c r="BM119" s="5">
        <f>IF(mos_metrics!M118="","",mos_metrics!M118)</f>
        <v/>
      </c>
      <c r="BN119" s="2">
        <f>AND($J119,ISNUMBER(BM119),correlation!$I$32=1)</f>
        <v/>
      </c>
      <c r="BO119" s="5">
        <f>IF(BN119,$F119,"")</f>
        <v/>
      </c>
      <c r="BP119" s="5">
        <f>IF(BN119,BM119*correlation!$J$32,"")</f>
        <v/>
      </c>
      <c r="BQ119" s="5">
        <f>IF(AND(BN119,ISNUMBER(correlation!$F$32)),BP119*correlation!$F$32+correlation!$G$32,"")</f>
        <v/>
      </c>
      <c r="BR119" s="5">
        <f>IF(AND(BN119,ISNUMBER(BQ119)),(BO119-BQ119)^2,"")</f>
        <v/>
      </c>
      <c r="BS119" s="5">
        <f>IF(BN119,1+SUMPRODUCT(--(calc!$BN$3:$BN$306=TRUE),--(calc!$BO$3:$BO$306&gt;BO119))+(SUMPRODUCT(--(calc!$BN$3:$BN$306=TRUE),--(calc!$BO$3:$BO$306=BO119))-1)/2,"")</f>
        <v/>
      </c>
      <c r="BT119" s="5">
        <f>IF(BN119,1+SUMPRODUCT(--(calc!$BN$3:$BN$306=TRUE),--(calc!$BP$3:$BP$306&gt;BP119))+(SUMPRODUCT(--(calc!$BN$3:$BN$306=TRUE),--(calc!$BP$3:$BP$306=BP119))-1)/2,"")</f>
        <v/>
      </c>
      <c r="BU119" s="5">
        <f>IF(BN119,SUMPRODUCT(--(calc!$BN$3:$BN$306=TRUE),--(ROW(calc!$BN$3:$BN$306)&gt;ROW(BN119)),--(((calc!$BS$3:$BS$306&gt;BS119)*(calc!$BT$3:$BT$306&gt;BT119)+(calc!$BS$3:$BS$306&lt;BS119)*(calc!$BT$3:$BT$306&lt;BT119))&gt;0))-SUMPRODUCT(--(calc!$BN$3:$BN$306=TRUE),--(ROW(calc!$BN$3:$BN$306)&gt;ROW(BN119)),--(((calc!$BS$3:$BS$306&gt;BS119)*(calc!$BT$3:$BT$306&lt;BT119)+(calc!$BS$3:$BS$306&lt;BS119)*(calc!$BT$3:$BT$306&gt;BT119))&gt;0)),0)</f>
        <v/>
      </c>
    </row>
    <row r="120">
      <c r="A120" s="2">
        <f>mos_metrics!A119</f>
        <v/>
      </c>
      <c r="B120" s="2">
        <f>mos_metrics!B119</f>
        <v/>
      </c>
      <c r="C120" s="2">
        <f>mos_metrics!C119</f>
        <v/>
      </c>
      <c r="D120" s="2">
        <f>mos_metrics!D119</f>
        <v/>
      </c>
      <c r="E120" s="2">
        <f>mos_metrics!E119</f>
        <v/>
      </c>
      <c r="F120" s="2">
        <f>mos_metrics!F119</f>
        <v/>
      </c>
      <c r="G120" s="2">
        <f>IF($B120="","",IFERROR(VLOOKUP($B120,correlation!$A$2:$B$16,2,FALSE),1))</f>
        <v/>
      </c>
      <c r="H120" s="2">
        <f>IF($E120="","",IFERROR(VLOOKUP($E120,correlation!$D$2:$E$8,2,FALSE),1))</f>
        <v/>
      </c>
      <c r="I120" s="2">
        <f>ISNUMBER($F120)</f>
        <v/>
      </c>
      <c r="J120" s="2">
        <f>AND($G120=1,$H120=1,$I120)</f>
        <v/>
      </c>
      <c r="K120" s="5">
        <f>IF(mos_metrics!G119="","",mos_metrics!G119)</f>
        <v/>
      </c>
      <c r="L120" s="2">
        <f>AND($J120,ISNUMBER(K120),correlation!$I$26=1)</f>
        <v/>
      </c>
      <c r="M120" s="5">
        <f>IF(L120,$F120,"")</f>
        <v/>
      </c>
      <c r="N120" s="5">
        <f>IF(L120,K120*correlation!$J$26,"")</f>
        <v/>
      </c>
      <c r="O120" s="5">
        <f>IF(AND(L120,ISNUMBER(correlation!$F$26)),N120*correlation!$F$26+correlation!$G$26,"")</f>
        <v/>
      </c>
      <c r="P120" s="5">
        <f>IF(AND(L120,ISNUMBER(O120)),(M120-O120)^2,"")</f>
        <v/>
      </c>
      <c r="Q120" s="5">
        <f>IF(L120,1+SUMPRODUCT(--(calc!$L$3:$L$306=TRUE),--(calc!$M$3:$M$306&gt;M120))+(SUMPRODUCT(--(calc!$L$3:$L$306=TRUE),--(calc!$M$3:$M$306=M120))-1)/2,"")</f>
        <v/>
      </c>
      <c r="R120" s="5">
        <f>IF(L120,1+SUMPRODUCT(--(calc!$L$3:$L$306=TRUE),--(calc!$N$3:$N$306&gt;N120))+(SUMPRODUCT(--(calc!$L$3:$L$306=TRUE),--(calc!$N$3:$N$306=N120))-1)/2,"")</f>
        <v/>
      </c>
      <c r="S120" s="5">
        <f>IF(L120,SUMPRODUCT(--(calc!$L$3:$L$306=TRUE),--(ROW(calc!$L$3:$L$306)&gt;ROW(L120)),--(((calc!$Q$3:$Q$306&gt;Q120)*(calc!$R$3:$R$306&gt;R120)+(calc!$Q$3:$Q$306&lt;Q120)*(calc!$R$3:$R$306&lt;R120))&gt;0))-SUMPRODUCT(--(calc!$L$3:$L$306=TRUE),--(ROW(calc!$L$3:$L$306)&gt;ROW(L120)),--(((calc!$Q$3:$Q$306&gt;Q120)*(calc!$R$3:$R$306&lt;R120)+(calc!$Q$3:$Q$306&lt;Q120)*(calc!$R$3:$R$306&gt;R120))&gt;0)),0)</f>
        <v/>
      </c>
      <c r="T120" s="5">
        <f>IF(mos_metrics!H119="","",mos_metrics!H119)</f>
        <v/>
      </c>
      <c r="U120" s="2">
        <f>AND($J120,ISNUMBER(T120),correlation!$I$27=1)</f>
        <v/>
      </c>
      <c r="V120" s="5">
        <f>IF(U120,$F120,"")</f>
        <v/>
      </c>
      <c r="W120" s="5">
        <f>IF(U120,T120*correlation!$J$27,"")</f>
        <v/>
      </c>
      <c r="X120" s="5">
        <f>IF(AND(U120,ISNUMBER(correlation!$F$27)),W120*correlation!$F$27+correlation!$G$27,"")</f>
        <v/>
      </c>
      <c r="Y120" s="5">
        <f>IF(AND(U120,ISNUMBER(X120)),(V120-X120)^2,"")</f>
        <v/>
      </c>
      <c r="Z120" s="5">
        <f>IF(U120,1+SUMPRODUCT(--(calc!$U$3:$U$306=TRUE),--(calc!$V$3:$V$306&gt;V120))+(SUMPRODUCT(--(calc!$U$3:$U$306=TRUE),--(calc!$V$3:$V$306=V120))-1)/2,"")</f>
        <v/>
      </c>
      <c r="AA120" s="5">
        <f>IF(U120,1+SUMPRODUCT(--(calc!$U$3:$U$306=TRUE),--(calc!$W$3:$W$306&gt;W120))+(SUMPRODUCT(--(calc!$U$3:$U$306=TRUE),--(calc!$W$3:$W$306=W120))-1)/2,"")</f>
        <v/>
      </c>
      <c r="AB120" s="5">
        <f>IF(U120,SUMPRODUCT(--(calc!$U$3:$U$306=TRUE),--(ROW(calc!$U$3:$U$306)&gt;ROW(U120)),--(((calc!$Z$3:$Z$306&gt;Z120)*(calc!$AA$3:$AA$306&gt;AA120)+(calc!$Z$3:$Z$306&lt;Z120)*(calc!$AA$3:$AA$306&lt;AA120))&gt;0))-SUMPRODUCT(--(calc!$U$3:$U$306=TRUE),--(ROW(calc!$U$3:$U$306)&gt;ROW(U120)),--(((calc!$Z$3:$Z$306&gt;Z120)*(calc!$AA$3:$AA$306&lt;AA120)+(calc!$Z$3:$Z$306&lt;Z120)*(calc!$AA$3:$AA$306&gt;AA120))&gt;0)),0)</f>
        <v/>
      </c>
      <c r="AC120" s="5">
        <f>IF(mos_metrics!I119="","",mos_metrics!I119)</f>
        <v/>
      </c>
      <c r="AD120" s="2">
        <f>AND($J120,ISNUMBER(AC120),correlation!$I$28=1)</f>
        <v/>
      </c>
      <c r="AE120" s="5">
        <f>IF(AD120,$F120,"")</f>
        <v/>
      </c>
      <c r="AF120" s="5">
        <f>IF(AD120,AC120*correlation!$J$28,"")</f>
        <v/>
      </c>
      <c r="AG120" s="5">
        <f>IF(AND(AD120,ISNUMBER(correlation!$F$28)),AF120*correlation!$F$28+correlation!$G$28,"")</f>
        <v/>
      </c>
      <c r="AH120" s="5">
        <f>IF(AND(AD120,ISNUMBER(AG120)),(AE120-AG120)^2,"")</f>
        <v/>
      </c>
      <c r="AI120" s="5">
        <f>IF(AD120,1+SUMPRODUCT(--(calc!$AD$3:$AD$306=TRUE),--(calc!$AE$3:$AE$306&gt;AE120))+(SUMPRODUCT(--(calc!$AD$3:$AD$306=TRUE),--(calc!$AE$3:$AE$306=AE120))-1)/2,"")</f>
        <v/>
      </c>
      <c r="AJ120" s="5">
        <f>IF(AD120,1+SUMPRODUCT(--(calc!$AD$3:$AD$306=TRUE),--(calc!$AF$3:$AF$306&gt;AF120))+(SUMPRODUCT(--(calc!$AD$3:$AD$306=TRUE),--(calc!$AF$3:$AF$306=AF120))-1)/2,"")</f>
        <v/>
      </c>
      <c r="AK120" s="5">
        <f>IF(AD120,SUMPRODUCT(--(calc!$AD$3:$AD$306=TRUE),--(ROW(calc!$AD$3:$AD$306)&gt;ROW(AD120)),--(((calc!$AI$3:$AI$306&gt;AI120)*(calc!$AJ$3:$AJ$306&gt;AJ120)+(calc!$AI$3:$AI$306&lt;AI120)*(calc!$AJ$3:$AJ$306&lt;AJ120))&gt;0))-SUMPRODUCT(--(calc!$AD$3:$AD$306=TRUE),--(ROW(calc!$AD$3:$AD$306)&gt;ROW(AD120)),--(((calc!$AI$3:$AI$306&gt;AI120)*(calc!$AJ$3:$AJ$306&lt;AJ120)+(calc!$AI$3:$AI$306&lt;AI120)*(calc!$AJ$3:$AJ$306&gt;AJ120))&gt;0)),0)</f>
        <v/>
      </c>
      <c r="AL120" s="5">
        <f>IF(mos_metrics!J119="","",mos_metrics!J119)</f>
        <v/>
      </c>
      <c r="AM120" s="2">
        <f>AND($J120,ISNUMBER(AL120),correlation!$I$29=1)</f>
        <v/>
      </c>
      <c r="AN120" s="5">
        <f>IF(AM120,$F120,"")</f>
        <v/>
      </c>
      <c r="AO120" s="5">
        <f>IF(AM120,AL120*correlation!$J$29,"")</f>
        <v/>
      </c>
      <c r="AP120" s="5">
        <f>IF(AND(AM120,ISNUMBER(correlation!$F$29)),AO120*correlation!$F$29+correlation!$G$29,"")</f>
        <v/>
      </c>
      <c r="AQ120" s="5">
        <f>IF(AND(AM120,ISNUMBER(AP120)),(AN120-AP120)^2,"")</f>
        <v/>
      </c>
      <c r="AR120" s="5">
        <f>IF(AM120,1+SUMPRODUCT(--(calc!$AM$3:$AM$306=TRUE),--(calc!$AN$3:$AN$306&gt;AN120))+(SUMPRODUCT(--(calc!$AM$3:$AM$306=TRUE),--(calc!$AN$3:$AN$306=AN120))-1)/2,"")</f>
        <v/>
      </c>
      <c r="AS120" s="5">
        <f>IF(AM120,1+SUMPRODUCT(--(calc!$AM$3:$AM$306=TRUE),--(calc!$AO$3:$AO$306&gt;AO120))+(SUMPRODUCT(--(calc!$AM$3:$AM$306=TRUE),--(calc!$AO$3:$AO$306=AO120))-1)/2,"")</f>
        <v/>
      </c>
      <c r="AT120" s="5">
        <f>IF(AM120,SUMPRODUCT(--(calc!$AM$3:$AM$306=TRUE),--(ROW(calc!$AM$3:$AM$306)&gt;ROW(AM120)),--(((calc!$AR$3:$AR$306&gt;AR120)*(calc!$AS$3:$AS$306&gt;AS120)+(calc!$AR$3:$AR$306&lt;AR120)*(calc!$AS$3:$AS$306&lt;AS120))&gt;0))-SUMPRODUCT(--(calc!$AM$3:$AM$306=TRUE),--(ROW(calc!$AM$3:$AM$306)&gt;ROW(AM120)),--(((calc!$AR$3:$AR$306&gt;AR120)*(calc!$AS$3:$AS$306&lt;AS120)+(calc!$AR$3:$AR$306&lt;AR120)*(calc!$AS$3:$AS$306&gt;AS120))&gt;0)),0)</f>
        <v/>
      </c>
      <c r="AU120" s="5">
        <f>IF(mos_metrics!K119="","",mos_metrics!K119)</f>
        <v/>
      </c>
      <c r="AV120" s="2">
        <f>AND($J120,ISNUMBER(AU120),correlation!$I$30=1)</f>
        <v/>
      </c>
      <c r="AW120" s="5">
        <f>IF(AV120,$F120,"")</f>
        <v/>
      </c>
      <c r="AX120" s="5">
        <f>IF(AV120,AU120*correlation!$J$30,"")</f>
        <v/>
      </c>
      <c r="AY120" s="5">
        <f>IF(AND(AV120,ISNUMBER(correlation!$F$30)),AX120*correlation!$F$30+correlation!$G$30,"")</f>
        <v/>
      </c>
      <c r="AZ120" s="5">
        <f>IF(AND(AV120,ISNUMBER(AY120)),(AW120-AY120)^2,"")</f>
        <v/>
      </c>
      <c r="BA120" s="5">
        <f>IF(AV120,1+SUMPRODUCT(--(calc!$AV$3:$AV$306=TRUE),--(calc!$AW$3:$AW$306&gt;AW120))+(SUMPRODUCT(--(calc!$AV$3:$AV$306=TRUE),--(calc!$AW$3:$AW$306=AW120))-1)/2,"")</f>
        <v/>
      </c>
      <c r="BB120" s="5">
        <f>IF(AV120,1+SUMPRODUCT(--(calc!$AV$3:$AV$306=TRUE),--(calc!$AX$3:$AX$306&gt;AX120))+(SUMPRODUCT(--(calc!$AV$3:$AV$306=TRUE),--(calc!$AX$3:$AX$306=AX120))-1)/2,"")</f>
        <v/>
      </c>
      <c r="BC120" s="5">
        <f>IF(AV120,SUMPRODUCT(--(calc!$AV$3:$AV$306=TRUE),--(ROW(calc!$AV$3:$AV$306)&gt;ROW(AV120)),--(((calc!$BA$3:$BA$306&gt;BA120)*(calc!$BB$3:$BB$306&gt;BB120)+(calc!$BA$3:$BA$306&lt;BA120)*(calc!$BB$3:$BB$306&lt;BB120))&gt;0))-SUMPRODUCT(--(calc!$AV$3:$AV$306=TRUE),--(ROW(calc!$AV$3:$AV$306)&gt;ROW(AV120)),--(((calc!$BA$3:$BA$306&gt;BA120)*(calc!$BB$3:$BB$306&lt;BB120)+(calc!$BA$3:$BA$306&lt;BA120)*(calc!$BB$3:$BB$306&gt;BB120))&gt;0)),0)</f>
        <v/>
      </c>
      <c r="BD120" s="5">
        <f>IF(mos_metrics!L119="","",mos_metrics!L119)</f>
        <v/>
      </c>
      <c r="BE120" s="2">
        <f>AND($J120,ISNUMBER(BD120),correlation!$I$31=1)</f>
        <v/>
      </c>
      <c r="BF120" s="5">
        <f>IF(BE120,$F120,"")</f>
        <v/>
      </c>
      <c r="BG120" s="5">
        <f>IF(BE120,BD120*correlation!$J$31,"")</f>
        <v/>
      </c>
      <c r="BH120" s="5">
        <f>IF(AND(BE120,ISNUMBER(correlation!$F$31)),BG120*correlation!$F$31+correlation!$G$31,"")</f>
        <v/>
      </c>
      <c r="BI120" s="5">
        <f>IF(AND(BE120,ISNUMBER(BH120)),(BF120-BH120)^2,"")</f>
        <v/>
      </c>
      <c r="BJ120" s="5">
        <f>IF(BE120,1+SUMPRODUCT(--(calc!$BE$3:$BE$306=TRUE),--(calc!$BF$3:$BF$306&gt;BF120))+(SUMPRODUCT(--(calc!$BE$3:$BE$306=TRUE),--(calc!$BF$3:$BF$306=BF120))-1)/2,"")</f>
        <v/>
      </c>
      <c r="BK120" s="5">
        <f>IF(BE120,1+SUMPRODUCT(--(calc!$BE$3:$BE$306=TRUE),--(calc!$BG$3:$BG$306&gt;BG120))+(SUMPRODUCT(--(calc!$BE$3:$BE$306=TRUE),--(calc!$BG$3:$BG$306=BG120))-1)/2,"")</f>
        <v/>
      </c>
      <c r="BL120" s="5">
        <f>IF(BE120,SUMPRODUCT(--(calc!$BE$3:$BE$306=TRUE),--(ROW(calc!$BE$3:$BE$306)&gt;ROW(BE120)),--(((calc!$BJ$3:$BJ$306&gt;BJ120)*(calc!$BK$3:$BK$306&gt;BK120)+(calc!$BJ$3:$BJ$306&lt;BJ120)*(calc!$BK$3:$BK$306&lt;BK120))&gt;0))-SUMPRODUCT(--(calc!$BE$3:$BE$306=TRUE),--(ROW(calc!$BE$3:$BE$306)&gt;ROW(BE120)),--(((calc!$BJ$3:$BJ$306&gt;BJ120)*(calc!$BK$3:$BK$306&lt;BK120)+(calc!$BJ$3:$BJ$306&lt;BJ120)*(calc!$BK$3:$BK$306&gt;BK120))&gt;0)),0)</f>
        <v/>
      </c>
      <c r="BM120" s="5">
        <f>IF(mos_metrics!M119="","",mos_metrics!M119)</f>
        <v/>
      </c>
      <c r="BN120" s="2">
        <f>AND($J120,ISNUMBER(BM120),correlation!$I$32=1)</f>
        <v/>
      </c>
      <c r="BO120" s="5">
        <f>IF(BN120,$F120,"")</f>
        <v/>
      </c>
      <c r="BP120" s="5">
        <f>IF(BN120,BM120*correlation!$J$32,"")</f>
        <v/>
      </c>
      <c r="BQ120" s="5">
        <f>IF(AND(BN120,ISNUMBER(correlation!$F$32)),BP120*correlation!$F$32+correlation!$G$32,"")</f>
        <v/>
      </c>
      <c r="BR120" s="5">
        <f>IF(AND(BN120,ISNUMBER(BQ120)),(BO120-BQ120)^2,"")</f>
        <v/>
      </c>
      <c r="BS120" s="5">
        <f>IF(BN120,1+SUMPRODUCT(--(calc!$BN$3:$BN$306=TRUE),--(calc!$BO$3:$BO$306&gt;BO120))+(SUMPRODUCT(--(calc!$BN$3:$BN$306=TRUE),--(calc!$BO$3:$BO$306=BO120))-1)/2,"")</f>
        <v/>
      </c>
      <c r="BT120" s="5">
        <f>IF(BN120,1+SUMPRODUCT(--(calc!$BN$3:$BN$306=TRUE),--(calc!$BP$3:$BP$306&gt;BP120))+(SUMPRODUCT(--(calc!$BN$3:$BN$306=TRUE),--(calc!$BP$3:$BP$306=BP120))-1)/2,"")</f>
        <v/>
      </c>
      <c r="BU120" s="5">
        <f>IF(BN120,SUMPRODUCT(--(calc!$BN$3:$BN$306=TRUE),--(ROW(calc!$BN$3:$BN$306)&gt;ROW(BN120)),--(((calc!$BS$3:$BS$306&gt;BS120)*(calc!$BT$3:$BT$306&gt;BT120)+(calc!$BS$3:$BS$306&lt;BS120)*(calc!$BT$3:$BT$306&lt;BT120))&gt;0))-SUMPRODUCT(--(calc!$BN$3:$BN$306=TRUE),--(ROW(calc!$BN$3:$BN$306)&gt;ROW(BN120)),--(((calc!$BS$3:$BS$306&gt;BS120)*(calc!$BT$3:$BT$306&lt;BT120)+(calc!$BS$3:$BS$306&lt;BS120)*(calc!$BT$3:$BT$306&gt;BT120))&gt;0)),0)</f>
        <v/>
      </c>
    </row>
    <row r="121">
      <c r="A121" s="2">
        <f>mos_metrics!A120</f>
        <v/>
      </c>
      <c r="B121" s="2">
        <f>mos_metrics!B120</f>
        <v/>
      </c>
      <c r="C121" s="2">
        <f>mos_metrics!C120</f>
        <v/>
      </c>
      <c r="D121" s="2">
        <f>mos_metrics!D120</f>
        <v/>
      </c>
      <c r="E121" s="2">
        <f>mos_metrics!E120</f>
        <v/>
      </c>
      <c r="F121" s="2">
        <f>mos_metrics!F120</f>
        <v/>
      </c>
      <c r="G121" s="2">
        <f>IF($B121="","",IFERROR(VLOOKUP($B121,correlation!$A$2:$B$16,2,FALSE),1))</f>
        <v/>
      </c>
      <c r="H121" s="2">
        <f>IF($E121="","",IFERROR(VLOOKUP($E121,correlation!$D$2:$E$8,2,FALSE),1))</f>
        <v/>
      </c>
      <c r="I121" s="2">
        <f>ISNUMBER($F121)</f>
        <v/>
      </c>
      <c r="J121" s="2">
        <f>AND($G121=1,$H121=1,$I121)</f>
        <v/>
      </c>
      <c r="K121" s="5">
        <f>IF(mos_metrics!G120="","",mos_metrics!G120)</f>
        <v/>
      </c>
      <c r="L121" s="2">
        <f>AND($J121,ISNUMBER(K121),correlation!$I$26=1)</f>
        <v/>
      </c>
      <c r="M121" s="5">
        <f>IF(L121,$F121,"")</f>
        <v/>
      </c>
      <c r="N121" s="5">
        <f>IF(L121,K121*correlation!$J$26,"")</f>
        <v/>
      </c>
      <c r="O121" s="5">
        <f>IF(AND(L121,ISNUMBER(correlation!$F$26)),N121*correlation!$F$26+correlation!$G$26,"")</f>
        <v/>
      </c>
      <c r="P121" s="5">
        <f>IF(AND(L121,ISNUMBER(O121)),(M121-O121)^2,"")</f>
        <v/>
      </c>
      <c r="Q121" s="5">
        <f>IF(L121,1+SUMPRODUCT(--(calc!$L$3:$L$306=TRUE),--(calc!$M$3:$M$306&gt;M121))+(SUMPRODUCT(--(calc!$L$3:$L$306=TRUE),--(calc!$M$3:$M$306=M121))-1)/2,"")</f>
        <v/>
      </c>
      <c r="R121" s="5">
        <f>IF(L121,1+SUMPRODUCT(--(calc!$L$3:$L$306=TRUE),--(calc!$N$3:$N$306&gt;N121))+(SUMPRODUCT(--(calc!$L$3:$L$306=TRUE),--(calc!$N$3:$N$306=N121))-1)/2,"")</f>
        <v/>
      </c>
      <c r="S121" s="5">
        <f>IF(L121,SUMPRODUCT(--(calc!$L$3:$L$306=TRUE),--(ROW(calc!$L$3:$L$306)&gt;ROW(L121)),--(((calc!$Q$3:$Q$306&gt;Q121)*(calc!$R$3:$R$306&gt;R121)+(calc!$Q$3:$Q$306&lt;Q121)*(calc!$R$3:$R$306&lt;R121))&gt;0))-SUMPRODUCT(--(calc!$L$3:$L$306=TRUE),--(ROW(calc!$L$3:$L$306)&gt;ROW(L121)),--(((calc!$Q$3:$Q$306&gt;Q121)*(calc!$R$3:$R$306&lt;R121)+(calc!$Q$3:$Q$306&lt;Q121)*(calc!$R$3:$R$306&gt;R121))&gt;0)),0)</f>
        <v/>
      </c>
      <c r="T121" s="5">
        <f>IF(mos_metrics!H120="","",mos_metrics!H120)</f>
        <v/>
      </c>
      <c r="U121" s="2">
        <f>AND($J121,ISNUMBER(T121),correlation!$I$27=1)</f>
        <v/>
      </c>
      <c r="V121" s="5">
        <f>IF(U121,$F121,"")</f>
        <v/>
      </c>
      <c r="W121" s="5">
        <f>IF(U121,T121*correlation!$J$27,"")</f>
        <v/>
      </c>
      <c r="X121" s="5">
        <f>IF(AND(U121,ISNUMBER(correlation!$F$27)),W121*correlation!$F$27+correlation!$G$27,"")</f>
        <v/>
      </c>
      <c r="Y121" s="5">
        <f>IF(AND(U121,ISNUMBER(X121)),(V121-X121)^2,"")</f>
        <v/>
      </c>
      <c r="Z121" s="5">
        <f>IF(U121,1+SUMPRODUCT(--(calc!$U$3:$U$306=TRUE),--(calc!$V$3:$V$306&gt;V121))+(SUMPRODUCT(--(calc!$U$3:$U$306=TRUE),--(calc!$V$3:$V$306=V121))-1)/2,"")</f>
        <v/>
      </c>
      <c r="AA121" s="5">
        <f>IF(U121,1+SUMPRODUCT(--(calc!$U$3:$U$306=TRUE),--(calc!$W$3:$W$306&gt;W121))+(SUMPRODUCT(--(calc!$U$3:$U$306=TRUE),--(calc!$W$3:$W$306=W121))-1)/2,"")</f>
        <v/>
      </c>
      <c r="AB121" s="5">
        <f>IF(U121,SUMPRODUCT(--(calc!$U$3:$U$306=TRUE),--(ROW(calc!$U$3:$U$306)&gt;ROW(U121)),--(((calc!$Z$3:$Z$306&gt;Z121)*(calc!$AA$3:$AA$306&gt;AA121)+(calc!$Z$3:$Z$306&lt;Z121)*(calc!$AA$3:$AA$306&lt;AA121))&gt;0))-SUMPRODUCT(--(calc!$U$3:$U$306=TRUE),--(ROW(calc!$U$3:$U$306)&gt;ROW(U121)),--(((calc!$Z$3:$Z$306&gt;Z121)*(calc!$AA$3:$AA$306&lt;AA121)+(calc!$Z$3:$Z$306&lt;Z121)*(calc!$AA$3:$AA$306&gt;AA121))&gt;0)),0)</f>
        <v/>
      </c>
      <c r="AC121" s="5">
        <f>IF(mos_metrics!I120="","",mos_metrics!I120)</f>
        <v/>
      </c>
      <c r="AD121" s="2">
        <f>AND($J121,ISNUMBER(AC121),correlation!$I$28=1)</f>
        <v/>
      </c>
      <c r="AE121" s="5">
        <f>IF(AD121,$F121,"")</f>
        <v/>
      </c>
      <c r="AF121" s="5">
        <f>IF(AD121,AC121*correlation!$J$28,"")</f>
        <v/>
      </c>
      <c r="AG121" s="5">
        <f>IF(AND(AD121,ISNUMBER(correlation!$F$28)),AF121*correlation!$F$28+correlation!$G$28,"")</f>
        <v/>
      </c>
      <c r="AH121" s="5">
        <f>IF(AND(AD121,ISNUMBER(AG121)),(AE121-AG121)^2,"")</f>
        <v/>
      </c>
      <c r="AI121" s="5">
        <f>IF(AD121,1+SUMPRODUCT(--(calc!$AD$3:$AD$306=TRUE),--(calc!$AE$3:$AE$306&gt;AE121))+(SUMPRODUCT(--(calc!$AD$3:$AD$306=TRUE),--(calc!$AE$3:$AE$306=AE121))-1)/2,"")</f>
        <v/>
      </c>
      <c r="AJ121" s="5">
        <f>IF(AD121,1+SUMPRODUCT(--(calc!$AD$3:$AD$306=TRUE),--(calc!$AF$3:$AF$306&gt;AF121))+(SUMPRODUCT(--(calc!$AD$3:$AD$306=TRUE),--(calc!$AF$3:$AF$306=AF121))-1)/2,"")</f>
        <v/>
      </c>
      <c r="AK121" s="5">
        <f>IF(AD121,SUMPRODUCT(--(calc!$AD$3:$AD$306=TRUE),--(ROW(calc!$AD$3:$AD$306)&gt;ROW(AD121)),--(((calc!$AI$3:$AI$306&gt;AI121)*(calc!$AJ$3:$AJ$306&gt;AJ121)+(calc!$AI$3:$AI$306&lt;AI121)*(calc!$AJ$3:$AJ$306&lt;AJ121))&gt;0))-SUMPRODUCT(--(calc!$AD$3:$AD$306=TRUE),--(ROW(calc!$AD$3:$AD$306)&gt;ROW(AD121)),--(((calc!$AI$3:$AI$306&gt;AI121)*(calc!$AJ$3:$AJ$306&lt;AJ121)+(calc!$AI$3:$AI$306&lt;AI121)*(calc!$AJ$3:$AJ$306&gt;AJ121))&gt;0)),0)</f>
        <v/>
      </c>
      <c r="AL121" s="5">
        <f>IF(mos_metrics!J120="","",mos_metrics!J120)</f>
        <v/>
      </c>
      <c r="AM121" s="2">
        <f>AND($J121,ISNUMBER(AL121),correlation!$I$29=1)</f>
        <v/>
      </c>
      <c r="AN121" s="5">
        <f>IF(AM121,$F121,"")</f>
        <v/>
      </c>
      <c r="AO121" s="5">
        <f>IF(AM121,AL121*correlation!$J$29,"")</f>
        <v/>
      </c>
      <c r="AP121" s="5">
        <f>IF(AND(AM121,ISNUMBER(correlation!$F$29)),AO121*correlation!$F$29+correlation!$G$29,"")</f>
        <v/>
      </c>
      <c r="AQ121" s="5">
        <f>IF(AND(AM121,ISNUMBER(AP121)),(AN121-AP121)^2,"")</f>
        <v/>
      </c>
      <c r="AR121" s="5">
        <f>IF(AM121,1+SUMPRODUCT(--(calc!$AM$3:$AM$306=TRUE),--(calc!$AN$3:$AN$306&gt;AN121))+(SUMPRODUCT(--(calc!$AM$3:$AM$306=TRUE),--(calc!$AN$3:$AN$306=AN121))-1)/2,"")</f>
        <v/>
      </c>
      <c r="AS121" s="5">
        <f>IF(AM121,1+SUMPRODUCT(--(calc!$AM$3:$AM$306=TRUE),--(calc!$AO$3:$AO$306&gt;AO121))+(SUMPRODUCT(--(calc!$AM$3:$AM$306=TRUE),--(calc!$AO$3:$AO$306=AO121))-1)/2,"")</f>
        <v/>
      </c>
      <c r="AT121" s="5">
        <f>IF(AM121,SUMPRODUCT(--(calc!$AM$3:$AM$306=TRUE),--(ROW(calc!$AM$3:$AM$306)&gt;ROW(AM121)),--(((calc!$AR$3:$AR$306&gt;AR121)*(calc!$AS$3:$AS$306&gt;AS121)+(calc!$AR$3:$AR$306&lt;AR121)*(calc!$AS$3:$AS$306&lt;AS121))&gt;0))-SUMPRODUCT(--(calc!$AM$3:$AM$306=TRUE),--(ROW(calc!$AM$3:$AM$306)&gt;ROW(AM121)),--(((calc!$AR$3:$AR$306&gt;AR121)*(calc!$AS$3:$AS$306&lt;AS121)+(calc!$AR$3:$AR$306&lt;AR121)*(calc!$AS$3:$AS$306&gt;AS121))&gt;0)),0)</f>
        <v/>
      </c>
      <c r="AU121" s="5">
        <f>IF(mos_metrics!K120="","",mos_metrics!K120)</f>
        <v/>
      </c>
      <c r="AV121" s="2">
        <f>AND($J121,ISNUMBER(AU121),correlation!$I$30=1)</f>
        <v/>
      </c>
      <c r="AW121" s="5">
        <f>IF(AV121,$F121,"")</f>
        <v/>
      </c>
      <c r="AX121" s="5">
        <f>IF(AV121,AU121*correlation!$J$30,"")</f>
        <v/>
      </c>
      <c r="AY121" s="5">
        <f>IF(AND(AV121,ISNUMBER(correlation!$F$30)),AX121*correlation!$F$30+correlation!$G$30,"")</f>
        <v/>
      </c>
      <c r="AZ121" s="5">
        <f>IF(AND(AV121,ISNUMBER(AY121)),(AW121-AY121)^2,"")</f>
        <v/>
      </c>
      <c r="BA121" s="5">
        <f>IF(AV121,1+SUMPRODUCT(--(calc!$AV$3:$AV$306=TRUE),--(calc!$AW$3:$AW$306&gt;AW121))+(SUMPRODUCT(--(calc!$AV$3:$AV$306=TRUE),--(calc!$AW$3:$AW$306=AW121))-1)/2,"")</f>
        <v/>
      </c>
      <c r="BB121" s="5">
        <f>IF(AV121,1+SUMPRODUCT(--(calc!$AV$3:$AV$306=TRUE),--(calc!$AX$3:$AX$306&gt;AX121))+(SUMPRODUCT(--(calc!$AV$3:$AV$306=TRUE),--(calc!$AX$3:$AX$306=AX121))-1)/2,"")</f>
        <v/>
      </c>
      <c r="BC121" s="5">
        <f>IF(AV121,SUMPRODUCT(--(calc!$AV$3:$AV$306=TRUE),--(ROW(calc!$AV$3:$AV$306)&gt;ROW(AV121)),--(((calc!$BA$3:$BA$306&gt;BA121)*(calc!$BB$3:$BB$306&gt;BB121)+(calc!$BA$3:$BA$306&lt;BA121)*(calc!$BB$3:$BB$306&lt;BB121))&gt;0))-SUMPRODUCT(--(calc!$AV$3:$AV$306=TRUE),--(ROW(calc!$AV$3:$AV$306)&gt;ROW(AV121)),--(((calc!$BA$3:$BA$306&gt;BA121)*(calc!$BB$3:$BB$306&lt;BB121)+(calc!$BA$3:$BA$306&lt;BA121)*(calc!$BB$3:$BB$306&gt;BB121))&gt;0)),0)</f>
        <v/>
      </c>
      <c r="BD121" s="5">
        <f>IF(mos_metrics!L120="","",mos_metrics!L120)</f>
        <v/>
      </c>
      <c r="BE121" s="2">
        <f>AND($J121,ISNUMBER(BD121),correlation!$I$31=1)</f>
        <v/>
      </c>
      <c r="BF121" s="5">
        <f>IF(BE121,$F121,"")</f>
        <v/>
      </c>
      <c r="BG121" s="5">
        <f>IF(BE121,BD121*correlation!$J$31,"")</f>
        <v/>
      </c>
      <c r="BH121" s="5">
        <f>IF(AND(BE121,ISNUMBER(correlation!$F$31)),BG121*correlation!$F$31+correlation!$G$31,"")</f>
        <v/>
      </c>
      <c r="BI121" s="5">
        <f>IF(AND(BE121,ISNUMBER(BH121)),(BF121-BH121)^2,"")</f>
        <v/>
      </c>
      <c r="BJ121" s="5">
        <f>IF(BE121,1+SUMPRODUCT(--(calc!$BE$3:$BE$306=TRUE),--(calc!$BF$3:$BF$306&gt;BF121))+(SUMPRODUCT(--(calc!$BE$3:$BE$306=TRUE),--(calc!$BF$3:$BF$306=BF121))-1)/2,"")</f>
        <v/>
      </c>
      <c r="BK121" s="5">
        <f>IF(BE121,1+SUMPRODUCT(--(calc!$BE$3:$BE$306=TRUE),--(calc!$BG$3:$BG$306&gt;BG121))+(SUMPRODUCT(--(calc!$BE$3:$BE$306=TRUE),--(calc!$BG$3:$BG$306=BG121))-1)/2,"")</f>
        <v/>
      </c>
      <c r="BL121" s="5">
        <f>IF(BE121,SUMPRODUCT(--(calc!$BE$3:$BE$306=TRUE),--(ROW(calc!$BE$3:$BE$306)&gt;ROW(BE121)),--(((calc!$BJ$3:$BJ$306&gt;BJ121)*(calc!$BK$3:$BK$306&gt;BK121)+(calc!$BJ$3:$BJ$306&lt;BJ121)*(calc!$BK$3:$BK$306&lt;BK121))&gt;0))-SUMPRODUCT(--(calc!$BE$3:$BE$306=TRUE),--(ROW(calc!$BE$3:$BE$306)&gt;ROW(BE121)),--(((calc!$BJ$3:$BJ$306&gt;BJ121)*(calc!$BK$3:$BK$306&lt;BK121)+(calc!$BJ$3:$BJ$306&lt;BJ121)*(calc!$BK$3:$BK$306&gt;BK121))&gt;0)),0)</f>
        <v/>
      </c>
      <c r="BM121" s="5">
        <f>IF(mos_metrics!M120="","",mos_metrics!M120)</f>
        <v/>
      </c>
      <c r="BN121" s="2">
        <f>AND($J121,ISNUMBER(BM121),correlation!$I$32=1)</f>
        <v/>
      </c>
      <c r="BO121" s="5">
        <f>IF(BN121,$F121,"")</f>
        <v/>
      </c>
      <c r="BP121" s="5">
        <f>IF(BN121,BM121*correlation!$J$32,"")</f>
        <v/>
      </c>
      <c r="BQ121" s="5">
        <f>IF(AND(BN121,ISNUMBER(correlation!$F$32)),BP121*correlation!$F$32+correlation!$G$32,"")</f>
        <v/>
      </c>
      <c r="BR121" s="5">
        <f>IF(AND(BN121,ISNUMBER(BQ121)),(BO121-BQ121)^2,"")</f>
        <v/>
      </c>
      <c r="BS121" s="5">
        <f>IF(BN121,1+SUMPRODUCT(--(calc!$BN$3:$BN$306=TRUE),--(calc!$BO$3:$BO$306&gt;BO121))+(SUMPRODUCT(--(calc!$BN$3:$BN$306=TRUE),--(calc!$BO$3:$BO$306=BO121))-1)/2,"")</f>
        <v/>
      </c>
      <c r="BT121" s="5">
        <f>IF(BN121,1+SUMPRODUCT(--(calc!$BN$3:$BN$306=TRUE),--(calc!$BP$3:$BP$306&gt;BP121))+(SUMPRODUCT(--(calc!$BN$3:$BN$306=TRUE),--(calc!$BP$3:$BP$306=BP121))-1)/2,"")</f>
        <v/>
      </c>
      <c r="BU121" s="5">
        <f>IF(BN121,SUMPRODUCT(--(calc!$BN$3:$BN$306=TRUE),--(ROW(calc!$BN$3:$BN$306)&gt;ROW(BN121)),--(((calc!$BS$3:$BS$306&gt;BS121)*(calc!$BT$3:$BT$306&gt;BT121)+(calc!$BS$3:$BS$306&lt;BS121)*(calc!$BT$3:$BT$306&lt;BT121))&gt;0))-SUMPRODUCT(--(calc!$BN$3:$BN$306=TRUE),--(ROW(calc!$BN$3:$BN$306)&gt;ROW(BN121)),--(((calc!$BS$3:$BS$306&gt;BS121)*(calc!$BT$3:$BT$306&lt;BT121)+(calc!$BS$3:$BS$306&lt;BS121)*(calc!$BT$3:$BT$306&gt;BT121))&gt;0)),0)</f>
        <v/>
      </c>
    </row>
    <row r="122">
      <c r="A122" s="2">
        <f>mos_metrics!A121</f>
        <v/>
      </c>
      <c r="B122" s="2">
        <f>mos_metrics!B121</f>
        <v/>
      </c>
      <c r="C122" s="2">
        <f>mos_metrics!C121</f>
        <v/>
      </c>
      <c r="D122" s="2">
        <f>mos_metrics!D121</f>
        <v/>
      </c>
      <c r="E122" s="2">
        <f>mos_metrics!E121</f>
        <v/>
      </c>
      <c r="F122" s="2">
        <f>mos_metrics!F121</f>
        <v/>
      </c>
      <c r="G122" s="2">
        <f>IF($B122="","",IFERROR(VLOOKUP($B122,correlation!$A$2:$B$16,2,FALSE),1))</f>
        <v/>
      </c>
      <c r="H122" s="2">
        <f>IF($E122="","",IFERROR(VLOOKUP($E122,correlation!$D$2:$E$8,2,FALSE),1))</f>
        <v/>
      </c>
      <c r="I122" s="2">
        <f>ISNUMBER($F122)</f>
        <v/>
      </c>
      <c r="J122" s="2">
        <f>AND($G122=1,$H122=1,$I122)</f>
        <v/>
      </c>
      <c r="K122" s="5">
        <f>IF(mos_metrics!G121="","",mos_metrics!G121)</f>
        <v/>
      </c>
      <c r="L122" s="2">
        <f>AND($J122,ISNUMBER(K122),correlation!$I$26=1)</f>
        <v/>
      </c>
      <c r="M122" s="5">
        <f>IF(L122,$F122,"")</f>
        <v/>
      </c>
      <c r="N122" s="5">
        <f>IF(L122,K122*correlation!$J$26,"")</f>
        <v/>
      </c>
      <c r="O122" s="5">
        <f>IF(AND(L122,ISNUMBER(correlation!$F$26)),N122*correlation!$F$26+correlation!$G$26,"")</f>
        <v/>
      </c>
      <c r="P122" s="5">
        <f>IF(AND(L122,ISNUMBER(O122)),(M122-O122)^2,"")</f>
        <v/>
      </c>
      <c r="Q122" s="5">
        <f>IF(L122,1+SUMPRODUCT(--(calc!$L$3:$L$306=TRUE),--(calc!$M$3:$M$306&gt;M122))+(SUMPRODUCT(--(calc!$L$3:$L$306=TRUE),--(calc!$M$3:$M$306=M122))-1)/2,"")</f>
        <v/>
      </c>
      <c r="R122" s="5">
        <f>IF(L122,1+SUMPRODUCT(--(calc!$L$3:$L$306=TRUE),--(calc!$N$3:$N$306&gt;N122))+(SUMPRODUCT(--(calc!$L$3:$L$306=TRUE),--(calc!$N$3:$N$306=N122))-1)/2,"")</f>
        <v/>
      </c>
      <c r="S122" s="5">
        <f>IF(L122,SUMPRODUCT(--(calc!$L$3:$L$306=TRUE),--(ROW(calc!$L$3:$L$306)&gt;ROW(L122)),--(((calc!$Q$3:$Q$306&gt;Q122)*(calc!$R$3:$R$306&gt;R122)+(calc!$Q$3:$Q$306&lt;Q122)*(calc!$R$3:$R$306&lt;R122))&gt;0))-SUMPRODUCT(--(calc!$L$3:$L$306=TRUE),--(ROW(calc!$L$3:$L$306)&gt;ROW(L122)),--(((calc!$Q$3:$Q$306&gt;Q122)*(calc!$R$3:$R$306&lt;R122)+(calc!$Q$3:$Q$306&lt;Q122)*(calc!$R$3:$R$306&gt;R122))&gt;0)),0)</f>
        <v/>
      </c>
      <c r="T122" s="5">
        <f>IF(mos_metrics!H121="","",mos_metrics!H121)</f>
        <v/>
      </c>
      <c r="U122" s="2">
        <f>AND($J122,ISNUMBER(T122),correlation!$I$27=1)</f>
        <v/>
      </c>
      <c r="V122" s="5">
        <f>IF(U122,$F122,"")</f>
        <v/>
      </c>
      <c r="W122" s="5">
        <f>IF(U122,T122*correlation!$J$27,"")</f>
        <v/>
      </c>
      <c r="X122" s="5">
        <f>IF(AND(U122,ISNUMBER(correlation!$F$27)),W122*correlation!$F$27+correlation!$G$27,"")</f>
        <v/>
      </c>
      <c r="Y122" s="5">
        <f>IF(AND(U122,ISNUMBER(X122)),(V122-X122)^2,"")</f>
        <v/>
      </c>
      <c r="Z122" s="5">
        <f>IF(U122,1+SUMPRODUCT(--(calc!$U$3:$U$306=TRUE),--(calc!$V$3:$V$306&gt;V122))+(SUMPRODUCT(--(calc!$U$3:$U$306=TRUE),--(calc!$V$3:$V$306=V122))-1)/2,"")</f>
        <v/>
      </c>
      <c r="AA122" s="5">
        <f>IF(U122,1+SUMPRODUCT(--(calc!$U$3:$U$306=TRUE),--(calc!$W$3:$W$306&gt;W122))+(SUMPRODUCT(--(calc!$U$3:$U$306=TRUE),--(calc!$W$3:$W$306=W122))-1)/2,"")</f>
        <v/>
      </c>
      <c r="AB122" s="5">
        <f>IF(U122,SUMPRODUCT(--(calc!$U$3:$U$306=TRUE),--(ROW(calc!$U$3:$U$306)&gt;ROW(U122)),--(((calc!$Z$3:$Z$306&gt;Z122)*(calc!$AA$3:$AA$306&gt;AA122)+(calc!$Z$3:$Z$306&lt;Z122)*(calc!$AA$3:$AA$306&lt;AA122))&gt;0))-SUMPRODUCT(--(calc!$U$3:$U$306=TRUE),--(ROW(calc!$U$3:$U$306)&gt;ROW(U122)),--(((calc!$Z$3:$Z$306&gt;Z122)*(calc!$AA$3:$AA$306&lt;AA122)+(calc!$Z$3:$Z$306&lt;Z122)*(calc!$AA$3:$AA$306&gt;AA122))&gt;0)),0)</f>
        <v/>
      </c>
      <c r="AC122" s="5">
        <f>IF(mos_metrics!I121="","",mos_metrics!I121)</f>
        <v/>
      </c>
      <c r="AD122" s="2">
        <f>AND($J122,ISNUMBER(AC122),correlation!$I$28=1)</f>
        <v/>
      </c>
      <c r="AE122" s="5">
        <f>IF(AD122,$F122,"")</f>
        <v/>
      </c>
      <c r="AF122" s="5">
        <f>IF(AD122,AC122*correlation!$J$28,"")</f>
        <v/>
      </c>
      <c r="AG122" s="5">
        <f>IF(AND(AD122,ISNUMBER(correlation!$F$28)),AF122*correlation!$F$28+correlation!$G$28,"")</f>
        <v/>
      </c>
      <c r="AH122" s="5">
        <f>IF(AND(AD122,ISNUMBER(AG122)),(AE122-AG122)^2,"")</f>
        <v/>
      </c>
      <c r="AI122" s="5">
        <f>IF(AD122,1+SUMPRODUCT(--(calc!$AD$3:$AD$306=TRUE),--(calc!$AE$3:$AE$306&gt;AE122))+(SUMPRODUCT(--(calc!$AD$3:$AD$306=TRUE),--(calc!$AE$3:$AE$306=AE122))-1)/2,"")</f>
        <v/>
      </c>
      <c r="AJ122" s="5">
        <f>IF(AD122,1+SUMPRODUCT(--(calc!$AD$3:$AD$306=TRUE),--(calc!$AF$3:$AF$306&gt;AF122))+(SUMPRODUCT(--(calc!$AD$3:$AD$306=TRUE),--(calc!$AF$3:$AF$306=AF122))-1)/2,"")</f>
        <v/>
      </c>
      <c r="AK122" s="5">
        <f>IF(AD122,SUMPRODUCT(--(calc!$AD$3:$AD$306=TRUE),--(ROW(calc!$AD$3:$AD$306)&gt;ROW(AD122)),--(((calc!$AI$3:$AI$306&gt;AI122)*(calc!$AJ$3:$AJ$306&gt;AJ122)+(calc!$AI$3:$AI$306&lt;AI122)*(calc!$AJ$3:$AJ$306&lt;AJ122))&gt;0))-SUMPRODUCT(--(calc!$AD$3:$AD$306=TRUE),--(ROW(calc!$AD$3:$AD$306)&gt;ROW(AD122)),--(((calc!$AI$3:$AI$306&gt;AI122)*(calc!$AJ$3:$AJ$306&lt;AJ122)+(calc!$AI$3:$AI$306&lt;AI122)*(calc!$AJ$3:$AJ$306&gt;AJ122))&gt;0)),0)</f>
        <v/>
      </c>
      <c r="AL122" s="5">
        <f>IF(mos_metrics!J121="","",mos_metrics!J121)</f>
        <v/>
      </c>
      <c r="AM122" s="2">
        <f>AND($J122,ISNUMBER(AL122),correlation!$I$29=1)</f>
        <v/>
      </c>
      <c r="AN122" s="5">
        <f>IF(AM122,$F122,"")</f>
        <v/>
      </c>
      <c r="AO122" s="5">
        <f>IF(AM122,AL122*correlation!$J$29,"")</f>
        <v/>
      </c>
      <c r="AP122" s="5">
        <f>IF(AND(AM122,ISNUMBER(correlation!$F$29)),AO122*correlation!$F$29+correlation!$G$29,"")</f>
        <v/>
      </c>
      <c r="AQ122" s="5">
        <f>IF(AND(AM122,ISNUMBER(AP122)),(AN122-AP122)^2,"")</f>
        <v/>
      </c>
      <c r="AR122" s="5">
        <f>IF(AM122,1+SUMPRODUCT(--(calc!$AM$3:$AM$306=TRUE),--(calc!$AN$3:$AN$306&gt;AN122))+(SUMPRODUCT(--(calc!$AM$3:$AM$306=TRUE),--(calc!$AN$3:$AN$306=AN122))-1)/2,"")</f>
        <v/>
      </c>
      <c r="AS122" s="5">
        <f>IF(AM122,1+SUMPRODUCT(--(calc!$AM$3:$AM$306=TRUE),--(calc!$AO$3:$AO$306&gt;AO122))+(SUMPRODUCT(--(calc!$AM$3:$AM$306=TRUE),--(calc!$AO$3:$AO$306=AO122))-1)/2,"")</f>
        <v/>
      </c>
      <c r="AT122" s="5">
        <f>IF(AM122,SUMPRODUCT(--(calc!$AM$3:$AM$306=TRUE),--(ROW(calc!$AM$3:$AM$306)&gt;ROW(AM122)),--(((calc!$AR$3:$AR$306&gt;AR122)*(calc!$AS$3:$AS$306&gt;AS122)+(calc!$AR$3:$AR$306&lt;AR122)*(calc!$AS$3:$AS$306&lt;AS122))&gt;0))-SUMPRODUCT(--(calc!$AM$3:$AM$306=TRUE),--(ROW(calc!$AM$3:$AM$306)&gt;ROW(AM122)),--(((calc!$AR$3:$AR$306&gt;AR122)*(calc!$AS$3:$AS$306&lt;AS122)+(calc!$AR$3:$AR$306&lt;AR122)*(calc!$AS$3:$AS$306&gt;AS122))&gt;0)),0)</f>
        <v/>
      </c>
      <c r="AU122" s="5">
        <f>IF(mos_metrics!K121="","",mos_metrics!K121)</f>
        <v/>
      </c>
      <c r="AV122" s="2">
        <f>AND($J122,ISNUMBER(AU122),correlation!$I$30=1)</f>
        <v/>
      </c>
      <c r="AW122" s="5">
        <f>IF(AV122,$F122,"")</f>
        <v/>
      </c>
      <c r="AX122" s="5">
        <f>IF(AV122,AU122*correlation!$J$30,"")</f>
        <v/>
      </c>
      <c r="AY122" s="5">
        <f>IF(AND(AV122,ISNUMBER(correlation!$F$30)),AX122*correlation!$F$30+correlation!$G$30,"")</f>
        <v/>
      </c>
      <c r="AZ122" s="5">
        <f>IF(AND(AV122,ISNUMBER(AY122)),(AW122-AY122)^2,"")</f>
        <v/>
      </c>
      <c r="BA122" s="5">
        <f>IF(AV122,1+SUMPRODUCT(--(calc!$AV$3:$AV$306=TRUE),--(calc!$AW$3:$AW$306&gt;AW122))+(SUMPRODUCT(--(calc!$AV$3:$AV$306=TRUE),--(calc!$AW$3:$AW$306=AW122))-1)/2,"")</f>
        <v/>
      </c>
      <c r="BB122" s="5">
        <f>IF(AV122,1+SUMPRODUCT(--(calc!$AV$3:$AV$306=TRUE),--(calc!$AX$3:$AX$306&gt;AX122))+(SUMPRODUCT(--(calc!$AV$3:$AV$306=TRUE),--(calc!$AX$3:$AX$306=AX122))-1)/2,"")</f>
        <v/>
      </c>
      <c r="BC122" s="5">
        <f>IF(AV122,SUMPRODUCT(--(calc!$AV$3:$AV$306=TRUE),--(ROW(calc!$AV$3:$AV$306)&gt;ROW(AV122)),--(((calc!$BA$3:$BA$306&gt;BA122)*(calc!$BB$3:$BB$306&gt;BB122)+(calc!$BA$3:$BA$306&lt;BA122)*(calc!$BB$3:$BB$306&lt;BB122))&gt;0))-SUMPRODUCT(--(calc!$AV$3:$AV$306=TRUE),--(ROW(calc!$AV$3:$AV$306)&gt;ROW(AV122)),--(((calc!$BA$3:$BA$306&gt;BA122)*(calc!$BB$3:$BB$306&lt;BB122)+(calc!$BA$3:$BA$306&lt;BA122)*(calc!$BB$3:$BB$306&gt;BB122))&gt;0)),0)</f>
        <v/>
      </c>
      <c r="BD122" s="5">
        <f>IF(mos_metrics!L121="","",mos_metrics!L121)</f>
        <v/>
      </c>
      <c r="BE122" s="2">
        <f>AND($J122,ISNUMBER(BD122),correlation!$I$31=1)</f>
        <v/>
      </c>
      <c r="BF122" s="5">
        <f>IF(BE122,$F122,"")</f>
        <v/>
      </c>
      <c r="BG122" s="5">
        <f>IF(BE122,BD122*correlation!$J$31,"")</f>
        <v/>
      </c>
      <c r="BH122" s="5">
        <f>IF(AND(BE122,ISNUMBER(correlation!$F$31)),BG122*correlation!$F$31+correlation!$G$31,"")</f>
        <v/>
      </c>
      <c r="BI122" s="5">
        <f>IF(AND(BE122,ISNUMBER(BH122)),(BF122-BH122)^2,"")</f>
        <v/>
      </c>
      <c r="BJ122" s="5">
        <f>IF(BE122,1+SUMPRODUCT(--(calc!$BE$3:$BE$306=TRUE),--(calc!$BF$3:$BF$306&gt;BF122))+(SUMPRODUCT(--(calc!$BE$3:$BE$306=TRUE),--(calc!$BF$3:$BF$306=BF122))-1)/2,"")</f>
        <v/>
      </c>
      <c r="BK122" s="5">
        <f>IF(BE122,1+SUMPRODUCT(--(calc!$BE$3:$BE$306=TRUE),--(calc!$BG$3:$BG$306&gt;BG122))+(SUMPRODUCT(--(calc!$BE$3:$BE$306=TRUE),--(calc!$BG$3:$BG$306=BG122))-1)/2,"")</f>
        <v/>
      </c>
      <c r="BL122" s="5">
        <f>IF(BE122,SUMPRODUCT(--(calc!$BE$3:$BE$306=TRUE),--(ROW(calc!$BE$3:$BE$306)&gt;ROW(BE122)),--(((calc!$BJ$3:$BJ$306&gt;BJ122)*(calc!$BK$3:$BK$306&gt;BK122)+(calc!$BJ$3:$BJ$306&lt;BJ122)*(calc!$BK$3:$BK$306&lt;BK122))&gt;0))-SUMPRODUCT(--(calc!$BE$3:$BE$306=TRUE),--(ROW(calc!$BE$3:$BE$306)&gt;ROW(BE122)),--(((calc!$BJ$3:$BJ$306&gt;BJ122)*(calc!$BK$3:$BK$306&lt;BK122)+(calc!$BJ$3:$BJ$306&lt;BJ122)*(calc!$BK$3:$BK$306&gt;BK122))&gt;0)),0)</f>
        <v/>
      </c>
      <c r="BM122" s="5">
        <f>IF(mos_metrics!M121="","",mos_metrics!M121)</f>
        <v/>
      </c>
      <c r="BN122" s="2">
        <f>AND($J122,ISNUMBER(BM122),correlation!$I$32=1)</f>
        <v/>
      </c>
      <c r="BO122" s="5">
        <f>IF(BN122,$F122,"")</f>
        <v/>
      </c>
      <c r="BP122" s="5">
        <f>IF(BN122,BM122*correlation!$J$32,"")</f>
        <v/>
      </c>
      <c r="BQ122" s="5">
        <f>IF(AND(BN122,ISNUMBER(correlation!$F$32)),BP122*correlation!$F$32+correlation!$G$32,"")</f>
        <v/>
      </c>
      <c r="BR122" s="5">
        <f>IF(AND(BN122,ISNUMBER(BQ122)),(BO122-BQ122)^2,"")</f>
        <v/>
      </c>
      <c r="BS122" s="5">
        <f>IF(BN122,1+SUMPRODUCT(--(calc!$BN$3:$BN$306=TRUE),--(calc!$BO$3:$BO$306&gt;BO122))+(SUMPRODUCT(--(calc!$BN$3:$BN$306=TRUE),--(calc!$BO$3:$BO$306=BO122))-1)/2,"")</f>
        <v/>
      </c>
      <c r="BT122" s="5">
        <f>IF(BN122,1+SUMPRODUCT(--(calc!$BN$3:$BN$306=TRUE),--(calc!$BP$3:$BP$306&gt;BP122))+(SUMPRODUCT(--(calc!$BN$3:$BN$306=TRUE),--(calc!$BP$3:$BP$306=BP122))-1)/2,"")</f>
        <v/>
      </c>
      <c r="BU122" s="5">
        <f>IF(BN122,SUMPRODUCT(--(calc!$BN$3:$BN$306=TRUE),--(ROW(calc!$BN$3:$BN$306)&gt;ROW(BN122)),--(((calc!$BS$3:$BS$306&gt;BS122)*(calc!$BT$3:$BT$306&gt;BT122)+(calc!$BS$3:$BS$306&lt;BS122)*(calc!$BT$3:$BT$306&lt;BT122))&gt;0))-SUMPRODUCT(--(calc!$BN$3:$BN$306=TRUE),--(ROW(calc!$BN$3:$BN$306)&gt;ROW(BN122)),--(((calc!$BS$3:$BS$306&gt;BS122)*(calc!$BT$3:$BT$306&lt;BT122)+(calc!$BS$3:$BS$306&lt;BS122)*(calc!$BT$3:$BT$306&gt;BT122))&gt;0)),0)</f>
        <v/>
      </c>
    </row>
    <row r="123">
      <c r="A123" s="2">
        <f>mos_metrics!A122</f>
        <v/>
      </c>
      <c r="B123" s="2">
        <f>mos_metrics!B122</f>
        <v/>
      </c>
      <c r="C123" s="2">
        <f>mos_metrics!C122</f>
        <v/>
      </c>
      <c r="D123" s="2">
        <f>mos_metrics!D122</f>
        <v/>
      </c>
      <c r="E123" s="2">
        <f>mos_metrics!E122</f>
        <v/>
      </c>
      <c r="F123" s="2">
        <f>mos_metrics!F122</f>
        <v/>
      </c>
      <c r="G123" s="2">
        <f>IF($B123="","",IFERROR(VLOOKUP($B123,correlation!$A$2:$B$16,2,FALSE),1))</f>
        <v/>
      </c>
      <c r="H123" s="2">
        <f>IF($E123="","",IFERROR(VLOOKUP($E123,correlation!$D$2:$E$8,2,FALSE),1))</f>
        <v/>
      </c>
      <c r="I123" s="2">
        <f>ISNUMBER($F123)</f>
        <v/>
      </c>
      <c r="J123" s="2">
        <f>AND($G123=1,$H123=1,$I123)</f>
        <v/>
      </c>
      <c r="K123" s="5">
        <f>IF(mos_metrics!G122="","",mos_metrics!G122)</f>
        <v/>
      </c>
      <c r="L123" s="2">
        <f>AND($J123,ISNUMBER(K123),correlation!$I$26=1)</f>
        <v/>
      </c>
      <c r="M123" s="5">
        <f>IF(L123,$F123,"")</f>
        <v/>
      </c>
      <c r="N123" s="5">
        <f>IF(L123,K123*correlation!$J$26,"")</f>
        <v/>
      </c>
      <c r="O123" s="5">
        <f>IF(AND(L123,ISNUMBER(correlation!$F$26)),N123*correlation!$F$26+correlation!$G$26,"")</f>
        <v/>
      </c>
      <c r="P123" s="5">
        <f>IF(AND(L123,ISNUMBER(O123)),(M123-O123)^2,"")</f>
        <v/>
      </c>
      <c r="Q123" s="5">
        <f>IF(L123,1+SUMPRODUCT(--(calc!$L$3:$L$306=TRUE),--(calc!$M$3:$M$306&gt;M123))+(SUMPRODUCT(--(calc!$L$3:$L$306=TRUE),--(calc!$M$3:$M$306=M123))-1)/2,"")</f>
        <v/>
      </c>
      <c r="R123" s="5">
        <f>IF(L123,1+SUMPRODUCT(--(calc!$L$3:$L$306=TRUE),--(calc!$N$3:$N$306&gt;N123))+(SUMPRODUCT(--(calc!$L$3:$L$306=TRUE),--(calc!$N$3:$N$306=N123))-1)/2,"")</f>
        <v/>
      </c>
      <c r="S123" s="5">
        <f>IF(L123,SUMPRODUCT(--(calc!$L$3:$L$306=TRUE),--(ROW(calc!$L$3:$L$306)&gt;ROW(L123)),--(((calc!$Q$3:$Q$306&gt;Q123)*(calc!$R$3:$R$306&gt;R123)+(calc!$Q$3:$Q$306&lt;Q123)*(calc!$R$3:$R$306&lt;R123))&gt;0))-SUMPRODUCT(--(calc!$L$3:$L$306=TRUE),--(ROW(calc!$L$3:$L$306)&gt;ROW(L123)),--(((calc!$Q$3:$Q$306&gt;Q123)*(calc!$R$3:$R$306&lt;R123)+(calc!$Q$3:$Q$306&lt;Q123)*(calc!$R$3:$R$306&gt;R123))&gt;0)),0)</f>
        <v/>
      </c>
      <c r="T123" s="5">
        <f>IF(mos_metrics!H122="","",mos_metrics!H122)</f>
        <v/>
      </c>
      <c r="U123" s="2">
        <f>AND($J123,ISNUMBER(T123),correlation!$I$27=1)</f>
        <v/>
      </c>
      <c r="V123" s="5">
        <f>IF(U123,$F123,"")</f>
        <v/>
      </c>
      <c r="W123" s="5">
        <f>IF(U123,T123*correlation!$J$27,"")</f>
        <v/>
      </c>
      <c r="X123" s="5">
        <f>IF(AND(U123,ISNUMBER(correlation!$F$27)),W123*correlation!$F$27+correlation!$G$27,"")</f>
        <v/>
      </c>
      <c r="Y123" s="5">
        <f>IF(AND(U123,ISNUMBER(X123)),(V123-X123)^2,"")</f>
        <v/>
      </c>
      <c r="Z123" s="5">
        <f>IF(U123,1+SUMPRODUCT(--(calc!$U$3:$U$306=TRUE),--(calc!$V$3:$V$306&gt;V123))+(SUMPRODUCT(--(calc!$U$3:$U$306=TRUE),--(calc!$V$3:$V$306=V123))-1)/2,"")</f>
        <v/>
      </c>
      <c r="AA123" s="5">
        <f>IF(U123,1+SUMPRODUCT(--(calc!$U$3:$U$306=TRUE),--(calc!$W$3:$W$306&gt;W123))+(SUMPRODUCT(--(calc!$U$3:$U$306=TRUE),--(calc!$W$3:$W$306=W123))-1)/2,"")</f>
        <v/>
      </c>
      <c r="AB123" s="5">
        <f>IF(U123,SUMPRODUCT(--(calc!$U$3:$U$306=TRUE),--(ROW(calc!$U$3:$U$306)&gt;ROW(U123)),--(((calc!$Z$3:$Z$306&gt;Z123)*(calc!$AA$3:$AA$306&gt;AA123)+(calc!$Z$3:$Z$306&lt;Z123)*(calc!$AA$3:$AA$306&lt;AA123))&gt;0))-SUMPRODUCT(--(calc!$U$3:$U$306=TRUE),--(ROW(calc!$U$3:$U$306)&gt;ROW(U123)),--(((calc!$Z$3:$Z$306&gt;Z123)*(calc!$AA$3:$AA$306&lt;AA123)+(calc!$Z$3:$Z$306&lt;Z123)*(calc!$AA$3:$AA$306&gt;AA123))&gt;0)),0)</f>
        <v/>
      </c>
      <c r="AC123" s="5">
        <f>IF(mos_metrics!I122="","",mos_metrics!I122)</f>
        <v/>
      </c>
      <c r="AD123" s="2">
        <f>AND($J123,ISNUMBER(AC123),correlation!$I$28=1)</f>
        <v/>
      </c>
      <c r="AE123" s="5">
        <f>IF(AD123,$F123,"")</f>
        <v/>
      </c>
      <c r="AF123" s="5">
        <f>IF(AD123,AC123*correlation!$J$28,"")</f>
        <v/>
      </c>
      <c r="AG123" s="5">
        <f>IF(AND(AD123,ISNUMBER(correlation!$F$28)),AF123*correlation!$F$28+correlation!$G$28,"")</f>
        <v/>
      </c>
      <c r="AH123" s="5">
        <f>IF(AND(AD123,ISNUMBER(AG123)),(AE123-AG123)^2,"")</f>
        <v/>
      </c>
      <c r="AI123" s="5">
        <f>IF(AD123,1+SUMPRODUCT(--(calc!$AD$3:$AD$306=TRUE),--(calc!$AE$3:$AE$306&gt;AE123))+(SUMPRODUCT(--(calc!$AD$3:$AD$306=TRUE),--(calc!$AE$3:$AE$306=AE123))-1)/2,"")</f>
        <v/>
      </c>
      <c r="AJ123" s="5">
        <f>IF(AD123,1+SUMPRODUCT(--(calc!$AD$3:$AD$306=TRUE),--(calc!$AF$3:$AF$306&gt;AF123))+(SUMPRODUCT(--(calc!$AD$3:$AD$306=TRUE),--(calc!$AF$3:$AF$306=AF123))-1)/2,"")</f>
        <v/>
      </c>
      <c r="AK123" s="5">
        <f>IF(AD123,SUMPRODUCT(--(calc!$AD$3:$AD$306=TRUE),--(ROW(calc!$AD$3:$AD$306)&gt;ROW(AD123)),--(((calc!$AI$3:$AI$306&gt;AI123)*(calc!$AJ$3:$AJ$306&gt;AJ123)+(calc!$AI$3:$AI$306&lt;AI123)*(calc!$AJ$3:$AJ$306&lt;AJ123))&gt;0))-SUMPRODUCT(--(calc!$AD$3:$AD$306=TRUE),--(ROW(calc!$AD$3:$AD$306)&gt;ROW(AD123)),--(((calc!$AI$3:$AI$306&gt;AI123)*(calc!$AJ$3:$AJ$306&lt;AJ123)+(calc!$AI$3:$AI$306&lt;AI123)*(calc!$AJ$3:$AJ$306&gt;AJ123))&gt;0)),0)</f>
        <v/>
      </c>
      <c r="AL123" s="5">
        <f>IF(mos_metrics!J122="","",mos_metrics!J122)</f>
        <v/>
      </c>
      <c r="AM123" s="2">
        <f>AND($J123,ISNUMBER(AL123),correlation!$I$29=1)</f>
        <v/>
      </c>
      <c r="AN123" s="5">
        <f>IF(AM123,$F123,"")</f>
        <v/>
      </c>
      <c r="AO123" s="5">
        <f>IF(AM123,AL123*correlation!$J$29,"")</f>
        <v/>
      </c>
      <c r="AP123" s="5">
        <f>IF(AND(AM123,ISNUMBER(correlation!$F$29)),AO123*correlation!$F$29+correlation!$G$29,"")</f>
        <v/>
      </c>
      <c r="AQ123" s="5">
        <f>IF(AND(AM123,ISNUMBER(AP123)),(AN123-AP123)^2,"")</f>
        <v/>
      </c>
      <c r="AR123" s="5">
        <f>IF(AM123,1+SUMPRODUCT(--(calc!$AM$3:$AM$306=TRUE),--(calc!$AN$3:$AN$306&gt;AN123))+(SUMPRODUCT(--(calc!$AM$3:$AM$306=TRUE),--(calc!$AN$3:$AN$306=AN123))-1)/2,"")</f>
        <v/>
      </c>
      <c r="AS123" s="5">
        <f>IF(AM123,1+SUMPRODUCT(--(calc!$AM$3:$AM$306=TRUE),--(calc!$AO$3:$AO$306&gt;AO123))+(SUMPRODUCT(--(calc!$AM$3:$AM$306=TRUE),--(calc!$AO$3:$AO$306=AO123))-1)/2,"")</f>
        <v/>
      </c>
      <c r="AT123" s="5">
        <f>IF(AM123,SUMPRODUCT(--(calc!$AM$3:$AM$306=TRUE),--(ROW(calc!$AM$3:$AM$306)&gt;ROW(AM123)),--(((calc!$AR$3:$AR$306&gt;AR123)*(calc!$AS$3:$AS$306&gt;AS123)+(calc!$AR$3:$AR$306&lt;AR123)*(calc!$AS$3:$AS$306&lt;AS123))&gt;0))-SUMPRODUCT(--(calc!$AM$3:$AM$306=TRUE),--(ROW(calc!$AM$3:$AM$306)&gt;ROW(AM123)),--(((calc!$AR$3:$AR$306&gt;AR123)*(calc!$AS$3:$AS$306&lt;AS123)+(calc!$AR$3:$AR$306&lt;AR123)*(calc!$AS$3:$AS$306&gt;AS123))&gt;0)),0)</f>
        <v/>
      </c>
      <c r="AU123" s="5">
        <f>IF(mos_metrics!K122="","",mos_metrics!K122)</f>
        <v/>
      </c>
      <c r="AV123" s="2">
        <f>AND($J123,ISNUMBER(AU123),correlation!$I$30=1)</f>
        <v/>
      </c>
      <c r="AW123" s="5">
        <f>IF(AV123,$F123,"")</f>
        <v/>
      </c>
      <c r="AX123" s="5">
        <f>IF(AV123,AU123*correlation!$J$30,"")</f>
        <v/>
      </c>
      <c r="AY123" s="5">
        <f>IF(AND(AV123,ISNUMBER(correlation!$F$30)),AX123*correlation!$F$30+correlation!$G$30,"")</f>
        <v/>
      </c>
      <c r="AZ123" s="5">
        <f>IF(AND(AV123,ISNUMBER(AY123)),(AW123-AY123)^2,"")</f>
        <v/>
      </c>
      <c r="BA123" s="5">
        <f>IF(AV123,1+SUMPRODUCT(--(calc!$AV$3:$AV$306=TRUE),--(calc!$AW$3:$AW$306&gt;AW123))+(SUMPRODUCT(--(calc!$AV$3:$AV$306=TRUE),--(calc!$AW$3:$AW$306=AW123))-1)/2,"")</f>
        <v/>
      </c>
      <c r="BB123" s="5">
        <f>IF(AV123,1+SUMPRODUCT(--(calc!$AV$3:$AV$306=TRUE),--(calc!$AX$3:$AX$306&gt;AX123))+(SUMPRODUCT(--(calc!$AV$3:$AV$306=TRUE),--(calc!$AX$3:$AX$306=AX123))-1)/2,"")</f>
        <v/>
      </c>
      <c r="BC123" s="5">
        <f>IF(AV123,SUMPRODUCT(--(calc!$AV$3:$AV$306=TRUE),--(ROW(calc!$AV$3:$AV$306)&gt;ROW(AV123)),--(((calc!$BA$3:$BA$306&gt;BA123)*(calc!$BB$3:$BB$306&gt;BB123)+(calc!$BA$3:$BA$306&lt;BA123)*(calc!$BB$3:$BB$306&lt;BB123))&gt;0))-SUMPRODUCT(--(calc!$AV$3:$AV$306=TRUE),--(ROW(calc!$AV$3:$AV$306)&gt;ROW(AV123)),--(((calc!$BA$3:$BA$306&gt;BA123)*(calc!$BB$3:$BB$306&lt;BB123)+(calc!$BA$3:$BA$306&lt;BA123)*(calc!$BB$3:$BB$306&gt;BB123))&gt;0)),0)</f>
        <v/>
      </c>
      <c r="BD123" s="5">
        <f>IF(mos_metrics!L122="","",mos_metrics!L122)</f>
        <v/>
      </c>
      <c r="BE123" s="2">
        <f>AND($J123,ISNUMBER(BD123),correlation!$I$31=1)</f>
        <v/>
      </c>
      <c r="BF123" s="5">
        <f>IF(BE123,$F123,"")</f>
        <v/>
      </c>
      <c r="BG123" s="5">
        <f>IF(BE123,BD123*correlation!$J$31,"")</f>
        <v/>
      </c>
      <c r="BH123" s="5">
        <f>IF(AND(BE123,ISNUMBER(correlation!$F$31)),BG123*correlation!$F$31+correlation!$G$31,"")</f>
        <v/>
      </c>
      <c r="BI123" s="5">
        <f>IF(AND(BE123,ISNUMBER(BH123)),(BF123-BH123)^2,"")</f>
        <v/>
      </c>
      <c r="BJ123" s="5">
        <f>IF(BE123,1+SUMPRODUCT(--(calc!$BE$3:$BE$306=TRUE),--(calc!$BF$3:$BF$306&gt;BF123))+(SUMPRODUCT(--(calc!$BE$3:$BE$306=TRUE),--(calc!$BF$3:$BF$306=BF123))-1)/2,"")</f>
        <v/>
      </c>
      <c r="BK123" s="5">
        <f>IF(BE123,1+SUMPRODUCT(--(calc!$BE$3:$BE$306=TRUE),--(calc!$BG$3:$BG$306&gt;BG123))+(SUMPRODUCT(--(calc!$BE$3:$BE$306=TRUE),--(calc!$BG$3:$BG$306=BG123))-1)/2,"")</f>
        <v/>
      </c>
      <c r="BL123" s="5">
        <f>IF(BE123,SUMPRODUCT(--(calc!$BE$3:$BE$306=TRUE),--(ROW(calc!$BE$3:$BE$306)&gt;ROW(BE123)),--(((calc!$BJ$3:$BJ$306&gt;BJ123)*(calc!$BK$3:$BK$306&gt;BK123)+(calc!$BJ$3:$BJ$306&lt;BJ123)*(calc!$BK$3:$BK$306&lt;BK123))&gt;0))-SUMPRODUCT(--(calc!$BE$3:$BE$306=TRUE),--(ROW(calc!$BE$3:$BE$306)&gt;ROW(BE123)),--(((calc!$BJ$3:$BJ$306&gt;BJ123)*(calc!$BK$3:$BK$306&lt;BK123)+(calc!$BJ$3:$BJ$306&lt;BJ123)*(calc!$BK$3:$BK$306&gt;BK123))&gt;0)),0)</f>
        <v/>
      </c>
      <c r="BM123" s="5">
        <f>IF(mos_metrics!M122="","",mos_metrics!M122)</f>
        <v/>
      </c>
      <c r="BN123" s="2">
        <f>AND($J123,ISNUMBER(BM123),correlation!$I$32=1)</f>
        <v/>
      </c>
      <c r="BO123" s="5">
        <f>IF(BN123,$F123,"")</f>
        <v/>
      </c>
      <c r="BP123" s="5">
        <f>IF(BN123,BM123*correlation!$J$32,"")</f>
        <v/>
      </c>
      <c r="BQ123" s="5">
        <f>IF(AND(BN123,ISNUMBER(correlation!$F$32)),BP123*correlation!$F$32+correlation!$G$32,"")</f>
        <v/>
      </c>
      <c r="BR123" s="5">
        <f>IF(AND(BN123,ISNUMBER(BQ123)),(BO123-BQ123)^2,"")</f>
        <v/>
      </c>
      <c r="BS123" s="5">
        <f>IF(BN123,1+SUMPRODUCT(--(calc!$BN$3:$BN$306=TRUE),--(calc!$BO$3:$BO$306&gt;BO123))+(SUMPRODUCT(--(calc!$BN$3:$BN$306=TRUE),--(calc!$BO$3:$BO$306=BO123))-1)/2,"")</f>
        <v/>
      </c>
      <c r="BT123" s="5">
        <f>IF(BN123,1+SUMPRODUCT(--(calc!$BN$3:$BN$306=TRUE),--(calc!$BP$3:$BP$306&gt;BP123))+(SUMPRODUCT(--(calc!$BN$3:$BN$306=TRUE),--(calc!$BP$3:$BP$306=BP123))-1)/2,"")</f>
        <v/>
      </c>
      <c r="BU123" s="5">
        <f>IF(BN123,SUMPRODUCT(--(calc!$BN$3:$BN$306=TRUE),--(ROW(calc!$BN$3:$BN$306)&gt;ROW(BN123)),--(((calc!$BS$3:$BS$306&gt;BS123)*(calc!$BT$3:$BT$306&gt;BT123)+(calc!$BS$3:$BS$306&lt;BS123)*(calc!$BT$3:$BT$306&lt;BT123))&gt;0))-SUMPRODUCT(--(calc!$BN$3:$BN$306=TRUE),--(ROW(calc!$BN$3:$BN$306)&gt;ROW(BN123)),--(((calc!$BS$3:$BS$306&gt;BS123)*(calc!$BT$3:$BT$306&lt;BT123)+(calc!$BS$3:$BS$306&lt;BS123)*(calc!$BT$3:$BT$306&gt;BT123))&gt;0)),0)</f>
        <v/>
      </c>
    </row>
    <row r="124">
      <c r="A124" s="2">
        <f>mos_metrics!A123</f>
        <v/>
      </c>
      <c r="B124" s="2">
        <f>mos_metrics!B123</f>
        <v/>
      </c>
      <c r="C124" s="2">
        <f>mos_metrics!C123</f>
        <v/>
      </c>
      <c r="D124" s="2">
        <f>mos_metrics!D123</f>
        <v/>
      </c>
      <c r="E124" s="2">
        <f>mos_metrics!E123</f>
        <v/>
      </c>
      <c r="F124" s="2">
        <f>mos_metrics!F123</f>
        <v/>
      </c>
      <c r="G124" s="2">
        <f>IF($B124="","",IFERROR(VLOOKUP($B124,correlation!$A$2:$B$16,2,FALSE),1))</f>
        <v/>
      </c>
      <c r="H124" s="2">
        <f>IF($E124="","",IFERROR(VLOOKUP($E124,correlation!$D$2:$E$8,2,FALSE),1))</f>
        <v/>
      </c>
      <c r="I124" s="2">
        <f>ISNUMBER($F124)</f>
        <v/>
      </c>
      <c r="J124" s="2">
        <f>AND($G124=1,$H124=1,$I124)</f>
        <v/>
      </c>
      <c r="K124" s="5">
        <f>IF(mos_metrics!G123="","",mos_metrics!G123)</f>
        <v/>
      </c>
      <c r="L124" s="2">
        <f>AND($J124,ISNUMBER(K124),correlation!$I$26=1)</f>
        <v/>
      </c>
      <c r="M124" s="5">
        <f>IF(L124,$F124,"")</f>
        <v/>
      </c>
      <c r="N124" s="5">
        <f>IF(L124,K124*correlation!$J$26,"")</f>
        <v/>
      </c>
      <c r="O124" s="5">
        <f>IF(AND(L124,ISNUMBER(correlation!$F$26)),N124*correlation!$F$26+correlation!$G$26,"")</f>
        <v/>
      </c>
      <c r="P124" s="5">
        <f>IF(AND(L124,ISNUMBER(O124)),(M124-O124)^2,"")</f>
        <v/>
      </c>
      <c r="Q124" s="5">
        <f>IF(L124,1+SUMPRODUCT(--(calc!$L$3:$L$306=TRUE),--(calc!$M$3:$M$306&gt;M124))+(SUMPRODUCT(--(calc!$L$3:$L$306=TRUE),--(calc!$M$3:$M$306=M124))-1)/2,"")</f>
        <v/>
      </c>
      <c r="R124" s="5">
        <f>IF(L124,1+SUMPRODUCT(--(calc!$L$3:$L$306=TRUE),--(calc!$N$3:$N$306&gt;N124))+(SUMPRODUCT(--(calc!$L$3:$L$306=TRUE),--(calc!$N$3:$N$306=N124))-1)/2,"")</f>
        <v/>
      </c>
      <c r="S124" s="5">
        <f>IF(L124,SUMPRODUCT(--(calc!$L$3:$L$306=TRUE),--(ROW(calc!$L$3:$L$306)&gt;ROW(L124)),--(((calc!$Q$3:$Q$306&gt;Q124)*(calc!$R$3:$R$306&gt;R124)+(calc!$Q$3:$Q$306&lt;Q124)*(calc!$R$3:$R$306&lt;R124))&gt;0))-SUMPRODUCT(--(calc!$L$3:$L$306=TRUE),--(ROW(calc!$L$3:$L$306)&gt;ROW(L124)),--(((calc!$Q$3:$Q$306&gt;Q124)*(calc!$R$3:$R$306&lt;R124)+(calc!$Q$3:$Q$306&lt;Q124)*(calc!$R$3:$R$306&gt;R124))&gt;0)),0)</f>
        <v/>
      </c>
      <c r="T124" s="5">
        <f>IF(mos_metrics!H123="","",mos_metrics!H123)</f>
        <v/>
      </c>
      <c r="U124" s="2">
        <f>AND($J124,ISNUMBER(T124),correlation!$I$27=1)</f>
        <v/>
      </c>
      <c r="V124" s="5">
        <f>IF(U124,$F124,"")</f>
        <v/>
      </c>
      <c r="W124" s="5">
        <f>IF(U124,T124*correlation!$J$27,"")</f>
        <v/>
      </c>
      <c r="X124" s="5">
        <f>IF(AND(U124,ISNUMBER(correlation!$F$27)),W124*correlation!$F$27+correlation!$G$27,"")</f>
        <v/>
      </c>
      <c r="Y124" s="5">
        <f>IF(AND(U124,ISNUMBER(X124)),(V124-X124)^2,"")</f>
        <v/>
      </c>
      <c r="Z124" s="5">
        <f>IF(U124,1+SUMPRODUCT(--(calc!$U$3:$U$306=TRUE),--(calc!$V$3:$V$306&gt;V124))+(SUMPRODUCT(--(calc!$U$3:$U$306=TRUE),--(calc!$V$3:$V$306=V124))-1)/2,"")</f>
        <v/>
      </c>
      <c r="AA124" s="5">
        <f>IF(U124,1+SUMPRODUCT(--(calc!$U$3:$U$306=TRUE),--(calc!$W$3:$W$306&gt;W124))+(SUMPRODUCT(--(calc!$U$3:$U$306=TRUE),--(calc!$W$3:$W$306=W124))-1)/2,"")</f>
        <v/>
      </c>
      <c r="AB124" s="5">
        <f>IF(U124,SUMPRODUCT(--(calc!$U$3:$U$306=TRUE),--(ROW(calc!$U$3:$U$306)&gt;ROW(U124)),--(((calc!$Z$3:$Z$306&gt;Z124)*(calc!$AA$3:$AA$306&gt;AA124)+(calc!$Z$3:$Z$306&lt;Z124)*(calc!$AA$3:$AA$306&lt;AA124))&gt;0))-SUMPRODUCT(--(calc!$U$3:$U$306=TRUE),--(ROW(calc!$U$3:$U$306)&gt;ROW(U124)),--(((calc!$Z$3:$Z$306&gt;Z124)*(calc!$AA$3:$AA$306&lt;AA124)+(calc!$Z$3:$Z$306&lt;Z124)*(calc!$AA$3:$AA$306&gt;AA124))&gt;0)),0)</f>
        <v/>
      </c>
      <c r="AC124" s="5">
        <f>IF(mos_metrics!I123="","",mos_metrics!I123)</f>
        <v/>
      </c>
      <c r="AD124" s="2">
        <f>AND($J124,ISNUMBER(AC124),correlation!$I$28=1)</f>
        <v/>
      </c>
      <c r="AE124" s="5">
        <f>IF(AD124,$F124,"")</f>
        <v/>
      </c>
      <c r="AF124" s="5">
        <f>IF(AD124,AC124*correlation!$J$28,"")</f>
        <v/>
      </c>
      <c r="AG124" s="5">
        <f>IF(AND(AD124,ISNUMBER(correlation!$F$28)),AF124*correlation!$F$28+correlation!$G$28,"")</f>
        <v/>
      </c>
      <c r="AH124" s="5">
        <f>IF(AND(AD124,ISNUMBER(AG124)),(AE124-AG124)^2,"")</f>
        <v/>
      </c>
      <c r="AI124" s="5">
        <f>IF(AD124,1+SUMPRODUCT(--(calc!$AD$3:$AD$306=TRUE),--(calc!$AE$3:$AE$306&gt;AE124))+(SUMPRODUCT(--(calc!$AD$3:$AD$306=TRUE),--(calc!$AE$3:$AE$306=AE124))-1)/2,"")</f>
        <v/>
      </c>
      <c r="AJ124" s="5">
        <f>IF(AD124,1+SUMPRODUCT(--(calc!$AD$3:$AD$306=TRUE),--(calc!$AF$3:$AF$306&gt;AF124))+(SUMPRODUCT(--(calc!$AD$3:$AD$306=TRUE),--(calc!$AF$3:$AF$306=AF124))-1)/2,"")</f>
        <v/>
      </c>
      <c r="AK124" s="5">
        <f>IF(AD124,SUMPRODUCT(--(calc!$AD$3:$AD$306=TRUE),--(ROW(calc!$AD$3:$AD$306)&gt;ROW(AD124)),--(((calc!$AI$3:$AI$306&gt;AI124)*(calc!$AJ$3:$AJ$306&gt;AJ124)+(calc!$AI$3:$AI$306&lt;AI124)*(calc!$AJ$3:$AJ$306&lt;AJ124))&gt;0))-SUMPRODUCT(--(calc!$AD$3:$AD$306=TRUE),--(ROW(calc!$AD$3:$AD$306)&gt;ROW(AD124)),--(((calc!$AI$3:$AI$306&gt;AI124)*(calc!$AJ$3:$AJ$306&lt;AJ124)+(calc!$AI$3:$AI$306&lt;AI124)*(calc!$AJ$3:$AJ$306&gt;AJ124))&gt;0)),0)</f>
        <v/>
      </c>
      <c r="AL124" s="5">
        <f>IF(mos_metrics!J123="","",mos_metrics!J123)</f>
        <v/>
      </c>
      <c r="AM124" s="2">
        <f>AND($J124,ISNUMBER(AL124),correlation!$I$29=1)</f>
        <v/>
      </c>
      <c r="AN124" s="5">
        <f>IF(AM124,$F124,"")</f>
        <v/>
      </c>
      <c r="AO124" s="5">
        <f>IF(AM124,AL124*correlation!$J$29,"")</f>
        <v/>
      </c>
      <c r="AP124" s="5">
        <f>IF(AND(AM124,ISNUMBER(correlation!$F$29)),AO124*correlation!$F$29+correlation!$G$29,"")</f>
        <v/>
      </c>
      <c r="AQ124" s="5">
        <f>IF(AND(AM124,ISNUMBER(AP124)),(AN124-AP124)^2,"")</f>
        <v/>
      </c>
      <c r="AR124" s="5">
        <f>IF(AM124,1+SUMPRODUCT(--(calc!$AM$3:$AM$306=TRUE),--(calc!$AN$3:$AN$306&gt;AN124))+(SUMPRODUCT(--(calc!$AM$3:$AM$306=TRUE),--(calc!$AN$3:$AN$306=AN124))-1)/2,"")</f>
        <v/>
      </c>
      <c r="AS124" s="5">
        <f>IF(AM124,1+SUMPRODUCT(--(calc!$AM$3:$AM$306=TRUE),--(calc!$AO$3:$AO$306&gt;AO124))+(SUMPRODUCT(--(calc!$AM$3:$AM$306=TRUE),--(calc!$AO$3:$AO$306=AO124))-1)/2,"")</f>
        <v/>
      </c>
      <c r="AT124" s="5">
        <f>IF(AM124,SUMPRODUCT(--(calc!$AM$3:$AM$306=TRUE),--(ROW(calc!$AM$3:$AM$306)&gt;ROW(AM124)),--(((calc!$AR$3:$AR$306&gt;AR124)*(calc!$AS$3:$AS$306&gt;AS124)+(calc!$AR$3:$AR$306&lt;AR124)*(calc!$AS$3:$AS$306&lt;AS124))&gt;0))-SUMPRODUCT(--(calc!$AM$3:$AM$306=TRUE),--(ROW(calc!$AM$3:$AM$306)&gt;ROW(AM124)),--(((calc!$AR$3:$AR$306&gt;AR124)*(calc!$AS$3:$AS$306&lt;AS124)+(calc!$AR$3:$AR$306&lt;AR124)*(calc!$AS$3:$AS$306&gt;AS124))&gt;0)),0)</f>
        <v/>
      </c>
      <c r="AU124" s="5">
        <f>IF(mos_metrics!K123="","",mos_metrics!K123)</f>
        <v/>
      </c>
      <c r="AV124" s="2">
        <f>AND($J124,ISNUMBER(AU124),correlation!$I$30=1)</f>
        <v/>
      </c>
      <c r="AW124" s="5">
        <f>IF(AV124,$F124,"")</f>
        <v/>
      </c>
      <c r="AX124" s="5">
        <f>IF(AV124,AU124*correlation!$J$30,"")</f>
        <v/>
      </c>
      <c r="AY124" s="5">
        <f>IF(AND(AV124,ISNUMBER(correlation!$F$30)),AX124*correlation!$F$30+correlation!$G$30,"")</f>
        <v/>
      </c>
      <c r="AZ124" s="5">
        <f>IF(AND(AV124,ISNUMBER(AY124)),(AW124-AY124)^2,"")</f>
        <v/>
      </c>
      <c r="BA124" s="5">
        <f>IF(AV124,1+SUMPRODUCT(--(calc!$AV$3:$AV$306=TRUE),--(calc!$AW$3:$AW$306&gt;AW124))+(SUMPRODUCT(--(calc!$AV$3:$AV$306=TRUE),--(calc!$AW$3:$AW$306=AW124))-1)/2,"")</f>
        <v/>
      </c>
      <c r="BB124" s="5">
        <f>IF(AV124,1+SUMPRODUCT(--(calc!$AV$3:$AV$306=TRUE),--(calc!$AX$3:$AX$306&gt;AX124))+(SUMPRODUCT(--(calc!$AV$3:$AV$306=TRUE),--(calc!$AX$3:$AX$306=AX124))-1)/2,"")</f>
        <v/>
      </c>
      <c r="BC124" s="5">
        <f>IF(AV124,SUMPRODUCT(--(calc!$AV$3:$AV$306=TRUE),--(ROW(calc!$AV$3:$AV$306)&gt;ROW(AV124)),--(((calc!$BA$3:$BA$306&gt;BA124)*(calc!$BB$3:$BB$306&gt;BB124)+(calc!$BA$3:$BA$306&lt;BA124)*(calc!$BB$3:$BB$306&lt;BB124))&gt;0))-SUMPRODUCT(--(calc!$AV$3:$AV$306=TRUE),--(ROW(calc!$AV$3:$AV$306)&gt;ROW(AV124)),--(((calc!$BA$3:$BA$306&gt;BA124)*(calc!$BB$3:$BB$306&lt;BB124)+(calc!$BA$3:$BA$306&lt;BA124)*(calc!$BB$3:$BB$306&gt;BB124))&gt;0)),0)</f>
        <v/>
      </c>
      <c r="BD124" s="5">
        <f>IF(mos_metrics!L123="","",mos_metrics!L123)</f>
        <v/>
      </c>
      <c r="BE124" s="2">
        <f>AND($J124,ISNUMBER(BD124),correlation!$I$31=1)</f>
        <v/>
      </c>
      <c r="BF124" s="5">
        <f>IF(BE124,$F124,"")</f>
        <v/>
      </c>
      <c r="BG124" s="5">
        <f>IF(BE124,BD124*correlation!$J$31,"")</f>
        <v/>
      </c>
      <c r="BH124" s="5">
        <f>IF(AND(BE124,ISNUMBER(correlation!$F$31)),BG124*correlation!$F$31+correlation!$G$31,"")</f>
        <v/>
      </c>
      <c r="BI124" s="5">
        <f>IF(AND(BE124,ISNUMBER(BH124)),(BF124-BH124)^2,"")</f>
        <v/>
      </c>
      <c r="BJ124" s="5">
        <f>IF(BE124,1+SUMPRODUCT(--(calc!$BE$3:$BE$306=TRUE),--(calc!$BF$3:$BF$306&gt;BF124))+(SUMPRODUCT(--(calc!$BE$3:$BE$306=TRUE),--(calc!$BF$3:$BF$306=BF124))-1)/2,"")</f>
        <v/>
      </c>
      <c r="BK124" s="5">
        <f>IF(BE124,1+SUMPRODUCT(--(calc!$BE$3:$BE$306=TRUE),--(calc!$BG$3:$BG$306&gt;BG124))+(SUMPRODUCT(--(calc!$BE$3:$BE$306=TRUE),--(calc!$BG$3:$BG$306=BG124))-1)/2,"")</f>
        <v/>
      </c>
      <c r="BL124" s="5">
        <f>IF(BE124,SUMPRODUCT(--(calc!$BE$3:$BE$306=TRUE),--(ROW(calc!$BE$3:$BE$306)&gt;ROW(BE124)),--(((calc!$BJ$3:$BJ$306&gt;BJ124)*(calc!$BK$3:$BK$306&gt;BK124)+(calc!$BJ$3:$BJ$306&lt;BJ124)*(calc!$BK$3:$BK$306&lt;BK124))&gt;0))-SUMPRODUCT(--(calc!$BE$3:$BE$306=TRUE),--(ROW(calc!$BE$3:$BE$306)&gt;ROW(BE124)),--(((calc!$BJ$3:$BJ$306&gt;BJ124)*(calc!$BK$3:$BK$306&lt;BK124)+(calc!$BJ$3:$BJ$306&lt;BJ124)*(calc!$BK$3:$BK$306&gt;BK124))&gt;0)),0)</f>
        <v/>
      </c>
      <c r="BM124" s="5">
        <f>IF(mos_metrics!M123="","",mos_metrics!M123)</f>
        <v/>
      </c>
      <c r="BN124" s="2">
        <f>AND($J124,ISNUMBER(BM124),correlation!$I$32=1)</f>
        <v/>
      </c>
      <c r="BO124" s="5">
        <f>IF(BN124,$F124,"")</f>
        <v/>
      </c>
      <c r="BP124" s="5">
        <f>IF(BN124,BM124*correlation!$J$32,"")</f>
        <v/>
      </c>
      <c r="BQ124" s="5">
        <f>IF(AND(BN124,ISNUMBER(correlation!$F$32)),BP124*correlation!$F$32+correlation!$G$32,"")</f>
        <v/>
      </c>
      <c r="BR124" s="5">
        <f>IF(AND(BN124,ISNUMBER(BQ124)),(BO124-BQ124)^2,"")</f>
        <v/>
      </c>
      <c r="BS124" s="5">
        <f>IF(BN124,1+SUMPRODUCT(--(calc!$BN$3:$BN$306=TRUE),--(calc!$BO$3:$BO$306&gt;BO124))+(SUMPRODUCT(--(calc!$BN$3:$BN$306=TRUE),--(calc!$BO$3:$BO$306=BO124))-1)/2,"")</f>
        <v/>
      </c>
      <c r="BT124" s="5">
        <f>IF(BN124,1+SUMPRODUCT(--(calc!$BN$3:$BN$306=TRUE),--(calc!$BP$3:$BP$306&gt;BP124))+(SUMPRODUCT(--(calc!$BN$3:$BN$306=TRUE),--(calc!$BP$3:$BP$306=BP124))-1)/2,"")</f>
        <v/>
      </c>
      <c r="BU124" s="5">
        <f>IF(BN124,SUMPRODUCT(--(calc!$BN$3:$BN$306=TRUE),--(ROW(calc!$BN$3:$BN$306)&gt;ROW(BN124)),--(((calc!$BS$3:$BS$306&gt;BS124)*(calc!$BT$3:$BT$306&gt;BT124)+(calc!$BS$3:$BS$306&lt;BS124)*(calc!$BT$3:$BT$306&lt;BT124))&gt;0))-SUMPRODUCT(--(calc!$BN$3:$BN$306=TRUE),--(ROW(calc!$BN$3:$BN$306)&gt;ROW(BN124)),--(((calc!$BS$3:$BS$306&gt;BS124)*(calc!$BT$3:$BT$306&lt;BT124)+(calc!$BS$3:$BS$306&lt;BS124)*(calc!$BT$3:$BT$306&gt;BT124))&gt;0)),0)</f>
        <v/>
      </c>
    </row>
    <row r="125">
      <c r="A125" s="2">
        <f>mos_metrics!A124</f>
        <v/>
      </c>
      <c r="B125" s="2">
        <f>mos_metrics!B124</f>
        <v/>
      </c>
      <c r="C125" s="2">
        <f>mos_metrics!C124</f>
        <v/>
      </c>
      <c r="D125" s="2">
        <f>mos_metrics!D124</f>
        <v/>
      </c>
      <c r="E125" s="2">
        <f>mos_metrics!E124</f>
        <v/>
      </c>
      <c r="F125" s="2">
        <f>mos_metrics!F124</f>
        <v/>
      </c>
      <c r="G125" s="2">
        <f>IF($B125="","",IFERROR(VLOOKUP($B125,correlation!$A$2:$B$16,2,FALSE),1))</f>
        <v/>
      </c>
      <c r="H125" s="2">
        <f>IF($E125="","",IFERROR(VLOOKUP($E125,correlation!$D$2:$E$8,2,FALSE),1))</f>
        <v/>
      </c>
      <c r="I125" s="2">
        <f>ISNUMBER($F125)</f>
        <v/>
      </c>
      <c r="J125" s="2">
        <f>AND($G125=1,$H125=1,$I125)</f>
        <v/>
      </c>
      <c r="K125" s="5">
        <f>IF(mos_metrics!G124="","",mos_metrics!G124)</f>
        <v/>
      </c>
      <c r="L125" s="2">
        <f>AND($J125,ISNUMBER(K125),correlation!$I$26=1)</f>
        <v/>
      </c>
      <c r="M125" s="5">
        <f>IF(L125,$F125,"")</f>
        <v/>
      </c>
      <c r="N125" s="5">
        <f>IF(L125,K125*correlation!$J$26,"")</f>
        <v/>
      </c>
      <c r="O125" s="5">
        <f>IF(AND(L125,ISNUMBER(correlation!$F$26)),N125*correlation!$F$26+correlation!$G$26,"")</f>
        <v/>
      </c>
      <c r="P125" s="5">
        <f>IF(AND(L125,ISNUMBER(O125)),(M125-O125)^2,"")</f>
        <v/>
      </c>
      <c r="Q125" s="5">
        <f>IF(L125,1+SUMPRODUCT(--(calc!$L$3:$L$306=TRUE),--(calc!$M$3:$M$306&gt;M125))+(SUMPRODUCT(--(calc!$L$3:$L$306=TRUE),--(calc!$M$3:$M$306=M125))-1)/2,"")</f>
        <v/>
      </c>
      <c r="R125" s="5">
        <f>IF(L125,1+SUMPRODUCT(--(calc!$L$3:$L$306=TRUE),--(calc!$N$3:$N$306&gt;N125))+(SUMPRODUCT(--(calc!$L$3:$L$306=TRUE),--(calc!$N$3:$N$306=N125))-1)/2,"")</f>
        <v/>
      </c>
      <c r="S125" s="5">
        <f>IF(L125,SUMPRODUCT(--(calc!$L$3:$L$306=TRUE),--(ROW(calc!$L$3:$L$306)&gt;ROW(L125)),--(((calc!$Q$3:$Q$306&gt;Q125)*(calc!$R$3:$R$306&gt;R125)+(calc!$Q$3:$Q$306&lt;Q125)*(calc!$R$3:$R$306&lt;R125))&gt;0))-SUMPRODUCT(--(calc!$L$3:$L$306=TRUE),--(ROW(calc!$L$3:$L$306)&gt;ROW(L125)),--(((calc!$Q$3:$Q$306&gt;Q125)*(calc!$R$3:$R$306&lt;R125)+(calc!$Q$3:$Q$306&lt;Q125)*(calc!$R$3:$R$306&gt;R125))&gt;0)),0)</f>
        <v/>
      </c>
      <c r="T125" s="5">
        <f>IF(mos_metrics!H124="","",mos_metrics!H124)</f>
        <v/>
      </c>
      <c r="U125" s="2">
        <f>AND($J125,ISNUMBER(T125),correlation!$I$27=1)</f>
        <v/>
      </c>
      <c r="V125" s="5">
        <f>IF(U125,$F125,"")</f>
        <v/>
      </c>
      <c r="W125" s="5">
        <f>IF(U125,T125*correlation!$J$27,"")</f>
        <v/>
      </c>
      <c r="X125" s="5">
        <f>IF(AND(U125,ISNUMBER(correlation!$F$27)),W125*correlation!$F$27+correlation!$G$27,"")</f>
        <v/>
      </c>
      <c r="Y125" s="5">
        <f>IF(AND(U125,ISNUMBER(X125)),(V125-X125)^2,"")</f>
        <v/>
      </c>
      <c r="Z125" s="5">
        <f>IF(U125,1+SUMPRODUCT(--(calc!$U$3:$U$306=TRUE),--(calc!$V$3:$V$306&gt;V125))+(SUMPRODUCT(--(calc!$U$3:$U$306=TRUE),--(calc!$V$3:$V$306=V125))-1)/2,"")</f>
        <v/>
      </c>
      <c r="AA125" s="5">
        <f>IF(U125,1+SUMPRODUCT(--(calc!$U$3:$U$306=TRUE),--(calc!$W$3:$W$306&gt;W125))+(SUMPRODUCT(--(calc!$U$3:$U$306=TRUE),--(calc!$W$3:$W$306=W125))-1)/2,"")</f>
        <v/>
      </c>
      <c r="AB125" s="5">
        <f>IF(U125,SUMPRODUCT(--(calc!$U$3:$U$306=TRUE),--(ROW(calc!$U$3:$U$306)&gt;ROW(U125)),--(((calc!$Z$3:$Z$306&gt;Z125)*(calc!$AA$3:$AA$306&gt;AA125)+(calc!$Z$3:$Z$306&lt;Z125)*(calc!$AA$3:$AA$306&lt;AA125))&gt;0))-SUMPRODUCT(--(calc!$U$3:$U$306=TRUE),--(ROW(calc!$U$3:$U$306)&gt;ROW(U125)),--(((calc!$Z$3:$Z$306&gt;Z125)*(calc!$AA$3:$AA$306&lt;AA125)+(calc!$Z$3:$Z$306&lt;Z125)*(calc!$AA$3:$AA$306&gt;AA125))&gt;0)),0)</f>
        <v/>
      </c>
      <c r="AC125" s="5">
        <f>IF(mos_metrics!I124="","",mos_metrics!I124)</f>
        <v/>
      </c>
      <c r="AD125" s="2">
        <f>AND($J125,ISNUMBER(AC125),correlation!$I$28=1)</f>
        <v/>
      </c>
      <c r="AE125" s="5">
        <f>IF(AD125,$F125,"")</f>
        <v/>
      </c>
      <c r="AF125" s="5">
        <f>IF(AD125,AC125*correlation!$J$28,"")</f>
        <v/>
      </c>
      <c r="AG125" s="5">
        <f>IF(AND(AD125,ISNUMBER(correlation!$F$28)),AF125*correlation!$F$28+correlation!$G$28,"")</f>
        <v/>
      </c>
      <c r="AH125" s="5">
        <f>IF(AND(AD125,ISNUMBER(AG125)),(AE125-AG125)^2,"")</f>
        <v/>
      </c>
      <c r="AI125" s="5">
        <f>IF(AD125,1+SUMPRODUCT(--(calc!$AD$3:$AD$306=TRUE),--(calc!$AE$3:$AE$306&gt;AE125))+(SUMPRODUCT(--(calc!$AD$3:$AD$306=TRUE),--(calc!$AE$3:$AE$306=AE125))-1)/2,"")</f>
        <v/>
      </c>
      <c r="AJ125" s="5">
        <f>IF(AD125,1+SUMPRODUCT(--(calc!$AD$3:$AD$306=TRUE),--(calc!$AF$3:$AF$306&gt;AF125))+(SUMPRODUCT(--(calc!$AD$3:$AD$306=TRUE),--(calc!$AF$3:$AF$306=AF125))-1)/2,"")</f>
        <v/>
      </c>
      <c r="AK125" s="5">
        <f>IF(AD125,SUMPRODUCT(--(calc!$AD$3:$AD$306=TRUE),--(ROW(calc!$AD$3:$AD$306)&gt;ROW(AD125)),--(((calc!$AI$3:$AI$306&gt;AI125)*(calc!$AJ$3:$AJ$306&gt;AJ125)+(calc!$AI$3:$AI$306&lt;AI125)*(calc!$AJ$3:$AJ$306&lt;AJ125))&gt;0))-SUMPRODUCT(--(calc!$AD$3:$AD$306=TRUE),--(ROW(calc!$AD$3:$AD$306)&gt;ROW(AD125)),--(((calc!$AI$3:$AI$306&gt;AI125)*(calc!$AJ$3:$AJ$306&lt;AJ125)+(calc!$AI$3:$AI$306&lt;AI125)*(calc!$AJ$3:$AJ$306&gt;AJ125))&gt;0)),0)</f>
        <v/>
      </c>
      <c r="AL125" s="5">
        <f>IF(mos_metrics!J124="","",mos_metrics!J124)</f>
        <v/>
      </c>
      <c r="AM125" s="2">
        <f>AND($J125,ISNUMBER(AL125),correlation!$I$29=1)</f>
        <v/>
      </c>
      <c r="AN125" s="5">
        <f>IF(AM125,$F125,"")</f>
        <v/>
      </c>
      <c r="AO125" s="5">
        <f>IF(AM125,AL125*correlation!$J$29,"")</f>
        <v/>
      </c>
      <c r="AP125" s="5">
        <f>IF(AND(AM125,ISNUMBER(correlation!$F$29)),AO125*correlation!$F$29+correlation!$G$29,"")</f>
        <v/>
      </c>
      <c r="AQ125" s="5">
        <f>IF(AND(AM125,ISNUMBER(AP125)),(AN125-AP125)^2,"")</f>
        <v/>
      </c>
      <c r="AR125" s="5">
        <f>IF(AM125,1+SUMPRODUCT(--(calc!$AM$3:$AM$306=TRUE),--(calc!$AN$3:$AN$306&gt;AN125))+(SUMPRODUCT(--(calc!$AM$3:$AM$306=TRUE),--(calc!$AN$3:$AN$306=AN125))-1)/2,"")</f>
        <v/>
      </c>
      <c r="AS125" s="5">
        <f>IF(AM125,1+SUMPRODUCT(--(calc!$AM$3:$AM$306=TRUE),--(calc!$AO$3:$AO$306&gt;AO125))+(SUMPRODUCT(--(calc!$AM$3:$AM$306=TRUE),--(calc!$AO$3:$AO$306=AO125))-1)/2,"")</f>
        <v/>
      </c>
      <c r="AT125" s="5">
        <f>IF(AM125,SUMPRODUCT(--(calc!$AM$3:$AM$306=TRUE),--(ROW(calc!$AM$3:$AM$306)&gt;ROW(AM125)),--(((calc!$AR$3:$AR$306&gt;AR125)*(calc!$AS$3:$AS$306&gt;AS125)+(calc!$AR$3:$AR$306&lt;AR125)*(calc!$AS$3:$AS$306&lt;AS125))&gt;0))-SUMPRODUCT(--(calc!$AM$3:$AM$306=TRUE),--(ROW(calc!$AM$3:$AM$306)&gt;ROW(AM125)),--(((calc!$AR$3:$AR$306&gt;AR125)*(calc!$AS$3:$AS$306&lt;AS125)+(calc!$AR$3:$AR$306&lt;AR125)*(calc!$AS$3:$AS$306&gt;AS125))&gt;0)),0)</f>
        <v/>
      </c>
      <c r="AU125" s="5">
        <f>IF(mos_metrics!K124="","",mos_metrics!K124)</f>
        <v/>
      </c>
      <c r="AV125" s="2">
        <f>AND($J125,ISNUMBER(AU125),correlation!$I$30=1)</f>
        <v/>
      </c>
      <c r="AW125" s="5">
        <f>IF(AV125,$F125,"")</f>
        <v/>
      </c>
      <c r="AX125" s="5">
        <f>IF(AV125,AU125*correlation!$J$30,"")</f>
        <v/>
      </c>
      <c r="AY125" s="5">
        <f>IF(AND(AV125,ISNUMBER(correlation!$F$30)),AX125*correlation!$F$30+correlation!$G$30,"")</f>
        <v/>
      </c>
      <c r="AZ125" s="5">
        <f>IF(AND(AV125,ISNUMBER(AY125)),(AW125-AY125)^2,"")</f>
        <v/>
      </c>
      <c r="BA125" s="5">
        <f>IF(AV125,1+SUMPRODUCT(--(calc!$AV$3:$AV$306=TRUE),--(calc!$AW$3:$AW$306&gt;AW125))+(SUMPRODUCT(--(calc!$AV$3:$AV$306=TRUE),--(calc!$AW$3:$AW$306=AW125))-1)/2,"")</f>
        <v/>
      </c>
      <c r="BB125" s="5">
        <f>IF(AV125,1+SUMPRODUCT(--(calc!$AV$3:$AV$306=TRUE),--(calc!$AX$3:$AX$306&gt;AX125))+(SUMPRODUCT(--(calc!$AV$3:$AV$306=TRUE),--(calc!$AX$3:$AX$306=AX125))-1)/2,"")</f>
        <v/>
      </c>
      <c r="BC125" s="5">
        <f>IF(AV125,SUMPRODUCT(--(calc!$AV$3:$AV$306=TRUE),--(ROW(calc!$AV$3:$AV$306)&gt;ROW(AV125)),--(((calc!$BA$3:$BA$306&gt;BA125)*(calc!$BB$3:$BB$306&gt;BB125)+(calc!$BA$3:$BA$306&lt;BA125)*(calc!$BB$3:$BB$306&lt;BB125))&gt;0))-SUMPRODUCT(--(calc!$AV$3:$AV$306=TRUE),--(ROW(calc!$AV$3:$AV$306)&gt;ROW(AV125)),--(((calc!$BA$3:$BA$306&gt;BA125)*(calc!$BB$3:$BB$306&lt;BB125)+(calc!$BA$3:$BA$306&lt;BA125)*(calc!$BB$3:$BB$306&gt;BB125))&gt;0)),0)</f>
        <v/>
      </c>
      <c r="BD125" s="5">
        <f>IF(mos_metrics!L124="","",mos_metrics!L124)</f>
        <v/>
      </c>
      <c r="BE125" s="2">
        <f>AND($J125,ISNUMBER(BD125),correlation!$I$31=1)</f>
        <v/>
      </c>
      <c r="BF125" s="5">
        <f>IF(BE125,$F125,"")</f>
        <v/>
      </c>
      <c r="BG125" s="5">
        <f>IF(BE125,BD125*correlation!$J$31,"")</f>
        <v/>
      </c>
      <c r="BH125" s="5">
        <f>IF(AND(BE125,ISNUMBER(correlation!$F$31)),BG125*correlation!$F$31+correlation!$G$31,"")</f>
        <v/>
      </c>
      <c r="BI125" s="5">
        <f>IF(AND(BE125,ISNUMBER(BH125)),(BF125-BH125)^2,"")</f>
        <v/>
      </c>
      <c r="BJ125" s="5">
        <f>IF(BE125,1+SUMPRODUCT(--(calc!$BE$3:$BE$306=TRUE),--(calc!$BF$3:$BF$306&gt;BF125))+(SUMPRODUCT(--(calc!$BE$3:$BE$306=TRUE),--(calc!$BF$3:$BF$306=BF125))-1)/2,"")</f>
        <v/>
      </c>
      <c r="BK125" s="5">
        <f>IF(BE125,1+SUMPRODUCT(--(calc!$BE$3:$BE$306=TRUE),--(calc!$BG$3:$BG$306&gt;BG125))+(SUMPRODUCT(--(calc!$BE$3:$BE$306=TRUE),--(calc!$BG$3:$BG$306=BG125))-1)/2,"")</f>
        <v/>
      </c>
      <c r="BL125" s="5">
        <f>IF(BE125,SUMPRODUCT(--(calc!$BE$3:$BE$306=TRUE),--(ROW(calc!$BE$3:$BE$306)&gt;ROW(BE125)),--(((calc!$BJ$3:$BJ$306&gt;BJ125)*(calc!$BK$3:$BK$306&gt;BK125)+(calc!$BJ$3:$BJ$306&lt;BJ125)*(calc!$BK$3:$BK$306&lt;BK125))&gt;0))-SUMPRODUCT(--(calc!$BE$3:$BE$306=TRUE),--(ROW(calc!$BE$3:$BE$306)&gt;ROW(BE125)),--(((calc!$BJ$3:$BJ$306&gt;BJ125)*(calc!$BK$3:$BK$306&lt;BK125)+(calc!$BJ$3:$BJ$306&lt;BJ125)*(calc!$BK$3:$BK$306&gt;BK125))&gt;0)),0)</f>
        <v/>
      </c>
      <c r="BM125" s="5">
        <f>IF(mos_metrics!M124="","",mos_metrics!M124)</f>
        <v/>
      </c>
      <c r="BN125" s="2">
        <f>AND($J125,ISNUMBER(BM125),correlation!$I$32=1)</f>
        <v/>
      </c>
      <c r="BO125" s="5">
        <f>IF(BN125,$F125,"")</f>
        <v/>
      </c>
      <c r="BP125" s="5">
        <f>IF(BN125,BM125*correlation!$J$32,"")</f>
        <v/>
      </c>
      <c r="BQ125" s="5">
        <f>IF(AND(BN125,ISNUMBER(correlation!$F$32)),BP125*correlation!$F$32+correlation!$G$32,"")</f>
        <v/>
      </c>
      <c r="BR125" s="5">
        <f>IF(AND(BN125,ISNUMBER(BQ125)),(BO125-BQ125)^2,"")</f>
        <v/>
      </c>
      <c r="BS125" s="5">
        <f>IF(BN125,1+SUMPRODUCT(--(calc!$BN$3:$BN$306=TRUE),--(calc!$BO$3:$BO$306&gt;BO125))+(SUMPRODUCT(--(calc!$BN$3:$BN$306=TRUE),--(calc!$BO$3:$BO$306=BO125))-1)/2,"")</f>
        <v/>
      </c>
      <c r="BT125" s="5">
        <f>IF(BN125,1+SUMPRODUCT(--(calc!$BN$3:$BN$306=TRUE),--(calc!$BP$3:$BP$306&gt;BP125))+(SUMPRODUCT(--(calc!$BN$3:$BN$306=TRUE),--(calc!$BP$3:$BP$306=BP125))-1)/2,"")</f>
        <v/>
      </c>
      <c r="BU125" s="5">
        <f>IF(BN125,SUMPRODUCT(--(calc!$BN$3:$BN$306=TRUE),--(ROW(calc!$BN$3:$BN$306)&gt;ROW(BN125)),--(((calc!$BS$3:$BS$306&gt;BS125)*(calc!$BT$3:$BT$306&gt;BT125)+(calc!$BS$3:$BS$306&lt;BS125)*(calc!$BT$3:$BT$306&lt;BT125))&gt;0))-SUMPRODUCT(--(calc!$BN$3:$BN$306=TRUE),--(ROW(calc!$BN$3:$BN$306)&gt;ROW(BN125)),--(((calc!$BS$3:$BS$306&gt;BS125)*(calc!$BT$3:$BT$306&lt;BT125)+(calc!$BS$3:$BS$306&lt;BS125)*(calc!$BT$3:$BT$306&gt;BT125))&gt;0)),0)</f>
        <v/>
      </c>
    </row>
    <row r="126">
      <c r="A126" s="2">
        <f>mos_metrics!A125</f>
        <v/>
      </c>
      <c r="B126" s="2">
        <f>mos_metrics!B125</f>
        <v/>
      </c>
      <c r="C126" s="2">
        <f>mos_metrics!C125</f>
        <v/>
      </c>
      <c r="D126" s="2">
        <f>mos_metrics!D125</f>
        <v/>
      </c>
      <c r="E126" s="2">
        <f>mos_metrics!E125</f>
        <v/>
      </c>
      <c r="F126" s="2">
        <f>mos_metrics!F125</f>
        <v/>
      </c>
      <c r="G126" s="2">
        <f>IF($B126="","",IFERROR(VLOOKUP($B126,correlation!$A$2:$B$16,2,FALSE),1))</f>
        <v/>
      </c>
      <c r="H126" s="2">
        <f>IF($E126="","",IFERROR(VLOOKUP($E126,correlation!$D$2:$E$8,2,FALSE),1))</f>
        <v/>
      </c>
      <c r="I126" s="2">
        <f>ISNUMBER($F126)</f>
        <v/>
      </c>
      <c r="J126" s="2">
        <f>AND($G126=1,$H126=1,$I126)</f>
        <v/>
      </c>
      <c r="K126" s="5">
        <f>IF(mos_metrics!G125="","",mos_metrics!G125)</f>
        <v/>
      </c>
      <c r="L126" s="2">
        <f>AND($J126,ISNUMBER(K126),correlation!$I$26=1)</f>
        <v/>
      </c>
      <c r="M126" s="5">
        <f>IF(L126,$F126,"")</f>
        <v/>
      </c>
      <c r="N126" s="5">
        <f>IF(L126,K126*correlation!$J$26,"")</f>
        <v/>
      </c>
      <c r="O126" s="5">
        <f>IF(AND(L126,ISNUMBER(correlation!$F$26)),N126*correlation!$F$26+correlation!$G$26,"")</f>
        <v/>
      </c>
      <c r="P126" s="5">
        <f>IF(AND(L126,ISNUMBER(O126)),(M126-O126)^2,"")</f>
        <v/>
      </c>
      <c r="Q126" s="5">
        <f>IF(L126,1+SUMPRODUCT(--(calc!$L$3:$L$306=TRUE),--(calc!$M$3:$M$306&gt;M126))+(SUMPRODUCT(--(calc!$L$3:$L$306=TRUE),--(calc!$M$3:$M$306=M126))-1)/2,"")</f>
        <v/>
      </c>
      <c r="R126" s="5">
        <f>IF(L126,1+SUMPRODUCT(--(calc!$L$3:$L$306=TRUE),--(calc!$N$3:$N$306&gt;N126))+(SUMPRODUCT(--(calc!$L$3:$L$306=TRUE),--(calc!$N$3:$N$306=N126))-1)/2,"")</f>
        <v/>
      </c>
      <c r="S126" s="5">
        <f>IF(L126,SUMPRODUCT(--(calc!$L$3:$L$306=TRUE),--(ROW(calc!$L$3:$L$306)&gt;ROW(L126)),--(((calc!$Q$3:$Q$306&gt;Q126)*(calc!$R$3:$R$306&gt;R126)+(calc!$Q$3:$Q$306&lt;Q126)*(calc!$R$3:$R$306&lt;R126))&gt;0))-SUMPRODUCT(--(calc!$L$3:$L$306=TRUE),--(ROW(calc!$L$3:$L$306)&gt;ROW(L126)),--(((calc!$Q$3:$Q$306&gt;Q126)*(calc!$R$3:$R$306&lt;R126)+(calc!$Q$3:$Q$306&lt;Q126)*(calc!$R$3:$R$306&gt;R126))&gt;0)),0)</f>
        <v/>
      </c>
      <c r="T126" s="5">
        <f>IF(mos_metrics!H125="","",mos_metrics!H125)</f>
        <v/>
      </c>
      <c r="U126" s="2">
        <f>AND($J126,ISNUMBER(T126),correlation!$I$27=1)</f>
        <v/>
      </c>
      <c r="V126" s="5">
        <f>IF(U126,$F126,"")</f>
        <v/>
      </c>
      <c r="W126" s="5">
        <f>IF(U126,T126*correlation!$J$27,"")</f>
        <v/>
      </c>
      <c r="X126" s="5">
        <f>IF(AND(U126,ISNUMBER(correlation!$F$27)),W126*correlation!$F$27+correlation!$G$27,"")</f>
        <v/>
      </c>
      <c r="Y126" s="5">
        <f>IF(AND(U126,ISNUMBER(X126)),(V126-X126)^2,"")</f>
        <v/>
      </c>
      <c r="Z126" s="5">
        <f>IF(U126,1+SUMPRODUCT(--(calc!$U$3:$U$306=TRUE),--(calc!$V$3:$V$306&gt;V126))+(SUMPRODUCT(--(calc!$U$3:$U$306=TRUE),--(calc!$V$3:$V$306=V126))-1)/2,"")</f>
        <v/>
      </c>
      <c r="AA126" s="5">
        <f>IF(U126,1+SUMPRODUCT(--(calc!$U$3:$U$306=TRUE),--(calc!$W$3:$W$306&gt;W126))+(SUMPRODUCT(--(calc!$U$3:$U$306=TRUE),--(calc!$W$3:$W$306=W126))-1)/2,"")</f>
        <v/>
      </c>
      <c r="AB126" s="5">
        <f>IF(U126,SUMPRODUCT(--(calc!$U$3:$U$306=TRUE),--(ROW(calc!$U$3:$U$306)&gt;ROW(U126)),--(((calc!$Z$3:$Z$306&gt;Z126)*(calc!$AA$3:$AA$306&gt;AA126)+(calc!$Z$3:$Z$306&lt;Z126)*(calc!$AA$3:$AA$306&lt;AA126))&gt;0))-SUMPRODUCT(--(calc!$U$3:$U$306=TRUE),--(ROW(calc!$U$3:$U$306)&gt;ROW(U126)),--(((calc!$Z$3:$Z$306&gt;Z126)*(calc!$AA$3:$AA$306&lt;AA126)+(calc!$Z$3:$Z$306&lt;Z126)*(calc!$AA$3:$AA$306&gt;AA126))&gt;0)),0)</f>
        <v/>
      </c>
      <c r="AC126" s="5">
        <f>IF(mos_metrics!I125="","",mos_metrics!I125)</f>
        <v/>
      </c>
      <c r="AD126" s="2">
        <f>AND($J126,ISNUMBER(AC126),correlation!$I$28=1)</f>
        <v/>
      </c>
      <c r="AE126" s="5">
        <f>IF(AD126,$F126,"")</f>
        <v/>
      </c>
      <c r="AF126" s="5">
        <f>IF(AD126,AC126*correlation!$J$28,"")</f>
        <v/>
      </c>
      <c r="AG126" s="5">
        <f>IF(AND(AD126,ISNUMBER(correlation!$F$28)),AF126*correlation!$F$28+correlation!$G$28,"")</f>
        <v/>
      </c>
      <c r="AH126" s="5">
        <f>IF(AND(AD126,ISNUMBER(AG126)),(AE126-AG126)^2,"")</f>
        <v/>
      </c>
      <c r="AI126" s="5">
        <f>IF(AD126,1+SUMPRODUCT(--(calc!$AD$3:$AD$306=TRUE),--(calc!$AE$3:$AE$306&gt;AE126))+(SUMPRODUCT(--(calc!$AD$3:$AD$306=TRUE),--(calc!$AE$3:$AE$306=AE126))-1)/2,"")</f>
        <v/>
      </c>
      <c r="AJ126" s="5">
        <f>IF(AD126,1+SUMPRODUCT(--(calc!$AD$3:$AD$306=TRUE),--(calc!$AF$3:$AF$306&gt;AF126))+(SUMPRODUCT(--(calc!$AD$3:$AD$306=TRUE),--(calc!$AF$3:$AF$306=AF126))-1)/2,"")</f>
        <v/>
      </c>
      <c r="AK126" s="5">
        <f>IF(AD126,SUMPRODUCT(--(calc!$AD$3:$AD$306=TRUE),--(ROW(calc!$AD$3:$AD$306)&gt;ROW(AD126)),--(((calc!$AI$3:$AI$306&gt;AI126)*(calc!$AJ$3:$AJ$306&gt;AJ126)+(calc!$AI$3:$AI$306&lt;AI126)*(calc!$AJ$3:$AJ$306&lt;AJ126))&gt;0))-SUMPRODUCT(--(calc!$AD$3:$AD$306=TRUE),--(ROW(calc!$AD$3:$AD$306)&gt;ROW(AD126)),--(((calc!$AI$3:$AI$306&gt;AI126)*(calc!$AJ$3:$AJ$306&lt;AJ126)+(calc!$AI$3:$AI$306&lt;AI126)*(calc!$AJ$3:$AJ$306&gt;AJ126))&gt;0)),0)</f>
        <v/>
      </c>
      <c r="AL126" s="5">
        <f>IF(mos_metrics!J125="","",mos_metrics!J125)</f>
        <v/>
      </c>
      <c r="AM126" s="2">
        <f>AND($J126,ISNUMBER(AL126),correlation!$I$29=1)</f>
        <v/>
      </c>
      <c r="AN126" s="5">
        <f>IF(AM126,$F126,"")</f>
        <v/>
      </c>
      <c r="AO126" s="5">
        <f>IF(AM126,AL126*correlation!$J$29,"")</f>
        <v/>
      </c>
      <c r="AP126" s="5">
        <f>IF(AND(AM126,ISNUMBER(correlation!$F$29)),AO126*correlation!$F$29+correlation!$G$29,"")</f>
        <v/>
      </c>
      <c r="AQ126" s="5">
        <f>IF(AND(AM126,ISNUMBER(AP126)),(AN126-AP126)^2,"")</f>
        <v/>
      </c>
      <c r="AR126" s="5">
        <f>IF(AM126,1+SUMPRODUCT(--(calc!$AM$3:$AM$306=TRUE),--(calc!$AN$3:$AN$306&gt;AN126))+(SUMPRODUCT(--(calc!$AM$3:$AM$306=TRUE),--(calc!$AN$3:$AN$306=AN126))-1)/2,"")</f>
        <v/>
      </c>
      <c r="AS126" s="5">
        <f>IF(AM126,1+SUMPRODUCT(--(calc!$AM$3:$AM$306=TRUE),--(calc!$AO$3:$AO$306&gt;AO126))+(SUMPRODUCT(--(calc!$AM$3:$AM$306=TRUE),--(calc!$AO$3:$AO$306=AO126))-1)/2,"")</f>
        <v/>
      </c>
      <c r="AT126" s="5">
        <f>IF(AM126,SUMPRODUCT(--(calc!$AM$3:$AM$306=TRUE),--(ROW(calc!$AM$3:$AM$306)&gt;ROW(AM126)),--(((calc!$AR$3:$AR$306&gt;AR126)*(calc!$AS$3:$AS$306&gt;AS126)+(calc!$AR$3:$AR$306&lt;AR126)*(calc!$AS$3:$AS$306&lt;AS126))&gt;0))-SUMPRODUCT(--(calc!$AM$3:$AM$306=TRUE),--(ROW(calc!$AM$3:$AM$306)&gt;ROW(AM126)),--(((calc!$AR$3:$AR$306&gt;AR126)*(calc!$AS$3:$AS$306&lt;AS126)+(calc!$AR$3:$AR$306&lt;AR126)*(calc!$AS$3:$AS$306&gt;AS126))&gt;0)),0)</f>
        <v/>
      </c>
      <c r="AU126" s="5">
        <f>IF(mos_metrics!K125="","",mos_metrics!K125)</f>
        <v/>
      </c>
      <c r="AV126" s="2">
        <f>AND($J126,ISNUMBER(AU126),correlation!$I$30=1)</f>
        <v/>
      </c>
      <c r="AW126" s="5">
        <f>IF(AV126,$F126,"")</f>
        <v/>
      </c>
      <c r="AX126" s="5">
        <f>IF(AV126,AU126*correlation!$J$30,"")</f>
        <v/>
      </c>
      <c r="AY126" s="5">
        <f>IF(AND(AV126,ISNUMBER(correlation!$F$30)),AX126*correlation!$F$30+correlation!$G$30,"")</f>
        <v/>
      </c>
      <c r="AZ126" s="5">
        <f>IF(AND(AV126,ISNUMBER(AY126)),(AW126-AY126)^2,"")</f>
        <v/>
      </c>
      <c r="BA126" s="5">
        <f>IF(AV126,1+SUMPRODUCT(--(calc!$AV$3:$AV$306=TRUE),--(calc!$AW$3:$AW$306&gt;AW126))+(SUMPRODUCT(--(calc!$AV$3:$AV$306=TRUE),--(calc!$AW$3:$AW$306=AW126))-1)/2,"")</f>
        <v/>
      </c>
      <c r="BB126" s="5">
        <f>IF(AV126,1+SUMPRODUCT(--(calc!$AV$3:$AV$306=TRUE),--(calc!$AX$3:$AX$306&gt;AX126))+(SUMPRODUCT(--(calc!$AV$3:$AV$306=TRUE),--(calc!$AX$3:$AX$306=AX126))-1)/2,"")</f>
        <v/>
      </c>
      <c r="BC126" s="5">
        <f>IF(AV126,SUMPRODUCT(--(calc!$AV$3:$AV$306=TRUE),--(ROW(calc!$AV$3:$AV$306)&gt;ROW(AV126)),--(((calc!$BA$3:$BA$306&gt;BA126)*(calc!$BB$3:$BB$306&gt;BB126)+(calc!$BA$3:$BA$306&lt;BA126)*(calc!$BB$3:$BB$306&lt;BB126))&gt;0))-SUMPRODUCT(--(calc!$AV$3:$AV$306=TRUE),--(ROW(calc!$AV$3:$AV$306)&gt;ROW(AV126)),--(((calc!$BA$3:$BA$306&gt;BA126)*(calc!$BB$3:$BB$306&lt;BB126)+(calc!$BA$3:$BA$306&lt;BA126)*(calc!$BB$3:$BB$306&gt;BB126))&gt;0)),0)</f>
        <v/>
      </c>
      <c r="BD126" s="5">
        <f>IF(mos_metrics!L125="","",mos_metrics!L125)</f>
        <v/>
      </c>
      <c r="BE126" s="2">
        <f>AND($J126,ISNUMBER(BD126),correlation!$I$31=1)</f>
        <v/>
      </c>
      <c r="BF126" s="5">
        <f>IF(BE126,$F126,"")</f>
        <v/>
      </c>
      <c r="BG126" s="5">
        <f>IF(BE126,BD126*correlation!$J$31,"")</f>
        <v/>
      </c>
      <c r="BH126" s="5">
        <f>IF(AND(BE126,ISNUMBER(correlation!$F$31)),BG126*correlation!$F$31+correlation!$G$31,"")</f>
        <v/>
      </c>
      <c r="BI126" s="5">
        <f>IF(AND(BE126,ISNUMBER(BH126)),(BF126-BH126)^2,"")</f>
        <v/>
      </c>
      <c r="BJ126" s="5">
        <f>IF(BE126,1+SUMPRODUCT(--(calc!$BE$3:$BE$306=TRUE),--(calc!$BF$3:$BF$306&gt;BF126))+(SUMPRODUCT(--(calc!$BE$3:$BE$306=TRUE),--(calc!$BF$3:$BF$306=BF126))-1)/2,"")</f>
        <v/>
      </c>
      <c r="BK126" s="5">
        <f>IF(BE126,1+SUMPRODUCT(--(calc!$BE$3:$BE$306=TRUE),--(calc!$BG$3:$BG$306&gt;BG126))+(SUMPRODUCT(--(calc!$BE$3:$BE$306=TRUE),--(calc!$BG$3:$BG$306=BG126))-1)/2,"")</f>
        <v/>
      </c>
      <c r="BL126" s="5">
        <f>IF(BE126,SUMPRODUCT(--(calc!$BE$3:$BE$306=TRUE),--(ROW(calc!$BE$3:$BE$306)&gt;ROW(BE126)),--(((calc!$BJ$3:$BJ$306&gt;BJ126)*(calc!$BK$3:$BK$306&gt;BK126)+(calc!$BJ$3:$BJ$306&lt;BJ126)*(calc!$BK$3:$BK$306&lt;BK126))&gt;0))-SUMPRODUCT(--(calc!$BE$3:$BE$306=TRUE),--(ROW(calc!$BE$3:$BE$306)&gt;ROW(BE126)),--(((calc!$BJ$3:$BJ$306&gt;BJ126)*(calc!$BK$3:$BK$306&lt;BK126)+(calc!$BJ$3:$BJ$306&lt;BJ126)*(calc!$BK$3:$BK$306&gt;BK126))&gt;0)),0)</f>
        <v/>
      </c>
      <c r="BM126" s="5">
        <f>IF(mos_metrics!M125="","",mos_metrics!M125)</f>
        <v/>
      </c>
      <c r="BN126" s="2">
        <f>AND($J126,ISNUMBER(BM126),correlation!$I$32=1)</f>
        <v/>
      </c>
      <c r="BO126" s="5">
        <f>IF(BN126,$F126,"")</f>
        <v/>
      </c>
      <c r="BP126" s="5">
        <f>IF(BN126,BM126*correlation!$J$32,"")</f>
        <v/>
      </c>
      <c r="BQ126" s="5">
        <f>IF(AND(BN126,ISNUMBER(correlation!$F$32)),BP126*correlation!$F$32+correlation!$G$32,"")</f>
        <v/>
      </c>
      <c r="BR126" s="5">
        <f>IF(AND(BN126,ISNUMBER(BQ126)),(BO126-BQ126)^2,"")</f>
        <v/>
      </c>
      <c r="BS126" s="5">
        <f>IF(BN126,1+SUMPRODUCT(--(calc!$BN$3:$BN$306=TRUE),--(calc!$BO$3:$BO$306&gt;BO126))+(SUMPRODUCT(--(calc!$BN$3:$BN$306=TRUE),--(calc!$BO$3:$BO$306=BO126))-1)/2,"")</f>
        <v/>
      </c>
      <c r="BT126" s="5">
        <f>IF(BN126,1+SUMPRODUCT(--(calc!$BN$3:$BN$306=TRUE),--(calc!$BP$3:$BP$306&gt;BP126))+(SUMPRODUCT(--(calc!$BN$3:$BN$306=TRUE),--(calc!$BP$3:$BP$306=BP126))-1)/2,"")</f>
        <v/>
      </c>
      <c r="BU126" s="5">
        <f>IF(BN126,SUMPRODUCT(--(calc!$BN$3:$BN$306=TRUE),--(ROW(calc!$BN$3:$BN$306)&gt;ROW(BN126)),--(((calc!$BS$3:$BS$306&gt;BS126)*(calc!$BT$3:$BT$306&gt;BT126)+(calc!$BS$3:$BS$306&lt;BS126)*(calc!$BT$3:$BT$306&lt;BT126))&gt;0))-SUMPRODUCT(--(calc!$BN$3:$BN$306=TRUE),--(ROW(calc!$BN$3:$BN$306)&gt;ROW(BN126)),--(((calc!$BS$3:$BS$306&gt;BS126)*(calc!$BT$3:$BT$306&lt;BT126)+(calc!$BS$3:$BS$306&lt;BS126)*(calc!$BT$3:$BT$306&gt;BT126))&gt;0)),0)</f>
        <v/>
      </c>
    </row>
    <row r="127">
      <c r="A127" s="2">
        <f>mos_metrics!A126</f>
        <v/>
      </c>
      <c r="B127" s="2">
        <f>mos_metrics!B126</f>
        <v/>
      </c>
      <c r="C127" s="2">
        <f>mos_metrics!C126</f>
        <v/>
      </c>
      <c r="D127" s="2">
        <f>mos_metrics!D126</f>
        <v/>
      </c>
      <c r="E127" s="2">
        <f>mos_metrics!E126</f>
        <v/>
      </c>
      <c r="F127" s="2">
        <f>mos_metrics!F126</f>
        <v/>
      </c>
      <c r="G127" s="2">
        <f>IF($B127="","",IFERROR(VLOOKUP($B127,correlation!$A$2:$B$16,2,FALSE),1))</f>
        <v/>
      </c>
      <c r="H127" s="2">
        <f>IF($E127="","",IFERROR(VLOOKUP($E127,correlation!$D$2:$E$8,2,FALSE),1))</f>
        <v/>
      </c>
      <c r="I127" s="2">
        <f>ISNUMBER($F127)</f>
        <v/>
      </c>
      <c r="J127" s="2">
        <f>AND($G127=1,$H127=1,$I127)</f>
        <v/>
      </c>
      <c r="K127" s="5">
        <f>IF(mos_metrics!G126="","",mos_metrics!G126)</f>
        <v/>
      </c>
      <c r="L127" s="2">
        <f>AND($J127,ISNUMBER(K127),correlation!$I$26=1)</f>
        <v/>
      </c>
      <c r="M127" s="5">
        <f>IF(L127,$F127,"")</f>
        <v/>
      </c>
      <c r="N127" s="5">
        <f>IF(L127,K127*correlation!$J$26,"")</f>
        <v/>
      </c>
      <c r="O127" s="5">
        <f>IF(AND(L127,ISNUMBER(correlation!$F$26)),N127*correlation!$F$26+correlation!$G$26,"")</f>
        <v/>
      </c>
      <c r="P127" s="5">
        <f>IF(AND(L127,ISNUMBER(O127)),(M127-O127)^2,"")</f>
        <v/>
      </c>
      <c r="Q127" s="5">
        <f>IF(L127,1+SUMPRODUCT(--(calc!$L$3:$L$306=TRUE),--(calc!$M$3:$M$306&gt;M127))+(SUMPRODUCT(--(calc!$L$3:$L$306=TRUE),--(calc!$M$3:$M$306=M127))-1)/2,"")</f>
        <v/>
      </c>
      <c r="R127" s="5">
        <f>IF(L127,1+SUMPRODUCT(--(calc!$L$3:$L$306=TRUE),--(calc!$N$3:$N$306&gt;N127))+(SUMPRODUCT(--(calc!$L$3:$L$306=TRUE),--(calc!$N$3:$N$306=N127))-1)/2,"")</f>
        <v/>
      </c>
      <c r="S127" s="5">
        <f>IF(L127,SUMPRODUCT(--(calc!$L$3:$L$306=TRUE),--(ROW(calc!$L$3:$L$306)&gt;ROW(L127)),--(((calc!$Q$3:$Q$306&gt;Q127)*(calc!$R$3:$R$306&gt;R127)+(calc!$Q$3:$Q$306&lt;Q127)*(calc!$R$3:$R$306&lt;R127))&gt;0))-SUMPRODUCT(--(calc!$L$3:$L$306=TRUE),--(ROW(calc!$L$3:$L$306)&gt;ROW(L127)),--(((calc!$Q$3:$Q$306&gt;Q127)*(calc!$R$3:$R$306&lt;R127)+(calc!$Q$3:$Q$306&lt;Q127)*(calc!$R$3:$R$306&gt;R127))&gt;0)),0)</f>
        <v/>
      </c>
      <c r="T127" s="5">
        <f>IF(mos_metrics!H126="","",mos_metrics!H126)</f>
        <v/>
      </c>
      <c r="U127" s="2">
        <f>AND($J127,ISNUMBER(T127),correlation!$I$27=1)</f>
        <v/>
      </c>
      <c r="V127" s="5">
        <f>IF(U127,$F127,"")</f>
        <v/>
      </c>
      <c r="W127" s="5">
        <f>IF(U127,T127*correlation!$J$27,"")</f>
        <v/>
      </c>
      <c r="X127" s="5">
        <f>IF(AND(U127,ISNUMBER(correlation!$F$27)),W127*correlation!$F$27+correlation!$G$27,"")</f>
        <v/>
      </c>
      <c r="Y127" s="5">
        <f>IF(AND(U127,ISNUMBER(X127)),(V127-X127)^2,"")</f>
        <v/>
      </c>
      <c r="Z127" s="5">
        <f>IF(U127,1+SUMPRODUCT(--(calc!$U$3:$U$306=TRUE),--(calc!$V$3:$V$306&gt;V127))+(SUMPRODUCT(--(calc!$U$3:$U$306=TRUE),--(calc!$V$3:$V$306=V127))-1)/2,"")</f>
        <v/>
      </c>
      <c r="AA127" s="5">
        <f>IF(U127,1+SUMPRODUCT(--(calc!$U$3:$U$306=TRUE),--(calc!$W$3:$W$306&gt;W127))+(SUMPRODUCT(--(calc!$U$3:$U$306=TRUE),--(calc!$W$3:$W$306=W127))-1)/2,"")</f>
        <v/>
      </c>
      <c r="AB127" s="5">
        <f>IF(U127,SUMPRODUCT(--(calc!$U$3:$U$306=TRUE),--(ROW(calc!$U$3:$U$306)&gt;ROW(U127)),--(((calc!$Z$3:$Z$306&gt;Z127)*(calc!$AA$3:$AA$306&gt;AA127)+(calc!$Z$3:$Z$306&lt;Z127)*(calc!$AA$3:$AA$306&lt;AA127))&gt;0))-SUMPRODUCT(--(calc!$U$3:$U$306=TRUE),--(ROW(calc!$U$3:$U$306)&gt;ROW(U127)),--(((calc!$Z$3:$Z$306&gt;Z127)*(calc!$AA$3:$AA$306&lt;AA127)+(calc!$Z$3:$Z$306&lt;Z127)*(calc!$AA$3:$AA$306&gt;AA127))&gt;0)),0)</f>
        <v/>
      </c>
      <c r="AC127" s="5">
        <f>IF(mos_metrics!I126="","",mos_metrics!I126)</f>
        <v/>
      </c>
      <c r="AD127" s="2">
        <f>AND($J127,ISNUMBER(AC127),correlation!$I$28=1)</f>
        <v/>
      </c>
      <c r="AE127" s="5">
        <f>IF(AD127,$F127,"")</f>
        <v/>
      </c>
      <c r="AF127" s="5">
        <f>IF(AD127,AC127*correlation!$J$28,"")</f>
        <v/>
      </c>
      <c r="AG127" s="5">
        <f>IF(AND(AD127,ISNUMBER(correlation!$F$28)),AF127*correlation!$F$28+correlation!$G$28,"")</f>
        <v/>
      </c>
      <c r="AH127" s="5">
        <f>IF(AND(AD127,ISNUMBER(AG127)),(AE127-AG127)^2,"")</f>
        <v/>
      </c>
      <c r="AI127" s="5">
        <f>IF(AD127,1+SUMPRODUCT(--(calc!$AD$3:$AD$306=TRUE),--(calc!$AE$3:$AE$306&gt;AE127))+(SUMPRODUCT(--(calc!$AD$3:$AD$306=TRUE),--(calc!$AE$3:$AE$306=AE127))-1)/2,"")</f>
        <v/>
      </c>
      <c r="AJ127" s="5">
        <f>IF(AD127,1+SUMPRODUCT(--(calc!$AD$3:$AD$306=TRUE),--(calc!$AF$3:$AF$306&gt;AF127))+(SUMPRODUCT(--(calc!$AD$3:$AD$306=TRUE),--(calc!$AF$3:$AF$306=AF127))-1)/2,"")</f>
        <v/>
      </c>
      <c r="AK127" s="5">
        <f>IF(AD127,SUMPRODUCT(--(calc!$AD$3:$AD$306=TRUE),--(ROW(calc!$AD$3:$AD$306)&gt;ROW(AD127)),--(((calc!$AI$3:$AI$306&gt;AI127)*(calc!$AJ$3:$AJ$306&gt;AJ127)+(calc!$AI$3:$AI$306&lt;AI127)*(calc!$AJ$3:$AJ$306&lt;AJ127))&gt;0))-SUMPRODUCT(--(calc!$AD$3:$AD$306=TRUE),--(ROW(calc!$AD$3:$AD$306)&gt;ROW(AD127)),--(((calc!$AI$3:$AI$306&gt;AI127)*(calc!$AJ$3:$AJ$306&lt;AJ127)+(calc!$AI$3:$AI$306&lt;AI127)*(calc!$AJ$3:$AJ$306&gt;AJ127))&gt;0)),0)</f>
        <v/>
      </c>
      <c r="AL127" s="5">
        <f>IF(mos_metrics!J126="","",mos_metrics!J126)</f>
        <v/>
      </c>
      <c r="AM127" s="2">
        <f>AND($J127,ISNUMBER(AL127),correlation!$I$29=1)</f>
        <v/>
      </c>
      <c r="AN127" s="5">
        <f>IF(AM127,$F127,"")</f>
        <v/>
      </c>
      <c r="AO127" s="5">
        <f>IF(AM127,AL127*correlation!$J$29,"")</f>
        <v/>
      </c>
      <c r="AP127" s="5">
        <f>IF(AND(AM127,ISNUMBER(correlation!$F$29)),AO127*correlation!$F$29+correlation!$G$29,"")</f>
        <v/>
      </c>
      <c r="AQ127" s="5">
        <f>IF(AND(AM127,ISNUMBER(AP127)),(AN127-AP127)^2,"")</f>
        <v/>
      </c>
      <c r="AR127" s="5">
        <f>IF(AM127,1+SUMPRODUCT(--(calc!$AM$3:$AM$306=TRUE),--(calc!$AN$3:$AN$306&gt;AN127))+(SUMPRODUCT(--(calc!$AM$3:$AM$306=TRUE),--(calc!$AN$3:$AN$306=AN127))-1)/2,"")</f>
        <v/>
      </c>
      <c r="AS127" s="5">
        <f>IF(AM127,1+SUMPRODUCT(--(calc!$AM$3:$AM$306=TRUE),--(calc!$AO$3:$AO$306&gt;AO127))+(SUMPRODUCT(--(calc!$AM$3:$AM$306=TRUE),--(calc!$AO$3:$AO$306=AO127))-1)/2,"")</f>
        <v/>
      </c>
      <c r="AT127" s="5">
        <f>IF(AM127,SUMPRODUCT(--(calc!$AM$3:$AM$306=TRUE),--(ROW(calc!$AM$3:$AM$306)&gt;ROW(AM127)),--(((calc!$AR$3:$AR$306&gt;AR127)*(calc!$AS$3:$AS$306&gt;AS127)+(calc!$AR$3:$AR$306&lt;AR127)*(calc!$AS$3:$AS$306&lt;AS127))&gt;0))-SUMPRODUCT(--(calc!$AM$3:$AM$306=TRUE),--(ROW(calc!$AM$3:$AM$306)&gt;ROW(AM127)),--(((calc!$AR$3:$AR$306&gt;AR127)*(calc!$AS$3:$AS$306&lt;AS127)+(calc!$AR$3:$AR$306&lt;AR127)*(calc!$AS$3:$AS$306&gt;AS127))&gt;0)),0)</f>
        <v/>
      </c>
      <c r="AU127" s="5">
        <f>IF(mos_metrics!K126="","",mos_metrics!K126)</f>
        <v/>
      </c>
      <c r="AV127" s="2">
        <f>AND($J127,ISNUMBER(AU127),correlation!$I$30=1)</f>
        <v/>
      </c>
      <c r="AW127" s="5">
        <f>IF(AV127,$F127,"")</f>
        <v/>
      </c>
      <c r="AX127" s="5">
        <f>IF(AV127,AU127*correlation!$J$30,"")</f>
        <v/>
      </c>
      <c r="AY127" s="5">
        <f>IF(AND(AV127,ISNUMBER(correlation!$F$30)),AX127*correlation!$F$30+correlation!$G$30,"")</f>
        <v/>
      </c>
      <c r="AZ127" s="5">
        <f>IF(AND(AV127,ISNUMBER(AY127)),(AW127-AY127)^2,"")</f>
        <v/>
      </c>
      <c r="BA127" s="5">
        <f>IF(AV127,1+SUMPRODUCT(--(calc!$AV$3:$AV$306=TRUE),--(calc!$AW$3:$AW$306&gt;AW127))+(SUMPRODUCT(--(calc!$AV$3:$AV$306=TRUE),--(calc!$AW$3:$AW$306=AW127))-1)/2,"")</f>
        <v/>
      </c>
      <c r="BB127" s="5">
        <f>IF(AV127,1+SUMPRODUCT(--(calc!$AV$3:$AV$306=TRUE),--(calc!$AX$3:$AX$306&gt;AX127))+(SUMPRODUCT(--(calc!$AV$3:$AV$306=TRUE),--(calc!$AX$3:$AX$306=AX127))-1)/2,"")</f>
        <v/>
      </c>
      <c r="BC127" s="5">
        <f>IF(AV127,SUMPRODUCT(--(calc!$AV$3:$AV$306=TRUE),--(ROW(calc!$AV$3:$AV$306)&gt;ROW(AV127)),--(((calc!$BA$3:$BA$306&gt;BA127)*(calc!$BB$3:$BB$306&gt;BB127)+(calc!$BA$3:$BA$306&lt;BA127)*(calc!$BB$3:$BB$306&lt;BB127))&gt;0))-SUMPRODUCT(--(calc!$AV$3:$AV$306=TRUE),--(ROW(calc!$AV$3:$AV$306)&gt;ROW(AV127)),--(((calc!$BA$3:$BA$306&gt;BA127)*(calc!$BB$3:$BB$306&lt;BB127)+(calc!$BA$3:$BA$306&lt;BA127)*(calc!$BB$3:$BB$306&gt;BB127))&gt;0)),0)</f>
        <v/>
      </c>
      <c r="BD127" s="5">
        <f>IF(mos_metrics!L126="","",mos_metrics!L126)</f>
        <v/>
      </c>
      <c r="BE127" s="2">
        <f>AND($J127,ISNUMBER(BD127),correlation!$I$31=1)</f>
        <v/>
      </c>
      <c r="BF127" s="5">
        <f>IF(BE127,$F127,"")</f>
        <v/>
      </c>
      <c r="BG127" s="5">
        <f>IF(BE127,BD127*correlation!$J$31,"")</f>
        <v/>
      </c>
      <c r="BH127" s="5">
        <f>IF(AND(BE127,ISNUMBER(correlation!$F$31)),BG127*correlation!$F$31+correlation!$G$31,"")</f>
        <v/>
      </c>
      <c r="BI127" s="5">
        <f>IF(AND(BE127,ISNUMBER(BH127)),(BF127-BH127)^2,"")</f>
        <v/>
      </c>
      <c r="BJ127" s="5">
        <f>IF(BE127,1+SUMPRODUCT(--(calc!$BE$3:$BE$306=TRUE),--(calc!$BF$3:$BF$306&gt;BF127))+(SUMPRODUCT(--(calc!$BE$3:$BE$306=TRUE),--(calc!$BF$3:$BF$306=BF127))-1)/2,"")</f>
        <v/>
      </c>
      <c r="BK127" s="5">
        <f>IF(BE127,1+SUMPRODUCT(--(calc!$BE$3:$BE$306=TRUE),--(calc!$BG$3:$BG$306&gt;BG127))+(SUMPRODUCT(--(calc!$BE$3:$BE$306=TRUE),--(calc!$BG$3:$BG$306=BG127))-1)/2,"")</f>
        <v/>
      </c>
      <c r="BL127" s="5">
        <f>IF(BE127,SUMPRODUCT(--(calc!$BE$3:$BE$306=TRUE),--(ROW(calc!$BE$3:$BE$306)&gt;ROW(BE127)),--(((calc!$BJ$3:$BJ$306&gt;BJ127)*(calc!$BK$3:$BK$306&gt;BK127)+(calc!$BJ$3:$BJ$306&lt;BJ127)*(calc!$BK$3:$BK$306&lt;BK127))&gt;0))-SUMPRODUCT(--(calc!$BE$3:$BE$306=TRUE),--(ROW(calc!$BE$3:$BE$306)&gt;ROW(BE127)),--(((calc!$BJ$3:$BJ$306&gt;BJ127)*(calc!$BK$3:$BK$306&lt;BK127)+(calc!$BJ$3:$BJ$306&lt;BJ127)*(calc!$BK$3:$BK$306&gt;BK127))&gt;0)),0)</f>
        <v/>
      </c>
      <c r="BM127" s="5">
        <f>IF(mos_metrics!M126="","",mos_metrics!M126)</f>
        <v/>
      </c>
      <c r="BN127" s="2">
        <f>AND($J127,ISNUMBER(BM127),correlation!$I$32=1)</f>
        <v/>
      </c>
      <c r="BO127" s="5">
        <f>IF(BN127,$F127,"")</f>
        <v/>
      </c>
      <c r="BP127" s="5">
        <f>IF(BN127,BM127*correlation!$J$32,"")</f>
        <v/>
      </c>
      <c r="BQ127" s="5">
        <f>IF(AND(BN127,ISNUMBER(correlation!$F$32)),BP127*correlation!$F$32+correlation!$G$32,"")</f>
        <v/>
      </c>
      <c r="BR127" s="5">
        <f>IF(AND(BN127,ISNUMBER(BQ127)),(BO127-BQ127)^2,"")</f>
        <v/>
      </c>
      <c r="BS127" s="5">
        <f>IF(BN127,1+SUMPRODUCT(--(calc!$BN$3:$BN$306=TRUE),--(calc!$BO$3:$BO$306&gt;BO127))+(SUMPRODUCT(--(calc!$BN$3:$BN$306=TRUE),--(calc!$BO$3:$BO$306=BO127))-1)/2,"")</f>
        <v/>
      </c>
      <c r="BT127" s="5">
        <f>IF(BN127,1+SUMPRODUCT(--(calc!$BN$3:$BN$306=TRUE),--(calc!$BP$3:$BP$306&gt;BP127))+(SUMPRODUCT(--(calc!$BN$3:$BN$306=TRUE),--(calc!$BP$3:$BP$306=BP127))-1)/2,"")</f>
        <v/>
      </c>
      <c r="BU127" s="5">
        <f>IF(BN127,SUMPRODUCT(--(calc!$BN$3:$BN$306=TRUE),--(ROW(calc!$BN$3:$BN$306)&gt;ROW(BN127)),--(((calc!$BS$3:$BS$306&gt;BS127)*(calc!$BT$3:$BT$306&gt;BT127)+(calc!$BS$3:$BS$306&lt;BS127)*(calc!$BT$3:$BT$306&lt;BT127))&gt;0))-SUMPRODUCT(--(calc!$BN$3:$BN$306=TRUE),--(ROW(calc!$BN$3:$BN$306)&gt;ROW(BN127)),--(((calc!$BS$3:$BS$306&gt;BS127)*(calc!$BT$3:$BT$306&lt;BT127)+(calc!$BS$3:$BS$306&lt;BS127)*(calc!$BT$3:$BT$306&gt;BT127))&gt;0)),0)</f>
        <v/>
      </c>
    </row>
    <row r="128">
      <c r="A128" s="2">
        <f>mos_metrics!A127</f>
        <v/>
      </c>
      <c r="B128" s="2">
        <f>mos_metrics!B127</f>
        <v/>
      </c>
      <c r="C128" s="2">
        <f>mos_metrics!C127</f>
        <v/>
      </c>
      <c r="D128" s="2">
        <f>mos_metrics!D127</f>
        <v/>
      </c>
      <c r="E128" s="2">
        <f>mos_metrics!E127</f>
        <v/>
      </c>
      <c r="F128" s="2">
        <f>mos_metrics!F127</f>
        <v/>
      </c>
      <c r="G128" s="2">
        <f>IF($B128="","",IFERROR(VLOOKUP($B128,correlation!$A$2:$B$16,2,FALSE),1))</f>
        <v/>
      </c>
      <c r="H128" s="2">
        <f>IF($E128="","",IFERROR(VLOOKUP($E128,correlation!$D$2:$E$8,2,FALSE),1))</f>
        <v/>
      </c>
      <c r="I128" s="2">
        <f>ISNUMBER($F128)</f>
        <v/>
      </c>
      <c r="J128" s="2">
        <f>AND($G128=1,$H128=1,$I128)</f>
        <v/>
      </c>
      <c r="K128" s="5">
        <f>IF(mos_metrics!G127="","",mos_metrics!G127)</f>
        <v/>
      </c>
      <c r="L128" s="2">
        <f>AND($J128,ISNUMBER(K128),correlation!$I$26=1)</f>
        <v/>
      </c>
      <c r="M128" s="5">
        <f>IF(L128,$F128,"")</f>
        <v/>
      </c>
      <c r="N128" s="5">
        <f>IF(L128,K128*correlation!$J$26,"")</f>
        <v/>
      </c>
      <c r="O128" s="5">
        <f>IF(AND(L128,ISNUMBER(correlation!$F$26)),N128*correlation!$F$26+correlation!$G$26,"")</f>
        <v/>
      </c>
      <c r="P128" s="5">
        <f>IF(AND(L128,ISNUMBER(O128)),(M128-O128)^2,"")</f>
        <v/>
      </c>
      <c r="Q128" s="5">
        <f>IF(L128,1+SUMPRODUCT(--(calc!$L$3:$L$306=TRUE),--(calc!$M$3:$M$306&gt;M128))+(SUMPRODUCT(--(calc!$L$3:$L$306=TRUE),--(calc!$M$3:$M$306=M128))-1)/2,"")</f>
        <v/>
      </c>
      <c r="R128" s="5">
        <f>IF(L128,1+SUMPRODUCT(--(calc!$L$3:$L$306=TRUE),--(calc!$N$3:$N$306&gt;N128))+(SUMPRODUCT(--(calc!$L$3:$L$306=TRUE),--(calc!$N$3:$N$306=N128))-1)/2,"")</f>
        <v/>
      </c>
      <c r="S128" s="5">
        <f>IF(L128,SUMPRODUCT(--(calc!$L$3:$L$306=TRUE),--(ROW(calc!$L$3:$L$306)&gt;ROW(L128)),--(((calc!$Q$3:$Q$306&gt;Q128)*(calc!$R$3:$R$306&gt;R128)+(calc!$Q$3:$Q$306&lt;Q128)*(calc!$R$3:$R$306&lt;R128))&gt;0))-SUMPRODUCT(--(calc!$L$3:$L$306=TRUE),--(ROW(calc!$L$3:$L$306)&gt;ROW(L128)),--(((calc!$Q$3:$Q$306&gt;Q128)*(calc!$R$3:$R$306&lt;R128)+(calc!$Q$3:$Q$306&lt;Q128)*(calc!$R$3:$R$306&gt;R128))&gt;0)),0)</f>
        <v/>
      </c>
      <c r="T128" s="5">
        <f>IF(mos_metrics!H127="","",mos_metrics!H127)</f>
        <v/>
      </c>
      <c r="U128" s="2">
        <f>AND($J128,ISNUMBER(T128),correlation!$I$27=1)</f>
        <v/>
      </c>
      <c r="V128" s="5">
        <f>IF(U128,$F128,"")</f>
        <v/>
      </c>
      <c r="W128" s="5">
        <f>IF(U128,T128*correlation!$J$27,"")</f>
        <v/>
      </c>
      <c r="X128" s="5">
        <f>IF(AND(U128,ISNUMBER(correlation!$F$27)),W128*correlation!$F$27+correlation!$G$27,"")</f>
        <v/>
      </c>
      <c r="Y128" s="5">
        <f>IF(AND(U128,ISNUMBER(X128)),(V128-X128)^2,"")</f>
        <v/>
      </c>
      <c r="Z128" s="5">
        <f>IF(U128,1+SUMPRODUCT(--(calc!$U$3:$U$306=TRUE),--(calc!$V$3:$V$306&gt;V128))+(SUMPRODUCT(--(calc!$U$3:$U$306=TRUE),--(calc!$V$3:$V$306=V128))-1)/2,"")</f>
        <v/>
      </c>
      <c r="AA128" s="5">
        <f>IF(U128,1+SUMPRODUCT(--(calc!$U$3:$U$306=TRUE),--(calc!$W$3:$W$306&gt;W128))+(SUMPRODUCT(--(calc!$U$3:$U$306=TRUE),--(calc!$W$3:$W$306=W128))-1)/2,"")</f>
        <v/>
      </c>
      <c r="AB128" s="5">
        <f>IF(U128,SUMPRODUCT(--(calc!$U$3:$U$306=TRUE),--(ROW(calc!$U$3:$U$306)&gt;ROW(U128)),--(((calc!$Z$3:$Z$306&gt;Z128)*(calc!$AA$3:$AA$306&gt;AA128)+(calc!$Z$3:$Z$306&lt;Z128)*(calc!$AA$3:$AA$306&lt;AA128))&gt;0))-SUMPRODUCT(--(calc!$U$3:$U$306=TRUE),--(ROW(calc!$U$3:$U$306)&gt;ROW(U128)),--(((calc!$Z$3:$Z$306&gt;Z128)*(calc!$AA$3:$AA$306&lt;AA128)+(calc!$Z$3:$Z$306&lt;Z128)*(calc!$AA$3:$AA$306&gt;AA128))&gt;0)),0)</f>
        <v/>
      </c>
      <c r="AC128" s="5">
        <f>IF(mos_metrics!I127="","",mos_metrics!I127)</f>
        <v/>
      </c>
      <c r="AD128" s="2">
        <f>AND($J128,ISNUMBER(AC128),correlation!$I$28=1)</f>
        <v/>
      </c>
      <c r="AE128" s="5">
        <f>IF(AD128,$F128,"")</f>
        <v/>
      </c>
      <c r="AF128" s="5">
        <f>IF(AD128,AC128*correlation!$J$28,"")</f>
        <v/>
      </c>
      <c r="AG128" s="5">
        <f>IF(AND(AD128,ISNUMBER(correlation!$F$28)),AF128*correlation!$F$28+correlation!$G$28,"")</f>
        <v/>
      </c>
      <c r="AH128" s="5">
        <f>IF(AND(AD128,ISNUMBER(AG128)),(AE128-AG128)^2,"")</f>
        <v/>
      </c>
      <c r="AI128" s="5">
        <f>IF(AD128,1+SUMPRODUCT(--(calc!$AD$3:$AD$306=TRUE),--(calc!$AE$3:$AE$306&gt;AE128))+(SUMPRODUCT(--(calc!$AD$3:$AD$306=TRUE),--(calc!$AE$3:$AE$306=AE128))-1)/2,"")</f>
        <v/>
      </c>
      <c r="AJ128" s="5">
        <f>IF(AD128,1+SUMPRODUCT(--(calc!$AD$3:$AD$306=TRUE),--(calc!$AF$3:$AF$306&gt;AF128))+(SUMPRODUCT(--(calc!$AD$3:$AD$306=TRUE),--(calc!$AF$3:$AF$306=AF128))-1)/2,"")</f>
        <v/>
      </c>
      <c r="AK128" s="5">
        <f>IF(AD128,SUMPRODUCT(--(calc!$AD$3:$AD$306=TRUE),--(ROW(calc!$AD$3:$AD$306)&gt;ROW(AD128)),--(((calc!$AI$3:$AI$306&gt;AI128)*(calc!$AJ$3:$AJ$306&gt;AJ128)+(calc!$AI$3:$AI$306&lt;AI128)*(calc!$AJ$3:$AJ$306&lt;AJ128))&gt;0))-SUMPRODUCT(--(calc!$AD$3:$AD$306=TRUE),--(ROW(calc!$AD$3:$AD$306)&gt;ROW(AD128)),--(((calc!$AI$3:$AI$306&gt;AI128)*(calc!$AJ$3:$AJ$306&lt;AJ128)+(calc!$AI$3:$AI$306&lt;AI128)*(calc!$AJ$3:$AJ$306&gt;AJ128))&gt;0)),0)</f>
        <v/>
      </c>
      <c r="AL128" s="5">
        <f>IF(mos_metrics!J127="","",mos_metrics!J127)</f>
        <v/>
      </c>
      <c r="AM128" s="2">
        <f>AND($J128,ISNUMBER(AL128),correlation!$I$29=1)</f>
        <v/>
      </c>
      <c r="AN128" s="5">
        <f>IF(AM128,$F128,"")</f>
        <v/>
      </c>
      <c r="AO128" s="5">
        <f>IF(AM128,AL128*correlation!$J$29,"")</f>
        <v/>
      </c>
      <c r="AP128" s="5">
        <f>IF(AND(AM128,ISNUMBER(correlation!$F$29)),AO128*correlation!$F$29+correlation!$G$29,"")</f>
        <v/>
      </c>
      <c r="AQ128" s="5">
        <f>IF(AND(AM128,ISNUMBER(AP128)),(AN128-AP128)^2,"")</f>
        <v/>
      </c>
      <c r="AR128" s="5">
        <f>IF(AM128,1+SUMPRODUCT(--(calc!$AM$3:$AM$306=TRUE),--(calc!$AN$3:$AN$306&gt;AN128))+(SUMPRODUCT(--(calc!$AM$3:$AM$306=TRUE),--(calc!$AN$3:$AN$306=AN128))-1)/2,"")</f>
        <v/>
      </c>
      <c r="AS128" s="5">
        <f>IF(AM128,1+SUMPRODUCT(--(calc!$AM$3:$AM$306=TRUE),--(calc!$AO$3:$AO$306&gt;AO128))+(SUMPRODUCT(--(calc!$AM$3:$AM$306=TRUE),--(calc!$AO$3:$AO$306=AO128))-1)/2,"")</f>
        <v/>
      </c>
      <c r="AT128" s="5">
        <f>IF(AM128,SUMPRODUCT(--(calc!$AM$3:$AM$306=TRUE),--(ROW(calc!$AM$3:$AM$306)&gt;ROW(AM128)),--(((calc!$AR$3:$AR$306&gt;AR128)*(calc!$AS$3:$AS$306&gt;AS128)+(calc!$AR$3:$AR$306&lt;AR128)*(calc!$AS$3:$AS$306&lt;AS128))&gt;0))-SUMPRODUCT(--(calc!$AM$3:$AM$306=TRUE),--(ROW(calc!$AM$3:$AM$306)&gt;ROW(AM128)),--(((calc!$AR$3:$AR$306&gt;AR128)*(calc!$AS$3:$AS$306&lt;AS128)+(calc!$AR$3:$AR$306&lt;AR128)*(calc!$AS$3:$AS$306&gt;AS128))&gt;0)),0)</f>
        <v/>
      </c>
      <c r="AU128" s="5">
        <f>IF(mos_metrics!K127="","",mos_metrics!K127)</f>
        <v/>
      </c>
      <c r="AV128" s="2">
        <f>AND($J128,ISNUMBER(AU128),correlation!$I$30=1)</f>
        <v/>
      </c>
      <c r="AW128" s="5">
        <f>IF(AV128,$F128,"")</f>
        <v/>
      </c>
      <c r="AX128" s="5">
        <f>IF(AV128,AU128*correlation!$J$30,"")</f>
        <v/>
      </c>
      <c r="AY128" s="5">
        <f>IF(AND(AV128,ISNUMBER(correlation!$F$30)),AX128*correlation!$F$30+correlation!$G$30,"")</f>
        <v/>
      </c>
      <c r="AZ128" s="5">
        <f>IF(AND(AV128,ISNUMBER(AY128)),(AW128-AY128)^2,"")</f>
        <v/>
      </c>
      <c r="BA128" s="5">
        <f>IF(AV128,1+SUMPRODUCT(--(calc!$AV$3:$AV$306=TRUE),--(calc!$AW$3:$AW$306&gt;AW128))+(SUMPRODUCT(--(calc!$AV$3:$AV$306=TRUE),--(calc!$AW$3:$AW$306=AW128))-1)/2,"")</f>
        <v/>
      </c>
      <c r="BB128" s="5">
        <f>IF(AV128,1+SUMPRODUCT(--(calc!$AV$3:$AV$306=TRUE),--(calc!$AX$3:$AX$306&gt;AX128))+(SUMPRODUCT(--(calc!$AV$3:$AV$306=TRUE),--(calc!$AX$3:$AX$306=AX128))-1)/2,"")</f>
        <v/>
      </c>
      <c r="BC128" s="5">
        <f>IF(AV128,SUMPRODUCT(--(calc!$AV$3:$AV$306=TRUE),--(ROW(calc!$AV$3:$AV$306)&gt;ROW(AV128)),--(((calc!$BA$3:$BA$306&gt;BA128)*(calc!$BB$3:$BB$306&gt;BB128)+(calc!$BA$3:$BA$306&lt;BA128)*(calc!$BB$3:$BB$306&lt;BB128))&gt;0))-SUMPRODUCT(--(calc!$AV$3:$AV$306=TRUE),--(ROW(calc!$AV$3:$AV$306)&gt;ROW(AV128)),--(((calc!$BA$3:$BA$306&gt;BA128)*(calc!$BB$3:$BB$306&lt;BB128)+(calc!$BA$3:$BA$306&lt;BA128)*(calc!$BB$3:$BB$306&gt;BB128))&gt;0)),0)</f>
        <v/>
      </c>
      <c r="BD128" s="5">
        <f>IF(mos_metrics!L127="","",mos_metrics!L127)</f>
        <v/>
      </c>
      <c r="BE128" s="2">
        <f>AND($J128,ISNUMBER(BD128),correlation!$I$31=1)</f>
        <v/>
      </c>
      <c r="BF128" s="5">
        <f>IF(BE128,$F128,"")</f>
        <v/>
      </c>
      <c r="BG128" s="5">
        <f>IF(BE128,BD128*correlation!$J$31,"")</f>
        <v/>
      </c>
      <c r="BH128" s="5">
        <f>IF(AND(BE128,ISNUMBER(correlation!$F$31)),BG128*correlation!$F$31+correlation!$G$31,"")</f>
        <v/>
      </c>
      <c r="BI128" s="5">
        <f>IF(AND(BE128,ISNUMBER(BH128)),(BF128-BH128)^2,"")</f>
        <v/>
      </c>
      <c r="BJ128" s="5">
        <f>IF(BE128,1+SUMPRODUCT(--(calc!$BE$3:$BE$306=TRUE),--(calc!$BF$3:$BF$306&gt;BF128))+(SUMPRODUCT(--(calc!$BE$3:$BE$306=TRUE),--(calc!$BF$3:$BF$306=BF128))-1)/2,"")</f>
        <v/>
      </c>
      <c r="BK128" s="5">
        <f>IF(BE128,1+SUMPRODUCT(--(calc!$BE$3:$BE$306=TRUE),--(calc!$BG$3:$BG$306&gt;BG128))+(SUMPRODUCT(--(calc!$BE$3:$BE$306=TRUE),--(calc!$BG$3:$BG$306=BG128))-1)/2,"")</f>
        <v/>
      </c>
      <c r="BL128" s="5">
        <f>IF(BE128,SUMPRODUCT(--(calc!$BE$3:$BE$306=TRUE),--(ROW(calc!$BE$3:$BE$306)&gt;ROW(BE128)),--(((calc!$BJ$3:$BJ$306&gt;BJ128)*(calc!$BK$3:$BK$306&gt;BK128)+(calc!$BJ$3:$BJ$306&lt;BJ128)*(calc!$BK$3:$BK$306&lt;BK128))&gt;0))-SUMPRODUCT(--(calc!$BE$3:$BE$306=TRUE),--(ROW(calc!$BE$3:$BE$306)&gt;ROW(BE128)),--(((calc!$BJ$3:$BJ$306&gt;BJ128)*(calc!$BK$3:$BK$306&lt;BK128)+(calc!$BJ$3:$BJ$306&lt;BJ128)*(calc!$BK$3:$BK$306&gt;BK128))&gt;0)),0)</f>
        <v/>
      </c>
      <c r="BM128" s="5">
        <f>IF(mos_metrics!M127="","",mos_metrics!M127)</f>
        <v/>
      </c>
      <c r="BN128" s="2">
        <f>AND($J128,ISNUMBER(BM128),correlation!$I$32=1)</f>
        <v/>
      </c>
      <c r="BO128" s="5">
        <f>IF(BN128,$F128,"")</f>
        <v/>
      </c>
      <c r="BP128" s="5">
        <f>IF(BN128,BM128*correlation!$J$32,"")</f>
        <v/>
      </c>
      <c r="BQ128" s="5">
        <f>IF(AND(BN128,ISNUMBER(correlation!$F$32)),BP128*correlation!$F$32+correlation!$G$32,"")</f>
        <v/>
      </c>
      <c r="BR128" s="5">
        <f>IF(AND(BN128,ISNUMBER(BQ128)),(BO128-BQ128)^2,"")</f>
        <v/>
      </c>
      <c r="BS128" s="5">
        <f>IF(BN128,1+SUMPRODUCT(--(calc!$BN$3:$BN$306=TRUE),--(calc!$BO$3:$BO$306&gt;BO128))+(SUMPRODUCT(--(calc!$BN$3:$BN$306=TRUE),--(calc!$BO$3:$BO$306=BO128))-1)/2,"")</f>
        <v/>
      </c>
      <c r="BT128" s="5">
        <f>IF(BN128,1+SUMPRODUCT(--(calc!$BN$3:$BN$306=TRUE),--(calc!$BP$3:$BP$306&gt;BP128))+(SUMPRODUCT(--(calc!$BN$3:$BN$306=TRUE),--(calc!$BP$3:$BP$306=BP128))-1)/2,"")</f>
        <v/>
      </c>
      <c r="BU128" s="5">
        <f>IF(BN128,SUMPRODUCT(--(calc!$BN$3:$BN$306=TRUE),--(ROW(calc!$BN$3:$BN$306)&gt;ROW(BN128)),--(((calc!$BS$3:$BS$306&gt;BS128)*(calc!$BT$3:$BT$306&gt;BT128)+(calc!$BS$3:$BS$306&lt;BS128)*(calc!$BT$3:$BT$306&lt;BT128))&gt;0))-SUMPRODUCT(--(calc!$BN$3:$BN$306=TRUE),--(ROW(calc!$BN$3:$BN$306)&gt;ROW(BN128)),--(((calc!$BS$3:$BS$306&gt;BS128)*(calc!$BT$3:$BT$306&lt;BT128)+(calc!$BS$3:$BS$306&lt;BS128)*(calc!$BT$3:$BT$306&gt;BT128))&gt;0)),0)</f>
        <v/>
      </c>
    </row>
    <row r="129">
      <c r="A129" s="2">
        <f>mos_metrics!A128</f>
        <v/>
      </c>
      <c r="B129" s="2">
        <f>mos_metrics!B128</f>
        <v/>
      </c>
      <c r="C129" s="2">
        <f>mos_metrics!C128</f>
        <v/>
      </c>
      <c r="D129" s="2">
        <f>mos_metrics!D128</f>
        <v/>
      </c>
      <c r="E129" s="2">
        <f>mos_metrics!E128</f>
        <v/>
      </c>
      <c r="F129" s="2">
        <f>mos_metrics!F128</f>
        <v/>
      </c>
      <c r="G129" s="2">
        <f>IF($B129="","",IFERROR(VLOOKUP($B129,correlation!$A$2:$B$16,2,FALSE),1))</f>
        <v/>
      </c>
      <c r="H129" s="2">
        <f>IF($E129="","",IFERROR(VLOOKUP($E129,correlation!$D$2:$E$8,2,FALSE),1))</f>
        <v/>
      </c>
      <c r="I129" s="2">
        <f>ISNUMBER($F129)</f>
        <v/>
      </c>
      <c r="J129" s="2">
        <f>AND($G129=1,$H129=1,$I129)</f>
        <v/>
      </c>
      <c r="K129" s="5">
        <f>IF(mos_metrics!G128="","",mos_metrics!G128)</f>
        <v/>
      </c>
      <c r="L129" s="2">
        <f>AND($J129,ISNUMBER(K129),correlation!$I$26=1)</f>
        <v/>
      </c>
      <c r="M129" s="5">
        <f>IF(L129,$F129,"")</f>
        <v/>
      </c>
      <c r="N129" s="5">
        <f>IF(L129,K129*correlation!$J$26,"")</f>
        <v/>
      </c>
      <c r="O129" s="5">
        <f>IF(AND(L129,ISNUMBER(correlation!$F$26)),N129*correlation!$F$26+correlation!$G$26,"")</f>
        <v/>
      </c>
      <c r="P129" s="5">
        <f>IF(AND(L129,ISNUMBER(O129)),(M129-O129)^2,"")</f>
        <v/>
      </c>
      <c r="Q129" s="5">
        <f>IF(L129,1+SUMPRODUCT(--(calc!$L$3:$L$306=TRUE),--(calc!$M$3:$M$306&gt;M129))+(SUMPRODUCT(--(calc!$L$3:$L$306=TRUE),--(calc!$M$3:$M$306=M129))-1)/2,"")</f>
        <v/>
      </c>
      <c r="R129" s="5">
        <f>IF(L129,1+SUMPRODUCT(--(calc!$L$3:$L$306=TRUE),--(calc!$N$3:$N$306&gt;N129))+(SUMPRODUCT(--(calc!$L$3:$L$306=TRUE),--(calc!$N$3:$N$306=N129))-1)/2,"")</f>
        <v/>
      </c>
      <c r="S129" s="5">
        <f>IF(L129,SUMPRODUCT(--(calc!$L$3:$L$306=TRUE),--(ROW(calc!$L$3:$L$306)&gt;ROW(L129)),--(((calc!$Q$3:$Q$306&gt;Q129)*(calc!$R$3:$R$306&gt;R129)+(calc!$Q$3:$Q$306&lt;Q129)*(calc!$R$3:$R$306&lt;R129))&gt;0))-SUMPRODUCT(--(calc!$L$3:$L$306=TRUE),--(ROW(calc!$L$3:$L$306)&gt;ROW(L129)),--(((calc!$Q$3:$Q$306&gt;Q129)*(calc!$R$3:$R$306&lt;R129)+(calc!$Q$3:$Q$306&lt;Q129)*(calc!$R$3:$R$306&gt;R129))&gt;0)),0)</f>
        <v/>
      </c>
      <c r="T129" s="5">
        <f>IF(mos_metrics!H128="","",mos_metrics!H128)</f>
        <v/>
      </c>
      <c r="U129" s="2">
        <f>AND($J129,ISNUMBER(T129),correlation!$I$27=1)</f>
        <v/>
      </c>
      <c r="V129" s="5">
        <f>IF(U129,$F129,"")</f>
        <v/>
      </c>
      <c r="W129" s="5">
        <f>IF(U129,T129*correlation!$J$27,"")</f>
        <v/>
      </c>
      <c r="X129" s="5">
        <f>IF(AND(U129,ISNUMBER(correlation!$F$27)),W129*correlation!$F$27+correlation!$G$27,"")</f>
        <v/>
      </c>
      <c r="Y129" s="5">
        <f>IF(AND(U129,ISNUMBER(X129)),(V129-X129)^2,"")</f>
        <v/>
      </c>
      <c r="Z129" s="5">
        <f>IF(U129,1+SUMPRODUCT(--(calc!$U$3:$U$306=TRUE),--(calc!$V$3:$V$306&gt;V129))+(SUMPRODUCT(--(calc!$U$3:$U$306=TRUE),--(calc!$V$3:$V$306=V129))-1)/2,"")</f>
        <v/>
      </c>
      <c r="AA129" s="5">
        <f>IF(U129,1+SUMPRODUCT(--(calc!$U$3:$U$306=TRUE),--(calc!$W$3:$W$306&gt;W129))+(SUMPRODUCT(--(calc!$U$3:$U$306=TRUE),--(calc!$W$3:$W$306=W129))-1)/2,"")</f>
        <v/>
      </c>
      <c r="AB129" s="5">
        <f>IF(U129,SUMPRODUCT(--(calc!$U$3:$U$306=TRUE),--(ROW(calc!$U$3:$U$306)&gt;ROW(U129)),--(((calc!$Z$3:$Z$306&gt;Z129)*(calc!$AA$3:$AA$306&gt;AA129)+(calc!$Z$3:$Z$306&lt;Z129)*(calc!$AA$3:$AA$306&lt;AA129))&gt;0))-SUMPRODUCT(--(calc!$U$3:$U$306=TRUE),--(ROW(calc!$U$3:$U$306)&gt;ROW(U129)),--(((calc!$Z$3:$Z$306&gt;Z129)*(calc!$AA$3:$AA$306&lt;AA129)+(calc!$Z$3:$Z$306&lt;Z129)*(calc!$AA$3:$AA$306&gt;AA129))&gt;0)),0)</f>
        <v/>
      </c>
      <c r="AC129" s="5">
        <f>IF(mos_metrics!I128="","",mos_metrics!I128)</f>
        <v/>
      </c>
      <c r="AD129" s="2">
        <f>AND($J129,ISNUMBER(AC129),correlation!$I$28=1)</f>
        <v/>
      </c>
      <c r="AE129" s="5">
        <f>IF(AD129,$F129,"")</f>
        <v/>
      </c>
      <c r="AF129" s="5">
        <f>IF(AD129,AC129*correlation!$J$28,"")</f>
        <v/>
      </c>
      <c r="AG129" s="5">
        <f>IF(AND(AD129,ISNUMBER(correlation!$F$28)),AF129*correlation!$F$28+correlation!$G$28,"")</f>
        <v/>
      </c>
      <c r="AH129" s="5">
        <f>IF(AND(AD129,ISNUMBER(AG129)),(AE129-AG129)^2,"")</f>
        <v/>
      </c>
      <c r="AI129" s="5">
        <f>IF(AD129,1+SUMPRODUCT(--(calc!$AD$3:$AD$306=TRUE),--(calc!$AE$3:$AE$306&gt;AE129))+(SUMPRODUCT(--(calc!$AD$3:$AD$306=TRUE),--(calc!$AE$3:$AE$306=AE129))-1)/2,"")</f>
        <v/>
      </c>
      <c r="AJ129" s="5">
        <f>IF(AD129,1+SUMPRODUCT(--(calc!$AD$3:$AD$306=TRUE),--(calc!$AF$3:$AF$306&gt;AF129))+(SUMPRODUCT(--(calc!$AD$3:$AD$306=TRUE),--(calc!$AF$3:$AF$306=AF129))-1)/2,"")</f>
        <v/>
      </c>
      <c r="AK129" s="5">
        <f>IF(AD129,SUMPRODUCT(--(calc!$AD$3:$AD$306=TRUE),--(ROW(calc!$AD$3:$AD$306)&gt;ROW(AD129)),--(((calc!$AI$3:$AI$306&gt;AI129)*(calc!$AJ$3:$AJ$306&gt;AJ129)+(calc!$AI$3:$AI$306&lt;AI129)*(calc!$AJ$3:$AJ$306&lt;AJ129))&gt;0))-SUMPRODUCT(--(calc!$AD$3:$AD$306=TRUE),--(ROW(calc!$AD$3:$AD$306)&gt;ROW(AD129)),--(((calc!$AI$3:$AI$306&gt;AI129)*(calc!$AJ$3:$AJ$306&lt;AJ129)+(calc!$AI$3:$AI$306&lt;AI129)*(calc!$AJ$3:$AJ$306&gt;AJ129))&gt;0)),0)</f>
        <v/>
      </c>
      <c r="AL129" s="5">
        <f>IF(mos_metrics!J128="","",mos_metrics!J128)</f>
        <v/>
      </c>
      <c r="AM129" s="2">
        <f>AND($J129,ISNUMBER(AL129),correlation!$I$29=1)</f>
        <v/>
      </c>
      <c r="AN129" s="5">
        <f>IF(AM129,$F129,"")</f>
        <v/>
      </c>
      <c r="AO129" s="5">
        <f>IF(AM129,AL129*correlation!$J$29,"")</f>
        <v/>
      </c>
      <c r="AP129" s="5">
        <f>IF(AND(AM129,ISNUMBER(correlation!$F$29)),AO129*correlation!$F$29+correlation!$G$29,"")</f>
        <v/>
      </c>
      <c r="AQ129" s="5">
        <f>IF(AND(AM129,ISNUMBER(AP129)),(AN129-AP129)^2,"")</f>
        <v/>
      </c>
      <c r="AR129" s="5">
        <f>IF(AM129,1+SUMPRODUCT(--(calc!$AM$3:$AM$306=TRUE),--(calc!$AN$3:$AN$306&gt;AN129))+(SUMPRODUCT(--(calc!$AM$3:$AM$306=TRUE),--(calc!$AN$3:$AN$306=AN129))-1)/2,"")</f>
        <v/>
      </c>
      <c r="AS129" s="5">
        <f>IF(AM129,1+SUMPRODUCT(--(calc!$AM$3:$AM$306=TRUE),--(calc!$AO$3:$AO$306&gt;AO129))+(SUMPRODUCT(--(calc!$AM$3:$AM$306=TRUE),--(calc!$AO$3:$AO$306=AO129))-1)/2,"")</f>
        <v/>
      </c>
      <c r="AT129" s="5">
        <f>IF(AM129,SUMPRODUCT(--(calc!$AM$3:$AM$306=TRUE),--(ROW(calc!$AM$3:$AM$306)&gt;ROW(AM129)),--(((calc!$AR$3:$AR$306&gt;AR129)*(calc!$AS$3:$AS$306&gt;AS129)+(calc!$AR$3:$AR$306&lt;AR129)*(calc!$AS$3:$AS$306&lt;AS129))&gt;0))-SUMPRODUCT(--(calc!$AM$3:$AM$306=TRUE),--(ROW(calc!$AM$3:$AM$306)&gt;ROW(AM129)),--(((calc!$AR$3:$AR$306&gt;AR129)*(calc!$AS$3:$AS$306&lt;AS129)+(calc!$AR$3:$AR$306&lt;AR129)*(calc!$AS$3:$AS$306&gt;AS129))&gt;0)),0)</f>
        <v/>
      </c>
      <c r="AU129" s="5">
        <f>IF(mos_metrics!K128="","",mos_metrics!K128)</f>
        <v/>
      </c>
      <c r="AV129" s="2">
        <f>AND($J129,ISNUMBER(AU129),correlation!$I$30=1)</f>
        <v/>
      </c>
      <c r="AW129" s="5">
        <f>IF(AV129,$F129,"")</f>
        <v/>
      </c>
      <c r="AX129" s="5">
        <f>IF(AV129,AU129*correlation!$J$30,"")</f>
        <v/>
      </c>
      <c r="AY129" s="5">
        <f>IF(AND(AV129,ISNUMBER(correlation!$F$30)),AX129*correlation!$F$30+correlation!$G$30,"")</f>
        <v/>
      </c>
      <c r="AZ129" s="5">
        <f>IF(AND(AV129,ISNUMBER(AY129)),(AW129-AY129)^2,"")</f>
        <v/>
      </c>
      <c r="BA129" s="5">
        <f>IF(AV129,1+SUMPRODUCT(--(calc!$AV$3:$AV$306=TRUE),--(calc!$AW$3:$AW$306&gt;AW129))+(SUMPRODUCT(--(calc!$AV$3:$AV$306=TRUE),--(calc!$AW$3:$AW$306=AW129))-1)/2,"")</f>
        <v/>
      </c>
      <c r="BB129" s="5">
        <f>IF(AV129,1+SUMPRODUCT(--(calc!$AV$3:$AV$306=TRUE),--(calc!$AX$3:$AX$306&gt;AX129))+(SUMPRODUCT(--(calc!$AV$3:$AV$306=TRUE),--(calc!$AX$3:$AX$306=AX129))-1)/2,"")</f>
        <v/>
      </c>
      <c r="BC129" s="5">
        <f>IF(AV129,SUMPRODUCT(--(calc!$AV$3:$AV$306=TRUE),--(ROW(calc!$AV$3:$AV$306)&gt;ROW(AV129)),--(((calc!$BA$3:$BA$306&gt;BA129)*(calc!$BB$3:$BB$306&gt;BB129)+(calc!$BA$3:$BA$306&lt;BA129)*(calc!$BB$3:$BB$306&lt;BB129))&gt;0))-SUMPRODUCT(--(calc!$AV$3:$AV$306=TRUE),--(ROW(calc!$AV$3:$AV$306)&gt;ROW(AV129)),--(((calc!$BA$3:$BA$306&gt;BA129)*(calc!$BB$3:$BB$306&lt;BB129)+(calc!$BA$3:$BA$306&lt;BA129)*(calc!$BB$3:$BB$306&gt;BB129))&gt;0)),0)</f>
        <v/>
      </c>
      <c r="BD129" s="5">
        <f>IF(mos_metrics!L128="","",mos_metrics!L128)</f>
        <v/>
      </c>
      <c r="BE129" s="2">
        <f>AND($J129,ISNUMBER(BD129),correlation!$I$31=1)</f>
        <v/>
      </c>
      <c r="BF129" s="5">
        <f>IF(BE129,$F129,"")</f>
        <v/>
      </c>
      <c r="BG129" s="5">
        <f>IF(BE129,BD129*correlation!$J$31,"")</f>
        <v/>
      </c>
      <c r="BH129" s="5">
        <f>IF(AND(BE129,ISNUMBER(correlation!$F$31)),BG129*correlation!$F$31+correlation!$G$31,"")</f>
        <v/>
      </c>
      <c r="BI129" s="5">
        <f>IF(AND(BE129,ISNUMBER(BH129)),(BF129-BH129)^2,"")</f>
        <v/>
      </c>
      <c r="BJ129" s="5">
        <f>IF(BE129,1+SUMPRODUCT(--(calc!$BE$3:$BE$306=TRUE),--(calc!$BF$3:$BF$306&gt;BF129))+(SUMPRODUCT(--(calc!$BE$3:$BE$306=TRUE),--(calc!$BF$3:$BF$306=BF129))-1)/2,"")</f>
        <v/>
      </c>
      <c r="BK129" s="5">
        <f>IF(BE129,1+SUMPRODUCT(--(calc!$BE$3:$BE$306=TRUE),--(calc!$BG$3:$BG$306&gt;BG129))+(SUMPRODUCT(--(calc!$BE$3:$BE$306=TRUE),--(calc!$BG$3:$BG$306=BG129))-1)/2,"")</f>
        <v/>
      </c>
      <c r="BL129" s="5">
        <f>IF(BE129,SUMPRODUCT(--(calc!$BE$3:$BE$306=TRUE),--(ROW(calc!$BE$3:$BE$306)&gt;ROW(BE129)),--(((calc!$BJ$3:$BJ$306&gt;BJ129)*(calc!$BK$3:$BK$306&gt;BK129)+(calc!$BJ$3:$BJ$306&lt;BJ129)*(calc!$BK$3:$BK$306&lt;BK129))&gt;0))-SUMPRODUCT(--(calc!$BE$3:$BE$306=TRUE),--(ROW(calc!$BE$3:$BE$306)&gt;ROW(BE129)),--(((calc!$BJ$3:$BJ$306&gt;BJ129)*(calc!$BK$3:$BK$306&lt;BK129)+(calc!$BJ$3:$BJ$306&lt;BJ129)*(calc!$BK$3:$BK$306&gt;BK129))&gt;0)),0)</f>
        <v/>
      </c>
      <c r="BM129" s="5">
        <f>IF(mos_metrics!M128="","",mos_metrics!M128)</f>
        <v/>
      </c>
      <c r="BN129" s="2">
        <f>AND($J129,ISNUMBER(BM129),correlation!$I$32=1)</f>
        <v/>
      </c>
      <c r="BO129" s="5">
        <f>IF(BN129,$F129,"")</f>
        <v/>
      </c>
      <c r="BP129" s="5">
        <f>IF(BN129,BM129*correlation!$J$32,"")</f>
        <v/>
      </c>
      <c r="BQ129" s="5">
        <f>IF(AND(BN129,ISNUMBER(correlation!$F$32)),BP129*correlation!$F$32+correlation!$G$32,"")</f>
        <v/>
      </c>
      <c r="BR129" s="5">
        <f>IF(AND(BN129,ISNUMBER(BQ129)),(BO129-BQ129)^2,"")</f>
        <v/>
      </c>
      <c r="BS129" s="5">
        <f>IF(BN129,1+SUMPRODUCT(--(calc!$BN$3:$BN$306=TRUE),--(calc!$BO$3:$BO$306&gt;BO129))+(SUMPRODUCT(--(calc!$BN$3:$BN$306=TRUE),--(calc!$BO$3:$BO$306=BO129))-1)/2,"")</f>
        <v/>
      </c>
      <c r="BT129" s="5">
        <f>IF(BN129,1+SUMPRODUCT(--(calc!$BN$3:$BN$306=TRUE),--(calc!$BP$3:$BP$306&gt;BP129))+(SUMPRODUCT(--(calc!$BN$3:$BN$306=TRUE),--(calc!$BP$3:$BP$306=BP129))-1)/2,"")</f>
        <v/>
      </c>
      <c r="BU129" s="5">
        <f>IF(BN129,SUMPRODUCT(--(calc!$BN$3:$BN$306=TRUE),--(ROW(calc!$BN$3:$BN$306)&gt;ROW(BN129)),--(((calc!$BS$3:$BS$306&gt;BS129)*(calc!$BT$3:$BT$306&gt;BT129)+(calc!$BS$3:$BS$306&lt;BS129)*(calc!$BT$3:$BT$306&lt;BT129))&gt;0))-SUMPRODUCT(--(calc!$BN$3:$BN$306=TRUE),--(ROW(calc!$BN$3:$BN$306)&gt;ROW(BN129)),--(((calc!$BS$3:$BS$306&gt;BS129)*(calc!$BT$3:$BT$306&lt;BT129)+(calc!$BS$3:$BS$306&lt;BS129)*(calc!$BT$3:$BT$306&gt;BT129))&gt;0)),0)</f>
        <v/>
      </c>
    </row>
    <row r="130">
      <c r="A130" s="2">
        <f>mos_metrics!A129</f>
        <v/>
      </c>
      <c r="B130" s="2">
        <f>mos_metrics!B129</f>
        <v/>
      </c>
      <c r="C130" s="2">
        <f>mos_metrics!C129</f>
        <v/>
      </c>
      <c r="D130" s="2">
        <f>mos_metrics!D129</f>
        <v/>
      </c>
      <c r="E130" s="2">
        <f>mos_metrics!E129</f>
        <v/>
      </c>
      <c r="F130" s="2">
        <f>mos_metrics!F129</f>
        <v/>
      </c>
      <c r="G130" s="2">
        <f>IF($B130="","",IFERROR(VLOOKUP($B130,correlation!$A$2:$B$16,2,FALSE),1))</f>
        <v/>
      </c>
      <c r="H130" s="2">
        <f>IF($E130="","",IFERROR(VLOOKUP($E130,correlation!$D$2:$E$8,2,FALSE),1))</f>
        <v/>
      </c>
      <c r="I130" s="2">
        <f>ISNUMBER($F130)</f>
        <v/>
      </c>
      <c r="J130" s="2">
        <f>AND($G130=1,$H130=1,$I130)</f>
        <v/>
      </c>
      <c r="K130" s="5">
        <f>IF(mos_metrics!G129="","",mos_metrics!G129)</f>
        <v/>
      </c>
      <c r="L130" s="2">
        <f>AND($J130,ISNUMBER(K130),correlation!$I$26=1)</f>
        <v/>
      </c>
      <c r="M130" s="5">
        <f>IF(L130,$F130,"")</f>
        <v/>
      </c>
      <c r="N130" s="5">
        <f>IF(L130,K130*correlation!$J$26,"")</f>
        <v/>
      </c>
      <c r="O130" s="5">
        <f>IF(AND(L130,ISNUMBER(correlation!$F$26)),N130*correlation!$F$26+correlation!$G$26,"")</f>
        <v/>
      </c>
      <c r="P130" s="5">
        <f>IF(AND(L130,ISNUMBER(O130)),(M130-O130)^2,"")</f>
        <v/>
      </c>
      <c r="Q130" s="5">
        <f>IF(L130,1+SUMPRODUCT(--(calc!$L$3:$L$306=TRUE),--(calc!$M$3:$M$306&gt;M130))+(SUMPRODUCT(--(calc!$L$3:$L$306=TRUE),--(calc!$M$3:$M$306=M130))-1)/2,"")</f>
        <v/>
      </c>
      <c r="R130" s="5">
        <f>IF(L130,1+SUMPRODUCT(--(calc!$L$3:$L$306=TRUE),--(calc!$N$3:$N$306&gt;N130))+(SUMPRODUCT(--(calc!$L$3:$L$306=TRUE),--(calc!$N$3:$N$306=N130))-1)/2,"")</f>
        <v/>
      </c>
      <c r="S130" s="5">
        <f>IF(L130,SUMPRODUCT(--(calc!$L$3:$L$306=TRUE),--(ROW(calc!$L$3:$L$306)&gt;ROW(L130)),--(((calc!$Q$3:$Q$306&gt;Q130)*(calc!$R$3:$R$306&gt;R130)+(calc!$Q$3:$Q$306&lt;Q130)*(calc!$R$3:$R$306&lt;R130))&gt;0))-SUMPRODUCT(--(calc!$L$3:$L$306=TRUE),--(ROW(calc!$L$3:$L$306)&gt;ROW(L130)),--(((calc!$Q$3:$Q$306&gt;Q130)*(calc!$R$3:$R$306&lt;R130)+(calc!$Q$3:$Q$306&lt;Q130)*(calc!$R$3:$R$306&gt;R130))&gt;0)),0)</f>
        <v/>
      </c>
      <c r="T130" s="5">
        <f>IF(mos_metrics!H129="","",mos_metrics!H129)</f>
        <v/>
      </c>
      <c r="U130" s="2">
        <f>AND($J130,ISNUMBER(T130),correlation!$I$27=1)</f>
        <v/>
      </c>
      <c r="V130" s="5">
        <f>IF(U130,$F130,"")</f>
        <v/>
      </c>
      <c r="W130" s="5">
        <f>IF(U130,T130*correlation!$J$27,"")</f>
        <v/>
      </c>
      <c r="X130" s="5">
        <f>IF(AND(U130,ISNUMBER(correlation!$F$27)),W130*correlation!$F$27+correlation!$G$27,"")</f>
        <v/>
      </c>
      <c r="Y130" s="5">
        <f>IF(AND(U130,ISNUMBER(X130)),(V130-X130)^2,"")</f>
        <v/>
      </c>
      <c r="Z130" s="5">
        <f>IF(U130,1+SUMPRODUCT(--(calc!$U$3:$U$306=TRUE),--(calc!$V$3:$V$306&gt;V130))+(SUMPRODUCT(--(calc!$U$3:$U$306=TRUE),--(calc!$V$3:$V$306=V130))-1)/2,"")</f>
        <v/>
      </c>
      <c r="AA130" s="5">
        <f>IF(U130,1+SUMPRODUCT(--(calc!$U$3:$U$306=TRUE),--(calc!$W$3:$W$306&gt;W130))+(SUMPRODUCT(--(calc!$U$3:$U$306=TRUE),--(calc!$W$3:$W$306=W130))-1)/2,"")</f>
        <v/>
      </c>
      <c r="AB130" s="5">
        <f>IF(U130,SUMPRODUCT(--(calc!$U$3:$U$306=TRUE),--(ROW(calc!$U$3:$U$306)&gt;ROW(U130)),--(((calc!$Z$3:$Z$306&gt;Z130)*(calc!$AA$3:$AA$306&gt;AA130)+(calc!$Z$3:$Z$306&lt;Z130)*(calc!$AA$3:$AA$306&lt;AA130))&gt;0))-SUMPRODUCT(--(calc!$U$3:$U$306=TRUE),--(ROW(calc!$U$3:$U$306)&gt;ROW(U130)),--(((calc!$Z$3:$Z$306&gt;Z130)*(calc!$AA$3:$AA$306&lt;AA130)+(calc!$Z$3:$Z$306&lt;Z130)*(calc!$AA$3:$AA$306&gt;AA130))&gt;0)),0)</f>
        <v/>
      </c>
      <c r="AC130" s="5">
        <f>IF(mos_metrics!I129="","",mos_metrics!I129)</f>
        <v/>
      </c>
      <c r="AD130" s="2">
        <f>AND($J130,ISNUMBER(AC130),correlation!$I$28=1)</f>
        <v/>
      </c>
      <c r="AE130" s="5">
        <f>IF(AD130,$F130,"")</f>
        <v/>
      </c>
      <c r="AF130" s="5">
        <f>IF(AD130,AC130*correlation!$J$28,"")</f>
        <v/>
      </c>
      <c r="AG130" s="5">
        <f>IF(AND(AD130,ISNUMBER(correlation!$F$28)),AF130*correlation!$F$28+correlation!$G$28,"")</f>
        <v/>
      </c>
      <c r="AH130" s="5">
        <f>IF(AND(AD130,ISNUMBER(AG130)),(AE130-AG130)^2,"")</f>
        <v/>
      </c>
      <c r="AI130" s="5">
        <f>IF(AD130,1+SUMPRODUCT(--(calc!$AD$3:$AD$306=TRUE),--(calc!$AE$3:$AE$306&gt;AE130))+(SUMPRODUCT(--(calc!$AD$3:$AD$306=TRUE),--(calc!$AE$3:$AE$306=AE130))-1)/2,"")</f>
        <v/>
      </c>
      <c r="AJ130" s="5">
        <f>IF(AD130,1+SUMPRODUCT(--(calc!$AD$3:$AD$306=TRUE),--(calc!$AF$3:$AF$306&gt;AF130))+(SUMPRODUCT(--(calc!$AD$3:$AD$306=TRUE),--(calc!$AF$3:$AF$306=AF130))-1)/2,"")</f>
        <v/>
      </c>
      <c r="AK130" s="5">
        <f>IF(AD130,SUMPRODUCT(--(calc!$AD$3:$AD$306=TRUE),--(ROW(calc!$AD$3:$AD$306)&gt;ROW(AD130)),--(((calc!$AI$3:$AI$306&gt;AI130)*(calc!$AJ$3:$AJ$306&gt;AJ130)+(calc!$AI$3:$AI$306&lt;AI130)*(calc!$AJ$3:$AJ$306&lt;AJ130))&gt;0))-SUMPRODUCT(--(calc!$AD$3:$AD$306=TRUE),--(ROW(calc!$AD$3:$AD$306)&gt;ROW(AD130)),--(((calc!$AI$3:$AI$306&gt;AI130)*(calc!$AJ$3:$AJ$306&lt;AJ130)+(calc!$AI$3:$AI$306&lt;AI130)*(calc!$AJ$3:$AJ$306&gt;AJ130))&gt;0)),0)</f>
        <v/>
      </c>
      <c r="AL130" s="5">
        <f>IF(mos_metrics!J129="","",mos_metrics!J129)</f>
        <v/>
      </c>
      <c r="AM130" s="2">
        <f>AND($J130,ISNUMBER(AL130),correlation!$I$29=1)</f>
        <v/>
      </c>
      <c r="AN130" s="5">
        <f>IF(AM130,$F130,"")</f>
        <v/>
      </c>
      <c r="AO130" s="5">
        <f>IF(AM130,AL130*correlation!$J$29,"")</f>
        <v/>
      </c>
      <c r="AP130" s="5">
        <f>IF(AND(AM130,ISNUMBER(correlation!$F$29)),AO130*correlation!$F$29+correlation!$G$29,"")</f>
        <v/>
      </c>
      <c r="AQ130" s="5">
        <f>IF(AND(AM130,ISNUMBER(AP130)),(AN130-AP130)^2,"")</f>
        <v/>
      </c>
      <c r="AR130" s="5">
        <f>IF(AM130,1+SUMPRODUCT(--(calc!$AM$3:$AM$306=TRUE),--(calc!$AN$3:$AN$306&gt;AN130))+(SUMPRODUCT(--(calc!$AM$3:$AM$306=TRUE),--(calc!$AN$3:$AN$306=AN130))-1)/2,"")</f>
        <v/>
      </c>
      <c r="AS130" s="5">
        <f>IF(AM130,1+SUMPRODUCT(--(calc!$AM$3:$AM$306=TRUE),--(calc!$AO$3:$AO$306&gt;AO130))+(SUMPRODUCT(--(calc!$AM$3:$AM$306=TRUE),--(calc!$AO$3:$AO$306=AO130))-1)/2,"")</f>
        <v/>
      </c>
      <c r="AT130" s="5">
        <f>IF(AM130,SUMPRODUCT(--(calc!$AM$3:$AM$306=TRUE),--(ROW(calc!$AM$3:$AM$306)&gt;ROW(AM130)),--(((calc!$AR$3:$AR$306&gt;AR130)*(calc!$AS$3:$AS$306&gt;AS130)+(calc!$AR$3:$AR$306&lt;AR130)*(calc!$AS$3:$AS$306&lt;AS130))&gt;0))-SUMPRODUCT(--(calc!$AM$3:$AM$306=TRUE),--(ROW(calc!$AM$3:$AM$306)&gt;ROW(AM130)),--(((calc!$AR$3:$AR$306&gt;AR130)*(calc!$AS$3:$AS$306&lt;AS130)+(calc!$AR$3:$AR$306&lt;AR130)*(calc!$AS$3:$AS$306&gt;AS130))&gt;0)),0)</f>
        <v/>
      </c>
      <c r="AU130" s="5">
        <f>IF(mos_metrics!K129="","",mos_metrics!K129)</f>
        <v/>
      </c>
      <c r="AV130" s="2">
        <f>AND($J130,ISNUMBER(AU130),correlation!$I$30=1)</f>
        <v/>
      </c>
      <c r="AW130" s="5">
        <f>IF(AV130,$F130,"")</f>
        <v/>
      </c>
      <c r="AX130" s="5">
        <f>IF(AV130,AU130*correlation!$J$30,"")</f>
        <v/>
      </c>
      <c r="AY130" s="5">
        <f>IF(AND(AV130,ISNUMBER(correlation!$F$30)),AX130*correlation!$F$30+correlation!$G$30,"")</f>
        <v/>
      </c>
      <c r="AZ130" s="5">
        <f>IF(AND(AV130,ISNUMBER(AY130)),(AW130-AY130)^2,"")</f>
        <v/>
      </c>
      <c r="BA130" s="5">
        <f>IF(AV130,1+SUMPRODUCT(--(calc!$AV$3:$AV$306=TRUE),--(calc!$AW$3:$AW$306&gt;AW130))+(SUMPRODUCT(--(calc!$AV$3:$AV$306=TRUE),--(calc!$AW$3:$AW$306=AW130))-1)/2,"")</f>
        <v/>
      </c>
      <c r="BB130" s="5">
        <f>IF(AV130,1+SUMPRODUCT(--(calc!$AV$3:$AV$306=TRUE),--(calc!$AX$3:$AX$306&gt;AX130))+(SUMPRODUCT(--(calc!$AV$3:$AV$306=TRUE),--(calc!$AX$3:$AX$306=AX130))-1)/2,"")</f>
        <v/>
      </c>
      <c r="BC130" s="5">
        <f>IF(AV130,SUMPRODUCT(--(calc!$AV$3:$AV$306=TRUE),--(ROW(calc!$AV$3:$AV$306)&gt;ROW(AV130)),--(((calc!$BA$3:$BA$306&gt;BA130)*(calc!$BB$3:$BB$306&gt;BB130)+(calc!$BA$3:$BA$306&lt;BA130)*(calc!$BB$3:$BB$306&lt;BB130))&gt;0))-SUMPRODUCT(--(calc!$AV$3:$AV$306=TRUE),--(ROW(calc!$AV$3:$AV$306)&gt;ROW(AV130)),--(((calc!$BA$3:$BA$306&gt;BA130)*(calc!$BB$3:$BB$306&lt;BB130)+(calc!$BA$3:$BA$306&lt;BA130)*(calc!$BB$3:$BB$306&gt;BB130))&gt;0)),0)</f>
        <v/>
      </c>
      <c r="BD130" s="5">
        <f>IF(mos_metrics!L129="","",mos_metrics!L129)</f>
        <v/>
      </c>
      <c r="BE130" s="2">
        <f>AND($J130,ISNUMBER(BD130),correlation!$I$31=1)</f>
        <v/>
      </c>
      <c r="BF130" s="5">
        <f>IF(BE130,$F130,"")</f>
        <v/>
      </c>
      <c r="BG130" s="5">
        <f>IF(BE130,BD130*correlation!$J$31,"")</f>
        <v/>
      </c>
      <c r="BH130" s="5">
        <f>IF(AND(BE130,ISNUMBER(correlation!$F$31)),BG130*correlation!$F$31+correlation!$G$31,"")</f>
        <v/>
      </c>
      <c r="BI130" s="5">
        <f>IF(AND(BE130,ISNUMBER(BH130)),(BF130-BH130)^2,"")</f>
        <v/>
      </c>
      <c r="BJ130" s="5">
        <f>IF(BE130,1+SUMPRODUCT(--(calc!$BE$3:$BE$306=TRUE),--(calc!$BF$3:$BF$306&gt;BF130))+(SUMPRODUCT(--(calc!$BE$3:$BE$306=TRUE),--(calc!$BF$3:$BF$306=BF130))-1)/2,"")</f>
        <v/>
      </c>
      <c r="BK130" s="5">
        <f>IF(BE130,1+SUMPRODUCT(--(calc!$BE$3:$BE$306=TRUE),--(calc!$BG$3:$BG$306&gt;BG130))+(SUMPRODUCT(--(calc!$BE$3:$BE$306=TRUE),--(calc!$BG$3:$BG$306=BG130))-1)/2,"")</f>
        <v/>
      </c>
      <c r="BL130" s="5">
        <f>IF(BE130,SUMPRODUCT(--(calc!$BE$3:$BE$306=TRUE),--(ROW(calc!$BE$3:$BE$306)&gt;ROW(BE130)),--(((calc!$BJ$3:$BJ$306&gt;BJ130)*(calc!$BK$3:$BK$306&gt;BK130)+(calc!$BJ$3:$BJ$306&lt;BJ130)*(calc!$BK$3:$BK$306&lt;BK130))&gt;0))-SUMPRODUCT(--(calc!$BE$3:$BE$306=TRUE),--(ROW(calc!$BE$3:$BE$306)&gt;ROW(BE130)),--(((calc!$BJ$3:$BJ$306&gt;BJ130)*(calc!$BK$3:$BK$306&lt;BK130)+(calc!$BJ$3:$BJ$306&lt;BJ130)*(calc!$BK$3:$BK$306&gt;BK130))&gt;0)),0)</f>
        <v/>
      </c>
      <c r="BM130" s="5">
        <f>IF(mos_metrics!M129="","",mos_metrics!M129)</f>
        <v/>
      </c>
      <c r="BN130" s="2">
        <f>AND($J130,ISNUMBER(BM130),correlation!$I$32=1)</f>
        <v/>
      </c>
      <c r="BO130" s="5">
        <f>IF(BN130,$F130,"")</f>
        <v/>
      </c>
      <c r="BP130" s="5">
        <f>IF(BN130,BM130*correlation!$J$32,"")</f>
        <v/>
      </c>
      <c r="BQ130" s="5">
        <f>IF(AND(BN130,ISNUMBER(correlation!$F$32)),BP130*correlation!$F$32+correlation!$G$32,"")</f>
        <v/>
      </c>
      <c r="BR130" s="5">
        <f>IF(AND(BN130,ISNUMBER(BQ130)),(BO130-BQ130)^2,"")</f>
        <v/>
      </c>
      <c r="BS130" s="5">
        <f>IF(BN130,1+SUMPRODUCT(--(calc!$BN$3:$BN$306=TRUE),--(calc!$BO$3:$BO$306&gt;BO130))+(SUMPRODUCT(--(calc!$BN$3:$BN$306=TRUE),--(calc!$BO$3:$BO$306=BO130))-1)/2,"")</f>
        <v/>
      </c>
      <c r="BT130" s="5">
        <f>IF(BN130,1+SUMPRODUCT(--(calc!$BN$3:$BN$306=TRUE),--(calc!$BP$3:$BP$306&gt;BP130))+(SUMPRODUCT(--(calc!$BN$3:$BN$306=TRUE),--(calc!$BP$3:$BP$306=BP130))-1)/2,"")</f>
        <v/>
      </c>
      <c r="BU130" s="5">
        <f>IF(BN130,SUMPRODUCT(--(calc!$BN$3:$BN$306=TRUE),--(ROW(calc!$BN$3:$BN$306)&gt;ROW(BN130)),--(((calc!$BS$3:$BS$306&gt;BS130)*(calc!$BT$3:$BT$306&gt;BT130)+(calc!$BS$3:$BS$306&lt;BS130)*(calc!$BT$3:$BT$306&lt;BT130))&gt;0))-SUMPRODUCT(--(calc!$BN$3:$BN$306=TRUE),--(ROW(calc!$BN$3:$BN$306)&gt;ROW(BN130)),--(((calc!$BS$3:$BS$306&gt;BS130)*(calc!$BT$3:$BT$306&lt;BT130)+(calc!$BS$3:$BS$306&lt;BS130)*(calc!$BT$3:$BT$306&gt;BT130))&gt;0)),0)</f>
        <v/>
      </c>
    </row>
    <row r="131">
      <c r="A131" s="2">
        <f>mos_metrics!A130</f>
        <v/>
      </c>
      <c r="B131" s="2">
        <f>mos_metrics!B130</f>
        <v/>
      </c>
      <c r="C131" s="2">
        <f>mos_metrics!C130</f>
        <v/>
      </c>
      <c r="D131" s="2">
        <f>mos_metrics!D130</f>
        <v/>
      </c>
      <c r="E131" s="2">
        <f>mos_metrics!E130</f>
        <v/>
      </c>
      <c r="F131" s="2">
        <f>mos_metrics!F130</f>
        <v/>
      </c>
      <c r="G131" s="2">
        <f>IF($B131="","",IFERROR(VLOOKUP($B131,correlation!$A$2:$B$16,2,FALSE),1))</f>
        <v/>
      </c>
      <c r="H131" s="2">
        <f>IF($E131="","",IFERROR(VLOOKUP($E131,correlation!$D$2:$E$8,2,FALSE),1))</f>
        <v/>
      </c>
      <c r="I131" s="2">
        <f>ISNUMBER($F131)</f>
        <v/>
      </c>
      <c r="J131" s="2">
        <f>AND($G131=1,$H131=1,$I131)</f>
        <v/>
      </c>
      <c r="K131" s="5">
        <f>IF(mos_metrics!G130="","",mos_metrics!G130)</f>
        <v/>
      </c>
      <c r="L131" s="2">
        <f>AND($J131,ISNUMBER(K131),correlation!$I$26=1)</f>
        <v/>
      </c>
      <c r="M131" s="5">
        <f>IF(L131,$F131,"")</f>
        <v/>
      </c>
      <c r="N131" s="5">
        <f>IF(L131,K131*correlation!$J$26,"")</f>
        <v/>
      </c>
      <c r="O131" s="5">
        <f>IF(AND(L131,ISNUMBER(correlation!$F$26)),N131*correlation!$F$26+correlation!$G$26,"")</f>
        <v/>
      </c>
      <c r="P131" s="5">
        <f>IF(AND(L131,ISNUMBER(O131)),(M131-O131)^2,"")</f>
        <v/>
      </c>
      <c r="Q131" s="5">
        <f>IF(L131,1+SUMPRODUCT(--(calc!$L$3:$L$306=TRUE),--(calc!$M$3:$M$306&gt;M131))+(SUMPRODUCT(--(calc!$L$3:$L$306=TRUE),--(calc!$M$3:$M$306=M131))-1)/2,"")</f>
        <v/>
      </c>
      <c r="R131" s="5">
        <f>IF(L131,1+SUMPRODUCT(--(calc!$L$3:$L$306=TRUE),--(calc!$N$3:$N$306&gt;N131))+(SUMPRODUCT(--(calc!$L$3:$L$306=TRUE),--(calc!$N$3:$N$306=N131))-1)/2,"")</f>
        <v/>
      </c>
      <c r="S131" s="5">
        <f>IF(L131,SUMPRODUCT(--(calc!$L$3:$L$306=TRUE),--(ROW(calc!$L$3:$L$306)&gt;ROW(L131)),--(((calc!$Q$3:$Q$306&gt;Q131)*(calc!$R$3:$R$306&gt;R131)+(calc!$Q$3:$Q$306&lt;Q131)*(calc!$R$3:$R$306&lt;R131))&gt;0))-SUMPRODUCT(--(calc!$L$3:$L$306=TRUE),--(ROW(calc!$L$3:$L$306)&gt;ROW(L131)),--(((calc!$Q$3:$Q$306&gt;Q131)*(calc!$R$3:$R$306&lt;R131)+(calc!$Q$3:$Q$306&lt;Q131)*(calc!$R$3:$R$306&gt;R131))&gt;0)),0)</f>
        <v/>
      </c>
      <c r="T131" s="5">
        <f>IF(mos_metrics!H130="","",mos_metrics!H130)</f>
        <v/>
      </c>
      <c r="U131" s="2">
        <f>AND($J131,ISNUMBER(T131),correlation!$I$27=1)</f>
        <v/>
      </c>
      <c r="V131" s="5">
        <f>IF(U131,$F131,"")</f>
        <v/>
      </c>
      <c r="W131" s="5">
        <f>IF(U131,T131*correlation!$J$27,"")</f>
        <v/>
      </c>
      <c r="X131" s="5">
        <f>IF(AND(U131,ISNUMBER(correlation!$F$27)),W131*correlation!$F$27+correlation!$G$27,"")</f>
        <v/>
      </c>
      <c r="Y131" s="5">
        <f>IF(AND(U131,ISNUMBER(X131)),(V131-X131)^2,"")</f>
        <v/>
      </c>
      <c r="Z131" s="5">
        <f>IF(U131,1+SUMPRODUCT(--(calc!$U$3:$U$306=TRUE),--(calc!$V$3:$V$306&gt;V131))+(SUMPRODUCT(--(calc!$U$3:$U$306=TRUE),--(calc!$V$3:$V$306=V131))-1)/2,"")</f>
        <v/>
      </c>
      <c r="AA131" s="5">
        <f>IF(U131,1+SUMPRODUCT(--(calc!$U$3:$U$306=TRUE),--(calc!$W$3:$W$306&gt;W131))+(SUMPRODUCT(--(calc!$U$3:$U$306=TRUE),--(calc!$W$3:$W$306=W131))-1)/2,"")</f>
        <v/>
      </c>
      <c r="AB131" s="5">
        <f>IF(U131,SUMPRODUCT(--(calc!$U$3:$U$306=TRUE),--(ROW(calc!$U$3:$U$306)&gt;ROW(U131)),--(((calc!$Z$3:$Z$306&gt;Z131)*(calc!$AA$3:$AA$306&gt;AA131)+(calc!$Z$3:$Z$306&lt;Z131)*(calc!$AA$3:$AA$306&lt;AA131))&gt;0))-SUMPRODUCT(--(calc!$U$3:$U$306=TRUE),--(ROW(calc!$U$3:$U$306)&gt;ROW(U131)),--(((calc!$Z$3:$Z$306&gt;Z131)*(calc!$AA$3:$AA$306&lt;AA131)+(calc!$Z$3:$Z$306&lt;Z131)*(calc!$AA$3:$AA$306&gt;AA131))&gt;0)),0)</f>
        <v/>
      </c>
      <c r="AC131" s="5">
        <f>IF(mos_metrics!I130="","",mos_metrics!I130)</f>
        <v/>
      </c>
      <c r="AD131" s="2">
        <f>AND($J131,ISNUMBER(AC131),correlation!$I$28=1)</f>
        <v/>
      </c>
      <c r="AE131" s="5">
        <f>IF(AD131,$F131,"")</f>
        <v/>
      </c>
      <c r="AF131" s="5">
        <f>IF(AD131,AC131*correlation!$J$28,"")</f>
        <v/>
      </c>
      <c r="AG131" s="5">
        <f>IF(AND(AD131,ISNUMBER(correlation!$F$28)),AF131*correlation!$F$28+correlation!$G$28,"")</f>
        <v/>
      </c>
      <c r="AH131" s="5">
        <f>IF(AND(AD131,ISNUMBER(AG131)),(AE131-AG131)^2,"")</f>
        <v/>
      </c>
      <c r="AI131" s="5">
        <f>IF(AD131,1+SUMPRODUCT(--(calc!$AD$3:$AD$306=TRUE),--(calc!$AE$3:$AE$306&gt;AE131))+(SUMPRODUCT(--(calc!$AD$3:$AD$306=TRUE),--(calc!$AE$3:$AE$306=AE131))-1)/2,"")</f>
        <v/>
      </c>
      <c r="AJ131" s="5">
        <f>IF(AD131,1+SUMPRODUCT(--(calc!$AD$3:$AD$306=TRUE),--(calc!$AF$3:$AF$306&gt;AF131))+(SUMPRODUCT(--(calc!$AD$3:$AD$306=TRUE),--(calc!$AF$3:$AF$306=AF131))-1)/2,"")</f>
        <v/>
      </c>
      <c r="AK131" s="5">
        <f>IF(AD131,SUMPRODUCT(--(calc!$AD$3:$AD$306=TRUE),--(ROW(calc!$AD$3:$AD$306)&gt;ROW(AD131)),--(((calc!$AI$3:$AI$306&gt;AI131)*(calc!$AJ$3:$AJ$306&gt;AJ131)+(calc!$AI$3:$AI$306&lt;AI131)*(calc!$AJ$3:$AJ$306&lt;AJ131))&gt;0))-SUMPRODUCT(--(calc!$AD$3:$AD$306=TRUE),--(ROW(calc!$AD$3:$AD$306)&gt;ROW(AD131)),--(((calc!$AI$3:$AI$306&gt;AI131)*(calc!$AJ$3:$AJ$306&lt;AJ131)+(calc!$AI$3:$AI$306&lt;AI131)*(calc!$AJ$3:$AJ$306&gt;AJ131))&gt;0)),0)</f>
        <v/>
      </c>
      <c r="AL131" s="5">
        <f>IF(mos_metrics!J130="","",mos_metrics!J130)</f>
        <v/>
      </c>
      <c r="AM131" s="2">
        <f>AND($J131,ISNUMBER(AL131),correlation!$I$29=1)</f>
        <v/>
      </c>
      <c r="AN131" s="5">
        <f>IF(AM131,$F131,"")</f>
        <v/>
      </c>
      <c r="AO131" s="5">
        <f>IF(AM131,AL131*correlation!$J$29,"")</f>
        <v/>
      </c>
      <c r="AP131" s="5">
        <f>IF(AND(AM131,ISNUMBER(correlation!$F$29)),AO131*correlation!$F$29+correlation!$G$29,"")</f>
        <v/>
      </c>
      <c r="AQ131" s="5">
        <f>IF(AND(AM131,ISNUMBER(AP131)),(AN131-AP131)^2,"")</f>
        <v/>
      </c>
      <c r="AR131" s="5">
        <f>IF(AM131,1+SUMPRODUCT(--(calc!$AM$3:$AM$306=TRUE),--(calc!$AN$3:$AN$306&gt;AN131))+(SUMPRODUCT(--(calc!$AM$3:$AM$306=TRUE),--(calc!$AN$3:$AN$306=AN131))-1)/2,"")</f>
        <v/>
      </c>
      <c r="AS131" s="5">
        <f>IF(AM131,1+SUMPRODUCT(--(calc!$AM$3:$AM$306=TRUE),--(calc!$AO$3:$AO$306&gt;AO131))+(SUMPRODUCT(--(calc!$AM$3:$AM$306=TRUE),--(calc!$AO$3:$AO$306=AO131))-1)/2,"")</f>
        <v/>
      </c>
      <c r="AT131" s="5">
        <f>IF(AM131,SUMPRODUCT(--(calc!$AM$3:$AM$306=TRUE),--(ROW(calc!$AM$3:$AM$306)&gt;ROW(AM131)),--(((calc!$AR$3:$AR$306&gt;AR131)*(calc!$AS$3:$AS$306&gt;AS131)+(calc!$AR$3:$AR$306&lt;AR131)*(calc!$AS$3:$AS$306&lt;AS131))&gt;0))-SUMPRODUCT(--(calc!$AM$3:$AM$306=TRUE),--(ROW(calc!$AM$3:$AM$306)&gt;ROW(AM131)),--(((calc!$AR$3:$AR$306&gt;AR131)*(calc!$AS$3:$AS$306&lt;AS131)+(calc!$AR$3:$AR$306&lt;AR131)*(calc!$AS$3:$AS$306&gt;AS131))&gt;0)),0)</f>
        <v/>
      </c>
      <c r="AU131" s="5">
        <f>IF(mos_metrics!K130="","",mos_metrics!K130)</f>
        <v/>
      </c>
      <c r="AV131" s="2">
        <f>AND($J131,ISNUMBER(AU131),correlation!$I$30=1)</f>
        <v/>
      </c>
      <c r="AW131" s="5">
        <f>IF(AV131,$F131,"")</f>
        <v/>
      </c>
      <c r="AX131" s="5">
        <f>IF(AV131,AU131*correlation!$J$30,"")</f>
        <v/>
      </c>
      <c r="AY131" s="5">
        <f>IF(AND(AV131,ISNUMBER(correlation!$F$30)),AX131*correlation!$F$30+correlation!$G$30,"")</f>
        <v/>
      </c>
      <c r="AZ131" s="5">
        <f>IF(AND(AV131,ISNUMBER(AY131)),(AW131-AY131)^2,"")</f>
        <v/>
      </c>
      <c r="BA131" s="5">
        <f>IF(AV131,1+SUMPRODUCT(--(calc!$AV$3:$AV$306=TRUE),--(calc!$AW$3:$AW$306&gt;AW131))+(SUMPRODUCT(--(calc!$AV$3:$AV$306=TRUE),--(calc!$AW$3:$AW$306=AW131))-1)/2,"")</f>
        <v/>
      </c>
      <c r="BB131" s="5">
        <f>IF(AV131,1+SUMPRODUCT(--(calc!$AV$3:$AV$306=TRUE),--(calc!$AX$3:$AX$306&gt;AX131))+(SUMPRODUCT(--(calc!$AV$3:$AV$306=TRUE),--(calc!$AX$3:$AX$306=AX131))-1)/2,"")</f>
        <v/>
      </c>
      <c r="BC131" s="5">
        <f>IF(AV131,SUMPRODUCT(--(calc!$AV$3:$AV$306=TRUE),--(ROW(calc!$AV$3:$AV$306)&gt;ROW(AV131)),--(((calc!$BA$3:$BA$306&gt;BA131)*(calc!$BB$3:$BB$306&gt;BB131)+(calc!$BA$3:$BA$306&lt;BA131)*(calc!$BB$3:$BB$306&lt;BB131))&gt;0))-SUMPRODUCT(--(calc!$AV$3:$AV$306=TRUE),--(ROW(calc!$AV$3:$AV$306)&gt;ROW(AV131)),--(((calc!$BA$3:$BA$306&gt;BA131)*(calc!$BB$3:$BB$306&lt;BB131)+(calc!$BA$3:$BA$306&lt;BA131)*(calc!$BB$3:$BB$306&gt;BB131))&gt;0)),0)</f>
        <v/>
      </c>
      <c r="BD131" s="5">
        <f>IF(mos_metrics!L130="","",mos_metrics!L130)</f>
        <v/>
      </c>
      <c r="BE131" s="2">
        <f>AND($J131,ISNUMBER(BD131),correlation!$I$31=1)</f>
        <v/>
      </c>
      <c r="BF131" s="5">
        <f>IF(BE131,$F131,"")</f>
        <v/>
      </c>
      <c r="BG131" s="5">
        <f>IF(BE131,BD131*correlation!$J$31,"")</f>
        <v/>
      </c>
      <c r="BH131" s="5">
        <f>IF(AND(BE131,ISNUMBER(correlation!$F$31)),BG131*correlation!$F$31+correlation!$G$31,"")</f>
        <v/>
      </c>
      <c r="BI131" s="5">
        <f>IF(AND(BE131,ISNUMBER(BH131)),(BF131-BH131)^2,"")</f>
        <v/>
      </c>
      <c r="BJ131" s="5">
        <f>IF(BE131,1+SUMPRODUCT(--(calc!$BE$3:$BE$306=TRUE),--(calc!$BF$3:$BF$306&gt;BF131))+(SUMPRODUCT(--(calc!$BE$3:$BE$306=TRUE),--(calc!$BF$3:$BF$306=BF131))-1)/2,"")</f>
        <v/>
      </c>
      <c r="BK131" s="5">
        <f>IF(BE131,1+SUMPRODUCT(--(calc!$BE$3:$BE$306=TRUE),--(calc!$BG$3:$BG$306&gt;BG131))+(SUMPRODUCT(--(calc!$BE$3:$BE$306=TRUE),--(calc!$BG$3:$BG$306=BG131))-1)/2,"")</f>
        <v/>
      </c>
      <c r="BL131" s="5">
        <f>IF(BE131,SUMPRODUCT(--(calc!$BE$3:$BE$306=TRUE),--(ROW(calc!$BE$3:$BE$306)&gt;ROW(BE131)),--(((calc!$BJ$3:$BJ$306&gt;BJ131)*(calc!$BK$3:$BK$306&gt;BK131)+(calc!$BJ$3:$BJ$306&lt;BJ131)*(calc!$BK$3:$BK$306&lt;BK131))&gt;0))-SUMPRODUCT(--(calc!$BE$3:$BE$306=TRUE),--(ROW(calc!$BE$3:$BE$306)&gt;ROW(BE131)),--(((calc!$BJ$3:$BJ$306&gt;BJ131)*(calc!$BK$3:$BK$306&lt;BK131)+(calc!$BJ$3:$BJ$306&lt;BJ131)*(calc!$BK$3:$BK$306&gt;BK131))&gt;0)),0)</f>
        <v/>
      </c>
      <c r="BM131" s="5">
        <f>IF(mos_metrics!M130="","",mos_metrics!M130)</f>
        <v/>
      </c>
      <c r="BN131" s="2">
        <f>AND($J131,ISNUMBER(BM131),correlation!$I$32=1)</f>
        <v/>
      </c>
      <c r="BO131" s="5">
        <f>IF(BN131,$F131,"")</f>
        <v/>
      </c>
      <c r="BP131" s="5">
        <f>IF(BN131,BM131*correlation!$J$32,"")</f>
        <v/>
      </c>
      <c r="BQ131" s="5">
        <f>IF(AND(BN131,ISNUMBER(correlation!$F$32)),BP131*correlation!$F$32+correlation!$G$32,"")</f>
        <v/>
      </c>
      <c r="BR131" s="5">
        <f>IF(AND(BN131,ISNUMBER(BQ131)),(BO131-BQ131)^2,"")</f>
        <v/>
      </c>
      <c r="BS131" s="5">
        <f>IF(BN131,1+SUMPRODUCT(--(calc!$BN$3:$BN$306=TRUE),--(calc!$BO$3:$BO$306&gt;BO131))+(SUMPRODUCT(--(calc!$BN$3:$BN$306=TRUE),--(calc!$BO$3:$BO$306=BO131))-1)/2,"")</f>
        <v/>
      </c>
      <c r="BT131" s="5">
        <f>IF(BN131,1+SUMPRODUCT(--(calc!$BN$3:$BN$306=TRUE),--(calc!$BP$3:$BP$306&gt;BP131))+(SUMPRODUCT(--(calc!$BN$3:$BN$306=TRUE),--(calc!$BP$3:$BP$306=BP131))-1)/2,"")</f>
        <v/>
      </c>
      <c r="BU131" s="5">
        <f>IF(BN131,SUMPRODUCT(--(calc!$BN$3:$BN$306=TRUE),--(ROW(calc!$BN$3:$BN$306)&gt;ROW(BN131)),--(((calc!$BS$3:$BS$306&gt;BS131)*(calc!$BT$3:$BT$306&gt;BT131)+(calc!$BS$3:$BS$306&lt;BS131)*(calc!$BT$3:$BT$306&lt;BT131))&gt;0))-SUMPRODUCT(--(calc!$BN$3:$BN$306=TRUE),--(ROW(calc!$BN$3:$BN$306)&gt;ROW(BN131)),--(((calc!$BS$3:$BS$306&gt;BS131)*(calc!$BT$3:$BT$306&lt;BT131)+(calc!$BS$3:$BS$306&lt;BS131)*(calc!$BT$3:$BT$306&gt;BT131))&gt;0)),0)</f>
        <v/>
      </c>
    </row>
    <row r="132">
      <c r="A132" s="2">
        <f>mos_metrics!A131</f>
        <v/>
      </c>
      <c r="B132" s="2">
        <f>mos_metrics!B131</f>
        <v/>
      </c>
      <c r="C132" s="2">
        <f>mos_metrics!C131</f>
        <v/>
      </c>
      <c r="D132" s="2">
        <f>mos_metrics!D131</f>
        <v/>
      </c>
      <c r="E132" s="2">
        <f>mos_metrics!E131</f>
        <v/>
      </c>
      <c r="F132" s="2">
        <f>mos_metrics!F131</f>
        <v/>
      </c>
      <c r="G132" s="2">
        <f>IF($B132="","",IFERROR(VLOOKUP($B132,correlation!$A$2:$B$16,2,FALSE),1))</f>
        <v/>
      </c>
      <c r="H132" s="2">
        <f>IF($E132="","",IFERROR(VLOOKUP($E132,correlation!$D$2:$E$8,2,FALSE),1))</f>
        <v/>
      </c>
      <c r="I132" s="2">
        <f>ISNUMBER($F132)</f>
        <v/>
      </c>
      <c r="J132" s="2">
        <f>AND($G132=1,$H132=1,$I132)</f>
        <v/>
      </c>
      <c r="K132" s="5">
        <f>IF(mos_metrics!G131="","",mos_metrics!G131)</f>
        <v/>
      </c>
      <c r="L132" s="2">
        <f>AND($J132,ISNUMBER(K132),correlation!$I$26=1)</f>
        <v/>
      </c>
      <c r="M132" s="5">
        <f>IF(L132,$F132,"")</f>
        <v/>
      </c>
      <c r="N132" s="5">
        <f>IF(L132,K132*correlation!$J$26,"")</f>
        <v/>
      </c>
      <c r="O132" s="5">
        <f>IF(AND(L132,ISNUMBER(correlation!$F$26)),N132*correlation!$F$26+correlation!$G$26,"")</f>
        <v/>
      </c>
      <c r="P132" s="5">
        <f>IF(AND(L132,ISNUMBER(O132)),(M132-O132)^2,"")</f>
        <v/>
      </c>
      <c r="Q132" s="5">
        <f>IF(L132,1+SUMPRODUCT(--(calc!$L$3:$L$306=TRUE),--(calc!$M$3:$M$306&gt;M132))+(SUMPRODUCT(--(calc!$L$3:$L$306=TRUE),--(calc!$M$3:$M$306=M132))-1)/2,"")</f>
        <v/>
      </c>
      <c r="R132" s="5">
        <f>IF(L132,1+SUMPRODUCT(--(calc!$L$3:$L$306=TRUE),--(calc!$N$3:$N$306&gt;N132))+(SUMPRODUCT(--(calc!$L$3:$L$306=TRUE),--(calc!$N$3:$N$306=N132))-1)/2,"")</f>
        <v/>
      </c>
      <c r="S132" s="5">
        <f>IF(L132,SUMPRODUCT(--(calc!$L$3:$L$306=TRUE),--(ROW(calc!$L$3:$L$306)&gt;ROW(L132)),--(((calc!$Q$3:$Q$306&gt;Q132)*(calc!$R$3:$R$306&gt;R132)+(calc!$Q$3:$Q$306&lt;Q132)*(calc!$R$3:$R$306&lt;R132))&gt;0))-SUMPRODUCT(--(calc!$L$3:$L$306=TRUE),--(ROW(calc!$L$3:$L$306)&gt;ROW(L132)),--(((calc!$Q$3:$Q$306&gt;Q132)*(calc!$R$3:$R$306&lt;R132)+(calc!$Q$3:$Q$306&lt;Q132)*(calc!$R$3:$R$306&gt;R132))&gt;0)),0)</f>
        <v/>
      </c>
      <c r="T132" s="5">
        <f>IF(mos_metrics!H131="","",mos_metrics!H131)</f>
        <v/>
      </c>
      <c r="U132" s="2">
        <f>AND($J132,ISNUMBER(T132),correlation!$I$27=1)</f>
        <v/>
      </c>
      <c r="V132" s="5">
        <f>IF(U132,$F132,"")</f>
        <v/>
      </c>
      <c r="W132" s="5">
        <f>IF(U132,T132*correlation!$J$27,"")</f>
        <v/>
      </c>
      <c r="X132" s="5">
        <f>IF(AND(U132,ISNUMBER(correlation!$F$27)),W132*correlation!$F$27+correlation!$G$27,"")</f>
        <v/>
      </c>
      <c r="Y132" s="5">
        <f>IF(AND(U132,ISNUMBER(X132)),(V132-X132)^2,"")</f>
        <v/>
      </c>
      <c r="Z132" s="5">
        <f>IF(U132,1+SUMPRODUCT(--(calc!$U$3:$U$306=TRUE),--(calc!$V$3:$V$306&gt;V132))+(SUMPRODUCT(--(calc!$U$3:$U$306=TRUE),--(calc!$V$3:$V$306=V132))-1)/2,"")</f>
        <v/>
      </c>
      <c r="AA132" s="5">
        <f>IF(U132,1+SUMPRODUCT(--(calc!$U$3:$U$306=TRUE),--(calc!$W$3:$W$306&gt;W132))+(SUMPRODUCT(--(calc!$U$3:$U$306=TRUE),--(calc!$W$3:$W$306=W132))-1)/2,"")</f>
        <v/>
      </c>
      <c r="AB132" s="5">
        <f>IF(U132,SUMPRODUCT(--(calc!$U$3:$U$306=TRUE),--(ROW(calc!$U$3:$U$306)&gt;ROW(U132)),--(((calc!$Z$3:$Z$306&gt;Z132)*(calc!$AA$3:$AA$306&gt;AA132)+(calc!$Z$3:$Z$306&lt;Z132)*(calc!$AA$3:$AA$306&lt;AA132))&gt;0))-SUMPRODUCT(--(calc!$U$3:$U$306=TRUE),--(ROW(calc!$U$3:$U$306)&gt;ROW(U132)),--(((calc!$Z$3:$Z$306&gt;Z132)*(calc!$AA$3:$AA$306&lt;AA132)+(calc!$Z$3:$Z$306&lt;Z132)*(calc!$AA$3:$AA$306&gt;AA132))&gt;0)),0)</f>
        <v/>
      </c>
      <c r="AC132" s="5">
        <f>IF(mos_metrics!I131="","",mos_metrics!I131)</f>
        <v/>
      </c>
      <c r="AD132" s="2">
        <f>AND($J132,ISNUMBER(AC132),correlation!$I$28=1)</f>
        <v/>
      </c>
      <c r="AE132" s="5">
        <f>IF(AD132,$F132,"")</f>
        <v/>
      </c>
      <c r="AF132" s="5">
        <f>IF(AD132,AC132*correlation!$J$28,"")</f>
        <v/>
      </c>
      <c r="AG132" s="5">
        <f>IF(AND(AD132,ISNUMBER(correlation!$F$28)),AF132*correlation!$F$28+correlation!$G$28,"")</f>
        <v/>
      </c>
      <c r="AH132" s="5">
        <f>IF(AND(AD132,ISNUMBER(AG132)),(AE132-AG132)^2,"")</f>
        <v/>
      </c>
      <c r="AI132" s="5">
        <f>IF(AD132,1+SUMPRODUCT(--(calc!$AD$3:$AD$306=TRUE),--(calc!$AE$3:$AE$306&gt;AE132))+(SUMPRODUCT(--(calc!$AD$3:$AD$306=TRUE),--(calc!$AE$3:$AE$306=AE132))-1)/2,"")</f>
        <v/>
      </c>
      <c r="AJ132" s="5">
        <f>IF(AD132,1+SUMPRODUCT(--(calc!$AD$3:$AD$306=TRUE),--(calc!$AF$3:$AF$306&gt;AF132))+(SUMPRODUCT(--(calc!$AD$3:$AD$306=TRUE),--(calc!$AF$3:$AF$306=AF132))-1)/2,"")</f>
        <v/>
      </c>
      <c r="AK132" s="5">
        <f>IF(AD132,SUMPRODUCT(--(calc!$AD$3:$AD$306=TRUE),--(ROW(calc!$AD$3:$AD$306)&gt;ROW(AD132)),--(((calc!$AI$3:$AI$306&gt;AI132)*(calc!$AJ$3:$AJ$306&gt;AJ132)+(calc!$AI$3:$AI$306&lt;AI132)*(calc!$AJ$3:$AJ$306&lt;AJ132))&gt;0))-SUMPRODUCT(--(calc!$AD$3:$AD$306=TRUE),--(ROW(calc!$AD$3:$AD$306)&gt;ROW(AD132)),--(((calc!$AI$3:$AI$306&gt;AI132)*(calc!$AJ$3:$AJ$306&lt;AJ132)+(calc!$AI$3:$AI$306&lt;AI132)*(calc!$AJ$3:$AJ$306&gt;AJ132))&gt;0)),0)</f>
        <v/>
      </c>
      <c r="AL132" s="5">
        <f>IF(mos_metrics!J131="","",mos_metrics!J131)</f>
        <v/>
      </c>
      <c r="AM132" s="2">
        <f>AND($J132,ISNUMBER(AL132),correlation!$I$29=1)</f>
        <v/>
      </c>
      <c r="AN132" s="5">
        <f>IF(AM132,$F132,"")</f>
        <v/>
      </c>
      <c r="AO132" s="5">
        <f>IF(AM132,AL132*correlation!$J$29,"")</f>
        <v/>
      </c>
      <c r="AP132" s="5">
        <f>IF(AND(AM132,ISNUMBER(correlation!$F$29)),AO132*correlation!$F$29+correlation!$G$29,"")</f>
        <v/>
      </c>
      <c r="AQ132" s="5">
        <f>IF(AND(AM132,ISNUMBER(AP132)),(AN132-AP132)^2,"")</f>
        <v/>
      </c>
      <c r="AR132" s="5">
        <f>IF(AM132,1+SUMPRODUCT(--(calc!$AM$3:$AM$306=TRUE),--(calc!$AN$3:$AN$306&gt;AN132))+(SUMPRODUCT(--(calc!$AM$3:$AM$306=TRUE),--(calc!$AN$3:$AN$306=AN132))-1)/2,"")</f>
        <v/>
      </c>
      <c r="AS132" s="5">
        <f>IF(AM132,1+SUMPRODUCT(--(calc!$AM$3:$AM$306=TRUE),--(calc!$AO$3:$AO$306&gt;AO132))+(SUMPRODUCT(--(calc!$AM$3:$AM$306=TRUE),--(calc!$AO$3:$AO$306=AO132))-1)/2,"")</f>
        <v/>
      </c>
      <c r="AT132" s="5">
        <f>IF(AM132,SUMPRODUCT(--(calc!$AM$3:$AM$306=TRUE),--(ROW(calc!$AM$3:$AM$306)&gt;ROW(AM132)),--(((calc!$AR$3:$AR$306&gt;AR132)*(calc!$AS$3:$AS$306&gt;AS132)+(calc!$AR$3:$AR$306&lt;AR132)*(calc!$AS$3:$AS$306&lt;AS132))&gt;0))-SUMPRODUCT(--(calc!$AM$3:$AM$306=TRUE),--(ROW(calc!$AM$3:$AM$306)&gt;ROW(AM132)),--(((calc!$AR$3:$AR$306&gt;AR132)*(calc!$AS$3:$AS$306&lt;AS132)+(calc!$AR$3:$AR$306&lt;AR132)*(calc!$AS$3:$AS$306&gt;AS132))&gt;0)),0)</f>
        <v/>
      </c>
      <c r="AU132" s="5">
        <f>IF(mos_metrics!K131="","",mos_metrics!K131)</f>
        <v/>
      </c>
      <c r="AV132" s="2">
        <f>AND($J132,ISNUMBER(AU132),correlation!$I$30=1)</f>
        <v/>
      </c>
      <c r="AW132" s="5">
        <f>IF(AV132,$F132,"")</f>
        <v/>
      </c>
      <c r="AX132" s="5">
        <f>IF(AV132,AU132*correlation!$J$30,"")</f>
        <v/>
      </c>
      <c r="AY132" s="5">
        <f>IF(AND(AV132,ISNUMBER(correlation!$F$30)),AX132*correlation!$F$30+correlation!$G$30,"")</f>
        <v/>
      </c>
      <c r="AZ132" s="5">
        <f>IF(AND(AV132,ISNUMBER(AY132)),(AW132-AY132)^2,"")</f>
        <v/>
      </c>
      <c r="BA132" s="5">
        <f>IF(AV132,1+SUMPRODUCT(--(calc!$AV$3:$AV$306=TRUE),--(calc!$AW$3:$AW$306&gt;AW132))+(SUMPRODUCT(--(calc!$AV$3:$AV$306=TRUE),--(calc!$AW$3:$AW$306=AW132))-1)/2,"")</f>
        <v/>
      </c>
      <c r="BB132" s="5">
        <f>IF(AV132,1+SUMPRODUCT(--(calc!$AV$3:$AV$306=TRUE),--(calc!$AX$3:$AX$306&gt;AX132))+(SUMPRODUCT(--(calc!$AV$3:$AV$306=TRUE),--(calc!$AX$3:$AX$306=AX132))-1)/2,"")</f>
        <v/>
      </c>
      <c r="BC132" s="5">
        <f>IF(AV132,SUMPRODUCT(--(calc!$AV$3:$AV$306=TRUE),--(ROW(calc!$AV$3:$AV$306)&gt;ROW(AV132)),--(((calc!$BA$3:$BA$306&gt;BA132)*(calc!$BB$3:$BB$306&gt;BB132)+(calc!$BA$3:$BA$306&lt;BA132)*(calc!$BB$3:$BB$306&lt;BB132))&gt;0))-SUMPRODUCT(--(calc!$AV$3:$AV$306=TRUE),--(ROW(calc!$AV$3:$AV$306)&gt;ROW(AV132)),--(((calc!$BA$3:$BA$306&gt;BA132)*(calc!$BB$3:$BB$306&lt;BB132)+(calc!$BA$3:$BA$306&lt;BA132)*(calc!$BB$3:$BB$306&gt;BB132))&gt;0)),0)</f>
        <v/>
      </c>
      <c r="BD132" s="5">
        <f>IF(mos_metrics!L131="","",mos_metrics!L131)</f>
        <v/>
      </c>
      <c r="BE132" s="2">
        <f>AND($J132,ISNUMBER(BD132),correlation!$I$31=1)</f>
        <v/>
      </c>
      <c r="BF132" s="5">
        <f>IF(BE132,$F132,"")</f>
        <v/>
      </c>
      <c r="BG132" s="5">
        <f>IF(BE132,BD132*correlation!$J$31,"")</f>
        <v/>
      </c>
      <c r="BH132" s="5">
        <f>IF(AND(BE132,ISNUMBER(correlation!$F$31)),BG132*correlation!$F$31+correlation!$G$31,"")</f>
        <v/>
      </c>
      <c r="BI132" s="5">
        <f>IF(AND(BE132,ISNUMBER(BH132)),(BF132-BH132)^2,"")</f>
        <v/>
      </c>
      <c r="BJ132" s="5">
        <f>IF(BE132,1+SUMPRODUCT(--(calc!$BE$3:$BE$306=TRUE),--(calc!$BF$3:$BF$306&gt;BF132))+(SUMPRODUCT(--(calc!$BE$3:$BE$306=TRUE),--(calc!$BF$3:$BF$306=BF132))-1)/2,"")</f>
        <v/>
      </c>
      <c r="BK132" s="5">
        <f>IF(BE132,1+SUMPRODUCT(--(calc!$BE$3:$BE$306=TRUE),--(calc!$BG$3:$BG$306&gt;BG132))+(SUMPRODUCT(--(calc!$BE$3:$BE$306=TRUE),--(calc!$BG$3:$BG$306=BG132))-1)/2,"")</f>
        <v/>
      </c>
      <c r="BL132" s="5">
        <f>IF(BE132,SUMPRODUCT(--(calc!$BE$3:$BE$306=TRUE),--(ROW(calc!$BE$3:$BE$306)&gt;ROW(BE132)),--(((calc!$BJ$3:$BJ$306&gt;BJ132)*(calc!$BK$3:$BK$306&gt;BK132)+(calc!$BJ$3:$BJ$306&lt;BJ132)*(calc!$BK$3:$BK$306&lt;BK132))&gt;0))-SUMPRODUCT(--(calc!$BE$3:$BE$306=TRUE),--(ROW(calc!$BE$3:$BE$306)&gt;ROW(BE132)),--(((calc!$BJ$3:$BJ$306&gt;BJ132)*(calc!$BK$3:$BK$306&lt;BK132)+(calc!$BJ$3:$BJ$306&lt;BJ132)*(calc!$BK$3:$BK$306&gt;BK132))&gt;0)),0)</f>
        <v/>
      </c>
      <c r="BM132" s="5">
        <f>IF(mos_metrics!M131="","",mos_metrics!M131)</f>
        <v/>
      </c>
      <c r="BN132" s="2">
        <f>AND($J132,ISNUMBER(BM132),correlation!$I$32=1)</f>
        <v/>
      </c>
      <c r="BO132" s="5">
        <f>IF(BN132,$F132,"")</f>
        <v/>
      </c>
      <c r="BP132" s="5">
        <f>IF(BN132,BM132*correlation!$J$32,"")</f>
        <v/>
      </c>
      <c r="BQ132" s="5">
        <f>IF(AND(BN132,ISNUMBER(correlation!$F$32)),BP132*correlation!$F$32+correlation!$G$32,"")</f>
        <v/>
      </c>
      <c r="BR132" s="5">
        <f>IF(AND(BN132,ISNUMBER(BQ132)),(BO132-BQ132)^2,"")</f>
        <v/>
      </c>
      <c r="BS132" s="5">
        <f>IF(BN132,1+SUMPRODUCT(--(calc!$BN$3:$BN$306=TRUE),--(calc!$BO$3:$BO$306&gt;BO132))+(SUMPRODUCT(--(calc!$BN$3:$BN$306=TRUE),--(calc!$BO$3:$BO$306=BO132))-1)/2,"")</f>
        <v/>
      </c>
      <c r="BT132" s="5">
        <f>IF(BN132,1+SUMPRODUCT(--(calc!$BN$3:$BN$306=TRUE),--(calc!$BP$3:$BP$306&gt;BP132))+(SUMPRODUCT(--(calc!$BN$3:$BN$306=TRUE),--(calc!$BP$3:$BP$306=BP132))-1)/2,"")</f>
        <v/>
      </c>
      <c r="BU132" s="5">
        <f>IF(BN132,SUMPRODUCT(--(calc!$BN$3:$BN$306=TRUE),--(ROW(calc!$BN$3:$BN$306)&gt;ROW(BN132)),--(((calc!$BS$3:$BS$306&gt;BS132)*(calc!$BT$3:$BT$306&gt;BT132)+(calc!$BS$3:$BS$306&lt;BS132)*(calc!$BT$3:$BT$306&lt;BT132))&gt;0))-SUMPRODUCT(--(calc!$BN$3:$BN$306=TRUE),--(ROW(calc!$BN$3:$BN$306)&gt;ROW(BN132)),--(((calc!$BS$3:$BS$306&gt;BS132)*(calc!$BT$3:$BT$306&lt;BT132)+(calc!$BS$3:$BS$306&lt;BS132)*(calc!$BT$3:$BT$306&gt;BT132))&gt;0)),0)</f>
        <v/>
      </c>
    </row>
    <row r="133">
      <c r="A133" s="2">
        <f>mos_metrics!A132</f>
        <v/>
      </c>
      <c r="B133" s="2">
        <f>mos_metrics!B132</f>
        <v/>
      </c>
      <c r="C133" s="2">
        <f>mos_metrics!C132</f>
        <v/>
      </c>
      <c r="D133" s="2">
        <f>mos_metrics!D132</f>
        <v/>
      </c>
      <c r="E133" s="2">
        <f>mos_metrics!E132</f>
        <v/>
      </c>
      <c r="F133" s="2">
        <f>mos_metrics!F132</f>
        <v/>
      </c>
      <c r="G133" s="2">
        <f>IF($B133="","",IFERROR(VLOOKUP($B133,correlation!$A$2:$B$16,2,FALSE),1))</f>
        <v/>
      </c>
      <c r="H133" s="2">
        <f>IF($E133="","",IFERROR(VLOOKUP($E133,correlation!$D$2:$E$8,2,FALSE),1))</f>
        <v/>
      </c>
      <c r="I133" s="2">
        <f>ISNUMBER($F133)</f>
        <v/>
      </c>
      <c r="J133" s="2">
        <f>AND($G133=1,$H133=1,$I133)</f>
        <v/>
      </c>
      <c r="K133" s="5">
        <f>IF(mos_metrics!G132="","",mos_metrics!G132)</f>
        <v/>
      </c>
      <c r="L133" s="2">
        <f>AND($J133,ISNUMBER(K133),correlation!$I$26=1)</f>
        <v/>
      </c>
      <c r="M133" s="5">
        <f>IF(L133,$F133,"")</f>
        <v/>
      </c>
      <c r="N133" s="5">
        <f>IF(L133,K133*correlation!$J$26,"")</f>
        <v/>
      </c>
      <c r="O133" s="5">
        <f>IF(AND(L133,ISNUMBER(correlation!$F$26)),N133*correlation!$F$26+correlation!$G$26,"")</f>
        <v/>
      </c>
      <c r="P133" s="5">
        <f>IF(AND(L133,ISNUMBER(O133)),(M133-O133)^2,"")</f>
        <v/>
      </c>
      <c r="Q133" s="5">
        <f>IF(L133,1+SUMPRODUCT(--(calc!$L$3:$L$306=TRUE),--(calc!$M$3:$M$306&gt;M133))+(SUMPRODUCT(--(calc!$L$3:$L$306=TRUE),--(calc!$M$3:$M$306=M133))-1)/2,"")</f>
        <v/>
      </c>
      <c r="R133" s="5">
        <f>IF(L133,1+SUMPRODUCT(--(calc!$L$3:$L$306=TRUE),--(calc!$N$3:$N$306&gt;N133))+(SUMPRODUCT(--(calc!$L$3:$L$306=TRUE),--(calc!$N$3:$N$306=N133))-1)/2,"")</f>
        <v/>
      </c>
      <c r="S133" s="5">
        <f>IF(L133,SUMPRODUCT(--(calc!$L$3:$L$306=TRUE),--(ROW(calc!$L$3:$L$306)&gt;ROW(L133)),--(((calc!$Q$3:$Q$306&gt;Q133)*(calc!$R$3:$R$306&gt;R133)+(calc!$Q$3:$Q$306&lt;Q133)*(calc!$R$3:$R$306&lt;R133))&gt;0))-SUMPRODUCT(--(calc!$L$3:$L$306=TRUE),--(ROW(calc!$L$3:$L$306)&gt;ROW(L133)),--(((calc!$Q$3:$Q$306&gt;Q133)*(calc!$R$3:$R$306&lt;R133)+(calc!$Q$3:$Q$306&lt;Q133)*(calc!$R$3:$R$306&gt;R133))&gt;0)),0)</f>
        <v/>
      </c>
      <c r="T133" s="5">
        <f>IF(mos_metrics!H132="","",mos_metrics!H132)</f>
        <v/>
      </c>
      <c r="U133" s="2">
        <f>AND($J133,ISNUMBER(T133),correlation!$I$27=1)</f>
        <v/>
      </c>
      <c r="V133" s="5">
        <f>IF(U133,$F133,"")</f>
        <v/>
      </c>
      <c r="W133" s="5">
        <f>IF(U133,T133*correlation!$J$27,"")</f>
        <v/>
      </c>
      <c r="X133" s="5">
        <f>IF(AND(U133,ISNUMBER(correlation!$F$27)),W133*correlation!$F$27+correlation!$G$27,"")</f>
        <v/>
      </c>
      <c r="Y133" s="5">
        <f>IF(AND(U133,ISNUMBER(X133)),(V133-X133)^2,"")</f>
        <v/>
      </c>
      <c r="Z133" s="5">
        <f>IF(U133,1+SUMPRODUCT(--(calc!$U$3:$U$306=TRUE),--(calc!$V$3:$V$306&gt;V133))+(SUMPRODUCT(--(calc!$U$3:$U$306=TRUE),--(calc!$V$3:$V$306=V133))-1)/2,"")</f>
        <v/>
      </c>
      <c r="AA133" s="5">
        <f>IF(U133,1+SUMPRODUCT(--(calc!$U$3:$U$306=TRUE),--(calc!$W$3:$W$306&gt;W133))+(SUMPRODUCT(--(calc!$U$3:$U$306=TRUE),--(calc!$W$3:$W$306=W133))-1)/2,"")</f>
        <v/>
      </c>
      <c r="AB133" s="5">
        <f>IF(U133,SUMPRODUCT(--(calc!$U$3:$U$306=TRUE),--(ROW(calc!$U$3:$U$306)&gt;ROW(U133)),--(((calc!$Z$3:$Z$306&gt;Z133)*(calc!$AA$3:$AA$306&gt;AA133)+(calc!$Z$3:$Z$306&lt;Z133)*(calc!$AA$3:$AA$306&lt;AA133))&gt;0))-SUMPRODUCT(--(calc!$U$3:$U$306=TRUE),--(ROW(calc!$U$3:$U$306)&gt;ROW(U133)),--(((calc!$Z$3:$Z$306&gt;Z133)*(calc!$AA$3:$AA$306&lt;AA133)+(calc!$Z$3:$Z$306&lt;Z133)*(calc!$AA$3:$AA$306&gt;AA133))&gt;0)),0)</f>
        <v/>
      </c>
      <c r="AC133" s="5">
        <f>IF(mos_metrics!I132="","",mos_metrics!I132)</f>
        <v/>
      </c>
      <c r="AD133" s="2">
        <f>AND($J133,ISNUMBER(AC133),correlation!$I$28=1)</f>
        <v/>
      </c>
      <c r="AE133" s="5">
        <f>IF(AD133,$F133,"")</f>
        <v/>
      </c>
      <c r="AF133" s="5">
        <f>IF(AD133,AC133*correlation!$J$28,"")</f>
        <v/>
      </c>
      <c r="AG133" s="5">
        <f>IF(AND(AD133,ISNUMBER(correlation!$F$28)),AF133*correlation!$F$28+correlation!$G$28,"")</f>
        <v/>
      </c>
      <c r="AH133" s="5">
        <f>IF(AND(AD133,ISNUMBER(AG133)),(AE133-AG133)^2,"")</f>
        <v/>
      </c>
      <c r="AI133" s="5">
        <f>IF(AD133,1+SUMPRODUCT(--(calc!$AD$3:$AD$306=TRUE),--(calc!$AE$3:$AE$306&gt;AE133))+(SUMPRODUCT(--(calc!$AD$3:$AD$306=TRUE),--(calc!$AE$3:$AE$306=AE133))-1)/2,"")</f>
        <v/>
      </c>
      <c r="AJ133" s="5">
        <f>IF(AD133,1+SUMPRODUCT(--(calc!$AD$3:$AD$306=TRUE),--(calc!$AF$3:$AF$306&gt;AF133))+(SUMPRODUCT(--(calc!$AD$3:$AD$306=TRUE),--(calc!$AF$3:$AF$306=AF133))-1)/2,"")</f>
        <v/>
      </c>
      <c r="AK133" s="5">
        <f>IF(AD133,SUMPRODUCT(--(calc!$AD$3:$AD$306=TRUE),--(ROW(calc!$AD$3:$AD$306)&gt;ROW(AD133)),--(((calc!$AI$3:$AI$306&gt;AI133)*(calc!$AJ$3:$AJ$306&gt;AJ133)+(calc!$AI$3:$AI$306&lt;AI133)*(calc!$AJ$3:$AJ$306&lt;AJ133))&gt;0))-SUMPRODUCT(--(calc!$AD$3:$AD$306=TRUE),--(ROW(calc!$AD$3:$AD$306)&gt;ROW(AD133)),--(((calc!$AI$3:$AI$306&gt;AI133)*(calc!$AJ$3:$AJ$306&lt;AJ133)+(calc!$AI$3:$AI$306&lt;AI133)*(calc!$AJ$3:$AJ$306&gt;AJ133))&gt;0)),0)</f>
        <v/>
      </c>
      <c r="AL133" s="5">
        <f>IF(mos_metrics!J132="","",mos_metrics!J132)</f>
        <v/>
      </c>
      <c r="AM133" s="2">
        <f>AND($J133,ISNUMBER(AL133),correlation!$I$29=1)</f>
        <v/>
      </c>
      <c r="AN133" s="5">
        <f>IF(AM133,$F133,"")</f>
        <v/>
      </c>
      <c r="AO133" s="5">
        <f>IF(AM133,AL133*correlation!$J$29,"")</f>
        <v/>
      </c>
      <c r="AP133" s="5">
        <f>IF(AND(AM133,ISNUMBER(correlation!$F$29)),AO133*correlation!$F$29+correlation!$G$29,"")</f>
        <v/>
      </c>
      <c r="AQ133" s="5">
        <f>IF(AND(AM133,ISNUMBER(AP133)),(AN133-AP133)^2,"")</f>
        <v/>
      </c>
      <c r="AR133" s="5">
        <f>IF(AM133,1+SUMPRODUCT(--(calc!$AM$3:$AM$306=TRUE),--(calc!$AN$3:$AN$306&gt;AN133))+(SUMPRODUCT(--(calc!$AM$3:$AM$306=TRUE),--(calc!$AN$3:$AN$306=AN133))-1)/2,"")</f>
        <v/>
      </c>
      <c r="AS133" s="5">
        <f>IF(AM133,1+SUMPRODUCT(--(calc!$AM$3:$AM$306=TRUE),--(calc!$AO$3:$AO$306&gt;AO133))+(SUMPRODUCT(--(calc!$AM$3:$AM$306=TRUE),--(calc!$AO$3:$AO$306=AO133))-1)/2,"")</f>
        <v/>
      </c>
      <c r="AT133" s="5">
        <f>IF(AM133,SUMPRODUCT(--(calc!$AM$3:$AM$306=TRUE),--(ROW(calc!$AM$3:$AM$306)&gt;ROW(AM133)),--(((calc!$AR$3:$AR$306&gt;AR133)*(calc!$AS$3:$AS$306&gt;AS133)+(calc!$AR$3:$AR$306&lt;AR133)*(calc!$AS$3:$AS$306&lt;AS133))&gt;0))-SUMPRODUCT(--(calc!$AM$3:$AM$306=TRUE),--(ROW(calc!$AM$3:$AM$306)&gt;ROW(AM133)),--(((calc!$AR$3:$AR$306&gt;AR133)*(calc!$AS$3:$AS$306&lt;AS133)+(calc!$AR$3:$AR$306&lt;AR133)*(calc!$AS$3:$AS$306&gt;AS133))&gt;0)),0)</f>
        <v/>
      </c>
      <c r="AU133" s="5">
        <f>IF(mos_metrics!K132="","",mos_metrics!K132)</f>
        <v/>
      </c>
      <c r="AV133" s="2">
        <f>AND($J133,ISNUMBER(AU133),correlation!$I$30=1)</f>
        <v/>
      </c>
      <c r="AW133" s="5">
        <f>IF(AV133,$F133,"")</f>
        <v/>
      </c>
      <c r="AX133" s="5">
        <f>IF(AV133,AU133*correlation!$J$30,"")</f>
        <v/>
      </c>
      <c r="AY133" s="5">
        <f>IF(AND(AV133,ISNUMBER(correlation!$F$30)),AX133*correlation!$F$30+correlation!$G$30,"")</f>
        <v/>
      </c>
      <c r="AZ133" s="5">
        <f>IF(AND(AV133,ISNUMBER(AY133)),(AW133-AY133)^2,"")</f>
        <v/>
      </c>
      <c r="BA133" s="5">
        <f>IF(AV133,1+SUMPRODUCT(--(calc!$AV$3:$AV$306=TRUE),--(calc!$AW$3:$AW$306&gt;AW133))+(SUMPRODUCT(--(calc!$AV$3:$AV$306=TRUE),--(calc!$AW$3:$AW$306=AW133))-1)/2,"")</f>
        <v/>
      </c>
      <c r="BB133" s="5">
        <f>IF(AV133,1+SUMPRODUCT(--(calc!$AV$3:$AV$306=TRUE),--(calc!$AX$3:$AX$306&gt;AX133))+(SUMPRODUCT(--(calc!$AV$3:$AV$306=TRUE),--(calc!$AX$3:$AX$306=AX133))-1)/2,"")</f>
        <v/>
      </c>
      <c r="BC133" s="5">
        <f>IF(AV133,SUMPRODUCT(--(calc!$AV$3:$AV$306=TRUE),--(ROW(calc!$AV$3:$AV$306)&gt;ROW(AV133)),--(((calc!$BA$3:$BA$306&gt;BA133)*(calc!$BB$3:$BB$306&gt;BB133)+(calc!$BA$3:$BA$306&lt;BA133)*(calc!$BB$3:$BB$306&lt;BB133))&gt;0))-SUMPRODUCT(--(calc!$AV$3:$AV$306=TRUE),--(ROW(calc!$AV$3:$AV$306)&gt;ROW(AV133)),--(((calc!$BA$3:$BA$306&gt;BA133)*(calc!$BB$3:$BB$306&lt;BB133)+(calc!$BA$3:$BA$306&lt;BA133)*(calc!$BB$3:$BB$306&gt;BB133))&gt;0)),0)</f>
        <v/>
      </c>
      <c r="BD133" s="5">
        <f>IF(mos_metrics!L132="","",mos_metrics!L132)</f>
        <v/>
      </c>
      <c r="BE133" s="2">
        <f>AND($J133,ISNUMBER(BD133),correlation!$I$31=1)</f>
        <v/>
      </c>
      <c r="BF133" s="5">
        <f>IF(BE133,$F133,"")</f>
        <v/>
      </c>
      <c r="BG133" s="5">
        <f>IF(BE133,BD133*correlation!$J$31,"")</f>
        <v/>
      </c>
      <c r="BH133" s="5">
        <f>IF(AND(BE133,ISNUMBER(correlation!$F$31)),BG133*correlation!$F$31+correlation!$G$31,"")</f>
        <v/>
      </c>
      <c r="BI133" s="5">
        <f>IF(AND(BE133,ISNUMBER(BH133)),(BF133-BH133)^2,"")</f>
        <v/>
      </c>
      <c r="BJ133" s="5">
        <f>IF(BE133,1+SUMPRODUCT(--(calc!$BE$3:$BE$306=TRUE),--(calc!$BF$3:$BF$306&gt;BF133))+(SUMPRODUCT(--(calc!$BE$3:$BE$306=TRUE),--(calc!$BF$3:$BF$306=BF133))-1)/2,"")</f>
        <v/>
      </c>
      <c r="BK133" s="5">
        <f>IF(BE133,1+SUMPRODUCT(--(calc!$BE$3:$BE$306=TRUE),--(calc!$BG$3:$BG$306&gt;BG133))+(SUMPRODUCT(--(calc!$BE$3:$BE$306=TRUE),--(calc!$BG$3:$BG$306=BG133))-1)/2,"")</f>
        <v/>
      </c>
      <c r="BL133" s="5">
        <f>IF(BE133,SUMPRODUCT(--(calc!$BE$3:$BE$306=TRUE),--(ROW(calc!$BE$3:$BE$306)&gt;ROW(BE133)),--(((calc!$BJ$3:$BJ$306&gt;BJ133)*(calc!$BK$3:$BK$306&gt;BK133)+(calc!$BJ$3:$BJ$306&lt;BJ133)*(calc!$BK$3:$BK$306&lt;BK133))&gt;0))-SUMPRODUCT(--(calc!$BE$3:$BE$306=TRUE),--(ROW(calc!$BE$3:$BE$306)&gt;ROW(BE133)),--(((calc!$BJ$3:$BJ$306&gt;BJ133)*(calc!$BK$3:$BK$306&lt;BK133)+(calc!$BJ$3:$BJ$306&lt;BJ133)*(calc!$BK$3:$BK$306&gt;BK133))&gt;0)),0)</f>
        <v/>
      </c>
      <c r="BM133" s="5">
        <f>IF(mos_metrics!M132="","",mos_metrics!M132)</f>
        <v/>
      </c>
      <c r="BN133" s="2">
        <f>AND($J133,ISNUMBER(BM133),correlation!$I$32=1)</f>
        <v/>
      </c>
      <c r="BO133" s="5">
        <f>IF(BN133,$F133,"")</f>
        <v/>
      </c>
      <c r="BP133" s="5">
        <f>IF(BN133,BM133*correlation!$J$32,"")</f>
        <v/>
      </c>
      <c r="BQ133" s="5">
        <f>IF(AND(BN133,ISNUMBER(correlation!$F$32)),BP133*correlation!$F$32+correlation!$G$32,"")</f>
        <v/>
      </c>
      <c r="BR133" s="5">
        <f>IF(AND(BN133,ISNUMBER(BQ133)),(BO133-BQ133)^2,"")</f>
        <v/>
      </c>
      <c r="BS133" s="5">
        <f>IF(BN133,1+SUMPRODUCT(--(calc!$BN$3:$BN$306=TRUE),--(calc!$BO$3:$BO$306&gt;BO133))+(SUMPRODUCT(--(calc!$BN$3:$BN$306=TRUE),--(calc!$BO$3:$BO$306=BO133))-1)/2,"")</f>
        <v/>
      </c>
      <c r="BT133" s="5">
        <f>IF(BN133,1+SUMPRODUCT(--(calc!$BN$3:$BN$306=TRUE),--(calc!$BP$3:$BP$306&gt;BP133))+(SUMPRODUCT(--(calc!$BN$3:$BN$306=TRUE),--(calc!$BP$3:$BP$306=BP133))-1)/2,"")</f>
        <v/>
      </c>
      <c r="BU133" s="5">
        <f>IF(BN133,SUMPRODUCT(--(calc!$BN$3:$BN$306=TRUE),--(ROW(calc!$BN$3:$BN$306)&gt;ROW(BN133)),--(((calc!$BS$3:$BS$306&gt;BS133)*(calc!$BT$3:$BT$306&gt;BT133)+(calc!$BS$3:$BS$306&lt;BS133)*(calc!$BT$3:$BT$306&lt;BT133))&gt;0))-SUMPRODUCT(--(calc!$BN$3:$BN$306=TRUE),--(ROW(calc!$BN$3:$BN$306)&gt;ROW(BN133)),--(((calc!$BS$3:$BS$306&gt;BS133)*(calc!$BT$3:$BT$306&lt;BT133)+(calc!$BS$3:$BS$306&lt;BS133)*(calc!$BT$3:$BT$306&gt;BT133))&gt;0)),0)</f>
        <v/>
      </c>
    </row>
    <row r="134">
      <c r="A134" s="2">
        <f>mos_metrics!A133</f>
        <v/>
      </c>
      <c r="B134" s="2">
        <f>mos_metrics!B133</f>
        <v/>
      </c>
      <c r="C134" s="2">
        <f>mos_metrics!C133</f>
        <v/>
      </c>
      <c r="D134" s="2">
        <f>mos_metrics!D133</f>
        <v/>
      </c>
      <c r="E134" s="2">
        <f>mos_metrics!E133</f>
        <v/>
      </c>
      <c r="F134" s="2">
        <f>mos_metrics!F133</f>
        <v/>
      </c>
      <c r="G134" s="2">
        <f>IF($B134="","",IFERROR(VLOOKUP($B134,correlation!$A$2:$B$16,2,FALSE),1))</f>
        <v/>
      </c>
      <c r="H134" s="2">
        <f>IF($E134="","",IFERROR(VLOOKUP($E134,correlation!$D$2:$E$8,2,FALSE),1))</f>
        <v/>
      </c>
      <c r="I134" s="2">
        <f>ISNUMBER($F134)</f>
        <v/>
      </c>
      <c r="J134" s="2">
        <f>AND($G134=1,$H134=1,$I134)</f>
        <v/>
      </c>
      <c r="K134" s="5">
        <f>IF(mos_metrics!G133="","",mos_metrics!G133)</f>
        <v/>
      </c>
      <c r="L134" s="2">
        <f>AND($J134,ISNUMBER(K134),correlation!$I$26=1)</f>
        <v/>
      </c>
      <c r="M134" s="5">
        <f>IF(L134,$F134,"")</f>
        <v/>
      </c>
      <c r="N134" s="5">
        <f>IF(L134,K134*correlation!$J$26,"")</f>
        <v/>
      </c>
      <c r="O134" s="5">
        <f>IF(AND(L134,ISNUMBER(correlation!$F$26)),N134*correlation!$F$26+correlation!$G$26,"")</f>
        <v/>
      </c>
      <c r="P134" s="5">
        <f>IF(AND(L134,ISNUMBER(O134)),(M134-O134)^2,"")</f>
        <v/>
      </c>
      <c r="Q134" s="5">
        <f>IF(L134,1+SUMPRODUCT(--(calc!$L$3:$L$306=TRUE),--(calc!$M$3:$M$306&gt;M134))+(SUMPRODUCT(--(calc!$L$3:$L$306=TRUE),--(calc!$M$3:$M$306=M134))-1)/2,"")</f>
        <v/>
      </c>
      <c r="R134" s="5">
        <f>IF(L134,1+SUMPRODUCT(--(calc!$L$3:$L$306=TRUE),--(calc!$N$3:$N$306&gt;N134))+(SUMPRODUCT(--(calc!$L$3:$L$306=TRUE),--(calc!$N$3:$N$306=N134))-1)/2,"")</f>
        <v/>
      </c>
      <c r="S134" s="5">
        <f>IF(L134,SUMPRODUCT(--(calc!$L$3:$L$306=TRUE),--(ROW(calc!$L$3:$L$306)&gt;ROW(L134)),--(((calc!$Q$3:$Q$306&gt;Q134)*(calc!$R$3:$R$306&gt;R134)+(calc!$Q$3:$Q$306&lt;Q134)*(calc!$R$3:$R$306&lt;R134))&gt;0))-SUMPRODUCT(--(calc!$L$3:$L$306=TRUE),--(ROW(calc!$L$3:$L$306)&gt;ROW(L134)),--(((calc!$Q$3:$Q$306&gt;Q134)*(calc!$R$3:$R$306&lt;R134)+(calc!$Q$3:$Q$306&lt;Q134)*(calc!$R$3:$R$306&gt;R134))&gt;0)),0)</f>
        <v/>
      </c>
      <c r="T134" s="5">
        <f>IF(mos_metrics!H133="","",mos_metrics!H133)</f>
        <v/>
      </c>
      <c r="U134" s="2">
        <f>AND($J134,ISNUMBER(T134),correlation!$I$27=1)</f>
        <v/>
      </c>
      <c r="V134" s="5">
        <f>IF(U134,$F134,"")</f>
        <v/>
      </c>
      <c r="W134" s="5">
        <f>IF(U134,T134*correlation!$J$27,"")</f>
        <v/>
      </c>
      <c r="X134" s="5">
        <f>IF(AND(U134,ISNUMBER(correlation!$F$27)),W134*correlation!$F$27+correlation!$G$27,"")</f>
        <v/>
      </c>
      <c r="Y134" s="5">
        <f>IF(AND(U134,ISNUMBER(X134)),(V134-X134)^2,"")</f>
        <v/>
      </c>
      <c r="Z134" s="5">
        <f>IF(U134,1+SUMPRODUCT(--(calc!$U$3:$U$306=TRUE),--(calc!$V$3:$V$306&gt;V134))+(SUMPRODUCT(--(calc!$U$3:$U$306=TRUE),--(calc!$V$3:$V$306=V134))-1)/2,"")</f>
        <v/>
      </c>
      <c r="AA134" s="5">
        <f>IF(U134,1+SUMPRODUCT(--(calc!$U$3:$U$306=TRUE),--(calc!$W$3:$W$306&gt;W134))+(SUMPRODUCT(--(calc!$U$3:$U$306=TRUE),--(calc!$W$3:$W$306=W134))-1)/2,"")</f>
        <v/>
      </c>
      <c r="AB134" s="5">
        <f>IF(U134,SUMPRODUCT(--(calc!$U$3:$U$306=TRUE),--(ROW(calc!$U$3:$U$306)&gt;ROW(U134)),--(((calc!$Z$3:$Z$306&gt;Z134)*(calc!$AA$3:$AA$306&gt;AA134)+(calc!$Z$3:$Z$306&lt;Z134)*(calc!$AA$3:$AA$306&lt;AA134))&gt;0))-SUMPRODUCT(--(calc!$U$3:$U$306=TRUE),--(ROW(calc!$U$3:$U$306)&gt;ROW(U134)),--(((calc!$Z$3:$Z$306&gt;Z134)*(calc!$AA$3:$AA$306&lt;AA134)+(calc!$Z$3:$Z$306&lt;Z134)*(calc!$AA$3:$AA$306&gt;AA134))&gt;0)),0)</f>
        <v/>
      </c>
      <c r="AC134" s="5">
        <f>IF(mos_metrics!I133="","",mos_metrics!I133)</f>
        <v/>
      </c>
      <c r="AD134" s="2">
        <f>AND($J134,ISNUMBER(AC134),correlation!$I$28=1)</f>
        <v/>
      </c>
      <c r="AE134" s="5">
        <f>IF(AD134,$F134,"")</f>
        <v/>
      </c>
      <c r="AF134" s="5">
        <f>IF(AD134,AC134*correlation!$J$28,"")</f>
        <v/>
      </c>
      <c r="AG134" s="5">
        <f>IF(AND(AD134,ISNUMBER(correlation!$F$28)),AF134*correlation!$F$28+correlation!$G$28,"")</f>
        <v/>
      </c>
      <c r="AH134" s="5">
        <f>IF(AND(AD134,ISNUMBER(AG134)),(AE134-AG134)^2,"")</f>
        <v/>
      </c>
      <c r="AI134" s="5">
        <f>IF(AD134,1+SUMPRODUCT(--(calc!$AD$3:$AD$306=TRUE),--(calc!$AE$3:$AE$306&gt;AE134))+(SUMPRODUCT(--(calc!$AD$3:$AD$306=TRUE),--(calc!$AE$3:$AE$306=AE134))-1)/2,"")</f>
        <v/>
      </c>
      <c r="AJ134" s="5">
        <f>IF(AD134,1+SUMPRODUCT(--(calc!$AD$3:$AD$306=TRUE),--(calc!$AF$3:$AF$306&gt;AF134))+(SUMPRODUCT(--(calc!$AD$3:$AD$306=TRUE),--(calc!$AF$3:$AF$306=AF134))-1)/2,"")</f>
        <v/>
      </c>
      <c r="AK134" s="5">
        <f>IF(AD134,SUMPRODUCT(--(calc!$AD$3:$AD$306=TRUE),--(ROW(calc!$AD$3:$AD$306)&gt;ROW(AD134)),--(((calc!$AI$3:$AI$306&gt;AI134)*(calc!$AJ$3:$AJ$306&gt;AJ134)+(calc!$AI$3:$AI$306&lt;AI134)*(calc!$AJ$3:$AJ$306&lt;AJ134))&gt;0))-SUMPRODUCT(--(calc!$AD$3:$AD$306=TRUE),--(ROW(calc!$AD$3:$AD$306)&gt;ROW(AD134)),--(((calc!$AI$3:$AI$306&gt;AI134)*(calc!$AJ$3:$AJ$306&lt;AJ134)+(calc!$AI$3:$AI$306&lt;AI134)*(calc!$AJ$3:$AJ$306&gt;AJ134))&gt;0)),0)</f>
        <v/>
      </c>
      <c r="AL134" s="5">
        <f>IF(mos_metrics!J133="","",mos_metrics!J133)</f>
        <v/>
      </c>
      <c r="AM134" s="2">
        <f>AND($J134,ISNUMBER(AL134),correlation!$I$29=1)</f>
        <v/>
      </c>
      <c r="AN134" s="5">
        <f>IF(AM134,$F134,"")</f>
        <v/>
      </c>
      <c r="AO134" s="5">
        <f>IF(AM134,AL134*correlation!$J$29,"")</f>
        <v/>
      </c>
      <c r="AP134" s="5">
        <f>IF(AND(AM134,ISNUMBER(correlation!$F$29)),AO134*correlation!$F$29+correlation!$G$29,"")</f>
        <v/>
      </c>
      <c r="AQ134" s="5">
        <f>IF(AND(AM134,ISNUMBER(AP134)),(AN134-AP134)^2,"")</f>
        <v/>
      </c>
      <c r="AR134" s="5">
        <f>IF(AM134,1+SUMPRODUCT(--(calc!$AM$3:$AM$306=TRUE),--(calc!$AN$3:$AN$306&gt;AN134))+(SUMPRODUCT(--(calc!$AM$3:$AM$306=TRUE),--(calc!$AN$3:$AN$306=AN134))-1)/2,"")</f>
        <v/>
      </c>
      <c r="AS134" s="5">
        <f>IF(AM134,1+SUMPRODUCT(--(calc!$AM$3:$AM$306=TRUE),--(calc!$AO$3:$AO$306&gt;AO134))+(SUMPRODUCT(--(calc!$AM$3:$AM$306=TRUE),--(calc!$AO$3:$AO$306=AO134))-1)/2,"")</f>
        <v/>
      </c>
      <c r="AT134" s="5">
        <f>IF(AM134,SUMPRODUCT(--(calc!$AM$3:$AM$306=TRUE),--(ROW(calc!$AM$3:$AM$306)&gt;ROW(AM134)),--(((calc!$AR$3:$AR$306&gt;AR134)*(calc!$AS$3:$AS$306&gt;AS134)+(calc!$AR$3:$AR$306&lt;AR134)*(calc!$AS$3:$AS$306&lt;AS134))&gt;0))-SUMPRODUCT(--(calc!$AM$3:$AM$306=TRUE),--(ROW(calc!$AM$3:$AM$306)&gt;ROW(AM134)),--(((calc!$AR$3:$AR$306&gt;AR134)*(calc!$AS$3:$AS$306&lt;AS134)+(calc!$AR$3:$AR$306&lt;AR134)*(calc!$AS$3:$AS$306&gt;AS134))&gt;0)),0)</f>
        <v/>
      </c>
      <c r="AU134" s="5">
        <f>IF(mos_metrics!K133="","",mos_metrics!K133)</f>
        <v/>
      </c>
      <c r="AV134" s="2">
        <f>AND($J134,ISNUMBER(AU134),correlation!$I$30=1)</f>
        <v/>
      </c>
      <c r="AW134" s="5">
        <f>IF(AV134,$F134,"")</f>
        <v/>
      </c>
      <c r="AX134" s="5">
        <f>IF(AV134,AU134*correlation!$J$30,"")</f>
        <v/>
      </c>
      <c r="AY134" s="5">
        <f>IF(AND(AV134,ISNUMBER(correlation!$F$30)),AX134*correlation!$F$30+correlation!$G$30,"")</f>
        <v/>
      </c>
      <c r="AZ134" s="5">
        <f>IF(AND(AV134,ISNUMBER(AY134)),(AW134-AY134)^2,"")</f>
        <v/>
      </c>
      <c r="BA134" s="5">
        <f>IF(AV134,1+SUMPRODUCT(--(calc!$AV$3:$AV$306=TRUE),--(calc!$AW$3:$AW$306&gt;AW134))+(SUMPRODUCT(--(calc!$AV$3:$AV$306=TRUE),--(calc!$AW$3:$AW$306=AW134))-1)/2,"")</f>
        <v/>
      </c>
      <c r="BB134" s="5">
        <f>IF(AV134,1+SUMPRODUCT(--(calc!$AV$3:$AV$306=TRUE),--(calc!$AX$3:$AX$306&gt;AX134))+(SUMPRODUCT(--(calc!$AV$3:$AV$306=TRUE),--(calc!$AX$3:$AX$306=AX134))-1)/2,"")</f>
        <v/>
      </c>
      <c r="BC134" s="5">
        <f>IF(AV134,SUMPRODUCT(--(calc!$AV$3:$AV$306=TRUE),--(ROW(calc!$AV$3:$AV$306)&gt;ROW(AV134)),--(((calc!$BA$3:$BA$306&gt;BA134)*(calc!$BB$3:$BB$306&gt;BB134)+(calc!$BA$3:$BA$306&lt;BA134)*(calc!$BB$3:$BB$306&lt;BB134))&gt;0))-SUMPRODUCT(--(calc!$AV$3:$AV$306=TRUE),--(ROW(calc!$AV$3:$AV$306)&gt;ROW(AV134)),--(((calc!$BA$3:$BA$306&gt;BA134)*(calc!$BB$3:$BB$306&lt;BB134)+(calc!$BA$3:$BA$306&lt;BA134)*(calc!$BB$3:$BB$306&gt;BB134))&gt;0)),0)</f>
        <v/>
      </c>
      <c r="BD134" s="5">
        <f>IF(mos_metrics!L133="","",mos_metrics!L133)</f>
        <v/>
      </c>
      <c r="BE134" s="2">
        <f>AND($J134,ISNUMBER(BD134),correlation!$I$31=1)</f>
        <v/>
      </c>
      <c r="BF134" s="5">
        <f>IF(BE134,$F134,"")</f>
        <v/>
      </c>
      <c r="BG134" s="5">
        <f>IF(BE134,BD134*correlation!$J$31,"")</f>
        <v/>
      </c>
      <c r="BH134" s="5">
        <f>IF(AND(BE134,ISNUMBER(correlation!$F$31)),BG134*correlation!$F$31+correlation!$G$31,"")</f>
        <v/>
      </c>
      <c r="BI134" s="5">
        <f>IF(AND(BE134,ISNUMBER(BH134)),(BF134-BH134)^2,"")</f>
        <v/>
      </c>
      <c r="BJ134" s="5">
        <f>IF(BE134,1+SUMPRODUCT(--(calc!$BE$3:$BE$306=TRUE),--(calc!$BF$3:$BF$306&gt;BF134))+(SUMPRODUCT(--(calc!$BE$3:$BE$306=TRUE),--(calc!$BF$3:$BF$306=BF134))-1)/2,"")</f>
        <v/>
      </c>
      <c r="BK134" s="5">
        <f>IF(BE134,1+SUMPRODUCT(--(calc!$BE$3:$BE$306=TRUE),--(calc!$BG$3:$BG$306&gt;BG134))+(SUMPRODUCT(--(calc!$BE$3:$BE$306=TRUE),--(calc!$BG$3:$BG$306=BG134))-1)/2,"")</f>
        <v/>
      </c>
      <c r="BL134" s="5">
        <f>IF(BE134,SUMPRODUCT(--(calc!$BE$3:$BE$306=TRUE),--(ROW(calc!$BE$3:$BE$306)&gt;ROW(BE134)),--(((calc!$BJ$3:$BJ$306&gt;BJ134)*(calc!$BK$3:$BK$306&gt;BK134)+(calc!$BJ$3:$BJ$306&lt;BJ134)*(calc!$BK$3:$BK$306&lt;BK134))&gt;0))-SUMPRODUCT(--(calc!$BE$3:$BE$306=TRUE),--(ROW(calc!$BE$3:$BE$306)&gt;ROW(BE134)),--(((calc!$BJ$3:$BJ$306&gt;BJ134)*(calc!$BK$3:$BK$306&lt;BK134)+(calc!$BJ$3:$BJ$306&lt;BJ134)*(calc!$BK$3:$BK$306&gt;BK134))&gt;0)),0)</f>
        <v/>
      </c>
      <c r="BM134" s="5">
        <f>IF(mos_metrics!M133="","",mos_metrics!M133)</f>
        <v/>
      </c>
      <c r="BN134" s="2">
        <f>AND($J134,ISNUMBER(BM134),correlation!$I$32=1)</f>
        <v/>
      </c>
      <c r="BO134" s="5">
        <f>IF(BN134,$F134,"")</f>
        <v/>
      </c>
      <c r="BP134" s="5">
        <f>IF(BN134,BM134*correlation!$J$32,"")</f>
        <v/>
      </c>
      <c r="BQ134" s="5">
        <f>IF(AND(BN134,ISNUMBER(correlation!$F$32)),BP134*correlation!$F$32+correlation!$G$32,"")</f>
        <v/>
      </c>
      <c r="BR134" s="5">
        <f>IF(AND(BN134,ISNUMBER(BQ134)),(BO134-BQ134)^2,"")</f>
        <v/>
      </c>
      <c r="BS134" s="5">
        <f>IF(BN134,1+SUMPRODUCT(--(calc!$BN$3:$BN$306=TRUE),--(calc!$BO$3:$BO$306&gt;BO134))+(SUMPRODUCT(--(calc!$BN$3:$BN$306=TRUE),--(calc!$BO$3:$BO$306=BO134))-1)/2,"")</f>
        <v/>
      </c>
      <c r="BT134" s="5">
        <f>IF(BN134,1+SUMPRODUCT(--(calc!$BN$3:$BN$306=TRUE),--(calc!$BP$3:$BP$306&gt;BP134))+(SUMPRODUCT(--(calc!$BN$3:$BN$306=TRUE),--(calc!$BP$3:$BP$306=BP134))-1)/2,"")</f>
        <v/>
      </c>
      <c r="BU134" s="5">
        <f>IF(BN134,SUMPRODUCT(--(calc!$BN$3:$BN$306=TRUE),--(ROW(calc!$BN$3:$BN$306)&gt;ROW(BN134)),--(((calc!$BS$3:$BS$306&gt;BS134)*(calc!$BT$3:$BT$306&gt;BT134)+(calc!$BS$3:$BS$306&lt;BS134)*(calc!$BT$3:$BT$306&lt;BT134))&gt;0))-SUMPRODUCT(--(calc!$BN$3:$BN$306=TRUE),--(ROW(calc!$BN$3:$BN$306)&gt;ROW(BN134)),--(((calc!$BS$3:$BS$306&gt;BS134)*(calc!$BT$3:$BT$306&lt;BT134)+(calc!$BS$3:$BS$306&lt;BS134)*(calc!$BT$3:$BT$306&gt;BT134))&gt;0)),0)</f>
        <v/>
      </c>
    </row>
    <row r="135">
      <c r="A135" s="2">
        <f>mos_metrics!A134</f>
        <v/>
      </c>
      <c r="B135" s="2">
        <f>mos_metrics!B134</f>
        <v/>
      </c>
      <c r="C135" s="2">
        <f>mos_metrics!C134</f>
        <v/>
      </c>
      <c r="D135" s="2">
        <f>mos_metrics!D134</f>
        <v/>
      </c>
      <c r="E135" s="2">
        <f>mos_metrics!E134</f>
        <v/>
      </c>
      <c r="F135" s="2">
        <f>mos_metrics!F134</f>
        <v/>
      </c>
      <c r="G135" s="2">
        <f>IF($B135="","",IFERROR(VLOOKUP($B135,correlation!$A$2:$B$16,2,FALSE),1))</f>
        <v/>
      </c>
      <c r="H135" s="2">
        <f>IF($E135="","",IFERROR(VLOOKUP($E135,correlation!$D$2:$E$8,2,FALSE),1))</f>
        <v/>
      </c>
      <c r="I135" s="2">
        <f>ISNUMBER($F135)</f>
        <v/>
      </c>
      <c r="J135" s="2">
        <f>AND($G135=1,$H135=1,$I135)</f>
        <v/>
      </c>
      <c r="K135" s="5">
        <f>IF(mos_metrics!G134="","",mos_metrics!G134)</f>
        <v/>
      </c>
      <c r="L135" s="2">
        <f>AND($J135,ISNUMBER(K135),correlation!$I$26=1)</f>
        <v/>
      </c>
      <c r="M135" s="5">
        <f>IF(L135,$F135,"")</f>
        <v/>
      </c>
      <c r="N135" s="5">
        <f>IF(L135,K135*correlation!$J$26,"")</f>
        <v/>
      </c>
      <c r="O135" s="5">
        <f>IF(AND(L135,ISNUMBER(correlation!$F$26)),N135*correlation!$F$26+correlation!$G$26,"")</f>
        <v/>
      </c>
      <c r="P135" s="5">
        <f>IF(AND(L135,ISNUMBER(O135)),(M135-O135)^2,"")</f>
        <v/>
      </c>
      <c r="Q135" s="5">
        <f>IF(L135,1+SUMPRODUCT(--(calc!$L$3:$L$306=TRUE),--(calc!$M$3:$M$306&gt;M135))+(SUMPRODUCT(--(calc!$L$3:$L$306=TRUE),--(calc!$M$3:$M$306=M135))-1)/2,"")</f>
        <v/>
      </c>
      <c r="R135" s="5">
        <f>IF(L135,1+SUMPRODUCT(--(calc!$L$3:$L$306=TRUE),--(calc!$N$3:$N$306&gt;N135))+(SUMPRODUCT(--(calc!$L$3:$L$306=TRUE),--(calc!$N$3:$N$306=N135))-1)/2,"")</f>
        <v/>
      </c>
      <c r="S135" s="5">
        <f>IF(L135,SUMPRODUCT(--(calc!$L$3:$L$306=TRUE),--(ROW(calc!$L$3:$L$306)&gt;ROW(L135)),--(((calc!$Q$3:$Q$306&gt;Q135)*(calc!$R$3:$R$306&gt;R135)+(calc!$Q$3:$Q$306&lt;Q135)*(calc!$R$3:$R$306&lt;R135))&gt;0))-SUMPRODUCT(--(calc!$L$3:$L$306=TRUE),--(ROW(calc!$L$3:$L$306)&gt;ROW(L135)),--(((calc!$Q$3:$Q$306&gt;Q135)*(calc!$R$3:$R$306&lt;R135)+(calc!$Q$3:$Q$306&lt;Q135)*(calc!$R$3:$R$306&gt;R135))&gt;0)),0)</f>
        <v/>
      </c>
      <c r="T135" s="5">
        <f>IF(mos_metrics!H134="","",mos_metrics!H134)</f>
        <v/>
      </c>
      <c r="U135" s="2">
        <f>AND($J135,ISNUMBER(T135),correlation!$I$27=1)</f>
        <v/>
      </c>
      <c r="V135" s="5">
        <f>IF(U135,$F135,"")</f>
        <v/>
      </c>
      <c r="W135" s="5">
        <f>IF(U135,T135*correlation!$J$27,"")</f>
        <v/>
      </c>
      <c r="X135" s="5">
        <f>IF(AND(U135,ISNUMBER(correlation!$F$27)),W135*correlation!$F$27+correlation!$G$27,"")</f>
        <v/>
      </c>
      <c r="Y135" s="5">
        <f>IF(AND(U135,ISNUMBER(X135)),(V135-X135)^2,"")</f>
        <v/>
      </c>
      <c r="Z135" s="5">
        <f>IF(U135,1+SUMPRODUCT(--(calc!$U$3:$U$306=TRUE),--(calc!$V$3:$V$306&gt;V135))+(SUMPRODUCT(--(calc!$U$3:$U$306=TRUE),--(calc!$V$3:$V$306=V135))-1)/2,"")</f>
        <v/>
      </c>
      <c r="AA135" s="5">
        <f>IF(U135,1+SUMPRODUCT(--(calc!$U$3:$U$306=TRUE),--(calc!$W$3:$W$306&gt;W135))+(SUMPRODUCT(--(calc!$U$3:$U$306=TRUE),--(calc!$W$3:$W$306=W135))-1)/2,"")</f>
        <v/>
      </c>
      <c r="AB135" s="5">
        <f>IF(U135,SUMPRODUCT(--(calc!$U$3:$U$306=TRUE),--(ROW(calc!$U$3:$U$306)&gt;ROW(U135)),--(((calc!$Z$3:$Z$306&gt;Z135)*(calc!$AA$3:$AA$306&gt;AA135)+(calc!$Z$3:$Z$306&lt;Z135)*(calc!$AA$3:$AA$306&lt;AA135))&gt;0))-SUMPRODUCT(--(calc!$U$3:$U$306=TRUE),--(ROW(calc!$U$3:$U$306)&gt;ROW(U135)),--(((calc!$Z$3:$Z$306&gt;Z135)*(calc!$AA$3:$AA$306&lt;AA135)+(calc!$Z$3:$Z$306&lt;Z135)*(calc!$AA$3:$AA$306&gt;AA135))&gt;0)),0)</f>
        <v/>
      </c>
      <c r="AC135" s="5">
        <f>IF(mos_metrics!I134="","",mos_metrics!I134)</f>
        <v/>
      </c>
      <c r="AD135" s="2">
        <f>AND($J135,ISNUMBER(AC135),correlation!$I$28=1)</f>
        <v/>
      </c>
      <c r="AE135" s="5">
        <f>IF(AD135,$F135,"")</f>
        <v/>
      </c>
      <c r="AF135" s="5">
        <f>IF(AD135,AC135*correlation!$J$28,"")</f>
        <v/>
      </c>
      <c r="AG135" s="5">
        <f>IF(AND(AD135,ISNUMBER(correlation!$F$28)),AF135*correlation!$F$28+correlation!$G$28,"")</f>
        <v/>
      </c>
      <c r="AH135" s="5">
        <f>IF(AND(AD135,ISNUMBER(AG135)),(AE135-AG135)^2,"")</f>
        <v/>
      </c>
      <c r="AI135" s="5">
        <f>IF(AD135,1+SUMPRODUCT(--(calc!$AD$3:$AD$306=TRUE),--(calc!$AE$3:$AE$306&gt;AE135))+(SUMPRODUCT(--(calc!$AD$3:$AD$306=TRUE),--(calc!$AE$3:$AE$306=AE135))-1)/2,"")</f>
        <v/>
      </c>
      <c r="AJ135" s="5">
        <f>IF(AD135,1+SUMPRODUCT(--(calc!$AD$3:$AD$306=TRUE),--(calc!$AF$3:$AF$306&gt;AF135))+(SUMPRODUCT(--(calc!$AD$3:$AD$306=TRUE),--(calc!$AF$3:$AF$306=AF135))-1)/2,"")</f>
        <v/>
      </c>
      <c r="AK135" s="5">
        <f>IF(AD135,SUMPRODUCT(--(calc!$AD$3:$AD$306=TRUE),--(ROW(calc!$AD$3:$AD$306)&gt;ROW(AD135)),--(((calc!$AI$3:$AI$306&gt;AI135)*(calc!$AJ$3:$AJ$306&gt;AJ135)+(calc!$AI$3:$AI$306&lt;AI135)*(calc!$AJ$3:$AJ$306&lt;AJ135))&gt;0))-SUMPRODUCT(--(calc!$AD$3:$AD$306=TRUE),--(ROW(calc!$AD$3:$AD$306)&gt;ROW(AD135)),--(((calc!$AI$3:$AI$306&gt;AI135)*(calc!$AJ$3:$AJ$306&lt;AJ135)+(calc!$AI$3:$AI$306&lt;AI135)*(calc!$AJ$3:$AJ$306&gt;AJ135))&gt;0)),0)</f>
        <v/>
      </c>
      <c r="AL135" s="5">
        <f>IF(mos_metrics!J134="","",mos_metrics!J134)</f>
        <v/>
      </c>
      <c r="AM135" s="2">
        <f>AND($J135,ISNUMBER(AL135),correlation!$I$29=1)</f>
        <v/>
      </c>
      <c r="AN135" s="5">
        <f>IF(AM135,$F135,"")</f>
        <v/>
      </c>
      <c r="AO135" s="5">
        <f>IF(AM135,AL135*correlation!$J$29,"")</f>
        <v/>
      </c>
      <c r="AP135" s="5">
        <f>IF(AND(AM135,ISNUMBER(correlation!$F$29)),AO135*correlation!$F$29+correlation!$G$29,"")</f>
        <v/>
      </c>
      <c r="AQ135" s="5">
        <f>IF(AND(AM135,ISNUMBER(AP135)),(AN135-AP135)^2,"")</f>
        <v/>
      </c>
      <c r="AR135" s="5">
        <f>IF(AM135,1+SUMPRODUCT(--(calc!$AM$3:$AM$306=TRUE),--(calc!$AN$3:$AN$306&gt;AN135))+(SUMPRODUCT(--(calc!$AM$3:$AM$306=TRUE),--(calc!$AN$3:$AN$306=AN135))-1)/2,"")</f>
        <v/>
      </c>
      <c r="AS135" s="5">
        <f>IF(AM135,1+SUMPRODUCT(--(calc!$AM$3:$AM$306=TRUE),--(calc!$AO$3:$AO$306&gt;AO135))+(SUMPRODUCT(--(calc!$AM$3:$AM$306=TRUE),--(calc!$AO$3:$AO$306=AO135))-1)/2,"")</f>
        <v/>
      </c>
      <c r="AT135" s="5">
        <f>IF(AM135,SUMPRODUCT(--(calc!$AM$3:$AM$306=TRUE),--(ROW(calc!$AM$3:$AM$306)&gt;ROW(AM135)),--(((calc!$AR$3:$AR$306&gt;AR135)*(calc!$AS$3:$AS$306&gt;AS135)+(calc!$AR$3:$AR$306&lt;AR135)*(calc!$AS$3:$AS$306&lt;AS135))&gt;0))-SUMPRODUCT(--(calc!$AM$3:$AM$306=TRUE),--(ROW(calc!$AM$3:$AM$306)&gt;ROW(AM135)),--(((calc!$AR$3:$AR$306&gt;AR135)*(calc!$AS$3:$AS$306&lt;AS135)+(calc!$AR$3:$AR$306&lt;AR135)*(calc!$AS$3:$AS$306&gt;AS135))&gt;0)),0)</f>
        <v/>
      </c>
      <c r="AU135" s="5">
        <f>IF(mos_metrics!K134="","",mos_metrics!K134)</f>
        <v/>
      </c>
      <c r="AV135" s="2">
        <f>AND($J135,ISNUMBER(AU135),correlation!$I$30=1)</f>
        <v/>
      </c>
      <c r="AW135" s="5">
        <f>IF(AV135,$F135,"")</f>
        <v/>
      </c>
      <c r="AX135" s="5">
        <f>IF(AV135,AU135*correlation!$J$30,"")</f>
        <v/>
      </c>
      <c r="AY135" s="5">
        <f>IF(AND(AV135,ISNUMBER(correlation!$F$30)),AX135*correlation!$F$30+correlation!$G$30,"")</f>
        <v/>
      </c>
      <c r="AZ135" s="5">
        <f>IF(AND(AV135,ISNUMBER(AY135)),(AW135-AY135)^2,"")</f>
        <v/>
      </c>
      <c r="BA135" s="5">
        <f>IF(AV135,1+SUMPRODUCT(--(calc!$AV$3:$AV$306=TRUE),--(calc!$AW$3:$AW$306&gt;AW135))+(SUMPRODUCT(--(calc!$AV$3:$AV$306=TRUE),--(calc!$AW$3:$AW$306=AW135))-1)/2,"")</f>
        <v/>
      </c>
      <c r="BB135" s="5">
        <f>IF(AV135,1+SUMPRODUCT(--(calc!$AV$3:$AV$306=TRUE),--(calc!$AX$3:$AX$306&gt;AX135))+(SUMPRODUCT(--(calc!$AV$3:$AV$306=TRUE),--(calc!$AX$3:$AX$306=AX135))-1)/2,"")</f>
        <v/>
      </c>
      <c r="BC135" s="5">
        <f>IF(AV135,SUMPRODUCT(--(calc!$AV$3:$AV$306=TRUE),--(ROW(calc!$AV$3:$AV$306)&gt;ROW(AV135)),--(((calc!$BA$3:$BA$306&gt;BA135)*(calc!$BB$3:$BB$306&gt;BB135)+(calc!$BA$3:$BA$306&lt;BA135)*(calc!$BB$3:$BB$306&lt;BB135))&gt;0))-SUMPRODUCT(--(calc!$AV$3:$AV$306=TRUE),--(ROW(calc!$AV$3:$AV$306)&gt;ROW(AV135)),--(((calc!$BA$3:$BA$306&gt;BA135)*(calc!$BB$3:$BB$306&lt;BB135)+(calc!$BA$3:$BA$306&lt;BA135)*(calc!$BB$3:$BB$306&gt;BB135))&gt;0)),0)</f>
        <v/>
      </c>
      <c r="BD135" s="5">
        <f>IF(mos_metrics!L134="","",mos_metrics!L134)</f>
        <v/>
      </c>
      <c r="BE135" s="2">
        <f>AND($J135,ISNUMBER(BD135),correlation!$I$31=1)</f>
        <v/>
      </c>
      <c r="BF135" s="5">
        <f>IF(BE135,$F135,"")</f>
        <v/>
      </c>
      <c r="BG135" s="5">
        <f>IF(BE135,BD135*correlation!$J$31,"")</f>
        <v/>
      </c>
      <c r="BH135" s="5">
        <f>IF(AND(BE135,ISNUMBER(correlation!$F$31)),BG135*correlation!$F$31+correlation!$G$31,"")</f>
        <v/>
      </c>
      <c r="BI135" s="5">
        <f>IF(AND(BE135,ISNUMBER(BH135)),(BF135-BH135)^2,"")</f>
        <v/>
      </c>
      <c r="BJ135" s="5">
        <f>IF(BE135,1+SUMPRODUCT(--(calc!$BE$3:$BE$306=TRUE),--(calc!$BF$3:$BF$306&gt;BF135))+(SUMPRODUCT(--(calc!$BE$3:$BE$306=TRUE),--(calc!$BF$3:$BF$306=BF135))-1)/2,"")</f>
        <v/>
      </c>
      <c r="BK135" s="5">
        <f>IF(BE135,1+SUMPRODUCT(--(calc!$BE$3:$BE$306=TRUE),--(calc!$BG$3:$BG$306&gt;BG135))+(SUMPRODUCT(--(calc!$BE$3:$BE$306=TRUE),--(calc!$BG$3:$BG$306=BG135))-1)/2,"")</f>
        <v/>
      </c>
      <c r="BL135" s="5">
        <f>IF(BE135,SUMPRODUCT(--(calc!$BE$3:$BE$306=TRUE),--(ROW(calc!$BE$3:$BE$306)&gt;ROW(BE135)),--(((calc!$BJ$3:$BJ$306&gt;BJ135)*(calc!$BK$3:$BK$306&gt;BK135)+(calc!$BJ$3:$BJ$306&lt;BJ135)*(calc!$BK$3:$BK$306&lt;BK135))&gt;0))-SUMPRODUCT(--(calc!$BE$3:$BE$306=TRUE),--(ROW(calc!$BE$3:$BE$306)&gt;ROW(BE135)),--(((calc!$BJ$3:$BJ$306&gt;BJ135)*(calc!$BK$3:$BK$306&lt;BK135)+(calc!$BJ$3:$BJ$306&lt;BJ135)*(calc!$BK$3:$BK$306&gt;BK135))&gt;0)),0)</f>
        <v/>
      </c>
      <c r="BM135" s="5">
        <f>IF(mos_metrics!M134="","",mos_metrics!M134)</f>
        <v/>
      </c>
      <c r="BN135" s="2">
        <f>AND($J135,ISNUMBER(BM135),correlation!$I$32=1)</f>
        <v/>
      </c>
      <c r="BO135" s="5">
        <f>IF(BN135,$F135,"")</f>
        <v/>
      </c>
      <c r="BP135" s="5">
        <f>IF(BN135,BM135*correlation!$J$32,"")</f>
        <v/>
      </c>
      <c r="BQ135" s="5">
        <f>IF(AND(BN135,ISNUMBER(correlation!$F$32)),BP135*correlation!$F$32+correlation!$G$32,"")</f>
        <v/>
      </c>
      <c r="BR135" s="5">
        <f>IF(AND(BN135,ISNUMBER(BQ135)),(BO135-BQ135)^2,"")</f>
        <v/>
      </c>
      <c r="BS135" s="5">
        <f>IF(BN135,1+SUMPRODUCT(--(calc!$BN$3:$BN$306=TRUE),--(calc!$BO$3:$BO$306&gt;BO135))+(SUMPRODUCT(--(calc!$BN$3:$BN$306=TRUE),--(calc!$BO$3:$BO$306=BO135))-1)/2,"")</f>
        <v/>
      </c>
      <c r="BT135" s="5">
        <f>IF(BN135,1+SUMPRODUCT(--(calc!$BN$3:$BN$306=TRUE),--(calc!$BP$3:$BP$306&gt;BP135))+(SUMPRODUCT(--(calc!$BN$3:$BN$306=TRUE),--(calc!$BP$3:$BP$306=BP135))-1)/2,"")</f>
        <v/>
      </c>
      <c r="BU135" s="5">
        <f>IF(BN135,SUMPRODUCT(--(calc!$BN$3:$BN$306=TRUE),--(ROW(calc!$BN$3:$BN$306)&gt;ROW(BN135)),--(((calc!$BS$3:$BS$306&gt;BS135)*(calc!$BT$3:$BT$306&gt;BT135)+(calc!$BS$3:$BS$306&lt;BS135)*(calc!$BT$3:$BT$306&lt;BT135))&gt;0))-SUMPRODUCT(--(calc!$BN$3:$BN$306=TRUE),--(ROW(calc!$BN$3:$BN$306)&gt;ROW(BN135)),--(((calc!$BS$3:$BS$306&gt;BS135)*(calc!$BT$3:$BT$306&lt;BT135)+(calc!$BS$3:$BS$306&lt;BS135)*(calc!$BT$3:$BT$306&gt;BT135))&gt;0)),0)</f>
        <v/>
      </c>
    </row>
    <row r="136">
      <c r="A136" s="2">
        <f>mos_metrics!A135</f>
        <v/>
      </c>
      <c r="B136" s="2">
        <f>mos_metrics!B135</f>
        <v/>
      </c>
      <c r="C136" s="2">
        <f>mos_metrics!C135</f>
        <v/>
      </c>
      <c r="D136" s="2">
        <f>mos_metrics!D135</f>
        <v/>
      </c>
      <c r="E136" s="2">
        <f>mos_metrics!E135</f>
        <v/>
      </c>
      <c r="F136" s="2">
        <f>mos_metrics!F135</f>
        <v/>
      </c>
      <c r="G136" s="2">
        <f>IF($B136="","",IFERROR(VLOOKUP($B136,correlation!$A$2:$B$16,2,FALSE),1))</f>
        <v/>
      </c>
      <c r="H136" s="2">
        <f>IF($E136="","",IFERROR(VLOOKUP($E136,correlation!$D$2:$E$8,2,FALSE),1))</f>
        <v/>
      </c>
      <c r="I136" s="2">
        <f>ISNUMBER($F136)</f>
        <v/>
      </c>
      <c r="J136" s="2">
        <f>AND($G136=1,$H136=1,$I136)</f>
        <v/>
      </c>
      <c r="K136" s="5">
        <f>IF(mos_metrics!G135="","",mos_metrics!G135)</f>
        <v/>
      </c>
      <c r="L136" s="2">
        <f>AND($J136,ISNUMBER(K136),correlation!$I$26=1)</f>
        <v/>
      </c>
      <c r="M136" s="5">
        <f>IF(L136,$F136,"")</f>
        <v/>
      </c>
      <c r="N136" s="5">
        <f>IF(L136,K136*correlation!$J$26,"")</f>
        <v/>
      </c>
      <c r="O136" s="5">
        <f>IF(AND(L136,ISNUMBER(correlation!$F$26)),N136*correlation!$F$26+correlation!$G$26,"")</f>
        <v/>
      </c>
      <c r="P136" s="5">
        <f>IF(AND(L136,ISNUMBER(O136)),(M136-O136)^2,"")</f>
        <v/>
      </c>
      <c r="Q136" s="5">
        <f>IF(L136,1+SUMPRODUCT(--(calc!$L$3:$L$306=TRUE),--(calc!$M$3:$M$306&gt;M136))+(SUMPRODUCT(--(calc!$L$3:$L$306=TRUE),--(calc!$M$3:$M$306=M136))-1)/2,"")</f>
        <v/>
      </c>
      <c r="R136" s="5">
        <f>IF(L136,1+SUMPRODUCT(--(calc!$L$3:$L$306=TRUE),--(calc!$N$3:$N$306&gt;N136))+(SUMPRODUCT(--(calc!$L$3:$L$306=TRUE),--(calc!$N$3:$N$306=N136))-1)/2,"")</f>
        <v/>
      </c>
      <c r="S136" s="5">
        <f>IF(L136,SUMPRODUCT(--(calc!$L$3:$L$306=TRUE),--(ROW(calc!$L$3:$L$306)&gt;ROW(L136)),--(((calc!$Q$3:$Q$306&gt;Q136)*(calc!$R$3:$R$306&gt;R136)+(calc!$Q$3:$Q$306&lt;Q136)*(calc!$R$3:$R$306&lt;R136))&gt;0))-SUMPRODUCT(--(calc!$L$3:$L$306=TRUE),--(ROW(calc!$L$3:$L$306)&gt;ROW(L136)),--(((calc!$Q$3:$Q$306&gt;Q136)*(calc!$R$3:$R$306&lt;R136)+(calc!$Q$3:$Q$306&lt;Q136)*(calc!$R$3:$R$306&gt;R136))&gt;0)),0)</f>
        <v/>
      </c>
      <c r="T136" s="5">
        <f>IF(mos_metrics!H135="","",mos_metrics!H135)</f>
        <v/>
      </c>
      <c r="U136" s="2">
        <f>AND($J136,ISNUMBER(T136),correlation!$I$27=1)</f>
        <v/>
      </c>
      <c r="V136" s="5">
        <f>IF(U136,$F136,"")</f>
        <v/>
      </c>
      <c r="W136" s="5">
        <f>IF(U136,T136*correlation!$J$27,"")</f>
        <v/>
      </c>
      <c r="X136" s="5">
        <f>IF(AND(U136,ISNUMBER(correlation!$F$27)),W136*correlation!$F$27+correlation!$G$27,"")</f>
        <v/>
      </c>
      <c r="Y136" s="5">
        <f>IF(AND(U136,ISNUMBER(X136)),(V136-X136)^2,"")</f>
        <v/>
      </c>
      <c r="Z136" s="5">
        <f>IF(U136,1+SUMPRODUCT(--(calc!$U$3:$U$306=TRUE),--(calc!$V$3:$V$306&gt;V136))+(SUMPRODUCT(--(calc!$U$3:$U$306=TRUE),--(calc!$V$3:$V$306=V136))-1)/2,"")</f>
        <v/>
      </c>
      <c r="AA136" s="5">
        <f>IF(U136,1+SUMPRODUCT(--(calc!$U$3:$U$306=TRUE),--(calc!$W$3:$W$306&gt;W136))+(SUMPRODUCT(--(calc!$U$3:$U$306=TRUE),--(calc!$W$3:$W$306=W136))-1)/2,"")</f>
        <v/>
      </c>
      <c r="AB136" s="5">
        <f>IF(U136,SUMPRODUCT(--(calc!$U$3:$U$306=TRUE),--(ROW(calc!$U$3:$U$306)&gt;ROW(U136)),--(((calc!$Z$3:$Z$306&gt;Z136)*(calc!$AA$3:$AA$306&gt;AA136)+(calc!$Z$3:$Z$306&lt;Z136)*(calc!$AA$3:$AA$306&lt;AA136))&gt;0))-SUMPRODUCT(--(calc!$U$3:$U$306=TRUE),--(ROW(calc!$U$3:$U$306)&gt;ROW(U136)),--(((calc!$Z$3:$Z$306&gt;Z136)*(calc!$AA$3:$AA$306&lt;AA136)+(calc!$Z$3:$Z$306&lt;Z136)*(calc!$AA$3:$AA$306&gt;AA136))&gt;0)),0)</f>
        <v/>
      </c>
      <c r="AC136" s="5">
        <f>IF(mos_metrics!I135="","",mos_metrics!I135)</f>
        <v/>
      </c>
      <c r="AD136" s="2">
        <f>AND($J136,ISNUMBER(AC136),correlation!$I$28=1)</f>
        <v/>
      </c>
      <c r="AE136" s="5">
        <f>IF(AD136,$F136,"")</f>
        <v/>
      </c>
      <c r="AF136" s="5">
        <f>IF(AD136,AC136*correlation!$J$28,"")</f>
        <v/>
      </c>
      <c r="AG136" s="5">
        <f>IF(AND(AD136,ISNUMBER(correlation!$F$28)),AF136*correlation!$F$28+correlation!$G$28,"")</f>
        <v/>
      </c>
      <c r="AH136" s="5">
        <f>IF(AND(AD136,ISNUMBER(AG136)),(AE136-AG136)^2,"")</f>
        <v/>
      </c>
      <c r="AI136" s="5">
        <f>IF(AD136,1+SUMPRODUCT(--(calc!$AD$3:$AD$306=TRUE),--(calc!$AE$3:$AE$306&gt;AE136))+(SUMPRODUCT(--(calc!$AD$3:$AD$306=TRUE),--(calc!$AE$3:$AE$306=AE136))-1)/2,"")</f>
        <v/>
      </c>
      <c r="AJ136" s="5">
        <f>IF(AD136,1+SUMPRODUCT(--(calc!$AD$3:$AD$306=TRUE),--(calc!$AF$3:$AF$306&gt;AF136))+(SUMPRODUCT(--(calc!$AD$3:$AD$306=TRUE),--(calc!$AF$3:$AF$306=AF136))-1)/2,"")</f>
        <v/>
      </c>
      <c r="AK136" s="5">
        <f>IF(AD136,SUMPRODUCT(--(calc!$AD$3:$AD$306=TRUE),--(ROW(calc!$AD$3:$AD$306)&gt;ROW(AD136)),--(((calc!$AI$3:$AI$306&gt;AI136)*(calc!$AJ$3:$AJ$306&gt;AJ136)+(calc!$AI$3:$AI$306&lt;AI136)*(calc!$AJ$3:$AJ$306&lt;AJ136))&gt;0))-SUMPRODUCT(--(calc!$AD$3:$AD$306=TRUE),--(ROW(calc!$AD$3:$AD$306)&gt;ROW(AD136)),--(((calc!$AI$3:$AI$306&gt;AI136)*(calc!$AJ$3:$AJ$306&lt;AJ136)+(calc!$AI$3:$AI$306&lt;AI136)*(calc!$AJ$3:$AJ$306&gt;AJ136))&gt;0)),0)</f>
        <v/>
      </c>
      <c r="AL136" s="5">
        <f>IF(mos_metrics!J135="","",mos_metrics!J135)</f>
        <v/>
      </c>
      <c r="AM136" s="2">
        <f>AND($J136,ISNUMBER(AL136),correlation!$I$29=1)</f>
        <v/>
      </c>
      <c r="AN136" s="5">
        <f>IF(AM136,$F136,"")</f>
        <v/>
      </c>
      <c r="AO136" s="5">
        <f>IF(AM136,AL136*correlation!$J$29,"")</f>
        <v/>
      </c>
      <c r="AP136" s="5">
        <f>IF(AND(AM136,ISNUMBER(correlation!$F$29)),AO136*correlation!$F$29+correlation!$G$29,"")</f>
        <v/>
      </c>
      <c r="AQ136" s="5">
        <f>IF(AND(AM136,ISNUMBER(AP136)),(AN136-AP136)^2,"")</f>
        <v/>
      </c>
      <c r="AR136" s="5">
        <f>IF(AM136,1+SUMPRODUCT(--(calc!$AM$3:$AM$306=TRUE),--(calc!$AN$3:$AN$306&gt;AN136))+(SUMPRODUCT(--(calc!$AM$3:$AM$306=TRUE),--(calc!$AN$3:$AN$306=AN136))-1)/2,"")</f>
        <v/>
      </c>
      <c r="AS136" s="5">
        <f>IF(AM136,1+SUMPRODUCT(--(calc!$AM$3:$AM$306=TRUE),--(calc!$AO$3:$AO$306&gt;AO136))+(SUMPRODUCT(--(calc!$AM$3:$AM$306=TRUE),--(calc!$AO$3:$AO$306=AO136))-1)/2,"")</f>
        <v/>
      </c>
      <c r="AT136" s="5">
        <f>IF(AM136,SUMPRODUCT(--(calc!$AM$3:$AM$306=TRUE),--(ROW(calc!$AM$3:$AM$306)&gt;ROW(AM136)),--(((calc!$AR$3:$AR$306&gt;AR136)*(calc!$AS$3:$AS$306&gt;AS136)+(calc!$AR$3:$AR$306&lt;AR136)*(calc!$AS$3:$AS$306&lt;AS136))&gt;0))-SUMPRODUCT(--(calc!$AM$3:$AM$306=TRUE),--(ROW(calc!$AM$3:$AM$306)&gt;ROW(AM136)),--(((calc!$AR$3:$AR$306&gt;AR136)*(calc!$AS$3:$AS$306&lt;AS136)+(calc!$AR$3:$AR$306&lt;AR136)*(calc!$AS$3:$AS$306&gt;AS136))&gt;0)),0)</f>
        <v/>
      </c>
      <c r="AU136" s="5">
        <f>IF(mos_metrics!K135="","",mos_metrics!K135)</f>
        <v/>
      </c>
      <c r="AV136" s="2">
        <f>AND($J136,ISNUMBER(AU136),correlation!$I$30=1)</f>
        <v/>
      </c>
      <c r="AW136" s="5">
        <f>IF(AV136,$F136,"")</f>
        <v/>
      </c>
      <c r="AX136" s="5">
        <f>IF(AV136,AU136*correlation!$J$30,"")</f>
        <v/>
      </c>
      <c r="AY136" s="5">
        <f>IF(AND(AV136,ISNUMBER(correlation!$F$30)),AX136*correlation!$F$30+correlation!$G$30,"")</f>
        <v/>
      </c>
      <c r="AZ136" s="5">
        <f>IF(AND(AV136,ISNUMBER(AY136)),(AW136-AY136)^2,"")</f>
        <v/>
      </c>
      <c r="BA136" s="5">
        <f>IF(AV136,1+SUMPRODUCT(--(calc!$AV$3:$AV$306=TRUE),--(calc!$AW$3:$AW$306&gt;AW136))+(SUMPRODUCT(--(calc!$AV$3:$AV$306=TRUE),--(calc!$AW$3:$AW$306=AW136))-1)/2,"")</f>
        <v/>
      </c>
      <c r="BB136" s="5">
        <f>IF(AV136,1+SUMPRODUCT(--(calc!$AV$3:$AV$306=TRUE),--(calc!$AX$3:$AX$306&gt;AX136))+(SUMPRODUCT(--(calc!$AV$3:$AV$306=TRUE),--(calc!$AX$3:$AX$306=AX136))-1)/2,"")</f>
        <v/>
      </c>
      <c r="BC136" s="5">
        <f>IF(AV136,SUMPRODUCT(--(calc!$AV$3:$AV$306=TRUE),--(ROW(calc!$AV$3:$AV$306)&gt;ROW(AV136)),--(((calc!$BA$3:$BA$306&gt;BA136)*(calc!$BB$3:$BB$306&gt;BB136)+(calc!$BA$3:$BA$306&lt;BA136)*(calc!$BB$3:$BB$306&lt;BB136))&gt;0))-SUMPRODUCT(--(calc!$AV$3:$AV$306=TRUE),--(ROW(calc!$AV$3:$AV$306)&gt;ROW(AV136)),--(((calc!$BA$3:$BA$306&gt;BA136)*(calc!$BB$3:$BB$306&lt;BB136)+(calc!$BA$3:$BA$306&lt;BA136)*(calc!$BB$3:$BB$306&gt;BB136))&gt;0)),0)</f>
        <v/>
      </c>
      <c r="BD136" s="5">
        <f>IF(mos_metrics!L135="","",mos_metrics!L135)</f>
        <v/>
      </c>
      <c r="BE136" s="2">
        <f>AND($J136,ISNUMBER(BD136),correlation!$I$31=1)</f>
        <v/>
      </c>
      <c r="BF136" s="5">
        <f>IF(BE136,$F136,"")</f>
        <v/>
      </c>
      <c r="BG136" s="5">
        <f>IF(BE136,BD136*correlation!$J$31,"")</f>
        <v/>
      </c>
      <c r="BH136" s="5">
        <f>IF(AND(BE136,ISNUMBER(correlation!$F$31)),BG136*correlation!$F$31+correlation!$G$31,"")</f>
        <v/>
      </c>
      <c r="BI136" s="5">
        <f>IF(AND(BE136,ISNUMBER(BH136)),(BF136-BH136)^2,"")</f>
        <v/>
      </c>
      <c r="BJ136" s="5">
        <f>IF(BE136,1+SUMPRODUCT(--(calc!$BE$3:$BE$306=TRUE),--(calc!$BF$3:$BF$306&gt;BF136))+(SUMPRODUCT(--(calc!$BE$3:$BE$306=TRUE),--(calc!$BF$3:$BF$306=BF136))-1)/2,"")</f>
        <v/>
      </c>
      <c r="BK136" s="5">
        <f>IF(BE136,1+SUMPRODUCT(--(calc!$BE$3:$BE$306=TRUE),--(calc!$BG$3:$BG$306&gt;BG136))+(SUMPRODUCT(--(calc!$BE$3:$BE$306=TRUE),--(calc!$BG$3:$BG$306=BG136))-1)/2,"")</f>
        <v/>
      </c>
      <c r="BL136" s="5">
        <f>IF(BE136,SUMPRODUCT(--(calc!$BE$3:$BE$306=TRUE),--(ROW(calc!$BE$3:$BE$306)&gt;ROW(BE136)),--(((calc!$BJ$3:$BJ$306&gt;BJ136)*(calc!$BK$3:$BK$306&gt;BK136)+(calc!$BJ$3:$BJ$306&lt;BJ136)*(calc!$BK$3:$BK$306&lt;BK136))&gt;0))-SUMPRODUCT(--(calc!$BE$3:$BE$306=TRUE),--(ROW(calc!$BE$3:$BE$306)&gt;ROW(BE136)),--(((calc!$BJ$3:$BJ$306&gt;BJ136)*(calc!$BK$3:$BK$306&lt;BK136)+(calc!$BJ$3:$BJ$306&lt;BJ136)*(calc!$BK$3:$BK$306&gt;BK136))&gt;0)),0)</f>
        <v/>
      </c>
      <c r="BM136" s="5">
        <f>IF(mos_metrics!M135="","",mos_metrics!M135)</f>
        <v/>
      </c>
      <c r="BN136" s="2">
        <f>AND($J136,ISNUMBER(BM136),correlation!$I$32=1)</f>
        <v/>
      </c>
      <c r="BO136" s="5">
        <f>IF(BN136,$F136,"")</f>
        <v/>
      </c>
      <c r="BP136" s="5">
        <f>IF(BN136,BM136*correlation!$J$32,"")</f>
        <v/>
      </c>
      <c r="BQ136" s="5">
        <f>IF(AND(BN136,ISNUMBER(correlation!$F$32)),BP136*correlation!$F$32+correlation!$G$32,"")</f>
        <v/>
      </c>
      <c r="BR136" s="5">
        <f>IF(AND(BN136,ISNUMBER(BQ136)),(BO136-BQ136)^2,"")</f>
        <v/>
      </c>
      <c r="BS136" s="5">
        <f>IF(BN136,1+SUMPRODUCT(--(calc!$BN$3:$BN$306=TRUE),--(calc!$BO$3:$BO$306&gt;BO136))+(SUMPRODUCT(--(calc!$BN$3:$BN$306=TRUE),--(calc!$BO$3:$BO$306=BO136))-1)/2,"")</f>
        <v/>
      </c>
      <c r="BT136" s="5">
        <f>IF(BN136,1+SUMPRODUCT(--(calc!$BN$3:$BN$306=TRUE),--(calc!$BP$3:$BP$306&gt;BP136))+(SUMPRODUCT(--(calc!$BN$3:$BN$306=TRUE),--(calc!$BP$3:$BP$306=BP136))-1)/2,"")</f>
        <v/>
      </c>
      <c r="BU136" s="5">
        <f>IF(BN136,SUMPRODUCT(--(calc!$BN$3:$BN$306=TRUE),--(ROW(calc!$BN$3:$BN$306)&gt;ROW(BN136)),--(((calc!$BS$3:$BS$306&gt;BS136)*(calc!$BT$3:$BT$306&gt;BT136)+(calc!$BS$3:$BS$306&lt;BS136)*(calc!$BT$3:$BT$306&lt;BT136))&gt;0))-SUMPRODUCT(--(calc!$BN$3:$BN$306=TRUE),--(ROW(calc!$BN$3:$BN$306)&gt;ROW(BN136)),--(((calc!$BS$3:$BS$306&gt;BS136)*(calc!$BT$3:$BT$306&lt;BT136)+(calc!$BS$3:$BS$306&lt;BS136)*(calc!$BT$3:$BT$306&gt;BT136))&gt;0)),0)</f>
        <v/>
      </c>
    </row>
    <row r="137">
      <c r="A137" s="2">
        <f>mos_metrics!A136</f>
        <v/>
      </c>
      <c r="B137" s="2">
        <f>mos_metrics!B136</f>
        <v/>
      </c>
      <c r="C137" s="2">
        <f>mos_metrics!C136</f>
        <v/>
      </c>
      <c r="D137" s="2">
        <f>mos_metrics!D136</f>
        <v/>
      </c>
      <c r="E137" s="2">
        <f>mos_metrics!E136</f>
        <v/>
      </c>
      <c r="F137" s="2">
        <f>mos_metrics!F136</f>
        <v/>
      </c>
      <c r="G137" s="2">
        <f>IF($B137="","",IFERROR(VLOOKUP($B137,correlation!$A$2:$B$16,2,FALSE),1))</f>
        <v/>
      </c>
      <c r="H137" s="2">
        <f>IF($E137="","",IFERROR(VLOOKUP($E137,correlation!$D$2:$E$8,2,FALSE),1))</f>
        <v/>
      </c>
      <c r="I137" s="2">
        <f>ISNUMBER($F137)</f>
        <v/>
      </c>
      <c r="J137" s="2">
        <f>AND($G137=1,$H137=1,$I137)</f>
        <v/>
      </c>
      <c r="K137" s="5">
        <f>IF(mos_metrics!G136="","",mos_metrics!G136)</f>
        <v/>
      </c>
      <c r="L137" s="2">
        <f>AND($J137,ISNUMBER(K137),correlation!$I$26=1)</f>
        <v/>
      </c>
      <c r="M137" s="5">
        <f>IF(L137,$F137,"")</f>
        <v/>
      </c>
      <c r="N137" s="5">
        <f>IF(L137,K137*correlation!$J$26,"")</f>
        <v/>
      </c>
      <c r="O137" s="5">
        <f>IF(AND(L137,ISNUMBER(correlation!$F$26)),N137*correlation!$F$26+correlation!$G$26,"")</f>
        <v/>
      </c>
      <c r="P137" s="5">
        <f>IF(AND(L137,ISNUMBER(O137)),(M137-O137)^2,"")</f>
        <v/>
      </c>
      <c r="Q137" s="5">
        <f>IF(L137,1+SUMPRODUCT(--(calc!$L$3:$L$306=TRUE),--(calc!$M$3:$M$306&gt;M137))+(SUMPRODUCT(--(calc!$L$3:$L$306=TRUE),--(calc!$M$3:$M$306=M137))-1)/2,"")</f>
        <v/>
      </c>
      <c r="R137" s="5">
        <f>IF(L137,1+SUMPRODUCT(--(calc!$L$3:$L$306=TRUE),--(calc!$N$3:$N$306&gt;N137))+(SUMPRODUCT(--(calc!$L$3:$L$306=TRUE),--(calc!$N$3:$N$306=N137))-1)/2,"")</f>
        <v/>
      </c>
      <c r="S137" s="5">
        <f>IF(L137,SUMPRODUCT(--(calc!$L$3:$L$306=TRUE),--(ROW(calc!$L$3:$L$306)&gt;ROW(L137)),--(((calc!$Q$3:$Q$306&gt;Q137)*(calc!$R$3:$R$306&gt;R137)+(calc!$Q$3:$Q$306&lt;Q137)*(calc!$R$3:$R$306&lt;R137))&gt;0))-SUMPRODUCT(--(calc!$L$3:$L$306=TRUE),--(ROW(calc!$L$3:$L$306)&gt;ROW(L137)),--(((calc!$Q$3:$Q$306&gt;Q137)*(calc!$R$3:$R$306&lt;R137)+(calc!$Q$3:$Q$306&lt;Q137)*(calc!$R$3:$R$306&gt;R137))&gt;0)),0)</f>
        <v/>
      </c>
      <c r="T137" s="5">
        <f>IF(mos_metrics!H136="","",mos_metrics!H136)</f>
        <v/>
      </c>
      <c r="U137" s="2">
        <f>AND($J137,ISNUMBER(T137),correlation!$I$27=1)</f>
        <v/>
      </c>
      <c r="V137" s="5">
        <f>IF(U137,$F137,"")</f>
        <v/>
      </c>
      <c r="W137" s="5">
        <f>IF(U137,T137*correlation!$J$27,"")</f>
        <v/>
      </c>
      <c r="X137" s="5">
        <f>IF(AND(U137,ISNUMBER(correlation!$F$27)),W137*correlation!$F$27+correlation!$G$27,"")</f>
        <v/>
      </c>
      <c r="Y137" s="5">
        <f>IF(AND(U137,ISNUMBER(X137)),(V137-X137)^2,"")</f>
        <v/>
      </c>
      <c r="Z137" s="5">
        <f>IF(U137,1+SUMPRODUCT(--(calc!$U$3:$U$306=TRUE),--(calc!$V$3:$V$306&gt;V137))+(SUMPRODUCT(--(calc!$U$3:$U$306=TRUE),--(calc!$V$3:$V$306=V137))-1)/2,"")</f>
        <v/>
      </c>
      <c r="AA137" s="5">
        <f>IF(U137,1+SUMPRODUCT(--(calc!$U$3:$U$306=TRUE),--(calc!$W$3:$W$306&gt;W137))+(SUMPRODUCT(--(calc!$U$3:$U$306=TRUE),--(calc!$W$3:$W$306=W137))-1)/2,"")</f>
        <v/>
      </c>
      <c r="AB137" s="5">
        <f>IF(U137,SUMPRODUCT(--(calc!$U$3:$U$306=TRUE),--(ROW(calc!$U$3:$U$306)&gt;ROW(U137)),--(((calc!$Z$3:$Z$306&gt;Z137)*(calc!$AA$3:$AA$306&gt;AA137)+(calc!$Z$3:$Z$306&lt;Z137)*(calc!$AA$3:$AA$306&lt;AA137))&gt;0))-SUMPRODUCT(--(calc!$U$3:$U$306=TRUE),--(ROW(calc!$U$3:$U$306)&gt;ROW(U137)),--(((calc!$Z$3:$Z$306&gt;Z137)*(calc!$AA$3:$AA$306&lt;AA137)+(calc!$Z$3:$Z$306&lt;Z137)*(calc!$AA$3:$AA$306&gt;AA137))&gt;0)),0)</f>
        <v/>
      </c>
      <c r="AC137" s="5">
        <f>IF(mos_metrics!I136="","",mos_metrics!I136)</f>
        <v/>
      </c>
      <c r="AD137" s="2">
        <f>AND($J137,ISNUMBER(AC137),correlation!$I$28=1)</f>
        <v/>
      </c>
      <c r="AE137" s="5">
        <f>IF(AD137,$F137,"")</f>
        <v/>
      </c>
      <c r="AF137" s="5">
        <f>IF(AD137,AC137*correlation!$J$28,"")</f>
        <v/>
      </c>
      <c r="AG137" s="5">
        <f>IF(AND(AD137,ISNUMBER(correlation!$F$28)),AF137*correlation!$F$28+correlation!$G$28,"")</f>
        <v/>
      </c>
      <c r="AH137" s="5">
        <f>IF(AND(AD137,ISNUMBER(AG137)),(AE137-AG137)^2,"")</f>
        <v/>
      </c>
      <c r="AI137" s="5">
        <f>IF(AD137,1+SUMPRODUCT(--(calc!$AD$3:$AD$306=TRUE),--(calc!$AE$3:$AE$306&gt;AE137))+(SUMPRODUCT(--(calc!$AD$3:$AD$306=TRUE),--(calc!$AE$3:$AE$306=AE137))-1)/2,"")</f>
        <v/>
      </c>
      <c r="AJ137" s="5">
        <f>IF(AD137,1+SUMPRODUCT(--(calc!$AD$3:$AD$306=TRUE),--(calc!$AF$3:$AF$306&gt;AF137))+(SUMPRODUCT(--(calc!$AD$3:$AD$306=TRUE),--(calc!$AF$3:$AF$306=AF137))-1)/2,"")</f>
        <v/>
      </c>
      <c r="AK137" s="5">
        <f>IF(AD137,SUMPRODUCT(--(calc!$AD$3:$AD$306=TRUE),--(ROW(calc!$AD$3:$AD$306)&gt;ROW(AD137)),--(((calc!$AI$3:$AI$306&gt;AI137)*(calc!$AJ$3:$AJ$306&gt;AJ137)+(calc!$AI$3:$AI$306&lt;AI137)*(calc!$AJ$3:$AJ$306&lt;AJ137))&gt;0))-SUMPRODUCT(--(calc!$AD$3:$AD$306=TRUE),--(ROW(calc!$AD$3:$AD$306)&gt;ROW(AD137)),--(((calc!$AI$3:$AI$306&gt;AI137)*(calc!$AJ$3:$AJ$306&lt;AJ137)+(calc!$AI$3:$AI$306&lt;AI137)*(calc!$AJ$3:$AJ$306&gt;AJ137))&gt;0)),0)</f>
        <v/>
      </c>
      <c r="AL137" s="5">
        <f>IF(mos_metrics!J136="","",mos_metrics!J136)</f>
        <v/>
      </c>
      <c r="AM137" s="2">
        <f>AND($J137,ISNUMBER(AL137),correlation!$I$29=1)</f>
        <v/>
      </c>
      <c r="AN137" s="5">
        <f>IF(AM137,$F137,"")</f>
        <v/>
      </c>
      <c r="AO137" s="5">
        <f>IF(AM137,AL137*correlation!$J$29,"")</f>
        <v/>
      </c>
      <c r="AP137" s="5">
        <f>IF(AND(AM137,ISNUMBER(correlation!$F$29)),AO137*correlation!$F$29+correlation!$G$29,"")</f>
        <v/>
      </c>
      <c r="AQ137" s="5">
        <f>IF(AND(AM137,ISNUMBER(AP137)),(AN137-AP137)^2,"")</f>
        <v/>
      </c>
      <c r="AR137" s="5">
        <f>IF(AM137,1+SUMPRODUCT(--(calc!$AM$3:$AM$306=TRUE),--(calc!$AN$3:$AN$306&gt;AN137))+(SUMPRODUCT(--(calc!$AM$3:$AM$306=TRUE),--(calc!$AN$3:$AN$306=AN137))-1)/2,"")</f>
        <v/>
      </c>
      <c r="AS137" s="5">
        <f>IF(AM137,1+SUMPRODUCT(--(calc!$AM$3:$AM$306=TRUE),--(calc!$AO$3:$AO$306&gt;AO137))+(SUMPRODUCT(--(calc!$AM$3:$AM$306=TRUE),--(calc!$AO$3:$AO$306=AO137))-1)/2,"")</f>
        <v/>
      </c>
      <c r="AT137" s="5">
        <f>IF(AM137,SUMPRODUCT(--(calc!$AM$3:$AM$306=TRUE),--(ROW(calc!$AM$3:$AM$306)&gt;ROW(AM137)),--(((calc!$AR$3:$AR$306&gt;AR137)*(calc!$AS$3:$AS$306&gt;AS137)+(calc!$AR$3:$AR$306&lt;AR137)*(calc!$AS$3:$AS$306&lt;AS137))&gt;0))-SUMPRODUCT(--(calc!$AM$3:$AM$306=TRUE),--(ROW(calc!$AM$3:$AM$306)&gt;ROW(AM137)),--(((calc!$AR$3:$AR$306&gt;AR137)*(calc!$AS$3:$AS$306&lt;AS137)+(calc!$AR$3:$AR$306&lt;AR137)*(calc!$AS$3:$AS$306&gt;AS137))&gt;0)),0)</f>
        <v/>
      </c>
      <c r="AU137" s="5">
        <f>IF(mos_metrics!K136="","",mos_metrics!K136)</f>
        <v/>
      </c>
      <c r="AV137" s="2">
        <f>AND($J137,ISNUMBER(AU137),correlation!$I$30=1)</f>
        <v/>
      </c>
      <c r="AW137" s="5">
        <f>IF(AV137,$F137,"")</f>
        <v/>
      </c>
      <c r="AX137" s="5">
        <f>IF(AV137,AU137*correlation!$J$30,"")</f>
        <v/>
      </c>
      <c r="AY137" s="5">
        <f>IF(AND(AV137,ISNUMBER(correlation!$F$30)),AX137*correlation!$F$30+correlation!$G$30,"")</f>
        <v/>
      </c>
      <c r="AZ137" s="5">
        <f>IF(AND(AV137,ISNUMBER(AY137)),(AW137-AY137)^2,"")</f>
        <v/>
      </c>
      <c r="BA137" s="5">
        <f>IF(AV137,1+SUMPRODUCT(--(calc!$AV$3:$AV$306=TRUE),--(calc!$AW$3:$AW$306&gt;AW137))+(SUMPRODUCT(--(calc!$AV$3:$AV$306=TRUE),--(calc!$AW$3:$AW$306=AW137))-1)/2,"")</f>
        <v/>
      </c>
      <c r="BB137" s="5">
        <f>IF(AV137,1+SUMPRODUCT(--(calc!$AV$3:$AV$306=TRUE),--(calc!$AX$3:$AX$306&gt;AX137))+(SUMPRODUCT(--(calc!$AV$3:$AV$306=TRUE),--(calc!$AX$3:$AX$306=AX137))-1)/2,"")</f>
        <v/>
      </c>
      <c r="BC137" s="5">
        <f>IF(AV137,SUMPRODUCT(--(calc!$AV$3:$AV$306=TRUE),--(ROW(calc!$AV$3:$AV$306)&gt;ROW(AV137)),--(((calc!$BA$3:$BA$306&gt;BA137)*(calc!$BB$3:$BB$306&gt;BB137)+(calc!$BA$3:$BA$306&lt;BA137)*(calc!$BB$3:$BB$306&lt;BB137))&gt;0))-SUMPRODUCT(--(calc!$AV$3:$AV$306=TRUE),--(ROW(calc!$AV$3:$AV$306)&gt;ROW(AV137)),--(((calc!$BA$3:$BA$306&gt;BA137)*(calc!$BB$3:$BB$306&lt;BB137)+(calc!$BA$3:$BA$306&lt;BA137)*(calc!$BB$3:$BB$306&gt;BB137))&gt;0)),0)</f>
        <v/>
      </c>
      <c r="BD137" s="5">
        <f>IF(mos_metrics!L136="","",mos_metrics!L136)</f>
        <v/>
      </c>
      <c r="BE137" s="2">
        <f>AND($J137,ISNUMBER(BD137),correlation!$I$31=1)</f>
        <v/>
      </c>
      <c r="BF137" s="5">
        <f>IF(BE137,$F137,"")</f>
        <v/>
      </c>
      <c r="BG137" s="5">
        <f>IF(BE137,BD137*correlation!$J$31,"")</f>
        <v/>
      </c>
      <c r="BH137" s="5">
        <f>IF(AND(BE137,ISNUMBER(correlation!$F$31)),BG137*correlation!$F$31+correlation!$G$31,"")</f>
        <v/>
      </c>
      <c r="BI137" s="5">
        <f>IF(AND(BE137,ISNUMBER(BH137)),(BF137-BH137)^2,"")</f>
        <v/>
      </c>
      <c r="BJ137" s="5">
        <f>IF(BE137,1+SUMPRODUCT(--(calc!$BE$3:$BE$306=TRUE),--(calc!$BF$3:$BF$306&gt;BF137))+(SUMPRODUCT(--(calc!$BE$3:$BE$306=TRUE),--(calc!$BF$3:$BF$306=BF137))-1)/2,"")</f>
        <v/>
      </c>
      <c r="BK137" s="5">
        <f>IF(BE137,1+SUMPRODUCT(--(calc!$BE$3:$BE$306=TRUE),--(calc!$BG$3:$BG$306&gt;BG137))+(SUMPRODUCT(--(calc!$BE$3:$BE$306=TRUE),--(calc!$BG$3:$BG$306=BG137))-1)/2,"")</f>
        <v/>
      </c>
      <c r="BL137" s="5">
        <f>IF(BE137,SUMPRODUCT(--(calc!$BE$3:$BE$306=TRUE),--(ROW(calc!$BE$3:$BE$306)&gt;ROW(BE137)),--(((calc!$BJ$3:$BJ$306&gt;BJ137)*(calc!$BK$3:$BK$306&gt;BK137)+(calc!$BJ$3:$BJ$306&lt;BJ137)*(calc!$BK$3:$BK$306&lt;BK137))&gt;0))-SUMPRODUCT(--(calc!$BE$3:$BE$306=TRUE),--(ROW(calc!$BE$3:$BE$306)&gt;ROW(BE137)),--(((calc!$BJ$3:$BJ$306&gt;BJ137)*(calc!$BK$3:$BK$306&lt;BK137)+(calc!$BJ$3:$BJ$306&lt;BJ137)*(calc!$BK$3:$BK$306&gt;BK137))&gt;0)),0)</f>
        <v/>
      </c>
      <c r="BM137" s="5">
        <f>IF(mos_metrics!M136="","",mos_metrics!M136)</f>
        <v/>
      </c>
      <c r="BN137" s="2">
        <f>AND($J137,ISNUMBER(BM137),correlation!$I$32=1)</f>
        <v/>
      </c>
      <c r="BO137" s="5">
        <f>IF(BN137,$F137,"")</f>
        <v/>
      </c>
      <c r="BP137" s="5">
        <f>IF(BN137,BM137*correlation!$J$32,"")</f>
        <v/>
      </c>
      <c r="BQ137" s="5">
        <f>IF(AND(BN137,ISNUMBER(correlation!$F$32)),BP137*correlation!$F$32+correlation!$G$32,"")</f>
        <v/>
      </c>
      <c r="BR137" s="5">
        <f>IF(AND(BN137,ISNUMBER(BQ137)),(BO137-BQ137)^2,"")</f>
        <v/>
      </c>
      <c r="BS137" s="5">
        <f>IF(BN137,1+SUMPRODUCT(--(calc!$BN$3:$BN$306=TRUE),--(calc!$BO$3:$BO$306&gt;BO137))+(SUMPRODUCT(--(calc!$BN$3:$BN$306=TRUE),--(calc!$BO$3:$BO$306=BO137))-1)/2,"")</f>
        <v/>
      </c>
      <c r="BT137" s="5">
        <f>IF(BN137,1+SUMPRODUCT(--(calc!$BN$3:$BN$306=TRUE),--(calc!$BP$3:$BP$306&gt;BP137))+(SUMPRODUCT(--(calc!$BN$3:$BN$306=TRUE),--(calc!$BP$3:$BP$306=BP137))-1)/2,"")</f>
        <v/>
      </c>
      <c r="BU137" s="5">
        <f>IF(BN137,SUMPRODUCT(--(calc!$BN$3:$BN$306=TRUE),--(ROW(calc!$BN$3:$BN$306)&gt;ROW(BN137)),--(((calc!$BS$3:$BS$306&gt;BS137)*(calc!$BT$3:$BT$306&gt;BT137)+(calc!$BS$3:$BS$306&lt;BS137)*(calc!$BT$3:$BT$306&lt;BT137))&gt;0))-SUMPRODUCT(--(calc!$BN$3:$BN$306=TRUE),--(ROW(calc!$BN$3:$BN$306)&gt;ROW(BN137)),--(((calc!$BS$3:$BS$306&gt;BS137)*(calc!$BT$3:$BT$306&lt;BT137)+(calc!$BS$3:$BS$306&lt;BS137)*(calc!$BT$3:$BT$306&gt;BT137))&gt;0)),0)</f>
        <v/>
      </c>
    </row>
    <row r="138">
      <c r="A138" s="2">
        <f>mos_metrics!A137</f>
        <v/>
      </c>
      <c r="B138" s="2">
        <f>mos_metrics!B137</f>
        <v/>
      </c>
      <c r="C138" s="2">
        <f>mos_metrics!C137</f>
        <v/>
      </c>
      <c r="D138" s="2">
        <f>mos_metrics!D137</f>
        <v/>
      </c>
      <c r="E138" s="2">
        <f>mos_metrics!E137</f>
        <v/>
      </c>
      <c r="F138" s="2">
        <f>mos_metrics!F137</f>
        <v/>
      </c>
      <c r="G138" s="2">
        <f>IF($B138="","",IFERROR(VLOOKUP($B138,correlation!$A$2:$B$16,2,FALSE),1))</f>
        <v/>
      </c>
      <c r="H138" s="2">
        <f>IF($E138="","",IFERROR(VLOOKUP($E138,correlation!$D$2:$E$8,2,FALSE),1))</f>
        <v/>
      </c>
      <c r="I138" s="2">
        <f>ISNUMBER($F138)</f>
        <v/>
      </c>
      <c r="J138" s="2">
        <f>AND($G138=1,$H138=1,$I138)</f>
        <v/>
      </c>
      <c r="K138" s="5">
        <f>IF(mos_metrics!G137="","",mos_metrics!G137)</f>
        <v/>
      </c>
      <c r="L138" s="2">
        <f>AND($J138,ISNUMBER(K138),correlation!$I$26=1)</f>
        <v/>
      </c>
      <c r="M138" s="5">
        <f>IF(L138,$F138,"")</f>
        <v/>
      </c>
      <c r="N138" s="5">
        <f>IF(L138,K138*correlation!$J$26,"")</f>
        <v/>
      </c>
      <c r="O138" s="5">
        <f>IF(AND(L138,ISNUMBER(correlation!$F$26)),N138*correlation!$F$26+correlation!$G$26,"")</f>
        <v/>
      </c>
      <c r="P138" s="5">
        <f>IF(AND(L138,ISNUMBER(O138)),(M138-O138)^2,"")</f>
        <v/>
      </c>
      <c r="Q138" s="5">
        <f>IF(L138,1+SUMPRODUCT(--(calc!$L$3:$L$306=TRUE),--(calc!$M$3:$M$306&gt;M138))+(SUMPRODUCT(--(calc!$L$3:$L$306=TRUE),--(calc!$M$3:$M$306=M138))-1)/2,"")</f>
        <v/>
      </c>
      <c r="R138" s="5">
        <f>IF(L138,1+SUMPRODUCT(--(calc!$L$3:$L$306=TRUE),--(calc!$N$3:$N$306&gt;N138))+(SUMPRODUCT(--(calc!$L$3:$L$306=TRUE),--(calc!$N$3:$N$306=N138))-1)/2,"")</f>
        <v/>
      </c>
      <c r="S138" s="5">
        <f>IF(L138,SUMPRODUCT(--(calc!$L$3:$L$306=TRUE),--(ROW(calc!$L$3:$L$306)&gt;ROW(L138)),--(((calc!$Q$3:$Q$306&gt;Q138)*(calc!$R$3:$R$306&gt;R138)+(calc!$Q$3:$Q$306&lt;Q138)*(calc!$R$3:$R$306&lt;R138))&gt;0))-SUMPRODUCT(--(calc!$L$3:$L$306=TRUE),--(ROW(calc!$L$3:$L$306)&gt;ROW(L138)),--(((calc!$Q$3:$Q$306&gt;Q138)*(calc!$R$3:$R$306&lt;R138)+(calc!$Q$3:$Q$306&lt;Q138)*(calc!$R$3:$R$306&gt;R138))&gt;0)),0)</f>
        <v/>
      </c>
      <c r="T138" s="5">
        <f>IF(mos_metrics!H137="","",mos_metrics!H137)</f>
        <v/>
      </c>
      <c r="U138" s="2">
        <f>AND($J138,ISNUMBER(T138),correlation!$I$27=1)</f>
        <v/>
      </c>
      <c r="V138" s="5">
        <f>IF(U138,$F138,"")</f>
        <v/>
      </c>
      <c r="W138" s="5">
        <f>IF(U138,T138*correlation!$J$27,"")</f>
        <v/>
      </c>
      <c r="X138" s="5">
        <f>IF(AND(U138,ISNUMBER(correlation!$F$27)),W138*correlation!$F$27+correlation!$G$27,"")</f>
        <v/>
      </c>
      <c r="Y138" s="5">
        <f>IF(AND(U138,ISNUMBER(X138)),(V138-X138)^2,"")</f>
        <v/>
      </c>
      <c r="Z138" s="5">
        <f>IF(U138,1+SUMPRODUCT(--(calc!$U$3:$U$306=TRUE),--(calc!$V$3:$V$306&gt;V138))+(SUMPRODUCT(--(calc!$U$3:$U$306=TRUE),--(calc!$V$3:$V$306=V138))-1)/2,"")</f>
        <v/>
      </c>
      <c r="AA138" s="5">
        <f>IF(U138,1+SUMPRODUCT(--(calc!$U$3:$U$306=TRUE),--(calc!$W$3:$W$306&gt;W138))+(SUMPRODUCT(--(calc!$U$3:$U$306=TRUE),--(calc!$W$3:$W$306=W138))-1)/2,"")</f>
        <v/>
      </c>
      <c r="AB138" s="5">
        <f>IF(U138,SUMPRODUCT(--(calc!$U$3:$U$306=TRUE),--(ROW(calc!$U$3:$U$306)&gt;ROW(U138)),--(((calc!$Z$3:$Z$306&gt;Z138)*(calc!$AA$3:$AA$306&gt;AA138)+(calc!$Z$3:$Z$306&lt;Z138)*(calc!$AA$3:$AA$306&lt;AA138))&gt;0))-SUMPRODUCT(--(calc!$U$3:$U$306=TRUE),--(ROW(calc!$U$3:$U$306)&gt;ROW(U138)),--(((calc!$Z$3:$Z$306&gt;Z138)*(calc!$AA$3:$AA$306&lt;AA138)+(calc!$Z$3:$Z$306&lt;Z138)*(calc!$AA$3:$AA$306&gt;AA138))&gt;0)),0)</f>
        <v/>
      </c>
      <c r="AC138" s="5">
        <f>IF(mos_metrics!I137="","",mos_metrics!I137)</f>
        <v/>
      </c>
      <c r="AD138" s="2">
        <f>AND($J138,ISNUMBER(AC138),correlation!$I$28=1)</f>
        <v/>
      </c>
      <c r="AE138" s="5">
        <f>IF(AD138,$F138,"")</f>
        <v/>
      </c>
      <c r="AF138" s="5">
        <f>IF(AD138,AC138*correlation!$J$28,"")</f>
        <v/>
      </c>
      <c r="AG138" s="5">
        <f>IF(AND(AD138,ISNUMBER(correlation!$F$28)),AF138*correlation!$F$28+correlation!$G$28,"")</f>
        <v/>
      </c>
      <c r="AH138" s="5">
        <f>IF(AND(AD138,ISNUMBER(AG138)),(AE138-AG138)^2,"")</f>
        <v/>
      </c>
      <c r="AI138" s="5">
        <f>IF(AD138,1+SUMPRODUCT(--(calc!$AD$3:$AD$306=TRUE),--(calc!$AE$3:$AE$306&gt;AE138))+(SUMPRODUCT(--(calc!$AD$3:$AD$306=TRUE),--(calc!$AE$3:$AE$306=AE138))-1)/2,"")</f>
        <v/>
      </c>
      <c r="AJ138" s="5">
        <f>IF(AD138,1+SUMPRODUCT(--(calc!$AD$3:$AD$306=TRUE),--(calc!$AF$3:$AF$306&gt;AF138))+(SUMPRODUCT(--(calc!$AD$3:$AD$306=TRUE),--(calc!$AF$3:$AF$306=AF138))-1)/2,"")</f>
        <v/>
      </c>
      <c r="AK138" s="5">
        <f>IF(AD138,SUMPRODUCT(--(calc!$AD$3:$AD$306=TRUE),--(ROW(calc!$AD$3:$AD$306)&gt;ROW(AD138)),--(((calc!$AI$3:$AI$306&gt;AI138)*(calc!$AJ$3:$AJ$306&gt;AJ138)+(calc!$AI$3:$AI$306&lt;AI138)*(calc!$AJ$3:$AJ$306&lt;AJ138))&gt;0))-SUMPRODUCT(--(calc!$AD$3:$AD$306=TRUE),--(ROW(calc!$AD$3:$AD$306)&gt;ROW(AD138)),--(((calc!$AI$3:$AI$306&gt;AI138)*(calc!$AJ$3:$AJ$306&lt;AJ138)+(calc!$AI$3:$AI$306&lt;AI138)*(calc!$AJ$3:$AJ$306&gt;AJ138))&gt;0)),0)</f>
        <v/>
      </c>
      <c r="AL138" s="5">
        <f>IF(mos_metrics!J137="","",mos_metrics!J137)</f>
        <v/>
      </c>
      <c r="AM138" s="2">
        <f>AND($J138,ISNUMBER(AL138),correlation!$I$29=1)</f>
        <v/>
      </c>
      <c r="AN138" s="5">
        <f>IF(AM138,$F138,"")</f>
        <v/>
      </c>
      <c r="AO138" s="5">
        <f>IF(AM138,AL138*correlation!$J$29,"")</f>
        <v/>
      </c>
      <c r="AP138" s="5">
        <f>IF(AND(AM138,ISNUMBER(correlation!$F$29)),AO138*correlation!$F$29+correlation!$G$29,"")</f>
        <v/>
      </c>
      <c r="AQ138" s="5">
        <f>IF(AND(AM138,ISNUMBER(AP138)),(AN138-AP138)^2,"")</f>
        <v/>
      </c>
      <c r="AR138" s="5">
        <f>IF(AM138,1+SUMPRODUCT(--(calc!$AM$3:$AM$306=TRUE),--(calc!$AN$3:$AN$306&gt;AN138))+(SUMPRODUCT(--(calc!$AM$3:$AM$306=TRUE),--(calc!$AN$3:$AN$306=AN138))-1)/2,"")</f>
        <v/>
      </c>
      <c r="AS138" s="5">
        <f>IF(AM138,1+SUMPRODUCT(--(calc!$AM$3:$AM$306=TRUE),--(calc!$AO$3:$AO$306&gt;AO138))+(SUMPRODUCT(--(calc!$AM$3:$AM$306=TRUE),--(calc!$AO$3:$AO$306=AO138))-1)/2,"")</f>
        <v/>
      </c>
      <c r="AT138" s="5">
        <f>IF(AM138,SUMPRODUCT(--(calc!$AM$3:$AM$306=TRUE),--(ROW(calc!$AM$3:$AM$306)&gt;ROW(AM138)),--(((calc!$AR$3:$AR$306&gt;AR138)*(calc!$AS$3:$AS$306&gt;AS138)+(calc!$AR$3:$AR$306&lt;AR138)*(calc!$AS$3:$AS$306&lt;AS138))&gt;0))-SUMPRODUCT(--(calc!$AM$3:$AM$306=TRUE),--(ROW(calc!$AM$3:$AM$306)&gt;ROW(AM138)),--(((calc!$AR$3:$AR$306&gt;AR138)*(calc!$AS$3:$AS$306&lt;AS138)+(calc!$AR$3:$AR$306&lt;AR138)*(calc!$AS$3:$AS$306&gt;AS138))&gt;0)),0)</f>
        <v/>
      </c>
      <c r="AU138" s="5">
        <f>IF(mos_metrics!K137="","",mos_metrics!K137)</f>
        <v/>
      </c>
      <c r="AV138" s="2">
        <f>AND($J138,ISNUMBER(AU138),correlation!$I$30=1)</f>
        <v/>
      </c>
      <c r="AW138" s="5">
        <f>IF(AV138,$F138,"")</f>
        <v/>
      </c>
      <c r="AX138" s="5">
        <f>IF(AV138,AU138*correlation!$J$30,"")</f>
        <v/>
      </c>
      <c r="AY138" s="5">
        <f>IF(AND(AV138,ISNUMBER(correlation!$F$30)),AX138*correlation!$F$30+correlation!$G$30,"")</f>
        <v/>
      </c>
      <c r="AZ138" s="5">
        <f>IF(AND(AV138,ISNUMBER(AY138)),(AW138-AY138)^2,"")</f>
        <v/>
      </c>
      <c r="BA138" s="5">
        <f>IF(AV138,1+SUMPRODUCT(--(calc!$AV$3:$AV$306=TRUE),--(calc!$AW$3:$AW$306&gt;AW138))+(SUMPRODUCT(--(calc!$AV$3:$AV$306=TRUE),--(calc!$AW$3:$AW$306=AW138))-1)/2,"")</f>
        <v/>
      </c>
      <c r="BB138" s="5">
        <f>IF(AV138,1+SUMPRODUCT(--(calc!$AV$3:$AV$306=TRUE),--(calc!$AX$3:$AX$306&gt;AX138))+(SUMPRODUCT(--(calc!$AV$3:$AV$306=TRUE),--(calc!$AX$3:$AX$306=AX138))-1)/2,"")</f>
        <v/>
      </c>
      <c r="BC138" s="5">
        <f>IF(AV138,SUMPRODUCT(--(calc!$AV$3:$AV$306=TRUE),--(ROW(calc!$AV$3:$AV$306)&gt;ROW(AV138)),--(((calc!$BA$3:$BA$306&gt;BA138)*(calc!$BB$3:$BB$306&gt;BB138)+(calc!$BA$3:$BA$306&lt;BA138)*(calc!$BB$3:$BB$306&lt;BB138))&gt;0))-SUMPRODUCT(--(calc!$AV$3:$AV$306=TRUE),--(ROW(calc!$AV$3:$AV$306)&gt;ROW(AV138)),--(((calc!$BA$3:$BA$306&gt;BA138)*(calc!$BB$3:$BB$306&lt;BB138)+(calc!$BA$3:$BA$306&lt;BA138)*(calc!$BB$3:$BB$306&gt;BB138))&gt;0)),0)</f>
        <v/>
      </c>
      <c r="BD138" s="5">
        <f>IF(mos_metrics!L137="","",mos_metrics!L137)</f>
        <v/>
      </c>
      <c r="BE138" s="2">
        <f>AND($J138,ISNUMBER(BD138),correlation!$I$31=1)</f>
        <v/>
      </c>
      <c r="BF138" s="5">
        <f>IF(BE138,$F138,"")</f>
        <v/>
      </c>
      <c r="BG138" s="5">
        <f>IF(BE138,BD138*correlation!$J$31,"")</f>
        <v/>
      </c>
      <c r="BH138" s="5">
        <f>IF(AND(BE138,ISNUMBER(correlation!$F$31)),BG138*correlation!$F$31+correlation!$G$31,"")</f>
        <v/>
      </c>
      <c r="BI138" s="5">
        <f>IF(AND(BE138,ISNUMBER(BH138)),(BF138-BH138)^2,"")</f>
        <v/>
      </c>
      <c r="BJ138" s="5">
        <f>IF(BE138,1+SUMPRODUCT(--(calc!$BE$3:$BE$306=TRUE),--(calc!$BF$3:$BF$306&gt;BF138))+(SUMPRODUCT(--(calc!$BE$3:$BE$306=TRUE),--(calc!$BF$3:$BF$306=BF138))-1)/2,"")</f>
        <v/>
      </c>
      <c r="BK138" s="5">
        <f>IF(BE138,1+SUMPRODUCT(--(calc!$BE$3:$BE$306=TRUE),--(calc!$BG$3:$BG$306&gt;BG138))+(SUMPRODUCT(--(calc!$BE$3:$BE$306=TRUE),--(calc!$BG$3:$BG$306=BG138))-1)/2,"")</f>
        <v/>
      </c>
      <c r="BL138" s="5">
        <f>IF(BE138,SUMPRODUCT(--(calc!$BE$3:$BE$306=TRUE),--(ROW(calc!$BE$3:$BE$306)&gt;ROW(BE138)),--(((calc!$BJ$3:$BJ$306&gt;BJ138)*(calc!$BK$3:$BK$306&gt;BK138)+(calc!$BJ$3:$BJ$306&lt;BJ138)*(calc!$BK$3:$BK$306&lt;BK138))&gt;0))-SUMPRODUCT(--(calc!$BE$3:$BE$306=TRUE),--(ROW(calc!$BE$3:$BE$306)&gt;ROW(BE138)),--(((calc!$BJ$3:$BJ$306&gt;BJ138)*(calc!$BK$3:$BK$306&lt;BK138)+(calc!$BJ$3:$BJ$306&lt;BJ138)*(calc!$BK$3:$BK$306&gt;BK138))&gt;0)),0)</f>
        <v/>
      </c>
      <c r="BM138" s="5">
        <f>IF(mos_metrics!M137="","",mos_metrics!M137)</f>
        <v/>
      </c>
      <c r="BN138" s="2">
        <f>AND($J138,ISNUMBER(BM138),correlation!$I$32=1)</f>
        <v/>
      </c>
      <c r="BO138" s="5">
        <f>IF(BN138,$F138,"")</f>
        <v/>
      </c>
      <c r="BP138" s="5">
        <f>IF(BN138,BM138*correlation!$J$32,"")</f>
        <v/>
      </c>
      <c r="BQ138" s="5">
        <f>IF(AND(BN138,ISNUMBER(correlation!$F$32)),BP138*correlation!$F$32+correlation!$G$32,"")</f>
        <v/>
      </c>
      <c r="BR138" s="5">
        <f>IF(AND(BN138,ISNUMBER(BQ138)),(BO138-BQ138)^2,"")</f>
        <v/>
      </c>
      <c r="BS138" s="5">
        <f>IF(BN138,1+SUMPRODUCT(--(calc!$BN$3:$BN$306=TRUE),--(calc!$BO$3:$BO$306&gt;BO138))+(SUMPRODUCT(--(calc!$BN$3:$BN$306=TRUE),--(calc!$BO$3:$BO$306=BO138))-1)/2,"")</f>
        <v/>
      </c>
      <c r="BT138" s="5">
        <f>IF(BN138,1+SUMPRODUCT(--(calc!$BN$3:$BN$306=TRUE),--(calc!$BP$3:$BP$306&gt;BP138))+(SUMPRODUCT(--(calc!$BN$3:$BN$306=TRUE),--(calc!$BP$3:$BP$306=BP138))-1)/2,"")</f>
        <v/>
      </c>
      <c r="BU138" s="5">
        <f>IF(BN138,SUMPRODUCT(--(calc!$BN$3:$BN$306=TRUE),--(ROW(calc!$BN$3:$BN$306)&gt;ROW(BN138)),--(((calc!$BS$3:$BS$306&gt;BS138)*(calc!$BT$3:$BT$306&gt;BT138)+(calc!$BS$3:$BS$306&lt;BS138)*(calc!$BT$3:$BT$306&lt;BT138))&gt;0))-SUMPRODUCT(--(calc!$BN$3:$BN$306=TRUE),--(ROW(calc!$BN$3:$BN$306)&gt;ROW(BN138)),--(((calc!$BS$3:$BS$306&gt;BS138)*(calc!$BT$3:$BT$306&lt;BT138)+(calc!$BS$3:$BS$306&lt;BS138)*(calc!$BT$3:$BT$306&gt;BT138))&gt;0)),0)</f>
        <v/>
      </c>
    </row>
    <row r="139">
      <c r="A139" s="2">
        <f>mos_metrics!A138</f>
        <v/>
      </c>
      <c r="B139" s="2">
        <f>mos_metrics!B138</f>
        <v/>
      </c>
      <c r="C139" s="2">
        <f>mos_metrics!C138</f>
        <v/>
      </c>
      <c r="D139" s="2">
        <f>mos_metrics!D138</f>
        <v/>
      </c>
      <c r="E139" s="2">
        <f>mos_metrics!E138</f>
        <v/>
      </c>
      <c r="F139" s="2">
        <f>mos_metrics!F138</f>
        <v/>
      </c>
      <c r="G139" s="2">
        <f>IF($B139="","",IFERROR(VLOOKUP($B139,correlation!$A$2:$B$16,2,FALSE),1))</f>
        <v/>
      </c>
      <c r="H139" s="2">
        <f>IF($E139="","",IFERROR(VLOOKUP($E139,correlation!$D$2:$E$8,2,FALSE),1))</f>
        <v/>
      </c>
      <c r="I139" s="2">
        <f>ISNUMBER($F139)</f>
        <v/>
      </c>
      <c r="J139" s="2">
        <f>AND($G139=1,$H139=1,$I139)</f>
        <v/>
      </c>
      <c r="K139" s="5">
        <f>IF(mos_metrics!G138="","",mos_metrics!G138)</f>
        <v/>
      </c>
      <c r="L139" s="2">
        <f>AND($J139,ISNUMBER(K139),correlation!$I$26=1)</f>
        <v/>
      </c>
      <c r="M139" s="5">
        <f>IF(L139,$F139,"")</f>
        <v/>
      </c>
      <c r="N139" s="5">
        <f>IF(L139,K139*correlation!$J$26,"")</f>
        <v/>
      </c>
      <c r="O139" s="5">
        <f>IF(AND(L139,ISNUMBER(correlation!$F$26)),N139*correlation!$F$26+correlation!$G$26,"")</f>
        <v/>
      </c>
      <c r="P139" s="5">
        <f>IF(AND(L139,ISNUMBER(O139)),(M139-O139)^2,"")</f>
        <v/>
      </c>
      <c r="Q139" s="5">
        <f>IF(L139,1+SUMPRODUCT(--(calc!$L$3:$L$306=TRUE),--(calc!$M$3:$M$306&gt;M139))+(SUMPRODUCT(--(calc!$L$3:$L$306=TRUE),--(calc!$M$3:$M$306=M139))-1)/2,"")</f>
        <v/>
      </c>
      <c r="R139" s="5">
        <f>IF(L139,1+SUMPRODUCT(--(calc!$L$3:$L$306=TRUE),--(calc!$N$3:$N$306&gt;N139))+(SUMPRODUCT(--(calc!$L$3:$L$306=TRUE),--(calc!$N$3:$N$306=N139))-1)/2,"")</f>
        <v/>
      </c>
      <c r="S139" s="5">
        <f>IF(L139,SUMPRODUCT(--(calc!$L$3:$L$306=TRUE),--(ROW(calc!$L$3:$L$306)&gt;ROW(L139)),--(((calc!$Q$3:$Q$306&gt;Q139)*(calc!$R$3:$R$306&gt;R139)+(calc!$Q$3:$Q$306&lt;Q139)*(calc!$R$3:$R$306&lt;R139))&gt;0))-SUMPRODUCT(--(calc!$L$3:$L$306=TRUE),--(ROW(calc!$L$3:$L$306)&gt;ROW(L139)),--(((calc!$Q$3:$Q$306&gt;Q139)*(calc!$R$3:$R$306&lt;R139)+(calc!$Q$3:$Q$306&lt;Q139)*(calc!$R$3:$R$306&gt;R139))&gt;0)),0)</f>
        <v/>
      </c>
      <c r="T139" s="5">
        <f>IF(mos_metrics!H138="","",mos_metrics!H138)</f>
        <v/>
      </c>
      <c r="U139" s="2">
        <f>AND($J139,ISNUMBER(T139),correlation!$I$27=1)</f>
        <v/>
      </c>
      <c r="V139" s="5">
        <f>IF(U139,$F139,"")</f>
        <v/>
      </c>
      <c r="W139" s="5">
        <f>IF(U139,T139*correlation!$J$27,"")</f>
        <v/>
      </c>
      <c r="X139" s="5">
        <f>IF(AND(U139,ISNUMBER(correlation!$F$27)),W139*correlation!$F$27+correlation!$G$27,"")</f>
        <v/>
      </c>
      <c r="Y139" s="5">
        <f>IF(AND(U139,ISNUMBER(X139)),(V139-X139)^2,"")</f>
        <v/>
      </c>
      <c r="Z139" s="5">
        <f>IF(U139,1+SUMPRODUCT(--(calc!$U$3:$U$306=TRUE),--(calc!$V$3:$V$306&gt;V139))+(SUMPRODUCT(--(calc!$U$3:$U$306=TRUE),--(calc!$V$3:$V$306=V139))-1)/2,"")</f>
        <v/>
      </c>
      <c r="AA139" s="5">
        <f>IF(U139,1+SUMPRODUCT(--(calc!$U$3:$U$306=TRUE),--(calc!$W$3:$W$306&gt;W139))+(SUMPRODUCT(--(calc!$U$3:$U$306=TRUE),--(calc!$W$3:$W$306=W139))-1)/2,"")</f>
        <v/>
      </c>
      <c r="AB139" s="5">
        <f>IF(U139,SUMPRODUCT(--(calc!$U$3:$U$306=TRUE),--(ROW(calc!$U$3:$U$306)&gt;ROW(U139)),--(((calc!$Z$3:$Z$306&gt;Z139)*(calc!$AA$3:$AA$306&gt;AA139)+(calc!$Z$3:$Z$306&lt;Z139)*(calc!$AA$3:$AA$306&lt;AA139))&gt;0))-SUMPRODUCT(--(calc!$U$3:$U$306=TRUE),--(ROW(calc!$U$3:$U$306)&gt;ROW(U139)),--(((calc!$Z$3:$Z$306&gt;Z139)*(calc!$AA$3:$AA$306&lt;AA139)+(calc!$Z$3:$Z$306&lt;Z139)*(calc!$AA$3:$AA$306&gt;AA139))&gt;0)),0)</f>
        <v/>
      </c>
      <c r="AC139" s="5">
        <f>IF(mos_metrics!I138="","",mos_metrics!I138)</f>
        <v/>
      </c>
      <c r="AD139" s="2">
        <f>AND($J139,ISNUMBER(AC139),correlation!$I$28=1)</f>
        <v/>
      </c>
      <c r="AE139" s="5">
        <f>IF(AD139,$F139,"")</f>
        <v/>
      </c>
      <c r="AF139" s="5">
        <f>IF(AD139,AC139*correlation!$J$28,"")</f>
        <v/>
      </c>
      <c r="AG139" s="5">
        <f>IF(AND(AD139,ISNUMBER(correlation!$F$28)),AF139*correlation!$F$28+correlation!$G$28,"")</f>
        <v/>
      </c>
      <c r="AH139" s="5">
        <f>IF(AND(AD139,ISNUMBER(AG139)),(AE139-AG139)^2,"")</f>
        <v/>
      </c>
      <c r="AI139" s="5">
        <f>IF(AD139,1+SUMPRODUCT(--(calc!$AD$3:$AD$306=TRUE),--(calc!$AE$3:$AE$306&gt;AE139))+(SUMPRODUCT(--(calc!$AD$3:$AD$306=TRUE),--(calc!$AE$3:$AE$306=AE139))-1)/2,"")</f>
        <v/>
      </c>
      <c r="AJ139" s="5">
        <f>IF(AD139,1+SUMPRODUCT(--(calc!$AD$3:$AD$306=TRUE),--(calc!$AF$3:$AF$306&gt;AF139))+(SUMPRODUCT(--(calc!$AD$3:$AD$306=TRUE),--(calc!$AF$3:$AF$306=AF139))-1)/2,"")</f>
        <v/>
      </c>
      <c r="AK139" s="5">
        <f>IF(AD139,SUMPRODUCT(--(calc!$AD$3:$AD$306=TRUE),--(ROW(calc!$AD$3:$AD$306)&gt;ROW(AD139)),--(((calc!$AI$3:$AI$306&gt;AI139)*(calc!$AJ$3:$AJ$306&gt;AJ139)+(calc!$AI$3:$AI$306&lt;AI139)*(calc!$AJ$3:$AJ$306&lt;AJ139))&gt;0))-SUMPRODUCT(--(calc!$AD$3:$AD$306=TRUE),--(ROW(calc!$AD$3:$AD$306)&gt;ROW(AD139)),--(((calc!$AI$3:$AI$306&gt;AI139)*(calc!$AJ$3:$AJ$306&lt;AJ139)+(calc!$AI$3:$AI$306&lt;AI139)*(calc!$AJ$3:$AJ$306&gt;AJ139))&gt;0)),0)</f>
        <v/>
      </c>
      <c r="AL139" s="5">
        <f>IF(mos_metrics!J138="","",mos_metrics!J138)</f>
        <v/>
      </c>
      <c r="AM139" s="2">
        <f>AND($J139,ISNUMBER(AL139),correlation!$I$29=1)</f>
        <v/>
      </c>
      <c r="AN139" s="5">
        <f>IF(AM139,$F139,"")</f>
        <v/>
      </c>
      <c r="AO139" s="5">
        <f>IF(AM139,AL139*correlation!$J$29,"")</f>
        <v/>
      </c>
      <c r="AP139" s="5">
        <f>IF(AND(AM139,ISNUMBER(correlation!$F$29)),AO139*correlation!$F$29+correlation!$G$29,"")</f>
        <v/>
      </c>
      <c r="AQ139" s="5">
        <f>IF(AND(AM139,ISNUMBER(AP139)),(AN139-AP139)^2,"")</f>
        <v/>
      </c>
      <c r="AR139" s="5">
        <f>IF(AM139,1+SUMPRODUCT(--(calc!$AM$3:$AM$306=TRUE),--(calc!$AN$3:$AN$306&gt;AN139))+(SUMPRODUCT(--(calc!$AM$3:$AM$306=TRUE),--(calc!$AN$3:$AN$306=AN139))-1)/2,"")</f>
        <v/>
      </c>
      <c r="AS139" s="5">
        <f>IF(AM139,1+SUMPRODUCT(--(calc!$AM$3:$AM$306=TRUE),--(calc!$AO$3:$AO$306&gt;AO139))+(SUMPRODUCT(--(calc!$AM$3:$AM$306=TRUE),--(calc!$AO$3:$AO$306=AO139))-1)/2,"")</f>
        <v/>
      </c>
      <c r="AT139" s="5">
        <f>IF(AM139,SUMPRODUCT(--(calc!$AM$3:$AM$306=TRUE),--(ROW(calc!$AM$3:$AM$306)&gt;ROW(AM139)),--(((calc!$AR$3:$AR$306&gt;AR139)*(calc!$AS$3:$AS$306&gt;AS139)+(calc!$AR$3:$AR$306&lt;AR139)*(calc!$AS$3:$AS$306&lt;AS139))&gt;0))-SUMPRODUCT(--(calc!$AM$3:$AM$306=TRUE),--(ROW(calc!$AM$3:$AM$306)&gt;ROW(AM139)),--(((calc!$AR$3:$AR$306&gt;AR139)*(calc!$AS$3:$AS$306&lt;AS139)+(calc!$AR$3:$AR$306&lt;AR139)*(calc!$AS$3:$AS$306&gt;AS139))&gt;0)),0)</f>
        <v/>
      </c>
      <c r="AU139" s="5">
        <f>IF(mos_metrics!K138="","",mos_metrics!K138)</f>
        <v/>
      </c>
      <c r="AV139" s="2">
        <f>AND($J139,ISNUMBER(AU139),correlation!$I$30=1)</f>
        <v/>
      </c>
      <c r="AW139" s="5">
        <f>IF(AV139,$F139,"")</f>
        <v/>
      </c>
      <c r="AX139" s="5">
        <f>IF(AV139,AU139*correlation!$J$30,"")</f>
        <v/>
      </c>
      <c r="AY139" s="5">
        <f>IF(AND(AV139,ISNUMBER(correlation!$F$30)),AX139*correlation!$F$30+correlation!$G$30,"")</f>
        <v/>
      </c>
      <c r="AZ139" s="5">
        <f>IF(AND(AV139,ISNUMBER(AY139)),(AW139-AY139)^2,"")</f>
        <v/>
      </c>
      <c r="BA139" s="5">
        <f>IF(AV139,1+SUMPRODUCT(--(calc!$AV$3:$AV$306=TRUE),--(calc!$AW$3:$AW$306&gt;AW139))+(SUMPRODUCT(--(calc!$AV$3:$AV$306=TRUE),--(calc!$AW$3:$AW$306=AW139))-1)/2,"")</f>
        <v/>
      </c>
      <c r="BB139" s="5">
        <f>IF(AV139,1+SUMPRODUCT(--(calc!$AV$3:$AV$306=TRUE),--(calc!$AX$3:$AX$306&gt;AX139))+(SUMPRODUCT(--(calc!$AV$3:$AV$306=TRUE),--(calc!$AX$3:$AX$306=AX139))-1)/2,"")</f>
        <v/>
      </c>
      <c r="BC139" s="5">
        <f>IF(AV139,SUMPRODUCT(--(calc!$AV$3:$AV$306=TRUE),--(ROW(calc!$AV$3:$AV$306)&gt;ROW(AV139)),--(((calc!$BA$3:$BA$306&gt;BA139)*(calc!$BB$3:$BB$306&gt;BB139)+(calc!$BA$3:$BA$306&lt;BA139)*(calc!$BB$3:$BB$306&lt;BB139))&gt;0))-SUMPRODUCT(--(calc!$AV$3:$AV$306=TRUE),--(ROW(calc!$AV$3:$AV$306)&gt;ROW(AV139)),--(((calc!$BA$3:$BA$306&gt;BA139)*(calc!$BB$3:$BB$306&lt;BB139)+(calc!$BA$3:$BA$306&lt;BA139)*(calc!$BB$3:$BB$306&gt;BB139))&gt;0)),0)</f>
        <v/>
      </c>
      <c r="BD139" s="5">
        <f>IF(mos_metrics!L138="","",mos_metrics!L138)</f>
        <v/>
      </c>
      <c r="BE139" s="2">
        <f>AND($J139,ISNUMBER(BD139),correlation!$I$31=1)</f>
        <v/>
      </c>
      <c r="BF139" s="5">
        <f>IF(BE139,$F139,"")</f>
        <v/>
      </c>
      <c r="BG139" s="5">
        <f>IF(BE139,BD139*correlation!$J$31,"")</f>
        <v/>
      </c>
      <c r="BH139" s="5">
        <f>IF(AND(BE139,ISNUMBER(correlation!$F$31)),BG139*correlation!$F$31+correlation!$G$31,"")</f>
        <v/>
      </c>
      <c r="BI139" s="5">
        <f>IF(AND(BE139,ISNUMBER(BH139)),(BF139-BH139)^2,"")</f>
        <v/>
      </c>
      <c r="BJ139" s="5">
        <f>IF(BE139,1+SUMPRODUCT(--(calc!$BE$3:$BE$306=TRUE),--(calc!$BF$3:$BF$306&gt;BF139))+(SUMPRODUCT(--(calc!$BE$3:$BE$306=TRUE),--(calc!$BF$3:$BF$306=BF139))-1)/2,"")</f>
        <v/>
      </c>
      <c r="BK139" s="5">
        <f>IF(BE139,1+SUMPRODUCT(--(calc!$BE$3:$BE$306=TRUE),--(calc!$BG$3:$BG$306&gt;BG139))+(SUMPRODUCT(--(calc!$BE$3:$BE$306=TRUE),--(calc!$BG$3:$BG$306=BG139))-1)/2,"")</f>
        <v/>
      </c>
      <c r="BL139" s="5">
        <f>IF(BE139,SUMPRODUCT(--(calc!$BE$3:$BE$306=TRUE),--(ROW(calc!$BE$3:$BE$306)&gt;ROW(BE139)),--(((calc!$BJ$3:$BJ$306&gt;BJ139)*(calc!$BK$3:$BK$306&gt;BK139)+(calc!$BJ$3:$BJ$306&lt;BJ139)*(calc!$BK$3:$BK$306&lt;BK139))&gt;0))-SUMPRODUCT(--(calc!$BE$3:$BE$306=TRUE),--(ROW(calc!$BE$3:$BE$306)&gt;ROW(BE139)),--(((calc!$BJ$3:$BJ$306&gt;BJ139)*(calc!$BK$3:$BK$306&lt;BK139)+(calc!$BJ$3:$BJ$306&lt;BJ139)*(calc!$BK$3:$BK$306&gt;BK139))&gt;0)),0)</f>
        <v/>
      </c>
      <c r="BM139" s="5">
        <f>IF(mos_metrics!M138="","",mos_metrics!M138)</f>
        <v/>
      </c>
      <c r="BN139" s="2">
        <f>AND($J139,ISNUMBER(BM139),correlation!$I$32=1)</f>
        <v/>
      </c>
      <c r="BO139" s="5">
        <f>IF(BN139,$F139,"")</f>
        <v/>
      </c>
      <c r="BP139" s="5">
        <f>IF(BN139,BM139*correlation!$J$32,"")</f>
        <v/>
      </c>
      <c r="BQ139" s="5">
        <f>IF(AND(BN139,ISNUMBER(correlation!$F$32)),BP139*correlation!$F$32+correlation!$G$32,"")</f>
        <v/>
      </c>
      <c r="BR139" s="5">
        <f>IF(AND(BN139,ISNUMBER(BQ139)),(BO139-BQ139)^2,"")</f>
        <v/>
      </c>
      <c r="BS139" s="5">
        <f>IF(BN139,1+SUMPRODUCT(--(calc!$BN$3:$BN$306=TRUE),--(calc!$BO$3:$BO$306&gt;BO139))+(SUMPRODUCT(--(calc!$BN$3:$BN$306=TRUE),--(calc!$BO$3:$BO$306=BO139))-1)/2,"")</f>
        <v/>
      </c>
      <c r="BT139" s="5">
        <f>IF(BN139,1+SUMPRODUCT(--(calc!$BN$3:$BN$306=TRUE),--(calc!$BP$3:$BP$306&gt;BP139))+(SUMPRODUCT(--(calc!$BN$3:$BN$306=TRUE),--(calc!$BP$3:$BP$306=BP139))-1)/2,"")</f>
        <v/>
      </c>
      <c r="BU139" s="5">
        <f>IF(BN139,SUMPRODUCT(--(calc!$BN$3:$BN$306=TRUE),--(ROW(calc!$BN$3:$BN$306)&gt;ROW(BN139)),--(((calc!$BS$3:$BS$306&gt;BS139)*(calc!$BT$3:$BT$306&gt;BT139)+(calc!$BS$3:$BS$306&lt;BS139)*(calc!$BT$3:$BT$306&lt;BT139))&gt;0))-SUMPRODUCT(--(calc!$BN$3:$BN$306=TRUE),--(ROW(calc!$BN$3:$BN$306)&gt;ROW(BN139)),--(((calc!$BS$3:$BS$306&gt;BS139)*(calc!$BT$3:$BT$306&lt;BT139)+(calc!$BS$3:$BS$306&lt;BS139)*(calc!$BT$3:$BT$306&gt;BT139))&gt;0)),0)</f>
        <v/>
      </c>
    </row>
    <row r="140">
      <c r="A140" s="2">
        <f>mos_metrics!A139</f>
        <v/>
      </c>
      <c r="B140" s="2">
        <f>mos_metrics!B139</f>
        <v/>
      </c>
      <c r="C140" s="2">
        <f>mos_metrics!C139</f>
        <v/>
      </c>
      <c r="D140" s="2">
        <f>mos_metrics!D139</f>
        <v/>
      </c>
      <c r="E140" s="2">
        <f>mos_metrics!E139</f>
        <v/>
      </c>
      <c r="F140" s="2">
        <f>mos_metrics!F139</f>
        <v/>
      </c>
      <c r="G140" s="2">
        <f>IF($B140="","",IFERROR(VLOOKUP($B140,correlation!$A$2:$B$16,2,FALSE),1))</f>
        <v/>
      </c>
      <c r="H140" s="2">
        <f>IF($E140="","",IFERROR(VLOOKUP($E140,correlation!$D$2:$E$8,2,FALSE),1))</f>
        <v/>
      </c>
      <c r="I140" s="2">
        <f>ISNUMBER($F140)</f>
        <v/>
      </c>
      <c r="J140" s="2">
        <f>AND($G140=1,$H140=1,$I140)</f>
        <v/>
      </c>
      <c r="K140" s="5">
        <f>IF(mos_metrics!G139="","",mos_metrics!G139)</f>
        <v/>
      </c>
      <c r="L140" s="2">
        <f>AND($J140,ISNUMBER(K140),correlation!$I$26=1)</f>
        <v/>
      </c>
      <c r="M140" s="5">
        <f>IF(L140,$F140,"")</f>
        <v/>
      </c>
      <c r="N140" s="5">
        <f>IF(L140,K140*correlation!$J$26,"")</f>
        <v/>
      </c>
      <c r="O140" s="5">
        <f>IF(AND(L140,ISNUMBER(correlation!$F$26)),N140*correlation!$F$26+correlation!$G$26,"")</f>
        <v/>
      </c>
      <c r="P140" s="5">
        <f>IF(AND(L140,ISNUMBER(O140)),(M140-O140)^2,"")</f>
        <v/>
      </c>
      <c r="Q140" s="5">
        <f>IF(L140,1+SUMPRODUCT(--(calc!$L$3:$L$306=TRUE),--(calc!$M$3:$M$306&gt;M140))+(SUMPRODUCT(--(calc!$L$3:$L$306=TRUE),--(calc!$M$3:$M$306=M140))-1)/2,"")</f>
        <v/>
      </c>
      <c r="R140" s="5">
        <f>IF(L140,1+SUMPRODUCT(--(calc!$L$3:$L$306=TRUE),--(calc!$N$3:$N$306&gt;N140))+(SUMPRODUCT(--(calc!$L$3:$L$306=TRUE),--(calc!$N$3:$N$306=N140))-1)/2,"")</f>
        <v/>
      </c>
      <c r="S140" s="5">
        <f>IF(L140,SUMPRODUCT(--(calc!$L$3:$L$306=TRUE),--(ROW(calc!$L$3:$L$306)&gt;ROW(L140)),--(((calc!$Q$3:$Q$306&gt;Q140)*(calc!$R$3:$R$306&gt;R140)+(calc!$Q$3:$Q$306&lt;Q140)*(calc!$R$3:$R$306&lt;R140))&gt;0))-SUMPRODUCT(--(calc!$L$3:$L$306=TRUE),--(ROW(calc!$L$3:$L$306)&gt;ROW(L140)),--(((calc!$Q$3:$Q$306&gt;Q140)*(calc!$R$3:$R$306&lt;R140)+(calc!$Q$3:$Q$306&lt;Q140)*(calc!$R$3:$R$306&gt;R140))&gt;0)),0)</f>
        <v/>
      </c>
      <c r="T140" s="5">
        <f>IF(mos_metrics!H139="","",mos_metrics!H139)</f>
        <v/>
      </c>
      <c r="U140" s="2">
        <f>AND($J140,ISNUMBER(T140),correlation!$I$27=1)</f>
        <v/>
      </c>
      <c r="V140" s="5">
        <f>IF(U140,$F140,"")</f>
        <v/>
      </c>
      <c r="W140" s="5">
        <f>IF(U140,T140*correlation!$J$27,"")</f>
        <v/>
      </c>
      <c r="X140" s="5">
        <f>IF(AND(U140,ISNUMBER(correlation!$F$27)),W140*correlation!$F$27+correlation!$G$27,"")</f>
        <v/>
      </c>
      <c r="Y140" s="5">
        <f>IF(AND(U140,ISNUMBER(X140)),(V140-X140)^2,"")</f>
        <v/>
      </c>
      <c r="Z140" s="5">
        <f>IF(U140,1+SUMPRODUCT(--(calc!$U$3:$U$306=TRUE),--(calc!$V$3:$V$306&gt;V140))+(SUMPRODUCT(--(calc!$U$3:$U$306=TRUE),--(calc!$V$3:$V$306=V140))-1)/2,"")</f>
        <v/>
      </c>
      <c r="AA140" s="5">
        <f>IF(U140,1+SUMPRODUCT(--(calc!$U$3:$U$306=TRUE),--(calc!$W$3:$W$306&gt;W140))+(SUMPRODUCT(--(calc!$U$3:$U$306=TRUE),--(calc!$W$3:$W$306=W140))-1)/2,"")</f>
        <v/>
      </c>
      <c r="AB140" s="5">
        <f>IF(U140,SUMPRODUCT(--(calc!$U$3:$U$306=TRUE),--(ROW(calc!$U$3:$U$306)&gt;ROW(U140)),--(((calc!$Z$3:$Z$306&gt;Z140)*(calc!$AA$3:$AA$306&gt;AA140)+(calc!$Z$3:$Z$306&lt;Z140)*(calc!$AA$3:$AA$306&lt;AA140))&gt;0))-SUMPRODUCT(--(calc!$U$3:$U$306=TRUE),--(ROW(calc!$U$3:$U$306)&gt;ROW(U140)),--(((calc!$Z$3:$Z$306&gt;Z140)*(calc!$AA$3:$AA$306&lt;AA140)+(calc!$Z$3:$Z$306&lt;Z140)*(calc!$AA$3:$AA$306&gt;AA140))&gt;0)),0)</f>
        <v/>
      </c>
      <c r="AC140" s="5">
        <f>IF(mos_metrics!I139="","",mos_metrics!I139)</f>
        <v/>
      </c>
      <c r="AD140" s="2">
        <f>AND($J140,ISNUMBER(AC140),correlation!$I$28=1)</f>
        <v/>
      </c>
      <c r="AE140" s="5">
        <f>IF(AD140,$F140,"")</f>
        <v/>
      </c>
      <c r="AF140" s="5">
        <f>IF(AD140,AC140*correlation!$J$28,"")</f>
        <v/>
      </c>
      <c r="AG140" s="5">
        <f>IF(AND(AD140,ISNUMBER(correlation!$F$28)),AF140*correlation!$F$28+correlation!$G$28,"")</f>
        <v/>
      </c>
      <c r="AH140" s="5">
        <f>IF(AND(AD140,ISNUMBER(AG140)),(AE140-AG140)^2,"")</f>
        <v/>
      </c>
      <c r="AI140" s="5">
        <f>IF(AD140,1+SUMPRODUCT(--(calc!$AD$3:$AD$306=TRUE),--(calc!$AE$3:$AE$306&gt;AE140))+(SUMPRODUCT(--(calc!$AD$3:$AD$306=TRUE),--(calc!$AE$3:$AE$306=AE140))-1)/2,"")</f>
        <v/>
      </c>
      <c r="AJ140" s="5">
        <f>IF(AD140,1+SUMPRODUCT(--(calc!$AD$3:$AD$306=TRUE),--(calc!$AF$3:$AF$306&gt;AF140))+(SUMPRODUCT(--(calc!$AD$3:$AD$306=TRUE),--(calc!$AF$3:$AF$306=AF140))-1)/2,"")</f>
        <v/>
      </c>
      <c r="AK140" s="5">
        <f>IF(AD140,SUMPRODUCT(--(calc!$AD$3:$AD$306=TRUE),--(ROW(calc!$AD$3:$AD$306)&gt;ROW(AD140)),--(((calc!$AI$3:$AI$306&gt;AI140)*(calc!$AJ$3:$AJ$306&gt;AJ140)+(calc!$AI$3:$AI$306&lt;AI140)*(calc!$AJ$3:$AJ$306&lt;AJ140))&gt;0))-SUMPRODUCT(--(calc!$AD$3:$AD$306=TRUE),--(ROW(calc!$AD$3:$AD$306)&gt;ROW(AD140)),--(((calc!$AI$3:$AI$306&gt;AI140)*(calc!$AJ$3:$AJ$306&lt;AJ140)+(calc!$AI$3:$AI$306&lt;AI140)*(calc!$AJ$3:$AJ$306&gt;AJ140))&gt;0)),0)</f>
        <v/>
      </c>
      <c r="AL140" s="5">
        <f>IF(mos_metrics!J139="","",mos_metrics!J139)</f>
        <v/>
      </c>
      <c r="AM140" s="2">
        <f>AND($J140,ISNUMBER(AL140),correlation!$I$29=1)</f>
        <v/>
      </c>
      <c r="AN140" s="5">
        <f>IF(AM140,$F140,"")</f>
        <v/>
      </c>
      <c r="AO140" s="5">
        <f>IF(AM140,AL140*correlation!$J$29,"")</f>
        <v/>
      </c>
      <c r="AP140" s="5">
        <f>IF(AND(AM140,ISNUMBER(correlation!$F$29)),AO140*correlation!$F$29+correlation!$G$29,"")</f>
        <v/>
      </c>
      <c r="AQ140" s="5">
        <f>IF(AND(AM140,ISNUMBER(AP140)),(AN140-AP140)^2,"")</f>
        <v/>
      </c>
      <c r="AR140" s="5">
        <f>IF(AM140,1+SUMPRODUCT(--(calc!$AM$3:$AM$306=TRUE),--(calc!$AN$3:$AN$306&gt;AN140))+(SUMPRODUCT(--(calc!$AM$3:$AM$306=TRUE),--(calc!$AN$3:$AN$306=AN140))-1)/2,"")</f>
        <v/>
      </c>
      <c r="AS140" s="5">
        <f>IF(AM140,1+SUMPRODUCT(--(calc!$AM$3:$AM$306=TRUE),--(calc!$AO$3:$AO$306&gt;AO140))+(SUMPRODUCT(--(calc!$AM$3:$AM$306=TRUE),--(calc!$AO$3:$AO$306=AO140))-1)/2,"")</f>
        <v/>
      </c>
      <c r="AT140" s="5">
        <f>IF(AM140,SUMPRODUCT(--(calc!$AM$3:$AM$306=TRUE),--(ROW(calc!$AM$3:$AM$306)&gt;ROW(AM140)),--(((calc!$AR$3:$AR$306&gt;AR140)*(calc!$AS$3:$AS$306&gt;AS140)+(calc!$AR$3:$AR$306&lt;AR140)*(calc!$AS$3:$AS$306&lt;AS140))&gt;0))-SUMPRODUCT(--(calc!$AM$3:$AM$306=TRUE),--(ROW(calc!$AM$3:$AM$306)&gt;ROW(AM140)),--(((calc!$AR$3:$AR$306&gt;AR140)*(calc!$AS$3:$AS$306&lt;AS140)+(calc!$AR$3:$AR$306&lt;AR140)*(calc!$AS$3:$AS$306&gt;AS140))&gt;0)),0)</f>
        <v/>
      </c>
      <c r="AU140" s="5">
        <f>IF(mos_metrics!K139="","",mos_metrics!K139)</f>
        <v/>
      </c>
      <c r="AV140" s="2">
        <f>AND($J140,ISNUMBER(AU140),correlation!$I$30=1)</f>
        <v/>
      </c>
      <c r="AW140" s="5">
        <f>IF(AV140,$F140,"")</f>
        <v/>
      </c>
      <c r="AX140" s="5">
        <f>IF(AV140,AU140*correlation!$J$30,"")</f>
        <v/>
      </c>
      <c r="AY140" s="5">
        <f>IF(AND(AV140,ISNUMBER(correlation!$F$30)),AX140*correlation!$F$30+correlation!$G$30,"")</f>
        <v/>
      </c>
      <c r="AZ140" s="5">
        <f>IF(AND(AV140,ISNUMBER(AY140)),(AW140-AY140)^2,"")</f>
        <v/>
      </c>
      <c r="BA140" s="5">
        <f>IF(AV140,1+SUMPRODUCT(--(calc!$AV$3:$AV$306=TRUE),--(calc!$AW$3:$AW$306&gt;AW140))+(SUMPRODUCT(--(calc!$AV$3:$AV$306=TRUE),--(calc!$AW$3:$AW$306=AW140))-1)/2,"")</f>
        <v/>
      </c>
      <c r="BB140" s="5">
        <f>IF(AV140,1+SUMPRODUCT(--(calc!$AV$3:$AV$306=TRUE),--(calc!$AX$3:$AX$306&gt;AX140))+(SUMPRODUCT(--(calc!$AV$3:$AV$306=TRUE),--(calc!$AX$3:$AX$306=AX140))-1)/2,"")</f>
        <v/>
      </c>
      <c r="BC140" s="5">
        <f>IF(AV140,SUMPRODUCT(--(calc!$AV$3:$AV$306=TRUE),--(ROW(calc!$AV$3:$AV$306)&gt;ROW(AV140)),--(((calc!$BA$3:$BA$306&gt;BA140)*(calc!$BB$3:$BB$306&gt;BB140)+(calc!$BA$3:$BA$306&lt;BA140)*(calc!$BB$3:$BB$306&lt;BB140))&gt;0))-SUMPRODUCT(--(calc!$AV$3:$AV$306=TRUE),--(ROW(calc!$AV$3:$AV$306)&gt;ROW(AV140)),--(((calc!$BA$3:$BA$306&gt;BA140)*(calc!$BB$3:$BB$306&lt;BB140)+(calc!$BA$3:$BA$306&lt;BA140)*(calc!$BB$3:$BB$306&gt;BB140))&gt;0)),0)</f>
        <v/>
      </c>
      <c r="BD140" s="5">
        <f>IF(mos_metrics!L139="","",mos_metrics!L139)</f>
        <v/>
      </c>
      <c r="BE140" s="2">
        <f>AND($J140,ISNUMBER(BD140),correlation!$I$31=1)</f>
        <v/>
      </c>
      <c r="BF140" s="5">
        <f>IF(BE140,$F140,"")</f>
        <v/>
      </c>
      <c r="BG140" s="5">
        <f>IF(BE140,BD140*correlation!$J$31,"")</f>
        <v/>
      </c>
      <c r="BH140" s="5">
        <f>IF(AND(BE140,ISNUMBER(correlation!$F$31)),BG140*correlation!$F$31+correlation!$G$31,"")</f>
        <v/>
      </c>
      <c r="BI140" s="5">
        <f>IF(AND(BE140,ISNUMBER(BH140)),(BF140-BH140)^2,"")</f>
        <v/>
      </c>
      <c r="BJ140" s="5">
        <f>IF(BE140,1+SUMPRODUCT(--(calc!$BE$3:$BE$306=TRUE),--(calc!$BF$3:$BF$306&gt;BF140))+(SUMPRODUCT(--(calc!$BE$3:$BE$306=TRUE),--(calc!$BF$3:$BF$306=BF140))-1)/2,"")</f>
        <v/>
      </c>
      <c r="BK140" s="5">
        <f>IF(BE140,1+SUMPRODUCT(--(calc!$BE$3:$BE$306=TRUE),--(calc!$BG$3:$BG$306&gt;BG140))+(SUMPRODUCT(--(calc!$BE$3:$BE$306=TRUE),--(calc!$BG$3:$BG$306=BG140))-1)/2,"")</f>
        <v/>
      </c>
      <c r="BL140" s="5">
        <f>IF(BE140,SUMPRODUCT(--(calc!$BE$3:$BE$306=TRUE),--(ROW(calc!$BE$3:$BE$306)&gt;ROW(BE140)),--(((calc!$BJ$3:$BJ$306&gt;BJ140)*(calc!$BK$3:$BK$306&gt;BK140)+(calc!$BJ$3:$BJ$306&lt;BJ140)*(calc!$BK$3:$BK$306&lt;BK140))&gt;0))-SUMPRODUCT(--(calc!$BE$3:$BE$306=TRUE),--(ROW(calc!$BE$3:$BE$306)&gt;ROW(BE140)),--(((calc!$BJ$3:$BJ$306&gt;BJ140)*(calc!$BK$3:$BK$306&lt;BK140)+(calc!$BJ$3:$BJ$306&lt;BJ140)*(calc!$BK$3:$BK$306&gt;BK140))&gt;0)),0)</f>
        <v/>
      </c>
      <c r="BM140" s="5">
        <f>IF(mos_metrics!M139="","",mos_metrics!M139)</f>
        <v/>
      </c>
      <c r="BN140" s="2">
        <f>AND($J140,ISNUMBER(BM140),correlation!$I$32=1)</f>
        <v/>
      </c>
      <c r="BO140" s="5">
        <f>IF(BN140,$F140,"")</f>
        <v/>
      </c>
      <c r="BP140" s="5">
        <f>IF(BN140,BM140*correlation!$J$32,"")</f>
        <v/>
      </c>
      <c r="BQ140" s="5">
        <f>IF(AND(BN140,ISNUMBER(correlation!$F$32)),BP140*correlation!$F$32+correlation!$G$32,"")</f>
        <v/>
      </c>
      <c r="BR140" s="5">
        <f>IF(AND(BN140,ISNUMBER(BQ140)),(BO140-BQ140)^2,"")</f>
        <v/>
      </c>
      <c r="BS140" s="5">
        <f>IF(BN140,1+SUMPRODUCT(--(calc!$BN$3:$BN$306=TRUE),--(calc!$BO$3:$BO$306&gt;BO140))+(SUMPRODUCT(--(calc!$BN$3:$BN$306=TRUE),--(calc!$BO$3:$BO$306=BO140))-1)/2,"")</f>
        <v/>
      </c>
      <c r="BT140" s="5">
        <f>IF(BN140,1+SUMPRODUCT(--(calc!$BN$3:$BN$306=TRUE),--(calc!$BP$3:$BP$306&gt;BP140))+(SUMPRODUCT(--(calc!$BN$3:$BN$306=TRUE),--(calc!$BP$3:$BP$306=BP140))-1)/2,"")</f>
        <v/>
      </c>
      <c r="BU140" s="5">
        <f>IF(BN140,SUMPRODUCT(--(calc!$BN$3:$BN$306=TRUE),--(ROW(calc!$BN$3:$BN$306)&gt;ROW(BN140)),--(((calc!$BS$3:$BS$306&gt;BS140)*(calc!$BT$3:$BT$306&gt;BT140)+(calc!$BS$3:$BS$306&lt;BS140)*(calc!$BT$3:$BT$306&lt;BT140))&gt;0))-SUMPRODUCT(--(calc!$BN$3:$BN$306=TRUE),--(ROW(calc!$BN$3:$BN$306)&gt;ROW(BN140)),--(((calc!$BS$3:$BS$306&gt;BS140)*(calc!$BT$3:$BT$306&lt;BT140)+(calc!$BS$3:$BS$306&lt;BS140)*(calc!$BT$3:$BT$306&gt;BT140))&gt;0)),0)</f>
        <v/>
      </c>
    </row>
    <row r="141">
      <c r="A141" s="2">
        <f>mos_metrics!A140</f>
        <v/>
      </c>
      <c r="B141" s="2">
        <f>mos_metrics!B140</f>
        <v/>
      </c>
      <c r="C141" s="2">
        <f>mos_metrics!C140</f>
        <v/>
      </c>
      <c r="D141" s="2">
        <f>mos_metrics!D140</f>
        <v/>
      </c>
      <c r="E141" s="2">
        <f>mos_metrics!E140</f>
        <v/>
      </c>
      <c r="F141" s="2">
        <f>mos_metrics!F140</f>
        <v/>
      </c>
      <c r="G141" s="2">
        <f>IF($B141="","",IFERROR(VLOOKUP($B141,correlation!$A$2:$B$16,2,FALSE),1))</f>
        <v/>
      </c>
      <c r="H141" s="2">
        <f>IF($E141="","",IFERROR(VLOOKUP($E141,correlation!$D$2:$E$8,2,FALSE),1))</f>
        <v/>
      </c>
      <c r="I141" s="2">
        <f>ISNUMBER($F141)</f>
        <v/>
      </c>
      <c r="J141" s="2">
        <f>AND($G141=1,$H141=1,$I141)</f>
        <v/>
      </c>
      <c r="K141" s="5">
        <f>IF(mos_metrics!G140="","",mos_metrics!G140)</f>
        <v/>
      </c>
      <c r="L141" s="2">
        <f>AND($J141,ISNUMBER(K141),correlation!$I$26=1)</f>
        <v/>
      </c>
      <c r="M141" s="5">
        <f>IF(L141,$F141,"")</f>
        <v/>
      </c>
      <c r="N141" s="5">
        <f>IF(L141,K141*correlation!$J$26,"")</f>
        <v/>
      </c>
      <c r="O141" s="5">
        <f>IF(AND(L141,ISNUMBER(correlation!$F$26)),N141*correlation!$F$26+correlation!$G$26,"")</f>
        <v/>
      </c>
      <c r="P141" s="5">
        <f>IF(AND(L141,ISNUMBER(O141)),(M141-O141)^2,"")</f>
        <v/>
      </c>
      <c r="Q141" s="5">
        <f>IF(L141,1+SUMPRODUCT(--(calc!$L$3:$L$306=TRUE),--(calc!$M$3:$M$306&gt;M141))+(SUMPRODUCT(--(calc!$L$3:$L$306=TRUE),--(calc!$M$3:$M$306=M141))-1)/2,"")</f>
        <v/>
      </c>
      <c r="R141" s="5">
        <f>IF(L141,1+SUMPRODUCT(--(calc!$L$3:$L$306=TRUE),--(calc!$N$3:$N$306&gt;N141))+(SUMPRODUCT(--(calc!$L$3:$L$306=TRUE),--(calc!$N$3:$N$306=N141))-1)/2,"")</f>
        <v/>
      </c>
      <c r="S141" s="5">
        <f>IF(L141,SUMPRODUCT(--(calc!$L$3:$L$306=TRUE),--(ROW(calc!$L$3:$L$306)&gt;ROW(L141)),--(((calc!$Q$3:$Q$306&gt;Q141)*(calc!$R$3:$R$306&gt;R141)+(calc!$Q$3:$Q$306&lt;Q141)*(calc!$R$3:$R$306&lt;R141))&gt;0))-SUMPRODUCT(--(calc!$L$3:$L$306=TRUE),--(ROW(calc!$L$3:$L$306)&gt;ROW(L141)),--(((calc!$Q$3:$Q$306&gt;Q141)*(calc!$R$3:$R$306&lt;R141)+(calc!$Q$3:$Q$306&lt;Q141)*(calc!$R$3:$R$306&gt;R141))&gt;0)),0)</f>
        <v/>
      </c>
      <c r="T141" s="5">
        <f>IF(mos_metrics!H140="","",mos_metrics!H140)</f>
        <v/>
      </c>
      <c r="U141" s="2">
        <f>AND($J141,ISNUMBER(T141),correlation!$I$27=1)</f>
        <v/>
      </c>
      <c r="V141" s="5">
        <f>IF(U141,$F141,"")</f>
        <v/>
      </c>
      <c r="W141" s="5">
        <f>IF(U141,T141*correlation!$J$27,"")</f>
        <v/>
      </c>
      <c r="X141" s="5">
        <f>IF(AND(U141,ISNUMBER(correlation!$F$27)),W141*correlation!$F$27+correlation!$G$27,"")</f>
        <v/>
      </c>
      <c r="Y141" s="5">
        <f>IF(AND(U141,ISNUMBER(X141)),(V141-X141)^2,"")</f>
        <v/>
      </c>
      <c r="Z141" s="5">
        <f>IF(U141,1+SUMPRODUCT(--(calc!$U$3:$U$306=TRUE),--(calc!$V$3:$V$306&gt;V141))+(SUMPRODUCT(--(calc!$U$3:$U$306=TRUE),--(calc!$V$3:$V$306=V141))-1)/2,"")</f>
        <v/>
      </c>
      <c r="AA141" s="5">
        <f>IF(U141,1+SUMPRODUCT(--(calc!$U$3:$U$306=TRUE),--(calc!$W$3:$W$306&gt;W141))+(SUMPRODUCT(--(calc!$U$3:$U$306=TRUE),--(calc!$W$3:$W$306=W141))-1)/2,"")</f>
        <v/>
      </c>
      <c r="AB141" s="5">
        <f>IF(U141,SUMPRODUCT(--(calc!$U$3:$U$306=TRUE),--(ROW(calc!$U$3:$U$306)&gt;ROW(U141)),--(((calc!$Z$3:$Z$306&gt;Z141)*(calc!$AA$3:$AA$306&gt;AA141)+(calc!$Z$3:$Z$306&lt;Z141)*(calc!$AA$3:$AA$306&lt;AA141))&gt;0))-SUMPRODUCT(--(calc!$U$3:$U$306=TRUE),--(ROW(calc!$U$3:$U$306)&gt;ROW(U141)),--(((calc!$Z$3:$Z$306&gt;Z141)*(calc!$AA$3:$AA$306&lt;AA141)+(calc!$Z$3:$Z$306&lt;Z141)*(calc!$AA$3:$AA$306&gt;AA141))&gt;0)),0)</f>
        <v/>
      </c>
      <c r="AC141" s="5">
        <f>IF(mos_metrics!I140="","",mos_metrics!I140)</f>
        <v/>
      </c>
      <c r="AD141" s="2">
        <f>AND($J141,ISNUMBER(AC141),correlation!$I$28=1)</f>
        <v/>
      </c>
      <c r="AE141" s="5">
        <f>IF(AD141,$F141,"")</f>
        <v/>
      </c>
      <c r="AF141" s="5">
        <f>IF(AD141,AC141*correlation!$J$28,"")</f>
        <v/>
      </c>
      <c r="AG141" s="5">
        <f>IF(AND(AD141,ISNUMBER(correlation!$F$28)),AF141*correlation!$F$28+correlation!$G$28,"")</f>
        <v/>
      </c>
      <c r="AH141" s="5">
        <f>IF(AND(AD141,ISNUMBER(AG141)),(AE141-AG141)^2,"")</f>
        <v/>
      </c>
      <c r="AI141" s="5">
        <f>IF(AD141,1+SUMPRODUCT(--(calc!$AD$3:$AD$306=TRUE),--(calc!$AE$3:$AE$306&gt;AE141))+(SUMPRODUCT(--(calc!$AD$3:$AD$306=TRUE),--(calc!$AE$3:$AE$306=AE141))-1)/2,"")</f>
        <v/>
      </c>
      <c r="AJ141" s="5">
        <f>IF(AD141,1+SUMPRODUCT(--(calc!$AD$3:$AD$306=TRUE),--(calc!$AF$3:$AF$306&gt;AF141))+(SUMPRODUCT(--(calc!$AD$3:$AD$306=TRUE),--(calc!$AF$3:$AF$306=AF141))-1)/2,"")</f>
        <v/>
      </c>
      <c r="AK141" s="5">
        <f>IF(AD141,SUMPRODUCT(--(calc!$AD$3:$AD$306=TRUE),--(ROW(calc!$AD$3:$AD$306)&gt;ROW(AD141)),--(((calc!$AI$3:$AI$306&gt;AI141)*(calc!$AJ$3:$AJ$306&gt;AJ141)+(calc!$AI$3:$AI$306&lt;AI141)*(calc!$AJ$3:$AJ$306&lt;AJ141))&gt;0))-SUMPRODUCT(--(calc!$AD$3:$AD$306=TRUE),--(ROW(calc!$AD$3:$AD$306)&gt;ROW(AD141)),--(((calc!$AI$3:$AI$306&gt;AI141)*(calc!$AJ$3:$AJ$306&lt;AJ141)+(calc!$AI$3:$AI$306&lt;AI141)*(calc!$AJ$3:$AJ$306&gt;AJ141))&gt;0)),0)</f>
        <v/>
      </c>
      <c r="AL141" s="5">
        <f>IF(mos_metrics!J140="","",mos_metrics!J140)</f>
        <v/>
      </c>
      <c r="AM141" s="2">
        <f>AND($J141,ISNUMBER(AL141),correlation!$I$29=1)</f>
        <v/>
      </c>
      <c r="AN141" s="5">
        <f>IF(AM141,$F141,"")</f>
        <v/>
      </c>
      <c r="AO141" s="5">
        <f>IF(AM141,AL141*correlation!$J$29,"")</f>
        <v/>
      </c>
      <c r="AP141" s="5">
        <f>IF(AND(AM141,ISNUMBER(correlation!$F$29)),AO141*correlation!$F$29+correlation!$G$29,"")</f>
        <v/>
      </c>
      <c r="AQ141" s="5">
        <f>IF(AND(AM141,ISNUMBER(AP141)),(AN141-AP141)^2,"")</f>
        <v/>
      </c>
      <c r="AR141" s="5">
        <f>IF(AM141,1+SUMPRODUCT(--(calc!$AM$3:$AM$306=TRUE),--(calc!$AN$3:$AN$306&gt;AN141))+(SUMPRODUCT(--(calc!$AM$3:$AM$306=TRUE),--(calc!$AN$3:$AN$306=AN141))-1)/2,"")</f>
        <v/>
      </c>
      <c r="AS141" s="5">
        <f>IF(AM141,1+SUMPRODUCT(--(calc!$AM$3:$AM$306=TRUE),--(calc!$AO$3:$AO$306&gt;AO141))+(SUMPRODUCT(--(calc!$AM$3:$AM$306=TRUE),--(calc!$AO$3:$AO$306=AO141))-1)/2,"")</f>
        <v/>
      </c>
      <c r="AT141" s="5">
        <f>IF(AM141,SUMPRODUCT(--(calc!$AM$3:$AM$306=TRUE),--(ROW(calc!$AM$3:$AM$306)&gt;ROW(AM141)),--(((calc!$AR$3:$AR$306&gt;AR141)*(calc!$AS$3:$AS$306&gt;AS141)+(calc!$AR$3:$AR$306&lt;AR141)*(calc!$AS$3:$AS$306&lt;AS141))&gt;0))-SUMPRODUCT(--(calc!$AM$3:$AM$306=TRUE),--(ROW(calc!$AM$3:$AM$306)&gt;ROW(AM141)),--(((calc!$AR$3:$AR$306&gt;AR141)*(calc!$AS$3:$AS$306&lt;AS141)+(calc!$AR$3:$AR$306&lt;AR141)*(calc!$AS$3:$AS$306&gt;AS141))&gt;0)),0)</f>
        <v/>
      </c>
      <c r="AU141" s="5">
        <f>IF(mos_metrics!K140="","",mos_metrics!K140)</f>
        <v/>
      </c>
      <c r="AV141" s="2">
        <f>AND($J141,ISNUMBER(AU141),correlation!$I$30=1)</f>
        <v/>
      </c>
      <c r="AW141" s="5">
        <f>IF(AV141,$F141,"")</f>
        <v/>
      </c>
      <c r="AX141" s="5">
        <f>IF(AV141,AU141*correlation!$J$30,"")</f>
        <v/>
      </c>
      <c r="AY141" s="5">
        <f>IF(AND(AV141,ISNUMBER(correlation!$F$30)),AX141*correlation!$F$30+correlation!$G$30,"")</f>
        <v/>
      </c>
      <c r="AZ141" s="5">
        <f>IF(AND(AV141,ISNUMBER(AY141)),(AW141-AY141)^2,"")</f>
        <v/>
      </c>
      <c r="BA141" s="5">
        <f>IF(AV141,1+SUMPRODUCT(--(calc!$AV$3:$AV$306=TRUE),--(calc!$AW$3:$AW$306&gt;AW141))+(SUMPRODUCT(--(calc!$AV$3:$AV$306=TRUE),--(calc!$AW$3:$AW$306=AW141))-1)/2,"")</f>
        <v/>
      </c>
      <c r="BB141" s="5">
        <f>IF(AV141,1+SUMPRODUCT(--(calc!$AV$3:$AV$306=TRUE),--(calc!$AX$3:$AX$306&gt;AX141))+(SUMPRODUCT(--(calc!$AV$3:$AV$306=TRUE),--(calc!$AX$3:$AX$306=AX141))-1)/2,"")</f>
        <v/>
      </c>
      <c r="BC141" s="5">
        <f>IF(AV141,SUMPRODUCT(--(calc!$AV$3:$AV$306=TRUE),--(ROW(calc!$AV$3:$AV$306)&gt;ROW(AV141)),--(((calc!$BA$3:$BA$306&gt;BA141)*(calc!$BB$3:$BB$306&gt;BB141)+(calc!$BA$3:$BA$306&lt;BA141)*(calc!$BB$3:$BB$306&lt;BB141))&gt;0))-SUMPRODUCT(--(calc!$AV$3:$AV$306=TRUE),--(ROW(calc!$AV$3:$AV$306)&gt;ROW(AV141)),--(((calc!$BA$3:$BA$306&gt;BA141)*(calc!$BB$3:$BB$306&lt;BB141)+(calc!$BA$3:$BA$306&lt;BA141)*(calc!$BB$3:$BB$306&gt;BB141))&gt;0)),0)</f>
        <v/>
      </c>
      <c r="BD141" s="5">
        <f>IF(mos_metrics!L140="","",mos_metrics!L140)</f>
        <v/>
      </c>
      <c r="BE141" s="2">
        <f>AND($J141,ISNUMBER(BD141),correlation!$I$31=1)</f>
        <v/>
      </c>
      <c r="BF141" s="5">
        <f>IF(BE141,$F141,"")</f>
        <v/>
      </c>
      <c r="BG141" s="5">
        <f>IF(BE141,BD141*correlation!$J$31,"")</f>
        <v/>
      </c>
      <c r="BH141" s="5">
        <f>IF(AND(BE141,ISNUMBER(correlation!$F$31)),BG141*correlation!$F$31+correlation!$G$31,"")</f>
        <v/>
      </c>
      <c r="BI141" s="5">
        <f>IF(AND(BE141,ISNUMBER(BH141)),(BF141-BH141)^2,"")</f>
        <v/>
      </c>
      <c r="BJ141" s="5">
        <f>IF(BE141,1+SUMPRODUCT(--(calc!$BE$3:$BE$306=TRUE),--(calc!$BF$3:$BF$306&gt;BF141))+(SUMPRODUCT(--(calc!$BE$3:$BE$306=TRUE),--(calc!$BF$3:$BF$306=BF141))-1)/2,"")</f>
        <v/>
      </c>
      <c r="BK141" s="5">
        <f>IF(BE141,1+SUMPRODUCT(--(calc!$BE$3:$BE$306=TRUE),--(calc!$BG$3:$BG$306&gt;BG141))+(SUMPRODUCT(--(calc!$BE$3:$BE$306=TRUE),--(calc!$BG$3:$BG$306=BG141))-1)/2,"")</f>
        <v/>
      </c>
      <c r="BL141" s="5">
        <f>IF(BE141,SUMPRODUCT(--(calc!$BE$3:$BE$306=TRUE),--(ROW(calc!$BE$3:$BE$306)&gt;ROW(BE141)),--(((calc!$BJ$3:$BJ$306&gt;BJ141)*(calc!$BK$3:$BK$306&gt;BK141)+(calc!$BJ$3:$BJ$306&lt;BJ141)*(calc!$BK$3:$BK$306&lt;BK141))&gt;0))-SUMPRODUCT(--(calc!$BE$3:$BE$306=TRUE),--(ROW(calc!$BE$3:$BE$306)&gt;ROW(BE141)),--(((calc!$BJ$3:$BJ$306&gt;BJ141)*(calc!$BK$3:$BK$306&lt;BK141)+(calc!$BJ$3:$BJ$306&lt;BJ141)*(calc!$BK$3:$BK$306&gt;BK141))&gt;0)),0)</f>
        <v/>
      </c>
      <c r="BM141" s="5">
        <f>IF(mos_metrics!M140="","",mos_metrics!M140)</f>
        <v/>
      </c>
      <c r="BN141" s="2">
        <f>AND($J141,ISNUMBER(BM141),correlation!$I$32=1)</f>
        <v/>
      </c>
      <c r="BO141" s="5">
        <f>IF(BN141,$F141,"")</f>
        <v/>
      </c>
      <c r="BP141" s="5">
        <f>IF(BN141,BM141*correlation!$J$32,"")</f>
        <v/>
      </c>
      <c r="BQ141" s="5">
        <f>IF(AND(BN141,ISNUMBER(correlation!$F$32)),BP141*correlation!$F$32+correlation!$G$32,"")</f>
        <v/>
      </c>
      <c r="BR141" s="5">
        <f>IF(AND(BN141,ISNUMBER(BQ141)),(BO141-BQ141)^2,"")</f>
        <v/>
      </c>
      <c r="BS141" s="5">
        <f>IF(BN141,1+SUMPRODUCT(--(calc!$BN$3:$BN$306=TRUE),--(calc!$BO$3:$BO$306&gt;BO141))+(SUMPRODUCT(--(calc!$BN$3:$BN$306=TRUE),--(calc!$BO$3:$BO$306=BO141))-1)/2,"")</f>
        <v/>
      </c>
      <c r="BT141" s="5">
        <f>IF(BN141,1+SUMPRODUCT(--(calc!$BN$3:$BN$306=TRUE),--(calc!$BP$3:$BP$306&gt;BP141))+(SUMPRODUCT(--(calc!$BN$3:$BN$306=TRUE),--(calc!$BP$3:$BP$306=BP141))-1)/2,"")</f>
        <v/>
      </c>
      <c r="BU141" s="5">
        <f>IF(BN141,SUMPRODUCT(--(calc!$BN$3:$BN$306=TRUE),--(ROW(calc!$BN$3:$BN$306)&gt;ROW(BN141)),--(((calc!$BS$3:$BS$306&gt;BS141)*(calc!$BT$3:$BT$306&gt;BT141)+(calc!$BS$3:$BS$306&lt;BS141)*(calc!$BT$3:$BT$306&lt;BT141))&gt;0))-SUMPRODUCT(--(calc!$BN$3:$BN$306=TRUE),--(ROW(calc!$BN$3:$BN$306)&gt;ROW(BN141)),--(((calc!$BS$3:$BS$306&gt;BS141)*(calc!$BT$3:$BT$306&lt;BT141)+(calc!$BS$3:$BS$306&lt;BS141)*(calc!$BT$3:$BT$306&gt;BT141))&gt;0)),0)</f>
        <v/>
      </c>
    </row>
    <row r="142">
      <c r="A142" s="2">
        <f>mos_metrics!A141</f>
        <v/>
      </c>
      <c r="B142" s="2">
        <f>mos_metrics!B141</f>
        <v/>
      </c>
      <c r="C142" s="2">
        <f>mos_metrics!C141</f>
        <v/>
      </c>
      <c r="D142" s="2">
        <f>mos_metrics!D141</f>
        <v/>
      </c>
      <c r="E142" s="2">
        <f>mos_metrics!E141</f>
        <v/>
      </c>
      <c r="F142" s="2">
        <f>mos_metrics!F141</f>
        <v/>
      </c>
      <c r="G142" s="2">
        <f>IF($B142="","",IFERROR(VLOOKUP($B142,correlation!$A$2:$B$16,2,FALSE),1))</f>
        <v/>
      </c>
      <c r="H142" s="2">
        <f>IF($E142="","",IFERROR(VLOOKUP($E142,correlation!$D$2:$E$8,2,FALSE),1))</f>
        <v/>
      </c>
      <c r="I142" s="2">
        <f>ISNUMBER($F142)</f>
        <v/>
      </c>
      <c r="J142" s="2">
        <f>AND($G142=1,$H142=1,$I142)</f>
        <v/>
      </c>
      <c r="K142" s="5">
        <f>IF(mos_metrics!G141="","",mos_metrics!G141)</f>
        <v/>
      </c>
      <c r="L142" s="2">
        <f>AND($J142,ISNUMBER(K142),correlation!$I$26=1)</f>
        <v/>
      </c>
      <c r="M142" s="5">
        <f>IF(L142,$F142,"")</f>
        <v/>
      </c>
      <c r="N142" s="5">
        <f>IF(L142,K142*correlation!$J$26,"")</f>
        <v/>
      </c>
      <c r="O142" s="5">
        <f>IF(AND(L142,ISNUMBER(correlation!$F$26)),N142*correlation!$F$26+correlation!$G$26,"")</f>
        <v/>
      </c>
      <c r="P142" s="5">
        <f>IF(AND(L142,ISNUMBER(O142)),(M142-O142)^2,"")</f>
        <v/>
      </c>
      <c r="Q142" s="5">
        <f>IF(L142,1+SUMPRODUCT(--(calc!$L$3:$L$306=TRUE),--(calc!$M$3:$M$306&gt;M142))+(SUMPRODUCT(--(calc!$L$3:$L$306=TRUE),--(calc!$M$3:$M$306=M142))-1)/2,"")</f>
        <v/>
      </c>
      <c r="R142" s="5">
        <f>IF(L142,1+SUMPRODUCT(--(calc!$L$3:$L$306=TRUE),--(calc!$N$3:$N$306&gt;N142))+(SUMPRODUCT(--(calc!$L$3:$L$306=TRUE),--(calc!$N$3:$N$306=N142))-1)/2,"")</f>
        <v/>
      </c>
      <c r="S142" s="5">
        <f>IF(L142,SUMPRODUCT(--(calc!$L$3:$L$306=TRUE),--(ROW(calc!$L$3:$L$306)&gt;ROW(L142)),--(((calc!$Q$3:$Q$306&gt;Q142)*(calc!$R$3:$R$306&gt;R142)+(calc!$Q$3:$Q$306&lt;Q142)*(calc!$R$3:$R$306&lt;R142))&gt;0))-SUMPRODUCT(--(calc!$L$3:$L$306=TRUE),--(ROW(calc!$L$3:$L$306)&gt;ROW(L142)),--(((calc!$Q$3:$Q$306&gt;Q142)*(calc!$R$3:$R$306&lt;R142)+(calc!$Q$3:$Q$306&lt;Q142)*(calc!$R$3:$R$306&gt;R142))&gt;0)),0)</f>
        <v/>
      </c>
      <c r="T142" s="5">
        <f>IF(mos_metrics!H141="","",mos_metrics!H141)</f>
        <v/>
      </c>
      <c r="U142" s="2">
        <f>AND($J142,ISNUMBER(T142),correlation!$I$27=1)</f>
        <v/>
      </c>
      <c r="V142" s="5">
        <f>IF(U142,$F142,"")</f>
        <v/>
      </c>
      <c r="W142" s="5">
        <f>IF(U142,T142*correlation!$J$27,"")</f>
        <v/>
      </c>
      <c r="X142" s="5">
        <f>IF(AND(U142,ISNUMBER(correlation!$F$27)),W142*correlation!$F$27+correlation!$G$27,"")</f>
        <v/>
      </c>
      <c r="Y142" s="5">
        <f>IF(AND(U142,ISNUMBER(X142)),(V142-X142)^2,"")</f>
        <v/>
      </c>
      <c r="Z142" s="5">
        <f>IF(U142,1+SUMPRODUCT(--(calc!$U$3:$U$306=TRUE),--(calc!$V$3:$V$306&gt;V142))+(SUMPRODUCT(--(calc!$U$3:$U$306=TRUE),--(calc!$V$3:$V$306=V142))-1)/2,"")</f>
        <v/>
      </c>
      <c r="AA142" s="5">
        <f>IF(U142,1+SUMPRODUCT(--(calc!$U$3:$U$306=TRUE),--(calc!$W$3:$W$306&gt;W142))+(SUMPRODUCT(--(calc!$U$3:$U$306=TRUE),--(calc!$W$3:$W$306=W142))-1)/2,"")</f>
        <v/>
      </c>
      <c r="AB142" s="5">
        <f>IF(U142,SUMPRODUCT(--(calc!$U$3:$U$306=TRUE),--(ROW(calc!$U$3:$U$306)&gt;ROW(U142)),--(((calc!$Z$3:$Z$306&gt;Z142)*(calc!$AA$3:$AA$306&gt;AA142)+(calc!$Z$3:$Z$306&lt;Z142)*(calc!$AA$3:$AA$306&lt;AA142))&gt;0))-SUMPRODUCT(--(calc!$U$3:$U$306=TRUE),--(ROW(calc!$U$3:$U$306)&gt;ROW(U142)),--(((calc!$Z$3:$Z$306&gt;Z142)*(calc!$AA$3:$AA$306&lt;AA142)+(calc!$Z$3:$Z$306&lt;Z142)*(calc!$AA$3:$AA$306&gt;AA142))&gt;0)),0)</f>
        <v/>
      </c>
      <c r="AC142" s="5">
        <f>IF(mos_metrics!I141="","",mos_metrics!I141)</f>
        <v/>
      </c>
      <c r="AD142" s="2">
        <f>AND($J142,ISNUMBER(AC142),correlation!$I$28=1)</f>
        <v/>
      </c>
      <c r="AE142" s="5">
        <f>IF(AD142,$F142,"")</f>
        <v/>
      </c>
      <c r="AF142" s="5">
        <f>IF(AD142,AC142*correlation!$J$28,"")</f>
        <v/>
      </c>
      <c r="AG142" s="5">
        <f>IF(AND(AD142,ISNUMBER(correlation!$F$28)),AF142*correlation!$F$28+correlation!$G$28,"")</f>
        <v/>
      </c>
      <c r="AH142" s="5">
        <f>IF(AND(AD142,ISNUMBER(AG142)),(AE142-AG142)^2,"")</f>
        <v/>
      </c>
      <c r="AI142" s="5">
        <f>IF(AD142,1+SUMPRODUCT(--(calc!$AD$3:$AD$306=TRUE),--(calc!$AE$3:$AE$306&gt;AE142))+(SUMPRODUCT(--(calc!$AD$3:$AD$306=TRUE),--(calc!$AE$3:$AE$306=AE142))-1)/2,"")</f>
        <v/>
      </c>
      <c r="AJ142" s="5">
        <f>IF(AD142,1+SUMPRODUCT(--(calc!$AD$3:$AD$306=TRUE),--(calc!$AF$3:$AF$306&gt;AF142))+(SUMPRODUCT(--(calc!$AD$3:$AD$306=TRUE),--(calc!$AF$3:$AF$306=AF142))-1)/2,"")</f>
        <v/>
      </c>
      <c r="AK142" s="5">
        <f>IF(AD142,SUMPRODUCT(--(calc!$AD$3:$AD$306=TRUE),--(ROW(calc!$AD$3:$AD$306)&gt;ROW(AD142)),--(((calc!$AI$3:$AI$306&gt;AI142)*(calc!$AJ$3:$AJ$306&gt;AJ142)+(calc!$AI$3:$AI$306&lt;AI142)*(calc!$AJ$3:$AJ$306&lt;AJ142))&gt;0))-SUMPRODUCT(--(calc!$AD$3:$AD$306=TRUE),--(ROW(calc!$AD$3:$AD$306)&gt;ROW(AD142)),--(((calc!$AI$3:$AI$306&gt;AI142)*(calc!$AJ$3:$AJ$306&lt;AJ142)+(calc!$AI$3:$AI$306&lt;AI142)*(calc!$AJ$3:$AJ$306&gt;AJ142))&gt;0)),0)</f>
        <v/>
      </c>
      <c r="AL142" s="5">
        <f>IF(mos_metrics!J141="","",mos_metrics!J141)</f>
        <v/>
      </c>
      <c r="AM142" s="2">
        <f>AND($J142,ISNUMBER(AL142),correlation!$I$29=1)</f>
        <v/>
      </c>
      <c r="AN142" s="5">
        <f>IF(AM142,$F142,"")</f>
        <v/>
      </c>
      <c r="AO142" s="5">
        <f>IF(AM142,AL142*correlation!$J$29,"")</f>
        <v/>
      </c>
      <c r="AP142" s="5">
        <f>IF(AND(AM142,ISNUMBER(correlation!$F$29)),AO142*correlation!$F$29+correlation!$G$29,"")</f>
        <v/>
      </c>
      <c r="AQ142" s="5">
        <f>IF(AND(AM142,ISNUMBER(AP142)),(AN142-AP142)^2,"")</f>
        <v/>
      </c>
      <c r="AR142" s="5">
        <f>IF(AM142,1+SUMPRODUCT(--(calc!$AM$3:$AM$306=TRUE),--(calc!$AN$3:$AN$306&gt;AN142))+(SUMPRODUCT(--(calc!$AM$3:$AM$306=TRUE),--(calc!$AN$3:$AN$306=AN142))-1)/2,"")</f>
        <v/>
      </c>
      <c r="AS142" s="5">
        <f>IF(AM142,1+SUMPRODUCT(--(calc!$AM$3:$AM$306=TRUE),--(calc!$AO$3:$AO$306&gt;AO142))+(SUMPRODUCT(--(calc!$AM$3:$AM$306=TRUE),--(calc!$AO$3:$AO$306=AO142))-1)/2,"")</f>
        <v/>
      </c>
      <c r="AT142" s="5">
        <f>IF(AM142,SUMPRODUCT(--(calc!$AM$3:$AM$306=TRUE),--(ROW(calc!$AM$3:$AM$306)&gt;ROW(AM142)),--(((calc!$AR$3:$AR$306&gt;AR142)*(calc!$AS$3:$AS$306&gt;AS142)+(calc!$AR$3:$AR$306&lt;AR142)*(calc!$AS$3:$AS$306&lt;AS142))&gt;0))-SUMPRODUCT(--(calc!$AM$3:$AM$306=TRUE),--(ROW(calc!$AM$3:$AM$306)&gt;ROW(AM142)),--(((calc!$AR$3:$AR$306&gt;AR142)*(calc!$AS$3:$AS$306&lt;AS142)+(calc!$AR$3:$AR$306&lt;AR142)*(calc!$AS$3:$AS$306&gt;AS142))&gt;0)),0)</f>
        <v/>
      </c>
      <c r="AU142" s="5">
        <f>IF(mos_metrics!K141="","",mos_metrics!K141)</f>
        <v/>
      </c>
      <c r="AV142" s="2">
        <f>AND($J142,ISNUMBER(AU142),correlation!$I$30=1)</f>
        <v/>
      </c>
      <c r="AW142" s="5">
        <f>IF(AV142,$F142,"")</f>
        <v/>
      </c>
      <c r="AX142" s="5">
        <f>IF(AV142,AU142*correlation!$J$30,"")</f>
        <v/>
      </c>
      <c r="AY142" s="5">
        <f>IF(AND(AV142,ISNUMBER(correlation!$F$30)),AX142*correlation!$F$30+correlation!$G$30,"")</f>
        <v/>
      </c>
      <c r="AZ142" s="5">
        <f>IF(AND(AV142,ISNUMBER(AY142)),(AW142-AY142)^2,"")</f>
        <v/>
      </c>
      <c r="BA142" s="5">
        <f>IF(AV142,1+SUMPRODUCT(--(calc!$AV$3:$AV$306=TRUE),--(calc!$AW$3:$AW$306&gt;AW142))+(SUMPRODUCT(--(calc!$AV$3:$AV$306=TRUE),--(calc!$AW$3:$AW$306=AW142))-1)/2,"")</f>
        <v/>
      </c>
      <c r="BB142" s="5">
        <f>IF(AV142,1+SUMPRODUCT(--(calc!$AV$3:$AV$306=TRUE),--(calc!$AX$3:$AX$306&gt;AX142))+(SUMPRODUCT(--(calc!$AV$3:$AV$306=TRUE),--(calc!$AX$3:$AX$306=AX142))-1)/2,"")</f>
        <v/>
      </c>
      <c r="BC142" s="5">
        <f>IF(AV142,SUMPRODUCT(--(calc!$AV$3:$AV$306=TRUE),--(ROW(calc!$AV$3:$AV$306)&gt;ROW(AV142)),--(((calc!$BA$3:$BA$306&gt;BA142)*(calc!$BB$3:$BB$306&gt;BB142)+(calc!$BA$3:$BA$306&lt;BA142)*(calc!$BB$3:$BB$306&lt;BB142))&gt;0))-SUMPRODUCT(--(calc!$AV$3:$AV$306=TRUE),--(ROW(calc!$AV$3:$AV$306)&gt;ROW(AV142)),--(((calc!$BA$3:$BA$306&gt;BA142)*(calc!$BB$3:$BB$306&lt;BB142)+(calc!$BA$3:$BA$306&lt;BA142)*(calc!$BB$3:$BB$306&gt;BB142))&gt;0)),0)</f>
        <v/>
      </c>
      <c r="BD142" s="5">
        <f>IF(mos_metrics!L141="","",mos_metrics!L141)</f>
        <v/>
      </c>
      <c r="BE142" s="2">
        <f>AND($J142,ISNUMBER(BD142),correlation!$I$31=1)</f>
        <v/>
      </c>
      <c r="BF142" s="5">
        <f>IF(BE142,$F142,"")</f>
        <v/>
      </c>
      <c r="BG142" s="5">
        <f>IF(BE142,BD142*correlation!$J$31,"")</f>
        <v/>
      </c>
      <c r="BH142" s="5">
        <f>IF(AND(BE142,ISNUMBER(correlation!$F$31)),BG142*correlation!$F$31+correlation!$G$31,"")</f>
        <v/>
      </c>
      <c r="BI142" s="5">
        <f>IF(AND(BE142,ISNUMBER(BH142)),(BF142-BH142)^2,"")</f>
        <v/>
      </c>
      <c r="BJ142" s="5">
        <f>IF(BE142,1+SUMPRODUCT(--(calc!$BE$3:$BE$306=TRUE),--(calc!$BF$3:$BF$306&gt;BF142))+(SUMPRODUCT(--(calc!$BE$3:$BE$306=TRUE),--(calc!$BF$3:$BF$306=BF142))-1)/2,"")</f>
        <v/>
      </c>
      <c r="BK142" s="5">
        <f>IF(BE142,1+SUMPRODUCT(--(calc!$BE$3:$BE$306=TRUE),--(calc!$BG$3:$BG$306&gt;BG142))+(SUMPRODUCT(--(calc!$BE$3:$BE$306=TRUE),--(calc!$BG$3:$BG$306=BG142))-1)/2,"")</f>
        <v/>
      </c>
      <c r="BL142" s="5">
        <f>IF(BE142,SUMPRODUCT(--(calc!$BE$3:$BE$306=TRUE),--(ROW(calc!$BE$3:$BE$306)&gt;ROW(BE142)),--(((calc!$BJ$3:$BJ$306&gt;BJ142)*(calc!$BK$3:$BK$306&gt;BK142)+(calc!$BJ$3:$BJ$306&lt;BJ142)*(calc!$BK$3:$BK$306&lt;BK142))&gt;0))-SUMPRODUCT(--(calc!$BE$3:$BE$306=TRUE),--(ROW(calc!$BE$3:$BE$306)&gt;ROW(BE142)),--(((calc!$BJ$3:$BJ$306&gt;BJ142)*(calc!$BK$3:$BK$306&lt;BK142)+(calc!$BJ$3:$BJ$306&lt;BJ142)*(calc!$BK$3:$BK$306&gt;BK142))&gt;0)),0)</f>
        <v/>
      </c>
      <c r="BM142" s="5">
        <f>IF(mos_metrics!M141="","",mos_metrics!M141)</f>
        <v/>
      </c>
      <c r="BN142" s="2">
        <f>AND($J142,ISNUMBER(BM142),correlation!$I$32=1)</f>
        <v/>
      </c>
      <c r="BO142" s="5">
        <f>IF(BN142,$F142,"")</f>
        <v/>
      </c>
      <c r="BP142" s="5">
        <f>IF(BN142,BM142*correlation!$J$32,"")</f>
        <v/>
      </c>
      <c r="BQ142" s="5">
        <f>IF(AND(BN142,ISNUMBER(correlation!$F$32)),BP142*correlation!$F$32+correlation!$G$32,"")</f>
        <v/>
      </c>
      <c r="BR142" s="5">
        <f>IF(AND(BN142,ISNUMBER(BQ142)),(BO142-BQ142)^2,"")</f>
        <v/>
      </c>
      <c r="BS142" s="5">
        <f>IF(BN142,1+SUMPRODUCT(--(calc!$BN$3:$BN$306=TRUE),--(calc!$BO$3:$BO$306&gt;BO142))+(SUMPRODUCT(--(calc!$BN$3:$BN$306=TRUE),--(calc!$BO$3:$BO$306=BO142))-1)/2,"")</f>
        <v/>
      </c>
      <c r="BT142" s="5">
        <f>IF(BN142,1+SUMPRODUCT(--(calc!$BN$3:$BN$306=TRUE),--(calc!$BP$3:$BP$306&gt;BP142))+(SUMPRODUCT(--(calc!$BN$3:$BN$306=TRUE),--(calc!$BP$3:$BP$306=BP142))-1)/2,"")</f>
        <v/>
      </c>
      <c r="BU142" s="5">
        <f>IF(BN142,SUMPRODUCT(--(calc!$BN$3:$BN$306=TRUE),--(ROW(calc!$BN$3:$BN$306)&gt;ROW(BN142)),--(((calc!$BS$3:$BS$306&gt;BS142)*(calc!$BT$3:$BT$306&gt;BT142)+(calc!$BS$3:$BS$306&lt;BS142)*(calc!$BT$3:$BT$306&lt;BT142))&gt;0))-SUMPRODUCT(--(calc!$BN$3:$BN$306=TRUE),--(ROW(calc!$BN$3:$BN$306)&gt;ROW(BN142)),--(((calc!$BS$3:$BS$306&gt;BS142)*(calc!$BT$3:$BT$306&lt;BT142)+(calc!$BS$3:$BS$306&lt;BS142)*(calc!$BT$3:$BT$306&gt;BT142))&gt;0)),0)</f>
        <v/>
      </c>
    </row>
    <row r="143">
      <c r="A143" s="2">
        <f>mos_metrics!A142</f>
        <v/>
      </c>
      <c r="B143" s="2">
        <f>mos_metrics!B142</f>
        <v/>
      </c>
      <c r="C143" s="2">
        <f>mos_metrics!C142</f>
        <v/>
      </c>
      <c r="D143" s="2">
        <f>mos_metrics!D142</f>
        <v/>
      </c>
      <c r="E143" s="2">
        <f>mos_metrics!E142</f>
        <v/>
      </c>
      <c r="F143" s="2">
        <f>mos_metrics!F142</f>
        <v/>
      </c>
      <c r="G143" s="2">
        <f>IF($B143="","",IFERROR(VLOOKUP($B143,correlation!$A$2:$B$16,2,FALSE),1))</f>
        <v/>
      </c>
      <c r="H143" s="2">
        <f>IF($E143="","",IFERROR(VLOOKUP($E143,correlation!$D$2:$E$8,2,FALSE),1))</f>
        <v/>
      </c>
      <c r="I143" s="2">
        <f>ISNUMBER($F143)</f>
        <v/>
      </c>
      <c r="J143" s="2">
        <f>AND($G143=1,$H143=1,$I143)</f>
        <v/>
      </c>
      <c r="K143" s="5">
        <f>IF(mos_metrics!G142="","",mos_metrics!G142)</f>
        <v/>
      </c>
      <c r="L143" s="2">
        <f>AND($J143,ISNUMBER(K143),correlation!$I$26=1)</f>
        <v/>
      </c>
      <c r="M143" s="5">
        <f>IF(L143,$F143,"")</f>
        <v/>
      </c>
      <c r="N143" s="5">
        <f>IF(L143,K143*correlation!$J$26,"")</f>
        <v/>
      </c>
      <c r="O143" s="5">
        <f>IF(AND(L143,ISNUMBER(correlation!$F$26)),N143*correlation!$F$26+correlation!$G$26,"")</f>
        <v/>
      </c>
      <c r="P143" s="5">
        <f>IF(AND(L143,ISNUMBER(O143)),(M143-O143)^2,"")</f>
        <v/>
      </c>
      <c r="Q143" s="5">
        <f>IF(L143,1+SUMPRODUCT(--(calc!$L$3:$L$306=TRUE),--(calc!$M$3:$M$306&gt;M143))+(SUMPRODUCT(--(calc!$L$3:$L$306=TRUE),--(calc!$M$3:$M$306=M143))-1)/2,"")</f>
        <v/>
      </c>
      <c r="R143" s="5">
        <f>IF(L143,1+SUMPRODUCT(--(calc!$L$3:$L$306=TRUE),--(calc!$N$3:$N$306&gt;N143))+(SUMPRODUCT(--(calc!$L$3:$L$306=TRUE),--(calc!$N$3:$N$306=N143))-1)/2,"")</f>
        <v/>
      </c>
      <c r="S143" s="5">
        <f>IF(L143,SUMPRODUCT(--(calc!$L$3:$L$306=TRUE),--(ROW(calc!$L$3:$L$306)&gt;ROW(L143)),--(((calc!$Q$3:$Q$306&gt;Q143)*(calc!$R$3:$R$306&gt;R143)+(calc!$Q$3:$Q$306&lt;Q143)*(calc!$R$3:$R$306&lt;R143))&gt;0))-SUMPRODUCT(--(calc!$L$3:$L$306=TRUE),--(ROW(calc!$L$3:$L$306)&gt;ROW(L143)),--(((calc!$Q$3:$Q$306&gt;Q143)*(calc!$R$3:$R$306&lt;R143)+(calc!$Q$3:$Q$306&lt;Q143)*(calc!$R$3:$R$306&gt;R143))&gt;0)),0)</f>
        <v/>
      </c>
      <c r="T143" s="5">
        <f>IF(mos_metrics!H142="","",mos_metrics!H142)</f>
        <v/>
      </c>
      <c r="U143" s="2">
        <f>AND($J143,ISNUMBER(T143),correlation!$I$27=1)</f>
        <v/>
      </c>
      <c r="V143" s="5">
        <f>IF(U143,$F143,"")</f>
        <v/>
      </c>
      <c r="W143" s="5">
        <f>IF(U143,T143*correlation!$J$27,"")</f>
        <v/>
      </c>
      <c r="X143" s="5">
        <f>IF(AND(U143,ISNUMBER(correlation!$F$27)),W143*correlation!$F$27+correlation!$G$27,"")</f>
        <v/>
      </c>
      <c r="Y143" s="5">
        <f>IF(AND(U143,ISNUMBER(X143)),(V143-X143)^2,"")</f>
        <v/>
      </c>
      <c r="Z143" s="5">
        <f>IF(U143,1+SUMPRODUCT(--(calc!$U$3:$U$306=TRUE),--(calc!$V$3:$V$306&gt;V143))+(SUMPRODUCT(--(calc!$U$3:$U$306=TRUE),--(calc!$V$3:$V$306=V143))-1)/2,"")</f>
        <v/>
      </c>
      <c r="AA143" s="5">
        <f>IF(U143,1+SUMPRODUCT(--(calc!$U$3:$U$306=TRUE),--(calc!$W$3:$W$306&gt;W143))+(SUMPRODUCT(--(calc!$U$3:$U$306=TRUE),--(calc!$W$3:$W$306=W143))-1)/2,"")</f>
        <v/>
      </c>
      <c r="AB143" s="5">
        <f>IF(U143,SUMPRODUCT(--(calc!$U$3:$U$306=TRUE),--(ROW(calc!$U$3:$U$306)&gt;ROW(U143)),--(((calc!$Z$3:$Z$306&gt;Z143)*(calc!$AA$3:$AA$306&gt;AA143)+(calc!$Z$3:$Z$306&lt;Z143)*(calc!$AA$3:$AA$306&lt;AA143))&gt;0))-SUMPRODUCT(--(calc!$U$3:$U$306=TRUE),--(ROW(calc!$U$3:$U$306)&gt;ROW(U143)),--(((calc!$Z$3:$Z$306&gt;Z143)*(calc!$AA$3:$AA$306&lt;AA143)+(calc!$Z$3:$Z$306&lt;Z143)*(calc!$AA$3:$AA$306&gt;AA143))&gt;0)),0)</f>
        <v/>
      </c>
      <c r="AC143" s="5">
        <f>IF(mos_metrics!I142="","",mos_metrics!I142)</f>
        <v/>
      </c>
      <c r="AD143" s="2">
        <f>AND($J143,ISNUMBER(AC143),correlation!$I$28=1)</f>
        <v/>
      </c>
      <c r="AE143" s="5">
        <f>IF(AD143,$F143,"")</f>
        <v/>
      </c>
      <c r="AF143" s="5">
        <f>IF(AD143,AC143*correlation!$J$28,"")</f>
        <v/>
      </c>
      <c r="AG143" s="5">
        <f>IF(AND(AD143,ISNUMBER(correlation!$F$28)),AF143*correlation!$F$28+correlation!$G$28,"")</f>
        <v/>
      </c>
      <c r="AH143" s="5">
        <f>IF(AND(AD143,ISNUMBER(AG143)),(AE143-AG143)^2,"")</f>
        <v/>
      </c>
      <c r="AI143" s="5">
        <f>IF(AD143,1+SUMPRODUCT(--(calc!$AD$3:$AD$306=TRUE),--(calc!$AE$3:$AE$306&gt;AE143))+(SUMPRODUCT(--(calc!$AD$3:$AD$306=TRUE),--(calc!$AE$3:$AE$306=AE143))-1)/2,"")</f>
        <v/>
      </c>
      <c r="AJ143" s="5">
        <f>IF(AD143,1+SUMPRODUCT(--(calc!$AD$3:$AD$306=TRUE),--(calc!$AF$3:$AF$306&gt;AF143))+(SUMPRODUCT(--(calc!$AD$3:$AD$306=TRUE),--(calc!$AF$3:$AF$306=AF143))-1)/2,"")</f>
        <v/>
      </c>
      <c r="AK143" s="5">
        <f>IF(AD143,SUMPRODUCT(--(calc!$AD$3:$AD$306=TRUE),--(ROW(calc!$AD$3:$AD$306)&gt;ROW(AD143)),--(((calc!$AI$3:$AI$306&gt;AI143)*(calc!$AJ$3:$AJ$306&gt;AJ143)+(calc!$AI$3:$AI$306&lt;AI143)*(calc!$AJ$3:$AJ$306&lt;AJ143))&gt;0))-SUMPRODUCT(--(calc!$AD$3:$AD$306=TRUE),--(ROW(calc!$AD$3:$AD$306)&gt;ROW(AD143)),--(((calc!$AI$3:$AI$306&gt;AI143)*(calc!$AJ$3:$AJ$306&lt;AJ143)+(calc!$AI$3:$AI$306&lt;AI143)*(calc!$AJ$3:$AJ$306&gt;AJ143))&gt;0)),0)</f>
        <v/>
      </c>
      <c r="AL143" s="5">
        <f>IF(mos_metrics!J142="","",mos_metrics!J142)</f>
        <v/>
      </c>
      <c r="AM143" s="2">
        <f>AND($J143,ISNUMBER(AL143),correlation!$I$29=1)</f>
        <v/>
      </c>
      <c r="AN143" s="5">
        <f>IF(AM143,$F143,"")</f>
        <v/>
      </c>
      <c r="AO143" s="5">
        <f>IF(AM143,AL143*correlation!$J$29,"")</f>
        <v/>
      </c>
      <c r="AP143" s="5">
        <f>IF(AND(AM143,ISNUMBER(correlation!$F$29)),AO143*correlation!$F$29+correlation!$G$29,"")</f>
        <v/>
      </c>
      <c r="AQ143" s="5">
        <f>IF(AND(AM143,ISNUMBER(AP143)),(AN143-AP143)^2,"")</f>
        <v/>
      </c>
      <c r="AR143" s="5">
        <f>IF(AM143,1+SUMPRODUCT(--(calc!$AM$3:$AM$306=TRUE),--(calc!$AN$3:$AN$306&gt;AN143))+(SUMPRODUCT(--(calc!$AM$3:$AM$306=TRUE),--(calc!$AN$3:$AN$306=AN143))-1)/2,"")</f>
        <v/>
      </c>
      <c r="AS143" s="5">
        <f>IF(AM143,1+SUMPRODUCT(--(calc!$AM$3:$AM$306=TRUE),--(calc!$AO$3:$AO$306&gt;AO143))+(SUMPRODUCT(--(calc!$AM$3:$AM$306=TRUE),--(calc!$AO$3:$AO$306=AO143))-1)/2,"")</f>
        <v/>
      </c>
      <c r="AT143" s="5">
        <f>IF(AM143,SUMPRODUCT(--(calc!$AM$3:$AM$306=TRUE),--(ROW(calc!$AM$3:$AM$306)&gt;ROW(AM143)),--(((calc!$AR$3:$AR$306&gt;AR143)*(calc!$AS$3:$AS$306&gt;AS143)+(calc!$AR$3:$AR$306&lt;AR143)*(calc!$AS$3:$AS$306&lt;AS143))&gt;0))-SUMPRODUCT(--(calc!$AM$3:$AM$306=TRUE),--(ROW(calc!$AM$3:$AM$306)&gt;ROW(AM143)),--(((calc!$AR$3:$AR$306&gt;AR143)*(calc!$AS$3:$AS$306&lt;AS143)+(calc!$AR$3:$AR$306&lt;AR143)*(calc!$AS$3:$AS$306&gt;AS143))&gt;0)),0)</f>
        <v/>
      </c>
      <c r="AU143" s="5">
        <f>IF(mos_metrics!K142="","",mos_metrics!K142)</f>
        <v/>
      </c>
      <c r="AV143" s="2">
        <f>AND($J143,ISNUMBER(AU143),correlation!$I$30=1)</f>
        <v/>
      </c>
      <c r="AW143" s="5">
        <f>IF(AV143,$F143,"")</f>
        <v/>
      </c>
      <c r="AX143" s="5">
        <f>IF(AV143,AU143*correlation!$J$30,"")</f>
        <v/>
      </c>
      <c r="AY143" s="5">
        <f>IF(AND(AV143,ISNUMBER(correlation!$F$30)),AX143*correlation!$F$30+correlation!$G$30,"")</f>
        <v/>
      </c>
      <c r="AZ143" s="5">
        <f>IF(AND(AV143,ISNUMBER(AY143)),(AW143-AY143)^2,"")</f>
        <v/>
      </c>
      <c r="BA143" s="5">
        <f>IF(AV143,1+SUMPRODUCT(--(calc!$AV$3:$AV$306=TRUE),--(calc!$AW$3:$AW$306&gt;AW143))+(SUMPRODUCT(--(calc!$AV$3:$AV$306=TRUE),--(calc!$AW$3:$AW$306=AW143))-1)/2,"")</f>
        <v/>
      </c>
      <c r="BB143" s="5">
        <f>IF(AV143,1+SUMPRODUCT(--(calc!$AV$3:$AV$306=TRUE),--(calc!$AX$3:$AX$306&gt;AX143))+(SUMPRODUCT(--(calc!$AV$3:$AV$306=TRUE),--(calc!$AX$3:$AX$306=AX143))-1)/2,"")</f>
        <v/>
      </c>
      <c r="BC143" s="5">
        <f>IF(AV143,SUMPRODUCT(--(calc!$AV$3:$AV$306=TRUE),--(ROW(calc!$AV$3:$AV$306)&gt;ROW(AV143)),--(((calc!$BA$3:$BA$306&gt;BA143)*(calc!$BB$3:$BB$306&gt;BB143)+(calc!$BA$3:$BA$306&lt;BA143)*(calc!$BB$3:$BB$306&lt;BB143))&gt;0))-SUMPRODUCT(--(calc!$AV$3:$AV$306=TRUE),--(ROW(calc!$AV$3:$AV$306)&gt;ROW(AV143)),--(((calc!$BA$3:$BA$306&gt;BA143)*(calc!$BB$3:$BB$306&lt;BB143)+(calc!$BA$3:$BA$306&lt;BA143)*(calc!$BB$3:$BB$306&gt;BB143))&gt;0)),0)</f>
        <v/>
      </c>
      <c r="BD143" s="5">
        <f>IF(mos_metrics!L142="","",mos_metrics!L142)</f>
        <v/>
      </c>
      <c r="BE143" s="2">
        <f>AND($J143,ISNUMBER(BD143),correlation!$I$31=1)</f>
        <v/>
      </c>
      <c r="BF143" s="5">
        <f>IF(BE143,$F143,"")</f>
        <v/>
      </c>
      <c r="BG143" s="5">
        <f>IF(BE143,BD143*correlation!$J$31,"")</f>
        <v/>
      </c>
      <c r="BH143" s="5">
        <f>IF(AND(BE143,ISNUMBER(correlation!$F$31)),BG143*correlation!$F$31+correlation!$G$31,"")</f>
        <v/>
      </c>
      <c r="BI143" s="5">
        <f>IF(AND(BE143,ISNUMBER(BH143)),(BF143-BH143)^2,"")</f>
        <v/>
      </c>
      <c r="BJ143" s="5">
        <f>IF(BE143,1+SUMPRODUCT(--(calc!$BE$3:$BE$306=TRUE),--(calc!$BF$3:$BF$306&gt;BF143))+(SUMPRODUCT(--(calc!$BE$3:$BE$306=TRUE),--(calc!$BF$3:$BF$306=BF143))-1)/2,"")</f>
        <v/>
      </c>
      <c r="BK143" s="5">
        <f>IF(BE143,1+SUMPRODUCT(--(calc!$BE$3:$BE$306=TRUE),--(calc!$BG$3:$BG$306&gt;BG143))+(SUMPRODUCT(--(calc!$BE$3:$BE$306=TRUE),--(calc!$BG$3:$BG$306=BG143))-1)/2,"")</f>
        <v/>
      </c>
      <c r="BL143" s="5">
        <f>IF(BE143,SUMPRODUCT(--(calc!$BE$3:$BE$306=TRUE),--(ROW(calc!$BE$3:$BE$306)&gt;ROW(BE143)),--(((calc!$BJ$3:$BJ$306&gt;BJ143)*(calc!$BK$3:$BK$306&gt;BK143)+(calc!$BJ$3:$BJ$306&lt;BJ143)*(calc!$BK$3:$BK$306&lt;BK143))&gt;0))-SUMPRODUCT(--(calc!$BE$3:$BE$306=TRUE),--(ROW(calc!$BE$3:$BE$306)&gt;ROW(BE143)),--(((calc!$BJ$3:$BJ$306&gt;BJ143)*(calc!$BK$3:$BK$306&lt;BK143)+(calc!$BJ$3:$BJ$306&lt;BJ143)*(calc!$BK$3:$BK$306&gt;BK143))&gt;0)),0)</f>
        <v/>
      </c>
      <c r="BM143" s="5">
        <f>IF(mos_metrics!M142="","",mos_metrics!M142)</f>
        <v/>
      </c>
      <c r="BN143" s="2">
        <f>AND($J143,ISNUMBER(BM143),correlation!$I$32=1)</f>
        <v/>
      </c>
      <c r="BO143" s="5">
        <f>IF(BN143,$F143,"")</f>
        <v/>
      </c>
      <c r="BP143" s="5">
        <f>IF(BN143,BM143*correlation!$J$32,"")</f>
        <v/>
      </c>
      <c r="BQ143" s="5">
        <f>IF(AND(BN143,ISNUMBER(correlation!$F$32)),BP143*correlation!$F$32+correlation!$G$32,"")</f>
        <v/>
      </c>
      <c r="BR143" s="5">
        <f>IF(AND(BN143,ISNUMBER(BQ143)),(BO143-BQ143)^2,"")</f>
        <v/>
      </c>
      <c r="BS143" s="5">
        <f>IF(BN143,1+SUMPRODUCT(--(calc!$BN$3:$BN$306=TRUE),--(calc!$BO$3:$BO$306&gt;BO143))+(SUMPRODUCT(--(calc!$BN$3:$BN$306=TRUE),--(calc!$BO$3:$BO$306=BO143))-1)/2,"")</f>
        <v/>
      </c>
      <c r="BT143" s="5">
        <f>IF(BN143,1+SUMPRODUCT(--(calc!$BN$3:$BN$306=TRUE),--(calc!$BP$3:$BP$306&gt;BP143))+(SUMPRODUCT(--(calc!$BN$3:$BN$306=TRUE),--(calc!$BP$3:$BP$306=BP143))-1)/2,"")</f>
        <v/>
      </c>
      <c r="BU143" s="5">
        <f>IF(BN143,SUMPRODUCT(--(calc!$BN$3:$BN$306=TRUE),--(ROW(calc!$BN$3:$BN$306)&gt;ROW(BN143)),--(((calc!$BS$3:$BS$306&gt;BS143)*(calc!$BT$3:$BT$306&gt;BT143)+(calc!$BS$3:$BS$306&lt;BS143)*(calc!$BT$3:$BT$306&lt;BT143))&gt;0))-SUMPRODUCT(--(calc!$BN$3:$BN$306=TRUE),--(ROW(calc!$BN$3:$BN$306)&gt;ROW(BN143)),--(((calc!$BS$3:$BS$306&gt;BS143)*(calc!$BT$3:$BT$306&lt;BT143)+(calc!$BS$3:$BS$306&lt;BS143)*(calc!$BT$3:$BT$306&gt;BT143))&gt;0)),0)</f>
        <v/>
      </c>
    </row>
    <row r="144">
      <c r="A144" s="2">
        <f>mos_metrics!A143</f>
        <v/>
      </c>
      <c r="B144" s="2">
        <f>mos_metrics!B143</f>
        <v/>
      </c>
      <c r="C144" s="2">
        <f>mos_metrics!C143</f>
        <v/>
      </c>
      <c r="D144" s="2">
        <f>mos_metrics!D143</f>
        <v/>
      </c>
      <c r="E144" s="2">
        <f>mos_metrics!E143</f>
        <v/>
      </c>
      <c r="F144" s="2">
        <f>mos_metrics!F143</f>
        <v/>
      </c>
      <c r="G144" s="2">
        <f>IF($B144="","",IFERROR(VLOOKUP($B144,correlation!$A$2:$B$16,2,FALSE),1))</f>
        <v/>
      </c>
      <c r="H144" s="2">
        <f>IF($E144="","",IFERROR(VLOOKUP($E144,correlation!$D$2:$E$8,2,FALSE),1))</f>
        <v/>
      </c>
      <c r="I144" s="2">
        <f>ISNUMBER($F144)</f>
        <v/>
      </c>
      <c r="J144" s="2">
        <f>AND($G144=1,$H144=1,$I144)</f>
        <v/>
      </c>
      <c r="K144" s="5">
        <f>IF(mos_metrics!G143="","",mos_metrics!G143)</f>
        <v/>
      </c>
      <c r="L144" s="2">
        <f>AND($J144,ISNUMBER(K144),correlation!$I$26=1)</f>
        <v/>
      </c>
      <c r="M144" s="5">
        <f>IF(L144,$F144,"")</f>
        <v/>
      </c>
      <c r="N144" s="5">
        <f>IF(L144,K144*correlation!$J$26,"")</f>
        <v/>
      </c>
      <c r="O144" s="5">
        <f>IF(AND(L144,ISNUMBER(correlation!$F$26)),N144*correlation!$F$26+correlation!$G$26,"")</f>
        <v/>
      </c>
      <c r="P144" s="5">
        <f>IF(AND(L144,ISNUMBER(O144)),(M144-O144)^2,"")</f>
        <v/>
      </c>
      <c r="Q144" s="5">
        <f>IF(L144,1+SUMPRODUCT(--(calc!$L$3:$L$306=TRUE),--(calc!$M$3:$M$306&gt;M144))+(SUMPRODUCT(--(calc!$L$3:$L$306=TRUE),--(calc!$M$3:$M$306=M144))-1)/2,"")</f>
        <v/>
      </c>
      <c r="R144" s="5">
        <f>IF(L144,1+SUMPRODUCT(--(calc!$L$3:$L$306=TRUE),--(calc!$N$3:$N$306&gt;N144))+(SUMPRODUCT(--(calc!$L$3:$L$306=TRUE),--(calc!$N$3:$N$306=N144))-1)/2,"")</f>
        <v/>
      </c>
      <c r="S144" s="5">
        <f>IF(L144,SUMPRODUCT(--(calc!$L$3:$L$306=TRUE),--(ROW(calc!$L$3:$L$306)&gt;ROW(L144)),--(((calc!$Q$3:$Q$306&gt;Q144)*(calc!$R$3:$R$306&gt;R144)+(calc!$Q$3:$Q$306&lt;Q144)*(calc!$R$3:$R$306&lt;R144))&gt;0))-SUMPRODUCT(--(calc!$L$3:$L$306=TRUE),--(ROW(calc!$L$3:$L$306)&gt;ROW(L144)),--(((calc!$Q$3:$Q$306&gt;Q144)*(calc!$R$3:$R$306&lt;R144)+(calc!$Q$3:$Q$306&lt;Q144)*(calc!$R$3:$R$306&gt;R144))&gt;0)),0)</f>
        <v/>
      </c>
      <c r="T144" s="5">
        <f>IF(mos_metrics!H143="","",mos_metrics!H143)</f>
        <v/>
      </c>
      <c r="U144" s="2">
        <f>AND($J144,ISNUMBER(T144),correlation!$I$27=1)</f>
        <v/>
      </c>
      <c r="V144" s="5">
        <f>IF(U144,$F144,"")</f>
        <v/>
      </c>
      <c r="W144" s="5">
        <f>IF(U144,T144*correlation!$J$27,"")</f>
        <v/>
      </c>
      <c r="X144" s="5">
        <f>IF(AND(U144,ISNUMBER(correlation!$F$27)),W144*correlation!$F$27+correlation!$G$27,"")</f>
        <v/>
      </c>
      <c r="Y144" s="5">
        <f>IF(AND(U144,ISNUMBER(X144)),(V144-X144)^2,"")</f>
        <v/>
      </c>
      <c r="Z144" s="5">
        <f>IF(U144,1+SUMPRODUCT(--(calc!$U$3:$U$306=TRUE),--(calc!$V$3:$V$306&gt;V144))+(SUMPRODUCT(--(calc!$U$3:$U$306=TRUE),--(calc!$V$3:$V$306=V144))-1)/2,"")</f>
        <v/>
      </c>
      <c r="AA144" s="5">
        <f>IF(U144,1+SUMPRODUCT(--(calc!$U$3:$U$306=TRUE),--(calc!$W$3:$W$306&gt;W144))+(SUMPRODUCT(--(calc!$U$3:$U$306=TRUE),--(calc!$W$3:$W$306=W144))-1)/2,"")</f>
        <v/>
      </c>
      <c r="AB144" s="5">
        <f>IF(U144,SUMPRODUCT(--(calc!$U$3:$U$306=TRUE),--(ROW(calc!$U$3:$U$306)&gt;ROW(U144)),--(((calc!$Z$3:$Z$306&gt;Z144)*(calc!$AA$3:$AA$306&gt;AA144)+(calc!$Z$3:$Z$306&lt;Z144)*(calc!$AA$3:$AA$306&lt;AA144))&gt;0))-SUMPRODUCT(--(calc!$U$3:$U$306=TRUE),--(ROW(calc!$U$3:$U$306)&gt;ROW(U144)),--(((calc!$Z$3:$Z$306&gt;Z144)*(calc!$AA$3:$AA$306&lt;AA144)+(calc!$Z$3:$Z$306&lt;Z144)*(calc!$AA$3:$AA$306&gt;AA144))&gt;0)),0)</f>
        <v/>
      </c>
      <c r="AC144" s="5">
        <f>IF(mos_metrics!I143="","",mos_metrics!I143)</f>
        <v/>
      </c>
      <c r="AD144" s="2">
        <f>AND($J144,ISNUMBER(AC144),correlation!$I$28=1)</f>
        <v/>
      </c>
      <c r="AE144" s="5">
        <f>IF(AD144,$F144,"")</f>
        <v/>
      </c>
      <c r="AF144" s="5">
        <f>IF(AD144,AC144*correlation!$J$28,"")</f>
        <v/>
      </c>
      <c r="AG144" s="5">
        <f>IF(AND(AD144,ISNUMBER(correlation!$F$28)),AF144*correlation!$F$28+correlation!$G$28,"")</f>
        <v/>
      </c>
      <c r="AH144" s="5">
        <f>IF(AND(AD144,ISNUMBER(AG144)),(AE144-AG144)^2,"")</f>
        <v/>
      </c>
      <c r="AI144" s="5">
        <f>IF(AD144,1+SUMPRODUCT(--(calc!$AD$3:$AD$306=TRUE),--(calc!$AE$3:$AE$306&gt;AE144))+(SUMPRODUCT(--(calc!$AD$3:$AD$306=TRUE),--(calc!$AE$3:$AE$306=AE144))-1)/2,"")</f>
        <v/>
      </c>
      <c r="AJ144" s="5">
        <f>IF(AD144,1+SUMPRODUCT(--(calc!$AD$3:$AD$306=TRUE),--(calc!$AF$3:$AF$306&gt;AF144))+(SUMPRODUCT(--(calc!$AD$3:$AD$306=TRUE),--(calc!$AF$3:$AF$306=AF144))-1)/2,"")</f>
        <v/>
      </c>
      <c r="AK144" s="5">
        <f>IF(AD144,SUMPRODUCT(--(calc!$AD$3:$AD$306=TRUE),--(ROW(calc!$AD$3:$AD$306)&gt;ROW(AD144)),--(((calc!$AI$3:$AI$306&gt;AI144)*(calc!$AJ$3:$AJ$306&gt;AJ144)+(calc!$AI$3:$AI$306&lt;AI144)*(calc!$AJ$3:$AJ$306&lt;AJ144))&gt;0))-SUMPRODUCT(--(calc!$AD$3:$AD$306=TRUE),--(ROW(calc!$AD$3:$AD$306)&gt;ROW(AD144)),--(((calc!$AI$3:$AI$306&gt;AI144)*(calc!$AJ$3:$AJ$306&lt;AJ144)+(calc!$AI$3:$AI$306&lt;AI144)*(calc!$AJ$3:$AJ$306&gt;AJ144))&gt;0)),0)</f>
        <v/>
      </c>
      <c r="AL144" s="5">
        <f>IF(mos_metrics!J143="","",mos_metrics!J143)</f>
        <v/>
      </c>
      <c r="AM144" s="2">
        <f>AND($J144,ISNUMBER(AL144),correlation!$I$29=1)</f>
        <v/>
      </c>
      <c r="AN144" s="5">
        <f>IF(AM144,$F144,"")</f>
        <v/>
      </c>
      <c r="AO144" s="5">
        <f>IF(AM144,AL144*correlation!$J$29,"")</f>
        <v/>
      </c>
      <c r="AP144" s="5">
        <f>IF(AND(AM144,ISNUMBER(correlation!$F$29)),AO144*correlation!$F$29+correlation!$G$29,"")</f>
        <v/>
      </c>
      <c r="AQ144" s="5">
        <f>IF(AND(AM144,ISNUMBER(AP144)),(AN144-AP144)^2,"")</f>
        <v/>
      </c>
      <c r="AR144" s="5">
        <f>IF(AM144,1+SUMPRODUCT(--(calc!$AM$3:$AM$306=TRUE),--(calc!$AN$3:$AN$306&gt;AN144))+(SUMPRODUCT(--(calc!$AM$3:$AM$306=TRUE),--(calc!$AN$3:$AN$306=AN144))-1)/2,"")</f>
        <v/>
      </c>
      <c r="AS144" s="5">
        <f>IF(AM144,1+SUMPRODUCT(--(calc!$AM$3:$AM$306=TRUE),--(calc!$AO$3:$AO$306&gt;AO144))+(SUMPRODUCT(--(calc!$AM$3:$AM$306=TRUE),--(calc!$AO$3:$AO$306=AO144))-1)/2,"")</f>
        <v/>
      </c>
      <c r="AT144" s="5">
        <f>IF(AM144,SUMPRODUCT(--(calc!$AM$3:$AM$306=TRUE),--(ROW(calc!$AM$3:$AM$306)&gt;ROW(AM144)),--(((calc!$AR$3:$AR$306&gt;AR144)*(calc!$AS$3:$AS$306&gt;AS144)+(calc!$AR$3:$AR$306&lt;AR144)*(calc!$AS$3:$AS$306&lt;AS144))&gt;0))-SUMPRODUCT(--(calc!$AM$3:$AM$306=TRUE),--(ROW(calc!$AM$3:$AM$306)&gt;ROW(AM144)),--(((calc!$AR$3:$AR$306&gt;AR144)*(calc!$AS$3:$AS$306&lt;AS144)+(calc!$AR$3:$AR$306&lt;AR144)*(calc!$AS$3:$AS$306&gt;AS144))&gt;0)),0)</f>
        <v/>
      </c>
      <c r="AU144" s="5">
        <f>IF(mos_metrics!K143="","",mos_metrics!K143)</f>
        <v/>
      </c>
      <c r="AV144" s="2">
        <f>AND($J144,ISNUMBER(AU144),correlation!$I$30=1)</f>
        <v/>
      </c>
      <c r="AW144" s="5">
        <f>IF(AV144,$F144,"")</f>
        <v/>
      </c>
      <c r="AX144" s="5">
        <f>IF(AV144,AU144*correlation!$J$30,"")</f>
        <v/>
      </c>
      <c r="AY144" s="5">
        <f>IF(AND(AV144,ISNUMBER(correlation!$F$30)),AX144*correlation!$F$30+correlation!$G$30,"")</f>
        <v/>
      </c>
      <c r="AZ144" s="5">
        <f>IF(AND(AV144,ISNUMBER(AY144)),(AW144-AY144)^2,"")</f>
        <v/>
      </c>
      <c r="BA144" s="5">
        <f>IF(AV144,1+SUMPRODUCT(--(calc!$AV$3:$AV$306=TRUE),--(calc!$AW$3:$AW$306&gt;AW144))+(SUMPRODUCT(--(calc!$AV$3:$AV$306=TRUE),--(calc!$AW$3:$AW$306=AW144))-1)/2,"")</f>
        <v/>
      </c>
      <c r="BB144" s="5">
        <f>IF(AV144,1+SUMPRODUCT(--(calc!$AV$3:$AV$306=TRUE),--(calc!$AX$3:$AX$306&gt;AX144))+(SUMPRODUCT(--(calc!$AV$3:$AV$306=TRUE),--(calc!$AX$3:$AX$306=AX144))-1)/2,"")</f>
        <v/>
      </c>
      <c r="BC144" s="5">
        <f>IF(AV144,SUMPRODUCT(--(calc!$AV$3:$AV$306=TRUE),--(ROW(calc!$AV$3:$AV$306)&gt;ROW(AV144)),--(((calc!$BA$3:$BA$306&gt;BA144)*(calc!$BB$3:$BB$306&gt;BB144)+(calc!$BA$3:$BA$306&lt;BA144)*(calc!$BB$3:$BB$306&lt;BB144))&gt;0))-SUMPRODUCT(--(calc!$AV$3:$AV$306=TRUE),--(ROW(calc!$AV$3:$AV$306)&gt;ROW(AV144)),--(((calc!$BA$3:$BA$306&gt;BA144)*(calc!$BB$3:$BB$306&lt;BB144)+(calc!$BA$3:$BA$306&lt;BA144)*(calc!$BB$3:$BB$306&gt;BB144))&gt;0)),0)</f>
        <v/>
      </c>
      <c r="BD144" s="5">
        <f>IF(mos_metrics!L143="","",mos_metrics!L143)</f>
        <v/>
      </c>
      <c r="BE144" s="2">
        <f>AND($J144,ISNUMBER(BD144),correlation!$I$31=1)</f>
        <v/>
      </c>
      <c r="BF144" s="5">
        <f>IF(BE144,$F144,"")</f>
        <v/>
      </c>
      <c r="BG144" s="5">
        <f>IF(BE144,BD144*correlation!$J$31,"")</f>
        <v/>
      </c>
      <c r="BH144" s="5">
        <f>IF(AND(BE144,ISNUMBER(correlation!$F$31)),BG144*correlation!$F$31+correlation!$G$31,"")</f>
        <v/>
      </c>
      <c r="BI144" s="5">
        <f>IF(AND(BE144,ISNUMBER(BH144)),(BF144-BH144)^2,"")</f>
        <v/>
      </c>
      <c r="BJ144" s="5">
        <f>IF(BE144,1+SUMPRODUCT(--(calc!$BE$3:$BE$306=TRUE),--(calc!$BF$3:$BF$306&gt;BF144))+(SUMPRODUCT(--(calc!$BE$3:$BE$306=TRUE),--(calc!$BF$3:$BF$306=BF144))-1)/2,"")</f>
        <v/>
      </c>
      <c r="BK144" s="5">
        <f>IF(BE144,1+SUMPRODUCT(--(calc!$BE$3:$BE$306=TRUE),--(calc!$BG$3:$BG$306&gt;BG144))+(SUMPRODUCT(--(calc!$BE$3:$BE$306=TRUE),--(calc!$BG$3:$BG$306=BG144))-1)/2,"")</f>
        <v/>
      </c>
      <c r="BL144" s="5">
        <f>IF(BE144,SUMPRODUCT(--(calc!$BE$3:$BE$306=TRUE),--(ROW(calc!$BE$3:$BE$306)&gt;ROW(BE144)),--(((calc!$BJ$3:$BJ$306&gt;BJ144)*(calc!$BK$3:$BK$306&gt;BK144)+(calc!$BJ$3:$BJ$306&lt;BJ144)*(calc!$BK$3:$BK$306&lt;BK144))&gt;0))-SUMPRODUCT(--(calc!$BE$3:$BE$306=TRUE),--(ROW(calc!$BE$3:$BE$306)&gt;ROW(BE144)),--(((calc!$BJ$3:$BJ$306&gt;BJ144)*(calc!$BK$3:$BK$306&lt;BK144)+(calc!$BJ$3:$BJ$306&lt;BJ144)*(calc!$BK$3:$BK$306&gt;BK144))&gt;0)),0)</f>
        <v/>
      </c>
      <c r="BM144" s="5">
        <f>IF(mos_metrics!M143="","",mos_metrics!M143)</f>
        <v/>
      </c>
      <c r="BN144" s="2">
        <f>AND($J144,ISNUMBER(BM144),correlation!$I$32=1)</f>
        <v/>
      </c>
      <c r="BO144" s="5">
        <f>IF(BN144,$F144,"")</f>
        <v/>
      </c>
      <c r="BP144" s="5">
        <f>IF(BN144,BM144*correlation!$J$32,"")</f>
        <v/>
      </c>
      <c r="BQ144" s="5">
        <f>IF(AND(BN144,ISNUMBER(correlation!$F$32)),BP144*correlation!$F$32+correlation!$G$32,"")</f>
        <v/>
      </c>
      <c r="BR144" s="5">
        <f>IF(AND(BN144,ISNUMBER(BQ144)),(BO144-BQ144)^2,"")</f>
        <v/>
      </c>
      <c r="BS144" s="5">
        <f>IF(BN144,1+SUMPRODUCT(--(calc!$BN$3:$BN$306=TRUE),--(calc!$BO$3:$BO$306&gt;BO144))+(SUMPRODUCT(--(calc!$BN$3:$BN$306=TRUE),--(calc!$BO$3:$BO$306=BO144))-1)/2,"")</f>
        <v/>
      </c>
      <c r="BT144" s="5">
        <f>IF(BN144,1+SUMPRODUCT(--(calc!$BN$3:$BN$306=TRUE),--(calc!$BP$3:$BP$306&gt;BP144))+(SUMPRODUCT(--(calc!$BN$3:$BN$306=TRUE),--(calc!$BP$3:$BP$306=BP144))-1)/2,"")</f>
        <v/>
      </c>
      <c r="BU144" s="5">
        <f>IF(BN144,SUMPRODUCT(--(calc!$BN$3:$BN$306=TRUE),--(ROW(calc!$BN$3:$BN$306)&gt;ROW(BN144)),--(((calc!$BS$3:$BS$306&gt;BS144)*(calc!$BT$3:$BT$306&gt;BT144)+(calc!$BS$3:$BS$306&lt;BS144)*(calc!$BT$3:$BT$306&lt;BT144))&gt;0))-SUMPRODUCT(--(calc!$BN$3:$BN$306=TRUE),--(ROW(calc!$BN$3:$BN$306)&gt;ROW(BN144)),--(((calc!$BS$3:$BS$306&gt;BS144)*(calc!$BT$3:$BT$306&lt;BT144)+(calc!$BS$3:$BS$306&lt;BS144)*(calc!$BT$3:$BT$306&gt;BT144))&gt;0)),0)</f>
        <v/>
      </c>
    </row>
    <row r="145">
      <c r="A145" s="2">
        <f>mos_metrics!A144</f>
        <v/>
      </c>
      <c r="B145" s="2">
        <f>mos_metrics!B144</f>
        <v/>
      </c>
      <c r="C145" s="2">
        <f>mos_metrics!C144</f>
        <v/>
      </c>
      <c r="D145" s="2">
        <f>mos_metrics!D144</f>
        <v/>
      </c>
      <c r="E145" s="2">
        <f>mos_metrics!E144</f>
        <v/>
      </c>
      <c r="F145" s="2">
        <f>mos_metrics!F144</f>
        <v/>
      </c>
      <c r="G145" s="2">
        <f>IF($B145="","",IFERROR(VLOOKUP($B145,correlation!$A$2:$B$16,2,FALSE),1))</f>
        <v/>
      </c>
      <c r="H145" s="2">
        <f>IF($E145="","",IFERROR(VLOOKUP($E145,correlation!$D$2:$E$8,2,FALSE),1))</f>
        <v/>
      </c>
      <c r="I145" s="2">
        <f>ISNUMBER($F145)</f>
        <v/>
      </c>
      <c r="J145" s="2">
        <f>AND($G145=1,$H145=1,$I145)</f>
        <v/>
      </c>
      <c r="K145" s="5">
        <f>IF(mos_metrics!G144="","",mos_metrics!G144)</f>
        <v/>
      </c>
      <c r="L145" s="2">
        <f>AND($J145,ISNUMBER(K145),correlation!$I$26=1)</f>
        <v/>
      </c>
      <c r="M145" s="5">
        <f>IF(L145,$F145,"")</f>
        <v/>
      </c>
      <c r="N145" s="5">
        <f>IF(L145,K145*correlation!$J$26,"")</f>
        <v/>
      </c>
      <c r="O145" s="5">
        <f>IF(AND(L145,ISNUMBER(correlation!$F$26)),N145*correlation!$F$26+correlation!$G$26,"")</f>
        <v/>
      </c>
      <c r="P145" s="5">
        <f>IF(AND(L145,ISNUMBER(O145)),(M145-O145)^2,"")</f>
        <v/>
      </c>
      <c r="Q145" s="5">
        <f>IF(L145,1+SUMPRODUCT(--(calc!$L$3:$L$306=TRUE),--(calc!$M$3:$M$306&gt;M145))+(SUMPRODUCT(--(calc!$L$3:$L$306=TRUE),--(calc!$M$3:$M$306=M145))-1)/2,"")</f>
        <v/>
      </c>
      <c r="R145" s="5">
        <f>IF(L145,1+SUMPRODUCT(--(calc!$L$3:$L$306=TRUE),--(calc!$N$3:$N$306&gt;N145))+(SUMPRODUCT(--(calc!$L$3:$L$306=TRUE),--(calc!$N$3:$N$306=N145))-1)/2,"")</f>
        <v/>
      </c>
      <c r="S145" s="5">
        <f>IF(L145,SUMPRODUCT(--(calc!$L$3:$L$306=TRUE),--(ROW(calc!$L$3:$L$306)&gt;ROW(L145)),--(((calc!$Q$3:$Q$306&gt;Q145)*(calc!$R$3:$R$306&gt;R145)+(calc!$Q$3:$Q$306&lt;Q145)*(calc!$R$3:$R$306&lt;R145))&gt;0))-SUMPRODUCT(--(calc!$L$3:$L$306=TRUE),--(ROW(calc!$L$3:$L$306)&gt;ROW(L145)),--(((calc!$Q$3:$Q$306&gt;Q145)*(calc!$R$3:$R$306&lt;R145)+(calc!$Q$3:$Q$306&lt;Q145)*(calc!$R$3:$R$306&gt;R145))&gt;0)),0)</f>
        <v/>
      </c>
      <c r="T145" s="5">
        <f>IF(mos_metrics!H144="","",mos_metrics!H144)</f>
        <v/>
      </c>
      <c r="U145" s="2">
        <f>AND($J145,ISNUMBER(T145),correlation!$I$27=1)</f>
        <v/>
      </c>
      <c r="V145" s="5">
        <f>IF(U145,$F145,"")</f>
        <v/>
      </c>
      <c r="W145" s="5">
        <f>IF(U145,T145*correlation!$J$27,"")</f>
        <v/>
      </c>
      <c r="X145" s="5">
        <f>IF(AND(U145,ISNUMBER(correlation!$F$27)),W145*correlation!$F$27+correlation!$G$27,"")</f>
        <v/>
      </c>
      <c r="Y145" s="5">
        <f>IF(AND(U145,ISNUMBER(X145)),(V145-X145)^2,"")</f>
        <v/>
      </c>
      <c r="Z145" s="5">
        <f>IF(U145,1+SUMPRODUCT(--(calc!$U$3:$U$306=TRUE),--(calc!$V$3:$V$306&gt;V145))+(SUMPRODUCT(--(calc!$U$3:$U$306=TRUE),--(calc!$V$3:$V$306=V145))-1)/2,"")</f>
        <v/>
      </c>
      <c r="AA145" s="5">
        <f>IF(U145,1+SUMPRODUCT(--(calc!$U$3:$U$306=TRUE),--(calc!$W$3:$W$306&gt;W145))+(SUMPRODUCT(--(calc!$U$3:$U$306=TRUE),--(calc!$W$3:$W$306=W145))-1)/2,"")</f>
        <v/>
      </c>
      <c r="AB145" s="5">
        <f>IF(U145,SUMPRODUCT(--(calc!$U$3:$U$306=TRUE),--(ROW(calc!$U$3:$U$306)&gt;ROW(U145)),--(((calc!$Z$3:$Z$306&gt;Z145)*(calc!$AA$3:$AA$306&gt;AA145)+(calc!$Z$3:$Z$306&lt;Z145)*(calc!$AA$3:$AA$306&lt;AA145))&gt;0))-SUMPRODUCT(--(calc!$U$3:$U$306=TRUE),--(ROW(calc!$U$3:$U$306)&gt;ROW(U145)),--(((calc!$Z$3:$Z$306&gt;Z145)*(calc!$AA$3:$AA$306&lt;AA145)+(calc!$Z$3:$Z$306&lt;Z145)*(calc!$AA$3:$AA$306&gt;AA145))&gt;0)),0)</f>
        <v/>
      </c>
      <c r="AC145" s="5">
        <f>IF(mos_metrics!I144="","",mos_metrics!I144)</f>
        <v/>
      </c>
      <c r="AD145" s="2">
        <f>AND($J145,ISNUMBER(AC145),correlation!$I$28=1)</f>
        <v/>
      </c>
      <c r="AE145" s="5">
        <f>IF(AD145,$F145,"")</f>
        <v/>
      </c>
      <c r="AF145" s="5">
        <f>IF(AD145,AC145*correlation!$J$28,"")</f>
        <v/>
      </c>
      <c r="AG145" s="5">
        <f>IF(AND(AD145,ISNUMBER(correlation!$F$28)),AF145*correlation!$F$28+correlation!$G$28,"")</f>
        <v/>
      </c>
      <c r="AH145" s="5">
        <f>IF(AND(AD145,ISNUMBER(AG145)),(AE145-AG145)^2,"")</f>
        <v/>
      </c>
      <c r="AI145" s="5">
        <f>IF(AD145,1+SUMPRODUCT(--(calc!$AD$3:$AD$306=TRUE),--(calc!$AE$3:$AE$306&gt;AE145))+(SUMPRODUCT(--(calc!$AD$3:$AD$306=TRUE),--(calc!$AE$3:$AE$306=AE145))-1)/2,"")</f>
        <v/>
      </c>
      <c r="AJ145" s="5">
        <f>IF(AD145,1+SUMPRODUCT(--(calc!$AD$3:$AD$306=TRUE),--(calc!$AF$3:$AF$306&gt;AF145))+(SUMPRODUCT(--(calc!$AD$3:$AD$306=TRUE),--(calc!$AF$3:$AF$306=AF145))-1)/2,"")</f>
        <v/>
      </c>
      <c r="AK145" s="5">
        <f>IF(AD145,SUMPRODUCT(--(calc!$AD$3:$AD$306=TRUE),--(ROW(calc!$AD$3:$AD$306)&gt;ROW(AD145)),--(((calc!$AI$3:$AI$306&gt;AI145)*(calc!$AJ$3:$AJ$306&gt;AJ145)+(calc!$AI$3:$AI$306&lt;AI145)*(calc!$AJ$3:$AJ$306&lt;AJ145))&gt;0))-SUMPRODUCT(--(calc!$AD$3:$AD$306=TRUE),--(ROW(calc!$AD$3:$AD$306)&gt;ROW(AD145)),--(((calc!$AI$3:$AI$306&gt;AI145)*(calc!$AJ$3:$AJ$306&lt;AJ145)+(calc!$AI$3:$AI$306&lt;AI145)*(calc!$AJ$3:$AJ$306&gt;AJ145))&gt;0)),0)</f>
        <v/>
      </c>
      <c r="AL145" s="5">
        <f>IF(mos_metrics!J144="","",mos_metrics!J144)</f>
        <v/>
      </c>
      <c r="AM145" s="2">
        <f>AND($J145,ISNUMBER(AL145),correlation!$I$29=1)</f>
        <v/>
      </c>
      <c r="AN145" s="5">
        <f>IF(AM145,$F145,"")</f>
        <v/>
      </c>
      <c r="AO145" s="5">
        <f>IF(AM145,AL145*correlation!$J$29,"")</f>
        <v/>
      </c>
      <c r="AP145" s="5">
        <f>IF(AND(AM145,ISNUMBER(correlation!$F$29)),AO145*correlation!$F$29+correlation!$G$29,"")</f>
        <v/>
      </c>
      <c r="AQ145" s="5">
        <f>IF(AND(AM145,ISNUMBER(AP145)),(AN145-AP145)^2,"")</f>
        <v/>
      </c>
      <c r="AR145" s="5">
        <f>IF(AM145,1+SUMPRODUCT(--(calc!$AM$3:$AM$306=TRUE),--(calc!$AN$3:$AN$306&gt;AN145))+(SUMPRODUCT(--(calc!$AM$3:$AM$306=TRUE),--(calc!$AN$3:$AN$306=AN145))-1)/2,"")</f>
        <v/>
      </c>
      <c r="AS145" s="5">
        <f>IF(AM145,1+SUMPRODUCT(--(calc!$AM$3:$AM$306=TRUE),--(calc!$AO$3:$AO$306&gt;AO145))+(SUMPRODUCT(--(calc!$AM$3:$AM$306=TRUE),--(calc!$AO$3:$AO$306=AO145))-1)/2,"")</f>
        <v/>
      </c>
      <c r="AT145" s="5">
        <f>IF(AM145,SUMPRODUCT(--(calc!$AM$3:$AM$306=TRUE),--(ROW(calc!$AM$3:$AM$306)&gt;ROW(AM145)),--(((calc!$AR$3:$AR$306&gt;AR145)*(calc!$AS$3:$AS$306&gt;AS145)+(calc!$AR$3:$AR$306&lt;AR145)*(calc!$AS$3:$AS$306&lt;AS145))&gt;0))-SUMPRODUCT(--(calc!$AM$3:$AM$306=TRUE),--(ROW(calc!$AM$3:$AM$306)&gt;ROW(AM145)),--(((calc!$AR$3:$AR$306&gt;AR145)*(calc!$AS$3:$AS$306&lt;AS145)+(calc!$AR$3:$AR$306&lt;AR145)*(calc!$AS$3:$AS$306&gt;AS145))&gt;0)),0)</f>
        <v/>
      </c>
      <c r="AU145" s="5">
        <f>IF(mos_metrics!K144="","",mos_metrics!K144)</f>
        <v/>
      </c>
      <c r="AV145" s="2">
        <f>AND($J145,ISNUMBER(AU145),correlation!$I$30=1)</f>
        <v/>
      </c>
      <c r="AW145" s="5">
        <f>IF(AV145,$F145,"")</f>
        <v/>
      </c>
      <c r="AX145" s="5">
        <f>IF(AV145,AU145*correlation!$J$30,"")</f>
        <v/>
      </c>
      <c r="AY145" s="5">
        <f>IF(AND(AV145,ISNUMBER(correlation!$F$30)),AX145*correlation!$F$30+correlation!$G$30,"")</f>
        <v/>
      </c>
      <c r="AZ145" s="5">
        <f>IF(AND(AV145,ISNUMBER(AY145)),(AW145-AY145)^2,"")</f>
        <v/>
      </c>
      <c r="BA145" s="5">
        <f>IF(AV145,1+SUMPRODUCT(--(calc!$AV$3:$AV$306=TRUE),--(calc!$AW$3:$AW$306&gt;AW145))+(SUMPRODUCT(--(calc!$AV$3:$AV$306=TRUE),--(calc!$AW$3:$AW$306=AW145))-1)/2,"")</f>
        <v/>
      </c>
      <c r="BB145" s="5">
        <f>IF(AV145,1+SUMPRODUCT(--(calc!$AV$3:$AV$306=TRUE),--(calc!$AX$3:$AX$306&gt;AX145))+(SUMPRODUCT(--(calc!$AV$3:$AV$306=TRUE),--(calc!$AX$3:$AX$306=AX145))-1)/2,"")</f>
        <v/>
      </c>
      <c r="BC145" s="5">
        <f>IF(AV145,SUMPRODUCT(--(calc!$AV$3:$AV$306=TRUE),--(ROW(calc!$AV$3:$AV$306)&gt;ROW(AV145)),--(((calc!$BA$3:$BA$306&gt;BA145)*(calc!$BB$3:$BB$306&gt;BB145)+(calc!$BA$3:$BA$306&lt;BA145)*(calc!$BB$3:$BB$306&lt;BB145))&gt;0))-SUMPRODUCT(--(calc!$AV$3:$AV$306=TRUE),--(ROW(calc!$AV$3:$AV$306)&gt;ROW(AV145)),--(((calc!$BA$3:$BA$306&gt;BA145)*(calc!$BB$3:$BB$306&lt;BB145)+(calc!$BA$3:$BA$306&lt;BA145)*(calc!$BB$3:$BB$306&gt;BB145))&gt;0)),0)</f>
        <v/>
      </c>
      <c r="BD145" s="5">
        <f>IF(mos_metrics!L144="","",mos_metrics!L144)</f>
        <v/>
      </c>
      <c r="BE145" s="2">
        <f>AND($J145,ISNUMBER(BD145),correlation!$I$31=1)</f>
        <v/>
      </c>
      <c r="BF145" s="5">
        <f>IF(BE145,$F145,"")</f>
        <v/>
      </c>
      <c r="BG145" s="5">
        <f>IF(BE145,BD145*correlation!$J$31,"")</f>
        <v/>
      </c>
      <c r="BH145" s="5">
        <f>IF(AND(BE145,ISNUMBER(correlation!$F$31)),BG145*correlation!$F$31+correlation!$G$31,"")</f>
        <v/>
      </c>
      <c r="BI145" s="5">
        <f>IF(AND(BE145,ISNUMBER(BH145)),(BF145-BH145)^2,"")</f>
        <v/>
      </c>
      <c r="BJ145" s="5">
        <f>IF(BE145,1+SUMPRODUCT(--(calc!$BE$3:$BE$306=TRUE),--(calc!$BF$3:$BF$306&gt;BF145))+(SUMPRODUCT(--(calc!$BE$3:$BE$306=TRUE),--(calc!$BF$3:$BF$306=BF145))-1)/2,"")</f>
        <v/>
      </c>
      <c r="BK145" s="5">
        <f>IF(BE145,1+SUMPRODUCT(--(calc!$BE$3:$BE$306=TRUE),--(calc!$BG$3:$BG$306&gt;BG145))+(SUMPRODUCT(--(calc!$BE$3:$BE$306=TRUE),--(calc!$BG$3:$BG$306=BG145))-1)/2,"")</f>
        <v/>
      </c>
      <c r="BL145" s="5">
        <f>IF(BE145,SUMPRODUCT(--(calc!$BE$3:$BE$306=TRUE),--(ROW(calc!$BE$3:$BE$306)&gt;ROW(BE145)),--(((calc!$BJ$3:$BJ$306&gt;BJ145)*(calc!$BK$3:$BK$306&gt;BK145)+(calc!$BJ$3:$BJ$306&lt;BJ145)*(calc!$BK$3:$BK$306&lt;BK145))&gt;0))-SUMPRODUCT(--(calc!$BE$3:$BE$306=TRUE),--(ROW(calc!$BE$3:$BE$306)&gt;ROW(BE145)),--(((calc!$BJ$3:$BJ$306&gt;BJ145)*(calc!$BK$3:$BK$306&lt;BK145)+(calc!$BJ$3:$BJ$306&lt;BJ145)*(calc!$BK$3:$BK$306&gt;BK145))&gt;0)),0)</f>
        <v/>
      </c>
      <c r="BM145" s="5">
        <f>IF(mos_metrics!M144="","",mos_metrics!M144)</f>
        <v/>
      </c>
      <c r="BN145" s="2">
        <f>AND($J145,ISNUMBER(BM145),correlation!$I$32=1)</f>
        <v/>
      </c>
      <c r="BO145" s="5">
        <f>IF(BN145,$F145,"")</f>
        <v/>
      </c>
      <c r="BP145" s="5">
        <f>IF(BN145,BM145*correlation!$J$32,"")</f>
        <v/>
      </c>
      <c r="BQ145" s="5">
        <f>IF(AND(BN145,ISNUMBER(correlation!$F$32)),BP145*correlation!$F$32+correlation!$G$32,"")</f>
        <v/>
      </c>
      <c r="BR145" s="5">
        <f>IF(AND(BN145,ISNUMBER(BQ145)),(BO145-BQ145)^2,"")</f>
        <v/>
      </c>
      <c r="BS145" s="5">
        <f>IF(BN145,1+SUMPRODUCT(--(calc!$BN$3:$BN$306=TRUE),--(calc!$BO$3:$BO$306&gt;BO145))+(SUMPRODUCT(--(calc!$BN$3:$BN$306=TRUE),--(calc!$BO$3:$BO$306=BO145))-1)/2,"")</f>
        <v/>
      </c>
      <c r="BT145" s="5">
        <f>IF(BN145,1+SUMPRODUCT(--(calc!$BN$3:$BN$306=TRUE),--(calc!$BP$3:$BP$306&gt;BP145))+(SUMPRODUCT(--(calc!$BN$3:$BN$306=TRUE),--(calc!$BP$3:$BP$306=BP145))-1)/2,"")</f>
        <v/>
      </c>
      <c r="BU145" s="5">
        <f>IF(BN145,SUMPRODUCT(--(calc!$BN$3:$BN$306=TRUE),--(ROW(calc!$BN$3:$BN$306)&gt;ROW(BN145)),--(((calc!$BS$3:$BS$306&gt;BS145)*(calc!$BT$3:$BT$306&gt;BT145)+(calc!$BS$3:$BS$306&lt;BS145)*(calc!$BT$3:$BT$306&lt;BT145))&gt;0))-SUMPRODUCT(--(calc!$BN$3:$BN$306=TRUE),--(ROW(calc!$BN$3:$BN$306)&gt;ROW(BN145)),--(((calc!$BS$3:$BS$306&gt;BS145)*(calc!$BT$3:$BT$306&lt;BT145)+(calc!$BS$3:$BS$306&lt;BS145)*(calc!$BT$3:$BT$306&gt;BT145))&gt;0)),0)</f>
        <v/>
      </c>
    </row>
    <row r="146">
      <c r="A146" s="2">
        <f>mos_metrics!A145</f>
        <v/>
      </c>
      <c r="B146" s="2">
        <f>mos_metrics!B145</f>
        <v/>
      </c>
      <c r="C146" s="2">
        <f>mos_metrics!C145</f>
        <v/>
      </c>
      <c r="D146" s="2">
        <f>mos_metrics!D145</f>
        <v/>
      </c>
      <c r="E146" s="2">
        <f>mos_metrics!E145</f>
        <v/>
      </c>
      <c r="F146" s="2">
        <f>mos_metrics!F145</f>
        <v/>
      </c>
      <c r="G146" s="2">
        <f>IF($B146="","",IFERROR(VLOOKUP($B146,correlation!$A$2:$B$16,2,FALSE),1))</f>
        <v/>
      </c>
      <c r="H146" s="2">
        <f>IF($E146="","",IFERROR(VLOOKUP($E146,correlation!$D$2:$E$8,2,FALSE),1))</f>
        <v/>
      </c>
      <c r="I146" s="2">
        <f>ISNUMBER($F146)</f>
        <v/>
      </c>
      <c r="J146" s="2">
        <f>AND($G146=1,$H146=1,$I146)</f>
        <v/>
      </c>
      <c r="K146" s="5">
        <f>IF(mos_metrics!G145="","",mos_metrics!G145)</f>
        <v/>
      </c>
      <c r="L146" s="2">
        <f>AND($J146,ISNUMBER(K146),correlation!$I$26=1)</f>
        <v/>
      </c>
      <c r="M146" s="5">
        <f>IF(L146,$F146,"")</f>
        <v/>
      </c>
      <c r="N146" s="5">
        <f>IF(L146,K146*correlation!$J$26,"")</f>
        <v/>
      </c>
      <c r="O146" s="5">
        <f>IF(AND(L146,ISNUMBER(correlation!$F$26)),N146*correlation!$F$26+correlation!$G$26,"")</f>
        <v/>
      </c>
      <c r="P146" s="5">
        <f>IF(AND(L146,ISNUMBER(O146)),(M146-O146)^2,"")</f>
        <v/>
      </c>
      <c r="Q146" s="5">
        <f>IF(L146,1+SUMPRODUCT(--(calc!$L$3:$L$306=TRUE),--(calc!$M$3:$M$306&gt;M146))+(SUMPRODUCT(--(calc!$L$3:$L$306=TRUE),--(calc!$M$3:$M$306=M146))-1)/2,"")</f>
        <v/>
      </c>
      <c r="R146" s="5">
        <f>IF(L146,1+SUMPRODUCT(--(calc!$L$3:$L$306=TRUE),--(calc!$N$3:$N$306&gt;N146))+(SUMPRODUCT(--(calc!$L$3:$L$306=TRUE),--(calc!$N$3:$N$306=N146))-1)/2,"")</f>
        <v/>
      </c>
      <c r="S146" s="5">
        <f>IF(L146,SUMPRODUCT(--(calc!$L$3:$L$306=TRUE),--(ROW(calc!$L$3:$L$306)&gt;ROW(L146)),--(((calc!$Q$3:$Q$306&gt;Q146)*(calc!$R$3:$R$306&gt;R146)+(calc!$Q$3:$Q$306&lt;Q146)*(calc!$R$3:$R$306&lt;R146))&gt;0))-SUMPRODUCT(--(calc!$L$3:$L$306=TRUE),--(ROW(calc!$L$3:$L$306)&gt;ROW(L146)),--(((calc!$Q$3:$Q$306&gt;Q146)*(calc!$R$3:$R$306&lt;R146)+(calc!$Q$3:$Q$306&lt;Q146)*(calc!$R$3:$R$306&gt;R146))&gt;0)),0)</f>
        <v/>
      </c>
      <c r="T146" s="5">
        <f>IF(mos_metrics!H145="","",mos_metrics!H145)</f>
        <v/>
      </c>
      <c r="U146" s="2">
        <f>AND($J146,ISNUMBER(T146),correlation!$I$27=1)</f>
        <v/>
      </c>
      <c r="V146" s="5">
        <f>IF(U146,$F146,"")</f>
        <v/>
      </c>
      <c r="W146" s="5">
        <f>IF(U146,T146*correlation!$J$27,"")</f>
        <v/>
      </c>
      <c r="X146" s="5">
        <f>IF(AND(U146,ISNUMBER(correlation!$F$27)),W146*correlation!$F$27+correlation!$G$27,"")</f>
        <v/>
      </c>
      <c r="Y146" s="5">
        <f>IF(AND(U146,ISNUMBER(X146)),(V146-X146)^2,"")</f>
        <v/>
      </c>
      <c r="Z146" s="5">
        <f>IF(U146,1+SUMPRODUCT(--(calc!$U$3:$U$306=TRUE),--(calc!$V$3:$V$306&gt;V146))+(SUMPRODUCT(--(calc!$U$3:$U$306=TRUE),--(calc!$V$3:$V$306=V146))-1)/2,"")</f>
        <v/>
      </c>
      <c r="AA146" s="5">
        <f>IF(U146,1+SUMPRODUCT(--(calc!$U$3:$U$306=TRUE),--(calc!$W$3:$W$306&gt;W146))+(SUMPRODUCT(--(calc!$U$3:$U$306=TRUE),--(calc!$W$3:$W$306=W146))-1)/2,"")</f>
        <v/>
      </c>
      <c r="AB146" s="5">
        <f>IF(U146,SUMPRODUCT(--(calc!$U$3:$U$306=TRUE),--(ROW(calc!$U$3:$U$306)&gt;ROW(U146)),--(((calc!$Z$3:$Z$306&gt;Z146)*(calc!$AA$3:$AA$306&gt;AA146)+(calc!$Z$3:$Z$306&lt;Z146)*(calc!$AA$3:$AA$306&lt;AA146))&gt;0))-SUMPRODUCT(--(calc!$U$3:$U$306=TRUE),--(ROW(calc!$U$3:$U$306)&gt;ROW(U146)),--(((calc!$Z$3:$Z$306&gt;Z146)*(calc!$AA$3:$AA$306&lt;AA146)+(calc!$Z$3:$Z$306&lt;Z146)*(calc!$AA$3:$AA$306&gt;AA146))&gt;0)),0)</f>
        <v/>
      </c>
      <c r="AC146" s="5">
        <f>IF(mos_metrics!I145="","",mos_metrics!I145)</f>
        <v/>
      </c>
      <c r="AD146" s="2">
        <f>AND($J146,ISNUMBER(AC146),correlation!$I$28=1)</f>
        <v/>
      </c>
      <c r="AE146" s="5">
        <f>IF(AD146,$F146,"")</f>
        <v/>
      </c>
      <c r="AF146" s="5">
        <f>IF(AD146,AC146*correlation!$J$28,"")</f>
        <v/>
      </c>
      <c r="AG146" s="5">
        <f>IF(AND(AD146,ISNUMBER(correlation!$F$28)),AF146*correlation!$F$28+correlation!$G$28,"")</f>
        <v/>
      </c>
      <c r="AH146" s="5">
        <f>IF(AND(AD146,ISNUMBER(AG146)),(AE146-AG146)^2,"")</f>
        <v/>
      </c>
      <c r="AI146" s="5">
        <f>IF(AD146,1+SUMPRODUCT(--(calc!$AD$3:$AD$306=TRUE),--(calc!$AE$3:$AE$306&gt;AE146))+(SUMPRODUCT(--(calc!$AD$3:$AD$306=TRUE),--(calc!$AE$3:$AE$306=AE146))-1)/2,"")</f>
        <v/>
      </c>
      <c r="AJ146" s="5">
        <f>IF(AD146,1+SUMPRODUCT(--(calc!$AD$3:$AD$306=TRUE),--(calc!$AF$3:$AF$306&gt;AF146))+(SUMPRODUCT(--(calc!$AD$3:$AD$306=TRUE),--(calc!$AF$3:$AF$306=AF146))-1)/2,"")</f>
        <v/>
      </c>
      <c r="AK146" s="5">
        <f>IF(AD146,SUMPRODUCT(--(calc!$AD$3:$AD$306=TRUE),--(ROW(calc!$AD$3:$AD$306)&gt;ROW(AD146)),--(((calc!$AI$3:$AI$306&gt;AI146)*(calc!$AJ$3:$AJ$306&gt;AJ146)+(calc!$AI$3:$AI$306&lt;AI146)*(calc!$AJ$3:$AJ$306&lt;AJ146))&gt;0))-SUMPRODUCT(--(calc!$AD$3:$AD$306=TRUE),--(ROW(calc!$AD$3:$AD$306)&gt;ROW(AD146)),--(((calc!$AI$3:$AI$306&gt;AI146)*(calc!$AJ$3:$AJ$306&lt;AJ146)+(calc!$AI$3:$AI$306&lt;AI146)*(calc!$AJ$3:$AJ$306&gt;AJ146))&gt;0)),0)</f>
        <v/>
      </c>
      <c r="AL146" s="5">
        <f>IF(mos_metrics!J145="","",mos_metrics!J145)</f>
        <v/>
      </c>
      <c r="AM146" s="2">
        <f>AND($J146,ISNUMBER(AL146),correlation!$I$29=1)</f>
        <v/>
      </c>
      <c r="AN146" s="5">
        <f>IF(AM146,$F146,"")</f>
        <v/>
      </c>
      <c r="AO146" s="5">
        <f>IF(AM146,AL146*correlation!$J$29,"")</f>
        <v/>
      </c>
      <c r="AP146" s="5">
        <f>IF(AND(AM146,ISNUMBER(correlation!$F$29)),AO146*correlation!$F$29+correlation!$G$29,"")</f>
        <v/>
      </c>
      <c r="AQ146" s="5">
        <f>IF(AND(AM146,ISNUMBER(AP146)),(AN146-AP146)^2,"")</f>
        <v/>
      </c>
      <c r="AR146" s="5">
        <f>IF(AM146,1+SUMPRODUCT(--(calc!$AM$3:$AM$306=TRUE),--(calc!$AN$3:$AN$306&gt;AN146))+(SUMPRODUCT(--(calc!$AM$3:$AM$306=TRUE),--(calc!$AN$3:$AN$306=AN146))-1)/2,"")</f>
        <v/>
      </c>
      <c r="AS146" s="5">
        <f>IF(AM146,1+SUMPRODUCT(--(calc!$AM$3:$AM$306=TRUE),--(calc!$AO$3:$AO$306&gt;AO146))+(SUMPRODUCT(--(calc!$AM$3:$AM$306=TRUE),--(calc!$AO$3:$AO$306=AO146))-1)/2,"")</f>
        <v/>
      </c>
      <c r="AT146" s="5">
        <f>IF(AM146,SUMPRODUCT(--(calc!$AM$3:$AM$306=TRUE),--(ROW(calc!$AM$3:$AM$306)&gt;ROW(AM146)),--(((calc!$AR$3:$AR$306&gt;AR146)*(calc!$AS$3:$AS$306&gt;AS146)+(calc!$AR$3:$AR$306&lt;AR146)*(calc!$AS$3:$AS$306&lt;AS146))&gt;0))-SUMPRODUCT(--(calc!$AM$3:$AM$306=TRUE),--(ROW(calc!$AM$3:$AM$306)&gt;ROW(AM146)),--(((calc!$AR$3:$AR$306&gt;AR146)*(calc!$AS$3:$AS$306&lt;AS146)+(calc!$AR$3:$AR$306&lt;AR146)*(calc!$AS$3:$AS$306&gt;AS146))&gt;0)),0)</f>
        <v/>
      </c>
      <c r="AU146" s="5">
        <f>IF(mos_metrics!K145="","",mos_metrics!K145)</f>
        <v/>
      </c>
      <c r="AV146" s="2">
        <f>AND($J146,ISNUMBER(AU146),correlation!$I$30=1)</f>
        <v/>
      </c>
      <c r="AW146" s="5">
        <f>IF(AV146,$F146,"")</f>
        <v/>
      </c>
      <c r="AX146" s="5">
        <f>IF(AV146,AU146*correlation!$J$30,"")</f>
        <v/>
      </c>
      <c r="AY146" s="5">
        <f>IF(AND(AV146,ISNUMBER(correlation!$F$30)),AX146*correlation!$F$30+correlation!$G$30,"")</f>
        <v/>
      </c>
      <c r="AZ146" s="5">
        <f>IF(AND(AV146,ISNUMBER(AY146)),(AW146-AY146)^2,"")</f>
        <v/>
      </c>
      <c r="BA146" s="5">
        <f>IF(AV146,1+SUMPRODUCT(--(calc!$AV$3:$AV$306=TRUE),--(calc!$AW$3:$AW$306&gt;AW146))+(SUMPRODUCT(--(calc!$AV$3:$AV$306=TRUE),--(calc!$AW$3:$AW$306=AW146))-1)/2,"")</f>
        <v/>
      </c>
      <c r="BB146" s="5">
        <f>IF(AV146,1+SUMPRODUCT(--(calc!$AV$3:$AV$306=TRUE),--(calc!$AX$3:$AX$306&gt;AX146))+(SUMPRODUCT(--(calc!$AV$3:$AV$306=TRUE),--(calc!$AX$3:$AX$306=AX146))-1)/2,"")</f>
        <v/>
      </c>
      <c r="BC146" s="5">
        <f>IF(AV146,SUMPRODUCT(--(calc!$AV$3:$AV$306=TRUE),--(ROW(calc!$AV$3:$AV$306)&gt;ROW(AV146)),--(((calc!$BA$3:$BA$306&gt;BA146)*(calc!$BB$3:$BB$306&gt;BB146)+(calc!$BA$3:$BA$306&lt;BA146)*(calc!$BB$3:$BB$306&lt;BB146))&gt;0))-SUMPRODUCT(--(calc!$AV$3:$AV$306=TRUE),--(ROW(calc!$AV$3:$AV$306)&gt;ROW(AV146)),--(((calc!$BA$3:$BA$306&gt;BA146)*(calc!$BB$3:$BB$306&lt;BB146)+(calc!$BA$3:$BA$306&lt;BA146)*(calc!$BB$3:$BB$306&gt;BB146))&gt;0)),0)</f>
        <v/>
      </c>
      <c r="BD146" s="5">
        <f>IF(mos_metrics!L145="","",mos_metrics!L145)</f>
        <v/>
      </c>
      <c r="BE146" s="2">
        <f>AND($J146,ISNUMBER(BD146),correlation!$I$31=1)</f>
        <v/>
      </c>
      <c r="BF146" s="5">
        <f>IF(BE146,$F146,"")</f>
        <v/>
      </c>
      <c r="BG146" s="5">
        <f>IF(BE146,BD146*correlation!$J$31,"")</f>
        <v/>
      </c>
      <c r="BH146" s="5">
        <f>IF(AND(BE146,ISNUMBER(correlation!$F$31)),BG146*correlation!$F$31+correlation!$G$31,"")</f>
        <v/>
      </c>
      <c r="BI146" s="5">
        <f>IF(AND(BE146,ISNUMBER(BH146)),(BF146-BH146)^2,"")</f>
        <v/>
      </c>
      <c r="BJ146" s="5">
        <f>IF(BE146,1+SUMPRODUCT(--(calc!$BE$3:$BE$306=TRUE),--(calc!$BF$3:$BF$306&gt;BF146))+(SUMPRODUCT(--(calc!$BE$3:$BE$306=TRUE),--(calc!$BF$3:$BF$306=BF146))-1)/2,"")</f>
        <v/>
      </c>
      <c r="BK146" s="5">
        <f>IF(BE146,1+SUMPRODUCT(--(calc!$BE$3:$BE$306=TRUE),--(calc!$BG$3:$BG$306&gt;BG146))+(SUMPRODUCT(--(calc!$BE$3:$BE$306=TRUE),--(calc!$BG$3:$BG$306=BG146))-1)/2,"")</f>
        <v/>
      </c>
      <c r="BL146" s="5">
        <f>IF(BE146,SUMPRODUCT(--(calc!$BE$3:$BE$306=TRUE),--(ROW(calc!$BE$3:$BE$306)&gt;ROW(BE146)),--(((calc!$BJ$3:$BJ$306&gt;BJ146)*(calc!$BK$3:$BK$306&gt;BK146)+(calc!$BJ$3:$BJ$306&lt;BJ146)*(calc!$BK$3:$BK$306&lt;BK146))&gt;0))-SUMPRODUCT(--(calc!$BE$3:$BE$306=TRUE),--(ROW(calc!$BE$3:$BE$306)&gt;ROW(BE146)),--(((calc!$BJ$3:$BJ$306&gt;BJ146)*(calc!$BK$3:$BK$306&lt;BK146)+(calc!$BJ$3:$BJ$306&lt;BJ146)*(calc!$BK$3:$BK$306&gt;BK146))&gt;0)),0)</f>
        <v/>
      </c>
      <c r="BM146" s="5">
        <f>IF(mos_metrics!M145="","",mos_metrics!M145)</f>
        <v/>
      </c>
      <c r="BN146" s="2">
        <f>AND($J146,ISNUMBER(BM146),correlation!$I$32=1)</f>
        <v/>
      </c>
      <c r="BO146" s="5">
        <f>IF(BN146,$F146,"")</f>
        <v/>
      </c>
      <c r="BP146" s="5">
        <f>IF(BN146,BM146*correlation!$J$32,"")</f>
        <v/>
      </c>
      <c r="BQ146" s="5">
        <f>IF(AND(BN146,ISNUMBER(correlation!$F$32)),BP146*correlation!$F$32+correlation!$G$32,"")</f>
        <v/>
      </c>
      <c r="BR146" s="5">
        <f>IF(AND(BN146,ISNUMBER(BQ146)),(BO146-BQ146)^2,"")</f>
        <v/>
      </c>
      <c r="BS146" s="5">
        <f>IF(BN146,1+SUMPRODUCT(--(calc!$BN$3:$BN$306=TRUE),--(calc!$BO$3:$BO$306&gt;BO146))+(SUMPRODUCT(--(calc!$BN$3:$BN$306=TRUE),--(calc!$BO$3:$BO$306=BO146))-1)/2,"")</f>
        <v/>
      </c>
      <c r="BT146" s="5">
        <f>IF(BN146,1+SUMPRODUCT(--(calc!$BN$3:$BN$306=TRUE),--(calc!$BP$3:$BP$306&gt;BP146))+(SUMPRODUCT(--(calc!$BN$3:$BN$306=TRUE),--(calc!$BP$3:$BP$306=BP146))-1)/2,"")</f>
        <v/>
      </c>
      <c r="BU146" s="5">
        <f>IF(BN146,SUMPRODUCT(--(calc!$BN$3:$BN$306=TRUE),--(ROW(calc!$BN$3:$BN$306)&gt;ROW(BN146)),--(((calc!$BS$3:$BS$306&gt;BS146)*(calc!$BT$3:$BT$306&gt;BT146)+(calc!$BS$3:$BS$306&lt;BS146)*(calc!$BT$3:$BT$306&lt;BT146))&gt;0))-SUMPRODUCT(--(calc!$BN$3:$BN$306=TRUE),--(ROW(calc!$BN$3:$BN$306)&gt;ROW(BN146)),--(((calc!$BS$3:$BS$306&gt;BS146)*(calc!$BT$3:$BT$306&lt;BT146)+(calc!$BS$3:$BS$306&lt;BS146)*(calc!$BT$3:$BT$306&gt;BT146))&gt;0)),0)</f>
        <v/>
      </c>
    </row>
    <row r="147">
      <c r="A147" s="2">
        <f>mos_metrics!A146</f>
        <v/>
      </c>
      <c r="B147" s="2">
        <f>mos_metrics!B146</f>
        <v/>
      </c>
      <c r="C147" s="2">
        <f>mos_metrics!C146</f>
        <v/>
      </c>
      <c r="D147" s="2">
        <f>mos_metrics!D146</f>
        <v/>
      </c>
      <c r="E147" s="2">
        <f>mos_metrics!E146</f>
        <v/>
      </c>
      <c r="F147" s="2">
        <f>mos_metrics!F146</f>
        <v/>
      </c>
      <c r="G147" s="2">
        <f>IF($B147="","",IFERROR(VLOOKUP($B147,correlation!$A$2:$B$16,2,FALSE),1))</f>
        <v/>
      </c>
      <c r="H147" s="2">
        <f>IF($E147="","",IFERROR(VLOOKUP($E147,correlation!$D$2:$E$8,2,FALSE),1))</f>
        <v/>
      </c>
      <c r="I147" s="2">
        <f>ISNUMBER($F147)</f>
        <v/>
      </c>
      <c r="J147" s="2">
        <f>AND($G147=1,$H147=1,$I147)</f>
        <v/>
      </c>
      <c r="K147" s="5">
        <f>IF(mos_metrics!G146="","",mos_metrics!G146)</f>
        <v/>
      </c>
      <c r="L147" s="2">
        <f>AND($J147,ISNUMBER(K147),correlation!$I$26=1)</f>
        <v/>
      </c>
      <c r="M147" s="5">
        <f>IF(L147,$F147,"")</f>
        <v/>
      </c>
      <c r="N147" s="5">
        <f>IF(L147,K147*correlation!$J$26,"")</f>
        <v/>
      </c>
      <c r="O147" s="5">
        <f>IF(AND(L147,ISNUMBER(correlation!$F$26)),N147*correlation!$F$26+correlation!$G$26,"")</f>
        <v/>
      </c>
      <c r="P147" s="5">
        <f>IF(AND(L147,ISNUMBER(O147)),(M147-O147)^2,"")</f>
        <v/>
      </c>
      <c r="Q147" s="5">
        <f>IF(L147,1+SUMPRODUCT(--(calc!$L$3:$L$306=TRUE),--(calc!$M$3:$M$306&gt;M147))+(SUMPRODUCT(--(calc!$L$3:$L$306=TRUE),--(calc!$M$3:$M$306=M147))-1)/2,"")</f>
        <v/>
      </c>
      <c r="R147" s="5">
        <f>IF(L147,1+SUMPRODUCT(--(calc!$L$3:$L$306=TRUE),--(calc!$N$3:$N$306&gt;N147))+(SUMPRODUCT(--(calc!$L$3:$L$306=TRUE),--(calc!$N$3:$N$306=N147))-1)/2,"")</f>
        <v/>
      </c>
      <c r="S147" s="5">
        <f>IF(L147,SUMPRODUCT(--(calc!$L$3:$L$306=TRUE),--(ROW(calc!$L$3:$L$306)&gt;ROW(L147)),--(((calc!$Q$3:$Q$306&gt;Q147)*(calc!$R$3:$R$306&gt;R147)+(calc!$Q$3:$Q$306&lt;Q147)*(calc!$R$3:$R$306&lt;R147))&gt;0))-SUMPRODUCT(--(calc!$L$3:$L$306=TRUE),--(ROW(calc!$L$3:$L$306)&gt;ROW(L147)),--(((calc!$Q$3:$Q$306&gt;Q147)*(calc!$R$3:$R$306&lt;R147)+(calc!$Q$3:$Q$306&lt;Q147)*(calc!$R$3:$R$306&gt;R147))&gt;0)),0)</f>
        <v/>
      </c>
      <c r="T147" s="5">
        <f>IF(mos_metrics!H146="","",mos_metrics!H146)</f>
        <v/>
      </c>
      <c r="U147" s="2">
        <f>AND($J147,ISNUMBER(T147),correlation!$I$27=1)</f>
        <v/>
      </c>
      <c r="V147" s="5">
        <f>IF(U147,$F147,"")</f>
        <v/>
      </c>
      <c r="W147" s="5">
        <f>IF(U147,T147*correlation!$J$27,"")</f>
        <v/>
      </c>
      <c r="X147" s="5">
        <f>IF(AND(U147,ISNUMBER(correlation!$F$27)),W147*correlation!$F$27+correlation!$G$27,"")</f>
        <v/>
      </c>
      <c r="Y147" s="5">
        <f>IF(AND(U147,ISNUMBER(X147)),(V147-X147)^2,"")</f>
        <v/>
      </c>
      <c r="Z147" s="5">
        <f>IF(U147,1+SUMPRODUCT(--(calc!$U$3:$U$306=TRUE),--(calc!$V$3:$V$306&gt;V147))+(SUMPRODUCT(--(calc!$U$3:$U$306=TRUE),--(calc!$V$3:$V$306=V147))-1)/2,"")</f>
        <v/>
      </c>
      <c r="AA147" s="5">
        <f>IF(U147,1+SUMPRODUCT(--(calc!$U$3:$U$306=TRUE),--(calc!$W$3:$W$306&gt;W147))+(SUMPRODUCT(--(calc!$U$3:$U$306=TRUE),--(calc!$W$3:$W$306=W147))-1)/2,"")</f>
        <v/>
      </c>
      <c r="AB147" s="5">
        <f>IF(U147,SUMPRODUCT(--(calc!$U$3:$U$306=TRUE),--(ROW(calc!$U$3:$U$306)&gt;ROW(U147)),--(((calc!$Z$3:$Z$306&gt;Z147)*(calc!$AA$3:$AA$306&gt;AA147)+(calc!$Z$3:$Z$306&lt;Z147)*(calc!$AA$3:$AA$306&lt;AA147))&gt;0))-SUMPRODUCT(--(calc!$U$3:$U$306=TRUE),--(ROW(calc!$U$3:$U$306)&gt;ROW(U147)),--(((calc!$Z$3:$Z$306&gt;Z147)*(calc!$AA$3:$AA$306&lt;AA147)+(calc!$Z$3:$Z$306&lt;Z147)*(calc!$AA$3:$AA$306&gt;AA147))&gt;0)),0)</f>
        <v/>
      </c>
      <c r="AC147" s="5">
        <f>IF(mos_metrics!I146="","",mos_metrics!I146)</f>
        <v/>
      </c>
      <c r="AD147" s="2">
        <f>AND($J147,ISNUMBER(AC147),correlation!$I$28=1)</f>
        <v/>
      </c>
      <c r="AE147" s="5">
        <f>IF(AD147,$F147,"")</f>
        <v/>
      </c>
      <c r="AF147" s="5">
        <f>IF(AD147,AC147*correlation!$J$28,"")</f>
        <v/>
      </c>
      <c r="AG147" s="5">
        <f>IF(AND(AD147,ISNUMBER(correlation!$F$28)),AF147*correlation!$F$28+correlation!$G$28,"")</f>
        <v/>
      </c>
      <c r="AH147" s="5">
        <f>IF(AND(AD147,ISNUMBER(AG147)),(AE147-AG147)^2,"")</f>
        <v/>
      </c>
      <c r="AI147" s="5">
        <f>IF(AD147,1+SUMPRODUCT(--(calc!$AD$3:$AD$306=TRUE),--(calc!$AE$3:$AE$306&gt;AE147))+(SUMPRODUCT(--(calc!$AD$3:$AD$306=TRUE),--(calc!$AE$3:$AE$306=AE147))-1)/2,"")</f>
        <v/>
      </c>
      <c r="AJ147" s="5">
        <f>IF(AD147,1+SUMPRODUCT(--(calc!$AD$3:$AD$306=TRUE),--(calc!$AF$3:$AF$306&gt;AF147))+(SUMPRODUCT(--(calc!$AD$3:$AD$306=TRUE),--(calc!$AF$3:$AF$306=AF147))-1)/2,"")</f>
        <v/>
      </c>
      <c r="AK147" s="5">
        <f>IF(AD147,SUMPRODUCT(--(calc!$AD$3:$AD$306=TRUE),--(ROW(calc!$AD$3:$AD$306)&gt;ROW(AD147)),--(((calc!$AI$3:$AI$306&gt;AI147)*(calc!$AJ$3:$AJ$306&gt;AJ147)+(calc!$AI$3:$AI$306&lt;AI147)*(calc!$AJ$3:$AJ$306&lt;AJ147))&gt;0))-SUMPRODUCT(--(calc!$AD$3:$AD$306=TRUE),--(ROW(calc!$AD$3:$AD$306)&gt;ROW(AD147)),--(((calc!$AI$3:$AI$306&gt;AI147)*(calc!$AJ$3:$AJ$306&lt;AJ147)+(calc!$AI$3:$AI$306&lt;AI147)*(calc!$AJ$3:$AJ$306&gt;AJ147))&gt;0)),0)</f>
        <v/>
      </c>
      <c r="AL147" s="5">
        <f>IF(mos_metrics!J146="","",mos_metrics!J146)</f>
        <v/>
      </c>
      <c r="AM147" s="2">
        <f>AND($J147,ISNUMBER(AL147),correlation!$I$29=1)</f>
        <v/>
      </c>
      <c r="AN147" s="5">
        <f>IF(AM147,$F147,"")</f>
        <v/>
      </c>
      <c r="AO147" s="5">
        <f>IF(AM147,AL147*correlation!$J$29,"")</f>
        <v/>
      </c>
      <c r="AP147" s="5">
        <f>IF(AND(AM147,ISNUMBER(correlation!$F$29)),AO147*correlation!$F$29+correlation!$G$29,"")</f>
        <v/>
      </c>
      <c r="AQ147" s="5">
        <f>IF(AND(AM147,ISNUMBER(AP147)),(AN147-AP147)^2,"")</f>
        <v/>
      </c>
      <c r="AR147" s="5">
        <f>IF(AM147,1+SUMPRODUCT(--(calc!$AM$3:$AM$306=TRUE),--(calc!$AN$3:$AN$306&gt;AN147))+(SUMPRODUCT(--(calc!$AM$3:$AM$306=TRUE),--(calc!$AN$3:$AN$306=AN147))-1)/2,"")</f>
        <v/>
      </c>
      <c r="AS147" s="5">
        <f>IF(AM147,1+SUMPRODUCT(--(calc!$AM$3:$AM$306=TRUE),--(calc!$AO$3:$AO$306&gt;AO147))+(SUMPRODUCT(--(calc!$AM$3:$AM$306=TRUE),--(calc!$AO$3:$AO$306=AO147))-1)/2,"")</f>
        <v/>
      </c>
      <c r="AT147" s="5">
        <f>IF(AM147,SUMPRODUCT(--(calc!$AM$3:$AM$306=TRUE),--(ROW(calc!$AM$3:$AM$306)&gt;ROW(AM147)),--(((calc!$AR$3:$AR$306&gt;AR147)*(calc!$AS$3:$AS$306&gt;AS147)+(calc!$AR$3:$AR$306&lt;AR147)*(calc!$AS$3:$AS$306&lt;AS147))&gt;0))-SUMPRODUCT(--(calc!$AM$3:$AM$306=TRUE),--(ROW(calc!$AM$3:$AM$306)&gt;ROW(AM147)),--(((calc!$AR$3:$AR$306&gt;AR147)*(calc!$AS$3:$AS$306&lt;AS147)+(calc!$AR$3:$AR$306&lt;AR147)*(calc!$AS$3:$AS$306&gt;AS147))&gt;0)),0)</f>
        <v/>
      </c>
      <c r="AU147" s="5">
        <f>IF(mos_metrics!K146="","",mos_metrics!K146)</f>
        <v/>
      </c>
      <c r="AV147" s="2">
        <f>AND($J147,ISNUMBER(AU147),correlation!$I$30=1)</f>
        <v/>
      </c>
      <c r="AW147" s="5">
        <f>IF(AV147,$F147,"")</f>
        <v/>
      </c>
      <c r="AX147" s="5">
        <f>IF(AV147,AU147*correlation!$J$30,"")</f>
        <v/>
      </c>
      <c r="AY147" s="5">
        <f>IF(AND(AV147,ISNUMBER(correlation!$F$30)),AX147*correlation!$F$30+correlation!$G$30,"")</f>
        <v/>
      </c>
      <c r="AZ147" s="5">
        <f>IF(AND(AV147,ISNUMBER(AY147)),(AW147-AY147)^2,"")</f>
        <v/>
      </c>
      <c r="BA147" s="5">
        <f>IF(AV147,1+SUMPRODUCT(--(calc!$AV$3:$AV$306=TRUE),--(calc!$AW$3:$AW$306&gt;AW147))+(SUMPRODUCT(--(calc!$AV$3:$AV$306=TRUE),--(calc!$AW$3:$AW$306=AW147))-1)/2,"")</f>
        <v/>
      </c>
      <c r="BB147" s="5">
        <f>IF(AV147,1+SUMPRODUCT(--(calc!$AV$3:$AV$306=TRUE),--(calc!$AX$3:$AX$306&gt;AX147))+(SUMPRODUCT(--(calc!$AV$3:$AV$306=TRUE),--(calc!$AX$3:$AX$306=AX147))-1)/2,"")</f>
        <v/>
      </c>
      <c r="BC147" s="5">
        <f>IF(AV147,SUMPRODUCT(--(calc!$AV$3:$AV$306=TRUE),--(ROW(calc!$AV$3:$AV$306)&gt;ROW(AV147)),--(((calc!$BA$3:$BA$306&gt;BA147)*(calc!$BB$3:$BB$306&gt;BB147)+(calc!$BA$3:$BA$306&lt;BA147)*(calc!$BB$3:$BB$306&lt;BB147))&gt;0))-SUMPRODUCT(--(calc!$AV$3:$AV$306=TRUE),--(ROW(calc!$AV$3:$AV$306)&gt;ROW(AV147)),--(((calc!$BA$3:$BA$306&gt;BA147)*(calc!$BB$3:$BB$306&lt;BB147)+(calc!$BA$3:$BA$306&lt;BA147)*(calc!$BB$3:$BB$306&gt;BB147))&gt;0)),0)</f>
        <v/>
      </c>
      <c r="BD147" s="5">
        <f>IF(mos_metrics!L146="","",mos_metrics!L146)</f>
        <v/>
      </c>
      <c r="BE147" s="2">
        <f>AND($J147,ISNUMBER(BD147),correlation!$I$31=1)</f>
        <v/>
      </c>
      <c r="BF147" s="5">
        <f>IF(BE147,$F147,"")</f>
        <v/>
      </c>
      <c r="BG147" s="5">
        <f>IF(BE147,BD147*correlation!$J$31,"")</f>
        <v/>
      </c>
      <c r="BH147" s="5">
        <f>IF(AND(BE147,ISNUMBER(correlation!$F$31)),BG147*correlation!$F$31+correlation!$G$31,"")</f>
        <v/>
      </c>
      <c r="BI147" s="5">
        <f>IF(AND(BE147,ISNUMBER(BH147)),(BF147-BH147)^2,"")</f>
        <v/>
      </c>
      <c r="BJ147" s="5">
        <f>IF(BE147,1+SUMPRODUCT(--(calc!$BE$3:$BE$306=TRUE),--(calc!$BF$3:$BF$306&gt;BF147))+(SUMPRODUCT(--(calc!$BE$3:$BE$306=TRUE),--(calc!$BF$3:$BF$306=BF147))-1)/2,"")</f>
        <v/>
      </c>
      <c r="BK147" s="5">
        <f>IF(BE147,1+SUMPRODUCT(--(calc!$BE$3:$BE$306=TRUE),--(calc!$BG$3:$BG$306&gt;BG147))+(SUMPRODUCT(--(calc!$BE$3:$BE$306=TRUE),--(calc!$BG$3:$BG$306=BG147))-1)/2,"")</f>
        <v/>
      </c>
      <c r="BL147" s="5">
        <f>IF(BE147,SUMPRODUCT(--(calc!$BE$3:$BE$306=TRUE),--(ROW(calc!$BE$3:$BE$306)&gt;ROW(BE147)),--(((calc!$BJ$3:$BJ$306&gt;BJ147)*(calc!$BK$3:$BK$306&gt;BK147)+(calc!$BJ$3:$BJ$306&lt;BJ147)*(calc!$BK$3:$BK$306&lt;BK147))&gt;0))-SUMPRODUCT(--(calc!$BE$3:$BE$306=TRUE),--(ROW(calc!$BE$3:$BE$306)&gt;ROW(BE147)),--(((calc!$BJ$3:$BJ$306&gt;BJ147)*(calc!$BK$3:$BK$306&lt;BK147)+(calc!$BJ$3:$BJ$306&lt;BJ147)*(calc!$BK$3:$BK$306&gt;BK147))&gt;0)),0)</f>
        <v/>
      </c>
      <c r="BM147" s="5">
        <f>IF(mos_metrics!M146="","",mos_metrics!M146)</f>
        <v/>
      </c>
      <c r="BN147" s="2">
        <f>AND($J147,ISNUMBER(BM147),correlation!$I$32=1)</f>
        <v/>
      </c>
      <c r="BO147" s="5">
        <f>IF(BN147,$F147,"")</f>
        <v/>
      </c>
      <c r="BP147" s="5">
        <f>IF(BN147,BM147*correlation!$J$32,"")</f>
        <v/>
      </c>
      <c r="BQ147" s="5">
        <f>IF(AND(BN147,ISNUMBER(correlation!$F$32)),BP147*correlation!$F$32+correlation!$G$32,"")</f>
        <v/>
      </c>
      <c r="BR147" s="5">
        <f>IF(AND(BN147,ISNUMBER(BQ147)),(BO147-BQ147)^2,"")</f>
        <v/>
      </c>
      <c r="BS147" s="5">
        <f>IF(BN147,1+SUMPRODUCT(--(calc!$BN$3:$BN$306=TRUE),--(calc!$BO$3:$BO$306&gt;BO147))+(SUMPRODUCT(--(calc!$BN$3:$BN$306=TRUE),--(calc!$BO$3:$BO$306=BO147))-1)/2,"")</f>
        <v/>
      </c>
      <c r="BT147" s="5">
        <f>IF(BN147,1+SUMPRODUCT(--(calc!$BN$3:$BN$306=TRUE),--(calc!$BP$3:$BP$306&gt;BP147))+(SUMPRODUCT(--(calc!$BN$3:$BN$306=TRUE),--(calc!$BP$3:$BP$306=BP147))-1)/2,"")</f>
        <v/>
      </c>
      <c r="BU147" s="5">
        <f>IF(BN147,SUMPRODUCT(--(calc!$BN$3:$BN$306=TRUE),--(ROW(calc!$BN$3:$BN$306)&gt;ROW(BN147)),--(((calc!$BS$3:$BS$306&gt;BS147)*(calc!$BT$3:$BT$306&gt;BT147)+(calc!$BS$3:$BS$306&lt;BS147)*(calc!$BT$3:$BT$306&lt;BT147))&gt;0))-SUMPRODUCT(--(calc!$BN$3:$BN$306=TRUE),--(ROW(calc!$BN$3:$BN$306)&gt;ROW(BN147)),--(((calc!$BS$3:$BS$306&gt;BS147)*(calc!$BT$3:$BT$306&lt;BT147)+(calc!$BS$3:$BS$306&lt;BS147)*(calc!$BT$3:$BT$306&gt;BT147))&gt;0)),0)</f>
        <v/>
      </c>
    </row>
    <row r="148">
      <c r="A148" s="2">
        <f>mos_metrics!A147</f>
        <v/>
      </c>
      <c r="B148" s="2">
        <f>mos_metrics!B147</f>
        <v/>
      </c>
      <c r="C148" s="2">
        <f>mos_metrics!C147</f>
        <v/>
      </c>
      <c r="D148" s="2">
        <f>mos_metrics!D147</f>
        <v/>
      </c>
      <c r="E148" s="2">
        <f>mos_metrics!E147</f>
        <v/>
      </c>
      <c r="F148" s="2">
        <f>mos_metrics!F147</f>
        <v/>
      </c>
      <c r="G148" s="2">
        <f>IF($B148="","",IFERROR(VLOOKUP($B148,correlation!$A$2:$B$16,2,FALSE),1))</f>
        <v/>
      </c>
      <c r="H148" s="2">
        <f>IF($E148="","",IFERROR(VLOOKUP($E148,correlation!$D$2:$E$8,2,FALSE),1))</f>
        <v/>
      </c>
      <c r="I148" s="2">
        <f>ISNUMBER($F148)</f>
        <v/>
      </c>
      <c r="J148" s="2">
        <f>AND($G148=1,$H148=1,$I148)</f>
        <v/>
      </c>
      <c r="K148" s="5">
        <f>IF(mos_metrics!G147="","",mos_metrics!G147)</f>
        <v/>
      </c>
      <c r="L148" s="2">
        <f>AND($J148,ISNUMBER(K148),correlation!$I$26=1)</f>
        <v/>
      </c>
      <c r="M148" s="5">
        <f>IF(L148,$F148,"")</f>
        <v/>
      </c>
      <c r="N148" s="5">
        <f>IF(L148,K148*correlation!$J$26,"")</f>
        <v/>
      </c>
      <c r="O148" s="5">
        <f>IF(AND(L148,ISNUMBER(correlation!$F$26)),N148*correlation!$F$26+correlation!$G$26,"")</f>
        <v/>
      </c>
      <c r="P148" s="5">
        <f>IF(AND(L148,ISNUMBER(O148)),(M148-O148)^2,"")</f>
        <v/>
      </c>
      <c r="Q148" s="5">
        <f>IF(L148,1+SUMPRODUCT(--(calc!$L$3:$L$306=TRUE),--(calc!$M$3:$M$306&gt;M148))+(SUMPRODUCT(--(calc!$L$3:$L$306=TRUE),--(calc!$M$3:$M$306=M148))-1)/2,"")</f>
        <v/>
      </c>
      <c r="R148" s="5">
        <f>IF(L148,1+SUMPRODUCT(--(calc!$L$3:$L$306=TRUE),--(calc!$N$3:$N$306&gt;N148))+(SUMPRODUCT(--(calc!$L$3:$L$306=TRUE),--(calc!$N$3:$N$306=N148))-1)/2,"")</f>
        <v/>
      </c>
      <c r="S148" s="5">
        <f>IF(L148,SUMPRODUCT(--(calc!$L$3:$L$306=TRUE),--(ROW(calc!$L$3:$L$306)&gt;ROW(L148)),--(((calc!$Q$3:$Q$306&gt;Q148)*(calc!$R$3:$R$306&gt;R148)+(calc!$Q$3:$Q$306&lt;Q148)*(calc!$R$3:$R$306&lt;R148))&gt;0))-SUMPRODUCT(--(calc!$L$3:$L$306=TRUE),--(ROW(calc!$L$3:$L$306)&gt;ROW(L148)),--(((calc!$Q$3:$Q$306&gt;Q148)*(calc!$R$3:$R$306&lt;R148)+(calc!$Q$3:$Q$306&lt;Q148)*(calc!$R$3:$R$306&gt;R148))&gt;0)),0)</f>
        <v/>
      </c>
      <c r="T148" s="5">
        <f>IF(mos_metrics!H147="","",mos_metrics!H147)</f>
        <v/>
      </c>
      <c r="U148" s="2">
        <f>AND($J148,ISNUMBER(T148),correlation!$I$27=1)</f>
        <v/>
      </c>
      <c r="V148" s="5">
        <f>IF(U148,$F148,"")</f>
        <v/>
      </c>
      <c r="W148" s="5">
        <f>IF(U148,T148*correlation!$J$27,"")</f>
        <v/>
      </c>
      <c r="X148" s="5">
        <f>IF(AND(U148,ISNUMBER(correlation!$F$27)),W148*correlation!$F$27+correlation!$G$27,"")</f>
        <v/>
      </c>
      <c r="Y148" s="5">
        <f>IF(AND(U148,ISNUMBER(X148)),(V148-X148)^2,"")</f>
        <v/>
      </c>
      <c r="Z148" s="5">
        <f>IF(U148,1+SUMPRODUCT(--(calc!$U$3:$U$306=TRUE),--(calc!$V$3:$V$306&gt;V148))+(SUMPRODUCT(--(calc!$U$3:$U$306=TRUE),--(calc!$V$3:$V$306=V148))-1)/2,"")</f>
        <v/>
      </c>
      <c r="AA148" s="5">
        <f>IF(U148,1+SUMPRODUCT(--(calc!$U$3:$U$306=TRUE),--(calc!$W$3:$W$306&gt;W148))+(SUMPRODUCT(--(calc!$U$3:$U$306=TRUE),--(calc!$W$3:$W$306=W148))-1)/2,"")</f>
        <v/>
      </c>
      <c r="AB148" s="5">
        <f>IF(U148,SUMPRODUCT(--(calc!$U$3:$U$306=TRUE),--(ROW(calc!$U$3:$U$306)&gt;ROW(U148)),--(((calc!$Z$3:$Z$306&gt;Z148)*(calc!$AA$3:$AA$306&gt;AA148)+(calc!$Z$3:$Z$306&lt;Z148)*(calc!$AA$3:$AA$306&lt;AA148))&gt;0))-SUMPRODUCT(--(calc!$U$3:$U$306=TRUE),--(ROW(calc!$U$3:$U$306)&gt;ROW(U148)),--(((calc!$Z$3:$Z$306&gt;Z148)*(calc!$AA$3:$AA$306&lt;AA148)+(calc!$Z$3:$Z$306&lt;Z148)*(calc!$AA$3:$AA$306&gt;AA148))&gt;0)),0)</f>
        <v/>
      </c>
      <c r="AC148" s="5">
        <f>IF(mos_metrics!I147="","",mos_metrics!I147)</f>
        <v/>
      </c>
      <c r="AD148" s="2">
        <f>AND($J148,ISNUMBER(AC148),correlation!$I$28=1)</f>
        <v/>
      </c>
      <c r="AE148" s="5">
        <f>IF(AD148,$F148,"")</f>
        <v/>
      </c>
      <c r="AF148" s="5">
        <f>IF(AD148,AC148*correlation!$J$28,"")</f>
        <v/>
      </c>
      <c r="AG148" s="5">
        <f>IF(AND(AD148,ISNUMBER(correlation!$F$28)),AF148*correlation!$F$28+correlation!$G$28,"")</f>
        <v/>
      </c>
      <c r="AH148" s="5">
        <f>IF(AND(AD148,ISNUMBER(AG148)),(AE148-AG148)^2,"")</f>
        <v/>
      </c>
      <c r="AI148" s="5">
        <f>IF(AD148,1+SUMPRODUCT(--(calc!$AD$3:$AD$306=TRUE),--(calc!$AE$3:$AE$306&gt;AE148))+(SUMPRODUCT(--(calc!$AD$3:$AD$306=TRUE),--(calc!$AE$3:$AE$306=AE148))-1)/2,"")</f>
        <v/>
      </c>
      <c r="AJ148" s="5">
        <f>IF(AD148,1+SUMPRODUCT(--(calc!$AD$3:$AD$306=TRUE),--(calc!$AF$3:$AF$306&gt;AF148))+(SUMPRODUCT(--(calc!$AD$3:$AD$306=TRUE),--(calc!$AF$3:$AF$306=AF148))-1)/2,"")</f>
        <v/>
      </c>
      <c r="AK148" s="5">
        <f>IF(AD148,SUMPRODUCT(--(calc!$AD$3:$AD$306=TRUE),--(ROW(calc!$AD$3:$AD$306)&gt;ROW(AD148)),--(((calc!$AI$3:$AI$306&gt;AI148)*(calc!$AJ$3:$AJ$306&gt;AJ148)+(calc!$AI$3:$AI$306&lt;AI148)*(calc!$AJ$3:$AJ$306&lt;AJ148))&gt;0))-SUMPRODUCT(--(calc!$AD$3:$AD$306=TRUE),--(ROW(calc!$AD$3:$AD$306)&gt;ROW(AD148)),--(((calc!$AI$3:$AI$306&gt;AI148)*(calc!$AJ$3:$AJ$306&lt;AJ148)+(calc!$AI$3:$AI$306&lt;AI148)*(calc!$AJ$3:$AJ$306&gt;AJ148))&gt;0)),0)</f>
        <v/>
      </c>
      <c r="AL148" s="5">
        <f>IF(mos_metrics!J147="","",mos_metrics!J147)</f>
        <v/>
      </c>
      <c r="AM148" s="2">
        <f>AND($J148,ISNUMBER(AL148),correlation!$I$29=1)</f>
        <v/>
      </c>
      <c r="AN148" s="5">
        <f>IF(AM148,$F148,"")</f>
        <v/>
      </c>
      <c r="AO148" s="5">
        <f>IF(AM148,AL148*correlation!$J$29,"")</f>
        <v/>
      </c>
      <c r="AP148" s="5">
        <f>IF(AND(AM148,ISNUMBER(correlation!$F$29)),AO148*correlation!$F$29+correlation!$G$29,"")</f>
        <v/>
      </c>
      <c r="AQ148" s="5">
        <f>IF(AND(AM148,ISNUMBER(AP148)),(AN148-AP148)^2,"")</f>
        <v/>
      </c>
      <c r="AR148" s="5">
        <f>IF(AM148,1+SUMPRODUCT(--(calc!$AM$3:$AM$306=TRUE),--(calc!$AN$3:$AN$306&gt;AN148))+(SUMPRODUCT(--(calc!$AM$3:$AM$306=TRUE),--(calc!$AN$3:$AN$306=AN148))-1)/2,"")</f>
        <v/>
      </c>
      <c r="AS148" s="5">
        <f>IF(AM148,1+SUMPRODUCT(--(calc!$AM$3:$AM$306=TRUE),--(calc!$AO$3:$AO$306&gt;AO148))+(SUMPRODUCT(--(calc!$AM$3:$AM$306=TRUE),--(calc!$AO$3:$AO$306=AO148))-1)/2,"")</f>
        <v/>
      </c>
      <c r="AT148" s="5">
        <f>IF(AM148,SUMPRODUCT(--(calc!$AM$3:$AM$306=TRUE),--(ROW(calc!$AM$3:$AM$306)&gt;ROW(AM148)),--(((calc!$AR$3:$AR$306&gt;AR148)*(calc!$AS$3:$AS$306&gt;AS148)+(calc!$AR$3:$AR$306&lt;AR148)*(calc!$AS$3:$AS$306&lt;AS148))&gt;0))-SUMPRODUCT(--(calc!$AM$3:$AM$306=TRUE),--(ROW(calc!$AM$3:$AM$306)&gt;ROW(AM148)),--(((calc!$AR$3:$AR$306&gt;AR148)*(calc!$AS$3:$AS$306&lt;AS148)+(calc!$AR$3:$AR$306&lt;AR148)*(calc!$AS$3:$AS$306&gt;AS148))&gt;0)),0)</f>
        <v/>
      </c>
      <c r="AU148" s="5">
        <f>IF(mos_metrics!K147="","",mos_metrics!K147)</f>
        <v/>
      </c>
      <c r="AV148" s="2">
        <f>AND($J148,ISNUMBER(AU148),correlation!$I$30=1)</f>
        <v/>
      </c>
      <c r="AW148" s="5">
        <f>IF(AV148,$F148,"")</f>
        <v/>
      </c>
      <c r="AX148" s="5">
        <f>IF(AV148,AU148*correlation!$J$30,"")</f>
        <v/>
      </c>
      <c r="AY148" s="5">
        <f>IF(AND(AV148,ISNUMBER(correlation!$F$30)),AX148*correlation!$F$30+correlation!$G$30,"")</f>
        <v/>
      </c>
      <c r="AZ148" s="5">
        <f>IF(AND(AV148,ISNUMBER(AY148)),(AW148-AY148)^2,"")</f>
        <v/>
      </c>
      <c r="BA148" s="5">
        <f>IF(AV148,1+SUMPRODUCT(--(calc!$AV$3:$AV$306=TRUE),--(calc!$AW$3:$AW$306&gt;AW148))+(SUMPRODUCT(--(calc!$AV$3:$AV$306=TRUE),--(calc!$AW$3:$AW$306=AW148))-1)/2,"")</f>
        <v/>
      </c>
      <c r="BB148" s="5">
        <f>IF(AV148,1+SUMPRODUCT(--(calc!$AV$3:$AV$306=TRUE),--(calc!$AX$3:$AX$306&gt;AX148))+(SUMPRODUCT(--(calc!$AV$3:$AV$306=TRUE),--(calc!$AX$3:$AX$306=AX148))-1)/2,"")</f>
        <v/>
      </c>
      <c r="BC148" s="5">
        <f>IF(AV148,SUMPRODUCT(--(calc!$AV$3:$AV$306=TRUE),--(ROW(calc!$AV$3:$AV$306)&gt;ROW(AV148)),--(((calc!$BA$3:$BA$306&gt;BA148)*(calc!$BB$3:$BB$306&gt;BB148)+(calc!$BA$3:$BA$306&lt;BA148)*(calc!$BB$3:$BB$306&lt;BB148))&gt;0))-SUMPRODUCT(--(calc!$AV$3:$AV$306=TRUE),--(ROW(calc!$AV$3:$AV$306)&gt;ROW(AV148)),--(((calc!$BA$3:$BA$306&gt;BA148)*(calc!$BB$3:$BB$306&lt;BB148)+(calc!$BA$3:$BA$306&lt;BA148)*(calc!$BB$3:$BB$306&gt;BB148))&gt;0)),0)</f>
        <v/>
      </c>
      <c r="BD148" s="5">
        <f>IF(mos_metrics!L147="","",mos_metrics!L147)</f>
        <v/>
      </c>
      <c r="BE148" s="2">
        <f>AND($J148,ISNUMBER(BD148),correlation!$I$31=1)</f>
        <v/>
      </c>
      <c r="BF148" s="5">
        <f>IF(BE148,$F148,"")</f>
        <v/>
      </c>
      <c r="BG148" s="5">
        <f>IF(BE148,BD148*correlation!$J$31,"")</f>
        <v/>
      </c>
      <c r="BH148" s="5">
        <f>IF(AND(BE148,ISNUMBER(correlation!$F$31)),BG148*correlation!$F$31+correlation!$G$31,"")</f>
        <v/>
      </c>
      <c r="BI148" s="5">
        <f>IF(AND(BE148,ISNUMBER(BH148)),(BF148-BH148)^2,"")</f>
        <v/>
      </c>
      <c r="BJ148" s="5">
        <f>IF(BE148,1+SUMPRODUCT(--(calc!$BE$3:$BE$306=TRUE),--(calc!$BF$3:$BF$306&gt;BF148))+(SUMPRODUCT(--(calc!$BE$3:$BE$306=TRUE),--(calc!$BF$3:$BF$306=BF148))-1)/2,"")</f>
        <v/>
      </c>
      <c r="BK148" s="5">
        <f>IF(BE148,1+SUMPRODUCT(--(calc!$BE$3:$BE$306=TRUE),--(calc!$BG$3:$BG$306&gt;BG148))+(SUMPRODUCT(--(calc!$BE$3:$BE$306=TRUE),--(calc!$BG$3:$BG$306=BG148))-1)/2,"")</f>
        <v/>
      </c>
      <c r="BL148" s="5">
        <f>IF(BE148,SUMPRODUCT(--(calc!$BE$3:$BE$306=TRUE),--(ROW(calc!$BE$3:$BE$306)&gt;ROW(BE148)),--(((calc!$BJ$3:$BJ$306&gt;BJ148)*(calc!$BK$3:$BK$306&gt;BK148)+(calc!$BJ$3:$BJ$306&lt;BJ148)*(calc!$BK$3:$BK$306&lt;BK148))&gt;0))-SUMPRODUCT(--(calc!$BE$3:$BE$306=TRUE),--(ROW(calc!$BE$3:$BE$306)&gt;ROW(BE148)),--(((calc!$BJ$3:$BJ$306&gt;BJ148)*(calc!$BK$3:$BK$306&lt;BK148)+(calc!$BJ$3:$BJ$306&lt;BJ148)*(calc!$BK$3:$BK$306&gt;BK148))&gt;0)),0)</f>
        <v/>
      </c>
      <c r="BM148" s="5">
        <f>IF(mos_metrics!M147="","",mos_metrics!M147)</f>
        <v/>
      </c>
      <c r="BN148" s="2">
        <f>AND($J148,ISNUMBER(BM148),correlation!$I$32=1)</f>
        <v/>
      </c>
      <c r="BO148" s="5">
        <f>IF(BN148,$F148,"")</f>
        <v/>
      </c>
      <c r="BP148" s="5">
        <f>IF(BN148,BM148*correlation!$J$32,"")</f>
        <v/>
      </c>
      <c r="BQ148" s="5">
        <f>IF(AND(BN148,ISNUMBER(correlation!$F$32)),BP148*correlation!$F$32+correlation!$G$32,"")</f>
        <v/>
      </c>
      <c r="BR148" s="5">
        <f>IF(AND(BN148,ISNUMBER(BQ148)),(BO148-BQ148)^2,"")</f>
        <v/>
      </c>
      <c r="BS148" s="5">
        <f>IF(BN148,1+SUMPRODUCT(--(calc!$BN$3:$BN$306=TRUE),--(calc!$BO$3:$BO$306&gt;BO148))+(SUMPRODUCT(--(calc!$BN$3:$BN$306=TRUE),--(calc!$BO$3:$BO$306=BO148))-1)/2,"")</f>
        <v/>
      </c>
      <c r="BT148" s="5">
        <f>IF(BN148,1+SUMPRODUCT(--(calc!$BN$3:$BN$306=TRUE),--(calc!$BP$3:$BP$306&gt;BP148))+(SUMPRODUCT(--(calc!$BN$3:$BN$306=TRUE),--(calc!$BP$3:$BP$306=BP148))-1)/2,"")</f>
        <v/>
      </c>
      <c r="BU148" s="5">
        <f>IF(BN148,SUMPRODUCT(--(calc!$BN$3:$BN$306=TRUE),--(ROW(calc!$BN$3:$BN$306)&gt;ROW(BN148)),--(((calc!$BS$3:$BS$306&gt;BS148)*(calc!$BT$3:$BT$306&gt;BT148)+(calc!$BS$3:$BS$306&lt;BS148)*(calc!$BT$3:$BT$306&lt;BT148))&gt;0))-SUMPRODUCT(--(calc!$BN$3:$BN$306=TRUE),--(ROW(calc!$BN$3:$BN$306)&gt;ROW(BN148)),--(((calc!$BS$3:$BS$306&gt;BS148)*(calc!$BT$3:$BT$306&lt;BT148)+(calc!$BS$3:$BS$306&lt;BS148)*(calc!$BT$3:$BT$306&gt;BT148))&gt;0)),0)</f>
        <v/>
      </c>
    </row>
    <row r="149">
      <c r="A149" s="2">
        <f>mos_metrics!A148</f>
        <v/>
      </c>
      <c r="B149" s="2">
        <f>mos_metrics!B148</f>
        <v/>
      </c>
      <c r="C149" s="2">
        <f>mos_metrics!C148</f>
        <v/>
      </c>
      <c r="D149" s="2">
        <f>mos_metrics!D148</f>
        <v/>
      </c>
      <c r="E149" s="2">
        <f>mos_metrics!E148</f>
        <v/>
      </c>
      <c r="F149" s="2">
        <f>mos_metrics!F148</f>
        <v/>
      </c>
      <c r="G149" s="2">
        <f>IF($B149="","",IFERROR(VLOOKUP($B149,correlation!$A$2:$B$16,2,FALSE),1))</f>
        <v/>
      </c>
      <c r="H149" s="2">
        <f>IF($E149="","",IFERROR(VLOOKUP($E149,correlation!$D$2:$E$8,2,FALSE),1))</f>
        <v/>
      </c>
      <c r="I149" s="2">
        <f>ISNUMBER($F149)</f>
        <v/>
      </c>
      <c r="J149" s="2">
        <f>AND($G149=1,$H149=1,$I149)</f>
        <v/>
      </c>
      <c r="K149" s="5">
        <f>IF(mos_metrics!G148="","",mos_metrics!G148)</f>
        <v/>
      </c>
      <c r="L149" s="2">
        <f>AND($J149,ISNUMBER(K149),correlation!$I$26=1)</f>
        <v/>
      </c>
      <c r="M149" s="5">
        <f>IF(L149,$F149,"")</f>
        <v/>
      </c>
      <c r="N149" s="5">
        <f>IF(L149,K149*correlation!$J$26,"")</f>
        <v/>
      </c>
      <c r="O149" s="5">
        <f>IF(AND(L149,ISNUMBER(correlation!$F$26)),N149*correlation!$F$26+correlation!$G$26,"")</f>
        <v/>
      </c>
      <c r="P149" s="5">
        <f>IF(AND(L149,ISNUMBER(O149)),(M149-O149)^2,"")</f>
        <v/>
      </c>
      <c r="Q149" s="5">
        <f>IF(L149,1+SUMPRODUCT(--(calc!$L$3:$L$306=TRUE),--(calc!$M$3:$M$306&gt;M149))+(SUMPRODUCT(--(calc!$L$3:$L$306=TRUE),--(calc!$M$3:$M$306=M149))-1)/2,"")</f>
        <v/>
      </c>
      <c r="R149" s="5">
        <f>IF(L149,1+SUMPRODUCT(--(calc!$L$3:$L$306=TRUE),--(calc!$N$3:$N$306&gt;N149))+(SUMPRODUCT(--(calc!$L$3:$L$306=TRUE),--(calc!$N$3:$N$306=N149))-1)/2,"")</f>
        <v/>
      </c>
      <c r="S149" s="5">
        <f>IF(L149,SUMPRODUCT(--(calc!$L$3:$L$306=TRUE),--(ROW(calc!$L$3:$L$306)&gt;ROW(L149)),--(((calc!$Q$3:$Q$306&gt;Q149)*(calc!$R$3:$R$306&gt;R149)+(calc!$Q$3:$Q$306&lt;Q149)*(calc!$R$3:$R$306&lt;R149))&gt;0))-SUMPRODUCT(--(calc!$L$3:$L$306=TRUE),--(ROW(calc!$L$3:$L$306)&gt;ROW(L149)),--(((calc!$Q$3:$Q$306&gt;Q149)*(calc!$R$3:$R$306&lt;R149)+(calc!$Q$3:$Q$306&lt;Q149)*(calc!$R$3:$R$306&gt;R149))&gt;0)),0)</f>
        <v/>
      </c>
      <c r="T149" s="5">
        <f>IF(mos_metrics!H148="","",mos_metrics!H148)</f>
        <v/>
      </c>
      <c r="U149" s="2">
        <f>AND($J149,ISNUMBER(T149),correlation!$I$27=1)</f>
        <v/>
      </c>
      <c r="V149" s="5">
        <f>IF(U149,$F149,"")</f>
        <v/>
      </c>
      <c r="W149" s="5">
        <f>IF(U149,T149*correlation!$J$27,"")</f>
        <v/>
      </c>
      <c r="X149" s="5">
        <f>IF(AND(U149,ISNUMBER(correlation!$F$27)),W149*correlation!$F$27+correlation!$G$27,"")</f>
        <v/>
      </c>
      <c r="Y149" s="5">
        <f>IF(AND(U149,ISNUMBER(X149)),(V149-X149)^2,"")</f>
        <v/>
      </c>
      <c r="Z149" s="5">
        <f>IF(U149,1+SUMPRODUCT(--(calc!$U$3:$U$306=TRUE),--(calc!$V$3:$V$306&gt;V149))+(SUMPRODUCT(--(calc!$U$3:$U$306=TRUE),--(calc!$V$3:$V$306=V149))-1)/2,"")</f>
        <v/>
      </c>
      <c r="AA149" s="5">
        <f>IF(U149,1+SUMPRODUCT(--(calc!$U$3:$U$306=TRUE),--(calc!$W$3:$W$306&gt;W149))+(SUMPRODUCT(--(calc!$U$3:$U$306=TRUE),--(calc!$W$3:$W$306=W149))-1)/2,"")</f>
        <v/>
      </c>
      <c r="AB149" s="5">
        <f>IF(U149,SUMPRODUCT(--(calc!$U$3:$U$306=TRUE),--(ROW(calc!$U$3:$U$306)&gt;ROW(U149)),--(((calc!$Z$3:$Z$306&gt;Z149)*(calc!$AA$3:$AA$306&gt;AA149)+(calc!$Z$3:$Z$306&lt;Z149)*(calc!$AA$3:$AA$306&lt;AA149))&gt;0))-SUMPRODUCT(--(calc!$U$3:$U$306=TRUE),--(ROW(calc!$U$3:$U$306)&gt;ROW(U149)),--(((calc!$Z$3:$Z$306&gt;Z149)*(calc!$AA$3:$AA$306&lt;AA149)+(calc!$Z$3:$Z$306&lt;Z149)*(calc!$AA$3:$AA$306&gt;AA149))&gt;0)),0)</f>
        <v/>
      </c>
      <c r="AC149" s="5">
        <f>IF(mos_metrics!I148="","",mos_metrics!I148)</f>
        <v/>
      </c>
      <c r="AD149" s="2">
        <f>AND($J149,ISNUMBER(AC149),correlation!$I$28=1)</f>
        <v/>
      </c>
      <c r="AE149" s="5">
        <f>IF(AD149,$F149,"")</f>
        <v/>
      </c>
      <c r="AF149" s="5">
        <f>IF(AD149,AC149*correlation!$J$28,"")</f>
        <v/>
      </c>
      <c r="AG149" s="5">
        <f>IF(AND(AD149,ISNUMBER(correlation!$F$28)),AF149*correlation!$F$28+correlation!$G$28,"")</f>
        <v/>
      </c>
      <c r="AH149" s="5">
        <f>IF(AND(AD149,ISNUMBER(AG149)),(AE149-AG149)^2,"")</f>
        <v/>
      </c>
      <c r="AI149" s="5">
        <f>IF(AD149,1+SUMPRODUCT(--(calc!$AD$3:$AD$306=TRUE),--(calc!$AE$3:$AE$306&gt;AE149))+(SUMPRODUCT(--(calc!$AD$3:$AD$306=TRUE),--(calc!$AE$3:$AE$306=AE149))-1)/2,"")</f>
        <v/>
      </c>
      <c r="AJ149" s="5">
        <f>IF(AD149,1+SUMPRODUCT(--(calc!$AD$3:$AD$306=TRUE),--(calc!$AF$3:$AF$306&gt;AF149))+(SUMPRODUCT(--(calc!$AD$3:$AD$306=TRUE),--(calc!$AF$3:$AF$306=AF149))-1)/2,"")</f>
        <v/>
      </c>
      <c r="AK149" s="5">
        <f>IF(AD149,SUMPRODUCT(--(calc!$AD$3:$AD$306=TRUE),--(ROW(calc!$AD$3:$AD$306)&gt;ROW(AD149)),--(((calc!$AI$3:$AI$306&gt;AI149)*(calc!$AJ$3:$AJ$306&gt;AJ149)+(calc!$AI$3:$AI$306&lt;AI149)*(calc!$AJ$3:$AJ$306&lt;AJ149))&gt;0))-SUMPRODUCT(--(calc!$AD$3:$AD$306=TRUE),--(ROW(calc!$AD$3:$AD$306)&gt;ROW(AD149)),--(((calc!$AI$3:$AI$306&gt;AI149)*(calc!$AJ$3:$AJ$306&lt;AJ149)+(calc!$AI$3:$AI$306&lt;AI149)*(calc!$AJ$3:$AJ$306&gt;AJ149))&gt;0)),0)</f>
        <v/>
      </c>
      <c r="AL149" s="5">
        <f>IF(mos_metrics!J148="","",mos_metrics!J148)</f>
        <v/>
      </c>
      <c r="AM149" s="2">
        <f>AND($J149,ISNUMBER(AL149),correlation!$I$29=1)</f>
        <v/>
      </c>
      <c r="AN149" s="5">
        <f>IF(AM149,$F149,"")</f>
        <v/>
      </c>
      <c r="AO149" s="5">
        <f>IF(AM149,AL149*correlation!$J$29,"")</f>
        <v/>
      </c>
      <c r="AP149" s="5">
        <f>IF(AND(AM149,ISNUMBER(correlation!$F$29)),AO149*correlation!$F$29+correlation!$G$29,"")</f>
        <v/>
      </c>
      <c r="AQ149" s="5">
        <f>IF(AND(AM149,ISNUMBER(AP149)),(AN149-AP149)^2,"")</f>
        <v/>
      </c>
      <c r="AR149" s="5">
        <f>IF(AM149,1+SUMPRODUCT(--(calc!$AM$3:$AM$306=TRUE),--(calc!$AN$3:$AN$306&gt;AN149))+(SUMPRODUCT(--(calc!$AM$3:$AM$306=TRUE),--(calc!$AN$3:$AN$306=AN149))-1)/2,"")</f>
        <v/>
      </c>
      <c r="AS149" s="5">
        <f>IF(AM149,1+SUMPRODUCT(--(calc!$AM$3:$AM$306=TRUE),--(calc!$AO$3:$AO$306&gt;AO149))+(SUMPRODUCT(--(calc!$AM$3:$AM$306=TRUE),--(calc!$AO$3:$AO$306=AO149))-1)/2,"")</f>
        <v/>
      </c>
      <c r="AT149" s="5">
        <f>IF(AM149,SUMPRODUCT(--(calc!$AM$3:$AM$306=TRUE),--(ROW(calc!$AM$3:$AM$306)&gt;ROW(AM149)),--(((calc!$AR$3:$AR$306&gt;AR149)*(calc!$AS$3:$AS$306&gt;AS149)+(calc!$AR$3:$AR$306&lt;AR149)*(calc!$AS$3:$AS$306&lt;AS149))&gt;0))-SUMPRODUCT(--(calc!$AM$3:$AM$306=TRUE),--(ROW(calc!$AM$3:$AM$306)&gt;ROW(AM149)),--(((calc!$AR$3:$AR$306&gt;AR149)*(calc!$AS$3:$AS$306&lt;AS149)+(calc!$AR$3:$AR$306&lt;AR149)*(calc!$AS$3:$AS$306&gt;AS149))&gt;0)),0)</f>
        <v/>
      </c>
      <c r="AU149" s="5">
        <f>IF(mos_metrics!K148="","",mos_metrics!K148)</f>
        <v/>
      </c>
      <c r="AV149" s="2">
        <f>AND($J149,ISNUMBER(AU149),correlation!$I$30=1)</f>
        <v/>
      </c>
      <c r="AW149" s="5">
        <f>IF(AV149,$F149,"")</f>
        <v/>
      </c>
      <c r="AX149" s="5">
        <f>IF(AV149,AU149*correlation!$J$30,"")</f>
        <v/>
      </c>
      <c r="AY149" s="5">
        <f>IF(AND(AV149,ISNUMBER(correlation!$F$30)),AX149*correlation!$F$30+correlation!$G$30,"")</f>
        <v/>
      </c>
      <c r="AZ149" s="5">
        <f>IF(AND(AV149,ISNUMBER(AY149)),(AW149-AY149)^2,"")</f>
        <v/>
      </c>
      <c r="BA149" s="5">
        <f>IF(AV149,1+SUMPRODUCT(--(calc!$AV$3:$AV$306=TRUE),--(calc!$AW$3:$AW$306&gt;AW149))+(SUMPRODUCT(--(calc!$AV$3:$AV$306=TRUE),--(calc!$AW$3:$AW$306=AW149))-1)/2,"")</f>
        <v/>
      </c>
      <c r="BB149" s="5">
        <f>IF(AV149,1+SUMPRODUCT(--(calc!$AV$3:$AV$306=TRUE),--(calc!$AX$3:$AX$306&gt;AX149))+(SUMPRODUCT(--(calc!$AV$3:$AV$306=TRUE),--(calc!$AX$3:$AX$306=AX149))-1)/2,"")</f>
        <v/>
      </c>
      <c r="BC149" s="5">
        <f>IF(AV149,SUMPRODUCT(--(calc!$AV$3:$AV$306=TRUE),--(ROW(calc!$AV$3:$AV$306)&gt;ROW(AV149)),--(((calc!$BA$3:$BA$306&gt;BA149)*(calc!$BB$3:$BB$306&gt;BB149)+(calc!$BA$3:$BA$306&lt;BA149)*(calc!$BB$3:$BB$306&lt;BB149))&gt;0))-SUMPRODUCT(--(calc!$AV$3:$AV$306=TRUE),--(ROW(calc!$AV$3:$AV$306)&gt;ROW(AV149)),--(((calc!$BA$3:$BA$306&gt;BA149)*(calc!$BB$3:$BB$306&lt;BB149)+(calc!$BA$3:$BA$306&lt;BA149)*(calc!$BB$3:$BB$306&gt;BB149))&gt;0)),0)</f>
        <v/>
      </c>
      <c r="BD149" s="5">
        <f>IF(mos_metrics!L148="","",mos_metrics!L148)</f>
        <v/>
      </c>
      <c r="BE149" s="2">
        <f>AND($J149,ISNUMBER(BD149),correlation!$I$31=1)</f>
        <v/>
      </c>
      <c r="BF149" s="5">
        <f>IF(BE149,$F149,"")</f>
        <v/>
      </c>
      <c r="BG149" s="5">
        <f>IF(BE149,BD149*correlation!$J$31,"")</f>
        <v/>
      </c>
      <c r="BH149" s="5">
        <f>IF(AND(BE149,ISNUMBER(correlation!$F$31)),BG149*correlation!$F$31+correlation!$G$31,"")</f>
        <v/>
      </c>
      <c r="BI149" s="5">
        <f>IF(AND(BE149,ISNUMBER(BH149)),(BF149-BH149)^2,"")</f>
        <v/>
      </c>
      <c r="BJ149" s="5">
        <f>IF(BE149,1+SUMPRODUCT(--(calc!$BE$3:$BE$306=TRUE),--(calc!$BF$3:$BF$306&gt;BF149))+(SUMPRODUCT(--(calc!$BE$3:$BE$306=TRUE),--(calc!$BF$3:$BF$306=BF149))-1)/2,"")</f>
        <v/>
      </c>
      <c r="BK149" s="5">
        <f>IF(BE149,1+SUMPRODUCT(--(calc!$BE$3:$BE$306=TRUE),--(calc!$BG$3:$BG$306&gt;BG149))+(SUMPRODUCT(--(calc!$BE$3:$BE$306=TRUE),--(calc!$BG$3:$BG$306=BG149))-1)/2,"")</f>
        <v/>
      </c>
      <c r="BL149" s="5">
        <f>IF(BE149,SUMPRODUCT(--(calc!$BE$3:$BE$306=TRUE),--(ROW(calc!$BE$3:$BE$306)&gt;ROW(BE149)),--(((calc!$BJ$3:$BJ$306&gt;BJ149)*(calc!$BK$3:$BK$306&gt;BK149)+(calc!$BJ$3:$BJ$306&lt;BJ149)*(calc!$BK$3:$BK$306&lt;BK149))&gt;0))-SUMPRODUCT(--(calc!$BE$3:$BE$306=TRUE),--(ROW(calc!$BE$3:$BE$306)&gt;ROW(BE149)),--(((calc!$BJ$3:$BJ$306&gt;BJ149)*(calc!$BK$3:$BK$306&lt;BK149)+(calc!$BJ$3:$BJ$306&lt;BJ149)*(calc!$BK$3:$BK$306&gt;BK149))&gt;0)),0)</f>
        <v/>
      </c>
      <c r="BM149" s="5">
        <f>IF(mos_metrics!M148="","",mos_metrics!M148)</f>
        <v/>
      </c>
      <c r="BN149" s="2">
        <f>AND($J149,ISNUMBER(BM149),correlation!$I$32=1)</f>
        <v/>
      </c>
      <c r="BO149" s="5">
        <f>IF(BN149,$F149,"")</f>
        <v/>
      </c>
      <c r="BP149" s="5">
        <f>IF(BN149,BM149*correlation!$J$32,"")</f>
        <v/>
      </c>
      <c r="BQ149" s="5">
        <f>IF(AND(BN149,ISNUMBER(correlation!$F$32)),BP149*correlation!$F$32+correlation!$G$32,"")</f>
        <v/>
      </c>
      <c r="BR149" s="5">
        <f>IF(AND(BN149,ISNUMBER(BQ149)),(BO149-BQ149)^2,"")</f>
        <v/>
      </c>
      <c r="BS149" s="5">
        <f>IF(BN149,1+SUMPRODUCT(--(calc!$BN$3:$BN$306=TRUE),--(calc!$BO$3:$BO$306&gt;BO149))+(SUMPRODUCT(--(calc!$BN$3:$BN$306=TRUE),--(calc!$BO$3:$BO$306=BO149))-1)/2,"")</f>
        <v/>
      </c>
      <c r="BT149" s="5">
        <f>IF(BN149,1+SUMPRODUCT(--(calc!$BN$3:$BN$306=TRUE),--(calc!$BP$3:$BP$306&gt;BP149))+(SUMPRODUCT(--(calc!$BN$3:$BN$306=TRUE),--(calc!$BP$3:$BP$306=BP149))-1)/2,"")</f>
        <v/>
      </c>
      <c r="BU149" s="5">
        <f>IF(BN149,SUMPRODUCT(--(calc!$BN$3:$BN$306=TRUE),--(ROW(calc!$BN$3:$BN$306)&gt;ROW(BN149)),--(((calc!$BS$3:$BS$306&gt;BS149)*(calc!$BT$3:$BT$306&gt;BT149)+(calc!$BS$3:$BS$306&lt;BS149)*(calc!$BT$3:$BT$306&lt;BT149))&gt;0))-SUMPRODUCT(--(calc!$BN$3:$BN$306=TRUE),--(ROW(calc!$BN$3:$BN$306)&gt;ROW(BN149)),--(((calc!$BS$3:$BS$306&gt;BS149)*(calc!$BT$3:$BT$306&lt;BT149)+(calc!$BS$3:$BS$306&lt;BS149)*(calc!$BT$3:$BT$306&gt;BT149))&gt;0)),0)</f>
        <v/>
      </c>
    </row>
    <row r="150">
      <c r="A150" s="2">
        <f>mos_metrics!A149</f>
        <v/>
      </c>
      <c r="B150" s="2">
        <f>mos_metrics!B149</f>
        <v/>
      </c>
      <c r="C150" s="2">
        <f>mos_metrics!C149</f>
        <v/>
      </c>
      <c r="D150" s="2">
        <f>mos_metrics!D149</f>
        <v/>
      </c>
      <c r="E150" s="2">
        <f>mos_metrics!E149</f>
        <v/>
      </c>
      <c r="F150" s="2">
        <f>mos_metrics!F149</f>
        <v/>
      </c>
      <c r="G150" s="2">
        <f>IF($B150="","",IFERROR(VLOOKUP($B150,correlation!$A$2:$B$16,2,FALSE),1))</f>
        <v/>
      </c>
      <c r="H150" s="2">
        <f>IF($E150="","",IFERROR(VLOOKUP($E150,correlation!$D$2:$E$8,2,FALSE),1))</f>
        <v/>
      </c>
      <c r="I150" s="2">
        <f>ISNUMBER($F150)</f>
        <v/>
      </c>
      <c r="J150" s="2">
        <f>AND($G150=1,$H150=1,$I150)</f>
        <v/>
      </c>
      <c r="K150" s="5">
        <f>IF(mos_metrics!G149="","",mos_metrics!G149)</f>
        <v/>
      </c>
      <c r="L150" s="2">
        <f>AND($J150,ISNUMBER(K150),correlation!$I$26=1)</f>
        <v/>
      </c>
      <c r="M150" s="5">
        <f>IF(L150,$F150,"")</f>
        <v/>
      </c>
      <c r="N150" s="5">
        <f>IF(L150,K150*correlation!$J$26,"")</f>
        <v/>
      </c>
      <c r="O150" s="5">
        <f>IF(AND(L150,ISNUMBER(correlation!$F$26)),N150*correlation!$F$26+correlation!$G$26,"")</f>
        <v/>
      </c>
      <c r="P150" s="5">
        <f>IF(AND(L150,ISNUMBER(O150)),(M150-O150)^2,"")</f>
        <v/>
      </c>
      <c r="Q150" s="5">
        <f>IF(L150,1+SUMPRODUCT(--(calc!$L$3:$L$306=TRUE),--(calc!$M$3:$M$306&gt;M150))+(SUMPRODUCT(--(calc!$L$3:$L$306=TRUE),--(calc!$M$3:$M$306=M150))-1)/2,"")</f>
        <v/>
      </c>
      <c r="R150" s="5">
        <f>IF(L150,1+SUMPRODUCT(--(calc!$L$3:$L$306=TRUE),--(calc!$N$3:$N$306&gt;N150))+(SUMPRODUCT(--(calc!$L$3:$L$306=TRUE),--(calc!$N$3:$N$306=N150))-1)/2,"")</f>
        <v/>
      </c>
      <c r="S150" s="5">
        <f>IF(L150,SUMPRODUCT(--(calc!$L$3:$L$306=TRUE),--(ROW(calc!$L$3:$L$306)&gt;ROW(L150)),--(((calc!$Q$3:$Q$306&gt;Q150)*(calc!$R$3:$R$306&gt;R150)+(calc!$Q$3:$Q$306&lt;Q150)*(calc!$R$3:$R$306&lt;R150))&gt;0))-SUMPRODUCT(--(calc!$L$3:$L$306=TRUE),--(ROW(calc!$L$3:$L$306)&gt;ROW(L150)),--(((calc!$Q$3:$Q$306&gt;Q150)*(calc!$R$3:$R$306&lt;R150)+(calc!$Q$3:$Q$306&lt;Q150)*(calc!$R$3:$R$306&gt;R150))&gt;0)),0)</f>
        <v/>
      </c>
      <c r="T150" s="5">
        <f>IF(mos_metrics!H149="","",mos_metrics!H149)</f>
        <v/>
      </c>
      <c r="U150" s="2">
        <f>AND($J150,ISNUMBER(T150),correlation!$I$27=1)</f>
        <v/>
      </c>
      <c r="V150" s="5">
        <f>IF(U150,$F150,"")</f>
        <v/>
      </c>
      <c r="W150" s="5">
        <f>IF(U150,T150*correlation!$J$27,"")</f>
        <v/>
      </c>
      <c r="X150" s="5">
        <f>IF(AND(U150,ISNUMBER(correlation!$F$27)),W150*correlation!$F$27+correlation!$G$27,"")</f>
        <v/>
      </c>
      <c r="Y150" s="5">
        <f>IF(AND(U150,ISNUMBER(X150)),(V150-X150)^2,"")</f>
        <v/>
      </c>
      <c r="Z150" s="5">
        <f>IF(U150,1+SUMPRODUCT(--(calc!$U$3:$U$306=TRUE),--(calc!$V$3:$V$306&gt;V150))+(SUMPRODUCT(--(calc!$U$3:$U$306=TRUE),--(calc!$V$3:$V$306=V150))-1)/2,"")</f>
        <v/>
      </c>
      <c r="AA150" s="5">
        <f>IF(U150,1+SUMPRODUCT(--(calc!$U$3:$U$306=TRUE),--(calc!$W$3:$W$306&gt;W150))+(SUMPRODUCT(--(calc!$U$3:$U$306=TRUE),--(calc!$W$3:$W$306=W150))-1)/2,"")</f>
        <v/>
      </c>
      <c r="AB150" s="5">
        <f>IF(U150,SUMPRODUCT(--(calc!$U$3:$U$306=TRUE),--(ROW(calc!$U$3:$U$306)&gt;ROW(U150)),--(((calc!$Z$3:$Z$306&gt;Z150)*(calc!$AA$3:$AA$306&gt;AA150)+(calc!$Z$3:$Z$306&lt;Z150)*(calc!$AA$3:$AA$306&lt;AA150))&gt;0))-SUMPRODUCT(--(calc!$U$3:$U$306=TRUE),--(ROW(calc!$U$3:$U$306)&gt;ROW(U150)),--(((calc!$Z$3:$Z$306&gt;Z150)*(calc!$AA$3:$AA$306&lt;AA150)+(calc!$Z$3:$Z$306&lt;Z150)*(calc!$AA$3:$AA$306&gt;AA150))&gt;0)),0)</f>
        <v/>
      </c>
      <c r="AC150" s="5">
        <f>IF(mos_metrics!I149="","",mos_metrics!I149)</f>
        <v/>
      </c>
      <c r="AD150" s="2">
        <f>AND($J150,ISNUMBER(AC150),correlation!$I$28=1)</f>
        <v/>
      </c>
      <c r="AE150" s="5">
        <f>IF(AD150,$F150,"")</f>
        <v/>
      </c>
      <c r="AF150" s="5">
        <f>IF(AD150,AC150*correlation!$J$28,"")</f>
        <v/>
      </c>
      <c r="AG150" s="5">
        <f>IF(AND(AD150,ISNUMBER(correlation!$F$28)),AF150*correlation!$F$28+correlation!$G$28,"")</f>
        <v/>
      </c>
      <c r="AH150" s="5">
        <f>IF(AND(AD150,ISNUMBER(AG150)),(AE150-AG150)^2,"")</f>
        <v/>
      </c>
      <c r="AI150" s="5">
        <f>IF(AD150,1+SUMPRODUCT(--(calc!$AD$3:$AD$306=TRUE),--(calc!$AE$3:$AE$306&gt;AE150))+(SUMPRODUCT(--(calc!$AD$3:$AD$306=TRUE),--(calc!$AE$3:$AE$306=AE150))-1)/2,"")</f>
        <v/>
      </c>
      <c r="AJ150" s="5">
        <f>IF(AD150,1+SUMPRODUCT(--(calc!$AD$3:$AD$306=TRUE),--(calc!$AF$3:$AF$306&gt;AF150))+(SUMPRODUCT(--(calc!$AD$3:$AD$306=TRUE),--(calc!$AF$3:$AF$306=AF150))-1)/2,"")</f>
        <v/>
      </c>
      <c r="AK150" s="5">
        <f>IF(AD150,SUMPRODUCT(--(calc!$AD$3:$AD$306=TRUE),--(ROW(calc!$AD$3:$AD$306)&gt;ROW(AD150)),--(((calc!$AI$3:$AI$306&gt;AI150)*(calc!$AJ$3:$AJ$306&gt;AJ150)+(calc!$AI$3:$AI$306&lt;AI150)*(calc!$AJ$3:$AJ$306&lt;AJ150))&gt;0))-SUMPRODUCT(--(calc!$AD$3:$AD$306=TRUE),--(ROW(calc!$AD$3:$AD$306)&gt;ROW(AD150)),--(((calc!$AI$3:$AI$306&gt;AI150)*(calc!$AJ$3:$AJ$306&lt;AJ150)+(calc!$AI$3:$AI$306&lt;AI150)*(calc!$AJ$3:$AJ$306&gt;AJ150))&gt;0)),0)</f>
        <v/>
      </c>
      <c r="AL150" s="5">
        <f>IF(mos_metrics!J149="","",mos_metrics!J149)</f>
        <v/>
      </c>
      <c r="AM150" s="2">
        <f>AND($J150,ISNUMBER(AL150),correlation!$I$29=1)</f>
        <v/>
      </c>
      <c r="AN150" s="5">
        <f>IF(AM150,$F150,"")</f>
        <v/>
      </c>
      <c r="AO150" s="5">
        <f>IF(AM150,AL150*correlation!$J$29,"")</f>
        <v/>
      </c>
      <c r="AP150" s="5">
        <f>IF(AND(AM150,ISNUMBER(correlation!$F$29)),AO150*correlation!$F$29+correlation!$G$29,"")</f>
        <v/>
      </c>
      <c r="AQ150" s="5">
        <f>IF(AND(AM150,ISNUMBER(AP150)),(AN150-AP150)^2,"")</f>
        <v/>
      </c>
      <c r="AR150" s="5">
        <f>IF(AM150,1+SUMPRODUCT(--(calc!$AM$3:$AM$306=TRUE),--(calc!$AN$3:$AN$306&gt;AN150))+(SUMPRODUCT(--(calc!$AM$3:$AM$306=TRUE),--(calc!$AN$3:$AN$306=AN150))-1)/2,"")</f>
        <v/>
      </c>
      <c r="AS150" s="5">
        <f>IF(AM150,1+SUMPRODUCT(--(calc!$AM$3:$AM$306=TRUE),--(calc!$AO$3:$AO$306&gt;AO150))+(SUMPRODUCT(--(calc!$AM$3:$AM$306=TRUE),--(calc!$AO$3:$AO$306=AO150))-1)/2,"")</f>
        <v/>
      </c>
      <c r="AT150" s="5">
        <f>IF(AM150,SUMPRODUCT(--(calc!$AM$3:$AM$306=TRUE),--(ROW(calc!$AM$3:$AM$306)&gt;ROW(AM150)),--(((calc!$AR$3:$AR$306&gt;AR150)*(calc!$AS$3:$AS$306&gt;AS150)+(calc!$AR$3:$AR$306&lt;AR150)*(calc!$AS$3:$AS$306&lt;AS150))&gt;0))-SUMPRODUCT(--(calc!$AM$3:$AM$306=TRUE),--(ROW(calc!$AM$3:$AM$306)&gt;ROW(AM150)),--(((calc!$AR$3:$AR$306&gt;AR150)*(calc!$AS$3:$AS$306&lt;AS150)+(calc!$AR$3:$AR$306&lt;AR150)*(calc!$AS$3:$AS$306&gt;AS150))&gt;0)),0)</f>
        <v/>
      </c>
      <c r="AU150" s="5">
        <f>IF(mos_metrics!K149="","",mos_metrics!K149)</f>
        <v/>
      </c>
      <c r="AV150" s="2">
        <f>AND($J150,ISNUMBER(AU150),correlation!$I$30=1)</f>
        <v/>
      </c>
      <c r="AW150" s="5">
        <f>IF(AV150,$F150,"")</f>
        <v/>
      </c>
      <c r="AX150" s="5">
        <f>IF(AV150,AU150*correlation!$J$30,"")</f>
        <v/>
      </c>
      <c r="AY150" s="5">
        <f>IF(AND(AV150,ISNUMBER(correlation!$F$30)),AX150*correlation!$F$30+correlation!$G$30,"")</f>
        <v/>
      </c>
      <c r="AZ150" s="5">
        <f>IF(AND(AV150,ISNUMBER(AY150)),(AW150-AY150)^2,"")</f>
        <v/>
      </c>
      <c r="BA150" s="5">
        <f>IF(AV150,1+SUMPRODUCT(--(calc!$AV$3:$AV$306=TRUE),--(calc!$AW$3:$AW$306&gt;AW150))+(SUMPRODUCT(--(calc!$AV$3:$AV$306=TRUE),--(calc!$AW$3:$AW$306=AW150))-1)/2,"")</f>
        <v/>
      </c>
      <c r="BB150" s="5">
        <f>IF(AV150,1+SUMPRODUCT(--(calc!$AV$3:$AV$306=TRUE),--(calc!$AX$3:$AX$306&gt;AX150))+(SUMPRODUCT(--(calc!$AV$3:$AV$306=TRUE),--(calc!$AX$3:$AX$306=AX150))-1)/2,"")</f>
        <v/>
      </c>
      <c r="BC150" s="5">
        <f>IF(AV150,SUMPRODUCT(--(calc!$AV$3:$AV$306=TRUE),--(ROW(calc!$AV$3:$AV$306)&gt;ROW(AV150)),--(((calc!$BA$3:$BA$306&gt;BA150)*(calc!$BB$3:$BB$306&gt;BB150)+(calc!$BA$3:$BA$306&lt;BA150)*(calc!$BB$3:$BB$306&lt;BB150))&gt;0))-SUMPRODUCT(--(calc!$AV$3:$AV$306=TRUE),--(ROW(calc!$AV$3:$AV$306)&gt;ROW(AV150)),--(((calc!$BA$3:$BA$306&gt;BA150)*(calc!$BB$3:$BB$306&lt;BB150)+(calc!$BA$3:$BA$306&lt;BA150)*(calc!$BB$3:$BB$306&gt;BB150))&gt;0)),0)</f>
        <v/>
      </c>
      <c r="BD150" s="5">
        <f>IF(mos_metrics!L149="","",mos_metrics!L149)</f>
        <v/>
      </c>
      <c r="BE150" s="2">
        <f>AND($J150,ISNUMBER(BD150),correlation!$I$31=1)</f>
        <v/>
      </c>
      <c r="BF150" s="5">
        <f>IF(BE150,$F150,"")</f>
        <v/>
      </c>
      <c r="BG150" s="5">
        <f>IF(BE150,BD150*correlation!$J$31,"")</f>
        <v/>
      </c>
      <c r="BH150" s="5">
        <f>IF(AND(BE150,ISNUMBER(correlation!$F$31)),BG150*correlation!$F$31+correlation!$G$31,"")</f>
        <v/>
      </c>
      <c r="BI150" s="5">
        <f>IF(AND(BE150,ISNUMBER(BH150)),(BF150-BH150)^2,"")</f>
        <v/>
      </c>
      <c r="BJ150" s="5">
        <f>IF(BE150,1+SUMPRODUCT(--(calc!$BE$3:$BE$306=TRUE),--(calc!$BF$3:$BF$306&gt;BF150))+(SUMPRODUCT(--(calc!$BE$3:$BE$306=TRUE),--(calc!$BF$3:$BF$306=BF150))-1)/2,"")</f>
        <v/>
      </c>
      <c r="BK150" s="5">
        <f>IF(BE150,1+SUMPRODUCT(--(calc!$BE$3:$BE$306=TRUE),--(calc!$BG$3:$BG$306&gt;BG150))+(SUMPRODUCT(--(calc!$BE$3:$BE$306=TRUE),--(calc!$BG$3:$BG$306=BG150))-1)/2,"")</f>
        <v/>
      </c>
      <c r="BL150" s="5">
        <f>IF(BE150,SUMPRODUCT(--(calc!$BE$3:$BE$306=TRUE),--(ROW(calc!$BE$3:$BE$306)&gt;ROW(BE150)),--(((calc!$BJ$3:$BJ$306&gt;BJ150)*(calc!$BK$3:$BK$306&gt;BK150)+(calc!$BJ$3:$BJ$306&lt;BJ150)*(calc!$BK$3:$BK$306&lt;BK150))&gt;0))-SUMPRODUCT(--(calc!$BE$3:$BE$306=TRUE),--(ROW(calc!$BE$3:$BE$306)&gt;ROW(BE150)),--(((calc!$BJ$3:$BJ$306&gt;BJ150)*(calc!$BK$3:$BK$306&lt;BK150)+(calc!$BJ$3:$BJ$306&lt;BJ150)*(calc!$BK$3:$BK$306&gt;BK150))&gt;0)),0)</f>
        <v/>
      </c>
      <c r="BM150" s="5">
        <f>IF(mos_metrics!M149="","",mos_metrics!M149)</f>
        <v/>
      </c>
      <c r="BN150" s="2">
        <f>AND($J150,ISNUMBER(BM150),correlation!$I$32=1)</f>
        <v/>
      </c>
      <c r="BO150" s="5">
        <f>IF(BN150,$F150,"")</f>
        <v/>
      </c>
      <c r="BP150" s="5">
        <f>IF(BN150,BM150*correlation!$J$32,"")</f>
        <v/>
      </c>
      <c r="BQ150" s="5">
        <f>IF(AND(BN150,ISNUMBER(correlation!$F$32)),BP150*correlation!$F$32+correlation!$G$32,"")</f>
        <v/>
      </c>
      <c r="BR150" s="5">
        <f>IF(AND(BN150,ISNUMBER(BQ150)),(BO150-BQ150)^2,"")</f>
        <v/>
      </c>
      <c r="BS150" s="5">
        <f>IF(BN150,1+SUMPRODUCT(--(calc!$BN$3:$BN$306=TRUE),--(calc!$BO$3:$BO$306&gt;BO150))+(SUMPRODUCT(--(calc!$BN$3:$BN$306=TRUE),--(calc!$BO$3:$BO$306=BO150))-1)/2,"")</f>
        <v/>
      </c>
      <c r="BT150" s="5">
        <f>IF(BN150,1+SUMPRODUCT(--(calc!$BN$3:$BN$306=TRUE),--(calc!$BP$3:$BP$306&gt;BP150))+(SUMPRODUCT(--(calc!$BN$3:$BN$306=TRUE),--(calc!$BP$3:$BP$306=BP150))-1)/2,"")</f>
        <v/>
      </c>
      <c r="BU150" s="5">
        <f>IF(BN150,SUMPRODUCT(--(calc!$BN$3:$BN$306=TRUE),--(ROW(calc!$BN$3:$BN$306)&gt;ROW(BN150)),--(((calc!$BS$3:$BS$306&gt;BS150)*(calc!$BT$3:$BT$306&gt;BT150)+(calc!$BS$3:$BS$306&lt;BS150)*(calc!$BT$3:$BT$306&lt;BT150))&gt;0))-SUMPRODUCT(--(calc!$BN$3:$BN$306=TRUE),--(ROW(calc!$BN$3:$BN$306)&gt;ROW(BN150)),--(((calc!$BS$3:$BS$306&gt;BS150)*(calc!$BT$3:$BT$306&lt;BT150)+(calc!$BS$3:$BS$306&lt;BS150)*(calc!$BT$3:$BT$306&gt;BT150))&gt;0)),0)</f>
        <v/>
      </c>
    </row>
    <row r="151">
      <c r="A151" s="2">
        <f>mos_metrics!A150</f>
        <v/>
      </c>
      <c r="B151" s="2">
        <f>mos_metrics!B150</f>
        <v/>
      </c>
      <c r="C151" s="2">
        <f>mos_metrics!C150</f>
        <v/>
      </c>
      <c r="D151" s="2">
        <f>mos_metrics!D150</f>
        <v/>
      </c>
      <c r="E151" s="2">
        <f>mos_metrics!E150</f>
        <v/>
      </c>
      <c r="F151" s="2">
        <f>mos_metrics!F150</f>
        <v/>
      </c>
      <c r="G151" s="2">
        <f>IF($B151="","",IFERROR(VLOOKUP($B151,correlation!$A$2:$B$16,2,FALSE),1))</f>
        <v/>
      </c>
      <c r="H151" s="2">
        <f>IF($E151="","",IFERROR(VLOOKUP($E151,correlation!$D$2:$E$8,2,FALSE),1))</f>
        <v/>
      </c>
      <c r="I151" s="2">
        <f>ISNUMBER($F151)</f>
        <v/>
      </c>
      <c r="J151" s="2">
        <f>AND($G151=1,$H151=1,$I151)</f>
        <v/>
      </c>
      <c r="K151" s="5">
        <f>IF(mos_metrics!G150="","",mos_metrics!G150)</f>
        <v/>
      </c>
      <c r="L151" s="2">
        <f>AND($J151,ISNUMBER(K151),correlation!$I$26=1)</f>
        <v/>
      </c>
      <c r="M151" s="5">
        <f>IF(L151,$F151,"")</f>
        <v/>
      </c>
      <c r="N151" s="5">
        <f>IF(L151,K151*correlation!$J$26,"")</f>
        <v/>
      </c>
      <c r="O151" s="5">
        <f>IF(AND(L151,ISNUMBER(correlation!$F$26)),N151*correlation!$F$26+correlation!$G$26,"")</f>
        <v/>
      </c>
      <c r="P151" s="5">
        <f>IF(AND(L151,ISNUMBER(O151)),(M151-O151)^2,"")</f>
        <v/>
      </c>
      <c r="Q151" s="5">
        <f>IF(L151,1+SUMPRODUCT(--(calc!$L$3:$L$306=TRUE),--(calc!$M$3:$M$306&gt;M151))+(SUMPRODUCT(--(calc!$L$3:$L$306=TRUE),--(calc!$M$3:$M$306=M151))-1)/2,"")</f>
        <v/>
      </c>
      <c r="R151" s="5">
        <f>IF(L151,1+SUMPRODUCT(--(calc!$L$3:$L$306=TRUE),--(calc!$N$3:$N$306&gt;N151))+(SUMPRODUCT(--(calc!$L$3:$L$306=TRUE),--(calc!$N$3:$N$306=N151))-1)/2,"")</f>
        <v/>
      </c>
      <c r="S151" s="5">
        <f>IF(L151,SUMPRODUCT(--(calc!$L$3:$L$306=TRUE),--(ROW(calc!$L$3:$L$306)&gt;ROW(L151)),--(((calc!$Q$3:$Q$306&gt;Q151)*(calc!$R$3:$R$306&gt;R151)+(calc!$Q$3:$Q$306&lt;Q151)*(calc!$R$3:$R$306&lt;R151))&gt;0))-SUMPRODUCT(--(calc!$L$3:$L$306=TRUE),--(ROW(calc!$L$3:$L$306)&gt;ROW(L151)),--(((calc!$Q$3:$Q$306&gt;Q151)*(calc!$R$3:$R$306&lt;R151)+(calc!$Q$3:$Q$306&lt;Q151)*(calc!$R$3:$R$306&gt;R151))&gt;0)),0)</f>
        <v/>
      </c>
      <c r="T151" s="5">
        <f>IF(mos_metrics!H150="","",mos_metrics!H150)</f>
        <v/>
      </c>
      <c r="U151" s="2">
        <f>AND($J151,ISNUMBER(T151),correlation!$I$27=1)</f>
        <v/>
      </c>
      <c r="V151" s="5">
        <f>IF(U151,$F151,"")</f>
        <v/>
      </c>
      <c r="W151" s="5">
        <f>IF(U151,T151*correlation!$J$27,"")</f>
        <v/>
      </c>
      <c r="X151" s="5">
        <f>IF(AND(U151,ISNUMBER(correlation!$F$27)),W151*correlation!$F$27+correlation!$G$27,"")</f>
        <v/>
      </c>
      <c r="Y151" s="5">
        <f>IF(AND(U151,ISNUMBER(X151)),(V151-X151)^2,"")</f>
        <v/>
      </c>
      <c r="Z151" s="5">
        <f>IF(U151,1+SUMPRODUCT(--(calc!$U$3:$U$306=TRUE),--(calc!$V$3:$V$306&gt;V151))+(SUMPRODUCT(--(calc!$U$3:$U$306=TRUE),--(calc!$V$3:$V$306=V151))-1)/2,"")</f>
        <v/>
      </c>
      <c r="AA151" s="5">
        <f>IF(U151,1+SUMPRODUCT(--(calc!$U$3:$U$306=TRUE),--(calc!$W$3:$W$306&gt;W151))+(SUMPRODUCT(--(calc!$U$3:$U$306=TRUE),--(calc!$W$3:$W$306=W151))-1)/2,"")</f>
        <v/>
      </c>
      <c r="AB151" s="5">
        <f>IF(U151,SUMPRODUCT(--(calc!$U$3:$U$306=TRUE),--(ROW(calc!$U$3:$U$306)&gt;ROW(U151)),--(((calc!$Z$3:$Z$306&gt;Z151)*(calc!$AA$3:$AA$306&gt;AA151)+(calc!$Z$3:$Z$306&lt;Z151)*(calc!$AA$3:$AA$306&lt;AA151))&gt;0))-SUMPRODUCT(--(calc!$U$3:$U$306=TRUE),--(ROW(calc!$U$3:$U$306)&gt;ROW(U151)),--(((calc!$Z$3:$Z$306&gt;Z151)*(calc!$AA$3:$AA$306&lt;AA151)+(calc!$Z$3:$Z$306&lt;Z151)*(calc!$AA$3:$AA$306&gt;AA151))&gt;0)),0)</f>
        <v/>
      </c>
      <c r="AC151" s="5">
        <f>IF(mos_metrics!I150="","",mos_metrics!I150)</f>
        <v/>
      </c>
      <c r="AD151" s="2">
        <f>AND($J151,ISNUMBER(AC151),correlation!$I$28=1)</f>
        <v/>
      </c>
      <c r="AE151" s="5">
        <f>IF(AD151,$F151,"")</f>
        <v/>
      </c>
      <c r="AF151" s="5">
        <f>IF(AD151,AC151*correlation!$J$28,"")</f>
        <v/>
      </c>
      <c r="AG151" s="5">
        <f>IF(AND(AD151,ISNUMBER(correlation!$F$28)),AF151*correlation!$F$28+correlation!$G$28,"")</f>
        <v/>
      </c>
      <c r="AH151" s="5">
        <f>IF(AND(AD151,ISNUMBER(AG151)),(AE151-AG151)^2,"")</f>
        <v/>
      </c>
      <c r="AI151" s="5">
        <f>IF(AD151,1+SUMPRODUCT(--(calc!$AD$3:$AD$306=TRUE),--(calc!$AE$3:$AE$306&gt;AE151))+(SUMPRODUCT(--(calc!$AD$3:$AD$306=TRUE),--(calc!$AE$3:$AE$306=AE151))-1)/2,"")</f>
        <v/>
      </c>
      <c r="AJ151" s="5">
        <f>IF(AD151,1+SUMPRODUCT(--(calc!$AD$3:$AD$306=TRUE),--(calc!$AF$3:$AF$306&gt;AF151))+(SUMPRODUCT(--(calc!$AD$3:$AD$306=TRUE),--(calc!$AF$3:$AF$306=AF151))-1)/2,"")</f>
        <v/>
      </c>
      <c r="AK151" s="5">
        <f>IF(AD151,SUMPRODUCT(--(calc!$AD$3:$AD$306=TRUE),--(ROW(calc!$AD$3:$AD$306)&gt;ROW(AD151)),--(((calc!$AI$3:$AI$306&gt;AI151)*(calc!$AJ$3:$AJ$306&gt;AJ151)+(calc!$AI$3:$AI$306&lt;AI151)*(calc!$AJ$3:$AJ$306&lt;AJ151))&gt;0))-SUMPRODUCT(--(calc!$AD$3:$AD$306=TRUE),--(ROW(calc!$AD$3:$AD$306)&gt;ROW(AD151)),--(((calc!$AI$3:$AI$306&gt;AI151)*(calc!$AJ$3:$AJ$306&lt;AJ151)+(calc!$AI$3:$AI$306&lt;AI151)*(calc!$AJ$3:$AJ$306&gt;AJ151))&gt;0)),0)</f>
        <v/>
      </c>
      <c r="AL151" s="5">
        <f>IF(mos_metrics!J150="","",mos_metrics!J150)</f>
        <v/>
      </c>
      <c r="AM151" s="2">
        <f>AND($J151,ISNUMBER(AL151),correlation!$I$29=1)</f>
        <v/>
      </c>
      <c r="AN151" s="5">
        <f>IF(AM151,$F151,"")</f>
        <v/>
      </c>
      <c r="AO151" s="5">
        <f>IF(AM151,AL151*correlation!$J$29,"")</f>
        <v/>
      </c>
      <c r="AP151" s="5">
        <f>IF(AND(AM151,ISNUMBER(correlation!$F$29)),AO151*correlation!$F$29+correlation!$G$29,"")</f>
        <v/>
      </c>
      <c r="AQ151" s="5">
        <f>IF(AND(AM151,ISNUMBER(AP151)),(AN151-AP151)^2,"")</f>
        <v/>
      </c>
      <c r="AR151" s="5">
        <f>IF(AM151,1+SUMPRODUCT(--(calc!$AM$3:$AM$306=TRUE),--(calc!$AN$3:$AN$306&gt;AN151))+(SUMPRODUCT(--(calc!$AM$3:$AM$306=TRUE),--(calc!$AN$3:$AN$306=AN151))-1)/2,"")</f>
        <v/>
      </c>
      <c r="AS151" s="5">
        <f>IF(AM151,1+SUMPRODUCT(--(calc!$AM$3:$AM$306=TRUE),--(calc!$AO$3:$AO$306&gt;AO151))+(SUMPRODUCT(--(calc!$AM$3:$AM$306=TRUE),--(calc!$AO$3:$AO$306=AO151))-1)/2,"")</f>
        <v/>
      </c>
      <c r="AT151" s="5">
        <f>IF(AM151,SUMPRODUCT(--(calc!$AM$3:$AM$306=TRUE),--(ROW(calc!$AM$3:$AM$306)&gt;ROW(AM151)),--(((calc!$AR$3:$AR$306&gt;AR151)*(calc!$AS$3:$AS$306&gt;AS151)+(calc!$AR$3:$AR$306&lt;AR151)*(calc!$AS$3:$AS$306&lt;AS151))&gt;0))-SUMPRODUCT(--(calc!$AM$3:$AM$306=TRUE),--(ROW(calc!$AM$3:$AM$306)&gt;ROW(AM151)),--(((calc!$AR$3:$AR$306&gt;AR151)*(calc!$AS$3:$AS$306&lt;AS151)+(calc!$AR$3:$AR$306&lt;AR151)*(calc!$AS$3:$AS$306&gt;AS151))&gt;0)),0)</f>
        <v/>
      </c>
      <c r="AU151" s="5">
        <f>IF(mos_metrics!K150="","",mos_metrics!K150)</f>
        <v/>
      </c>
      <c r="AV151" s="2">
        <f>AND($J151,ISNUMBER(AU151),correlation!$I$30=1)</f>
        <v/>
      </c>
      <c r="AW151" s="5">
        <f>IF(AV151,$F151,"")</f>
        <v/>
      </c>
      <c r="AX151" s="5">
        <f>IF(AV151,AU151*correlation!$J$30,"")</f>
        <v/>
      </c>
      <c r="AY151" s="5">
        <f>IF(AND(AV151,ISNUMBER(correlation!$F$30)),AX151*correlation!$F$30+correlation!$G$30,"")</f>
        <v/>
      </c>
      <c r="AZ151" s="5">
        <f>IF(AND(AV151,ISNUMBER(AY151)),(AW151-AY151)^2,"")</f>
        <v/>
      </c>
      <c r="BA151" s="5">
        <f>IF(AV151,1+SUMPRODUCT(--(calc!$AV$3:$AV$306=TRUE),--(calc!$AW$3:$AW$306&gt;AW151))+(SUMPRODUCT(--(calc!$AV$3:$AV$306=TRUE),--(calc!$AW$3:$AW$306=AW151))-1)/2,"")</f>
        <v/>
      </c>
      <c r="BB151" s="5">
        <f>IF(AV151,1+SUMPRODUCT(--(calc!$AV$3:$AV$306=TRUE),--(calc!$AX$3:$AX$306&gt;AX151))+(SUMPRODUCT(--(calc!$AV$3:$AV$306=TRUE),--(calc!$AX$3:$AX$306=AX151))-1)/2,"")</f>
        <v/>
      </c>
      <c r="BC151" s="5">
        <f>IF(AV151,SUMPRODUCT(--(calc!$AV$3:$AV$306=TRUE),--(ROW(calc!$AV$3:$AV$306)&gt;ROW(AV151)),--(((calc!$BA$3:$BA$306&gt;BA151)*(calc!$BB$3:$BB$306&gt;BB151)+(calc!$BA$3:$BA$306&lt;BA151)*(calc!$BB$3:$BB$306&lt;BB151))&gt;0))-SUMPRODUCT(--(calc!$AV$3:$AV$306=TRUE),--(ROW(calc!$AV$3:$AV$306)&gt;ROW(AV151)),--(((calc!$BA$3:$BA$306&gt;BA151)*(calc!$BB$3:$BB$306&lt;BB151)+(calc!$BA$3:$BA$306&lt;BA151)*(calc!$BB$3:$BB$306&gt;BB151))&gt;0)),0)</f>
        <v/>
      </c>
      <c r="BD151" s="5">
        <f>IF(mos_metrics!L150="","",mos_metrics!L150)</f>
        <v/>
      </c>
      <c r="BE151" s="2">
        <f>AND($J151,ISNUMBER(BD151),correlation!$I$31=1)</f>
        <v/>
      </c>
      <c r="BF151" s="5">
        <f>IF(BE151,$F151,"")</f>
        <v/>
      </c>
      <c r="BG151" s="5">
        <f>IF(BE151,BD151*correlation!$J$31,"")</f>
        <v/>
      </c>
      <c r="BH151" s="5">
        <f>IF(AND(BE151,ISNUMBER(correlation!$F$31)),BG151*correlation!$F$31+correlation!$G$31,"")</f>
        <v/>
      </c>
      <c r="BI151" s="5">
        <f>IF(AND(BE151,ISNUMBER(BH151)),(BF151-BH151)^2,"")</f>
        <v/>
      </c>
      <c r="BJ151" s="5">
        <f>IF(BE151,1+SUMPRODUCT(--(calc!$BE$3:$BE$306=TRUE),--(calc!$BF$3:$BF$306&gt;BF151))+(SUMPRODUCT(--(calc!$BE$3:$BE$306=TRUE),--(calc!$BF$3:$BF$306=BF151))-1)/2,"")</f>
        <v/>
      </c>
      <c r="BK151" s="5">
        <f>IF(BE151,1+SUMPRODUCT(--(calc!$BE$3:$BE$306=TRUE),--(calc!$BG$3:$BG$306&gt;BG151))+(SUMPRODUCT(--(calc!$BE$3:$BE$306=TRUE),--(calc!$BG$3:$BG$306=BG151))-1)/2,"")</f>
        <v/>
      </c>
      <c r="BL151" s="5">
        <f>IF(BE151,SUMPRODUCT(--(calc!$BE$3:$BE$306=TRUE),--(ROW(calc!$BE$3:$BE$306)&gt;ROW(BE151)),--(((calc!$BJ$3:$BJ$306&gt;BJ151)*(calc!$BK$3:$BK$306&gt;BK151)+(calc!$BJ$3:$BJ$306&lt;BJ151)*(calc!$BK$3:$BK$306&lt;BK151))&gt;0))-SUMPRODUCT(--(calc!$BE$3:$BE$306=TRUE),--(ROW(calc!$BE$3:$BE$306)&gt;ROW(BE151)),--(((calc!$BJ$3:$BJ$306&gt;BJ151)*(calc!$BK$3:$BK$306&lt;BK151)+(calc!$BJ$3:$BJ$306&lt;BJ151)*(calc!$BK$3:$BK$306&gt;BK151))&gt;0)),0)</f>
        <v/>
      </c>
      <c r="BM151" s="5">
        <f>IF(mos_metrics!M150="","",mos_metrics!M150)</f>
        <v/>
      </c>
      <c r="BN151" s="2">
        <f>AND($J151,ISNUMBER(BM151),correlation!$I$32=1)</f>
        <v/>
      </c>
      <c r="BO151" s="5">
        <f>IF(BN151,$F151,"")</f>
        <v/>
      </c>
      <c r="BP151" s="5">
        <f>IF(BN151,BM151*correlation!$J$32,"")</f>
        <v/>
      </c>
      <c r="BQ151" s="5">
        <f>IF(AND(BN151,ISNUMBER(correlation!$F$32)),BP151*correlation!$F$32+correlation!$G$32,"")</f>
        <v/>
      </c>
      <c r="BR151" s="5">
        <f>IF(AND(BN151,ISNUMBER(BQ151)),(BO151-BQ151)^2,"")</f>
        <v/>
      </c>
      <c r="BS151" s="5">
        <f>IF(BN151,1+SUMPRODUCT(--(calc!$BN$3:$BN$306=TRUE),--(calc!$BO$3:$BO$306&gt;BO151))+(SUMPRODUCT(--(calc!$BN$3:$BN$306=TRUE),--(calc!$BO$3:$BO$306=BO151))-1)/2,"")</f>
        <v/>
      </c>
      <c r="BT151" s="5">
        <f>IF(BN151,1+SUMPRODUCT(--(calc!$BN$3:$BN$306=TRUE),--(calc!$BP$3:$BP$306&gt;BP151))+(SUMPRODUCT(--(calc!$BN$3:$BN$306=TRUE),--(calc!$BP$3:$BP$306=BP151))-1)/2,"")</f>
        <v/>
      </c>
      <c r="BU151" s="5">
        <f>IF(BN151,SUMPRODUCT(--(calc!$BN$3:$BN$306=TRUE),--(ROW(calc!$BN$3:$BN$306)&gt;ROW(BN151)),--(((calc!$BS$3:$BS$306&gt;BS151)*(calc!$BT$3:$BT$306&gt;BT151)+(calc!$BS$3:$BS$306&lt;BS151)*(calc!$BT$3:$BT$306&lt;BT151))&gt;0))-SUMPRODUCT(--(calc!$BN$3:$BN$306=TRUE),--(ROW(calc!$BN$3:$BN$306)&gt;ROW(BN151)),--(((calc!$BS$3:$BS$306&gt;BS151)*(calc!$BT$3:$BT$306&lt;BT151)+(calc!$BS$3:$BS$306&lt;BS151)*(calc!$BT$3:$BT$306&gt;BT151))&gt;0)),0)</f>
        <v/>
      </c>
    </row>
    <row r="152">
      <c r="A152" s="2">
        <f>mos_metrics!A151</f>
        <v/>
      </c>
      <c r="B152" s="2">
        <f>mos_metrics!B151</f>
        <v/>
      </c>
      <c r="C152" s="2">
        <f>mos_metrics!C151</f>
        <v/>
      </c>
      <c r="D152" s="2">
        <f>mos_metrics!D151</f>
        <v/>
      </c>
      <c r="E152" s="2">
        <f>mos_metrics!E151</f>
        <v/>
      </c>
      <c r="F152" s="2">
        <f>mos_metrics!F151</f>
        <v/>
      </c>
      <c r="G152" s="2">
        <f>IF($B152="","",IFERROR(VLOOKUP($B152,correlation!$A$2:$B$16,2,FALSE),1))</f>
        <v/>
      </c>
      <c r="H152" s="2">
        <f>IF($E152="","",IFERROR(VLOOKUP($E152,correlation!$D$2:$E$8,2,FALSE),1))</f>
        <v/>
      </c>
      <c r="I152" s="2">
        <f>ISNUMBER($F152)</f>
        <v/>
      </c>
      <c r="J152" s="2">
        <f>AND($G152=1,$H152=1,$I152)</f>
        <v/>
      </c>
      <c r="K152" s="5">
        <f>IF(mos_metrics!G151="","",mos_metrics!G151)</f>
        <v/>
      </c>
      <c r="L152" s="2">
        <f>AND($J152,ISNUMBER(K152),correlation!$I$26=1)</f>
        <v/>
      </c>
      <c r="M152" s="5">
        <f>IF(L152,$F152,"")</f>
        <v/>
      </c>
      <c r="N152" s="5">
        <f>IF(L152,K152*correlation!$J$26,"")</f>
        <v/>
      </c>
      <c r="O152" s="5">
        <f>IF(AND(L152,ISNUMBER(correlation!$F$26)),N152*correlation!$F$26+correlation!$G$26,"")</f>
        <v/>
      </c>
      <c r="P152" s="5">
        <f>IF(AND(L152,ISNUMBER(O152)),(M152-O152)^2,"")</f>
        <v/>
      </c>
      <c r="Q152" s="5">
        <f>IF(L152,1+SUMPRODUCT(--(calc!$L$3:$L$306=TRUE),--(calc!$M$3:$M$306&gt;M152))+(SUMPRODUCT(--(calc!$L$3:$L$306=TRUE),--(calc!$M$3:$M$306=M152))-1)/2,"")</f>
        <v/>
      </c>
      <c r="R152" s="5">
        <f>IF(L152,1+SUMPRODUCT(--(calc!$L$3:$L$306=TRUE),--(calc!$N$3:$N$306&gt;N152))+(SUMPRODUCT(--(calc!$L$3:$L$306=TRUE),--(calc!$N$3:$N$306=N152))-1)/2,"")</f>
        <v/>
      </c>
      <c r="S152" s="5">
        <f>IF(L152,SUMPRODUCT(--(calc!$L$3:$L$306=TRUE),--(ROW(calc!$L$3:$L$306)&gt;ROW(L152)),--(((calc!$Q$3:$Q$306&gt;Q152)*(calc!$R$3:$R$306&gt;R152)+(calc!$Q$3:$Q$306&lt;Q152)*(calc!$R$3:$R$306&lt;R152))&gt;0))-SUMPRODUCT(--(calc!$L$3:$L$306=TRUE),--(ROW(calc!$L$3:$L$306)&gt;ROW(L152)),--(((calc!$Q$3:$Q$306&gt;Q152)*(calc!$R$3:$R$306&lt;R152)+(calc!$Q$3:$Q$306&lt;Q152)*(calc!$R$3:$R$306&gt;R152))&gt;0)),0)</f>
        <v/>
      </c>
      <c r="T152" s="5">
        <f>IF(mos_metrics!H151="","",mos_metrics!H151)</f>
        <v/>
      </c>
      <c r="U152" s="2">
        <f>AND($J152,ISNUMBER(T152),correlation!$I$27=1)</f>
        <v/>
      </c>
      <c r="V152" s="5">
        <f>IF(U152,$F152,"")</f>
        <v/>
      </c>
      <c r="W152" s="5">
        <f>IF(U152,T152*correlation!$J$27,"")</f>
        <v/>
      </c>
      <c r="X152" s="5">
        <f>IF(AND(U152,ISNUMBER(correlation!$F$27)),W152*correlation!$F$27+correlation!$G$27,"")</f>
        <v/>
      </c>
      <c r="Y152" s="5">
        <f>IF(AND(U152,ISNUMBER(X152)),(V152-X152)^2,"")</f>
        <v/>
      </c>
      <c r="Z152" s="5">
        <f>IF(U152,1+SUMPRODUCT(--(calc!$U$3:$U$306=TRUE),--(calc!$V$3:$V$306&gt;V152))+(SUMPRODUCT(--(calc!$U$3:$U$306=TRUE),--(calc!$V$3:$V$306=V152))-1)/2,"")</f>
        <v/>
      </c>
      <c r="AA152" s="5">
        <f>IF(U152,1+SUMPRODUCT(--(calc!$U$3:$U$306=TRUE),--(calc!$W$3:$W$306&gt;W152))+(SUMPRODUCT(--(calc!$U$3:$U$306=TRUE),--(calc!$W$3:$W$306=W152))-1)/2,"")</f>
        <v/>
      </c>
      <c r="AB152" s="5">
        <f>IF(U152,SUMPRODUCT(--(calc!$U$3:$U$306=TRUE),--(ROW(calc!$U$3:$U$306)&gt;ROW(U152)),--(((calc!$Z$3:$Z$306&gt;Z152)*(calc!$AA$3:$AA$306&gt;AA152)+(calc!$Z$3:$Z$306&lt;Z152)*(calc!$AA$3:$AA$306&lt;AA152))&gt;0))-SUMPRODUCT(--(calc!$U$3:$U$306=TRUE),--(ROW(calc!$U$3:$U$306)&gt;ROW(U152)),--(((calc!$Z$3:$Z$306&gt;Z152)*(calc!$AA$3:$AA$306&lt;AA152)+(calc!$Z$3:$Z$306&lt;Z152)*(calc!$AA$3:$AA$306&gt;AA152))&gt;0)),0)</f>
        <v/>
      </c>
      <c r="AC152" s="5">
        <f>IF(mos_metrics!I151="","",mos_metrics!I151)</f>
        <v/>
      </c>
      <c r="AD152" s="2">
        <f>AND($J152,ISNUMBER(AC152),correlation!$I$28=1)</f>
        <v/>
      </c>
      <c r="AE152" s="5">
        <f>IF(AD152,$F152,"")</f>
        <v/>
      </c>
      <c r="AF152" s="5">
        <f>IF(AD152,AC152*correlation!$J$28,"")</f>
        <v/>
      </c>
      <c r="AG152" s="5">
        <f>IF(AND(AD152,ISNUMBER(correlation!$F$28)),AF152*correlation!$F$28+correlation!$G$28,"")</f>
        <v/>
      </c>
      <c r="AH152" s="5">
        <f>IF(AND(AD152,ISNUMBER(AG152)),(AE152-AG152)^2,"")</f>
        <v/>
      </c>
      <c r="AI152" s="5">
        <f>IF(AD152,1+SUMPRODUCT(--(calc!$AD$3:$AD$306=TRUE),--(calc!$AE$3:$AE$306&gt;AE152))+(SUMPRODUCT(--(calc!$AD$3:$AD$306=TRUE),--(calc!$AE$3:$AE$306=AE152))-1)/2,"")</f>
        <v/>
      </c>
      <c r="AJ152" s="5">
        <f>IF(AD152,1+SUMPRODUCT(--(calc!$AD$3:$AD$306=TRUE),--(calc!$AF$3:$AF$306&gt;AF152))+(SUMPRODUCT(--(calc!$AD$3:$AD$306=TRUE),--(calc!$AF$3:$AF$306=AF152))-1)/2,"")</f>
        <v/>
      </c>
      <c r="AK152" s="5">
        <f>IF(AD152,SUMPRODUCT(--(calc!$AD$3:$AD$306=TRUE),--(ROW(calc!$AD$3:$AD$306)&gt;ROW(AD152)),--(((calc!$AI$3:$AI$306&gt;AI152)*(calc!$AJ$3:$AJ$306&gt;AJ152)+(calc!$AI$3:$AI$306&lt;AI152)*(calc!$AJ$3:$AJ$306&lt;AJ152))&gt;0))-SUMPRODUCT(--(calc!$AD$3:$AD$306=TRUE),--(ROW(calc!$AD$3:$AD$306)&gt;ROW(AD152)),--(((calc!$AI$3:$AI$306&gt;AI152)*(calc!$AJ$3:$AJ$306&lt;AJ152)+(calc!$AI$3:$AI$306&lt;AI152)*(calc!$AJ$3:$AJ$306&gt;AJ152))&gt;0)),0)</f>
        <v/>
      </c>
      <c r="AL152" s="5">
        <f>IF(mos_metrics!J151="","",mos_metrics!J151)</f>
        <v/>
      </c>
      <c r="AM152" s="2">
        <f>AND($J152,ISNUMBER(AL152),correlation!$I$29=1)</f>
        <v/>
      </c>
      <c r="AN152" s="5">
        <f>IF(AM152,$F152,"")</f>
        <v/>
      </c>
      <c r="AO152" s="5">
        <f>IF(AM152,AL152*correlation!$J$29,"")</f>
        <v/>
      </c>
      <c r="AP152" s="5">
        <f>IF(AND(AM152,ISNUMBER(correlation!$F$29)),AO152*correlation!$F$29+correlation!$G$29,"")</f>
        <v/>
      </c>
      <c r="AQ152" s="5">
        <f>IF(AND(AM152,ISNUMBER(AP152)),(AN152-AP152)^2,"")</f>
        <v/>
      </c>
      <c r="AR152" s="5">
        <f>IF(AM152,1+SUMPRODUCT(--(calc!$AM$3:$AM$306=TRUE),--(calc!$AN$3:$AN$306&gt;AN152))+(SUMPRODUCT(--(calc!$AM$3:$AM$306=TRUE),--(calc!$AN$3:$AN$306=AN152))-1)/2,"")</f>
        <v/>
      </c>
      <c r="AS152" s="5">
        <f>IF(AM152,1+SUMPRODUCT(--(calc!$AM$3:$AM$306=TRUE),--(calc!$AO$3:$AO$306&gt;AO152))+(SUMPRODUCT(--(calc!$AM$3:$AM$306=TRUE),--(calc!$AO$3:$AO$306=AO152))-1)/2,"")</f>
        <v/>
      </c>
      <c r="AT152" s="5">
        <f>IF(AM152,SUMPRODUCT(--(calc!$AM$3:$AM$306=TRUE),--(ROW(calc!$AM$3:$AM$306)&gt;ROW(AM152)),--(((calc!$AR$3:$AR$306&gt;AR152)*(calc!$AS$3:$AS$306&gt;AS152)+(calc!$AR$3:$AR$306&lt;AR152)*(calc!$AS$3:$AS$306&lt;AS152))&gt;0))-SUMPRODUCT(--(calc!$AM$3:$AM$306=TRUE),--(ROW(calc!$AM$3:$AM$306)&gt;ROW(AM152)),--(((calc!$AR$3:$AR$306&gt;AR152)*(calc!$AS$3:$AS$306&lt;AS152)+(calc!$AR$3:$AR$306&lt;AR152)*(calc!$AS$3:$AS$306&gt;AS152))&gt;0)),0)</f>
        <v/>
      </c>
      <c r="AU152" s="5">
        <f>IF(mos_metrics!K151="","",mos_metrics!K151)</f>
        <v/>
      </c>
      <c r="AV152" s="2">
        <f>AND($J152,ISNUMBER(AU152),correlation!$I$30=1)</f>
        <v/>
      </c>
      <c r="AW152" s="5">
        <f>IF(AV152,$F152,"")</f>
        <v/>
      </c>
      <c r="AX152" s="5">
        <f>IF(AV152,AU152*correlation!$J$30,"")</f>
        <v/>
      </c>
      <c r="AY152" s="5">
        <f>IF(AND(AV152,ISNUMBER(correlation!$F$30)),AX152*correlation!$F$30+correlation!$G$30,"")</f>
        <v/>
      </c>
      <c r="AZ152" s="5">
        <f>IF(AND(AV152,ISNUMBER(AY152)),(AW152-AY152)^2,"")</f>
        <v/>
      </c>
      <c r="BA152" s="5">
        <f>IF(AV152,1+SUMPRODUCT(--(calc!$AV$3:$AV$306=TRUE),--(calc!$AW$3:$AW$306&gt;AW152))+(SUMPRODUCT(--(calc!$AV$3:$AV$306=TRUE),--(calc!$AW$3:$AW$306=AW152))-1)/2,"")</f>
        <v/>
      </c>
      <c r="BB152" s="5">
        <f>IF(AV152,1+SUMPRODUCT(--(calc!$AV$3:$AV$306=TRUE),--(calc!$AX$3:$AX$306&gt;AX152))+(SUMPRODUCT(--(calc!$AV$3:$AV$306=TRUE),--(calc!$AX$3:$AX$306=AX152))-1)/2,"")</f>
        <v/>
      </c>
      <c r="BC152" s="5">
        <f>IF(AV152,SUMPRODUCT(--(calc!$AV$3:$AV$306=TRUE),--(ROW(calc!$AV$3:$AV$306)&gt;ROW(AV152)),--(((calc!$BA$3:$BA$306&gt;BA152)*(calc!$BB$3:$BB$306&gt;BB152)+(calc!$BA$3:$BA$306&lt;BA152)*(calc!$BB$3:$BB$306&lt;BB152))&gt;0))-SUMPRODUCT(--(calc!$AV$3:$AV$306=TRUE),--(ROW(calc!$AV$3:$AV$306)&gt;ROW(AV152)),--(((calc!$BA$3:$BA$306&gt;BA152)*(calc!$BB$3:$BB$306&lt;BB152)+(calc!$BA$3:$BA$306&lt;BA152)*(calc!$BB$3:$BB$306&gt;BB152))&gt;0)),0)</f>
        <v/>
      </c>
      <c r="BD152" s="5">
        <f>IF(mos_metrics!L151="","",mos_metrics!L151)</f>
        <v/>
      </c>
      <c r="BE152" s="2">
        <f>AND($J152,ISNUMBER(BD152),correlation!$I$31=1)</f>
        <v/>
      </c>
      <c r="BF152" s="5">
        <f>IF(BE152,$F152,"")</f>
        <v/>
      </c>
      <c r="BG152" s="5">
        <f>IF(BE152,BD152*correlation!$J$31,"")</f>
        <v/>
      </c>
      <c r="BH152" s="5">
        <f>IF(AND(BE152,ISNUMBER(correlation!$F$31)),BG152*correlation!$F$31+correlation!$G$31,"")</f>
        <v/>
      </c>
      <c r="BI152" s="5">
        <f>IF(AND(BE152,ISNUMBER(BH152)),(BF152-BH152)^2,"")</f>
        <v/>
      </c>
      <c r="BJ152" s="5">
        <f>IF(BE152,1+SUMPRODUCT(--(calc!$BE$3:$BE$306=TRUE),--(calc!$BF$3:$BF$306&gt;BF152))+(SUMPRODUCT(--(calc!$BE$3:$BE$306=TRUE),--(calc!$BF$3:$BF$306=BF152))-1)/2,"")</f>
        <v/>
      </c>
      <c r="BK152" s="5">
        <f>IF(BE152,1+SUMPRODUCT(--(calc!$BE$3:$BE$306=TRUE),--(calc!$BG$3:$BG$306&gt;BG152))+(SUMPRODUCT(--(calc!$BE$3:$BE$306=TRUE),--(calc!$BG$3:$BG$306=BG152))-1)/2,"")</f>
        <v/>
      </c>
      <c r="BL152" s="5">
        <f>IF(BE152,SUMPRODUCT(--(calc!$BE$3:$BE$306=TRUE),--(ROW(calc!$BE$3:$BE$306)&gt;ROW(BE152)),--(((calc!$BJ$3:$BJ$306&gt;BJ152)*(calc!$BK$3:$BK$306&gt;BK152)+(calc!$BJ$3:$BJ$306&lt;BJ152)*(calc!$BK$3:$BK$306&lt;BK152))&gt;0))-SUMPRODUCT(--(calc!$BE$3:$BE$306=TRUE),--(ROW(calc!$BE$3:$BE$306)&gt;ROW(BE152)),--(((calc!$BJ$3:$BJ$306&gt;BJ152)*(calc!$BK$3:$BK$306&lt;BK152)+(calc!$BJ$3:$BJ$306&lt;BJ152)*(calc!$BK$3:$BK$306&gt;BK152))&gt;0)),0)</f>
        <v/>
      </c>
      <c r="BM152" s="5">
        <f>IF(mos_metrics!M151="","",mos_metrics!M151)</f>
        <v/>
      </c>
      <c r="BN152" s="2">
        <f>AND($J152,ISNUMBER(BM152),correlation!$I$32=1)</f>
        <v/>
      </c>
      <c r="BO152" s="5">
        <f>IF(BN152,$F152,"")</f>
        <v/>
      </c>
      <c r="BP152" s="5">
        <f>IF(BN152,BM152*correlation!$J$32,"")</f>
        <v/>
      </c>
      <c r="BQ152" s="5">
        <f>IF(AND(BN152,ISNUMBER(correlation!$F$32)),BP152*correlation!$F$32+correlation!$G$32,"")</f>
        <v/>
      </c>
      <c r="BR152" s="5">
        <f>IF(AND(BN152,ISNUMBER(BQ152)),(BO152-BQ152)^2,"")</f>
        <v/>
      </c>
      <c r="BS152" s="5">
        <f>IF(BN152,1+SUMPRODUCT(--(calc!$BN$3:$BN$306=TRUE),--(calc!$BO$3:$BO$306&gt;BO152))+(SUMPRODUCT(--(calc!$BN$3:$BN$306=TRUE),--(calc!$BO$3:$BO$306=BO152))-1)/2,"")</f>
        <v/>
      </c>
      <c r="BT152" s="5">
        <f>IF(BN152,1+SUMPRODUCT(--(calc!$BN$3:$BN$306=TRUE),--(calc!$BP$3:$BP$306&gt;BP152))+(SUMPRODUCT(--(calc!$BN$3:$BN$306=TRUE),--(calc!$BP$3:$BP$306=BP152))-1)/2,"")</f>
        <v/>
      </c>
      <c r="BU152" s="5">
        <f>IF(BN152,SUMPRODUCT(--(calc!$BN$3:$BN$306=TRUE),--(ROW(calc!$BN$3:$BN$306)&gt;ROW(BN152)),--(((calc!$BS$3:$BS$306&gt;BS152)*(calc!$BT$3:$BT$306&gt;BT152)+(calc!$BS$3:$BS$306&lt;BS152)*(calc!$BT$3:$BT$306&lt;BT152))&gt;0))-SUMPRODUCT(--(calc!$BN$3:$BN$306=TRUE),--(ROW(calc!$BN$3:$BN$306)&gt;ROW(BN152)),--(((calc!$BS$3:$BS$306&gt;BS152)*(calc!$BT$3:$BT$306&lt;BT152)+(calc!$BS$3:$BS$306&lt;BS152)*(calc!$BT$3:$BT$306&gt;BT152))&gt;0)),0)</f>
        <v/>
      </c>
    </row>
    <row r="153">
      <c r="A153" s="2">
        <f>mos_metrics!A152</f>
        <v/>
      </c>
      <c r="B153" s="2">
        <f>mos_metrics!B152</f>
        <v/>
      </c>
      <c r="C153" s="2">
        <f>mos_metrics!C152</f>
        <v/>
      </c>
      <c r="D153" s="2">
        <f>mos_metrics!D152</f>
        <v/>
      </c>
      <c r="E153" s="2">
        <f>mos_metrics!E152</f>
        <v/>
      </c>
      <c r="F153" s="2">
        <f>mos_metrics!F152</f>
        <v/>
      </c>
      <c r="G153" s="2">
        <f>IF($B153="","",IFERROR(VLOOKUP($B153,correlation!$A$2:$B$16,2,FALSE),1))</f>
        <v/>
      </c>
      <c r="H153" s="2">
        <f>IF($E153="","",IFERROR(VLOOKUP($E153,correlation!$D$2:$E$8,2,FALSE),1))</f>
        <v/>
      </c>
      <c r="I153" s="2">
        <f>ISNUMBER($F153)</f>
        <v/>
      </c>
      <c r="J153" s="2">
        <f>AND($G153=1,$H153=1,$I153)</f>
        <v/>
      </c>
      <c r="K153" s="5">
        <f>IF(mos_metrics!G152="","",mos_metrics!G152)</f>
        <v/>
      </c>
      <c r="L153" s="2">
        <f>AND($J153,ISNUMBER(K153),correlation!$I$26=1)</f>
        <v/>
      </c>
      <c r="M153" s="5">
        <f>IF(L153,$F153,"")</f>
        <v/>
      </c>
      <c r="N153" s="5">
        <f>IF(L153,K153*correlation!$J$26,"")</f>
        <v/>
      </c>
      <c r="O153" s="5">
        <f>IF(AND(L153,ISNUMBER(correlation!$F$26)),N153*correlation!$F$26+correlation!$G$26,"")</f>
        <v/>
      </c>
      <c r="P153" s="5">
        <f>IF(AND(L153,ISNUMBER(O153)),(M153-O153)^2,"")</f>
        <v/>
      </c>
      <c r="Q153" s="5">
        <f>IF(L153,1+SUMPRODUCT(--(calc!$L$3:$L$306=TRUE),--(calc!$M$3:$M$306&gt;M153))+(SUMPRODUCT(--(calc!$L$3:$L$306=TRUE),--(calc!$M$3:$M$306=M153))-1)/2,"")</f>
        <v/>
      </c>
      <c r="R153" s="5">
        <f>IF(L153,1+SUMPRODUCT(--(calc!$L$3:$L$306=TRUE),--(calc!$N$3:$N$306&gt;N153))+(SUMPRODUCT(--(calc!$L$3:$L$306=TRUE),--(calc!$N$3:$N$306=N153))-1)/2,"")</f>
        <v/>
      </c>
      <c r="S153" s="5">
        <f>IF(L153,SUMPRODUCT(--(calc!$L$3:$L$306=TRUE),--(ROW(calc!$L$3:$L$306)&gt;ROW(L153)),--(((calc!$Q$3:$Q$306&gt;Q153)*(calc!$R$3:$R$306&gt;R153)+(calc!$Q$3:$Q$306&lt;Q153)*(calc!$R$3:$R$306&lt;R153))&gt;0))-SUMPRODUCT(--(calc!$L$3:$L$306=TRUE),--(ROW(calc!$L$3:$L$306)&gt;ROW(L153)),--(((calc!$Q$3:$Q$306&gt;Q153)*(calc!$R$3:$R$306&lt;R153)+(calc!$Q$3:$Q$306&lt;Q153)*(calc!$R$3:$R$306&gt;R153))&gt;0)),0)</f>
        <v/>
      </c>
      <c r="T153" s="5">
        <f>IF(mos_metrics!H152="","",mos_metrics!H152)</f>
        <v/>
      </c>
      <c r="U153" s="2">
        <f>AND($J153,ISNUMBER(T153),correlation!$I$27=1)</f>
        <v/>
      </c>
      <c r="V153" s="5">
        <f>IF(U153,$F153,"")</f>
        <v/>
      </c>
      <c r="W153" s="5">
        <f>IF(U153,T153*correlation!$J$27,"")</f>
        <v/>
      </c>
      <c r="X153" s="5">
        <f>IF(AND(U153,ISNUMBER(correlation!$F$27)),W153*correlation!$F$27+correlation!$G$27,"")</f>
        <v/>
      </c>
      <c r="Y153" s="5">
        <f>IF(AND(U153,ISNUMBER(X153)),(V153-X153)^2,"")</f>
        <v/>
      </c>
      <c r="Z153" s="5">
        <f>IF(U153,1+SUMPRODUCT(--(calc!$U$3:$U$306=TRUE),--(calc!$V$3:$V$306&gt;V153))+(SUMPRODUCT(--(calc!$U$3:$U$306=TRUE),--(calc!$V$3:$V$306=V153))-1)/2,"")</f>
        <v/>
      </c>
      <c r="AA153" s="5">
        <f>IF(U153,1+SUMPRODUCT(--(calc!$U$3:$U$306=TRUE),--(calc!$W$3:$W$306&gt;W153))+(SUMPRODUCT(--(calc!$U$3:$U$306=TRUE),--(calc!$W$3:$W$306=W153))-1)/2,"")</f>
        <v/>
      </c>
      <c r="AB153" s="5">
        <f>IF(U153,SUMPRODUCT(--(calc!$U$3:$U$306=TRUE),--(ROW(calc!$U$3:$U$306)&gt;ROW(U153)),--(((calc!$Z$3:$Z$306&gt;Z153)*(calc!$AA$3:$AA$306&gt;AA153)+(calc!$Z$3:$Z$306&lt;Z153)*(calc!$AA$3:$AA$306&lt;AA153))&gt;0))-SUMPRODUCT(--(calc!$U$3:$U$306=TRUE),--(ROW(calc!$U$3:$U$306)&gt;ROW(U153)),--(((calc!$Z$3:$Z$306&gt;Z153)*(calc!$AA$3:$AA$306&lt;AA153)+(calc!$Z$3:$Z$306&lt;Z153)*(calc!$AA$3:$AA$306&gt;AA153))&gt;0)),0)</f>
        <v/>
      </c>
      <c r="AC153" s="5">
        <f>IF(mos_metrics!I152="","",mos_metrics!I152)</f>
        <v/>
      </c>
      <c r="AD153" s="2">
        <f>AND($J153,ISNUMBER(AC153),correlation!$I$28=1)</f>
        <v/>
      </c>
      <c r="AE153" s="5">
        <f>IF(AD153,$F153,"")</f>
        <v/>
      </c>
      <c r="AF153" s="5">
        <f>IF(AD153,AC153*correlation!$J$28,"")</f>
        <v/>
      </c>
      <c r="AG153" s="5">
        <f>IF(AND(AD153,ISNUMBER(correlation!$F$28)),AF153*correlation!$F$28+correlation!$G$28,"")</f>
        <v/>
      </c>
      <c r="AH153" s="5">
        <f>IF(AND(AD153,ISNUMBER(AG153)),(AE153-AG153)^2,"")</f>
        <v/>
      </c>
      <c r="AI153" s="5">
        <f>IF(AD153,1+SUMPRODUCT(--(calc!$AD$3:$AD$306=TRUE),--(calc!$AE$3:$AE$306&gt;AE153))+(SUMPRODUCT(--(calc!$AD$3:$AD$306=TRUE),--(calc!$AE$3:$AE$306=AE153))-1)/2,"")</f>
        <v/>
      </c>
      <c r="AJ153" s="5">
        <f>IF(AD153,1+SUMPRODUCT(--(calc!$AD$3:$AD$306=TRUE),--(calc!$AF$3:$AF$306&gt;AF153))+(SUMPRODUCT(--(calc!$AD$3:$AD$306=TRUE),--(calc!$AF$3:$AF$306=AF153))-1)/2,"")</f>
        <v/>
      </c>
      <c r="AK153" s="5">
        <f>IF(AD153,SUMPRODUCT(--(calc!$AD$3:$AD$306=TRUE),--(ROW(calc!$AD$3:$AD$306)&gt;ROW(AD153)),--(((calc!$AI$3:$AI$306&gt;AI153)*(calc!$AJ$3:$AJ$306&gt;AJ153)+(calc!$AI$3:$AI$306&lt;AI153)*(calc!$AJ$3:$AJ$306&lt;AJ153))&gt;0))-SUMPRODUCT(--(calc!$AD$3:$AD$306=TRUE),--(ROW(calc!$AD$3:$AD$306)&gt;ROW(AD153)),--(((calc!$AI$3:$AI$306&gt;AI153)*(calc!$AJ$3:$AJ$306&lt;AJ153)+(calc!$AI$3:$AI$306&lt;AI153)*(calc!$AJ$3:$AJ$306&gt;AJ153))&gt;0)),0)</f>
        <v/>
      </c>
      <c r="AL153" s="5">
        <f>IF(mos_metrics!J152="","",mos_metrics!J152)</f>
        <v/>
      </c>
      <c r="AM153" s="2">
        <f>AND($J153,ISNUMBER(AL153),correlation!$I$29=1)</f>
        <v/>
      </c>
      <c r="AN153" s="5">
        <f>IF(AM153,$F153,"")</f>
        <v/>
      </c>
      <c r="AO153" s="5">
        <f>IF(AM153,AL153*correlation!$J$29,"")</f>
        <v/>
      </c>
      <c r="AP153" s="5">
        <f>IF(AND(AM153,ISNUMBER(correlation!$F$29)),AO153*correlation!$F$29+correlation!$G$29,"")</f>
        <v/>
      </c>
      <c r="AQ153" s="5">
        <f>IF(AND(AM153,ISNUMBER(AP153)),(AN153-AP153)^2,"")</f>
        <v/>
      </c>
      <c r="AR153" s="5">
        <f>IF(AM153,1+SUMPRODUCT(--(calc!$AM$3:$AM$306=TRUE),--(calc!$AN$3:$AN$306&gt;AN153))+(SUMPRODUCT(--(calc!$AM$3:$AM$306=TRUE),--(calc!$AN$3:$AN$306=AN153))-1)/2,"")</f>
        <v/>
      </c>
      <c r="AS153" s="5">
        <f>IF(AM153,1+SUMPRODUCT(--(calc!$AM$3:$AM$306=TRUE),--(calc!$AO$3:$AO$306&gt;AO153))+(SUMPRODUCT(--(calc!$AM$3:$AM$306=TRUE),--(calc!$AO$3:$AO$306=AO153))-1)/2,"")</f>
        <v/>
      </c>
      <c r="AT153" s="5">
        <f>IF(AM153,SUMPRODUCT(--(calc!$AM$3:$AM$306=TRUE),--(ROW(calc!$AM$3:$AM$306)&gt;ROW(AM153)),--(((calc!$AR$3:$AR$306&gt;AR153)*(calc!$AS$3:$AS$306&gt;AS153)+(calc!$AR$3:$AR$306&lt;AR153)*(calc!$AS$3:$AS$306&lt;AS153))&gt;0))-SUMPRODUCT(--(calc!$AM$3:$AM$306=TRUE),--(ROW(calc!$AM$3:$AM$306)&gt;ROW(AM153)),--(((calc!$AR$3:$AR$306&gt;AR153)*(calc!$AS$3:$AS$306&lt;AS153)+(calc!$AR$3:$AR$306&lt;AR153)*(calc!$AS$3:$AS$306&gt;AS153))&gt;0)),0)</f>
        <v/>
      </c>
      <c r="AU153" s="5">
        <f>IF(mos_metrics!K152="","",mos_metrics!K152)</f>
        <v/>
      </c>
      <c r="AV153" s="2">
        <f>AND($J153,ISNUMBER(AU153),correlation!$I$30=1)</f>
        <v/>
      </c>
      <c r="AW153" s="5">
        <f>IF(AV153,$F153,"")</f>
        <v/>
      </c>
      <c r="AX153" s="5">
        <f>IF(AV153,AU153*correlation!$J$30,"")</f>
        <v/>
      </c>
      <c r="AY153" s="5">
        <f>IF(AND(AV153,ISNUMBER(correlation!$F$30)),AX153*correlation!$F$30+correlation!$G$30,"")</f>
        <v/>
      </c>
      <c r="AZ153" s="5">
        <f>IF(AND(AV153,ISNUMBER(AY153)),(AW153-AY153)^2,"")</f>
        <v/>
      </c>
      <c r="BA153" s="5">
        <f>IF(AV153,1+SUMPRODUCT(--(calc!$AV$3:$AV$306=TRUE),--(calc!$AW$3:$AW$306&gt;AW153))+(SUMPRODUCT(--(calc!$AV$3:$AV$306=TRUE),--(calc!$AW$3:$AW$306=AW153))-1)/2,"")</f>
        <v/>
      </c>
      <c r="BB153" s="5">
        <f>IF(AV153,1+SUMPRODUCT(--(calc!$AV$3:$AV$306=TRUE),--(calc!$AX$3:$AX$306&gt;AX153))+(SUMPRODUCT(--(calc!$AV$3:$AV$306=TRUE),--(calc!$AX$3:$AX$306=AX153))-1)/2,"")</f>
        <v/>
      </c>
      <c r="BC153" s="5">
        <f>IF(AV153,SUMPRODUCT(--(calc!$AV$3:$AV$306=TRUE),--(ROW(calc!$AV$3:$AV$306)&gt;ROW(AV153)),--(((calc!$BA$3:$BA$306&gt;BA153)*(calc!$BB$3:$BB$306&gt;BB153)+(calc!$BA$3:$BA$306&lt;BA153)*(calc!$BB$3:$BB$306&lt;BB153))&gt;0))-SUMPRODUCT(--(calc!$AV$3:$AV$306=TRUE),--(ROW(calc!$AV$3:$AV$306)&gt;ROW(AV153)),--(((calc!$BA$3:$BA$306&gt;BA153)*(calc!$BB$3:$BB$306&lt;BB153)+(calc!$BA$3:$BA$306&lt;BA153)*(calc!$BB$3:$BB$306&gt;BB153))&gt;0)),0)</f>
        <v/>
      </c>
      <c r="BD153" s="5">
        <f>IF(mos_metrics!L152="","",mos_metrics!L152)</f>
        <v/>
      </c>
      <c r="BE153" s="2">
        <f>AND($J153,ISNUMBER(BD153),correlation!$I$31=1)</f>
        <v/>
      </c>
      <c r="BF153" s="5">
        <f>IF(BE153,$F153,"")</f>
        <v/>
      </c>
      <c r="BG153" s="5">
        <f>IF(BE153,BD153*correlation!$J$31,"")</f>
        <v/>
      </c>
      <c r="BH153" s="5">
        <f>IF(AND(BE153,ISNUMBER(correlation!$F$31)),BG153*correlation!$F$31+correlation!$G$31,"")</f>
        <v/>
      </c>
      <c r="BI153" s="5">
        <f>IF(AND(BE153,ISNUMBER(BH153)),(BF153-BH153)^2,"")</f>
        <v/>
      </c>
      <c r="BJ153" s="5">
        <f>IF(BE153,1+SUMPRODUCT(--(calc!$BE$3:$BE$306=TRUE),--(calc!$BF$3:$BF$306&gt;BF153))+(SUMPRODUCT(--(calc!$BE$3:$BE$306=TRUE),--(calc!$BF$3:$BF$306=BF153))-1)/2,"")</f>
        <v/>
      </c>
      <c r="BK153" s="5">
        <f>IF(BE153,1+SUMPRODUCT(--(calc!$BE$3:$BE$306=TRUE),--(calc!$BG$3:$BG$306&gt;BG153))+(SUMPRODUCT(--(calc!$BE$3:$BE$306=TRUE),--(calc!$BG$3:$BG$306=BG153))-1)/2,"")</f>
        <v/>
      </c>
      <c r="BL153" s="5">
        <f>IF(BE153,SUMPRODUCT(--(calc!$BE$3:$BE$306=TRUE),--(ROW(calc!$BE$3:$BE$306)&gt;ROW(BE153)),--(((calc!$BJ$3:$BJ$306&gt;BJ153)*(calc!$BK$3:$BK$306&gt;BK153)+(calc!$BJ$3:$BJ$306&lt;BJ153)*(calc!$BK$3:$BK$306&lt;BK153))&gt;0))-SUMPRODUCT(--(calc!$BE$3:$BE$306=TRUE),--(ROW(calc!$BE$3:$BE$306)&gt;ROW(BE153)),--(((calc!$BJ$3:$BJ$306&gt;BJ153)*(calc!$BK$3:$BK$306&lt;BK153)+(calc!$BJ$3:$BJ$306&lt;BJ153)*(calc!$BK$3:$BK$306&gt;BK153))&gt;0)),0)</f>
        <v/>
      </c>
      <c r="BM153" s="5">
        <f>IF(mos_metrics!M152="","",mos_metrics!M152)</f>
        <v/>
      </c>
      <c r="BN153" s="2">
        <f>AND($J153,ISNUMBER(BM153),correlation!$I$32=1)</f>
        <v/>
      </c>
      <c r="BO153" s="5">
        <f>IF(BN153,$F153,"")</f>
        <v/>
      </c>
      <c r="BP153" s="5">
        <f>IF(BN153,BM153*correlation!$J$32,"")</f>
        <v/>
      </c>
      <c r="BQ153" s="5">
        <f>IF(AND(BN153,ISNUMBER(correlation!$F$32)),BP153*correlation!$F$32+correlation!$G$32,"")</f>
        <v/>
      </c>
      <c r="BR153" s="5">
        <f>IF(AND(BN153,ISNUMBER(BQ153)),(BO153-BQ153)^2,"")</f>
        <v/>
      </c>
      <c r="BS153" s="5">
        <f>IF(BN153,1+SUMPRODUCT(--(calc!$BN$3:$BN$306=TRUE),--(calc!$BO$3:$BO$306&gt;BO153))+(SUMPRODUCT(--(calc!$BN$3:$BN$306=TRUE),--(calc!$BO$3:$BO$306=BO153))-1)/2,"")</f>
        <v/>
      </c>
      <c r="BT153" s="5">
        <f>IF(BN153,1+SUMPRODUCT(--(calc!$BN$3:$BN$306=TRUE),--(calc!$BP$3:$BP$306&gt;BP153))+(SUMPRODUCT(--(calc!$BN$3:$BN$306=TRUE),--(calc!$BP$3:$BP$306=BP153))-1)/2,"")</f>
        <v/>
      </c>
      <c r="BU153" s="5">
        <f>IF(BN153,SUMPRODUCT(--(calc!$BN$3:$BN$306=TRUE),--(ROW(calc!$BN$3:$BN$306)&gt;ROW(BN153)),--(((calc!$BS$3:$BS$306&gt;BS153)*(calc!$BT$3:$BT$306&gt;BT153)+(calc!$BS$3:$BS$306&lt;BS153)*(calc!$BT$3:$BT$306&lt;BT153))&gt;0))-SUMPRODUCT(--(calc!$BN$3:$BN$306=TRUE),--(ROW(calc!$BN$3:$BN$306)&gt;ROW(BN153)),--(((calc!$BS$3:$BS$306&gt;BS153)*(calc!$BT$3:$BT$306&lt;BT153)+(calc!$BS$3:$BS$306&lt;BS153)*(calc!$BT$3:$BT$306&gt;BT153))&gt;0)),0)</f>
        <v/>
      </c>
    </row>
    <row r="154">
      <c r="A154" s="2">
        <f>mos_metrics!A153</f>
        <v/>
      </c>
      <c r="B154" s="2">
        <f>mos_metrics!B153</f>
        <v/>
      </c>
      <c r="C154" s="2">
        <f>mos_metrics!C153</f>
        <v/>
      </c>
      <c r="D154" s="2">
        <f>mos_metrics!D153</f>
        <v/>
      </c>
      <c r="E154" s="2">
        <f>mos_metrics!E153</f>
        <v/>
      </c>
      <c r="F154" s="2">
        <f>mos_metrics!F153</f>
        <v/>
      </c>
      <c r="G154" s="2">
        <f>IF($B154="","",IFERROR(VLOOKUP($B154,correlation!$A$2:$B$16,2,FALSE),1))</f>
        <v/>
      </c>
      <c r="H154" s="2">
        <f>IF($E154="","",IFERROR(VLOOKUP($E154,correlation!$D$2:$E$8,2,FALSE),1))</f>
        <v/>
      </c>
      <c r="I154" s="2">
        <f>ISNUMBER($F154)</f>
        <v/>
      </c>
      <c r="J154" s="2">
        <f>AND($G154=1,$H154=1,$I154)</f>
        <v/>
      </c>
      <c r="K154" s="5">
        <f>IF(mos_metrics!G153="","",mos_metrics!G153)</f>
        <v/>
      </c>
      <c r="L154" s="2">
        <f>AND($J154,ISNUMBER(K154),correlation!$I$26=1)</f>
        <v/>
      </c>
      <c r="M154" s="5">
        <f>IF(L154,$F154,"")</f>
        <v/>
      </c>
      <c r="N154" s="5">
        <f>IF(L154,K154*correlation!$J$26,"")</f>
        <v/>
      </c>
      <c r="O154" s="5">
        <f>IF(AND(L154,ISNUMBER(correlation!$F$26)),N154*correlation!$F$26+correlation!$G$26,"")</f>
        <v/>
      </c>
      <c r="P154" s="5">
        <f>IF(AND(L154,ISNUMBER(O154)),(M154-O154)^2,"")</f>
        <v/>
      </c>
      <c r="Q154" s="5">
        <f>IF(L154,1+SUMPRODUCT(--(calc!$L$3:$L$306=TRUE),--(calc!$M$3:$M$306&gt;M154))+(SUMPRODUCT(--(calc!$L$3:$L$306=TRUE),--(calc!$M$3:$M$306=M154))-1)/2,"")</f>
        <v/>
      </c>
      <c r="R154" s="5">
        <f>IF(L154,1+SUMPRODUCT(--(calc!$L$3:$L$306=TRUE),--(calc!$N$3:$N$306&gt;N154))+(SUMPRODUCT(--(calc!$L$3:$L$306=TRUE),--(calc!$N$3:$N$306=N154))-1)/2,"")</f>
        <v/>
      </c>
      <c r="S154" s="5">
        <f>IF(L154,SUMPRODUCT(--(calc!$L$3:$L$306=TRUE),--(ROW(calc!$L$3:$L$306)&gt;ROW(L154)),--(((calc!$Q$3:$Q$306&gt;Q154)*(calc!$R$3:$R$306&gt;R154)+(calc!$Q$3:$Q$306&lt;Q154)*(calc!$R$3:$R$306&lt;R154))&gt;0))-SUMPRODUCT(--(calc!$L$3:$L$306=TRUE),--(ROW(calc!$L$3:$L$306)&gt;ROW(L154)),--(((calc!$Q$3:$Q$306&gt;Q154)*(calc!$R$3:$R$306&lt;R154)+(calc!$Q$3:$Q$306&lt;Q154)*(calc!$R$3:$R$306&gt;R154))&gt;0)),0)</f>
        <v/>
      </c>
      <c r="T154" s="5">
        <f>IF(mos_metrics!H153="","",mos_metrics!H153)</f>
        <v/>
      </c>
      <c r="U154" s="2">
        <f>AND($J154,ISNUMBER(T154),correlation!$I$27=1)</f>
        <v/>
      </c>
      <c r="V154" s="5">
        <f>IF(U154,$F154,"")</f>
        <v/>
      </c>
      <c r="W154" s="5">
        <f>IF(U154,T154*correlation!$J$27,"")</f>
        <v/>
      </c>
      <c r="X154" s="5">
        <f>IF(AND(U154,ISNUMBER(correlation!$F$27)),W154*correlation!$F$27+correlation!$G$27,"")</f>
        <v/>
      </c>
      <c r="Y154" s="5">
        <f>IF(AND(U154,ISNUMBER(X154)),(V154-X154)^2,"")</f>
        <v/>
      </c>
      <c r="Z154" s="5">
        <f>IF(U154,1+SUMPRODUCT(--(calc!$U$3:$U$306=TRUE),--(calc!$V$3:$V$306&gt;V154))+(SUMPRODUCT(--(calc!$U$3:$U$306=TRUE),--(calc!$V$3:$V$306=V154))-1)/2,"")</f>
        <v/>
      </c>
      <c r="AA154" s="5">
        <f>IF(U154,1+SUMPRODUCT(--(calc!$U$3:$U$306=TRUE),--(calc!$W$3:$W$306&gt;W154))+(SUMPRODUCT(--(calc!$U$3:$U$306=TRUE),--(calc!$W$3:$W$306=W154))-1)/2,"")</f>
        <v/>
      </c>
      <c r="AB154" s="5">
        <f>IF(U154,SUMPRODUCT(--(calc!$U$3:$U$306=TRUE),--(ROW(calc!$U$3:$U$306)&gt;ROW(U154)),--(((calc!$Z$3:$Z$306&gt;Z154)*(calc!$AA$3:$AA$306&gt;AA154)+(calc!$Z$3:$Z$306&lt;Z154)*(calc!$AA$3:$AA$306&lt;AA154))&gt;0))-SUMPRODUCT(--(calc!$U$3:$U$306=TRUE),--(ROW(calc!$U$3:$U$306)&gt;ROW(U154)),--(((calc!$Z$3:$Z$306&gt;Z154)*(calc!$AA$3:$AA$306&lt;AA154)+(calc!$Z$3:$Z$306&lt;Z154)*(calc!$AA$3:$AA$306&gt;AA154))&gt;0)),0)</f>
        <v/>
      </c>
      <c r="AC154" s="5">
        <f>IF(mos_metrics!I153="","",mos_metrics!I153)</f>
        <v/>
      </c>
      <c r="AD154" s="2">
        <f>AND($J154,ISNUMBER(AC154),correlation!$I$28=1)</f>
        <v/>
      </c>
      <c r="AE154" s="5">
        <f>IF(AD154,$F154,"")</f>
        <v/>
      </c>
      <c r="AF154" s="5">
        <f>IF(AD154,AC154*correlation!$J$28,"")</f>
        <v/>
      </c>
      <c r="AG154" s="5">
        <f>IF(AND(AD154,ISNUMBER(correlation!$F$28)),AF154*correlation!$F$28+correlation!$G$28,"")</f>
        <v/>
      </c>
      <c r="AH154" s="5">
        <f>IF(AND(AD154,ISNUMBER(AG154)),(AE154-AG154)^2,"")</f>
        <v/>
      </c>
      <c r="AI154" s="5">
        <f>IF(AD154,1+SUMPRODUCT(--(calc!$AD$3:$AD$306=TRUE),--(calc!$AE$3:$AE$306&gt;AE154))+(SUMPRODUCT(--(calc!$AD$3:$AD$306=TRUE),--(calc!$AE$3:$AE$306=AE154))-1)/2,"")</f>
        <v/>
      </c>
      <c r="AJ154" s="5">
        <f>IF(AD154,1+SUMPRODUCT(--(calc!$AD$3:$AD$306=TRUE),--(calc!$AF$3:$AF$306&gt;AF154))+(SUMPRODUCT(--(calc!$AD$3:$AD$306=TRUE),--(calc!$AF$3:$AF$306=AF154))-1)/2,"")</f>
        <v/>
      </c>
      <c r="AK154" s="5">
        <f>IF(AD154,SUMPRODUCT(--(calc!$AD$3:$AD$306=TRUE),--(ROW(calc!$AD$3:$AD$306)&gt;ROW(AD154)),--(((calc!$AI$3:$AI$306&gt;AI154)*(calc!$AJ$3:$AJ$306&gt;AJ154)+(calc!$AI$3:$AI$306&lt;AI154)*(calc!$AJ$3:$AJ$306&lt;AJ154))&gt;0))-SUMPRODUCT(--(calc!$AD$3:$AD$306=TRUE),--(ROW(calc!$AD$3:$AD$306)&gt;ROW(AD154)),--(((calc!$AI$3:$AI$306&gt;AI154)*(calc!$AJ$3:$AJ$306&lt;AJ154)+(calc!$AI$3:$AI$306&lt;AI154)*(calc!$AJ$3:$AJ$306&gt;AJ154))&gt;0)),0)</f>
        <v/>
      </c>
      <c r="AL154" s="5">
        <f>IF(mos_metrics!J153="","",mos_metrics!J153)</f>
        <v/>
      </c>
      <c r="AM154" s="2">
        <f>AND($J154,ISNUMBER(AL154),correlation!$I$29=1)</f>
        <v/>
      </c>
      <c r="AN154" s="5">
        <f>IF(AM154,$F154,"")</f>
        <v/>
      </c>
      <c r="AO154" s="5">
        <f>IF(AM154,AL154*correlation!$J$29,"")</f>
        <v/>
      </c>
      <c r="AP154" s="5">
        <f>IF(AND(AM154,ISNUMBER(correlation!$F$29)),AO154*correlation!$F$29+correlation!$G$29,"")</f>
        <v/>
      </c>
      <c r="AQ154" s="5">
        <f>IF(AND(AM154,ISNUMBER(AP154)),(AN154-AP154)^2,"")</f>
        <v/>
      </c>
      <c r="AR154" s="5">
        <f>IF(AM154,1+SUMPRODUCT(--(calc!$AM$3:$AM$306=TRUE),--(calc!$AN$3:$AN$306&gt;AN154))+(SUMPRODUCT(--(calc!$AM$3:$AM$306=TRUE),--(calc!$AN$3:$AN$306=AN154))-1)/2,"")</f>
        <v/>
      </c>
      <c r="AS154" s="5">
        <f>IF(AM154,1+SUMPRODUCT(--(calc!$AM$3:$AM$306=TRUE),--(calc!$AO$3:$AO$306&gt;AO154))+(SUMPRODUCT(--(calc!$AM$3:$AM$306=TRUE),--(calc!$AO$3:$AO$306=AO154))-1)/2,"")</f>
        <v/>
      </c>
      <c r="AT154" s="5">
        <f>IF(AM154,SUMPRODUCT(--(calc!$AM$3:$AM$306=TRUE),--(ROW(calc!$AM$3:$AM$306)&gt;ROW(AM154)),--(((calc!$AR$3:$AR$306&gt;AR154)*(calc!$AS$3:$AS$306&gt;AS154)+(calc!$AR$3:$AR$306&lt;AR154)*(calc!$AS$3:$AS$306&lt;AS154))&gt;0))-SUMPRODUCT(--(calc!$AM$3:$AM$306=TRUE),--(ROW(calc!$AM$3:$AM$306)&gt;ROW(AM154)),--(((calc!$AR$3:$AR$306&gt;AR154)*(calc!$AS$3:$AS$306&lt;AS154)+(calc!$AR$3:$AR$306&lt;AR154)*(calc!$AS$3:$AS$306&gt;AS154))&gt;0)),0)</f>
        <v/>
      </c>
      <c r="AU154" s="5">
        <f>IF(mos_metrics!K153="","",mos_metrics!K153)</f>
        <v/>
      </c>
      <c r="AV154" s="2">
        <f>AND($J154,ISNUMBER(AU154),correlation!$I$30=1)</f>
        <v/>
      </c>
      <c r="AW154" s="5">
        <f>IF(AV154,$F154,"")</f>
        <v/>
      </c>
      <c r="AX154" s="5">
        <f>IF(AV154,AU154*correlation!$J$30,"")</f>
        <v/>
      </c>
      <c r="AY154" s="5">
        <f>IF(AND(AV154,ISNUMBER(correlation!$F$30)),AX154*correlation!$F$30+correlation!$G$30,"")</f>
        <v/>
      </c>
      <c r="AZ154" s="5">
        <f>IF(AND(AV154,ISNUMBER(AY154)),(AW154-AY154)^2,"")</f>
        <v/>
      </c>
      <c r="BA154" s="5">
        <f>IF(AV154,1+SUMPRODUCT(--(calc!$AV$3:$AV$306=TRUE),--(calc!$AW$3:$AW$306&gt;AW154))+(SUMPRODUCT(--(calc!$AV$3:$AV$306=TRUE),--(calc!$AW$3:$AW$306=AW154))-1)/2,"")</f>
        <v/>
      </c>
      <c r="BB154" s="5">
        <f>IF(AV154,1+SUMPRODUCT(--(calc!$AV$3:$AV$306=TRUE),--(calc!$AX$3:$AX$306&gt;AX154))+(SUMPRODUCT(--(calc!$AV$3:$AV$306=TRUE),--(calc!$AX$3:$AX$306=AX154))-1)/2,"")</f>
        <v/>
      </c>
      <c r="BC154" s="5">
        <f>IF(AV154,SUMPRODUCT(--(calc!$AV$3:$AV$306=TRUE),--(ROW(calc!$AV$3:$AV$306)&gt;ROW(AV154)),--(((calc!$BA$3:$BA$306&gt;BA154)*(calc!$BB$3:$BB$306&gt;BB154)+(calc!$BA$3:$BA$306&lt;BA154)*(calc!$BB$3:$BB$306&lt;BB154))&gt;0))-SUMPRODUCT(--(calc!$AV$3:$AV$306=TRUE),--(ROW(calc!$AV$3:$AV$306)&gt;ROW(AV154)),--(((calc!$BA$3:$BA$306&gt;BA154)*(calc!$BB$3:$BB$306&lt;BB154)+(calc!$BA$3:$BA$306&lt;BA154)*(calc!$BB$3:$BB$306&gt;BB154))&gt;0)),0)</f>
        <v/>
      </c>
      <c r="BD154" s="5">
        <f>IF(mos_metrics!L153="","",mos_metrics!L153)</f>
        <v/>
      </c>
      <c r="BE154" s="2">
        <f>AND($J154,ISNUMBER(BD154),correlation!$I$31=1)</f>
        <v/>
      </c>
      <c r="BF154" s="5">
        <f>IF(BE154,$F154,"")</f>
        <v/>
      </c>
      <c r="BG154" s="5">
        <f>IF(BE154,BD154*correlation!$J$31,"")</f>
        <v/>
      </c>
      <c r="BH154" s="5">
        <f>IF(AND(BE154,ISNUMBER(correlation!$F$31)),BG154*correlation!$F$31+correlation!$G$31,"")</f>
        <v/>
      </c>
      <c r="BI154" s="5">
        <f>IF(AND(BE154,ISNUMBER(BH154)),(BF154-BH154)^2,"")</f>
        <v/>
      </c>
      <c r="BJ154" s="5">
        <f>IF(BE154,1+SUMPRODUCT(--(calc!$BE$3:$BE$306=TRUE),--(calc!$BF$3:$BF$306&gt;BF154))+(SUMPRODUCT(--(calc!$BE$3:$BE$306=TRUE),--(calc!$BF$3:$BF$306=BF154))-1)/2,"")</f>
        <v/>
      </c>
      <c r="BK154" s="5">
        <f>IF(BE154,1+SUMPRODUCT(--(calc!$BE$3:$BE$306=TRUE),--(calc!$BG$3:$BG$306&gt;BG154))+(SUMPRODUCT(--(calc!$BE$3:$BE$306=TRUE),--(calc!$BG$3:$BG$306=BG154))-1)/2,"")</f>
        <v/>
      </c>
      <c r="BL154" s="5">
        <f>IF(BE154,SUMPRODUCT(--(calc!$BE$3:$BE$306=TRUE),--(ROW(calc!$BE$3:$BE$306)&gt;ROW(BE154)),--(((calc!$BJ$3:$BJ$306&gt;BJ154)*(calc!$BK$3:$BK$306&gt;BK154)+(calc!$BJ$3:$BJ$306&lt;BJ154)*(calc!$BK$3:$BK$306&lt;BK154))&gt;0))-SUMPRODUCT(--(calc!$BE$3:$BE$306=TRUE),--(ROW(calc!$BE$3:$BE$306)&gt;ROW(BE154)),--(((calc!$BJ$3:$BJ$306&gt;BJ154)*(calc!$BK$3:$BK$306&lt;BK154)+(calc!$BJ$3:$BJ$306&lt;BJ154)*(calc!$BK$3:$BK$306&gt;BK154))&gt;0)),0)</f>
        <v/>
      </c>
      <c r="BM154" s="5">
        <f>IF(mos_metrics!M153="","",mos_metrics!M153)</f>
        <v/>
      </c>
      <c r="BN154" s="2">
        <f>AND($J154,ISNUMBER(BM154),correlation!$I$32=1)</f>
        <v/>
      </c>
      <c r="BO154" s="5">
        <f>IF(BN154,$F154,"")</f>
        <v/>
      </c>
      <c r="BP154" s="5">
        <f>IF(BN154,BM154*correlation!$J$32,"")</f>
        <v/>
      </c>
      <c r="BQ154" s="5">
        <f>IF(AND(BN154,ISNUMBER(correlation!$F$32)),BP154*correlation!$F$32+correlation!$G$32,"")</f>
        <v/>
      </c>
      <c r="BR154" s="5">
        <f>IF(AND(BN154,ISNUMBER(BQ154)),(BO154-BQ154)^2,"")</f>
        <v/>
      </c>
      <c r="BS154" s="5">
        <f>IF(BN154,1+SUMPRODUCT(--(calc!$BN$3:$BN$306=TRUE),--(calc!$BO$3:$BO$306&gt;BO154))+(SUMPRODUCT(--(calc!$BN$3:$BN$306=TRUE),--(calc!$BO$3:$BO$306=BO154))-1)/2,"")</f>
        <v/>
      </c>
      <c r="BT154" s="5">
        <f>IF(BN154,1+SUMPRODUCT(--(calc!$BN$3:$BN$306=TRUE),--(calc!$BP$3:$BP$306&gt;BP154))+(SUMPRODUCT(--(calc!$BN$3:$BN$306=TRUE),--(calc!$BP$3:$BP$306=BP154))-1)/2,"")</f>
        <v/>
      </c>
      <c r="BU154" s="5">
        <f>IF(BN154,SUMPRODUCT(--(calc!$BN$3:$BN$306=TRUE),--(ROW(calc!$BN$3:$BN$306)&gt;ROW(BN154)),--(((calc!$BS$3:$BS$306&gt;BS154)*(calc!$BT$3:$BT$306&gt;BT154)+(calc!$BS$3:$BS$306&lt;BS154)*(calc!$BT$3:$BT$306&lt;BT154))&gt;0))-SUMPRODUCT(--(calc!$BN$3:$BN$306=TRUE),--(ROW(calc!$BN$3:$BN$306)&gt;ROW(BN154)),--(((calc!$BS$3:$BS$306&gt;BS154)*(calc!$BT$3:$BT$306&lt;BT154)+(calc!$BS$3:$BS$306&lt;BS154)*(calc!$BT$3:$BT$306&gt;BT154))&gt;0)),0)</f>
        <v/>
      </c>
    </row>
    <row r="155">
      <c r="A155" s="2">
        <f>mos_metrics!A154</f>
        <v/>
      </c>
      <c r="B155" s="2">
        <f>mos_metrics!B154</f>
        <v/>
      </c>
      <c r="C155" s="2">
        <f>mos_metrics!C154</f>
        <v/>
      </c>
      <c r="D155" s="2">
        <f>mos_metrics!D154</f>
        <v/>
      </c>
      <c r="E155" s="2">
        <f>mos_metrics!E154</f>
        <v/>
      </c>
      <c r="F155" s="2">
        <f>mos_metrics!F154</f>
        <v/>
      </c>
      <c r="G155" s="2">
        <f>IF($B155="","",IFERROR(VLOOKUP($B155,correlation!$A$2:$B$16,2,FALSE),1))</f>
        <v/>
      </c>
      <c r="H155" s="2">
        <f>IF($E155="","",IFERROR(VLOOKUP($E155,correlation!$D$2:$E$8,2,FALSE),1))</f>
        <v/>
      </c>
      <c r="I155" s="2">
        <f>ISNUMBER($F155)</f>
        <v/>
      </c>
      <c r="J155" s="2">
        <f>AND($G155=1,$H155=1,$I155)</f>
        <v/>
      </c>
      <c r="K155" s="5">
        <f>IF(mos_metrics!G154="","",mos_metrics!G154)</f>
        <v/>
      </c>
      <c r="L155" s="2">
        <f>AND($J155,ISNUMBER(K155),correlation!$I$26=1)</f>
        <v/>
      </c>
      <c r="M155" s="5">
        <f>IF(L155,$F155,"")</f>
        <v/>
      </c>
      <c r="N155" s="5">
        <f>IF(L155,K155*correlation!$J$26,"")</f>
        <v/>
      </c>
      <c r="O155" s="5">
        <f>IF(AND(L155,ISNUMBER(correlation!$F$26)),N155*correlation!$F$26+correlation!$G$26,"")</f>
        <v/>
      </c>
      <c r="P155" s="5">
        <f>IF(AND(L155,ISNUMBER(O155)),(M155-O155)^2,"")</f>
        <v/>
      </c>
      <c r="Q155" s="5">
        <f>IF(L155,1+SUMPRODUCT(--(calc!$L$3:$L$306=TRUE),--(calc!$M$3:$M$306&gt;M155))+(SUMPRODUCT(--(calc!$L$3:$L$306=TRUE),--(calc!$M$3:$M$306=M155))-1)/2,"")</f>
        <v/>
      </c>
      <c r="R155" s="5">
        <f>IF(L155,1+SUMPRODUCT(--(calc!$L$3:$L$306=TRUE),--(calc!$N$3:$N$306&gt;N155))+(SUMPRODUCT(--(calc!$L$3:$L$306=TRUE),--(calc!$N$3:$N$306=N155))-1)/2,"")</f>
        <v/>
      </c>
      <c r="S155" s="5">
        <f>IF(L155,SUMPRODUCT(--(calc!$L$3:$L$306=TRUE),--(ROW(calc!$L$3:$L$306)&gt;ROW(L155)),--(((calc!$Q$3:$Q$306&gt;Q155)*(calc!$R$3:$R$306&gt;R155)+(calc!$Q$3:$Q$306&lt;Q155)*(calc!$R$3:$R$306&lt;R155))&gt;0))-SUMPRODUCT(--(calc!$L$3:$L$306=TRUE),--(ROW(calc!$L$3:$L$306)&gt;ROW(L155)),--(((calc!$Q$3:$Q$306&gt;Q155)*(calc!$R$3:$R$306&lt;R155)+(calc!$Q$3:$Q$306&lt;Q155)*(calc!$R$3:$R$306&gt;R155))&gt;0)),0)</f>
        <v/>
      </c>
      <c r="T155" s="5">
        <f>IF(mos_metrics!H154="","",mos_metrics!H154)</f>
        <v/>
      </c>
      <c r="U155" s="2">
        <f>AND($J155,ISNUMBER(T155),correlation!$I$27=1)</f>
        <v/>
      </c>
      <c r="V155" s="5">
        <f>IF(U155,$F155,"")</f>
        <v/>
      </c>
      <c r="W155" s="5">
        <f>IF(U155,T155*correlation!$J$27,"")</f>
        <v/>
      </c>
      <c r="X155" s="5">
        <f>IF(AND(U155,ISNUMBER(correlation!$F$27)),W155*correlation!$F$27+correlation!$G$27,"")</f>
        <v/>
      </c>
      <c r="Y155" s="5">
        <f>IF(AND(U155,ISNUMBER(X155)),(V155-X155)^2,"")</f>
        <v/>
      </c>
      <c r="Z155" s="5">
        <f>IF(U155,1+SUMPRODUCT(--(calc!$U$3:$U$306=TRUE),--(calc!$V$3:$V$306&gt;V155))+(SUMPRODUCT(--(calc!$U$3:$U$306=TRUE),--(calc!$V$3:$V$306=V155))-1)/2,"")</f>
        <v/>
      </c>
      <c r="AA155" s="5">
        <f>IF(U155,1+SUMPRODUCT(--(calc!$U$3:$U$306=TRUE),--(calc!$W$3:$W$306&gt;W155))+(SUMPRODUCT(--(calc!$U$3:$U$306=TRUE),--(calc!$W$3:$W$306=W155))-1)/2,"")</f>
        <v/>
      </c>
      <c r="AB155" s="5">
        <f>IF(U155,SUMPRODUCT(--(calc!$U$3:$U$306=TRUE),--(ROW(calc!$U$3:$U$306)&gt;ROW(U155)),--(((calc!$Z$3:$Z$306&gt;Z155)*(calc!$AA$3:$AA$306&gt;AA155)+(calc!$Z$3:$Z$306&lt;Z155)*(calc!$AA$3:$AA$306&lt;AA155))&gt;0))-SUMPRODUCT(--(calc!$U$3:$U$306=TRUE),--(ROW(calc!$U$3:$U$306)&gt;ROW(U155)),--(((calc!$Z$3:$Z$306&gt;Z155)*(calc!$AA$3:$AA$306&lt;AA155)+(calc!$Z$3:$Z$306&lt;Z155)*(calc!$AA$3:$AA$306&gt;AA155))&gt;0)),0)</f>
        <v/>
      </c>
      <c r="AC155" s="5">
        <f>IF(mos_metrics!I154="","",mos_metrics!I154)</f>
        <v/>
      </c>
      <c r="AD155" s="2">
        <f>AND($J155,ISNUMBER(AC155),correlation!$I$28=1)</f>
        <v/>
      </c>
      <c r="AE155" s="5">
        <f>IF(AD155,$F155,"")</f>
        <v/>
      </c>
      <c r="AF155" s="5">
        <f>IF(AD155,AC155*correlation!$J$28,"")</f>
        <v/>
      </c>
      <c r="AG155" s="5">
        <f>IF(AND(AD155,ISNUMBER(correlation!$F$28)),AF155*correlation!$F$28+correlation!$G$28,"")</f>
        <v/>
      </c>
      <c r="AH155" s="5">
        <f>IF(AND(AD155,ISNUMBER(AG155)),(AE155-AG155)^2,"")</f>
        <v/>
      </c>
      <c r="AI155" s="5">
        <f>IF(AD155,1+SUMPRODUCT(--(calc!$AD$3:$AD$306=TRUE),--(calc!$AE$3:$AE$306&gt;AE155))+(SUMPRODUCT(--(calc!$AD$3:$AD$306=TRUE),--(calc!$AE$3:$AE$306=AE155))-1)/2,"")</f>
        <v/>
      </c>
      <c r="AJ155" s="5">
        <f>IF(AD155,1+SUMPRODUCT(--(calc!$AD$3:$AD$306=TRUE),--(calc!$AF$3:$AF$306&gt;AF155))+(SUMPRODUCT(--(calc!$AD$3:$AD$306=TRUE),--(calc!$AF$3:$AF$306=AF155))-1)/2,"")</f>
        <v/>
      </c>
      <c r="AK155" s="5">
        <f>IF(AD155,SUMPRODUCT(--(calc!$AD$3:$AD$306=TRUE),--(ROW(calc!$AD$3:$AD$306)&gt;ROW(AD155)),--(((calc!$AI$3:$AI$306&gt;AI155)*(calc!$AJ$3:$AJ$306&gt;AJ155)+(calc!$AI$3:$AI$306&lt;AI155)*(calc!$AJ$3:$AJ$306&lt;AJ155))&gt;0))-SUMPRODUCT(--(calc!$AD$3:$AD$306=TRUE),--(ROW(calc!$AD$3:$AD$306)&gt;ROW(AD155)),--(((calc!$AI$3:$AI$306&gt;AI155)*(calc!$AJ$3:$AJ$306&lt;AJ155)+(calc!$AI$3:$AI$306&lt;AI155)*(calc!$AJ$3:$AJ$306&gt;AJ155))&gt;0)),0)</f>
        <v/>
      </c>
      <c r="AL155" s="5">
        <f>IF(mos_metrics!J154="","",mos_metrics!J154)</f>
        <v/>
      </c>
      <c r="AM155" s="2">
        <f>AND($J155,ISNUMBER(AL155),correlation!$I$29=1)</f>
        <v/>
      </c>
      <c r="AN155" s="5">
        <f>IF(AM155,$F155,"")</f>
        <v/>
      </c>
      <c r="AO155" s="5">
        <f>IF(AM155,AL155*correlation!$J$29,"")</f>
        <v/>
      </c>
      <c r="AP155" s="5">
        <f>IF(AND(AM155,ISNUMBER(correlation!$F$29)),AO155*correlation!$F$29+correlation!$G$29,"")</f>
        <v/>
      </c>
      <c r="AQ155" s="5">
        <f>IF(AND(AM155,ISNUMBER(AP155)),(AN155-AP155)^2,"")</f>
        <v/>
      </c>
      <c r="AR155" s="5">
        <f>IF(AM155,1+SUMPRODUCT(--(calc!$AM$3:$AM$306=TRUE),--(calc!$AN$3:$AN$306&gt;AN155))+(SUMPRODUCT(--(calc!$AM$3:$AM$306=TRUE),--(calc!$AN$3:$AN$306=AN155))-1)/2,"")</f>
        <v/>
      </c>
      <c r="AS155" s="5">
        <f>IF(AM155,1+SUMPRODUCT(--(calc!$AM$3:$AM$306=TRUE),--(calc!$AO$3:$AO$306&gt;AO155))+(SUMPRODUCT(--(calc!$AM$3:$AM$306=TRUE),--(calc!$AO$3:$AO$306=AO155))-1)/2,"")</f>
        <v/>
      </c>
      <c r="AT155" s="5">
        <f>IF(AM155,SUMPRODUCT(--(calc!$AM$3:$AM$306=TRUE),--(ROW(calc!$AM$3:$AM$306)&gt;ROW(AM155)),--(((calc!$AR$3:$AR$306&gt;AR155)*(calc!$AS$3:$AS$306&gt;AS155)+(calc!$AR$3:$AR$306&lt;AR155)*(calc!$AS$3:$AS$306&lt;AS155))&gt;0))-SUMPRODUCT(--(calc!$AM$3:$AM$306=TRUE),--(ROW(calc!$AM$3:$AM$306)&gt;ROW(AM155)),--(((calc!$AR$3:$AR$306&gt;AR155)*(calc!$AS$3:$AS$306&lt;AS155)+(calc!$AR$3:$AR$306&lt;AR155)*(calc!$AS$3:$AS$306&gt;AS155))&gt;0)),0)</f>
        <v/>
      </c>
      <c r="AU155" s="5">
        <f>IF(mos_metrics!K154="","",mos_metrics!K154)</f>
        <v/>
      </c>
      <c r="AV155" s="2">
        <f>AND($J155,ISNUMBER(AU155),correlation!$I$30=1)</f>
        <v/>
      </c>
      <c r="AW155" s="5">
        <f>IF(AV155,$F155,"")</f>
        <v/>
      </c>
      <c r="AX155" s="5">
        <f>IF(AV155,AU155*correlation!$J$30,"")</f>
        <v/>
      </c>
      <c r="AY155" s="5">
        <f>IF(AND(AV155,ISNUMBER(correlation!$F$30)),AX155*correlation!$F$30+correlation!$G$30,"")</f>
        <v/>
      </c>
      <c r="AZ155" s="5">
        <f>IF(AND(AV155,ISNUMBER(AY155)),(AW155-AY155)^2,"")</f>
        <v/>
      </c>
      <c r="BA155" s="5">
        <f>IF(AV155,1+SUMPRODUCT(--(calc!$AV$3:$AV$306=TRUE),--(calc!$AW$3:$AW$306&gt;AW155))+(SUMPRODUCT(--(calc!$AV$3:$AV$306=TRUE),--(calc!$AW$3:$AW$306=AW155))-1)/2,"")</f>
        <v/>
      </c>
      <c r="BB155" s="5">
        <f>IF(AV155,1+SUMPRODUCT(--(calc!$AV$3:$AV$306=TRUE),--(calc!$AX$3:$AX$306&gt;AX155))+(SUMPRODUCT(--(calc!$AV$3:$AV$306=TRUE),--(calc!$AX$3:$AX$306=AX155))-1)/2,"")</f>
        <v/>
      </c>
      <c r="BC155" s="5">
        <f>IF(AV155,SUMPRODUCT(--(calc!$AV$3:$AV$306=TRUE),--(ROW(calc!$AV$3:$AV$306)&gt;ROW(AV155)),--(((calc!$BA$3:$BA$306&gt;BA155)*(calc!$BB$3:$BB$306&gt;BB155)+(calc!$BA$3:$BA$306&lt;BA155)*(calc!$BB$3:$BB$306&lt;BB155))&gt;0))-SUMPRODUCT(--(calc!$AV$3:$AV$306=TRUE),--(ROW(calc!$AV$3:$AV$306)&gt;ROW(AV155)),--(((calc!$BA$3:$BA$306&gt;BA155)*(calc!$BB$3:$BB$306&lt;BB155)+(calc!$BA$3:$BA$306&lt;BA155)*(calc!$BB$3:$BB$306&gt;BB155))&gt;0)),0)</f>
        <v/>
      </c>
      <c r="BD155" s="5">
        <f>IF(mos_metrics!L154="","",mos_metrics!L154)</f>
        <v/>
      </c>
      <c r="BE155" s="2">
        <f>AND($J155,ISNUMBER(BD155),correlation!$I$31=1)</f>
        <v/>
      </c>
      <c r="BF155" s="5">
        <f>IF(BE155,$F155,"")</f>
        <v/>
      </c>
      <c r="BG155" s="5">
        <f>IF(BE155,BD155*correlation!$J$31,"")</f>
        <v/>
      </c>
      <c r="BH155" s="5">
        <f>IF(AND(BE155,ISNUMBER(correlation!$F$31)),BG155*correlation!$F$31+correlation!$G$31,"")</f>
        <v/>
      </c>
      <c r="BI155" s="5">
        <f>IF(AND(BE155,ISNUMBER(BH155)),(BF155-BH155)^2,"")</f>
        <v/>
      </c>
      <c r="BJ155" s="5">
        <f>IF(BE155,1+SUMPRODUCT(--(calc!$BE$3:$BE$306=TRUE),--(calc!$BF$3:$BF$306&gt;BF155))+(SUMPRODUCT(--(calc!$BE$3:$BE$306=TRUE),--(calc!$BF$3:$BF$306=BF155))-1)/2,"")</f>
        <v/>
      </c>
      <c r="BK155" s="5">
        <f>IF(BE155,1+SUMPRODUCT(--(calc!$BE$3:$BE$306=TRUE),--(calc!$BG$3:$BG$306&gt;BG155))+(SUMPRODUCT(--(calc!$BE$3:$BE$306=TRUE),--(calc!$BG$3:$BG$306=BG155))-1)/2,"")</f>
        <v/>
      </c>
      <c r="BL155" s="5">
        <f>IF(BE155,SUMPRODUCT(--(calc!$BE$3:$BE$306=TRUE),--(ROW(calc!$BE$3:$BE$306)&gt;ROW(BE155)),--(((calc!$BJ$3:$BJ$306&gt;BJ155)*(calc!$BK$3:$BK$306&gt;BK155)+(calc!$BJ$3:$BJ$306&lt;BJ155)*(calc!$BK$3:$BK$306&lt;BK155))&gt;0))-SUMPRODUCT(--(calc!$BE$3:$BE$306=TRUE),--(ROW(calc!$BE$3:$BE$306)&gt;ROW(BE155)),--(((calc!$BJ$3:$BJ$306&gt;BJ155)*(calc!$BK$3:$BK$306&lt;BK155)+(calc!$BJ$3:$BJ$306&lt;BJ155)*(calc!$BK$3:$BK$306&gt;BK155))&gt;0)),0)</f>
        <v/>
      </c>
      <c r="BM155" s="5">
        <f>IF(mos_metrics!M154="","",mos_metrics!M154)</f>
        <v/>
      </c>
      <c r="BN155" s="2">
        <f>AND($J155,ISNUMBER(BM155),correlation!$I$32=1)</f>
        <v/>
      </c>
      <c r="BO155" s="5">
        <f>IF(BN155,$F155,"")</f>
        <v/>
      </c>
      <c r="BP155" s="5">
        <f>IF(BN155,BM155*correlation!$J$32,"")</f>
        <v/>
      </c>
      <c r="BQ155" s="5">
        <f>IF(AND(BN155,ISNUMBER(correlation!$F$32)),BP155*correlation!$F$32+correlation!$G$32,"")</f>
        <v/>
      </c>
      <c r="BR155" s="5">
        <f>IF(AND(BN155,ISNUMBER(BQ155)),(BO155-BQ155)^2,"")</f>
        <v/>
      </c>
      <c r="BS155" s="5">
        <f>IF(BN155,1+SUMPRODUCT(--(calc!$BN$3:$BN$306=TRUE),--(calc!$BO$3:$BO$306&gt;BO155))+(SUMPRODUCT(--(calc!$BN$3:$BN$306=TRUE),--(calc!$BO$3:$BO$306=BO155))-1)/2,"")</f>
        <v/>
      </c>
      <c r="BT155" s="5">
        <f>IF(BN155,1+SUMPRODUCT(--(calc!$BN$3:$BN$306=TRUE),--(calc!$BP$3:$BP$306&gt;BP155))+(SUMPRODUCT(--(calc!$BN$3:$BN$306=TRUE),--(calc!$BP$3:$BP$306=BP155))-1)/2,"")</f>
        <v/>
      </c>
      <c r="BU155" s="5">
        <f>IF(BN155,SUMPRODUCT(--(calc!$BN$3:$BN$306=TRUE),--(ROW(calc!$BN$3:$BN$306)&gt;ROW(BN155)),--(((calc!$BS$3:$BS$306&gt;BS155)*(calc!$BT$3:$BT$306&gt;BT155)+(calc!$BS$3:$BS$306&lt;BS155)*(calc!$BT$3:$BT$306&lt;BT155))&gt;0))-SUMPRODUCT(--(calc!$BN$3:$BN$306=TRUE),--(ROW(calc!$BN$3:$BN$306)&gt;ROW(BN155)),--(((calc!$BS$3:$BS$306&gt;BS155)*(calc!$BT$3:$BT$306&lt;BT155)+(calc!$BS$3:$BS$306&lt;BS155)*(calc!$BT$3:$BT$306&gt;BT155))&gt;0)),0)</f>
        <v/>
      </c>
    </row>
    <row r="156">
      <c r="A156" s="2">
        <f>mos_metrics!A155</f>
        <v/>
      </c>
      <c r="B156" s="2">
        <f>mos_metrics!B155</f>
        <v/>
      </c>
      <c r="C156" s="2">
        <f>mos_metrics!C155</f>
        <v/>
      </c>
      <c r="D156" s="2">
        <f>mos_metrics!D155</f>
        <v/>
      </c>
      <c r="E156" s="2">
        <f>mos_metrics!E155</f>
        <v/>
      </c>
      <c r="F156" s="2">
        <f>mos_metrics!F155</f>
        <v/>
      </c>
      <c r="G156" s="2">
        <f>IF($B156="","",IFERROR(VLOOKUP($B156,correlation!$A$2:$B$16,2,FALSE),1))</f>
        <v/>
      </c>
      <c r="H156" s="2">
        <f>IF($E156="","",IFERROR(VLOOKUP($E156,correlation!$D$2:$E$8,2,FALSE),1))</f>
        <v/>
      </c>
      <c r="I156" s="2">
        <f>ISNUMBER($F156)</f>
        <v/>
      </c>
      <c r="J156" s="2">
        <f>AND($G156=1,$H156=1,$I156)</f>
        <v/>
      </c>
      <c r="K156" s="5">
        <f>IF(mos_metrics!G155="","",mos_metrics!G155)</f>
        <v/>
      </c>
      <c r="L156" s="2">
        <f>AND($J156,ISNUMBER(K156),correlation!$I$26=1)</f>
        <v/>
      </c>
      <c r="M156" s="5">
        <f>IF(L156,$F156,"")</f>
        <v/>
      </c>
      <c r="N156" s="5">
        <f>IF(L156,K156*correlation!$J$26,"")</f>
        <v/>
      </c>
      <c r="O156" s="5">
        <f>IF(AND(L156,ISNUMBER(correlation!$F$26)),N156*correlation!$F$26+correlation!$G$26,"")</f>
        <v/>
      </c>
      <c r="P156" s="5">
        <f>IF(AND(L156,ISNUMBER(O156)),(M156-O156)^2,"")</f>
        <v/>
      </c>
      <c r="Q156" s="5">
        <f>IF(L156,1+SUMPRODUCT(--(calc!$L$3:$L$306=TRUE),--(calc!$M$3:$M$306&gt;M156))+(SUMPRODUCT(--(calc!$L$3:$L$306=TRUE),--(calc!$M$3:$M$306=M156))-1)/2,"")</f>
        <v/>
      </c>
      <c r="R156" s="5">
        <f>IF(L156,1+SUMPRODUCT(--(calc!$L$3:$L$306=TRUE),--(calc!$N$3:$N$306&gt;N156))+(SUMPRODUCT(--(calc!$L$3:$L$306=TRUE),--(calc!$N$3:$N$306=N156))-1)/2,"")</f>
        <v/>
      </c>
      <c r="S156" s="5">
        <f>IF(L156,SUMPRODUCT(--(calc!$L$3:$L$306=TRUE),--(ROW(calc!$L$3:$L$306)&gt;ROW(L156)),--(((calc!$Q$3:$Q$306&gt;Q156)*(calc!$R$3:$R$306&gt;R156)+(calc!$Q$3:$Q$306&lt;Q156)*(calc!$R$3:$R$306&lt;R156))&gt;0))-SUMPRODUCT(--(calc!$L$3:$L$306=TRUE),--(ROW(calc!$L$3:$L$306)&gt;ROW(L156)),--(((calc!$Q$3:$Q$306&gt;Q156)*(calc!$R$3:$R$306&lt;R156)+(calc!$Q$3:$Q$306&lt;Q156)*(calc!$R$3:$R$306&gt;R156))&gt;0)),0)</f>
        <v/>
      </c>
      <c r="T156" s="5">
        <f>IF(mos_metrics!H155="","",mos_metrics!H155)</f>
        <v/>
      </c>
      <c r="U156" s="2">
        <f>AND($J156,ISNUMBER(T156),correlation!$I$27=1)</f>
        <v/>
      </c>
      <c r="V156" s="5">
        <f>IF(U156,$F156,"")</f>
        <v/>
      </c>
      <c r="W156" s="5">
        <f>IF(U156,T156*correlation!$J$27,"")</f>
        <v/>
      </c>
      <c r="X156" s="5">
        <f>IF(AND(U156,ISNUMBER(correlation!$F$27)),W156*correlation!$F$27+correlation!$G$27,"")</f>
        <v/>
      </c>
      <c r="Y156" s="5">
        <f>IF(AND(U156,ISNUMBER(X156)),(V156-X156)^2,"")</f>
        <v/>
      </c>
      <c r="Z156" s="5">
        <f>IF(U156,1+SUMPRODUCT(--(calc!$U$3:$U$306=TRUE),--(calc!$V$3:$V$306&gt;V156))+(SUMPRODUCT(--(calc!$U$3:$U$306=TRUE),--(calc!$V$3:$V$306=V156))-1)/2,"")</f>
        <v/>
      </c>
      <c r="AA156" s="5">
        <f>IF(U156,1+SUMPRODUCT(--(calc!$U$3:$U$306=TRUE),--(calc!$W$3:$W$306&gt;W156))+(SUMPRODUCT(--(calc!$U$3:$U$306=TRUE),--(calc!$W$3:$W$306=W156))-1)/2,"")</f>
        <v/>
      </c>
      <c r="AB156" s="5">
        <f>IF(U156,SUMPRODUCT(--(calc!$U$3:$U$306=TRUE),--(ROW(calc!$U$3:$U$306)&gt;ROW(U156)),--(((calc!$Z$3:$Z$306&gt;Z156)*(calc!$AA$3:$AA$306&gt;AA156)+(calc!$Z$3:$Z$306&lt;Z156)*(calc!$AA$3:$AA$306&lt;AA156))&gt;0))-SUMPRODUCT(--(calc!$U$3:$U$306=TRUE),--(ROW(calc!$U$3:$U$306)&gt;ROW(U156)),--(((calc!$Z$3:$Z$306&gt;Z156)*(calc!$AA$3:$AA$306&lt;AA156)+(calc!$Z$3:$Z$306&lt;Z156)*(calc!$AA$3:$AA$306&gt;AA156))&gt;0)),0)</f>
        <v/>
      </c>
      <c r="AC156" s="5">
        <f>IF(mos_metrics!I155="","",mos_metrics!I155)</f>
        <v/>
      </c>
      <c r="AD156" s="2">
        <f>AND($J156,ISNUMBER(AC156),correlation!$I$28=1)</f>
        <v/>
      </c>
      <c r="AE156" s="5">
        <f>IF(AD156,$F156,"")</f>
        <v/>
      </c>
      <c r="AF156" s="5">
        <f>IF(AD156,AC156*correlation!$J$28,"")</f>
        <v/>
      </c>
      <c r="AG156" s="5">
        <f>IF(AND(AD156,ISNUMBER(correlation!$F$28)),AF156*correlation!$F$28+correlation!$G$28,"")</f>
        <v/>
      </c>
      <c r="AH156" s="5">
        <f>IF(AND(AD156,ISNUMBER(AG156)),(AE156-AG156)^2,"")</f>
        <v/>
      </c>
      <c r="AI156" s="5">
        <f>IF(AD156,1+SUMPRODUCT(--(calc!$AD$3:$AD$306=TRUE),--(calc!$AE$3:$AE$306&gt;AE156))+(SUMPRODUCT(--(calc!$AD$3:$AD$306=TRUE),--(calc!$AE$3:$AE$306=AE156))-1)/2,"")</f>
        <v/>
      </c>
      <c r="AJ156" s="5">
        <f>IF(AD156,1+SUMPRODUCT(--(calc!$AD$3:$AD$306=TRUE),--(calc!$AF$3:$AF$306&gt;AF156))+(SUMPRODUCT(--(calc!$AD$3:$AD$306=TRUE),--(calc!$AF$3:$AF$306=AF156))-1)/2,"")</f>
        <v/>
      </c>
      <c r="AK156" s="5">
        <f>IF(AD156,SUMPRODUCT(--(calc!$AD$3:$AD$306=TRUE),--(ROW(calc!$AD$3:$AD$306)&gt;ROW(AD156)),--(((calc!$AI$3:$AI$306&gt;AI156)*(calc!$AJ$3:$AJ$306&gt;AJ156)+(calc!$AI$3:$AI$306&lt;AI156)*(calc!$AJ$3:$AJ$306&lt;AJ156))&gt;0))-SUMPRODUCT(--(calc!$AD$3:$AD$306=TRUE),--(ROW(calc!$AD$3:$AD$306)&gt;ROW(AD156)),--(((calc!$AI$3:$AI$306&gt;AI156)*(calc!$AJ$3:$AJ$306&lt;AJ156)+(calc!$AI$3:$AI$306&lt;AI156)*(calc!$AJ$3:$AJ$306&gt;AJ156))&gt;0)),0)</f>
        <v/>
      </c>
      <c r="AL156" s="5">
        <f>IF(mos_metrics!J155="","",mos_metrics!J155)</f>
        <v/>
      </c>
      <c r="AM156" s="2">
        <f>AND($J156,ISNUMBER(AL156),correlation!$I$29=1)</f>
        <v/>
      </c>
      <c r="AN156" s="5">
        <f>IF(AM156,$F156,"")</f>
        <v/>
      </c>
      <c r="AO156" s="5">
        <f>IF(AM156,AL156*correlation!$J$29,"")</f>
        <v/>
      </c>
      <c r="AP156" s="5">
        <f>IF(AND(AM156,ISNUMBER(correlation!$F$29)),AO156*correlation!$F$29+correlation!$G$29,"")</f>
        <v/>
      </c>
      <c r="AQ156" s="5">
        <f>IF(AND(AM156,ISNUMBER(AP156)),(AN156-AP156)^2,"")</f>
        <v/>
      </c>
      <c r="AR156" s="5">
        <f>IF(AM156,1+SUMPRODUCT(--(calc!$AM$3:$AM$306=TRUE),--(calc!$AN$3:$AN$306&gt;AN156))+(SUMPRODUCT(--(calc!$AM$3:$AM$306=TRUE),--(calc!$AN$3:$AN$306=AN156))-1)/2,"")</f>
        <v/>
      </c>
      <c r="AS156" s="5">
        <f>IF(AM156,1+SUMPRODUCT(--(calc!$AM$3:$AM$306=TRUE),--(calc!$AO$3:$AO$306&gt;AO156))+(SUMPRODUCT(--(calc!$AM$3:$AM$306=TRUE),--(calc!$AO$3:$AO$306=AO156))-1)/2,"")</f>
        <v/>
      </c>
      <c r="AT156" s="5">
        <f>IF(AM156,SUMPRODUCT(--(calc!$AM$3:$AM$306=TRUE),--(ROW(calc!$AM$3:$AM$306)&gt;ROW(AM156)),--(((calc!$AR$3:$AR$306&gt;AR156)*(calc!$AS$3:$AS$306&gt;AS156)+(calc!$AR$3:$AR$306&lt;AR156)*(calc!$AS$3:$AS$306&lt;AS156))&gt;0))-SUMPRODUCT(--(calc!$AM$3:$AM$306=TRUE),--(ROW(calc!$AM$3:$AM$306)&gt;ROW(AM156)),--(((calc!$AR$3:$AR$306&gt;AR156)*(calc!$AS$3:$AS$306&lt;AS156)+(calc!$AR$3:$AR$306&lt;AR156)*(calc!$AS$3:$AS$306&gt;AS156))&gt;0)),0)</f>
        <v/>
      </c>
      <c r="AU156" s="5">
        <f>IF(mos_metrics!K155="","",mos_metrics!K155)</f>
        <v/>
      </c>
      <c r="AV156" s="2">
        <f>AND($J156,ISNUMBER(AU156),correlation!$I$30=1)</f>
        <v/>
      </c>
      <c r="AW156" s="5">
        <f>IF(AV156,$F156,"")</f>
        <v/>
      </c>
      <c r="AX156" s="5">
        <f>IF(AV156,AU156*correlation!$J$30,"")</f>
        <v/>
      </c>
      <c r="AY156" s="5">
        <f>IF(AND(AV156,ISNUMBER(correlation!$F$30)),AX156*correlation!$F$30+correlation!$G$30,"")</f>
        <v/>
      </c>
      <c r="AZ156" s="5">
        <f>IF(AND(AV156,ISNUMBER(AY156)),(AW156-AY156)^2,"")</f>
        <v/>
      </c>
      <c r="BA156" s="5">
        <f>IF(AV156,1+SUMPRODUCT(--(calc!$AV$3:$AV$306=TRUE),--(calc!$AW$3:$AW$306&gt;AW156))+(SUMPRODUCT(--(calc!$AV$3:$AV$306=TRUE),--(calc!$AW$3:$AW$306=AW156))-1)/2,"")</f>
        <v/>
      </c>
      <c r="BB156" s="5">
        <f>IF(AV156,1+SUMPRODUCT(--(calc!$AV$3:$AV$306=TRUE),--(calc!$AX$3:$AX$306&gt;AX156))+(SUMPRODUCT(--(calc!$AV$3:$AV$306=TRUE),--(calc!$AX$3:$AX$306=AX156))-1)/2,"")</f>
        <v/>
      </c>
      <c r="BC156" s="5">
        <f>IF(AV156,SUMPRODUCT(--(calc!$AV$3:$AV$306=TRUE),--(ROW(calc!$AV$3:$AV$306)&gt;ROW(AV156)),--(((calc!$BA$3:$BA$306&gt;BA156)*(calc!$BB$3:$BB$306&gt;BB156)+(calc!$BA$3:$BA$306&lt;BA156)*(calc!$BB$3:$BB$306&lt;BB156))&gt;0))-SUMPRODUCT(--(calc!$AV$3:$AV$306=TRUE),--(ROW(calc!$AV$3:$AV$306)&gt;ROW(AV156)),--(((calc!$BA$3:$BA$306&gt;BA156)*(calc!$BB$3:$BB$306&lt;BB156)+(calc!$BA$3:$BA$306&lt;BA156)*(calc!$BB$3:$BB$306&gt;BB156))&gt;0)),0)</f>
        <v/>
      </c>
      <c r="BD156" s="5">
        <f>IF(mos_metrics!L155="","",mos_metrics!L155)</f>
        <v/>
      </c>
      <c r="BE156" s="2">
        <f>AND($J156,ISNUMBER(BD156),correlation!$I$31=1)</f>
        <v/>
      </c>
      <c r="BF156" s="5">
        <f>IF(BE156,$F156,"")</f>
        <v/>
      </c>
      <c r="BG156" s="5">
        <f>IF(BE156,BD156*correlation!$J$31,"")</f>
        <v/>
      </c>
      <c r="BH156" s="5">
        <f>IF(AND(BE156,ISNUMBER(correlation!$F$31)),BG156*correlation!$F$31+correlation!$G$31,"")</f>
        <v/>
      </c>
      <c r="BI156" s="5">
        <f>IF(AND(BE156,ISNUMBER(BH156)),(BF156-BH156)^2,"")</f>
        <v/>
      </c>
      <c r="BJ156" s="5">
        <f>IF(BE156,1+SUMPRODUCT(--(calc!$BE$3:$BE$306=TRUE),--(calc!$BF$3:$BF$306&gt;BF156))+(SUMPRODUCT(--(calc!$BE$3:$BE$306=TRUE),--(calc!$BF$3:$BF$306=BF156))-1)/2,"")</f>
        <v/>
      </c>
      <c r="BK156" s="5">
        <f>IF(BE156,1+SUMPRODUCT(--(calc!$BE$3:$BE$306=TRUE),--(calc!$BG$3:$BG$306&gt;BG156))+(SUMPRODUCT(--(calc!$BE$3:$BE$306=TRUE),--(calc!$BG$3:$BG$306=BG156))-1)/2,"")</f>
        <v/>
      </c>
      <c r="BL156" s="5">
        <f>IF(BE156,SUMPRODUCT(--(calc!$BE$3:$BE$306=TRUE),--(ROW(calc!$BE$3:$BE$306)&gt;ROW(BE156)),--(((calc!$BJ$3:$BJ$306&gt;BJ156)*(calc!$BK$3:$BK$306&gt;BK156)+(calc!$BJ$3:$BJ$306&lt;BJ156)*(calc!$BK$3:$BK$306&lt;BK156))&gt;0))-SUMPRODUCT(--(calc!$BE$3:$BE$306=TRUE),--(ROW(calc!$BE$3:$BE$306)&gt;ROW(BE156)),--(((calc!$BJ$3:$BJ$306&gt;BJ156)*(calc!$BK$3:$BK$306&lt;BK156)+(calc!$BJ$3:$BJ$306&lt;BJ156)*(calc!$BK$3:$BK$306&gt;BK156))&gt;0)),0)</f>
        <v/>
      </c>
      <c r="BM156" s="5">
        <f>IF(mos_metrics!M155="","",mos_metrics!M155)</f>
        <v/>
      </c>
      <c r="BN156" s="2">
        <f>AND($J156,ISNUMBER(BM156),correlation!$I$32=1)</f>
        <v/>
      </c>
      <c r="BO156" s="5">
        <f>IF(BN156,$F156,"")</f>
        <v/>
      </c>
      <c r="BP156" s="5">
        <f>IF(BN156,BM156*correlation!$J$32,"")</f>
        <v/>
      </c>
      <c r="BQ156" s="5">
        <f>IF(AND(BN156,ISNUMBER(correlation!$F$32)),BP156*correlation!$F$32+correlation!$G$32,"")</f>
        <v/>
      </c>
      <c r="BR156" s="5">
        <f>IF(AND(BN156,ISNUMBER(BQ156)),(BO156-BQ156)^2,"")</f>
        <v/>
      </c>
      <c r="BS156" s="5">
        <f>IF(BN156,1+SUMPRODUCT(--(calc!$BN$3:$BN$306=TRUE),--(calc!$BO$3:$BO$306&gt;BO156))+(SUMPRODUCT(--(calc!$BN$3:$BN$306=TRUE),--(calc!$BO$3:$BO$306=BO156))-1)/2,"")</f>
        <v/>
      </c>
      <c r="BT156" s="5">
        <f>IF(BN156,1+SUMPRODUCT(--(calc!$BN$3:$BN$306=TRUE),--(calc!$BP$3:$BP$306&gt;BP156))+(SUMPRODUCT(--(calc!$BN$3:$BN$306=TRUE),--(calc!$BP$3:$BP$306=BP156))-1)/2,"")</f>
        <v/>
      </c>
      <c r="BU156" s="5">
        <f>IF(BN156,SUMPRODUCT(--(calc!$BN$3:$BN$306=TRUE),--(ROW(calc!$BN$3:$BN$306)&gt;ROW(BN156)),--(((calc!$BS$3:$BS$306&gt;BS156)*(calc!$BT$3:$BT$306&gt;BT156)+(calc!$BS$3:$BS$306&lt;BS156)*(calc!$BT$3:$BT$306&lt;BT156))&gt;0))-SUMPRODUCT(--(calc!$BN$3:$BN$306=TRUE),--(ROW(calc!$BN$3:$BN$306)&gt;ROW(BN156)),--(((calc!$BS$3:$BS$306&gt;BS156)*(calc!$BT$3:$BT$306&lt;BT156)+(calc!$BS$3:$BS$306&lt;BS156)*(calc!$BT$3:$BT$306&gt;BT156))&gt;0)),0)</f>
        <v/>
      </c>
    </row>
    <row r="157">
      <c r="A157" s="2">
        <f>mos_metrics!A156</f>
        <v/>
      </c>
      <c r="B157" s="2">
        <f>mos_metrics!B156</f>
        <v/>
      </c>
      <c r="C157" s="2">
        <f>mos_metrics!C156</f>
        <v/>
      </c>
      <c r="D157" s="2">
        <f>mos_metrics!D156</f>
        <v/>
      </c>
      <c r="E157" s="2">
        <f>mos_metrics!E156</f>
        <v/>
      </c>
      <c r="F157" s="2">
        <f>mos_metrics!F156</f>
        <v/>
      </c>
      <c r="G157" s="2">
        <f>IF($B157="","",IFERROR(VLOOKUP($B157,correlation!$A$2:$B$16,2,FALSE),1))</f>
        <v/>
      </c>
      <c r="H157" s="2">
        <f>IF($E157="","",IFERROR(VLOOKUP($E157,correlation!$D$2:$E$8,2,FALSE),1))</f>
        <v/>
      </c>
      <c r="I157" s="2">
        <f>ISNUMBER($F157)</f>
        <v/>
      </c>
      <c r="J157" s="2">
        <f>AND($G157=1,$H157=1,$I157)</f>
        <v/>
      </c>
      <c r="K157" s="5">
        <f>IF(mos_metrics!G156="","",mos_metrics!G156)</f>
        <v/>
      </c>
      <c r="L157" s="2">
        <f>AND($J157,ISNUMBER(K157),correlation!$I$26=1)</f>
        <v/>
      </c>
      <c r="M157" s="5">
        <f>IF(L157,$F157,"")</f>
        <v/>
      </c>
      <c r="N157" s="5">
        <f>IF(L157,K157*correlation!$J$26,"")</f>
        <v/>
      </c>
      <c r="O157" s="5">
        <f>IF(AND(L157,ISNUMBER(correlation!$F$26)),N157*correlation!$F$26+correlation!$G$26,"")</f>
        <v/>
      </c>
      <c r="P157" s="5">
        <f>IF(AND(L157,ISNUMBER(O157)),(M157-O157)^2,"")</f>
        <v/>
      </c>
      <c r="Q157" s="5">
        <f>IF(L157,1+SUMPRODUCT(--(calc!$L$3:$L$306=TRUE),--(calc!$M$3:$M$306&gt;M157))+(SUMPRODUCT(--(calc!$L$3:$L$306=TRUE),--(calc!$M$3:$M$306=M157))-1)/2,"")</f>
        <v/>
      </c>
      <c r="R157" s="5">
        <f>IF(L157,1+SUMPRODUCT(--(calc!$L$3:$L$306=TRUE),--(calc!$N$3:$N$306&gt;N157))+(SUMPRODUCT(--(calc!$L$3:$L$306=TRUE),--(calc!$N$3:$N$306=N157))-1)/2,"")</f>
        <v/>
      </c>
      <c r="S157" s="5">
        <f>IF(L157,SUMPRODUCT(--(calc!$L$3:$L$306=TRUE),--(ROW(calc!$L$3:$L$306)&gt;ROW(L157)),--(((calc!$Q$3:$Q$306&gt;Q157)*(calc!$R$3:$R$306&gt;R157)+(calc!$Q$3:$Q$306&lt;Q157)*(calc!$R$3:$R$306&lt;R157))&gt;0))-SUMPRODUCT(--(calc!$L$3:$L$306=TRUE),--(ROW(calc!$L$3:$L$306)&gt;ROW(L157)),--(((calc!$Q$3:$Q$306&gt;Q157)*(calc!$R$3:$R$306&lt;R157)+(calc!$Q$3:$Q$306&lt;Q157)*(calc!$R$3:$R$306&gt;R157))&gt;0)),0)</f>
        <v/>
      </c>
      <c r="T157" s="5">
        <f>IF(mos_metrics!H156="","",mos_metrics!H156)</f>
        <v/>
      </c>
      <c r="U157" s="2">
        <f>AND($J157,ISNUMBER(T157),correlation!$I$27=1)</f>
        <v/>
      </c>
      <c r="V157" s="5">
        <f>IF(U157,$F157,"")</f>
        <v/>
      </c>
      <c r="W157" s="5">
        <f>IF(U157,T157*correlation!$J$27,"")</f>
        <v/>
      </c>
      <c r="X157" s="5">
        <f>IF(AND(U157,ISNUMBER(correlation!$F$27)),W157*correlation!$F$27+correlation!$G$27,"")</f>
        <v/>
      </c>
      <c r="Y157" s="5">
        <f>IF(AND(U157,ISNUMBER(X157)),(V157-X157)^2,"")</f>
        <v/>
      </c>
      <c r="Z157" s="5">
        <f>IF(U157,1+SUMPRODUCT(--(calc!$U$3:$U$306=TRUE),--(calc!$V$3:$V$306&gt;V157))+(SUMPRODUCT(--(calc!$U$3:$U$306=TRUE),--(calc!$V$3:$V$306=V157))-1)/2,"")</f>
        <v/>
      </c>
      <c r="AA157" s="5">
        <f>IF(U157,1+SUMPRODUCT(--(calc!$U$3:$U$306=TRUE),--(calc!$W$3:$W$306&gt;W157))+(SUMPRODUCT(--(calc!$U$3:$U$306=TRUE),--(calc!$W$3:$W$306=W157))-1)/2,"")</f>
        <v/>
      </c>
      <c r="AB157" s="5">
        <f>IF(U157,SUMPRODUCT(--(calc!$U$3:$U$306=TRUE),--(ROW(calc!$U$3:$U$306)&gt;ROW(U157)),--(((calc!$Z$3:$Z$306&gt;Z157)*(calc!$AA$3:$AA$306&gt;AA157)+(calc!$Z$3:$Z$306&lt;Z157)*(calc!$AA$3:$AA$306&lt;AA157))&gt;0))-SUMPRODUCT(--(calc!$U$3:$U$306=TRUE),--(ROW(calc!$U$3:$U$306)&gt;ROW(U157)),--(((calc!$Z$3:$Z$306&gt;Z157)*(calc!$AA$3:$AA$306&lt;AA157)+(calc!$Z$3:$Z$306&lt;Z157)*(calc!$AA$3:$AA$306&gt;AA157))&gt;0)),0)</f>
        <v/>
      </c>
      <c r="AC157" s="5">
        <f>IF(mos_metrics!I156="","",mos_metrics!I156)</f>
        <v/>
      </c>
      <c r="AD157" s="2">
        <f>AND($J157,ISNUMBER(AC157),correlation!$I$28=1)</f>
        <v/>
      </c>
      <c r="AE157" s="5">
        <f>IF(AD157,$F157,"")</f>
        <v/>
      </c>
      <c r="AF157" s="5">
        <f>IF(AD157,AC157*correlation!$J$28,"")</f>
        <v/>
      </c>
      <c r="AG157" s="5">
        <f>IF(AND(AD157,ISNUMBER(correlation!$F$28)),AF157*correlation!$F$28+correlation!$G$28,"")</f>
        <v/>
      </c>
      <c r="AH157" s="5">
        <f>IF(AND(AD157,ISNUMBER(AG157)),(AE157-AG157)^2,"")</f>
        <v/>
      </c>
      <c r="AI157" s="5">
        <f>IF(AD157,1+SUMPRODUCT(--(calc!$AD$3:$AD$306=TRUE),--(calc!$AE$3:$AE$306&gt;AE157))+(SUMPRODUCT(--(calc!$AD$3:$AD$306=TRUE),--(calc!$AE$3:$AE$306=AE157))-1)/2,"")</f>
        <v/>
      </c>
      <c r="AJ157" s="5">
        <f>IF(AD157,1+SUMPRODUCT(--(calc!$AD$3:$AD$306=TRUE),--(calc!$AF$3:$AF$306&gt;AF157))+(SUMPRODUCT(--(calc!$AD$3:$AD$306=TRUE),--(calc!$AF$3:$AF$306=AF157))-1)/2,"")</f>
        <v/>
      </c>
      <c r="AK157" s="5">
        <f>IF(AD157,SUMPRODUCT(--(calc!$AD$3:$AD$306=TRUE),--(ROW(calc!$AD$3:$AD$306)&gt;ROW(AD157)),--(((calc!$AI$3:$AI$306&gt;AI157)*(calc!$AJ$3:$AJ$306&gt;AJ157)+(calc!$AI$3:$AI$306&lt;AI157)*(calc!$AJ$3:$AJ$306&lt;AJ157))&gt;0))-SUMPRODUCT(--(calc!$AD$3:$AD$306=TRUE),--(ROW(calc!$AD$3:$AD$306)&gt;ROW(AD157)),--(((calc!$AI$3:$AI$306&gt;AI157)*(calc!$AJ$3:$AJ$306&lt;AJ157)+(calc!$AI$3:$AI$306&lt;AI157)*(calc!$AJ$3:$AJ$306&gt;AJ157))&gt;0)),0)</f>
        <v/>
      </c>
      <c r="AL157" s="5">
        <f>IF(mos_metrics!J156="","",mos_metrics!J156)</f>
        <v/>
      </c>
      <c r="AM157" s="2">
        <f>AND($J157,ISNUMBER(AL157),correlation!$I$29=1)</f>
        <v/>
      </c>
      <c r="AN157" s="5">
        <f>IF(AM157,$F157,"")</f>
        <v/>
      </c>
      <c r="AO157" s="5">
        <f>IF(AM157,AL157*correlation!$J$29,"")</f>
        <v/>
      </c>
      <c r="AP157" s="5">
        <f>IF(AND(AM157,ISNUMBER(correlation!$F$29)),AO157*correlation!$F$29+correlation!$G$29,"")</f>
        <v/>
      </c>
      <c r="AQ157" s="5">
        <f>IF(AND(AM157,ISNUMBER(AP157)),(AN157-AP157)^2,"")</f>
        <v/>
      </c>
      <c r="AR157" s="5">
        <f>IF(AM157,1+SUMPRODUCT(--(calc!$AM$3:$AM$306=TRUE),--(calc!$AN$3:$AN$306&gt;AN157))+(SUMPRODUCT(--(calc!$AM$3:$AM$306=TRUE),--(calc!$AN$3:$AN$306=AN157))-1)/2,"")</f>
        <v/>
      </c>
      <c r="AS157" s="5">
        <f>IF(AM157,1+SUMPRODUCT(--(calc!$AM$3:$AM$306=TRUE),--(calc!$AO$3:$AO$306&gt;AO157))+(SUMPRODUCT(--(calc!$AM$3:$AM$306=TRUE),--(calc!$AO$3:$AO$306=AO157))-1)/2,"")</f>
        <v/>
      </c>
      <c r="AT157" s="5">
        <f>IF(AM157,SUMPRODUCT(--(calc!$AM$3:$AM$306=TRUE),--(ROW(calc!$AM$3:$AM$306)&gt;ROW(AM157)),--(((calc!$AR$3:$AR$306&gt;AR157)*(calc!$AS$3:$AS$306&gt;AS157)+(calc!$AR$3:$AR$306&lt;AR157)*(calc!$AS$3:$AS$306&lt;AS157))&gt;0))-SUMPRODUCT(--(calc!$AM$3:$AM$306=TRUE),--(ROW(calc!$AM$3:$AM$306)&gt;ROW(AM157)),--(((calc!$AR$3:$AR$306&gt;AR157)*(calc!$AS$3:$AS$306&lt;AS157)+(calc!$AR$3:$AR$306&lt;AR157)*(calc!$AS$3:$AS$306&gt;AS157))&gt;0)),0)</f>
        <v/>
      </c>
      <c r="AU157" s="5">
        <f>IF(mos_metrics!K156="","",mos_metrics!K156)</f>
        <v/>
      </c>
      <c r="AV157" s="2">
        <f>AND($J157,ISNUMBER(AU157),correlation!$I$30=1)</f>
        <v/>
      </c>
      <c r="AW157" s="5">
        <f>IF(AV157,$F157,"")</f>
        <v/>
      </c>
      <c r="AX157" s="5">
        <f>IF(AV157,AU157*correlation!$J$30,"")</f>
        <v/>
      </c>
      <c r="AY157" s="5">
        <f>IF(AND(AV157,ISNUMBER(correlation!$F$30)),AX157*correlation!$F$30+correlation!$G$30,"")</f>
        <v/>
      </c>
      <c r="AZ157" s="5">
        <f>IF(AND(AV157,ISNUMBER(AY157)),(AW157-AY157)^2,"")</f>
        <v/>
      </c>
      <c r="BA157" s="5">
        <f>IF(AV157,1+SUMPRODUCT(--(calc!$AV$3:$AV$306=TRUE),--(calc!$AW$3:$AW$306&gt;AW157))+(SUMPRODUCT(--(calc!$AV$3:$AV$306=TRUE),--(calc!$AW$3:$AW$306=AW157))-1)/2,"")</f>
        <v/>
      </c>
      <c r="BB157" s="5">
        <f>IF(AV157,1+SUMPRODUCT(--(calc!$AV$3:$AV$306=TRUE),--(calc!$AX$3:$AX$306&gt;AX157))+(SUMPRODUCT(--(calc!$AV$3:$AV$306=TRUE),--(calc!$AX$3:$AX$306=AX157))-1)/2,"")</f>
        <v/>
      </c>
      <c r="BC157" s="5">
        <f>IF(AV157,SUMPRODUCT(--(calc!$AV$3:$AV$306=TRUE),--(ROW(calc!$AV$3:$AV$306)&gt;ROW(AV157)),--(((calc!$BA$3:$BA$306&gt;BA157)*(calc!$BB$3:$BB$306&gt;BB157)+(calc!$BA$3:$BA$306&lt;BA157)*(calc!$BB$3:$BB$306&lt;BB157))&gt;0))-SUMPRODUCT(--(calc!$AV$3:$AV$306=TRUE),--(ROW(calc!$AV$3:$AV$306)&gt;ROW(AV157)),--(((calc!$BA$3:$BA$306&gt;BA157)*(calc!$BB$3:$BB$306&lt;BB157)+(calc!$BA$3:$BA$306&lt;BA157)*(calc!$BB$3:$BB$306&gt;BB157))&gt;0)),0)</f>
        <v/>
      </c>
      <c r="BD157" s="5">
        <f>IF(mos_metrics!L156="","",mos_metrics!L156)</f>
        <v/>
      </c>
      <c r="BE157" s="2">
        <f>AND($J157,ISNUMBER(BD157),correlation!$I$31=1)</f>
        <v/>
      </c>
      <c r="BF157" s="5">
        <f>IF(BE157,$F157,"")</f>
        <v/>
      </c>
      <c r="BG157" s="5">
        <f>IF(BE157,BD157*correlation!$J$31,"")</f>
        <v/>
      </c>
      <c r="BH157" s="5">
        <f>IF(AND(BE157,ISNUMBER(correlation!$F$31)),BG157*correlation!$F$31+correlation!$G$31,"")</f>
        <v/>
      </c>
      <c r="BI157" s="5">
        <f>IF(AND(BE157,ISNUMBER(BH157)),(BF157-BH157)^2,"")</f>
        <v/>
      </c>
      <c r="BJ157" s="5">
        <f>IF(BE157,1+SUMPRODUCT(--(calc!$BE$3:$BE$306=TRUE),--(calc!$BF$3:$BF$306&gt;BF157))+(SUMPRODUCT(--(calc!$BE$3:$BE$306=TRUE),--(calc!$BF$3:$BF$306=BF157))-1)/2,"")</f>
        <v/>
      </c>
      <c r="BK157" s="5">
        <f>IF(BE157,1+SUMPRODUCT(--(calc!$BE$3:$BE$306=TRUE),--(calc!$BG$3:$BG$306&gt;BG157))+(SUMPRODUCT(--(calc!$BE$3:$BE$306=TRUE),--(calc!$BG$3:$BG$306=BG157))-1)/2,"")</f>
        <v/>
      </c>
      <c r="BL157" s="5">
        <f>IF(BE157,SUMPRODUCT(--(calc!$BE$3:$BE$306=TRUE),--(ROW(calc!$BE$3:$BE$306)&gt;ROW(BE157)),--(((calc!$BJ$3:$BJ$306&gt;BJ157)*(calc!$BK$3:$BK$306&gt;BK157)+(calc!$BJ$3:$BJ$306&lt;BJ157)*(calc!$BK$3:$BK$306&lt;BK157))&gt;0))-SUMPRODUCT(--(calc!$BE$3:$BE$306=TRUE),--(ROW(calc!$BE$3:$BE$306)&gt;ROW(BE157)),--(((calc!$BJ$3:$BJ$306&gt;BJ157)*(calc!$BK$3:$BK$306&lt;BK157)+(calc!$BJ$3:$BJ$306&lt;BJ157)*(calc!$BK$3:$BK$306&gt;BK157))&gt;0)),0)</f>
        <v/>
      </c>
      <c r="BM157" s="5">
        <f>IF(mos_metrics!M156="","",mos_metrics!M156)</f>
        <v/>
      </c>
      <c r="BN157" s="2">
        <f>AND($J157,ISNUMBER(BM157),correlation!$I$32=1)</f>
        <v/>
      </c>
      <c r="BO157" s="5">
        <f>IF(BN157,$F157,"")</f>
        <v/>
      </c>
      <c r="BP157" s="5">
        <f>IF(BN157,BM157*correlation!$J$32,"")</f>
        <v/>
      </c>
      <c r="BQ157" s="5">
        <f>IF(AND(BN157,ISNUMBER(correlation!$F$32)),BP157*correlation!$F$32+correlation!$G$32,"")</f>
        <v/>
      </c>
      <c r="BR157" s="5">
        <f>IF(AND(BN157,ISNUMBER(BQ157)),(BO157-BQ157)^2,"")</f>
        <v/>
      </c>
      <c r="BS157" s="5">
        <f>IF(BN157,1+SUMPRODUCT(--(calc!$BN$3:$BN$306=TRUE),--(calc!$BO$3:$BO$306&gt;BO157))+(SUMPRODUCT(--(calc!$BN$3:$BN$306=TRUE),--(calc!$BO$3:$BO$306=BO157))-1)/2,"")</f>
        <v/>
      </c>
      <c r="BT157" s="5">
        <f>IF(BN157,1+SUMPRODUCT(--(calc!$BN$3:$BN$306=TRUE),--(calc!$BP$3:$BP$306&gt;BP157))+(SUMPRODUCT(--(calc!$BN$3:$BN$306=TRUE),--(calc!$BP$3:$BP$306=BP157))-1)/2,"")</f>
        <v/>
      </c>
      <c r="BU157" s="5">
        <f>IF(BN157,SUMPRODUCT(--(calc!$BN$3:$BN$306=TRUE),--(ROW(calc!$BN$3:$BN$306)&gt;ROW(BN157)),--(((calc!$BS$3:$BS$306&gt;BS157)*(calc!$BT$3:$BT$306&gt;BT157)+(calc!$BS$3:$BS$306&lt;BS157)*(calc!$BT$3:$BT$306&lt;BT157))&gt;0))-SUMPRODUCT(--(calc!$BN$3:$BN$306=TRUE),--(ROW(calc!$BN$3:$BN$306)&gt;ROW(BN157)),--(((calc!$BS$3:$BS$306&gt;BS157)*(calc!$BT$3:$BT$306&lt;BT157)+(calc!$BS$3:$BS$306&lt;BS157)*(calc!$BT$3:$BT$306&gt;BT157))&gt;0)),0)</f>
        <v/>
      </c>
    </row>
    <row r="158">
      <c r="A158" s="2">
        <f>mos_metrics!A157</f>
        <v/>
      </c>
      <c r="B158" s="2">
        <f>mos_metrics!B157</f>
        <v/>
      </c>
      <c r="C158" s="2">
        <f>mos_metrics!C157</f>
        <v/>
      </c>
      <c r="D158" s="2">
        <f>mos_metrics!D157</f>
        <v/>
      </c>
      <c r="E158" s="2">
        <f>mos_metrics!E157</f>
        <v/>
      </c>
      <c r="F158" s="2">
        <f>mos_metrics!F157</f>
        <v/>
      </c>
      <c r="G158" s="2">
        <f>IF($B158="","",IFERROR(VLOOKUP($B158,correlation!$A$2:$B$16,2,FALSE),1))</f>
        <v/>
      </c>
      <c r="H158" s="2">
        <f>IF($E158="","",IFERROR(VLOOKUP($E158,correlation!$D$2:$E$8,2,FALSE),1))</f>
        <v/>
      </c>
      <c r="I158" s="2">
        <f>ISNUMBER($F158)</f>
        <v/>
      </c>
      <c r="J158" s="2">
        <f>AND($G158=1,$H158=1,$I158)</f>
        <v/>
      </c>
      <c r="K158" s="5">
        <f>IF(mos_metrics!G157="","",mos_metrics!G157)</f>
        <v/>
      </c>
      <c r="L158" s="2">
        <f>AND($J158,ISNUMBER(K158),correlation!$I$26=1)</f>
        <v/>
      </c>
      <c r="M158" s="5">
        <f>IF(L158,$F158,"")</f>
        <v/>
      </c>
      <c r="N158" s="5">
        <f>IF(L158,K158*correlation!$J$26,"")</f>
        <v/>
      </c>
      <c r="O158" s="5">
        <f>IF(AND(L158,ISNUMBER(correlation!$F$26)),N158*correlation!$F$26+correlation!$G$26,"")</f>
        <v/>
      </c>
      <c r="P158" s="5">
        <f>IF(AND(L158,ISNUMBER(O158)),(M158-O158)^2,"")</f>
        <v/>
      </c>
      <c r="Q158" s="5">
        <f>IF(L158,1+SUMPRODUCT(--(calc!$L$3:$L$306=TRUE),--(calc!$M$3:$M$306&gt;M158))+(SUMPRODUCT(--(calc!$L$3:$L$306=TRUE),--(calc!$M$3:$M$306=M158))-1)/2,"")</f>
        <v/>
      </c>
      <c r="R158" s="5">
        <f>IF(L158,1+SUMPRODUCT(--(calc!$L$3:$L$306=TRUE),--(calc!$N$3:$N$306&gt;N158))+(SUMPRODUCT(--(calc!$L$3:$L$306=TRUE),--(calc!$N$3:$N$306=N158))-1)/2,"")</f>
        <v/>
      </c>
      <c r="S158" s="5">
        <f>IF(L158,SUMPRODUCT(--(calc!$L$3:$L$306=TRUE),--(ROW(calc!$L$3:$L$306)&gt;ROW(L158)),--(((calc!$Q$3:$Q$306&gt;Q158)*(calc!$R$3:$R$306&gt;R158)+(calc!$Q$3:$Q$306&lt;Q158)*(calc!$R$3:$R$306&lt;R158))&gt;0))-SUMPRODUCT(--(calc!$L$3:$L$306=TRUE),--(ROW(calc!$L$3:$L$306)&gt;ROW(L158)),--(((calc!$Q$3:$Q$306&gt;Q158)*(calc!$R$3:$R$306&lt;R158)+(calc!$Q$3:$Q$306&lt;Q158)*(calc!$R$3:$R$306&gt;R158))&gt;0)),0)</f>
        <v/>
      </c>
      <c r="T158" s="5">
        <f>IF(mos_metrics!H157="","",mos_metrics!H157)</f>
        <v/>
      </c>
      <c r="U158" s="2">
        <f>AND($J158,ISNUMBER(T158),correlation!$I$27=1)</f>
        <v/>
      </c>
      <c r="V158" s="5">
        <f>IF(U158,$F158,"")</f>
        <v/>
      </c>
      <c r="W158" s="5">
        <f>IF(U158,T158*correlation!$J$27,"")</f>
        <v/>
      </c>
      <c r="X158" s="5">
        <f>IF(AND(U158,ISNUMBER(correlation!$F$27)),W158*correlation!$F$27+correlation!$G$27,"")</f>
        <v/>
      </c>
      <c r="Y158" s="5">
        <f>IF(AND(U158,ISNUMBER(X158)),(V158-X158)^2,"")</f>
        <v/>
      </c>
      <c r="Z158" s="5">
        <f>IF(U158,1+SUMPRODUCT(--(calc!$U$3:$U$306=TRUE),--(calc!$V$3:$V$306&gt;V158))+(SUMPRODUCT(--(calc!$U$3:$U$306=TRUE),--(calc!$V$3:$V$306=V158))-1)/2,"")</f>
        <v/>
      </c>
      <c r="AA158" s="5">
        <f>IF(U158,1+SUMPRODUCT(--(calc!$U$3:$U$306=TRUE),--(calc!$W$3:$W$306&gt;W158))+(SUMPRODUCT(--(calc!$U$3:$U$306=TRUE),--(calc!$W$3:$W$306=W158))-1)/2,"")</f>
        <v/>
      </c>
      <c r="AB158" s="5">
        <f>IF(U158,SUMPRODUCT(--(calc!$U$3:$U$306=TRUE),--(ROW(calc!$U$3:$U$306)&gt;ROW(U158)),--(((calc!$Z$3:$Z$306&gt;Z158)*(calc!$AA$3:$AA$306&gt;AA158)+(calc!$Z$3:$Z$306&lt;Z158)*(calc!$AA$3:$AA$306&lt;AA158))&gt;0))-SUMPRODUCT(--(calc!$U$3:$U$306=TRUE),--(ROW(calc!$U$3:$U$306)&gt;ROW(U158)),--(((calc!$Z$3:$Z$306&gt;Z158)*(calc!$AA$3:$AA$306&lt;AA158)+(calc!$Z$3:$Z$306&lt;Z158)*(calc!$AA$3:$AA$306&gt;AA158))&gt;0)),0)</f>
        <v/>
      </c>
      <c r="AC158" s="5">
        <f>IF(mos_metrics!I157="","",mos_metrics!I157)</f>
        <v/>
      </c>
      <c r="AD158" s="2">
        <f>AND($J158,ISNUMBER(AC158),correlation!$I$28=1)</f>
        <v/>
      </c>
      <c r="AE158" s="5">
        <f>IF(AD158,$F158,"")</f>
        <v/>
      </c>
      <c r="AF158" s="5">
        <f>IF(AD158,AC158*correlation!$J$28,"")</f>
        <v/>
      </c>
      <c r="AG158" s="5">
        <f>IF(AND(AD158,ISNUMBER(correlation!$F$28)),AF158*correlation!$F$28+correlation!$G$28,"")</f>
        <v/>
      </c>
      <c r="AH158" s="5">
        <f>IF(AND(AD158,ISNUMBER(AG158)),(AE158-AG158)^2,"")</f>
        <v/>
      </c>
      <c r="AI158" s="5">
        <f>IF(AD158,1+SUMPRODUCT(--(calc!$AD$3:$AD$306=TRUE),--(calc!$AE$3:$AE$306&gt;AE158))+(SUMPRODUCT(--(calc!$AD$3:$AD$306=TRUE),--(calc!$AE$3:$AE$306=AE158))-1)/2,"")</f>
        <v/>
      </c>
      <c r="AJ158" s="5">
        <f>IF(AD158,1+SUMPRODUCT(--(calc!$AD$3:$AD$306=TRUE),--(calc!$AF$3:$AF$306&gt;AF158))+(SUMPRODUCT(--(calc!$AD$3:$AD$306=TRUE),--(calc!$AF$3:$AF$306=AF158))-1)/2,"")</f>
        <v/>
      </c>
      <c r="AK158" s="5">
        <f>IF(AD158,SUMPRODUCT(--(calc!$AD$3:$AD$306=TRUE),--(ROW(calc!$AD$3:$AD$306)&gt;ROW(AD158)),--(((calc!$AI$3:$AI$306&gt;AI158)*(calc!$AJ$3:$AJ$306&gt;AJ158)+(calc!$AI$3:$AI$306&lt;AI158)*(calc!$AJ$3:$AJ$306&lt;AJ158))&gt;0))-SUMPRODUCT(--(calc!$AD$3:$AD$306=TRUE),--(ROW(calc!$AD$3:$AD$306)&gt;ROW(AD158)),--(((calc!$AI$3:$AI$306&gt;AI158)*(calc!$AJ$3:$AJ$306&lt;AJ158)+(calc!$AI$3:$AI$306&lt;AI158)*(calc!$AJ$3:$AJ$306&gt;AJ158))&gt;0)),0)</f>
        <v/>
      </c>
      <c r="AL158" s="5">
        <f>IF(mos_metrics!J157="","",mos_metrics!J157)</f>
        <v/>
      </c>
      <c r="AM158" s="2">
        <f>AND($J158,ISNUMBER(AL158),correlation!$I$29=1)</f>
        <v/>
      </c>
      <c r="AN158" s="5">
        <f>IF(AM158,$F158,"")</f>
        <v/>
      </c>
      <c r="AO158" s="5">
        <f>IF(AM158,AL158*correlation!$J$29,"")</f>
        <v/>
      </c>
      <c r="AP158" s="5">
        <f>IF(AND(AM158,ISNUMBER(correlation!$F$29)),AO158*correlation!$F$29+correlation!$G$29,"")</f>
        <v/>
      </c>
      <c r="AQ158" s="5">
        <f>IF(AND(AM158,ISNUMBER(AP158)),(AN158-AP158)^2,"")</f>
        <v/>
      </c>
      <c r="AR158" s="5">
        <f>IF(AM158,1+SUMPRODUCT(--(calc!$AM$3:$AM$306=TRUE),--(calc!$AN$3:$AN$306&gt;AN158))+(SUMPRODUCT(--(calc!$AM$3:$AM$306=TRUE),--(calc!$AN$3:$AN$306=AN158))-1)/2,"")</f>
        <v/>
      </c>
      <c r="AS158" s="5">
        <f>IF(AM158,1+SUMPRODUCT(--(calc!$AM$3:$AM$306=TRUE),--(calc!$AO$3:$AO$306&gt;AO158))+(SUMPRODUCT(--(calc!$AM$3:$AM$306=TRUE),--(calc!$AO$3:$AO$306=AO158))-1)/2,"")</f>
        <v/>
      </c>
      <c r="AT158" s="5">
        <f>IF(AM158,SUMPRODUCT(--(calc!$AM$3:$AM$306=TRUE),--(ROW(calc!$AM$3:$AM$306)&gt;ROW(AM158)),--(((calc!$AR$3:$AR$306&gt;AR158)*(calc!$AS$3:$AS$306&gt;AS158)+(calc!$AR$3:$AR$306&lt;AR158)*(calc!$AS$3:$AS$306&lt;AS158))&gt;0))-SUMPRODUCT(--(calc!$AM$3:$AM$306=TRUE),--(ROW(calc!$AM$3:$AM$306)&gt;ROW(AM158)),--(((calc!$AR$3:$AR$306&gt;AR158)*(calc!$AS$3:$AS$306&lt;AS158)+(calc!$AR$3:$AR$306&lt;AR158)*(calc!$AS$3:$AS$306&gt;AS158))&gt;0)),0)</f>
        <v/>
      </c>
      <c r="AU158" s="5">
        <f>IF(mos_metrics!K157="","",mos_metrics!K157)</f>
        <v/>
      </c>
      <c r="AV158" s="2">
        <f>AND($J158,ISNUMBER(AU158),correlation!$I$30=1)</f>
        <v/>
      </c>
      <c r="AW158" s="5">
        <f>IF(AV158,$F158,"")</f>
        <v/>
      </c>
      <c r="AX158" s="5">
        <f>IF(AV158,AU158*correlation!$J$30,"")</f>
        <v/>
      </c>
      <c r="AY158" s="5">
        <f>IF(AND(AV158,ISNUMBER(correlation!$F$30)),AX158*correlation!$F$30+correlation!$G$30,"")</f>
        <v/>
      </c>
      <c r="AZ158" s="5">
        <f>IF(AND(AV158,ISNUMBER(AY158)),(AW158-AY158)^2,"")</f>
        <v/>
      </c>
      <c r="BA158" s="5">
        <f>IF(AV158,1+SUMPRODUCT(--(calc!$AV$3:$AV$306=TRUE),--(calc!$AW$3:$AW$306&gt;AW158))+(SUMPRODUCT(--(calc!$AV$3:$AV$306=TRUE),--(calc!$AW$3:$AW$306=AW158))-1)/2,"")</f>
        <v/>
      </c>
      <c r="BB158" s="5">
        <f>IF(AV158,1+SUMPRODUCT(--(calc!$AV$3:$AV$306=TRUE),--(calc!$AX$3:$AX$306&gt;AX158))+(SUMPRODUCT(--(calc!$AV$3:$AV$306=TRUE),--(calc!$AX$3:$AX$306=AX158))-1)/2,"")</f>
        <v/>
      </c>
      <c r="BC158" s="5">
        <f>IF(AV158,SUMPRODUCT(--(calc!$AV$3:$AV$306=TRUE),--(ROW(calc!$AV$3:$AV$306)&gt;ROW(AV158)),--(((calc!$BA$3:$BA$306&gt;BA158)*(calc!$BB$3:$BB$306&gt;BB158)+(calc!$BA$3:$BA$306&lt;BA158)*(calc!$BB$3:$BB$306&lt;BB158))&gt;0))-SUMPRODUCT(--(calc!$AV$3:$AV$306=TRUE),--(ROW(calc!$AV$3:$AV$306)&gt;ROW(AV158)),--(((calc!$BA$3:$BA$306&gt;BA158)*(calc!$BB$3:$BB$306&lt;BB158)+(calc!$BA$3:$BA$306&lt;BA158)*(calc!$BB$3:$BB$306&gt;BB158))&gt;0)),0)</f>
        <v/>
      </c>
      <c r="BD158" s="5">
        <f>IF(mos_metrics!L157="","",mos_metrics!L157)</f>
        <v/>
      </c>
      <c r="BE158" s="2">
        <f>AND($J158,ISNUMBER(BD158),correlation!$I$31=1)</f>
        <v/>
      </c>
      <c r="BF158" s="5">
        <f>IF(BE158,$F158,"")</f>
        <v/>
      </c>
      <c r="BG158" s="5">
        <f>IF(BE158,BD158*correlation!$J$31,"")</f>
        <v/>
      </c>
      <c r="BH158" s="5">
        <f>IF(AND(BE158,ISNUMBER(correlation!$F$31)),BG158*correlation!$F$31+correlation!$G$31,"")</f>
        <v/>
      </c>
      <c r="BI158" s="5">
        <f>IF(AND(BE158,ISNUMBER(BH158)),(BF158-BH158)^2,"")</f>
        <v/>
      </c>
      <c r="BJ158" s="5">
        <f>IF(BE158,1+SUMPRODUCT(--(calc!$BE$3:$BE$306=TRUE),--(calc!$BF$3:$BF$306&gt;BF158))+(SUMPRODUCT(--(calc!$BE$3:$BE$306=TRUE),--(calc!$BF$3:$BF$306=BF158))-1)/2,"")</f>
        <v/>
      </c>
      <c r="BK158" s="5">
        <f>IF(BE158,1+SUMPRODUCT(--(calc!$BE$3:$BE$306=TRUE),--(calc!$BG$3:$BG$306&gt;BG158))+(SUMPRODUCT(--(calc!$BE$3:$BE$306=TRUE),--(calc!$BG$3:$BG$306=BG158))-1)/2,"")</f>
        <v/>
      </c>
      <c r="BL158" s="5">
        <f>IF(BE158,SUMPRODUCT(--(calc!$BE$3:$BE$306=TRUE),--(ROW(calc!$BE$3:$BE$306)&gt;ROW(BE158)),--(((calc!$BJ$3:$BJ$306&gt;BJ158)*(calc!$BK$3:$BK$306&gt;BK158)+(calc!$BJ$3:$BJ$306&lt;BJ158)*(calc!$BK$3:$BK$306&lt;BK158))&gt;0))-SUMPRODUCT(--(calc!$BE$3:$BE$306=TRUE),--(ROW(calc!$BE$3:$BE$306)&gt;ROW(BE158)),--(((calc!$BJ$3:$BJ$306&gt;BJ158)*(calc!$BK$3:$BK$306&lt;BK158)+(calc!$BJ$3:$BJ$306&lt;BJ158)*(calc!$BK$3:$BK$306&gt;BK158))&gt;0)),0)</f>
        <v/>
      </c>
      <c r="BM158" s="5">
        <f>IF(mos_metrics!M157="","",mos_metrics!M157)</f>
        <v/>
      </c>
      <c r="BN158" s="2">
        <f>AND($J158,ISNUMBER(BM158),correlation!$I$32=1)</f>
        <v/>
      </c>
      <c r="BO158" s="5">
        <f>IF(BN158,$F158,"")</f>
        <v/>
      </c>
      <c r="BP158" s="5">
        <f>IF(BN158,BM158*correlation!$J$32,"")</f>
        <v/>
      </c>
      <c r="BQ158" s="5">
        <f>IF(AND(BN158,ISNUMBER(correlation!$F$32)),BP158*correlation!$F$32+correlation!$G$32,"")</f>
        <v/>
      </c>
      <c r="BR158" s="5">
        <f>IF(AND(BN158,ISNUMBER(BQ158)),(BO158-BQ158)^2,"")</f>
        <v/>
      </c>
      <c r="BS158" s="5">
        <f>IF(BN158,1+SUMPRODUCT(--(calc!$BN$3:$BN$306=TRUE),--(calc!$BO$3:$BO$306&gt;BO158))+(SUMPRODUCT(--(calc!$BN$3:$BN$306=TRUE),--(calc!$BO$3:$BO$306=BO158))-1)/2,"")</f>
        <v/>
      </c>
      <c r="BT158" s="5">
        <f>IF(BN158,1+SUMPRODUCT(--(calc!$BN$3:$BN$306=TRUE),--(calc!$BP$3:$BP$306&gt;BP158))+(SUMPRODUCT(--(calc!$BN$3:$BN$306=TRUE),--(calc!$BP$3:$BP$306=BP158))-1)/2,"")</f>
        <v/>
      </c>
      <c r="BU158" s="5">
        <f>IF(BN158,SUMPRODUCT(--(calc!$BN$3:$BN$306=TRUE),--(ROW(calc!$BN$3:$BN$306)&gt;ROW(BN158)),--(((calc!$BS$3:$BS$306&gt;BS158)*(calc!$BT$3:$BT$306&gt;BT158)+(calc!$BS$3:$BS$306&lt;BS158)*(calc!$BT$3:$BT$306&lt;BT158))&gt;0))-SUMPRODUCT(--(calc!$BN$3:$BN$306=TRUE),--(ROW(calc!$BN$3:$BN$306)&gt;ROW(BN158)),--(((calc!$BS$3:$BS$306&gt;BS158)*(calc!$BT$3:$BT$306&lt;BT158)+(calc!$BS$3:$BS$306&lt;BS158)*(calc!$BT$3:$BT$306&gt;BT158))&gt;0)),0)</f>
        <v/>
      </c>
    </row>
    <row r="159">
      <c r="A159" s="2">
        <f>mos_metrics!A158</f>
        <v/>
      </c>
      <c r="B159" s="2">
        <f>mos_metrics!B158</f>
        <v/>
      </c>
      <c r="C159" s="2">
        <f>mos_metrics!C158</f>
        <v/>
      </c>
      <c r="D159" s="2">
        <f>mos_metrics!D158</f>
        <v/>
      </c>
      <c r="E159" s="2">
        <f>mos_metrics!E158</f>
        <v/>
      </c>
      <c r="F159" s="2">
        <f>mos_metrics!F158</f>
        <v/>
      </c>
      <c r="G159" s="2">
        <f>IF($B159="","",IFERROR(VLOOKUP($B159,correlation!$A$2:$B$16,2,FALSE),1))</f>
        <v/>
      </c>
      <c r="H159" s="2">
        <f>IF($E159="","",IFERROR(VLOOKUP($E159,correlation!$D$2:$E$8,2,FALSE),1))</f>
        <v/>
      </c>
      <c r="I159" s="2">
        <f>ISNUMBER($F159)</f>
        <v/>
      </c>
      <c r="J159" s="2">
        <f>AND($G159=1,$H159=1,$I159)</f>
        <v/>
      </c>
      <c r="K159" s="5">
        <f>IF(mos_metrics!G158="","",mos_metrics!G158)</f>
        <v/>
      </c>
      <c r="L159" s="2">
        <f>AND($J159,ISNUMBER(K159),correlation!$I$26=1)</f>
        <v/>
      </c>
      <c r="M159" s="5">
        <f>IF(L159,$F159,"")</f>
        <v/>
      </c>
      <c r="N159" s="5">
        <f>IF(L159,K159*correlation!$J$26,"")</f>
        <v/>
      </c>
      <c r="O159" s="5">
        <f>IF(AND(L159,ISNUMBER(correlation!$F$26)),N159*correlation!$F$26+correlation!$G$26,"")</f>
        <v/>
      </c>
      <c r="P159" s="5">
        <f>IF(AND(L159,ISNUMBER(O159)),(M159-O159)^2,"")</f>
        <v/>
      </c>
      <c r="Q159" s="5">
        <f>IF(L159,1+SUMPRODUCT(--(calc!$L$3:$L$306=TRUE),--(calc!$M$3:$M$306&gt;M159))+(SUMPRODUCT(--(calc!$L$3:$L$306=TRUE),--(calc!$M$3:$M$306=M159))-1)/2,"")</f>
        <v/>
      </c>
      <c r="R159" s="5">
        <f>IF(L159,1+SUMPRODUCT(--(calc!$L$3:$L$306=TRUE),--(calc!$N$3:$N$306&gt;N159))+(SUMPRODUCT(--(calc!$L$3:$L$306=TRUE),--(calc!$N$3:$N$306=N159))-1)/2,"")</f>
        <v/>
      </c>
      <c r="S159" s="5">
        <f>IF(L159,SUMPRODUCT(--(calc!$L$3:$L$306=TRUE),--(ROW(calc!$L$3:$L$306)&gt;ROW(L159)),--(((calc!$Q$3:$Q$306&gt;Q159)*(calc!$R$3:$R$306&gt;R159)+(calc!$Q$3:$Q$306&lt;Q159)*(calc!$R$3:$R$306&lt;R159))&gt;0))-SUMPRODUCT(--(calc!$L$3:$L$306=TRUE),--(ROW(calc!$L$3:$L$306)&gt;ROW(L159)),--(((calc!$Q$3:$Q$306&gt;Q159)*(calc!$R$3:$R$306&lt;R159)+(calc!$Q$3:$Q$306&lt;Q159)*(calc!$R$3:$R$306&gt;R159))&gt;0)),0)</f>
        <v/>
      </c>
      <c r="T159" s="5">
        <f>IF(mos_metrics!H158="","",mos_metrics!H158)</f>
        <v/>
      </c>
      <c r="U159" s="2">
        <f>AND($J159,ISNUMBER(T159),correlation!$I$27=1)</f>
        <v/>
      </c>
      <c r="V159" s="5">
        <f>IF(U159,$F159,"")</f>
        <v/>
      </c>
      <c r="W159" s="5">
        <f>IF(U159,T159*correlation!$J$27,"")</f>
        <v/>
      </c>
      <c r="X159" s="5">
        <f>IF(AND(U159,ISNUMBER(correlation!$F$27)),W159*correlation!$F$27+correlation!$G$27,"")</f>
        <v/>
      </c>
      <c r="Y159" s="5">
        <f>IF(AND(U159,ISNUMBER(X159)),(V159-X159)^2,"")</f>
        <v/>
      </c>
      <c r="Z159" s="5">
        <f>IF(U159,1+SUMPRODUCT(--(calc!$U$3:$U$306=TRUE),--(calc!$V$3:$V$306&gt;V159))+(SUMPRODUCT(--(calc!$U$3:$U$306=TRUE),--(calc!$V$3:$V$306=V159))-1)/2,"")</f>
        <v/>
      </c>
      <c r="AA159" s="5">
        <f>IF(U159,1+SUMPRODUCT(--(calc!$U$3:$U$306=TRUE),--(calc!$W$3:$W$306&gt;W159))+(SUMPRODUCT(--(calc!$U$3:$U$306=TRUE),--(calc!$W$3:$W$306=W159))-1)/2,"")</f>
        <v/>
      </c>
      <c r="AB159" s="5">
        <f>IF(U159,SUMPRODUCT(--(calc!$U$3:$U$306=TRUE),--(ROW(calc!$U$3:$U$306)&gt;ROW(U159)),--(((calc!$Z$3:$Z$306&gt;Z159)*(calc!$AA$3:$AA$306&gt;AA159)+(calc!$Z$3:$Z$306&lt;Z159)*(calc!$AA$3:$AA$306&lt;AA159))&gt;0))-SUMPRODUCT(--(calc!$U$3:$U$306=TRUE),--(ROW(calc!$U$3:$U$306)&gt;ROW(U159)),--(((calc!$Z$3:$Z$306&gt;Z159)*(calc!$AA$3:$AA$306&lt;AA159)+(calc!$Z$3:$Z$306&lt;Z159)*(calc!$AA$3:$AA$306&gt;AA159))&gt;0)),0)</f>
        <v/>
      </c>
      <c r="AC159" s="5">
        <f>IF(mos_metrics!I158="","",mos_metrics!I158)</f>
        <v/>
      </c>
      <c r="AD159" s="2">
        <f>AND($J159,ISNUMBER(AC159),correlation!$I$28=1)</f>
        <v/>
      </c>
      <c r="AE159" s="5">
        <f>IF(AD159,$F159,"")</f>
        <v/>
      </c>
      <c r="AF159" s="5">
        <f>IF(AD159,AC159*correlation!$J$28,"")</f>
        <v/>
      </c>
      <c r="AG159" s="5">
        <f>IF(AND(AD159,ISNUMBER(correlation!$F$28)),AF159*correlation!$F$28+correlation!$G$28,"")</f>
        <v/>
      </c>
      <c r="AH159" s="5">
        <f>IF(AND(AD159,ISNUMBER(AG159)),(AE159-AG159)^2,"")</f>
        <v/>
      </c>
      <c r="AI159" s="5">
        <f>IF(AD159,1+SUMPRODUCT(--(calc!$AD$3:$AD$306=TRUE),--(calc!$AE$3:$AE$306&gt;AE159))+(SUMPRODUCT(--(calc!$AD$3:$AD$306=TRUE),--(calc!$AE$3:$AE$306=AE159))-1)/2,"")</f>
        <v/>
      </c>
      <c r="AJ159" s="5">
        <f>IF(AD159,1+SUMPRODUCT(--(calc!$AD$3:$AD$306=TRUE),--(calc!$AF$3:$AF$306&gt;AF159))+(SUMPRODUCT(--(calc!$AD$3:$AD$306=TRUE),--(calc!$AF$3:$AF$306=AF159))-1)/2,"")</f>
        <v/>
      </c>
      <c r="AK159" s="5">
        <f>IF(AD159,SUMPRODUCT(--(calc!$AD$3:$AD$306=TRUE),--(ROW(calc!$AD$3:$AD$306)&gt;ROW(AD159)),--(((calc!$AI$3:$AI$306&gt;AI159)*(calc!$AJ$3:$AJ$306&gt;AJ159)+(calc!$AI$3:$AI$306&lt;AI159)*(calc!$AJ$3:$AJ$306&lt;AJ159))&gt;0))-SUMPRODUCT(--(calc!$AD$3:$AD$306=TRUE),--(ROW(calc!$AD$3:$AD$306)&gt;ROW(AD159)),--(((calc!$AI$3:$AI$306&gt;AI159)*(calc!$AJ$3:$AJ$306&lt;AJ159)+(calc!$AI$3:$AI$306&lt;AI159)*(calc!$AJ$3:$AJ$306&gt;AJ159))&gt;0)),0)</f>
        <v/>
      </c>
      <c r="AL159" s="5">
        <f>IF(mos_metrics!J158="","",mos_metrics!J158)</f>
        <v/>
      </c>
      <c r="AM159" s="2">
        <f>AND($J159,ISNUMBER(AL159),correlation!$I$29=1)</f>
        <v/>
      </c>
      <c r="AN159" s="5">
        <f>IF(AM159,$F159,"")</f>
        <v/>
      </c>
      <c r="AO159" s="5">
        <f>IF(AM159,AL159*correlation!$J$29,"")</f>
        <v/>
      </c>
      <c r="AP159" s="5">
        <f>IF(AND(AM159,ISNUMBER(correlation!$F$29)),AO159*correlation!$F$29+correlation!$G$29,"")</f>
        <v/>
      </c>
      <c r="AQ159" s="5">
        <f>IF(AND(AM159,ISNUMBER(AP159)),(AN159-AP159)^2,"")</f>
        <v/>
      </c>
      <c r="AR159" s="5">
        <f>IF(AM159,1+SUMPRODUCT(--(calc!$AM$3:$AM$306=TRUE),--(calc!$AN$3:$AN$306&gt;AN159))+(SUMPRODUCT(--(calc!$AM$3:$AM$306=TRUE),--(calc!$AN$3:$AN$306=AN159))-1)/2,"")</f>
        <v/>
      </c>
      <c r="AS159" s="5">
        <f>IF(AM159,1+SUMPRODUCT(--(calc!$AM$3:$AM$306=TRUE),--(calc!$AO$3:$AO$306&gt;AO159))+(SUMPRODUCT(--(calc!$AM$3:$AM$306=TRUE),--(calc!$AO$3:$AO$306=AO159))-1)/2,"")</f>
        <v/>
      </c>
      <c r="AT159" s="5">
        <f>IF(AM159,SUMPRODUCT(--(calc!$AM$3:$AM$306=TRUE),--(ROW(calc!$AM$3:$AM$306)&gt;ROW(AM159)),--(((calc!$AR$3:$AR$306&gt;AR159)*(calc!$AS$3:$AS$306&gt;AS159)+(calc!$AR$3:$AR$306&lt;AR159)*(calc!$AS$3:$AS$306&lt;AS159))&gt;0))-SUMPRODUCT(--(calc!$AM$3:$AM$306=TRUE),--(ROW(calc!$AM$3:$AM$306)&gt;ROW(AM159)),--(((calc!$AR$3:$AR$306&gt;AR159)*(calc!$AS$3:$AS$306&lt;AS159)+(calc!$AR$3:$AR$306&lt;AR159)*(calc!$AS$3:$AS$306&gt;AS159))&gt;0)),0)</f>
        <v/>
      </c>
      <c r="AU159" s="5">
        <f>IF(mos_metrics!K158="","",mos_metrics!K158)</f>
        <v/>
      </c>
      <c r="AV159" s="2">
        <f>AND($J159,ISNUMBER(AU159),correlation!$I$30=1)</f>
        <v/>
      </c>
      <c r="AW159" s="5">
        <f>IF(AV159,$F159,"")</f>
        <v/>
      </c>
      <c r="AX159" s="5">
        <f>IF(AV159,AU159*correlation!$J$30,"")</f>
        <v/>
      </c>
      <c r="AY159" s="5">
        <f>IF(AND(AV159,ISNUMBER(correlation!$F$30)),AX159*correlation!$F$30+correlation!$G$30,"")</f>
        <v/>
      </c>
      <c r="AZ159" s="5">
        <f>IF(AND(AV159,ISNUMBER(AY159)),(AW159-AY159)^2,"")</f>
        <v/>
      </c>
      <c r="BA159" s="5">
        <f>IF(AV159,1+SUMPRODUCT(--(calc!$AV$3:$AV$306=TRUE),--(calc!$AW$3:$AW$306&gt;AW159))+(SUMPRODUCT(--(calc!$AV$3:$AV$306=TRUE),--(calc!$AW$3:$AW$306=AW159))-1)/2,"")</f>
        <v/>
      </c>
      <c r="BB159" s="5">
        <f>IF(AV159,1+SUMPRODUCT(--(calc!$AV$3:$AV$306=TRUE),--(calc!$AX$3:$AX$306&gt;AX159))+(SUMPRODUCT(--(calc!$AV$3:$AV$306=TRUE),--(calc!$AX$3:$AX$306=AX159))-1)/2,"")</f>
        <v/>
      </c>
      <c r="BC159" s="5">
        <f>IF(AV159,SUMPRODUCT(--(calc!$AV$3:$AV$306=TRUE),--(ROW(calc!$AV$3:$AV$306)&gt;ROW(AV159)),--(((calc!$BA$3:$BA$306&gt;BA159)*(calc!$BB$3:$BB$306&gt;BB159)+(calc!$BA$3:$BA$306&lt;BA159)*(calc!$BB$3:$BB$306&lt;BB159))&gt;0))-SUMPRODUCT(--(calc!$AV$3:$AV$306=TRUE),--(ROW(calc!$AV$3:$AV$306)&gt;ROW(AV159)),--(((calc!$BA$3:$BA$306&gt;BA159)*(calc!$BB$3:$BB$306&lt;BB159)+(calc!$BA$3:$BA$306&lt;BA159)*(calc!$BB$3:$BB$306&gt;BB159))&gt;0)),0)</f>
        <v/>
      </c>
      <c r="BD159" s="5">
        <f>IF(mos_metrics!L158="","",mos_metrics!L158)</f>
        <v/>
      </c>
      <c r="BE159" s="2">
        <f>AND($J159,ISNUMBER(BD159),correlation!$I$31=1)</f>
        <v/>
      </c>
      <c r="BF159" s="5">
        <f>IF(BE159,$F159,"")</f>
        <v/>
      </c>
      <c r="BG159" s="5">
        <f>IF(BE159,BD159*correlation!$J$31,"")</f>
        <v/>
      </c>
      <c r="BH159" s="5">
        <f>IF(AND(BE159,ISNUMBER(correlation!$F$31)),BG159*correlation!$F$31+correlation!$G$31,"")</f>
        <v/>
      </c>
      <c r="BI159" s="5">
        <f>IF(AND(BE159,ISNUMBER(BH159)),(BF159-BH159)^2,"")</f>
        <v/>
      </c>
      <c r="BJ159" s="5">
        <f>IF(BE159,1+SUMPRODUCT(--(calc!$BE$3:$BE$306=TRUE),--(calc!$BF$3:$BF$306&gt;BF159))+(SUMPRODUCT(--(calc!$BE$3:$BE$306=TRUE),--(calc!$BF$3:$BF$306=BF159))-1)/2,"")</f>
        <v/>
      </c>
      <c r="BK159" s="5">
        <f>IF(BE159,1+SUMPRODUCT(--(calc!$BE$3:$BE$306=TRUE),--(calc!$BG$3:$BG$306&gt;BG159))+(SUMPRODUCT(--(calc!$BE$3:$BE$306=TRUE),--(calc!$BG$3:$BG$306=BG159))-1)/2,"")</f>
        <v/>
      </c>
      <c r="BL159" s="5">
        <f>IF(BE159,SUMPRODUCT(--(calc!$BE$3:$BE$306=TRUE),--(ROW(calc!$BE$3:$BE$306)&gt;ROW(BE159)),--(((calc!$BJ$3:$BJ$306&gt;BJ159)*(calc!$BK$3:$BK$306&gt;BK159)+(calc!$BJ$3:$BJ$306&lt;BJ159)*(calc!$BK$3:$BK$306&lt;BK159))&gt;0))-SUMPRODUCT(--(calc!$BE$3:$BE$306=TRUE),--(ROW(calc!$BE$3:$BE$306)&gt;ROW(BE159)),--(((calc!$BJ$3:$BJ$306&gt;BJ159)*(calc!$BK$3:$BK$306&lt;BK159)+(calc!$BJ$3:$BJ$306&lt;BJ159)*(calc!$BK$3:$BK$306&gt;BK159))&gt;0)),0)</f>
        <v/>
      </c>
      <c r="BM159" s="5">
        <f>IF(mos_metrics!M158="","",mos_metrics!M158)</f>
        <v/>
      </c>
      <c r="BN159" s="2">
        <f>AND($J159,ISNUMBER(BM159),correlation!$I$32=1)</f>
        <v/>
      </c>
      <c r="BO159" s="5">
        <f>IF(BN159,$F159,"")</f>
        <v/>
      </c>
      <c r="BP159" s="5">
        <f>IF(BN159,BM159*correlation!$J$32,"")</f>
        <v/>
      </c>
      <c r="BQ159" s="5">
        <f>IF(AND(BN159,ISNUMBER(correlation!$F$32)),BP159*correlation!$F$32+correlation!$G$32,"")</f>
        <v/>
      </c>
      <c r="BR159" s="5">
        <f>IF(AND(BN159,ISNUMBER(BQ159)),(BO159-BQ159)^2,"")</f>
        <v/>
      </c>
      <c r="BS159" s="5">
        <f>IF(BN159,1+SUMPRODUCT(--(calc!$BN$3:$BN$306=TRUE),--(calc!$BO$3:$BO$306&gt;BO159))+(SUMPRODUCT(--(calc!$BN$3:$BN$306=TRUE),--(calc!$BO$3:$BO$306=BO159))-1)/2,"")</f>
        <v/>
      </c>
      <c r="BT159" s="5">
        <f>IF(BN159,1+SUMPRODUCT(--(calc!$BN$3:$BN$306=TRUE),--(calc!$BP$3:$BP$306&gt;BP159))+(SUMPRODUCT(--(calc!$BN$3:$BN$306=TRUE),--(calc!$BP$3:$BP$306=BP159))-1)/2,"")</f>
        <v/>
      </c>
      <c r="BU159" s="5">
        <f>IF(BN159,SUMPRODUCT(--(calc!$BN$3:$BN$306=TRUE),--(ROW(calc!$BN$3:$BN$306)&gt;ROW(BN159)),--(((calc!$BS$3:$BS$306&gt;BS159)*(calc!$BT$3:$BT$306&gt;BT159)+(calc!$BS$3:$BS$306&lt;BS159)*(calc!$BT$3:$BT$306&lt;BT159))&gt;0))-SUMPRODUCT(--(calc!$BN$3:$BN$306=TRUE),--(ROW(calc!$BN$3:$BN$306)&gt;ROW(BN159)),--(((calc!$BS$3:$BS$306&gt;BS159)*(calc!$BT$3:$BT$306&lt;BT159)+(calc!$BS$3:$BS$306&lt;BS159)*(calc!$BT$3:$BT$306&gt;BT159))&gt;0)),0)</f>
        <v/>
      </c>
    </row>
    <row r="160">
      <c r="A160" s="2">
        <f>mos_metrics!A159</f>
        <v/>
      </c>
      <c r="B160" s="2">
        <f>mos_metrics!B159</f>
        <v/>
      </c>
      <c r="C160" s="2">
        <f>mos_metrics!C159</f>
        <v/>
      </c>
      <c r="D160" s="2">
        <f>mos_metrics!D159</f>
        <v/>
      </c>
      <c r="E160" s="2">
        <f>mos_metrics!E159</f>
        <v/>
      </c>
      <c r="F160" s="2">
        <f>mos_metrics!F159</f>
        <v/>
      </c>
      <c r="G160" s="2">
        <f>IF($B160="","",IFERROR(VLOOKUP($B160,correlation!$A$2:$B$16,2,FALSE),1))</f>
        <v/>
      </c>
      <c r="H160" s="2">
        <f>IF($E160="","",IFERROR(VLOOKUP($E160,correlation!$D$2:$E$8,2,FALSE),1))</f>
        <v/>
      </c>
      <c r="I160" s="2">
        <f>ISNUMBER($F160)</f>
        <v/>
      </c>
      <c r="J160" s="2">
        <f>AND($G160=1,$H160=1,$I160)</f>
        <v/>
      </c>
      <c r="K160" s="5">
        <f>IF(mos_metrics!G159="","",mos_metrics!G159)</f>
        <v/>
      </c>
      <c r="L160" s="2">
        <f>AND($J160,ISNUMBER(K160),correlation!$I$26=1)</f>
        <v/>
      </c>
      <c r="M160" s="5">
        <f>IF(L160,$F160,"")</f>
        <v/>
      </c>
      <c r="N160" s="5">
        <f>IF(L160,K160*correlation!$J$26,"")</f>
        <v/>
      </c>
      <c r="O160" s="5">
        <f>IF(AND(L160,ISNUMBER(correlation!$F$26)),N160*correlation!$F$26+correlation!$G$26,"")</f>
        <v/>
      </c>
      <c r="P160" s="5">
        <f>IF(AND(L160,ISNUMBER(O160)),(M160-O160)^2,"")</f>
        <v/>
      </c>
      <c r="Q160" s="5">
        <f>IF(L160,1+SUMPRODUCT(--(calc!$L$3:$L$306=TRUE),--(calc!$M$3:$M$306&gt;M160))+(SUMPRODUCT(--(calc!$L$3:$L$306=TRUE),--(calc!$M$3:$M$306=M160))-1)/2,"")</f>
        <v/>
      </c>
      <c r="R160" s="5">
        <f>IF(L160,1+SUMPRODUCT(--(calc!$L$3:$L$306=TRUE),--(calc!$N$3:$N$306&gt;N160))+(SUMPRODUCT(--(calc!$L$3:$L$306=TRUE),--(calc!$N$3:$N$306=N160))-1)/2,"")</f>
        <v/>
      </c>
      <c r="S160" s="5">
        <f>IF(L160,SUMPRODUCT(--(calc!$L$3:$L$306=TRUE),--(ROW(calc!$L$3:$L$306)&gt;ROW(L160)),--(((calc!$Q$3:$Q$306&gt;Q160)*(calc!$R$3:$R$306&gt;R160)+(calc!$Q$3:$Q$306&lt;Q160)*(calc!$R$3:$R$306&lt;R160))&gt;0))-SUMPRODUCT(--(calc!$L$3:$L$306=TRUE),--(ROW(calc!$L$3:$L$306)&gt;ROW(L160)),--(((calc!$Q$3:$Q$306&gt;Q160)*(calc!$R$3:$R$306&lt;R160)+(calc!$Q$3:$Q$306&lt;Q160)*(calc!$R$3:$R$306&gt;R160))&gt;0)),0)</f>
        <v/>
      </c>
      <c r="T160" s="5">
        <f>IF(mos_metrics!H159="","",mos_metrics!H159)</f>
        <v/>
      </c>
      <c r="U160" s="2">
        <f>AND($J160,ISNUMBER(T160),correlation!$I$27=1)</f>
        <v/>
      </c>
      <c r="V160" s="5">
        <f>IF(U160,$F160,"")</f>
        <v/>
      </c>
      <c r="W160" s="5">
        <f>IF(U160,T160*correlation!$J$27,"")</f>
        <v/>
      </c>
      <c r="X160" s="5">
        <f>IF(AND(U160,ISNUMBER(correlation!$F$27)),W160*correlation!$F$27+correlation!$G$27,"")</f>
        <v/>
      </c>
      <c r="Y160" s="5">
        <f>IF(AND(U160,ISNUMBER(X160)),(V160-X160)^2,"")</f>
        <v/>
      </c>
      <c r="Z160" s="5">
        <f>IF(U160,1+SUMPRODUCT(--(calc!$U$3:$U$306=TRUE),--(calc!$V$3:$V$306&gt;V160))+(SUMPRODUCT(--(calc!$U$3:$U$306=TRUE),--(calc!$V$3:$V$306=V160))-1)/2,"")</f>
        <v/>
      </c>
      <c r="AA160" s="5">
        <f>IF(U160,1+SUMPRODUCT(--(calc!$U$3:$U$306=TRUE),--(calc!$W$3:$W$306&gt;W160))+(SUMPRODUCT(--(calc!$U$3:$U$306=TRUE),--(calc!$W$3:$W$306=W160))-1)/2,"")</f>
        <v/>
      </c>
      <c r="AB160" s="5">
        <f>IF(U160,SUMPRODUCT(--(calc!$U$3:$U$306=TRUE),--(ROW(calc!$U$3:$U$306)&gt;ROW(U160)),--(((calc!$Z$3:$Z$306&gt;Z160)*(calc!$AA$3:$AA$306&gt;AA160)+(calc!$Z$3:$Z$306&lt;Z160)*(calc!$AA$3:$AA$306&lt;AA160))&gt;0))-SUMPRODUCT(--(calc!$U$3:$U$306=TRUE),--(ROW(calc!$U$3:$U$306)&gt;ROW(U160)),--(((calc!$Z$3:$Z$306&gt;Z160)*(calc!$AA$3:$AA$306&lt;AA160)+(calc!$Z$3:$Z$306&lt;Z160)*(calc!$AA$3:$AA$306&gt;AA160))&gt;0)),0)</f>
        <v/>
      </c>
      <c r="AC160" s="5">
        <f>IF(mos_metrics!I159="","",mos_metrics!I159)</f>
        <v/>
      </c>
      <c r="AD160" s="2">
        <f>AND($J160,ISNUMBER(AC160),correlation!$I$28=1)</f>
        <v/>
      </c>
      <c r="AE160" s="5">
        <f>IF(AD160,$F160,"")</f>
        <v/>
      </c>
      <c r="AF160" s="5">
        <f>IF(AD160,AC160*correlation!$J$28,"")</f>
        <v/>
      </c>
      <c r="AG160" s="5">
        <f>IF(AND(AD160,ISNUMBER(correlation!$F$28)),AF160*correlation!$F$28+correlation!$G$28,"")</f>
        <v/>
      </c>
      <c r="AH160" s="5">
        <f>IF(AND(AD160,ISNUMBER(AG160)),(AE160-AG160)^2,"")</f>
        <v/>
      </c>
      <c r="AI160" s="5">
        <f>IF(AD160,1+SUMPRODUCT(--(calc!$AD$3:$AD$306=TRUE),--(calc!$AE$3:$AE$306&gt;AE160))+(SUMPRODUCT(--(calc!$AD$3:$AD$306=TRUE),--(calc!$AE$3:$AE$306=AE160))-1)/2,"")</f>
        <v/>
      </c>
      <c r="AJ160" s="5">
        <f>IF(AD160,1+SUMPRODUCT(--(calc!$AD$3:$AD$306=TRUE),--(calc!$AF$3:$AF$306&gt;AF160))+(SUMPRODUCT(--(calc!$AD$3:$AD$306=TRUE),--(calc!$AF$3:$AF$306=AF160))-1)/2,"")</f>
        <v/>
      </c>
      <c r="AK160" s="5">
        <f>IF(AD160,SUMPRODUCT(--(calc!$AD$3:$AD$306=TRUE),--(ROW(calc!$AD$3:$AD$306)&gt;ROW(AD160)),--(((calc!$AI$3:$AI$306&gt;AI160)*(calc!$AJ$3:$AJ$306&gt;AJ160)+(calc!$AI$3:$AI$306&lt;AI160)*(calc!$AJ$3:$AJ$306&lt;AJ160))&gt;0))-SUMPRODUCT(--(calc!$AD$3:$AD$306=TRUE),--(ROW(calc!$AD$3:$AD$306)&gt;ROW(AD160)),--(((calc!$AI$3:$AI$306&gt;AI160)*(calc!$AJ$3:$AJ$306&lt;AJ160)+(calc!$AI$3:$AI$306&lt;AI160)*(calc!$AJ$3:$AJ$306&gt;AJ160))&gt;0)),0)</f>
        <v/>
      </c>
      <c r="AL160" s="5">
        <f>IF(mos_metrics!J159="","",mos_metrics!J159)</f>
        <v/>
      </c>
      <c r="AM160" s="2">
        <f>AND($J160,ISNUMBER(AL160),correlation!$I$29=1)</f>
        <v/>
      </c>
      <c r="AN160" s="5">
        <f>IF(AM160,$F160,"")</f>
        <v/>
      </c>
      <c r="AO160" s="5">
        <f>IF(AM160,AL160*correlation!$J$29,"")</f>
        <v/>
      </c>
      <c r="AP160" s="5">
        <f>IF(AND(AM160,ISNUMBER(correlation!$F$29)),AO160*correlation!$F$29+correlation!$G$29,"")</f>
        <v/>
      </c>
      <c r="AQ160" s="5">
        <f>IF(AND(AM160,ISNUMBER(AP160)),(AN160-AP160)^2,"")</f>
        <v/>
      </c>
      <c r="AR160" s="5">
        <f>IF(AM160,1+SUMPRODUCT(--(calc!$AM$3:$AM$306=TRUE),--(calc!$AN$3:$AN$306&gt;AN160))+(SUMPRODUCT(--(calc!$AM$3:$AM$306=TRUE),--(calc!$AN$3:$AN$306=AN160))-1)/2,"")</f>
        <v/>
      </c>
      <c r="AS160" s="5">
        <f>IF(AM160,1+SUMPRODUCT(--(calc!$AM$3:$AM$306=TRUE),--(calc!$AO$3:$AO$306&gt;AO160))+(SUMPRODUCT(--(calc!$AM$3:$AM$306=TRUE),--(calc!$AO$3:$AO$306=AO160))-1)/2,"")</f>
        <v/>
      </c>
      <c r="AT160" s="5">
        <f>IF(AM160,SUMPRODUCT(--(calc!$AM$3:$AM$306=TRUE),--(ROW(calc!$AM$3:$AM$306)&gt;ROW(AM160)),--(((calc!$AR$3:$AR$306&gt;AR160)*(calc!$AS$3:$AS$306&gt;AS160)+(calc!$AR$3:$AR$306&lt;AR160)*(calc!$AS$3:$AS$306&lt;AS160))&gt;0))-SUMPRODUCT(--(calc!$AM$3:$AM$306=TRUE),--(ROW(calc!$AM$3:$AM$306)&gt;ROW(AM160)),--(((calc!$AR$3:$AR$306&gt;AR160)*(calc!$AS$3:$AS$306&lt;AS160)+(calc!$AR$3:$AR$306&lt;AR160)*(calc!$AS$3:$AS$306&gt;AS160))&gt;0)),0)</f>
        <v/>
      </c>
      <c r="AU160" s="5">
        <f>IF(mos_metrics!K159="","",mos_metrics!K159)</f>
        <v/>
      </c>
      <c r="AV160" s="2">
        <f>AND($J160,ISNUMBER(AU160),correlation!$I$30=1)</f>
        <v/>
      </c>
      <c r="AW160" s="5">
        <f>IF(AV160,$F160,"")</f>
        <v/>
      </c>
      <c r="AX160" s="5">
        <f>IF(AV160,AU160*correlation!$J$30,"")</f>
        <v/>
      </c>
      <c r="AY160" s="5">
        <f>IF(AND(AV160,ISNUMBER(correlation!$F$30)),AX160*correlation!$F$30+correlation!$G$30,"")</f>
        <v/>
      </c>
      <c r="AZ160" s="5">
        <f>IF(AND(AV160,ISNUMBER(AY160)),(AW160-AY160)^2,"")</f>
        <v/>
      </c>
      <c r="BA160" s="5">
        <f>IF(AV160,1+SUMPRODUCT(--(calc!$AV$3:$AV$306=TRUE),--(calc!$AW$3:$AW$306&gt;AW160))+(SUMPRODUCT(--(calc!$AV$3:$AV$306=TRUE),--(calc!$AW$3:$AW$306=AW160))-1)/2,"")</f>
        <v/>
      </c>
      <c r="BB160" s="5">
        <f>IF(AV160,1+SUMPRODUCT(--(calc!$AV$3:$AV$306=TRUE),--(calc!$AX$3:$AX$306&gt;AX160))+(SUMPRODUCT(--(calc!$AV$3:$AV$306=TRUE),--(calc!$AX$3:$AX$306=AX160))-1)/2,"")</f>
        <v/>
      </c>
      <c r="BC160" s="5">
        <f>IF(AV160,SUMPRODUCT(--(calc!$AV$3:$AV$306=TRUE),--(ROW(calc!$AV$3:$AV$306)&gt;ROW(AV160)),--(((calc!$BA$3:$BA$306&gt;BA160)*(calc!$BB$3:$BB$306&gt;BB160)+(calc!$BA$3:$BA$306&lt;BA160)*(calc!$BB$3:$BB$306&lt;BB160))&gt;0))-SUMPRODUCT(--(calc!$AV$3:$AV$306=TRUE),--(ROW(calc!$AV$3:$AV$306)&gt;ROW(AV160)),--(((calc!$BA$3:$BA$306&gt;BA160)*(calc!$BB$3:$BB$306&lt;BB160)+(calc!$BA$3:$BA$306&lt;BA160)*(calc!$BB$3:$BB$306&gt;BB160))&gt;0)),0)</f>
        <v/>
      </c>
      <c r="BD160" s="5">
        <f>IF(mos_metrics!L159="","",mos_metrics!L159)</f>
        <v/>
      </c>
      <c r="BE160" s="2">
        <f>AND($J160,ISNUMBER(BD160),correlation!$I$31=1)</f>
        <v/>
      </c>
      <c r="BF160" s="5">
        <f>IF(BE160,$F160,"")</f>
        <v/>
      </c>
      <c r="BG160" s="5">
        <f>IF(BE160,BD160*correlation!$J$31,"")</f>
        <v/>
      </c>
      <c r="BH160" s="5">
        <f>IF(AND(BE160,ISNUMBER(correlation!$F$31)),BG160*correlation!$F$31+correlation!$G$31,"")</f>
        <v/>
      </c>
      <c r="BI160" s="5">
        <f>IF(AND(BE160,ISNUMBER(BH160)),(BF160-BH160)^2,"")</f>
        <v/>
      </c>
      <c r="BJ160" s="5">
        <f>IF(BE160,1+SUMPRODUCT(--(calc!$BE$3:$BE$306=TRUE),--(calc!$BF$3:$BF$306&gt;BF160))+(SUMPRODUCT(--(calc!$BE$3:$BE$306=TRUE),--(calc!$BF$3:$BF$306=BF160))-1)/2,"")</f>
        <v/>
      </c>
      <c r="BK160" s="5">
        <f>IF(BE160,1+SUMPRODUCT(--(calc!$BE$3:$BE$306=TRUE),--(calc!$BG$3:$BG$306&gt;BG160))+(SUMPRODUCT(--(calc!$BE$3:$BE$306=TRUE),--(calc!$BG$3:$BG$306=BG160))-1)/2,"")</f>
        <v/>
      </c>
      <c r="BL160" s="5">
        <f>IF(BE160,SUMPRODUCT(--(calc!$BE$3:$BE$306=TRUE),--(ROW(calc!$BE$3:$BE$306)&gt;ROW(BE160)),--(((calc!$BJ$3:$BJ$306&gt;BJ160)*(calc!$BK$3:$BK$306&gt;BK160)+(calc!$BJ$3:$BJ$306&lt;BJ160)*(calc!$BK$3:$BK$306&lt;BK160))&gt;0))-SUMPRODUCT(--(calc!$BE$3:$BE$306=TRUE),--(ROW(calc!$BE$3:$BE$306)&gt;ROW(BE160)),--(((calc!$BJ$3:$BJ$306&gt;BJ160)*(calc!$BK$3:$BK$306&lt;BK160)+(calc!$BJ$3:$BJ$306&lt;BJ160)*(calc!$BK$3:$BK$306&gt;BK160))&gt;0)),0)</f>
        <v/>
      </c>
      <c r="BM160" s="5">
        <f>IF(mos_metrics!M159="","",mos_metrics!M159)</f>
        <v/>
      </c>
      <c r="BN160" s="2">
        <f>AND($J160,ISNUMBER(BM160),correlation!$I$32=1)</f>
        <v/>
      </c>
      <c r="BO160" s="5">
        <f>IF(BN160,$F160,"")</f>
        <v/>
      </c>
      <c r="BP160" s="5">
        <f>IF(BN160,BM160*correlation!$J$32,"")</f>
        <v/>
      </c>
      <c r="BQ160" s="5">
        <f>IF(AND(BN160,ISNUMBER(correlation!$F$32)),BP160*correlation!$F$32+correlation!$G$32,"")</f>
        <v/>
      </c>
      <c r="BR160" s="5">
        <f>IF(AND(BN160,ISNUMBER(BQ160)),(BO160-BQ160)^2,"")</f>
        <v/>
      </c>
      <c r="BS160" s="5">
        <f>IF(BN160,1+SUMPRODUCT(--(calc!$BN$3:$BN$306=TRUE),--(calc!$BO$3:$BO$306&gt;BO160))+(SUMPRODUCT(--(calc!$BN$3:$BN$306=TRUE),--(calc!$BO$3:$BO$306=BO160))-1)/2,"")</f>
        <v/>
      </c>
      <c r="BT160" s="5">
        <f>IF(BN160,1+SUMPRODUCT(--(calc!$BN$3:$BN$306=TRUE),--(calc!$BP$3:$BP$306&gt;BP160))+(SUMPRODUCT(--(calc!$BN$3:$BN$306=TRUE),--(calc!$BP$3:$BP$306=BP160))-1)/2,"")</f>
        <v/>
      </c>
      <c r="BU160" s="5">
        <f>IF(BN160,SUMPRODUCT(--(calc!$BN$3:$BN$306=TRUE),--(ROW(calc!$BN$3:$BN$306)&gt;ROW(BN160)),--(((calc!$BS$3:$BS$306&gt;BS160)*(calc!$BT$3:$BT$306&gt;BT160)+(calc!$BS$3:$BS$306&lt;BS160)*(calc!$BT$3:$BT$306&lt;BT160))&gt;0))-SUMPRODUCT(--(calc!$BN$3:$BN$306=TRUE),--(ROW(calc!$BN$3:$BN$306)&gt;ROW(BN160)),--(((calc!$BS$3:$BS$306&gt;BS160)*(calc!$BT$3:$BT$306&lt;BT160)+(calc!$BS$3:$BS$306&lt;BS160)*(calc!$BT$3:$BT$306&gt;BT160))&gt;0)),0)</f>
        <v/>
      </c>
    </row>
    <row r="161">
      <c r="A161" s="2">
        <f>mos_metrics!A160</f>
        <v/>
      </c>
      <c r="B161" s="2">
        <f>mos_metrics!B160</f>
        <v/>
      </c>
      <c r="C161" s="2">
        <f>mos_metrics!C160</f>
        <v/>
      </c>
      <c r="D161" s="2">
        <f>mos_metrics!D160</f>
        <v/>
      </c>
      <c r="E161" s="2">
        <f>mos_metrics!E160</f>
        <v/>
      </c>
      <c r="F161" s="2">
        <f>mos_metrics!F160</f>
        <v/>
      </c>
      <c r="G161" s="2">
        <f>IF($B161="","",IFERROR(VLOOKUP($B161,correlation!$A$2:$B$16,2,FALSE),1))</f>
        <v/>
      </c>
      <c r="H161" s="2">
        <f>IF($E161="","",IFERROR(VLOOKUP($E161,correlation!$D$2:$E$8,2,FALSE),1))</f>
        <v/>
      </c>
      <c r="I161" s="2">
        <f>ISNUMBER($F161)</f>
        <v/>
      </c>
      <c r="J161" s="2">
        <f>AND($G161=1,$H161=1,$I161)</f>
        <v/>
      </c>
      <c r="K161" s="5">
        <f>IF(mos_metrics!G160="","",mos_metrics!G160)</f>
        <v/>
      </c>
      <c r="L161" s="2">
        <f>AND($J161,ISNUMBER(K161),correlation!$I$26=1)</f>
        <v/>
      </c>
      <c r="M161" s="5">
        <f>IF(L161,$F161,"")</f>
        <v/>
      </c>
      <c r="N161" s="5">
        <f>IF(L161,K161*correlation!$J$26,"")</f>
        <v/>
      </c>
      <c r="O161" s="5">
        <f>IF(AND(L161,ISNUMBER(correlation!$F$26)),N161*correlation!$F$26+correlation!$G$26,"")</f>
        <v/>
      </c>
      <c r="P161" s="5">
        <f>IF(AND(L161,ISNUMBER(O161)),(M161-O161)^2,"")</f>
        <v/>
      </c>
      <c r="Q161" s="5">
        <f>IF(L161,1+SUMPRODUCT(--(calc!$L$3:$L$306=TRUE),--(calc!$M$3:$M$306&gt;M161))+(SUMPRODUCT(--(calc!$L$3:$L$306=TRUE),--(calc!$M$3:$M$306=M161))-1)/2,"")</f>
        <v/>
      </c>
      <c r="R161" s="5">
        <f>IF(L161,1+SUMPRODUCT(--(calc!$L$3:$L$306=TRUE),--(calc!$N$3:$N$306&gt;N161))+(SUMPRODUCT(--(calc!$L$3:$L$306=TRUE),--(calc!$N$3:$N$306=N161))-1)/2,"")</f>
        <v/>
      </c>
      <c r="S161" s="5">
        <f>IF(L161,SUMPRODUCT(--(calc!$L$3:$L$306=TRUE),--(ROW(calc!$L$3:$L$306)&gt;ROW(L161)),--(((calc!$Q$3:$Q$306&gt;Q161)*(calc!$R$3:$R$306&gt;R161)+(calc!$Q$3:$Q$306&lt;Q161)*(calc!$R$3:$R$306&lt;R161))&gt;0))-SUMPRODUCT(--(calc!$L$3:$L$306=TRUE),--(ROW(calc!$L$3:$L$306)&gt;ROW(L161)),--(((calc!$Q$3:$Q$306&gt;Q161)*(calc!$R$3:$R$306&lt;R161)+(calc!$Q$3:$Q$306&lt;Q161)*(calc!$R$3:$R$306&gt;R161))&gt;0)),0)</f>
        <v/>
      </c>
      <c r="T161" s="5">
        <f>IF(mos_metrics!H160="","",mos_metrics!H160)</f>
        <v/>
      </c>
      <c r="U161" s="2">
        <f>AND($J161,ISNUMBER(T161),correlation!$I$27=1)</f>
        <v/>
      </c>
      <c r="V161" s="5">
        <f>IF(U161,$F161,"")</f>
        <v/>
      </c>
      <c r="W161" s="5">
        <f>IF(U161,T161*correlation!$J$27,"")</f>
        <v/>
      </c>
      <c r="X161" s="5">
        <f>IF(AND(U161,ISNUMBER(correlation!$F$27)),W161*correlation!$F$27+correlation!$G$27,"")</f>
        <v/>
      </c>
      <c r="Y161" s="5">
        <f>IF(AND(U161,ISNUMBER(X161)),(V161-X161)^2,"")</f>
        <v/>
      </c>
      <c r="Z161" s="5">
        <f>IF(U161,1+SUMPRODUCT(--(calc!$U$3:$U$306=TRUE),--(calc!$V$3:$V$306&gt;V161))+(SUMPRODUCT(--(calc!$U$3:$U$306=TRUE),--(calc!$V$3:$V$306=V161))-1)/2,"")</f>
        <v/>
      </c>
      <c r="AA161" s="5">
        <f>IF(U161,1+SUMPRODUCT(--(calc!$U$3:$U$306=TRUE),--(calc!$W$3:$W$306&gt;W161))+(SUMPRODUCT(--(calc!$U$3:$U$306=TRUE),--(calc!$W$3:$W$306=W161))-1)/2,"")</f>
        <v/>
      </c>
      <c r="AB161" s="5">
        <f>IF(U161,SUMPRODUCT(--(calc!$U$3:$U$306=TRUE),--(ROW(calc!$U$3:$U$306)&gt;ROW(U161)),--(((calc!$Z$3:$Z$306&gt;Z161)*(calc!$AA$3:$AA$306&gt;AA161)+(calc!$Z$3:$Z$306&lt;Z161)*(calc!$AA$3:$AA$306&lt;AA161))&gt;0))-SUMPRODUCT(--(calc!$U$3:$U$306=TRUE),--(ROW(calc!$U$3:$U$306)&gt;ROW(U161)),--(((calc!$Z$3:$Z$306&gt;Z161)*(calc!$AA$3:$AA$306&lt;AA161)+(calc!$Z$3:$Z$306&lt;Z161)*(calc!$AA$3:$AA$306&gt;AA161))&gt;0)),0)</f>
        <v/>
      </c>
      <c r="AC161" s="5">
        <f>IF(mos_metrics!I160="","",mos_metrics!I160)</f>
        <v/>
      </c>
      <c r="AD161" s="2">
        <f>AND($J161,ISNUMBER(AC161),correlation!$I$28=1)</f>
        <v/>
      </c>
      <c r="AE161" s="5">
        <f>IF(AD161,$F161,"")</f>
        <v/>
      </c>
      <c r="AF161" s="5">
        <f>IF(AD161,AC161*correlation!$J$28,"")</f>
        <v/>
      </c>
      <c r="AG161" s="5">
        <f>IF(AND(AD161,ISNUMBER(correlation!$F$28)),AF161*correlation!$F$28+correlation!$G$28,"")</f>
        <v/>
      </c>
      <c r="AH161" s="5">
        <f>IF(AND(AD161,ISNUMBER(AG161)),(AE161-AG161)^2,"")</f>
        <v/>
      </c>
      <c r="AI161" s="5">
        <f>IF(AD161,1+SUMPRODUCT(--(calc!$AD$3:$AD$306=TRUE),--(calc!$AE$3:$AE$306&gt;AE161))+(SUMPRODUCT(--(calc!$AD$3:$AD$306=TRUE),--(calc!$AE$3:$AE$306=AE161))-1)/2,"")</f>
        <v/>
      </c>
      <c r="AJ161" s="5">
        <f>IF(AD161,1+SUMPRODUCT(--(calc!$AD$3:$AD$306=TRUE),--(calc!$AF$3:$AF$306&gt;AF161))+(SUMPRODUCT(--(calc!$AD$3:$AD$306=TRUE),--(calc!$AF$3:$AF$306=AF161))-1)/2,"")</f>
        <v/>
      </c>
      <c r="AK161" s="5">
        <f>IF(AD161,SUMPRODUCT(--(calc!$AD$3:$AD$306=TRUE),--(ROW(calc!$AD$3:$AD$306)&gt;ROW(AD161)),--(((calc!$AI$3:$AI$306&gt;AI161)*(calc!$AJ$3:$AJ$306&gt;AJ161)+(calc!$AI$3:$AI$306&lt;AI161)*(calc!$AJ$3:$AJ$306&lt;AJ161))&gt;0))-SUMPRODUCT(--(calc!$AD$3:$AD$306=TRUE),--(ROW(calc!$AD$3:$AD$306)&gt;ROW(AD161)),--(((calc!$AI$3:$AI$306&gt;AI161)*(calc!$AJ$3:$AJ$306&lt;AJ161)+(calc!$AI$3:$AI$306&lt;AI161)*(calc!$AJ$3:$AJ$306&gt;AJ161))&gt;0)),0)</f>
        <v/>
      </c>
      <c r="AL161" s="5">
        <f>IF(mos_metrics!J160="","",mos_metrics!J160)</f>
        <v/>
      </c>
      <c r="AM161" s="2">
        <f>AND($J161,ISNUMBER(AL161),correlation!$I$29=1)</f>
        <v/>
      </c>
      <c r="AN161" s="5">
        <f>IF(AM161,$F161,"")</f>
        <v/>
      </c>
      <c r="AO161" s="5">
        <f>IF(AM161,AL161*correlation!$J$29,"")</f>
        <v/>
      </c>
      <c r="AP161" s="5">
        <f>IF(AND(AM161,ISNUMBER(correlation!$F$29)),AO161*correlation!$F$29+correlation!$G$29,"")</f>
        <v/>
      </c>
      <c r="AQ161" s="5">
        <f>IF(AND(AM161,ISNUMBER(AP161)),(AN161-AP161)^2,"")</f>
        <v/>
      </c>
      <c r="AR161" s="5">
        <f>IF(AM161,1+SUMPRODUCT(--(calc!$AM$3:$AM$306=TRUE),--(calc!$AN$3:$AN$306&gt;AN161))+(SUMPRODUCT(--(calc!$AM$3:$AM$306=TRUE),--(calc!$AN$3:$AN$306=AN161))-1)/2,"")</f>
        <v/>
      </c>
      <c r="AS161" s="5">
        <f>IF(AM161,1+SUMPRODUCT(--(calc!$AM$3:$AM$306=TRUE),--(calc!$AO$3:$AO$306&gt;AO161))+(SUMPRODUCT(--(calc!$AM$3:$AM$306=TRUE),--(calc!$AO$3:$AO$306=AO161))-1)/2,"")</f>
        <v/>
      </c>
      <c r="AT161" s="5">
        <f>IF(AM161,SUMPRODUCT(--(calc!$AM$3:$AM$306=TRUE),--(ROW(calc!$AM$3:$AM$306)&gt;ROW(AM161)),--(((calc!$AR$3:$AR$306&gt;AR161)*(calc!$AS$3:$AS$306&gt;AS161)+(calc!$AR$3:$AR$306&lt;AR161)*(calc!$AS$3:$AS$306&lt;AS161))&gt;0))-SUMPRODUCT(--(calc!$AM$3:$AM$306=TRUE),--(ROW(calc!$AM$3:$AM$306)&gt;ROW(AM161)),--(((calc!$AR$3:$AR$306&gt;AR161)*(calc!$AS$3:$AS$306&lt;AS161)+(calc!$AR$3:$AR$306&lt;AR161)*(calc!$AS$3:$AS$306&gt;AS161))&gt;0)),0)</f>
        <v/>
      </c>
      <c r="AU161" s="5">
        <f>IF(mos_metrics!K160="","",mos_metrics!K160)</f>
        <v/>
      </c>
      <c r="AV161" s="2">
        <f>AND($J161,ISNUMBER(AU161),correlation!$I$30=1)</f>
        <v/>
      </c>
      <c r="AW161" s="5">
        <f>IF(AV161,$F161,"")</f>
        <v/>
      </c>
      <c r="AX161" s="5">
        <f>IF(AV161,AU161*correlation!$J$30,"")</f>
        <v/>
      </c>
      <c r="AY161" s="5">
        <f>IF(AND(AV161,ISNUMBER(correlation!$F$30)),AX161*correlation!$F$30+correlation!$G$30,"")</f>
        <v/>
      </c>
      <c r="AZ161" s="5">
        <f>IF(AND(AV161,ISNUMBER(AY161)),(AW161-AY161)^2,"")</f>
        <v/>
      </c>
      <c r="BA161" s="5">
        <f>IF(AV161,1+SUMPRODUCT(--(calc!$AV$3:$AV$306=TRUE),--(calc!$AW$3:$AW$306&gt;AW161))+(SUMPRODUCT(--(calc!$AV$3:$AV$306=TRUE),--(calc!$AW$3:$AW$306=AW161))-1)/2,"")</f>
        <v/>
      </c>
      <c r="BB161" s="5">
        <f>IF(AV161,1+SUMPRODUCT(--(calc!$AV$3:$AV$306=TRUE),--(calc!$AX$3:$AX$306&gt;AX161))+(SUMPRODUCT(--(calc!$AV$3:$AV$306=TRUE),--(calc!$AX$3:$AX$306=AX161))-1)/2,"")</f>
        <v/>
      </c>
      <c r="BC161" s="5">
        <f>IF(AV161,SUMPRODUCT(--(calc!$AV$3:$AV$306=TRUE),--(ROW(calc!$AV$3:$AV$306)&gt;ROW(AV161)),--(((calc!$BA$3:$BA$306&gt;BA161)*(calc!$BB$3:$BB$306&gt;BB161)+(calc!$BA$3:$BA$306&lt;BA161)*(calc!$BB$3:$BB$306&lt;BB161))&gt;0))-SUMPRODUCT(--(calc!$AV$3:$AV$306=TRUE),--(ROW(calc!$AV$3:$AV$306)&gt;ROW(AV161)),--(((calc!$BA$3:$BA$306&gt;BA161)*(calc!$BB$3:$BB$306&lt;BB161)+(calc!$BA$3:$BA$306&lt;BA161)*(calc!$BB$3:$BB$306&gt;BB161))&gt;0)),0)</f>
        <v/>
      </c>
      <c r="BD161" s="5">
        <f>IF(mos_metrics!L160="","",mos_metrics!L160)</f>
        <v/>
      </c>
      <c r="BE161" s="2">
        <f>AND($J161,ISNUMBER(BD161),correlation!$I$31=1)</f>
        <v/>
      </c>
      <c r="BF161" s="5">
        <f>IF(BE161,$F161,"")</f>
        <v/>
      </c>
      <c r="BG161" s="5">
        <f>IF(BE161,BD161*correlation!$J$31,"")</f>
        <v/>
      </c>
      <c r="BH161" s="5">
        <f>IF(AND(BE161,ISNUMBER(correlation!$F$31)),BG161*correlation!$F$31+correlation!$G$31,"")</f>
        <v/>
      </c>
      <c r="BI161" s="5">
        <f>IF(AND(BE161,ISNUMBER(BH161)),(BF161-BH161)^2,"")</f>
        <v/>
      </c>
      <c r="BJ161" s="5">
        <f>IF(BE161,1+SUMPRODUCT(--(calc!$BE$3:$BE$306=TRUE),--(calc!$BF$3:$BF$306&gt;BF161))+(SUMPRODUCT(--(calc!$BE$3:$BE$306=TRUE),--(calc!$BF$3:$BF$306=BF161))-1)/2,"")</f>
        <v/>
      </c>
      <c r="BK161" s="5">
        <f>IF(BE161,1+SUMPRODUCT(--(calc!$BE$3:$BE$306=TRUE),--(calc!$BG$3:$BG$306&gt;BG161))+(SUMPRODUCT(--(calc!$BE$3:$BE$306=TRUE),--(calc!$BG$3:$BG$306=BG161))-1)/2,"")</f>
        <v/>
      </c>
      <c r="BL161" s="5">
        <f>IF(BE161,SUMPRODUCT(--(calc!$BE$3:$BE$306=TRUE),--(ROW(calc!$BE$3:$BE$306)&gt;ROW(BE161)),--(((calc!$BJ$3:$BJ$306&gt;BJ161)*(calc!$BK$3:$BK$306&gt;BK161)+(calc!$BJ$3:$BJ$306&lt;BJ161)*(calc!$BK$3:$BK$306&lt;BK161))&gt;0))-SUMPRODUCT(--(calc!$BE$3:$BE$306=TRUE),--(ROW(calc!$BE$3:$BE$306)&gt;ROW(BE161)),--(((calc!$BJ$3:$BJ$306&gt;BJ161)*(calc!$BK$3:$BK$306&lt;BK161)+(calc!$BJ$3:$BJ$306&lt;BJ161)*(calc!$BK$3:$BK$306&gt;BK161))&gt;0)),0)</f>
        <v/>
      </c>
      <c r="BM161" s="5">
        <f>IF(mos_metrics!M160="","",mos_metrics!M160)</f>
        <v/>
      </c>
      <c r="BN161" s="2">
        <f>AND($J161,ISNUMBER(BM161),correlation!$I$32=1)</f>
        <v/>
      </c>
      <c r="BO161" s="5">
        <f>IF(BN161,$F161,"")</f>
        <v/>
      </c>
      <c r="BP161" s="5">
        <f>IF(BN161,BM161*correlation!$J$32,"")</f>
        <v/>
      </c>
      <c r="BQ161" s="5">
        <f>IF(AND(BN161,ISNUMBER(correlation!$F$32)),BP161*correlation!$F$32+correlation!$G$32,"")</f>
        <v/>
      </c>
      <c r="BR161" s="5">
        <f>IF(AND(BN161,ISNUMBER(BQ161)),(BO161-BQ161)^2,"")</f>
        <v/>
      </c>
      <c r="BS161" s="5">
        <f>IF(BN161,1+SUMPRODUCT(--(calc!$BN$3:$BN$306=TRUE),--(calc!$BO$3:$BO$306&gt;BO161))+(SUMPRODUCT(--(calc!$BN$3:$BN$306=TRUE),--(calc!$BO$3:$BO$306=BO161))-1)/2,"")</f>
        <v/>
      </c>
      <c r="BT161" s="5">
        <f>IF(BN161,1+SUMPRODUCT(--(calc!$BN$3:$BN$306=TRUE),--(calc!$BP$3:$BP$306&gt;BP161))+(SUMPRODUCT(--(calc!$BN$3:$BN$306=TRUE),--(calc!$BP$3:$BP$306=BP161))-1)/2,"")</f>
        <v/>
      </c>
      <c r="BU161" s="5">
        <f>IF(BN161,SUMPRODUCT(--(calc!$BN$3:$BN$306=TRUE),--(ROW(calc!$BN$3:$BN$306)&gt;ROW(BN161)),--(((calc!$BS$3:$BS$306&gt;BS161)*(calc!$BT$3:$BT$306&gt;BT161)+(calc!$BS$3:$BS$306&lt;BS161)*(calc!$BT$3:$BT$306&lt;BT161))&gt;0))-SUMPRODUCT(--(calc!$BN$3:$BN$306=TRUE),--(ROW(calc!$BN$3:$BN$306)&gt;ROW(BN161)),--(((calc!$BS$3:$BS$306&gt;BS161)*(calc!$BT$3:$BT$306&lt;BT161)+(calc!$BS$3:$BS$306&lt;BS161)*(calc!$BT$3:$BT$306&gt;BT161))&gt;0)),0)</f>
        <v/>
      </c>
    </row>
    <row r="162">
      <c r="A162" s="2">
        <f>mos_metrics!A161</f>
        <v/>
      </c>
      <c r="B162" s="2">
        <f>mos_metrics!B161</f>
        <v/>
      </c>
      <c r="C162" s="2">
        <f>mos_metrics!C161</f>
        <v/>
      </c>
      <c r="D162" s="2">
        <f>mos_metrics!D161</f>
        <v/>
      </c>
      <c r="E162" s="2">
        <f>mos_metrics!E161</f>
        <v/>
      </c>
      <c r="F162" s="2">
        <f>mos_metrics!F161</f>
        <v/>
      </c>
      <c r="G162" s="2">
        <f>IF($B162="","",IFERROR(VLOOKUP($B162,correlation!$A$2:$B$16,2,FALSE),1))</f>
        <v/>
      </c>
      <c r="H162" s="2">
        <f>IF($E162="","",IFERROR(VLOOKUP($E162,correlation!$D$2:$E$8,2,FALSE),1))</f>
        <v/>
      </c>
      <c r="I162" s="2">
        <f>ISNUMBER($F162)</f>
        <v/>
      </c>
      <c r="J162" s="2">
        <f>AND($G162=1,$H162=1,$I162)</f>
        <v/>
      </c>
      <c r="K162" s="5">
        <f>IF(mos_metrics!G161="","",mos_metrics!G161)</f>
        <v/>
      </c>
      <c r="L162" s="2">
        <f>AND($J162,ISNUMBER(K162),correlation!$I$26=1)</f>
        <v/>
      </c>
      <c r="M162" s="5">
        <f>IF(L162,$F162,"")</f>
        <v/>
      </c>
      <c r="N162" s="5">
        <f>IF(L162,K162*correlation!$J$26,"")</f>
        <v/>
      </c>
      <c r="O162" s="5">
        <f>IF(AND(L162,ISNUMBER(correlation!$F$26)),N162*correlation!$F$26+correlation!$G$26,"")</f>
        <v/>
      </c>
      <c r="P162" s="5">
        <f>IF(AND(L162,ISNUMBER(O162)),(M162-O162)^2,"")</f>
        <v/>
      </c>
      <c r="Q162" s="5">
        <f>IF(L162,1+SUMPRODUCT(--(calc!$L$3:$L$306=TRUE),--(calc!$M$3:$M$306&gt;M162))+(SUMPRODUCT(--(calc!$L$3:$L$306=TRUE),--(calc!$M$3:$M$306=M162))-1)/2,"")</f>
        <v/>
      </c>
      <c r="R162" s="5">
        <f>IF(L162,1+SUMPRODUCT(--(calc!$L$3:$L$306=TRUE),--(calc!$N$3:$N$306&gt;N162))+(SUMPRODUCT(--(calc!$L$3:$L$306=TRUE),--(calc!$N$3:$N$306=N162))-1)/2,"")</f>
        <v/>
      </c>
      <c r="S162" s="5">
        <f>IF(L162,SUMPRODUCT(--(calc!$L$3:$L$306=TRUE),--(ROW(calc!$L$3:$L$306)&gt;ROW(L162)),--(((calc!$Q$3:$Q$306&gt;Q162)*(calc!$R$3:$R$306&gt;R162)+(calc!$Q$3:$Q$306&lt;Q162)*(calc!$R$3:$R$306&lt;R162))&gt;0))-SUMPRODUCT(--(calc!$L$3:$L$306=TRUE),--(ROW(calc!$L$3:$L$306)&gt;ROW(L162)),--(((calc!$Q$3:$Q$306&gt;Q162)*(calc!$R$3:$R$306&lt;R162)+(calc!$Q$3:$Q$306&lt;Q162)*(calc!$R$3:$R$306&gt;R162))&gt;0)),0)</f>
        <v/>
      </c>
      <c r="T162" s="5">
        <f>IF(mos_metrics!H161="","",mos_metrics!H161)</f>
        <v/>
      </c>
      <c r="U162" s="2">
        <f>AND($J162,ISNUMBER(T162),correlation!$I$27=1)</f>
        <v/>
      </c>
      <c r="V162" s="5">
        <f>IF(U162,$F162,"")</f>
        <v/>
      </c>
      <c r="W162" s="5">
        <f>IF(U162,T162*correlation!$J$27,"")</f>
        <v/>
      </c>
      <c r="X162" s="5">
        <f>IF(AND(U162,ISNUMBER(correlation!$F$27)),W162*correlation!$F$27+correlation!$G$27,"")</f>
        <v/>
      </c>
      <c r="Y162" s="5">
        <f>IF(AND(U162,ISNUMBER(X162)),(V162-X162)^2,"")</f>
        <v/>
      </c>
      <c r="Z162" s="5">
        <f>IF(U162,1+SUMPRODUCT(--(calc!$U$3:$U$306=TRUE),--(calc!$V$3:$V$306&gt;V162))+(SUMPRODUCT(--(calc!$U$3:$U$306=TRUE),--(calc!$V$3:$V$306=V162))-1)/2,"")</f>
        <v/>
      </c>
      <c r="AA162" s="5">
        <f>IF(U162,1+SUMPRODUCT(--(calc!$U$3:$U$306=TRUE),--(calc!$W$3:$W$306&gt;W162))+(SUMPRODUCT(--(calc!$U$3:$U$306=TRUE),--(calc!$W$3:$W$306=W162))-1)/2,"")</f>
        <v/>
      </c>
      <c r="AB162" s="5">
        <f>IF(U162,SUMPRODUCT(--(calc!$U$3:$U$306=TRUE),--(ROW(calc!$U$3:$U$306)&gt;ROW(U162)),--(((calc!$Z$3:$Z$306&gt;Z162)*(calc!$AA$3:$AA$306&gt;AA162)+(calc!$Z$3:$Z$306&lt;Z162)*(calc!$AA$3:$AA$306&lt;AA162))&gt;0))-SUMPRODUCT(--(calc!$U$3:$U$306=TRUE),--(ROW(calc!$U$3:$U$306)&gt;ROW(U162)),--(((calc!$Z$3:$Z$306&gt;Z162)*(calc!$AA$3:$AA$306&lt;AA162)+(calc!$Z$3:$Z$306&lt;Z162)*(calc!$AA$3:$AA$306&gt;AA162))&gt;0)),0)</f>
        <v/>
      </c>
      <c r="AC162" s="5">
        <f>IF(mos_metrics!I161="","",mos_metrics!I161)</f>
        <v/>
      </c>
      <c r="AD162" s="2">
        <f>AND($J162,ISNUMBER(AC162),correlation!$I$28=1)</f>
        <v/>
      </c>
      <c r="AE162" s="5">
        <f>IF(AD162,$F162,"")</f>
        <v/>
      </c>
      <c r="AF162" s="5">
        <f>IF(AD162,AC162*correlation!$J$28,"")</f>
        <v/>
      </c>
      <c r="AG162" s="5">
        <f>IF(AND(AD162,ISNUMBER(correlation!$F$28)),AF162*correlation!$F$28+correlation!$G$28,"")</f>
        <v/>
      </c>
      <c r="AH162" s="5">
        <f>IF(AND(AD162,ISNUMBER(AG162)),(AE162-AG162)^2,"")</f>
        <v/>
      </c>
      <c r="AI162" s="5">
        <f>IF(AD162,1+SUMPRODUCT(--(calc!$AD$3:$AD$306=TRUE),--(calc!$AE$3:$AE$306&gt;AE162))+(SUMPRODUCT(--(calc!$AD$3:$AD$306=TRUE),--(calc!$AE$3:$AE$306=AE162))-1)/2,"")</f>
        <v/>
      </c>
      <c r="AJ162" s="5">
        <f>IF(AD162,1+SUMPRODUCT(--(calc!$AD$3:$AD$306=TRUE),--(calc!$AF$3:$AF$306&gt;AF162))+(SUMPRODUCT(--(calc!$AD$3:$AD$306=TRUE),--(calc!$AF$3:$AF$306=AF162))-1)/2,"")</f>
        <v/>
      </c>
      <c r="AK162" s="5">
        <f>IF(AD162,SUMPRODUCT(--(calc!$AD$3:$AD$306=TRUE),--(ROW(calc!$AD$3:$AD$306)&gt;ROW(AD162)),--(((calc!$AI$3:$AI$306&gt;AI162)*(calc!$AJ$3:$AJ$306&gt;AJ162)+(calc!$AI$3:$AI$306&lt;AI162)*(calc!$AJ$3:$AJ$306&lt;AJ162))&gt;0))-SUMPRODUCT(--(calc!$AD$3:$AD$306=TRUE),--(ROW(calc!$AD$3:$AD$306)&gt;ROW(AD162)),--(((calc!$AI$3:$AI$306&gt;AI162)*(calc!$AJ$3:$AJ$306&lt;AJ162)+(calc!$AI$3:$AI$306&lt;AI162)*(calc!$AJ$3:$AJ$306&gt;AJ162))&gt;0)),0)</f>
        <v/>
      </c>
      <c r="AL162" s="5">
        <f>IF(mos_metrics!J161="","",mos_metrics!J161)</f>
        <v/>
      </c>
      <c r="AM162" s="2">
        <f>AND($J162,ISNUMBER(AL162),correlation!$I$29=1)</f>
        <v/>
      </c>
      <c r="AN162" s="5">
        <f>IF(AM162,$F162,"")</f>
        <v/>
      </c>
      <c r="AO162" s="5">
        <f>IF(AM162,AL162*correlation!$J$29,"")</f>
        <v/>
      </c>
      <c r="AP162" s="5">
        <f>IF(AND(AM162,ISNUMBER(correlation!$F$29)),AO162*correlation!$F$29+correlation!$G$29,"")</f>
        <v/>
      </c>
      <c r="AQ162" s="5">
        <f>IF(AND(AM162,ISNUMBER(AP162)),(AN162-AP162)^2,"")</f>
        <v/>
      </c>
      <c r="AR162" s="5">
        <f>IF(AM162,1+SUMPRODUCT(--(calc!$AM$3:$AM$306=TRUE),--(calc!$AN$3:$AN$306&gt;AN162))+(SUMPRODUCT(--(calc!$AM$3:$AM$306=TRUE),--(calc!$AN$3:$AN$306=AN162))-1)/2,"")</f>
        <v/>
      </c>
      <c r="AS162" s="5">
        <f>IF(AM162,1+SUMPRODUCT(--(calc!$AM$3:$AM$306=TRUE),--(calc!$AO$3:$AO$306&gt;AO162))+(SUMPRODUCT(--(calc!$AM$3:$AM$306=TRUE),--(calc!$AO$3:$AO$306=AO162))-1)/2,"")</f>
        <v/>
      </c>
      <c r="AT162" s="5">
        <f>IF(AM162,SUMPRODUCT(--(calc!$AM$3:$AM$306=TRUE),--(ROW(calc!$AM$3:$AM$306)&gt;ROW(AM162)),--(((calc!$AR$3:$AR$306&gt;AR162)*(calc!$AS$3:$AS$306&gt;AS162)+(calc!$AR$3:$AR$306&lt;AR162)*(calc!$AS$3:$AS$306&lt;AS162))&gt;0))-SUMPRODUCT(--(calc!$AM$3:$AM$306=TRUE),--(ROW(calc!$AM$3:$AM$306)&gt;ROW(AM162)),--(((calc!$AR$3:$AR$306&gt;AR162)*(calc!$AS$3:$AS$306&lt;AS162)+(calc!$AR$3:$AR$306&lt;AR162)*(calc!$AS$3:$AS$306&gt;AS162))&gt;0)),0)</f>
        <v/>
      </c>
      <c r="AU162" s="5">
        <f>IF(mos_metrics!K161="","",mos_metrics!K161)</f>
        <v/>
      </c>
      <c r="AV162" s="2">
        <f>AND($J162,ISNUMBER(AU162),correlation!$I$30=1)</f>
        <v/>
      </c>
      <c r="AW162" s="5">
        <f>IF(AV162,$F162,"")</f>
        <v/>
      </c>
      <c r="AX162" s="5">
        <f>IF(AV162,AU162*correlation!$J$30,"")</f>
        <v/>
      </c>
      <c r="AY162" s="5">
        <f>IF(AND(AV162,ISNUMBER(correlation!$F$30)),AX162*correlation!$F$30+correlation!$G$30,"")</f>
        <v/>
      </c>
      <c r="AZ162" s="5">
        <f>IF(AND(AV162,ISNUMBER(AY162)),(AW162-AY162)^2,"")</f>
        <v/>
      </c>
      <c r="BA162" s="5">
        <f>IF(AV162,1+SUMPRODUCT(--(calc!$AV$3:$AV$306=TRUE),--(calc!$AW$3:$AW$306&gt;AW162))+(SUMPRODUCT(--(calc!$AV$3:$AV$306=TRUE),--(calc!$AW$3:$AW$306=AW162))-1)/2,"")</f>
        <v/>
      </c>
      <c r="BB162" s="5">
        <f>IF(AV162,1+SUMPRODUCT(--(calc!$AV$3:$AV$306=TRUE),--(calc!$AX$3:$AX$306&gt;AX162))+(SUMPRODUCT(--(calc!$AV$3:$AV$306=TRUE),--(calc!$AX$3:$AX$306=AX162))-1)/2,"")</f>
        <v/>
      </c>
      <c r="BC162" s="5">
        <f>IF(AV162,SUMPRODUCT(--(calc!$AV$3:$AV$306=TRUE),--(ROW(calc!$AV$3:$AV$306)&gt;ROW(AV162)),--(((calc!$BA$3:$BA$306&gt;BA162)*(calc!$BB$3:$BB$306&gt;BB162)+(calc!$BA$3:$BA$306&lt;BA162)*(calc!$BB$3:$BB$306&lt;BB162))&gt;0))-SUMPRODUCT(--(calc!$AV$3:$AV$306=TRUE),--(ROW(calc!$AV$3:$AV$306)&gt;ROW(AV162)),--(((calc!$BA$3:$BA$306&gt;BA162)*(calc!$BB$3:$BB$306&lt;BB162)+(calc!$BA$3:$BA$306&lt;BA162)*(calc!$BB$3:$BB$306&gt;BB162))&gt;0)),0)</f>
        <v/>
      </c>
      <c r="BD162" s="5">
        <f>IF(mos_metrics!L161="","",mos_metrics!L161)</f>
        <v/>
      </c>
      <c r="BE162" s="2">
        <f>AND($J162,ISNUMBER(BD162),correlation!$I$31=1)</f>
        <v/>
      </c>
      <c r="BF162" s="5">
        <f>IF(BE162,$F162,"")</f>
        <v/>
      </c>
      <c r="BG162" s="5">
        <f>IF(BE162,BD162*correlation!$J$31,"")</f>
        <v/>
      </c>
      <c r="BH162" s="5">
        <f>IF(AND(BE162,ISNUMBER(correlation!$F$31)),BG162*correlation!$F$31+correlation!$G$31,"")</f>
        <v/>
      </c>
      <c r="BI162" s="5">
        <f>IF(AND(BE162,ISNUMBER(BH162)),(BF162-BH162)^2,"")</f>
        <v/>
      </c>
      <c r="BJ162" s="5">
        <f>IF(BE162,1+SUMPRODUCT(--(calc!$BE$3:$BE$306=TRUE),--(calc!$BF$3:$BF$306&gt;BF162))+(SUMPRODUCT(--(calc!$BE$3:$BE$306=TRUE),--(calc!$BF$3:$BF$306=BF162))-1)/2,"")</f>
        <v/>
      </c>
      <c r="BK162" s="5">
        <f>IF(BE162,1+SUMPRODUCT(--(calc!$BE$3:$BE$306=TRUE),--(calc!$BG$3:$BG$306&gt;BG162))+(SUMPRODUCT(--(calc!$BE$3:$BE$306=TRUE),--(calc!$BG$3:$BG$306=BG162))-1)/2,"")</f>
        <v/>
      </c>
      <c r="BL162" s="5">
        <f>IF(BE162,SUMPRODUCT(--(calc!$BE$3:$BE$306=TRUE),--(ROW(calc!$BE$3:$BE$306)&gt;ROW(BE162)),--(((calc!$BJ$3:$BJ$306&gt;BJ162)*(calc!$BK$3:$BK$306&gt;BK162)+(calc!$BJ$3:$BJ$306&lt;BJ162)*(calc!$BK$3:$BK$306&lt;BK162))&gt;0))-SUMPRODUCT(--(calc!$BE$3:$BE$306=TRUE),--(ROW(calc!$BE$3:$BE$306)&gt;ROW(BE162)),--(((calc!$BJ$3:$BJ$306&gt;BJ162)*(calc!$BK$3:$BK$306&lt;BK162)+(calc!$BJ$3:$BJ$306&lt;BJ162)*(calc!$BK$3:$BK$306&gt;BK162))&gt;0)),0)</f>
        <v/>
      </c>
      <c r="BM162" s="5">
        <f>IF(mos_metrics!M161="","",mos_metrics!M161)</f>
        <v/>
      </c>
      <c r="BN162" s="2">
        <f>AND($J162,ISNUMBER(BM162),correlation!$I$32=1)</f>
        <v/>
      </c>
      <c r="BO162" s="5">
        <f>IF(BN162,$F162,"")</f>
        <v/>
      </c>
      <c r="BP162" s="5">
        <f>IF(BN162,BM162*correlation!$J$32,"")</f>
        <v/>
      </c>
      <c r="BQ162" s="5">
        <f>IF(AND(BN162,ISNUMBER(correlation!$F$32)),BP162*correlation!$F$32+correlation!$G$32,"")</f>
        <v/>
      </c>
      <c r="BR162" s="5">
        <f>IF(AND(BN162,ISNUMBER(BQ162)),(BO162-BQ162)^2,"")</f>
        <v/>
      </c>
      <c r="BS162" s="5">
        <f>IF(BN162,1+SUMPRODUCT(--(calc!$BN$3:$BN$306=TRUE),--(calc!$BO$3:$BO$306&gt;BO162))+(SUMPRODUCT(--(calc!$BN$3:$BN$306=TRUE),--(calc!$BO$3:$BO$306=BO162))-1)/2,"")</f>
        <v/>
      </c>
      <c r="BT162" s="5">
        <f>IF(BN162,1+SUMPRODUCT(--(calc!$BN$3:$BN$306=TRUE),--(calc!$BP$3:$BP$306&gt;BP162))+(SUMPRODUCT(--(calc!$BN$3:$BN$306=TRUE),--(calc!$BP$3:$BP$306=BP162))-1)/2,"")</f>
        <v/>
      </c>
      <c r="BU162" s="5">
        <f>IF(BN162,SUMPRODUCT(--(calc!$BN$3:$BN$306=TRUE),--(ROW(calc!$BN$3:$BN$306)&gt;ROW(BN162)),--(((calc!$BS$3:$BS$306&gt;BS162)*(calc!$BT$3:$BT$306&gt;BT162)+(calc!$BS$3:$BS$306&lt;BS162)*(calc!$BT$3:$BT$306&lt;BT162))&gt;0))-SUMPRODUCT(--(calc!$BN$3:$BN$306=TRUE),--(ROW(calc!$BN$3:$BN$306)&gt;ROW(BN162)),--(((calc!$BS$3:$BS$306&gt;BS162)*(calc!$BT$3:$BT$306&lt;BT162)+(calc!$BS$3:$BS$306&lt;BS162)*(calc!$BT$3:$BT$306&gt;BT162))&gt;0)),0)</f>
        <v/>
      </c>
    </row>
    <row r="163">
      <c r="A163" s="2">
        <f>mos_metrics!A162</f>
        <v/>
      </c>
      <c r="B163" s="2">
        <f>mos_metrics!B162</f>
        <v/>
      </c>
      <c r="C163" s="2">
        <f>mos_metrics!C162</f>
        <v/>
      </c>
      <c r="D163" s="2">
        <f>mos_metrics!D162</f>
        <v/>
      </c>
      <c r="E163" s="2">
        <f>mos_metrics!E162</f>
        <v/>
      </c>
      <c r="F163" s="2">
        <f>mos_metrics!F162</f>
        <v/>
      </c>
      <c r="G163" s="2">
        <f>IF($B163="","",IFERROR(VLOOKUP($B163,correlation!$A$2:$B$16,2,FALSE),1))</f>
        <v/>
      </c>
      <c r="H163" s="2">
        <f>IF($E163="","",IFERROR(VLOOKUP($E163,correlation!$D$2:$E$8,2,FALSE),1))</f>
        <v/>
      </c>
      <c r="I163" s="2">
        <f>ISNUMBER($F163)</f>
        <v/>
      </c>
      <c r="J163" s="2">
        <f>AND($G163=1,$H163=1,$I163)</f>
        <v/>
      </c>
      <c r="K163" s="5">
        <f>IF(mos_metrics!G162="","",mos_metrics!G162)</f>
        <v/>
      </c>
      <c r="L163" s="2">
        <f>AND($J163,ISNUMBER(K163),correlation!$I$26=1)</f>
        <v/>
      </c>
      <c r="M163" s="5">
        <f>IF(L163,$F163,"")</f>
        <v/>
      </c>
      <c r="N163" s="5">
        <f>IF(L163,K163*correlation!$J$26,"")</f>
        <v/>
      </c>
      <c r="O163" s="5">
        <f>IF(AND(L163,ISNUMBER(correlation!$F$26)),N163*correlation!$F$26+correlation!$G$26,"")</f>
        <v/>
      </c>
      <c r="P163" s="5">
        <f>IF(AND(L163,ISNUMBER(O163)),(M163-O163)^2,"")</f>
        <v/>
      </c>
      <c r="Q163" s="5">
        <f>IF(L163,1+SUMPRODUCT(--(calc!$L$3:$L$306=TRUE),--(calc!$M$3:$M$306&gt;M163))+(SUMPRODUCT(--(calc!$L$3:$L$306=TRUE),--(calc!$M$3:$M$306=M163))-1)/2,"")</f>
        <v/>
      </c>
      <c r="R163" s="5">
        <f>IF(L163,1+SUMPRODUCT(--(calc!$L$3:$L$306=TRUE),--(calc!$N$3:$N$306&gt;N163))+(SUMPRODUCT(--(calc!$L$3:$L$306=TRUE),--(calc!$N$3:$N$306=N163))-1)/2,"")</f>
        <v/>
      </c>
      <c r="S163" s="5">
        <f>IF(L163,SUMPRODUCT(--(calc!$L$3:$L$306=TRUE),--(ROW(calc!$L$3:$L$306)&gt;ROW(L163)),--(((calc!$Q$3:$Q$306&gt;Q163)*(calc!$R$3:$R$306&gt;R163)+(calc!$Q$3:$Q$306&lt;Q163)*(calc!$R$3:$R$306&lt;R163))&gt;0))-SUMPRODUCT(--(calc!$L$3:$L$306=TRUE),--(ROW(calc!$L$3:$L$306)&gt;ROW(L163)),--(((calc!$Q$3:$Q$306&gt;Q163)*(calc!$R$3:$R$306&lt;R163)+(calc!$Q$3:$Q$306&lt;Q163)*(calc!$R$3:$R$306&gt;R163))&gt;0)),0)</f>
        <v/>
      </c>
      <c r="T163" s="5">
        <f>IF(mos_metrics!H162="","",mos_metrics!H162)</f>
        <v/>
      </c>
      <c r="U163" s="2">
        <f>AND($J163,ISNUMBER(T163),correlation!$I$27=1)</f>
        <v/>
      </c>
      <c r="V163" s="5">
        <f>IF(U163,$F163,"")</f>
        <v/>
      </c>
      <c r="W163" s="5">
        <f>IF(U163,T163*correlation!$J$27,"")</f>
        <v/>
      </c>
      <c r="X163" s="5">
        <f>IF(AND(U163,ISNUMBER(correlation!$F$27)),W163*correlation!$F$27+correlation!$G$27,"")</f>
        <v/>
      </c>
      <c r="Y163" s="5">
        <f>IF(AND(U163,ISNUMBER(X163)),(V163-X163)^2,"")</f>
        <v/>
      </c>
      <c r="Z163" s="5">
        <f>IF(U163,1+SUMPRODUCT(--(calc!$U$3:$U$306=TRUE),--(calc!$V$3:$V$306&gt;V163))+(SUMPRODUCT(--(calc!$U$3:$U$306=TRUE),--(calc!$V$3:$V$306=V163))-1)/2,"")</f>
        <v/>
      </c>
      <c r="AA163" s="5">
        <f>IF(U163,1+SUMPRODUCT(--(calc!$U$3:$U$306=TRUE),--(calc!$W$3:$W$306&gt;W163))+(SUMPRODUCT(--(calc!$U$3:$U$306=TRUE),--(calc!$W$3:$W$306=W163))-1)/2,"")</f>
        <v/>
      </c>
      <c r="AB163" s="5">
        <f>IF(U163,SUMPRODUCT(--(calc!$U$3:$U$306=TRUE),--(ROW(calc!$U$3:$U$306)&gt;ROW(U163)),--(((calc!$Z$3:$Z$306&gt;Z163)*(calc!$AA$3:$AA$306&gt;AA163)+(calc!$Z$3:$Z$306&lt;Z163)*(calc!$AA$3:$AA$306&lt;AA163))&gt;0))-SUMPRODUCT(--(calc!$U$3:$U$306=TRUE),--(ROW(calc!$U$3:$U$306)&gt;ROW(U163)),--(((calc!$Z$3:$Z$306&gt;Z163)*(calc!$AA$3:$AA$306&lt;AA163)+(calc!$Z$3:$Z$306&lt;Z163)*(calc!$AA$3:$AA$306&gt;AA163))&gt;0)),0)</f>
        <v/>
      </c>
      <c r="AC163" s="5">
        <f>IF(mos_metrics!I162="","",mos_metrics!I162)</f>
        <v/>
      </c>
      <c r="AD163" s="2">
        <f>AND($J163,ISNUMBER(AC163),correlation!$I$28=1)</f>
        <v/>
      </c>
      <c r="AE163" s="5">
        <f>IF(AD163,$F163,"")</f>
        <v/>
      </c>
      <c r="AF163" s="5">
        <f>IF(AD163,AC163*correlation!$J$28,"")</f>
        <v/>
      </c>
      <c r="AG163" s="5">
        <f>IF(AND(AD163,ISNUMBER(correlation!$F$28)),AF163*correlation!$F$28+correlation!$G$28,"")</f>
        <v/>
      </c>
      <c r="AH163" s="5">
        <f>IF(AND(AD163,ISNUMBER(AG163)),(AE163-AG163)^2,"")</f>
        <v/>
      </c>
      <c r="AI163" s="5">
        <f>IF(AD163,1+SUMPRODUCT(--(calc!$AD$3:$AD$306=TRUE),--(calc!$AE$3:$AE$306&gt;AE163))+(SUMPRODUCT(--(calc!$AD$3:$AD$306=TRUE),--(calc!$AE$3:$AE$306=AE163))-1)/2,"")</f>
        <v/>
      </c>
      <c r="AJ163" s="5">
        <f>IF(AD163,1+SUMPRODUCT(--(calc!$AD$3:$AD$306=TRUE),--(calc!$AF$3:$AF$306&gt;AF163))+(SUMPRODUCT(--(calc!$AD$3:$AD$306=TRUE),--(calc!$AF$3:$AF$306=AF163))-1)/2,"")</f>
        <v/>
      </c>
      <c r="AK163" s="5">
        <f>IF(AD163,SUMPRODUCT(--(calc!$AD$3:$AD$306=TRUE),--(ROW(calc!$AD$3:$AD$306)&gt;ROW(AD163)),--(((calc!$AI$3:$AI$306&gt;AI163)*(calc!$AJ$3:$AJ$306&gt;AJ163)+(calc!$AI$3:$AI$306&lt;AI163)*(calc!$AJ$3:$AJ$306&lt;AJ163))&gt;0))-SUMPRODUCT(--(calc!$AD$3:$AD$306=TRUE),--(ROW(calc!$AD$3:$AD$306)&gt;ROW(AD163)),--(((calc!$AI$3:$AI$306&gt;AI163)*(calc!$AJ$3:$AJ$306&lt;AJ163)+(calc!$AI$3:$AI$306&lt;AI163)*(calc!$AJ$3:$AJ$306&gt;AJ163))&gt;0)),0)</f>
        <v/>
      </c>
      <c r="AL163" s="5">
        <f>IF(mos_metrics!J162="","",mos_metrics!J162)</f>
        <v/>
      </c>
      <c r="AM163" s="2">
        <f>AND($J163,ISNUMBER(AL163),correlation!$I$29=1)</f>
        <v/>
      </c>
      <c r="AN163" s="5">
        <f>IF(AM163,$F163,"")</f>
        <v/>
      </c>
      <c r="AO163" s="5">
        <f>IF(AM163,AL163*correlation!$J$29,"")</f>
        <v/>
      </c>
      <c r="AP163" s="5">
        <f>IF(AND(AM163,ISNUMBER(correlation!$F$29)),AO163*correlation!$F$29+correlation!$G$29,"")</f>
        <v/>
      </c>
      <c r="AQ163" s="5">
        <f>IF(AND(AM163,ISNUMBER(AP163)),(AN163-AP163)^2,"")</f>
        <v/>
      </c>
      <c r="AR163" s="5">
        <f>IF(AM163,1+SUMPRODUCT(--(calc!$AM$3:$AM$306=TRUE),--(calc!$AN$3:$AN$306&gt;AN163))+(SUMPRODUCT(--(calc!$AM$3:$AM$306=TRUE),--(calc!$AN$3:$AN$306=AN163))-1)/2,"")</f>
        <v/>
      </c>
      <c r="AS163" s="5">
        <f>IF(AM163,1+SUMPRODUCT(--(calc!$AM$3:$AM$306=TRUE),--(calc!$AO$3:$AO$306&gt;AO163))+(SUMPRODUCT(--(calc!$AM$3:$AM$306=TRUE),--(calc!$AO$3:$AO$306=AO163))-1)/2,"")</f>
        <v/>
      </c>
      <c r="AT163" s="5">
        <f>IF(AM163,SUMPRODUCT(--(calc!$AM$3:$AM$306=TRUE),--(ROW(calc!$AM$3:$AM$306)&gt;ROW(AM163)),--(((calc!$AR$3:$AR$306&gt;AR163)*(calc!$AS$3:$AS$306&gt;AS163)+(calc!$AR$3:$AR$306&lt;AR163)*(calc!$AS$3:$AS$306&lt;AS163))&gt;0))-SUMPRODUCT(--(calc!$AM$3:$AM$306=TRUE),--(ROW(calc!$AM$3:$AM$306)&gt;ROW(AM163)),--(((calc!$AR$3:$AR$306&gt;AR163)*(calc!$AS$3:$AS$306&lt;AS163)+(calc!$AR$3:$AR$306&lt;AR163)*(calc!$AS$3:$AS$306&gt;AS163))&gt;0)),0)</f>
        <v/>
      </c>
      <c r="AU163" s="5">
        <f>IF(mos_metrics!K162="","",mos_metrics!K162)</f>
        <v/>
      </c>
      <c r="AV163" s="2">
        <f>AND($J163,ISNUMBER(AU163),correlation!$I$30=1)</f>
        <v/>
      </c>
      <c r="AW163" s="5">
        <f>IF(AV163,$F163,"")</f>
        <v/>
      </c>
      <c r="AX163" s="5">
        <f>IF(AV163,AU163*correlation!$J$30,"")</f>
        <v/>
      </c>
      <c r="AY163" s="5">
        <f>IF(AND(AV163,ISNUMBER(correlation!$F$30)),AX163*correlation!$F$30+correlation!$G$30,"")</f>
        <v/>
      </c>
      <c r="AZ163" s="5">
        <f>IF(AND(AV163,ISNUMBER(AY163)),(AW163-AY163)^2,"")</f>
        <v/>
      </c>
      <c r="BA163" s="5">
        <f>IF(AV163,1+SUMPRODUCT(--(calc!$AV$3:$AV$306=TRUE),--(calc!$AW$3:$AW$306&gt;AW163))+(SUMPRODUCT(--(calc!$AV$3:$AV$306=TRUE),--(calc!$AW$3:$AW$306=AW163))-1)/2,"")</f>
        <v/>
      </c>
      <c r="BB163" s="5">
        <f>IF(AV163,1+SUMPRODUCT(--(calc!$AV$3:$AV$306=TRUE),--(calc!$AX$3:$AX$306&gt;AX163))+(SUMPRODUCT(--(calc!$AV$3:$AV$306=TRUE),--(calc!$AX$3:$AX$306=AX163))-1)/2,"")</f>
        <v/>
      </c>
      <c r="BC163" s="5">
        <f>IF(AV163,SUMPRODUCT(--(calc!$AV$3:$AV$306=TRUE),--(ROW(calc!$AV$3:$AV$306)&gt;ROW(AV163)),--(((calc!$BA$3:$BA$306&gt;BA163)*(calc!$BB$3:$BB$306&gt;BB163)+(calc!$BA$3:$BA$306&lt;BA163)*(calc!$BB$3:$BB$306&lt;BB163))&gt;0))-SUMPRODUCT(--(calc!$AV$3:$AV$306=TRUE),--(ROW(calc!$AV$3:$AV$306)&gt;ROW(AV163)),--(((calc!$BA$3:$BA$306&gt;BA163)*(calc!$BB$3:$BB$306&lt;BB163)+(calc!$BA$3:$BA$306&lt;BA163)*(calc!$BB$3:$BB$306&gt;BB163))&gt;0)),0)</f>
        <v/>
      </c>
      <c r="BD163" s="5">
        <f>IF(mos_metrics!L162="","",mos_metrics!L162)</f>
        <v/>
      </c>
      <c r="BE163" s="2">
        <f>AND($J163,ISNUMBER(BD163),correlation!$I$31=1)</f>
        <v/>
      </c>
      <c r="BF163" s="5">
        <f>IF(BE163,$F163,"")</f>
        <v/>
      </c>
      <c r="BG163" s="5">
        <f>IF(BE163,BD163*correlation!$J$31,"")</f>
        <v/>
      </c>
      <c r="BH163" s="5">
        <f>IF(AND(BE163,ISNUMBER(correlation!$F$31)),BG163*correlation!$F$31+correlation!$G$31,"")</f>
        <v/>
      </c>
      <c r="BI163" s="5">
        <f>IF(AND(BE163,ISNUMBER(BH163)),(BF163-BH163)^2,"")</f>
        <v/>
      </c>
      <c r="BJ163" s="5">
        <f>IF(BE163,1+SUMPRODUCT(--(calc!$BE$3:$BE$306=TRUE),--(calc!$BF$3:$BF$306&gt;BF163))+(SUMPRODUCT(--(calc!$BE$3:$BE$306=TRUE),--(calc!$BF$3:$BF$306=BF163))-1)/2,"")</f>
        <v/>
      </c>
      <c r="BK163" s="5">
        <f>IF(BE163,1+SUMPRODUCT(--(calc!$BE$3:$BE$306=TRUE),--(calc!$BG$3:$BG$306&gt;BG163))+(SUMPRODUCT(--(calc!$BE$3:$BE$306=TRUE),--(calc!$BG$3:$BG$306=BG163))-1)/2,"")</f>
        <v/>
      </c>
      <c r="BL163" s="5">
        <f>IF(BE163,SUMPRODUCT(--(calc!$BE$3:$BE$306=TRUE),--(ROW(calc!$BE$3:$BE$306)&gt;ROW(BE163)),--(((calc!$BJ$3:$BJ$306&gt;BJ163)*(calc!$BK$3:$BK$306&gt;BK163)+(calc!$BJ$3:$BJ$306&lt;BJ163)*(calc!$BK$3:$BK$306&lt;BK163))&gt;0))-SUMPRODUCT(--(calc!$BE$3:$BE$306=TRUE),--(ROW(calc!$BE$3:$BE$306)&gt;ROW(BE163)),--(((calc!$BJ$3:$BJ$306&gt;BJ163)*(calc!$BK$3:$BK$306&lt;BK163)+(calc!$BJ$3:$BJ$306&lt;BJ163)*(calc!$BK$3:$BK$306&gt;BK163))&gt;0)),0)</f>
        <v/>
      </c>
      <c r="BM163" s="5">
        <f>IF(mos_metrics!M162="","",mos_metrics!M162)</f>
        <v/>
      </c>
      <c r="BN163" s="2">
        <f>AND($J163,ISNUMBER(BM163),correlation!$I$32=1)</f>
        <v/>
      </c>
      <c r="BO163" s="5">
        <f>IF(BN163,$F163,"")</f>
        <v/>
      </c>
      <c r="BP163" s="5">
        <f>IF(BN163,BM163*correlation!$J$32,"")</f>
        <v/>
      </c>
      <c r="BQ163" s="5">
        <f>IF(AND(BN163,ISNUMBER(correlation!$F$32)),BP163*correlation!$F$32+correlation!$G$32,"")</f>
        <v/>
      </c>
      <c r="BR163" s="5">
        <f>IF(AND(BN163,ISNUMBER(BQ163)),(BO163-BQ163)^2,"")</f>
        <v/>
      </c>
      <c r="BS163" s="5">
        <f>IF(BN163,1+SUMPRODUCT(--(calc!$BN$3:$BN$306=TRUE),--(calc!$BO$3:$BO$306&gt;BO163))+(SUMPRODUCT(--(calc!$BN$3:$BN$306=TRUE),--(calc!$BO$3:$BO$306=BO163))-1)/2,"")</f>
        <v/>
      </c>
      <c r="BT163" s="5">
        <f>IF(BN163,1+SUMPRODUCT(--(calc!$BN$3:$BN$306=TRUE),--(calc!$BP$3:$BP$306&gt;BP163))+(SUMPRODUCT(--(calc!$BN$3:$BN$306=TRUE),--(calc!$BP$3:$BP$306=BP163))-1)/2,"")</f>
        <v/>
      </c>
      <c r="BU163" s="5">
        <f>IF(BN163,SUMPRODUCT(--(calc!$BN$3:$BN$306=TRUE),--(ROW(calc!$BN$3:$BN$306)&gt;ROW(BN163)),--(((calc!$BS$3:$BS$306&gt;BS163)*(calc!$BT$3:$BT$306&gt;BT163)+(calc!$BS$3:$BS$306&lt;BS163)*(calc!$BT$3:$BT$306&lt;BT163))&gt;0))-SUMPRODUCT(--(calc!$BN$3:$BN$306=TRUE),--(ROW(calc!$BN$3:$BN$306)&gt;ROW(BN163)),--(((calc!$BS$3:$BS$306&gt;BS163)*(calc!$BT$3:$BT$306&lt;BT163)+(calc!$BS$3:$BS$306&lt;BS163)*(calc!$BT$3:$BT$306&gt;BT163))&gt;0)),0)</f>
        <v/>
      </c>
    </row>
    <row r="164">
      <c r="A164" s="2">
        <f>mos_metrics!A163</f>
        <v/>
      </c>
      <c r="B164" s="2">
        <f>mos_metrics!B163</f>
        <v/>
      </c>
      <c r="C164" s="2">
        <f>mos_metrics!C163</f>
        <v/>
      </c>
      <c r="D164" s="2">
        <f>mos_metrics!D163</f>
        <v/>
      </c>
      <c r="E164" s="2">
        <f>mos_metrics!E163</f>
        <v/>
      </c>
      <c r="F164" s="2">
        <f>mos_metrics!F163</f>
        <v/>
      </c>
      <c r="G164" s="2">
        <f>IF($B164="","",IFERROR(VLOOKUP($B164,correlation!$A$2:$B$16,2,FALSE),1))</f>
        <v/>
      </c>
      <c r="H164" s="2">
        <f>IF($E164="","",IFERROR(VLOOKUP($E164,correlation!$D$2:$E$8,2,FALSE),1))</f>
        <v/>
      </c>
      <c r="I164" s="2">
        <f>ISNUMBER($F164)</f>
        <v/>
      </c>
      <c r="J164" s="2">
        <f>AND($G164=1,$H164=1,$I164)</f>
        <v/>
      </c>
      <c r="K164" s="5">
        <f>IF(mos_metrics!G163="","",mos_metrics!G163)</f>
        <v/>
      </c>
      <c r="L164" s="2">
        <f>AND($J164,ISNUMBER(K164),correlation!$I$26=1)</f>
        <v/>
      </c>
      <c r="M164" s="5">
        <f>IF(L164,$F164,"")</f>
        <v/>
      </c>
      <c r="N164" s="5">
        <f>IF(L164,K164*correlation!$J$26,"")</f>
        <v/>
      </c>
      <c r="O164" s="5">
        <f>IF(AND(L164,ISNUMBER(correlation!$F$26)),N164*correlation!$F$26+correlation!$G$26,"")</f>
        <v/>
      </c>
      <c r="P164" s="5">
        <f>IF(AND(L164,ISNUMBER(O164)),(M164-O164)^2,"")</f>
        <v/>
      </c>
      <c r="Q164" s="5">
        <f>IF(L164,1+SUMPRODUCT(--(calc!$L$3:$L$306=TRUE),--(calc!$M$3:$M$306&gt;M164))+(SUMPRODUCT(--(calc!$L$3:$L$306=TRUE),--(calc!$M$3:$M$306=M164))-1)/2,"")</f>
        <v/>
      </c>
      <c r="R164" s="5">
        <f>IF(L164,1+SUMPRODUCT(--(calc!$L$3:$L$306=TRUE),--(calc!$N$3:$N$306&gt;N164))+(SUMPRODUCT(--(calc!$L$3:$L$306=TRUE),--(calc!$N$3:$N$306=N164))-1)/2,"")</f>
        <v/>
      </c>
      <c r="S164" s="5">
        <f>IF(L164,SUMPRODUCT(--(calc!$L$3:$L$306=TRUE),--(ROW(calc!$L$3:$L$306)&gt;ROW(L164)),--(((calc!$Q$3:$Q$306&gt;Q164)*(calc!$R$3:$R$306&gt;R164)+(calc!$Q$3:$Q$306&lt;Q164)*(calc!$R$3:$R$306&lt;R164))&gt;0))-SUMPRODUCT(--(calc!$L$3:$L$306=TRUE),--(ROW(calc!$L$3:$L$306)&gt;ROW(L164)),--(((calc!$Q$3:$Q$306&gt;Q164)*(calc!$R$3:$R$306&lt;R164)+(calc!$Q$3:$Q$306&lt;Q164)*(calc!$R$3:$R$306&gt;R164))&gt;0)),0)</f>
        <v/>
      </c>
      <c r="T164" s="5">
        <f>IF(mos_metrics!H163="","",mos_metrics!H163)</f>
        <v/>
      </c>
      <c r="U164" s="2">
        <f>AND($J164,ISNUMBER(T164),correlation!$I$27=1)</f>
        <v/>
      </c>
      <c r="V164" s="5">
        <f>IF(U164,$F164,"")</f>
        <v/>
      </c>
      <c r="W164" s="5">
        <f>IF(U164,T164*correlation!$J$27,"")</f>
        <v/>
      </c>
      <c r="X164" s="5">
        <f>IF(AND(U164,ISNUMBER(correlation!$F$27)),W164*correlation!$F$27+correlation!$G$27,"")</f>
        <v/>
      </c>
      <c r="Y164" s="5">
        <f>IF(AND(U164,ISNUMBER(X164)),(V164-X164)^2,"")</f>
        <v/>
      </c>
      <c r="Z164" s="5">
        <f>IF(U164,1+SUMPRODUCT(--(calc!$U$3:$U$306=TRUE),--(calc!$V$3:$V$306&gt;V164))+(SUMPRODUCT(--(calc!$U$3:$U$306=TRUE),--(calc!$V$3:$V$306=V164))-1)/2,"")</f>
        <v/>
      </c>
      <c r="AA164" s="5">
        <f>IF(U164,1+SUMPRODUCT(--(calc!$U$3:$U$306=TRUE),--(calc!$W$3:$W$306&gt;W164))+(SUMPRODUCT(--(calc!$U$3:$U$306=TRUE),--(calc!$W$3:$W$306=W164))-1)/2,"")</f>
        <v/>
      </c>
      <c r="AB164" s="5">
        <f>IF(U164,SUMPRODUCT(--(calc!$U$3:$U$306=TRUE),--(ROW(calc!$U$3:$U$306)&gt;ROW(U164)),--(((calc!$Z$3:$Z$306&gt;Z164)*(calc!$AA$3:$AA$306&gt;AA164)+(calc!$Z$3:$Z$306&lt;Z164)*(calc!$AA$3:$AA$306&lt;AA164))&gt;0))-SUMPRODUCT(--(calc!$U$3:$U$306=TRUE),--(ROW(calc!$U$3:$U$306)&gt;ROW(U164)),--(((calc!$Z$3:$Z$306&gt;Z164)*(calc!$AA$3:$AA$306&lt;AA164)+(calc!$Z$3:$Z$306&lt;Z164)*(calc!$AA$3:$AA$306&gt;AA164))&gt;0)),0)</f>
        <v/>
      </c>
      <c r="AC164" s="5">
        <f>IF(mos_metrics!I163="","",mos_metrics!I163)</f>
        <v/>
      </c>
      <c r="AD164" s="2">
        <f>AND($J164,ISNUMBER(AC164),correlation!$I$28=1)</f>
        <v/>
      </c>
      <c r="AE164" s="5">
        <f>IF(AD164,$F164,"")</f>
        <v/>
      </c>
      <c r="AF164" s="5">
        <f>IF(AD164,AC164*correlation!$J$28,"")</f>
        <v/>
      </c>
      <c r="AG164" s="5">
        <f>IF(AND(AD164,ISNUMBER(correlation!$F$28)),AF164*correlation!$F$28+correlation!$G$28,"")</f>
        <v/>
      </c>
      <c r="AH164" s="5">
        <f>IF(AND(AD164,ISNUMBER(AG164)),(AE164-AG164)^2,"")</f>
        <v/>
      </c>
      <c r="AI164" s="5">
        <f>IF(AD164,1+SUMPRODUCT(--(calc!$AD$3:$AD$306=TRUE),--(calc!$AE$3:$AE$306&gt;AE164))+(SUMPRODUCT(--(calc!$AD$3:$AD$306=TRUE),--(calc!$AE$3:$AE$306=AE164))-1)/2,"")</f>
        <v/>
      </c>
      <c r="AJ164" s="5">
        <f>IF(AD164,1+SUMPRODUCT(--(calc!$AD$3:$AD$306=TRUE),--(calc!$AF$3:$AF$306&gt;AF164))+(SUMPRODUCT(--(calc!$AD$3:$AD$306=TRUE),--(calc!$AF$3:$AF$306=AF164))-1)/2,"")</f>
        <v/>
      </c>
      <c r="AK164" s="5">
        <f>IF(AD164,SUMPRODUCT(--(calc!$AD$3:$AD$306=TRUE),--(ROW(calc!$AD$3:$AD$306)&gt;ROW(AD164)),--(((calc!$AI$3:$AI$306&gt;AI164)*(calc!$AJ$3:$AJ$306&gt;AJ164)+(calc!$AI$3:$AI$306&lt;AI164)*(calc!$AJ$3:$AJ$306&lt;AJ164))&gt;0))-SUMPRODUCT(--(calc!$AD$3:$AD$306=TRUE),--(ROW(calc!$AD$3:$AD$306)&gt;ROW(AD164)),--(((calc!$AI$3:$AI$306&gt;AI164)*(calc!$AJ$3:$AJ$306&lt;AJ164)+(calc!$AI$3:$AI$306&lt;AI164)*(calc!$AJ$3:$AJ$306&gt;AJ164))&gt;0)),0)</f>
        <v/>
      </c>
      <c r="AL164" s="5">
        <f>IF(mos_metrics!J163="","",mos_metrics!J163)</f>
        <v/>
      </c>
      <c r="AM164" s="2">
        <f>AND($J164,ISNUMBER(AL164),correlation!$I$29=1)</f>
        <v/>
      </c>
      <c r="AN164" s="5">
        <f>IF(AM164,$F164,"")</f>
        <v/>
      </c>
      <c r="AO164" s="5">
        <f>IF(AM164,AL164*correlation!$J$29,"")</f>
        <v/>
      </c>
      <c r="AP164" s="5">
        <f>IF(AND(AM164,ISNUMBER(correlation!$F$29)),AO164*correlation!$F$29+correlation!$G$29,"")</f>
        <v/>
      </c>
      <c r="AQ164" s="5">
        <f>IF(AND(AM164,ISNUMBER(AP164)),(AN164-AP164)^2,"")</f>
        <v/>
      </c>
      <c r="AR164" s="5">
        <f>IF(AM164,1+SUMPRODUCT(--(calc!$AM$3:$AM$306=TRUE),--(calc!$AN$3:$AN$306&gt;AN164))+(SUMPRODUCT(--(calc!$AM$3:$AM$306=TRUE),--(calc!$AN$3:$AN$306=AN164))-1)/2,"")</f>
        <v/>
      </c>
      <c r="AS164" s="5">
        <f>IF(AM164,1+SUMPRODUCT(--(calc!$AM$3:$AM$306=TRUE),--(calc!$AO$3:$AO$306&gt;AO164))+(SUMPRODUCT(--(calc!$AM$3:$AM$306=TRUE),--(calc!$AO$3:$AO$306=AO164))-1)/2,"")</f>
        <v/>
      </c>
      <c r="AT164" s="5">
        <f>IF(AM164,SUMPRODUCT(--(calc!$AM$3:$AM$306=TRUE),--(ROW(calc!$AM$3:$AM$306)&gt;ROW(AM164)),--(((calc!$AR$3:$AR$306&gt;AR164)*(calc!$AS$3:$AS$306&gt;AS164)+(calc!$AR$3:$AR$306&lt;AR164)*(calc!$AS$3:$AS$306&lt;AS164))&gt;0))-SUMPRODUCT(--(calc!$AM$3:$AM$306=TRUE),--(ROW(calc!$AM$3:$AM$306)&gt;ROW(AM164)),--(((calc!$AR$3:$AR$306&gt;AR164)*(calc!$AS$3:$AS$306&lt;AS164)+(calc!$AR$3:$AR$306&lt;AR164)*(calc!$AS$3:$AS$306&gt;AS164))&gt;0)),0)</f>
        <v/>
      </c>
      <c r="AU164" s="5">
        <f>IF(mos_metrics!K163="","",mos_metrics!K163)</f>
        <v/>
      </c>
      <c r="AV164" s="2">
        <f>AND($J164,ISNUMBER(AU164),correlation!$I$30=1)</f>
        <v/>
      </c>
      <c r="AW164" s="5">
        <f>IF(AV164,$F164,"")</f>
        <v/>
      </c>
      <c r="AX164" s="5">
        <f>IF(AV164,AU164*correlation!$J$30,"")</f>
        <v/>
      </c>
      <c r="AY164" s="5">
        <f>IF(AND(AV164,ISNUMBER(correlation!$F$30)),AX164*correlation!$F$30+correlation!$G$30,"")</f>
        <v/>
      </c>
      <c r="AZ164" s="5">
        <f>IF(AND(AV164,ISNUMBER(AY164)),(AW164-AY164)^2,"")</f>
        <v/>
      </c>
      <c r="BA164" s="5">
        <f>IF(AV164,1+SUMPRODUCT(--(calc!$AV$3:$AV$306=TRUE),--(calc!$AW$3:$AW$306&gt;AW164))+(SUMPRODUCT(--(calc!$AV$3:$AV$306=TRUE),--(calc!$AW$3:$AW$306=AW164))-1)/2,"")</f>
        <v/>
      </c>
      <c r="BB164" s="5">
        <f>IF(AV164,1+SUMPRODUCT(--(calc!$AV$3:$AV$306=TRUE),--(calc!$AX$3:$AX$306&gt;AX164))+(SUMPRODUCT(--(calc!$AV$3:$AV$306=TRUE),--(calc!$AX$3:$AX$306=AX164))-1)/2,"")</f>
        <v/>
      </c>
      <c r="BC164" s="5">
        <f>IF(AV164,SUMPRODUCT(--(calc!$AV$3:$AV$306=TRUE),--(ROW(calc!$AV$3:$AV$306)&gt;ROW(AV164)),--(((calc!$BA$3:$BA$306&gt;BA164)*(calc!$BB$3:$BB$306&gt;BB164)+(calc!$BA$3:$BA$306&lt;BA164)*(calc!$BB$3:$BB$306&lt;BB164))&gt;0))-SUMPRODUCT(--(calc!$AV$3:$AV$306=TRUE),--(ROW(calc!$AV$3:$AV$306)&gt;ROW(AV164)),--(((calc!$BA$3:$BA$306&gt;BA164)*(calc!$BB$3:$BB$306&lt;BB164)+(calc!$BA$3:$BA$306&lt;BA164)*(calc!$BB$3:$BB$306&gt;BB164))&gt;0)),0)</f>
        <v/>
      </c>
      <c r="BD164" s="5">
        <f>IF(mos_metrics!L163="","",mos_metrics!L163)</f>
        <v/>
      </c>
      <c r="BE164" s="2">
        <f>AND($J164,ISNUMBER(BD164),correlation!$I$31=1)</f>
        <v/>
      </c>
      <c r="BF164" s="5">
        <f>IF(BE164,$F164,"")</f>
        <v/>
      </c>
      <c r="BG164" s="5">
        <f>IF(BE164,BD164*correlation!$J$31,"")</f>
        <v/>
      </c>
      <c r="BH164" s="5">
        <f>IF(AND(BE164,ISNUMBER(correlation!$F$31)),BG164*correlation!$F$31+correlation!$G$31,"")</f>
        <v/>
      </c>
      <c r="BI164" s="5">
        <f>IF(AND(BE164,ISNUMBER(BH164)),(BF164-BH164)^2,"")</f>
        <v/>
      </c>
      <c r="BJ164" s="5">
        <f>IF(BE164,1+SUMPRODUCT(--(calc!$BE$3:$BE$306=TRUE),--(calc!$BF$3:$BF$306&gt;BF164))+(SUMPRODUCT(--(calc!$BE$3:$BE$306=TRUE),--(calc!$BF$3:$BF$306=BF164))-1)/2,"")</f>
        <v/>
      </c>
      <c r="BK164" s="5">
        <f>IF(BE164,1+SUMPRODUCT(--(calc!$BE$3:$BE$306=TRUE),--(calc!$BG$3:$BG$306&gt;BG164))+(SUMPRODUCT(--(calc!$BE$3:$BE$306=TRUE),--(calc!$BG$3:$BG$306=BG164))-1)/2,"")</f>
        <v/>
      </c>
      <c r="BL164" s="5">
        <f>IF(BE164,SUMPRODUCT(--(calc!$BE$3:$BE$306=TRUE),--(ROW(calc!$BE$3:$BE$306)&gt;ROW(BE164)),--(((calc!$BJ$3:$BJ$306&gt;BJ164)*(calc!$BK$3:$BK$306&gt;BK164)+(calc!$BJ$3:$BJ$306&lt;BJ164)*(calc!$BK$3:$BK$306&lt;BK164))&gt;0))-SUMPRODUCT(--(calc!$BE$3:$BE$306=TRUE),--(ROW(calc!$BE$3:$BE$306)&gt;ROW(BE164)),--(((calc!$BJ$3:$BJ$306&gt;BJ164)*(calc!$BK$3:$BK$306&lt;BK164)+(calc!$BJ$3:$BJ$306&lt;BJ164)*(calc!$BK$3:$BK$306&gt;BK164))&gt;0)),0)</f>
        <v/>
      </c>
      <c r="BM164" s="5">
        <f>IF(mos_metrics!M163="","",mos_metrics!M163)</f>
        <v/>
      </c>
      <c r="BN164" s="2">
        <f>AND($J164,ISNUMBER(BM164),correlation!$I$32=1)</f>
        <v/>
      </c>
      <c r="BO164" s="5">
        <f>IF(BN164,$F164,"")</f>
        <v/>
      </c>
      <c r="BP164" s="5">
        <f>IF(BN164,BM164*correlation!$J$32,"")</f>
        <v/>
      </c>
      <c r="BQ164" s="5">
        <f>IF(AND(BN164,ISNUMBER(correlation!$F$32)),BP164*correlation!$F$32+correlation!$G$32,"")</f>
        <v/>
      </c>
      <c r="BR164" s="5">
        <f>IF(AND(BN164,ISNUMBER(BQ164)),(BO164-BQ164)^2,"")</f>
        <v/>
      </c>
      <c r="BS164" s="5">
        <f>IF(BN164,1+SUMPRODUCT(--(calc!$BN$3:$BN$306=TRUE),--(calc!$BO$3:$BO$306&gt;BO164))+(SUMPRODUCT(--(calc!$BN$3:$BN$306=TRUE),--(calc!$BO$3:$BO$306=BO164))-1)/2,"")</f>
        <v/>
      </c>
      <c r="BT164" s="5">
        <f>IF(BN164,1+SUMPRODUCT(--(calc!$BN$3:$BN$306=TRUE),--(calc!$BP$3:$BP$306&gt;BP164))+(SUMPRODUCT(--(calc!$BN$3:$BN$306=TRUE),--(calc!$BP$3:$BP$306=BP164))-1)/2,"")</f>
        <v/>
      </c>
      <c r="BU164" s="5">
        <f>IF(BN164,SUMPRODUCT(--(calc!$BN$3:$BN$306=TRUE),--(ROW(calc!$BN$3:$BN$306)&gt;ROW(BN164)),--(((calc!$BS$3:$BS$306&gt;BS164)*(calc!$BT$3:$BT$306&gt;BT164)+(calc!$BS$3:$BS$306&lt;BS164)*(calc!$BT$3:$BT$306&lt;BT164))&gt;0))-SUMPRODUCT(--(calc!$BN$3:$BN$306=TRUE),--(ROW(calc!$BN$3:$BN$306)&gt;ROW(BN164)),--(((calc!$BS$3:$BS$306&gt;BS164)*(calc!$BT$3:$BT$306&lt;BT164)+(calc!$BS$3:$BS$306&lt;BS164)*(calc!$BT$3:$BT$306&gt;BT164))&gt;0)),0)</f>
        <v/>
      </c>
    </row>
    <row r="165">
      <c r="A165" s="2">
        <f>mos_metrics!A164</f>
        <v/>
      </c>
      <c r="B165" s="2">
        <f>mos_metrics!B164</f>
        <v/>
      </c>
      <c r="C165" s="2">
        <f>mos_metrics!C164</f>
        <v/>
      </c>
      <c r="D165" s="2">
        <f>mos_metrics!D164</f>
        <v/>
      </c>
      <c r="E165" s="2">
        <f>mos_metrics!E164</f>
        <v/>
      </c>
      <c r="F165" s="2">
        <f>mos_metrics!F164</f>
        <v/>
      </c>
      <c r="G165" s="2">
        <f>IF($B165="","",IFERROR(VLOOKUP($B165,correlation!$A$2:$B$16,2,FALSE),1))</f>
        <v/>
      </c>
      <c r="H165" s="2">
        <f>IF($E165="","",IFERROR(VLOOKUP($E165,correlation!$D$2:$E$8,2,FALSE),1))</f>
        <v/>
      </c>
      <c r="I165" s="2">
        <f>ISNUMBER($F165)</f>
        <v/>
      </c>
      <c r="J165" s="2">
        <f>AND($G165=1,$H165=1,$I165)</f>
        <v/>
      </c>
      <c r="K165" s="5">
        <f>IF(mos_metrics!G164="","",mos_metrics!G164)</f>
        <v/>
      </c>
      <c r="L165" s="2">
        <f>AND($J165,ISNUMBER(K165),correlation!$I$26=1)</f>
        <v/>
      </c>
      <c r="M165" s="5">
        <f>IF(L165,$F165,"")</f>
        <v/>
      </c>
      <c r="N165" s="5">
        <f>IF(L165,K165*correlation!$J$26,"")</f>
        <v/>
      </c>
      <c r="O165" s="5">
        <f>IF(AND(L165,ISNUMBER(correlation!$F$26)),N165*correlation!$F$26+correlation!$G$26,"")</f>
        <v/>
      </c>
      <c r="P165" s="5">
        <f>IF(AND(L165,ISNUMBER(O165)),(M165-O165)^2,"")</f>
        <v/>
      </c>
      <c r="Q165" s="5">
        <f>IF(L165,1+SUMPRODUCT(--(calc!$L$3:$L$306=TRUE),--(calc!$M$3:$M$306&gt;M165))+(SUMPRODUCT(--(calc!$L$3:$L$306=TRUE),--(calc!$M$3:$M$306=M165))-1)/2,"")</f>
        <v/>
      </c>
      <c r="R165" s="5">
        <f>IF(L165,1+SUMPRODUCT(--(calc!$L$3:$L$306=TRUE),--(calc!$N$3:$N$306&gt;N165))+(SUMPRODUCT(--(calc!$L$3:$L$306=TRUE),--(calc!$N$3:$N$306=N165))-1)/2,"")</f>
        <v/>
      </c>
      <c r="S165" s="5">
        <f>IF(L165,SUMPRODUCT(--(calc!$L$3:$L$306=TRUE),--(ROW(calc!$L$3:$L$306)&gt;ROW(L165)),--(((calc!$Q$3:$Q$306&gt;Q165)*(calc!$R$3:$R$306&gt;R165)+(calc!$Q$3:$Q$306&lt;Q165)*(calc!$R$3:$R$306&lt;R165))&gt;0))-SUMPRODUCT(--(calc!$L$3:$L$306=TRUE),--(ROW(calc!$L$3:$L$306)&gt;ROW(L165)),--(((calc!$Q$3:$Q$306&gt;Q165)*(calc!$R$3:$R$306&lt;R165)+(calc!$Q$3:$Q$306&lt;Q165)*(calc!$R$3:$R$306&gt;R165))&gt;0)),0)</f>
        <v/>
      </c>
      <c r="T165" s="5">
        <f>IF(mos_metrics!H164="","",mos_metrics!H164)</f>
        <v/>
      </c>
      <c r="U165" s="2">
        <f>AND($J165,ISNUMBER(T165),correlation!$I$27=1)</f>
        <v/>
      </c>
      <c r="V165" s="5">
        <f>IF(U165,$F165,"")</f>
        <v/>
      </c>
      <c r="W165" s="5">
        <f>IF(U165,T165*correlation!$J$27,"")</f>
        <v/>
      </c>
      <c r="X165" s="5">
        <f>IF(AND(U165,ISNUMBER(correlation!$F$27)),W165*correlation!$F$27+correlation!$G$27,"")</f>
        <v/>
      </c>
      <c r="Y165" s="5">
        <f>IF(AND(U165,ISNUMBER(X165)),(V165-X165)^2,"")</f>
        <v/>
      </c>
      <c r="Z165" s="5">
        <f>IF(U165,1+SUMPRODUCT(--(calc!$U$3:$U$306=TRUE),--(calc!$V$3:$V$306&gt;V165))+(SUMPRODUCT(--(calc!$U$3:$U$306=TRUE),--(calc!$V$3:$V$306=V165))-1)/2,"")</f>
        <v/>
      </c>
      <c r="AA165" s="5">
        <f>IF(U165,1+SUMPRODUCT(--(calc!$U$3:$U$306=TRUE),--(calc!$W$3:$W$306&gt;W165))+(SUMPRODUCT(--(calc!$U$3:$U$306=TRUE),--(calc!$W$3:$W$306=W165))-1)/2,"")</f>
        <v/>
      </c>
      <c r="AB165" s="5">
        <f>IF(U165,SUMPRODUCT(--(calc!$U$3:$U$306=TRUE),--(ROW(calc!$U$3:$U$306)&gt;ROW(U165)),--(((calc!$Z$3:$Z$306&gt;Z165)*(calc!$AA$3:$AA$306&gt;AA165)+(calc!$Z$3:$Z$306&lt;Z165)*(calc!$AA$3:$AA$306&lt;AA165))&gt;0))-SUMPRODUCT(--(calc!$U$3:$U$306=TRUE),--(ROW(calc!$U$3:$U$306)&gt;ROW(U165)),--(((calc!$Z$3:$Z$306&gt;Z165)*(calc!$AA$3:$AA$306&lt;AA165)+(calc!$Z$3:$Z$306&lt;Z165)*(calc!$AA$3:$AA$306&gt;AA165))&gt;0)),0)</f>
        <v/>
      </c>
      <c r="AC165" s="5">
        <f>IF(mos_metrics!I164="","",mos_metrics!I164)</f>
        <v/>
      </c>
      <c r="AD165" s="2">
        <f>AND($J165,ISNUMBER(AC165),correlation!$I$28=1)</f>
        <v/>
      </c>
      <c r="AE165" s="5">
        <f>IF(AD165,$F165,"")</f>
        <v/>
      </c>
      <c r="AF165" s="5">
        <f>IF(AD165,AC165*correlation!$J$28,"")</f>
        <v/>
      </c>
      <c r="AG165" s="5">
        <f>IF(AND(AD165,ISNUMBER(correlation!$F$28)),AF165*correlation!$F$28+correlation!$G$28,"")</f>
        <v/>
      </c>
      <c r="AH165" s="5">
        <f>IF(AND(AD165,ISNUMBER(AG165)),(AE165-AG165)^2,"")</f>
        <v/>
      </c>
      <c r="AI165" s="5">
        <f>IF(AD165,1+SUMPRODUCT(--(calc!$AD$3:$AD$306=TRUE),--(calc!$AE$3:$AE$306&gt;AE165))+(SUMPRODUCT(--(calc!$AD$3:$AD$306=TRUE),--(calc!$AE$3:$AE$306=AE165))-1)/2,"")</f>
        <v/>
      </c>
      <c r="AJ165" s="5">
        <f>IF(AD165,1+SUMPRODUCT(--(calc!$AD$3:$AD$306=TRUE),--(calc!$AF$3:$AF$306&gt;AF165))+(SUMPRODUCT(--(calc!$AD$3:$AD$306=TRUE),--(calc!$AF$3:$AF$306=AF165))-1)/2,"")</f>
        <v/>
      </c>
      <c r="AK165" s="5">
        <f>IF(AD165,SUMPRODUCT(--(calc!$AD$3:$AD$306=TRUE),--(ROW(calc!$AD$3:$AD$306)&gt;ROW(AD165)),--(((calc!$AI$3:$AI$306&gt;AI165)*(calc!$AJ$3:$AJ$306&gt;AJ165)+(calc!$AI$3:$AI$306&lt;AI165)*(calc!$AJ$3:$AJ$306&lt;AJ165))&gt;0))-SUMPRODUCT(--(calc!$AD$3:$AD$306=TRUE),--(ROW(calc!$AD$3:$AD$306)&gt;ROW(AD165)),--(((calc!$AI$3:$AI$306&gt;AI165)*(calc!$AJ$3:$AJ$306&lt;AJ165)+(calc!$AI$3:$AI$306&lt;AI165)*(calc!$AJ$3:$AJ$306&gt;AJ165))&gt;0)),0)</f>
        <v/>
      </c>
      <c r="AL165" s="5">
        <f>IF(mos_metrics!J164="","",mos_metrics!J164)</f>
        <v/>
      </c>
      <c r="AM165" s="2">
        <f>AND($J165,ISNUMBER(AL165),correlation!$I$29=1)</f>
        <v/>
      </c>
      <c r="AN165" s="5">
        <f>IF(AM165,$F165,"")</f>
        <v/>
      </c>
      <c r="AO165" s="5">
        <f>IF(AM165,AL165*correlation!$J$29,"")</f>
        <v/>
      </c>
      <c r="AP165" s="5">
        <f>IF(AND(AM165,ISNUMBER(correlation!$F$29)),AO165*correlation!$F$29+correlation!$G$29,"")</f>
        <v/>
      </c>
      <c r="AQ165" s="5">
        <f>IF(AND(AM165,ISNUMBER(AP165)),(AN165-AP165)^2,"")</f>
        <v/>
      </c>
      <c r="AR165" s="5">
        <f>IF(AM165,1+SUMPRODUCT(--(calc!$AM$3:$AM$306=TRUE),--(calc!$AN$3:$AN$306&gt;AN165))+(SUMPRODUCT(--(calc!$AM$3:$AM$306=TRUE),--(calc!$AN$3:$AN$306=AN165))-1)/2,"")</f>
        <v/>
      </c>
      <c r="AS165" s="5">
        <f>IF(AM165,1+SUMPRODUCT(--(calc!$AM$3:$AM$306=TRUE),--(calc!$AO$3:$AO$306&gt;AO165))+(SUMPRODUCT(--(calc!$AM$3:$AM$306=TRUE),--(calc!$AO$3:$AO$306=AO165))-1)/2,"")</f>
        <v/>
      </c>
      <c r="AT165" s="5">
        <f>IF(AM165,SUMPRODUCT(--(calc!$AM$3:$AM$306=TRUE),--(ROW(calc!$AM$3:$AM$306)&gt;ROW(AM165)),--(((calc!$AR$3:$AR$306&gt;AR165)*(calc!$AS$3:$AS$306&gt;AS165)+(calc!$AR$3:$AR$306&lt;AR165)*(calc!$AS$3:$AS$306&lt;AS165))&gt;0))-SUMPRODUCT(--(calc!$AM$3:$AM$306=TRUE),--(ROW(calc!$AM$3:$AM$306)&gt;ROW(AM165)),--(((calc!$AR$3:$AR$306&gt;AR165)*(calc!$AS$3:$AS$306&lt;AS165)+(calc!$AR$3:$AR$306&lt;AR165)*(calc!$AS$3:$AS$306&gt;AS165))&gt;0)),0)</f>
        <v/>
      </c>
      <c r="AU165" s="5">
        <f>IF(mos_metrics!K164="","",mos_metrics!K164)</f>
        <v/>
      </c>
      <c r="AV165" s="2">
        <f>AND($J165,ISNUMBER(AU165),correlation!$I$30=1)</f>
        <v/>
      </c>
      <c r="AW165" s="5">
        <f>IF(AV165,$F165,"")</f>
        <v/>
      </c>
      <c r="AX165" s="5">
        <f>IF(AV165,AU165*correlation!$J$30,"")</f>
        <v/>
      </c>
      <c r="AY165" s="5">
        <f>IF(AND(AV165,ISNUMBER(correlation!$F$30)),AX165*correlation!$F$30+correlation!$G$30,"")</f>
        <v/>
      </c>
      <c r="AZ165" s="5">
        <f>IF(AND(AV165,ISNUMBER(AY165)),(AW165-AY165)^2,"")</f>
        <v/>
      </c>
      <c r="BA165" s="5">
        <f>IF(AV165,1+SUMPRODUCT(--(calc!$AV$3:$AV$306=TRUE),--(calc!$AW$3:$AW$306&gt;AW165))+(SUMPRODUCT(--(calc!$AV$3:$AV$306=TRUE),--(calc!$AW$3:$AW$306=AW165))-1)/2,"")</f>
        <v/>
      </c>
      <c r="BB165" s="5">
        <f>IF(AV165,1+SUMPRODUCT(--(calc!$AV$3:$AV$306=TRUE),--(calc!$AX$3:$AX$306&gt;AX165))+(SUMPRODUCT(--(calc!$AV$3:$AV$306=TRUE),--(calc!$AX$3:$AX$306=AX165))-1)/2,"")</f>
        <v/>
      </c>
      <c r="BC165" s="5">
        <f>IF(AV165,SUMPRODUCT(--(calc!$AV$3:$AV$306=TRUE),--(ROW(calc!$AV$3:$AV$306)&gt;ROW(AV165)),--(((calc!$BA$3:$BA$306&gt;BA165)*(calc!$BB$3:$BB$306&gt;BB165)+(calc!$BA$3:$BA$306&lt;BA165)*(calc!$BB$3:$BB$306&lt;BB165))&gt;0))-SUMPRODUCT(--(calc!$AV$3:$AV$306=TRUE),--(ROW(calc!$AV$3:$AV$306)&gt;ROW(AV165)),--(((calc!$BA$3:$BA$306&gt;BA165)*(calc!$BB$3:$BB$306&lt;BB165)+(calc!$BA$3:$BA$306&lt;BA165)*(calc!$BB$3:$BB$306&gt;BB165))&gt;0)),0)</f>
        <v/>
      </c>
      <c r="BD165" s="5">
        <f>IF(mos_metrics!L164="","",mos_metrics!L164)</f>
        <v/>
      </c>
      <c r="BE165" s="2">
        <f>AND($J165,ISNUMBER(BD165),correlation!$I$31=1)</f>
        <v/>
      </c>
      <c r="BF165" s="5">
        <f>IF(BE165,$F165,"")</f>
        <v/>
      </c>
      <c r="BG165" s="5">
        <f>IF(BE165,BD165*correlation!$J$31,"")</f>
        <v/>
      </c>
      <c r="BH165" s="5">
        <f>IF(AND(BE165,ISNUMBER(correlation!$F$31)),BG165*correlation!$F$31+correlation!$G$31,"")</f>
        <v/>
      </c>
      <c r="BI165" s="5">
        <f>IF(AND(BE165,ISNUMBER(BH165)),(BF165-BH165)^2,"")</f>
        <v/>
      </c>
      <c r="BJ165" s="5">
        <f>IF(BE165,1+SUMPRODUCT(--(calc!$BE$3:$BE$306=TRUE),--(calc!$BF$3:$BF$306&gt;BF165))+(SUMPRODUCT(--(calc!$BE$3:$BE$306=TRUE),--(calc!$BF$3:$BF$306=BF165))-1)/2,"")</f>
        <v/>
      </c>
      <c r="BK165" s="5">
        <f>IF(BE165,1+SUMPRODUCT(--(calc!$BE$3:$BE$306=TRUE),--(calc!$BG$3:$BG$306&gt;BG165))+(SUMPRODUCT(--(calc!$BE$3:$BE$306=TRUE),--(calc!$BG$3:$BG$306=BG165))-1)/2,"")</f>
        <v/>
      </c>
      <c r="BL165" s="5">
        <f>IF(BE165,SUMPRODUCT(--(calc!$BE$3:$BE$306=TRUE),--(ROW(calc!$BE$3:$BE$306)&gt;ROW(BE165)),--(((calc!$BJ$3:$BJ$306&gt;BJ165)*(calc!$BK$3:$BK$306&gt;BK165)+(calc!$BJ$3:$BJ$306&lt;BJ165)*(calc!$BK$3:$BK$306&lt;BK165))&gt;0))-SUMPRODUCT(--(calc!$BE$3:$BE$306=TRUE),--(ROW(calc!$BE$3:$BE$306)&gt;ROW(BE165)),--(((calc!$BJ$3:$BJ$306&gt;BJ165)*(calc!$BK$3:$BK$306&lt;BK165)+(calc!$BJ$3:$BJ$306&lt;BJ165)*(calc!$BK$3:$BK$306&gt;BK165))&gt;0)),0)</f>
        <v/>
      </c>
      <c r="BM165" s="5">
        <f>IF(mos_metrics!M164="","",mos_metrics!M164)</f>
        <v/>
      </c>
      <c r="BN165" s="2">
        <f>AND($J165,ISNUMBER(BM165),correlation!$I$32=1)</f>
        <v/>
      </c>
      <c r="BO165" s="5">
        <f>IF(BN165,$F165,"")</f>
        <v/>
      </c>
      <c r="BP165" s="5">
        <f>IF(BN165,BM165*correlation!$J$32,"")</f>
        <v/>
      </c>
      <c r="BQ165" s="5">
        <f>IF(AND(BN165,ISNUMBER(correlation!$F$32)),BP165*correlation!$F$32+correlation!$G$32,"")</f>
        <v/>
      </c>
      <c r="BR165" s="5">
        <f>IF(AND(BN165,ISNUMBER(BQ165)),(BO165-BQ165)^2,"")</f>
        <v/>
      </c>
      <c r="BS165" s="5">
        <f>IF(BN165,1+SUMPRODUCT(--(calc!$BN$3:$BN$306=TRUE),--(calc!$BO$3:$BO$306&gt;BO165))+(SUMPRODUCT(--(calc!$BN$3:$BN$306=TRUE),--(calc!$BO$3:$BO$306=BO165))-1)/2,"")</f>
        <v/>
      </c>
      <c r="BT165" s="5">
        <f>IF(BN165,1+SUMPRODUCT(--(calc!$BN$3:$BN$306=TRUE),--(calc!$BP$3:$BP$306&gt;BP165))+(SUMPRODUCT(--(calc!$BN$3:$BN$306=TRUE),--(calc!$BP$3:$BP$306=BP165))-1)/2,"")</f>
        <v/>
      </c>
      <c r="BU165" s="5">
        <f>IF(BN165,SUMPRODUCT(--(calc!$BN$3:$BN$306=TRUE),--(ROW(calc!$BN$3:$BN$306)&gt;ROW(BN165)),--(((calc!$BS$3:$BS$306&gt;BS165)*(calc!$BT$3:$BT$306&gt;BT165)+(calc!$BS$3:$BS$306&lt;BS165)*(calc!$BT$3:$BT$306&lt;BT165))&gt;0))-SUMPRODUCT(--(calc!$BN$3:$BN$306=TRUE),--(ROW(calc!$BN$3:$BN$306)&gt;ROW(BN165)),--(((calc!$BS$3:$BS$306&gt;BS165)*(calc!$BT$3:$BT$306&lt;BT165)+(calc!$BS$3:$BS$306&lt;BS165)*(calc!$BT$3:$BT$306&gt;BT165))&gt;0)),0)</f>
        <v/>
      </c>
    </row>
    <row r="166">
      <c r="A166" s="2">
        <f>mos_metrics!A165</f>
        <v/>
      </c>
      <c r="B166" s="2">
        <f>mos_metrics!B165</f>
        <v/>
      </c>
      <c r="C166" s="2">
        <f>mos_metrics!C165</f>
        <v/>
      </c>
      <c r="D166" s="2">
        <f>mos_metrics!D165</f>
        <v/>
      </c>
      <c r="E166" s="2">
        <f>mos_metrics!E165</f>
        <v/>
      </c>
      <c r="F166" s="2">
        <f>mos_metrics!F165</f>
        <v/>
      </c>
      <c r="G166" s="2">
        <f>IF($B166="","",IFERROR(VLOOKUP($B166,correlation!$A$2:$B$16,2,FALSE),1))</f>
        <v/>
      </c>
      <c r="H166" s="2">
        <f>IF($E166="","",IFERROR(VLOOKUP($E166,correlation!$D$2:$E$8,2,FALSE),1))</f>
        <v/>
      </c>
      <c r="I166" s="2">
        <f>ISNUMBER($F166)</f>
        <v/>
      </c>
      <c r="J166" s="2">
        <f>AND($G166=1,$H166=1,$I166)</f>
        <v/>
      </c>
      <c r="K166" s="5">
        <f>IF(mos_metrics!G165="","",mos_metrics!G165)</f>
        <v/>
      </c>
      <c r="L166" s="2">
        <f>AND($J166,ISNUMBER(K166),correlation!$I$26=1)</f>
        <v/>
      </c>
      <c r="M166" s="5">
        <f>IF(L166,$F166,"")</f>
        <v/>
      </c>
      <c r="N166" s="5">
        <f>IF(L166,K166*correlation!$J$26,"")</f>
        <v/>
      </c>
      <c r="O166" s="5">
        <f>IF(AND(L166,ISNUMBER(correlation!$F$26)),N166*correlation!$F$26+correlation!$G$26,"")</f>
        <v/>
      </c>
      <c r="P166" s="5">
        <f>IF(AND(L166,ISNUMBER(O166)),(M166-O166)^2,"")</f>
        <v/>
      </c>
      <c r="Q166" s="5">
        <f>IF(L166,1+SUMPRODUCT(--(calc!$L$3:$L$306=TRUE),--(calc!$M$3:$M$306&gt;M166))+(SUMPRODUCT(--(calc!$L$3:$L$306=TRUE),--(calc!$M$3:$M$306=M166))-1)/2,"")</f>
        <v/>
      </c>
      <c r="R166" s="5">
        <f>IF(L166,1+SUMPRODUCT(--(calc!$L$3:$L$306=TRUE),--(calc!$N$3:$N$306&gt;N166))+(SUMPRODUCT(--(calc!$L$3:$L$306=TRUE),--(calc!$N$3:$N$306=N166))-1)/2,"")</f>
        <v/>
      </c>
      <c r="S166" s="5">
        <f>IF(L166,SUMPRODUCT(--(calc!$L$3:$L$306=TRUE),--(ROW(calc!$L$3:$L$306)&gt;ROW(L166)),--(((calc!$Q$3:$Q$306&gt;Q166)*(calc!$R$3:$R$306&gt;R166)+(calc!$Q$3:$Q$306&lt;Q166)*(calc!$R$3:$R$306&lt;R166))&gt;0))-SUMPRODUCT(--(calc!$L$3:$L$306=TRUE),--(ROW(calc!$L$3:$L$306)&gt;ROW(L166)),--(((calc!$Q$3:$Q$306&gt;Q166)*(calc!$R$3:$R$306&lt;R166)+(calc!$Q$3:$Q$306&lt;Q166)*(calc!$R$3:$R$306&gt;R166))&gt;0)),0)</f>
        <v/>
      </c>
      <c r="T166" s="5">
        <f>IF(mos_metrics!H165="","",mos_metrics!H165)</f>
        <v/>
      </c>
      <c r="U166" s="2">
        <f>AND($J166,ISNUMBER(T166),correlation!$I$27=1)</f>
        <v/>
      </c>
      <c r="V166" s="5">
        <f>IF(U166,$F166,"")</f>
        <v/>
      </c>
      <c r="W166" s="5">
        <f>IF(U166,T166*correlation!$J$27,"")</f>
        <v/>
      </c>
      <c r="X166" s="5">
        <f>IF(AND(U166,ISNUMBER(correlation!$F$27)),W166*correlation!$F$27+correlation!$G$27,"")</f>
        <v/>
      </c>
      <c r="Y166" s="5">
        <f>IF(AND(U166,ISNUMBER(X166)),(V166-X166)^2,"")</f>
        <v/>
      </c>
      <c r="Z166" s="5">
        <f>IF(U166,1+SUMPRODUCT(--(calc!$U$3:$U$306=TRUE),--(calc!$V$3:$V$306&gt;V166))+(SUMPRODUCT(--(calc!$U$3:$U$306=TRUE),--(calc!$V$3:$V$306=V166))-1)/2,"")</f>
        <v/>
      </c>
      <c r="AA166" s="5">
        <f>IF(U166,1+SUMPRODUCT(--(calc!$U$3:$U$306=TRUE),--(calc!$W$3:$W$306&gt;W166))+(SUMPRODUCT(--(calc!$U$3:$U$306=TRUE),--(calc!$W$3:$W$306=W166))-1)/2,"")</f>
        <v/>
      </c>
      <c r="AB166" s="5">
        <f>IF(U166,SUMPRODUCT(--(calc!$U$3:$U$306=TRUE),--(ROW(calc!$U$3:$U$306)&gt;ROW(U166)),--(((calc!$Z$3:$Z$306&gt;Z166)*(calc!$AA$3:$AA$306&gt;AA166)+(calc!$Z$3:$Z$306&lt;Z166)*(calc!$AA$3:$AA$306&lt;AA166))&gt;0))-SUMPRODUCT(--(calc!$U$3:$U$306=TRUE),--(ROW(calc!$U$3:$U$306)&gt;ROW(U166)),--(((calc!$Z$3:$Z$306&gt;Z166)*(calc!$AA$3:$AA$306&lt;AA166)+(calc!$Z$3:$Z$306&lt;Z166)*(calc!$AA$3:$AA$306&gt;AA166))&gt;0)),0)</f>
        <v/>
      </c>
      <c r="AC166" s="5">
        <f>IF(mos_metrics!I165="","",mos_metrics!I165)</f>
        <v/>
      </c>
      <c r="AD166" s="2">
        <f>AND($J166,ISNUMBER(AC166),correlation!$I$28=1)</f>
        <v/>
      </c>
      <c r="AE166" s="5">
        <f>IF(AD166,$F166,"")</f>
        <v/>
      </c>
      <c r="AF166" s="5">
        <f>IF(AD166,AC166*correlation!$J$28,"")</f>
        <v/>
      </c>
      <c r="AG166" s="5">
        <f>IF(AND(AD166,ISNUMBER(correlation!$F$28)),AF166*correlation!$F$28+correlation!$G$28,"")</f>
        <v/>
      </c>
      <c r="AH166" s="5">
        <f>IF(AND(AD166,ISNUMBER(AG166)),(AE166-AG166)^2,"")</f>
        <v/>
      </c>
      <c r="AI166" s="5">
        <f>IF(AD166,1+SUMPRODUCT(--(calc!$AD$3:$AD$306=TRUE),--(calc!$AE$3:$AE$306&gt;AE166))+(SUMPRODUCT(--(calc!$AD$3:$AD$306=TRUE),--(calc!$AE$3:$AE$306=AE166))-1)/2,"")</f>
        <v/>
      </c>
      <c r="AJ166" s="5">
        <f>IF(AD166,1+SUMPRODUCT(--(calc!$AD$3:$AD$306=TRUE),--(calc!$AF$3:$AF$306&gt;AF166))+(SUMPRODUCT(--(calc!$AD$3:$AD$306=TRUE),--(calc!$AF$3:$AF$306=AF166))-1)/2,"")</f>
        <v/>
      </c>
      <c r="AK166" s="5">
        <f>IF(AD166,SUMPRODUCT(--(calc!$AD$3:$AD$306=TRUE),--(ROW(calc!$AD$3:$AD$306)&gt;ROW(AD166)),--(((calc!$AI$3:$AI$306&gt;AI166)*(calc!$AJ$3:$AJ$306&gt;AJ166)+(calc!$AI$3:$AI$306&lt;AI166)*(calc!$AJ$3:$AJ$306&lt;AJ166))&gt;0))-SUMPRODUCT(--(calc!$AD$3:$AD$306=TRUE),--(ROW(calc!$AD$3:$AD$306)&gt;ROW(AD166)),--(((calc!$AI$3:$AI$306&gt;AI166)*(calc!$AJ$3:$AJ$306&lt;AJ166)+(calc!$AI$3:$AI$306&lt;AI166)*(calc!$AJ$3:$AJ$306&gt;AJ166))&gt;0)),0)</f>
        <v/>
      </c>
      <c r="AL166" s="5">
        <f>IF(mos_metrics!J165="","",mos_metrics!J165)</f>
        <v/>
      </c>
      <c r="AM166" s="2">
        <f>AND($J166,ISNUMBER(AL166),correlation!$I$29=1)</f>
        <v/>
      </c>
      <c r="AN166" s="5">
        <f>IF(AM166,$F166,"")</f>
        <v/>
      </c>
      <c r="AO166" s="5">
        <f>IF(AM166,AL166*correlation!$J$29,"")</f>
        <v/>
      </c>
      <c r="AP166" s="5">
        <f>IF(AND(AM166,ISNUMBER(correlation!$F$29)),AO166*correlation!$F$29+correlation!$G$29,"")</f>
        <v/>
      </c>
      <c r="AQ166" s="5">
        <f>IF(AND(AM166,ISNUMBER(AP166)),(AN166-AP166)^2,"")</f>
        <v/>
      </c>
      <c r="AR166" s="5">
        <f>IF(AM166,1+SUMPRODUCT(--(calc!$AM$3:$AM$306=TRUE),--(calc!$AN$3:$AN$306&gt;AN166))+(SUMPRODUCT(--(calc!$AM$3:$AM$306=TRUE),--(calc!$AN$3:$AN$306=AN166))-1)/2,"")</f>
        <v/>
      </c>
      <c r="AS166" s="5">
        <f>IF(AM166,1+SUMPRODUCT(--(calc!$AM$3:$AM$306=TRUE),--(calc!$AO$3:$AO$306&gt;AO166))+(SUMPRODUCT(--(calc!$AM$3:$AM$306=TRUE),--(calc!$AO$3:$AO$306=AO166))-1)/2,"")</f>
        <v/>
      </c>
      <c r="AT166" s="5">
        <f>IF(AM166,SUMPRODUCT(--(calc!$AM$3:$AM$306=TRUE),--(ROW(calc!$AM$3:$AM$306)&gt;ROW(AM166)),--(((calc!$AR$3:$AR$306&gt;AR166)*(calc!$AS$3:$AS$306&gt;AS166)+(calc!$AR$3:$AR$306&lt;AR166)*(calc!$AS$3:$AS$306&lt;AS166))&gt;0))-SUMPRODUCT(--(calc!$AM$3:$AM$306=TRUE),--(ROW(calc!$AM$3:$AM$306)&gt;ROW(AM166)),--(((calc!$AR$3:$AR$306&gt;AR166)*(calc!$AS$3:$AS$306&lt;AS166)+(calc!$AR$3:$AR$306&lt;AR166)*(calc!$AS$3:$AS$306&gt;AS166))&gt;0)),0)</f>
        <v/>
      </c>
      <c r="AU166" s="5">
        <f>IF(mos_metrics!K165="","",mos_metrics!K165)</f>
        <v/>
      </c>
      <c r="AV166" s="2">
        <f>AND($J166,ISNUMBER(AU166),correlation!$I$30=1)</f>
        <v/>
      </c>
      <c r="AW166" s="5">
        <f>IF(AV166,$F166,"")</f>
        <v/>
      </c>
      <c r="AX166" s="5">
        <f>IF(AV166,AU166*correlation!$J$30,"")</f>
        <v/>
      </c>
      <c r="AY166" s="5">
        <f>IF(AND(AV166,ISNUMBER(correlation!$F$30)),AX166*correlation!$F$30+correlation!$G$30,"")</f>
        <v/>
      </c>
      <c r="AZ166" s="5">
        <f>IF(AND(AV166,ISNUMBER(AY166)),(AW166-AY166)^2,"")</f>
        <v/>
      </c>
      <c r="BA166" s="5">
        <f>IF(AV166,1+SUMPRODUCT(--(calc!$AV$3:$AV$306=TRUE),--(calc!$AW$3:$AW$306&gt;AW166))+(SUMPRODUCT(--(calc!$AV$3:$AV$306=TRUE),--(calc!$AW$3:$AW$306=AW166))-1)/2,"")</f>
        <v/>
      </c>
      <c r="BB166" s="5">
        <f>IF(AV166,1+SUMPRODUCT(--(calc!$AV$3:$AV$306=TRUE),--(calc!$AX$3:$AX$306&gt;AX166))+(SUMPRODUCT(--(calc!$AV$3:$AV$306=TRUE),--(calc!$AX$3:$AX$306=AX166))-1)/2,"")</f>
        <v/>
      </c>
      <c r="BC166" s="5">
        <f>IF(AV166,SUMPRODUCT(--(calc!$AV$3:$AV$306=TRUE),--(ROW(calc!$AV$3:$AV$306)&gt;ROW(AV166)),--(((calc!$BA$3:$BA$306&gt;BA166)*(calc!$BB$3:$BB$306&gt;BB166)+(calc!$BA$3:$BA$306&lt;BA166)*(calc!$BB$3:$BB$306&lt;BB166))&gt;0))-SUMPRODUCT(--(calc!$AV$3:$AV$306=TRUE),--(ROW(calc!$AV$3:$AV$306)&gt;ROW(AV166)),--(((calc!$BA$3:$BA$306&gt;BA166)*(calc!$BB$3:$BB$306&lt;BB166)+(calc!$BA$3:$BA$306&lt;BA166)*(calc!$BB$3:$BB$306&gt;BB166))&gt;0)),0)</f>
        <v/>
      </c>
      <c r="BD166" s="5">
        <f>IF(mos_metrics!L165="","",mos_metrics!L165)</f>
        <v/>
      </c>
      <c r="BE166" s="2">
        <f>AND($J166,ISNUMBER(BD166),correlation!$I$31=1)</f>
        <v/>
      </c>
      <c r="BF166" s="5">
        <f>IF(BE166,$F166,"")</f>
        <v/>
      </c>
      <c r="BG166" s="5">
        <f>IF(BE166,BD166*correlation!$J$31,"")</f>
        <v/>
      </c>
      <c r="BH166" s="5">
        <f>IF(AND(BE166,ISNUMBER(correlation!$F$31)),BG166*correlation!$F$31+correlation!$G$31,"")</f>
        <v/>
      </c>
      <c r="BI166" s="5">
        <f>IF(AND(BE166,ISNUMBER(BH166)),(BF166-BH166)^2,"")</f>
        <v/>
      </c>
      <c r="BJ166" s="5">
        <f>IF(BE166,1+SUMPRODUCT(--(calc!$BE$3:$BE$306=TRUE),--(calc!$BF$3:$BF$306&gt;BF166))+(SUMPRODUCT(--(calc!$BE$3:$BE$306=TRUE),--(calc!$BF$3:$BF$306=BF166))-1)/2,"")</f>
        <v/>
      </c>
      <c r="BK166" s="5">
        <f>IF(BE166,1+SUMPRODUCT(--(calc!$BE$3:$BE$306=TRUE),--(calc!$BG$3:$BG$306&gt;BG166))+(SUMPRODUCT(--(calc!$BE$3:$BE$306=TRUE),--(calc!$BG$3:$BG$306=BG166))-1)/2,"")</f>
        <v/>
      </c>
      <c r="BL166" s="5">
        <f>IF(BE166,SUMPRODUCT(--(calc!$BE$3:$BE$306=TRUE),--(ROW(calc!$BE$3:$BE$306)&gt;ROW(BE166)),--(((calc!$BJ$3:$BJ$306&gt;BJ166)*(calc!$BK$3:$BK$306&gt;BK166)+(calc!$BJ$3:$BJ$306&lt;BJ166)*(calc!$BK$3:$BK$306&lt;BK166))&gt;0))-SUMPRODUCT(--(calc!$BE$3:$BE$306=TRUE),--(ROW(calc!$BE$3:$BE$306)&gt;ROW(BE166)),--(((calc!$BJ$3:$BJ$306&gt;BJ166)*(calc!$BK$3:$BK$306&lt;BK166)+(calc!$BJ$3:$BJ$306&lt;BJ166)*(calc!$BK$3:$BK$306&gt;BK166))&gt;0)),0)</f>
        <v/>
      </c>
      <c r="BM166" s="5">
        <f>IF(mos_metrics!M165="","",mos_metrics!M165)</f>
        <v/>
      </c>
      <c r="BN166" s="2">
        <f>AND($J166,ISNUMBER(BM166),correlation!$I$32=1)</f>
        <v/>
      </c>
      <c r="BO166" s="5">
        <f>IF(BN166,$F166,"")</f>
        <v/>
      </c>
      <c r="BP166" s="5">
        <f>IF(BN166,BM166*correlation!$J$32,"")</f>
        <v/>
      </c>
      <c r="BQ166" s="5">
        <f>IF(AND(BN166,ISNUMBER(correlation!$F$32)),BP166*correlation!$F$32+correlation!$G$32,"")</f>
        <v/>
      </c>
      <c r="BR166" s="5">
        <f>IF(AND(BN166,ISNUMBER(BQ166)),(BO166-BQ166)^2,"")</f>
        <v/>
      </c>
      <c r="BS166" s="5">
        <f>IF(BN166,1+SUMPRODUCT(--(calc!$BN$3:$BN$306=TRUE),--(calc!$BO$3:$BO$306&gt;BO166))+(SUMPRODUCT(--(calc!$BN$3:$BN$306=TRUE),--(calc!$BO$3:$BO$306=BO166))-1)/2,"")</f>
        <v/>
      </c>
      <c r="BT166" s="5">
        <f>IF(BN166,1+SUMPRODUCT(--(calc!$BN$3:$BN$306=TRUE),--(calc!$BP$3:$BP$306&gt;BP166))+(SUMPRODUCT(--(calc!$BN$3:$BN$306=TRUE),--(calc!$BP$3:$BP$306=BP166))-1)/2,"")</f>
        <v/>
      </c>
      <c r="BU166" s="5">
        <f>IF(BN166,SUMPRODUCT(--(calc!$BN$3:$BN$306=TRUE),--(ROW(calc!$BN$3:$BN$306)&gt;ROW(BN166)),--(((calc!$BS$3:$BS$306&gt;BS166)*(calc!$BT$3:$BT$306&gt;BT166)+(calc!$BS$3:$BS$306&lt;BS166)*(calc!$BT$3:$BT$306&lt;BT166))&gt;0))-SUMPRODUCT(--(calc!$BN$3:$BN$306=TRUE),--(ROW(calc!$BN$3:$BN$306)&gt;ROW(BN166)),--(((calc!$BS$3:$BS$306&gt;BS166)*(calc!$BT$3:$BT$306&lt;BT166)+(calc!$BS$3:$BS$306&lt;BS166)*(calc!$BT$3:$BT$306&gt;BT166))&gt;0)),0)</f>
        <v/>
      </c>
    </row>
    <row r="167">
      <c r="A167" s="2">
        <f>mos_metrics!A166</f>
        <v/>
      </c>
      <c r="B167" s="2">
        <f>mos_metrics!B166</f>
        <v/>
      </c>
      <c r="C167" s="2">
        <f>mos_metrics!C166</f>
        <v/>
      </c>
      <c r="D167" s="2">
        <f>mos_metrics!D166</f>
        <v/>
      </c>
      <c r="E167" s="2">
        <f>mos_metrics!E166</f>
        <v/>
      </c>
      <c r="F167" s="2">
        <f>mos_metrics!F166</f>
        <v/>
      </c>
      <c r="G167" s="2">
        <f>IF($B167="","",IFERROR(VLOOKUP($B167,correlation!$A$2:$B$16,2,FALSE),1))</f>
        <v/>
      </c>
      <c r="H167" s="2">
        <f>IF($E167="","",IFERROR(VLOOKUP($E167,correlation!$D$2:$E$8,2,FALSE),1))</f>
        <v/>
      </c>
      <c r="I167" s="2">
        <f>ISNUMBER($F167)</f>
        <v/>
      </c>
      <c r="J167" s="2">
        <f>AND($G167=1,$H167=1,$I167)</f>
        <v/>
      </c>
      <c r="K167" s="5">
        <f>IF(mos_metrics!G166="","",mos_metrics!G166)</f>
        <v/>
      </c>
      <c r="L167" s="2">
        <f>AND($J167,ISNUMBER(K167),correlation!$I$26=1)</f>
        <v/>
      </c>
      <c r="M167" s="5">
        <f>IF(L167,$F167,"")</f>
        <v/>
      </c>
      <c r="N167" s="5">
        <f>IF(L167,K167*correlation!$J$26,"")</f>
        <v/>
      </c>
      <c r="O167" s="5">
        <f>IF(AND(L167,ISNUMBER(correlation!$F$26)),N167*correlation!$F$26+correlation!$G$26,"")</f>
        <v/>
      </c>
      <c r="P167" s="5">
        <f>IF(AND(L167,ISNUMBER(O167)),(M167-O167)^2,"")</f>
        <v/>
      </c>
      <c r="Q167" s="5">
        <f>IF(L167,1+SUMPRODUCT(--(calc!$L$3:$L$306=TRUE),--(calc!$M$3:$M$306&gt;M167))+(SUMPRODUCT(--(calc!$L$3:$L$306=TRUE),--(calc!$M$3:$M$306=M167))-1)/2,"")</f>
        <v/>
      </c>
      <c r="R167" s="5">
        <f>IF(L167,1+SUMPRODUCT(--(calc!$L$3:$L$306=TRUE),--(calc!$N$3:$N$306&gt;N167))+(SUMPRODUCT(--(calc!$L$3:$L$306=TRUE),--(calc!$N$3:$N$306=N167))-1)/2,"")</f>
        <v/>
      </c>
      <c r="S167" s="5">
        <f>IF(L167,SUMPRODUCT(--(calc!$L$3:$L$306=TRUE),--(ROW(calc!$L$3:$L$306)&gt;ROW(L167)),--(((calc!$Q$3:$Q$306&gt;Q167)*(calc!$R$3:$R$306&gt;R167)+(calc!$Q$3:$Q$306&lt;Q167)*(calc!$R$3:$R$306&lt;R167))&gt;0))-SUMPRODUCT(--(calc!$L$3:$L$306=TRUE),--(ROW(calc!$L$3:$L$306)&gt;ROW(L167)),--(((calc!$Q$3:$Q$306&gt;Q167)*(calc!$R$3:$R$306&lt;R167)+(calc!$Q$3:$Q$306&lt;Q167)*(calc!$R$3:$R$306&gt;R167))&gt;0)),0)</f>
        <v/>
      </c>
      <c r="T167" s="5">
        <f>IF(mos_metrics!H166="","",mos_metrics!H166)</f>
        <v/>
      </c>
      <c r="U167" s="2">
        <f>AND($J167,ISNUMBER(T167),correlation!$I$27=1)</f>
        <v/>
      </c>
      <c r="V167" s="5">
        <f>IF(U167,$F167,"")</f>
        <v/>
      </c>
      <c r="W167" s="5">
        <f>IF(U167,T167*correlation!$J$27,"")</f>
        <v/>
      </c>
      <c r="X167" s="5">
        <f>IF(AND(U167,ISNUMBER(correlation!$F$27)),W167*correlation!$F$27+correlation!$G$27,"")</f>
        <v/>
      </c>
      <c r="Y167" s="5">
        <f>IF(AND(U167,ISNUMBER(X167)),(V167-X167)^2,"")</f>
        <v/>
      </c>
      <c r="Z167" s="5">
        <f>IF(U167,1+SUMPRODUCT(--(calc!$U$3:$U$306=TRUE),--(calc!$V$3:$V$306&gt;V167))+(SUMPRODUCT(--(calc!$U$3:$U$306=TRUE),--(calc!$V$3:$V$306=V167))-1)/2,"")</f>
        <v/>
      </c>
      <c r="AA167" s="5">
        <f>IF(U167,1+SUMPRODUCT(--(calc!$U$3:$U$306=TRUE),--(calc!$W$3:$W$306&gt;W167))+(SUMPRODUCT(--(calc!$U$3:$U$306=TRUE),--(calc!$W$3:$W$306=W167))-1)/2,"")</f>
        <v/>
      </c>
      <c r="AB167" s="5">
        <f>IF(U167,SUMPRODUCT(--(calc!$U$3:$U$306=TRUE),--(ROW(calc!$U$3:$U$306)&gt;ROW(U167)),--(((calc!$Z$3:$Z$306&gt;Z167)*(calc!$AA$3:$AA$306&gt;AA167)+(calc!$Z$3:$Z$306&lt;Z167)*(calc!$AA$3:$AA$306&lt;AA167))&gt;0))-SUMPRODUCT(--(calc!$U$3:$U$306=TRUE),--(ROW(calc!$U$3:$U$306)&gt;ROW(U167)),--(((calc!$Z$3:$Z$306&gt;Z167)*(calc!$AA$3:$AA$306&lt;AA167)+(calc!$Z$3:$Z$306&lt;Z167)*(calc!$AA$3:$AA$306&gt;AA167))&gt;0)),0)</f>
        <v/>
      </c>
      <c r="AC167" s="5">
        <f>IF(mos_metrics!I166="","",mos_metrics!I166)</f>
        <v/>
      </c>
      <c r="AD167" s="2">
        <f>AND($J167,ISNUMBER(AC167),correlation!$I$28=1)</f>
        <v/>
      </c>
      <c r="AE167" s="5">
        <f>IF(AD167,$F167,"")</f>
        <v/>
      </c>
      <c r="AF167" s="5">
        <f>IF(AD167,AC167*correlation!$J$28,"")</f>
        <v/>
      </c>
      <c r="AG167" s="5">
        <f>IF(AND(AD167,ISNUMBER(correlation!$F$28)),AF167*correlation!$F$28+correlation!$G$28,"")</f>
        <v/>
      </c>
      <c r="AH167" s="5">
        <f>IF(AND(AD167,ISNUMBER(AG167)),(AE167-AG167)^2,"")</f>
        <v/>
      </c>
      <c r="AI167" s="5">
        <f>IF(AD167,1+SUMPRODUCT(--(calc!$AD$3:$AD$306=TRUE),--(calc!$AE$3:$AE$306&gt;AE167))+(SUMPRODUCT(--(calc!$AD$3:$AD$306=TRUE),--(calc!$AE$3:$AE$306=AE167))-1)/2,"")</f>
        <v/>
      </c>
      <c r="AJ167" s="5">
        <f>IF(AD167,1+SUMPRODUCT(--(calc!$AD$3:$AD$306=TRUE),--(calc!$AF$3:$AF$306&gt;AF167))+(SUMPRODUCT(--(calc!$AD$3:$AD$306=TRUE),--(calc!$AF$3:$AF$306=AF167))-1)/2,"")</f>
        <v/>
      </c>
      <c r="AK167" s="5">
        <f>IF(AD167,SUMPRODUCT(--(calc!$AD$3:$AD$306=TRUE),--(ROW(calc!$AD$3:$AD$306)&gt;ROW(AD167)),--(((calc!$AI$3:$AI$306&gt;AI167)*(calc!$AJ$3:$AJ$306&gt;AJ167)+(calc!$AI$3:$AI$306&lt;AI167)*(calc!$AJ$3:$AJ$306&lt;AJ167))&gt;0))-SUMPRODUCT(--(calc!$AD$3:$AD$306=TRUE),--(ROW(calc!$AD$3:$AD$306)&gt;ROW(AD167)),--(((calc!$AI$3:$AI$306&gt;AI167)*(calc!$AJ$3:$AJ$306&lt;AJ167)+(calc!$AI$3:$AI$306&lt;AI167)*(calc!$AJ$3:$AJ$306&gt;AJ167))&gt;0)),0)</f>
        <v/>
      </c>
      <c r="AL167" s="5">
        <f>IF(mos_metrics!J166="","",mos_metrics!J166)</f>
        <v/>
      </c>
      <c r="AM167" s="2">
        <f>AND($J167,ISNUMBER(AL167),correlation!$I$29=1)</f>
        <v/>
      </c>
      <c r="AN167" s="5">
        <f>IF(AM167,$F167,"")</f>
        <v/>
      </c>
      <c r="AO167" s="5">
        <f>IF(AM167,AL167*correlation!$J$29,"")</f>
        <v/>
      </c>
      <c r="AP167" s="5">
        <f>IF(AND(AM167,ISNUMBER(correlation!$F$29)),AO167*correlation!$F$29+correlation!$G$29,"")</f>
        <v/>
      </c>
      <c r="AQ167" s="5">
        <f>IF(AND(AM167,ISNUMBER(AP167)),(AN167-AP167)^2,"")</f>
        <v/>
      </c>
      <c r="AR167" s="5">
        <f>IF(AM167,1+SUMPRODUCT(--(calc!$AM$3:$AM$306=TRUE),--(calc!$AN$3:$AN$306&gt;AN167))+(SUMPRODUCT(--(calc!$AM$3:$AM$306=TRUE),--(calc!$AN$3:$AN$306=AN167))-1)/2,"")</f>
        <v/>
      </c>
      <c r="AS167" s="5">
        <f>IF(AM167,1+SUMPRODUCT(--(calc!$AM$3:$AM$306=TRUE),--(calc!$AO$3:$AO$306&gt;AO167))+(SUMPRODUCT(--(calc!$AM$3:$AM$306=TRUE),--(calc!$AO$3:$AO$306=AO167))-1)/2,"")</f>
        <v/>
      </c>
      <c r="AT167" s="5">
        <f>IF(AM167,SUMPRODUCT(--(calc!$AM$3:$AM$306=TRUE),--(ROW(calc!$AM$3:$AM$306)&gt;ROW(AM167)),--(((calc!$AR$3:$AR$306&gt;AR167)*(calc!$AS$3:$AS$306&gt;AS167)+(calc!$AR$3:$AR$306&lt;AR167)*(calc!$AS$3:$AS$306&lt;AS167))&gt;0))-SUMPRODUCT(--(calc!$AM$3:$AM$306=TRUE),--(ROW(calc!$AM$3:$AM$306)&gt;ROW(AM167)),--(((calc!$AR$3:$AR$306&gt;AR167)*(calc!$AS$3:$AS$306&lt;AS167)+(calc!$AR$3:$AR$306&lt;AR167)*(calc!$AS$3:$AS$306&gt;AS167))&gt;0)),0)</f>
        <v/>
      </c>
      <c r="AU167" s="5">
        <f>IF(mos_metrics!K166="","",mos_metrics!K166)</f>
        <v/>
      </c>
      <c r="AV167" s="2">
        <f>AND($J167,ISNUMBER(AU167),correlation!$I$30=1)</f>
        <v/>
      </c>
      <c r="AW167" s="5">
        <f>IF(AV167,$F167,"")</f>
        <v/>
      </c>
      <c r="AX167" s="5">
        <f>IF(AV167,AU167*correlation!$J$30,"")</f>
        <v/>
      </c>
      <c r="AY167" s="5">
        <f>IF(AND(AV167,ISNUMBER(correlation!$F$30)),AX167*correlation!$F$30+correlation!$G$30,"")</f>
        <v/>
      </c>
      <c r="AZ167" s="5">
        <f>IF(AND(AV167,ISNUMBER(AY167)),(AW167-AY167)^2,"")</f>
        <v/>
      </c>
      <c r="BA167" s="5">
        <f>IF(AV167,1+SUMPRODUCT(--(calc!$AV$3:$AV$306=TRUE),--(calc!$AW$3:$AW$306&gt;AW167))+(SUMPRODUCT(--(calc!$AV$3:$AV$306=TRUE),--(calc!$AW$3:$AW$306=AW167))-1)/2,"")</f>
        <v/>
      </c>
      <c r="BB167" s="5">
        <f>IF(AV167,1+SUMPRODUCT(--(calc!$AV$3:$AV$306=TRUE),--(calc!$AX$3:$AX$306&gt;AX167))+(SUMPRODUCT(--(calc!$AV$3:$AV$306=TRUE),--(calc!$AX$3:$AX$306=AX167))-1)/2,"")</f>
        <v/>
      </c>
      <c r="BC167" s="5">
        <f>IF(AV167,SUMPRODUCT(--(calc!$AV$3:$AV$306=TRUE),--(ROW(calc!$AV$3:$AV$306)&gt;ROW(AV167)),--(((calc!$BA$3:$BA$306&gt;BA167)*(calc!$BB$3:$BB$306&gt;BB167)+(calc!$BA$3:$BA$306&lt;BA167)*(calc!$BB$3:$BB$306&lt;BB167))&gt;0))-SUMPRODUCT(--(calc!$AV$3:$AV$306=TRUE),--(ROW(calc!$AV$3:$AV$306)&gt;ROW(AV167)),--(((calc!$BA$3:$BA$306&gt;BA167)*(calc!$BB$3:$BB$306&lt;BB167)+(calc!$BA$3:$BA$306&lt;BA167)*(calc!$BB$3:$BB$306&gt;BB167))&gt;0)),0)</f>
        <v/>
      </c>
      <c r="BD167" s="5">
        <f>IF(mos_metrics!L166="","",mos_metrics!L166)</f>
        <v/>
      </c>
      <c r="BE167" s="2">
        <f>AND($J167,ISNUMBER(BD167),correlation!$I$31=1)</f>
        <v/>
      </c>
      <c r="BF167" s="5">
        <f>IF(BE167,$F167,"")</f>
        <v/>
      </c>
      <c r="BG167" s="5">
        <f>IF(BE167,BD167*correlation!$J$31,"")</f>
        <v/>
      </c>
      <c r="BH167" s="5">
        <f>IF(AND(BE167,ISNUMBER(correlation!$F$31)),BG167*correlation!$F$31+correlation!$G$31,"")</f>
        <v/>
      </c>
      <c r="BI167" s="5">
        <f>IF(AND(BE167,ISNUMBER(BH167)),(BF167-BH167)^2,"")</f>
        <v/>
      </c>
      <c r="BJ167" s="5">
        <f>IF(BE167,1+SUMPRODUCT(--(calc!$BE$3:$BE$306=TRUE),--(calc!$BF$3:$BF$306&gt;BF167))+(SUMPRODUCT(--(calc!$BE$3:$BE$306=TRUE),--(calc!$BF$3:$BF$306=BF167))-1)/2,"")</f>
        <v/>
      </c>
      <c r="BK167" s="5">
        <f>IF(BE167,1+SUMPRODUCT(--(calc!$BE$3:$BE$306=TRUE),--(calc!$BG$3:$BG$306&gt;BG167))+(SUMPRODUCT(--(calc!$BE$3:$BE$306=TRUE),--(calc!$BG$3:$BG$306=BG167))-1)/2,"")</f>
        <v/>
      </c>
      <c r="BL167" s="5">
        <f>IF(BE167,SUMPRODUCT(--(calc!$BE$3:$BE$306=TRUE),--(ROW(calc!$BE$3:$BE$306)&gt;ROW(BE167)),--(((calc!$BJ$3:$BJ$306&gt;BJ167)*(calc!$BK$3:$BK$306&gt;BK167)+(calc!$BJ$3:$BJ$306&lt;BJ167)*(calc!$BK$3:$BK$306&lt;BK167))&gt;0))-SUMPRODUCT(--(calc!$BE$3:$BE$306=TRUE),--(ROW(calc!$BE$3:$BE$306)&gt;ROW(BE167)),--(((calc!$BJ$3:$BJ$306&gt;BJ167)*(calc!$BK$3:$BK$306&lt;BK167)+(calc!$BJ$3:$BJ$306&lt;BJ167)*(calc!$BK$3:$BK$306&gt;BK167))&gt;0)),0)</f>
        <v/>
      </c>
      <c r="BM167" s="5">
        <f>IF(mos_metrics!M166="","",mos_metrics!M166)</f>
        <v/>
      </c>
      <c r="BN167" s="2">
        <f>AND($J167,ISNUMBER(BM167),correlation!$I$32=1)</f>
        <v/>
      </c>
      <c r="BO167" s="5">
        <f>IF(BN167,$F167,"")</f>
        <v/>
      </c>
      <c r="BP167" s="5">
        <f>IF(BN167,BM167*correlation!$J$32,"")</f>
        <v/>
      </c>
      <c r="BQ167" s="5">
        <f>IF(AND(BN167,ISNUMBER(correlation!$F$32)),BP167*correlation!$F$32+correlation!$G$32,"")</f>
        <v/>
      </c>
      <c r="BR167" s="5">
        <f>IF(AND(BN167,ISNUMBER(BQ167)),(BO167-BQ167)^2,"")</f>
        <v/>
      </c>
      <c r="BS167" s="5">
        <f>IF(BN167,1+SUMPRODUCT(--(calc!$BN$3:$BN$306=TRUE),--(calc!$BO$3:$BO$306&gt;BO167))+(SUMPRODUCT(--(calc!$BN$3:$BN$306=TRUE),--(calc!$BO$3:$BO$306=BO167))-1)/2,"")</f>
        <v/>
      </c>
      <c r="BT167" s="5">
        <f>IF(BN167,1+SUMPRODUCT(--(calc!$BN$3:$BN$306=TRUE),--(calc!$BP$3:$BP$306&gt;BP167))+(SUMPRODUCT(--(calc!$BN$3:$BN$306=TRUE),--(calc!$BP$3:$BP$306=BP167))-1)/2,"")</f>
        <v/>
      </c>
      <c r="BU167" s="5">
        <f>IF(BN167,SUMPRODUCT(--(calc!$BN$3:$BN$306=TRUE),--(ROW(calc!$BN$3:$BN$306)&gt;ROW(BN167)),--(((calc!$BS$3:$BS$306&gt;BS167)*(calc!$BT$3:$BT$306&gt;BT167)+(calc!$BS$3:$BS$306&lt;BS167)*(calc!$BT$3:$BT$306&lt;BT167))&gt;0))-SUMPRODUCT(--(calc!$BN$3:$BN$306=TRUE),--(ROW(calc!$BN$3:$BN$306)&gt;ROW(BN167)),--(((calc!$BS$3:$BS$306&gt;BS167)*(calc!$BT$3:$BT$306&lt;BT167)+(calc!$BS$3:$BS$306&lt;BS167)*(calc!$BT$3:$BT$306&gt;BT167))&gt;0)),0)</f>
        <v/>
      </c>
    </row>
    <row r="168">
      <c r="A168" s="2">
        <f>mos_metrics!A167</f>
        <v/>
      </c>
      <c r="B168" s="2">
        <f>mos_metrics!B167</f>
        <v/>
      </c>
      <c r="C168" s="2">
        <f>mos_metrics!C167</f>
        <v/>
      </c>
      <c r="D168" s="2">
        <f>mos_metrics!D167</f>
        <v/>
      </c>
      <c r="E168" s="2">
        <f>mos_metrics!E167</f>
        <v/>
      </c>
      <c r="F168" s="2">
        <f>mos_metrics!F167</f>
        <v/>
      </c>
      <c r="G168" s="2">
        <f>IF($B168="","",IFERROR(VLOOKUP($B168,correlation!$A$2:$B$16,2,FALSE),1))</f>
        <v/>
      </c>
      <c r="H168" s="2">
        <f>IF($E168="","",IFERROR(VLOOKUP($E168,correlation!$D$2:$E$8,2,FALSE),1))</f>
        <v/>
      </c>
      <c r="I168" s="2">
        <f>ISNUMBER($F168)</f>
        <v/>
      </c>
      <c r="J168" s="2">
        <f>AND($G168=1,$H168=1,$I168)</f>
        <v/>
      </c>
      <c r="K168" s="5">
        <f>IF(mos_metrics!G167="","",mos_metrics!G167)</f>
        <v/>
      </c>
      <c r="L168" s="2">
        <f>AND($J168,ISNUMBER(K168),correlation!$I$26=1)</f>
        <v/>
      </c>
      <c r="M168" s="5">
        <f>IF(L168,$F168,"")</f>
        <v/>
      </c>
      <c r="N168" s="5">
        <f>IF(L168,K168*correlation!$J$26,"")</f>
        <v/>
      </c>
      <c r="O168" s="5">
        <f>IF(AND(L168,ISNUMBER(correlation!$F$26)),N168*correlation!$F$26+correlation!$G$26,"")</f>
        <v/>
      </c>
      <c r="P168" s="5">
        <f>IF(AND(L168,ISNUMBER(O168)),(M168-O168)^2,"")</f>
        <v/>
      </c>
      <c r="Q168" s="5">
        <f>IF(L168,1+SUMPRODUCT(--(calc!$L$3:$L$306=TRUE),--(calc!$M$3:$M$306&gt;M168))+(SUMPRODUCT(--(calc!$L$3:$L$306=TRUE),--(calc!$M$3:$M$306=M168))-1)/2,"")</f>
        <v/>
      </c>
      <c r="R168" s="5">
        <f>IF(L168,1+SUMPRODUCT(--(calc!$L$3:$L$306=TRUE),--(calc!$N$3:$N$306&gt;N168))+(SUMPRODUCT(--(calc!$L$3:$L$306=TRUE),--(calc!$N$3:$N$306=N168))-1)/2,"")</f>
        <v/>
      </c>
      <c r="S168" s="5">
        <f>IF(L168,SUMPRODUCT(--(calc!$L$3:$L$306=TRUE),--(ROW(calc!$L$3:$L$306)&gt;ROW(L168)),--(((calc!$Q$3:$Q$306&gt;Q168)*(calc!$R$3:$R$306&gt;R168)+(calc!$Q$3:$Q$306&lt;Q168)*(calc!$R$3:$R$306&lt;R168))&gt;0))-SUMPRODUCT(--(calc!$L$3:$L$306=TRUE),--(ROW(calc!$L$3:$L$306)&gt;ROW(L168)),--(((calc!$Q$3:$Q$306&gt;Q168)*(calc!$R$3:$R$306&lt;R168)+(calc!$Q$3:$Q$306&lt;Q168)*(calc!$R$3:$R$306&gt;R168))&gt;0)),0)</f>
        <v/>
      </c>
      <c r="T168" s="5">
        <f>IF(mos_metrics!H167="","",mos_metrics!H167)</f>
        <v/>
      </c>
      <c r="U168" s="2">
        <f>AND($J168,ISNUMBER(T168),correlation!$I$27=1)</f>
        <v/>
      </c>
      <c r="V168" s="5">
        <f>IF(U168,$F168,"")</f>
        <v/>
      </c>
      <c r="W168" s="5">
        <f>IF(U168,T168*correlation!$J$27,"")</f>
        <v/>
      </c>
      <c r="X168" s="5">
        <f>IF(AND(U168,ISNUMBER(correlation!$F$27)),W168*correlation!$F$27+correlation!$G$27,"")</f>
        <v/>
      </c>
      <c r="Y168" s="5">
        <f>IF(AND(U168,ISNUMBER(X168)),(V168-X168)^2,"")</f>
        <v/>
      </c>
      <c r="Z168" s="5">
        <f>IF(U168,1+SUMPRODUCT(--(calc!$U$3:$U$306=TRUE),--(calc!$V$3:$V$306&gt;V168))+(SUMPRODUCT(--(calc!$U$3:$U$306=TRUE),--(calc!$V$3:$V$306=V168))-1)/2,"")</f>
        <v/>
      </c>
      <c r="AA168" s="5">
        <f>IF(U168,1+SUMPRODUCT(--(calc!$U$3:$U$306=TRUE),--(calc!$W$3:$W$306&gt;W168))+(SUMPRODUCT(--(calc!$U$3:$U$306=TRUE),--(calc!$W$3:$W$306=W168))-1)/2,"")</f>
        <v/>
      </c>
      <c r="AB168" s="5">
        <f>IF(U168,SUMPRODUCT(--(calc!$U$3:$U$306=TRUE),--(ROW(calc!$U$3:$U$306)&gt;ROW(U168)),--(((calc!$Z$3:$Z$306&gt;Z168)*(calc!$AA$3:$AA$306&gt;AA168)+(calc!$Z$3:$Z$306&lt;Z168)*(calc!$AA$3:$AA$306&lt;AA168))&gt;0))-SUMPRODUCT(--(calc!$U$3:$U$306=TRUE),--(ROW(calc!$U$3:$U$306)&gt;ROW(U168)),--(((calc!$Z$3:$Z$306&gt;Z168)*(calc!$AA$3:$AA$306&lt;AA168)+(calc!$Z$3:$Z$306&lt;Z168)*(calc!$AA$3:$AA$306&gt;AA168))&gt;0)),0)</f>
        <v/>
      </c>
      <c r="AC168" s="5">
        <f>IF(mos_metrics!I167="","",mos_metrics!I167)</f>
        <v/>
      </c>
      <c r="AD168" s="2">
        <f>AND($J168,ISNUMBER(AC168),correlation!$I$28=1)</f>
        <v/>
      </c>
      <c r="AE168" s="5">
        <f>IF(AD168,$F168,"")</f>
        <v/>
      </c>
      <c r="AF168" s="5">
        <f>IF(AD168,AC168*correlation!$J$28,"")</f>
        <v/>
      </c>
      <c r="AG168" s="5">
        <f>IF(AND(AD168,ISNUMBER(correlation!$F$28)),AF168*correlation!$F$28+correlation!$G$28,"")</f>
        <v/>
      </c>
      <c r="AH168" s="5">
        <f>IF(AND(AD168,ISNUMBER(AG168)),(AE168-AG168)^2,"")</f>
        <v/>
      </c>
      <c r="AI168" s="5">
        <f>IF(AD168,1+SUMPRODUCT(--(calc!$AD$3:$AD$306=TRUE),--(calc!$AE$3:$AE$306&gt;AE168))+(SUMPRODUCT(--(calc!$AD$3:$AD$306=TRUE),--(calc!$AE$3:$AE$306=AE168))-1)/2,"")</f>
        <v/>
      </c>
      <c r="AJ168" s="5">
        <f>IF(AD168,1+SUMPRODUCT(--(calc!$AD$3:$AD$306=TRUE),--(calc!$AF$3:$AF$306&gt;AF168))+(SUMPRODUCT(--(calc!$AD$3:$AD$306=TRUE),--(calc!$AF$3:$AF$306=AF168))-1)/2,"")</f>
        <v/>
      </c>
      <c r="AK168" s="5">
        <f>IF(AD168,SUMPRODUCT(--(calc!$AD$3:$AD$306=TRUE),--(ROW(calc!$AD$3:$AD$306)&gt;ROW(AD168)),--(((calc!$AI$3:$AI$306&gt;AI168)*(calc!$AJ$3:$AJ$306&gt;AJ168)+(calc!$AI$3:$AI$306&lt;AI168)*(calc!$AJ$3:$AJ$306&lt;AJ168))&gt;0))-SUMPRODUCT(--(calc!$AD$3:$AD$306=TRUE),--(ROW(calc!$AD$3:$AD$306)&gt;ROW(AD168)),--(((calc!$AI$3:$AI$306&gt;AI168)*(calc!$AJ$3:$AJ$306&lt;AJ168)+(calc!$AI$3:$AI$306&lt;AI168)*(calc!$AJ$3:$AJ$306&gt;AJ168))&gt;0)),0)</f>
        <v/>
      </c>
      <c r="AL168" s="5">
        <f>IF(mos_metrics!J167="","",mos_metrics!J167)</f>
        <v/>
      </c>
      <c r="AM168" s="2">
        <f>AND($J168,ISNUMBER(AL168),correlation!$I$29=1)</f>
        <v/>
      </c>
      <c r="AN168" s="5">
        <f>IF(AM168,$F168,"")</f>
        <v/>
      </c>
      <c r="AO168" s="5">
        <f>IF(AM168,AL168*correlation!$J$29,"")</f>
        <v/>
      </c>
      <c r="AP168" s="5">
        <f>IF(AND(AM168,ISNUMBER(correlation!$F$29)),AO168*correlation!$F$29+correlation!$G$29,"")</f>
        <v/>
      </c>
      <c r="AQ168" s="5">
        <f>IF(AND(AM168,ISNUMBER(AP168)),(AN168-AP168)^2,"")</f>
        <v/>
      </c>
      <c r="AR168" s="5">
        <f>IF(AM168,1+SUMPRODUCT(--(calc!$AM$3:$AM$306=TRUE),--(calc!$AN$3:$AN$306&gt;AN168))+(SUMPRODUCT(--(calc!$AM$3:$AM$306=TRUE),--(calc!$AN$3:$AN$306=AN168))-1)/2,"")</f>
        <v/>
      </c>
      <c r="AS168" s="5">
        <f>IF(AM168,1+SUMPRODUCT(--(calc!$AM$3:$AM$306=TRUE),--(calc!$AO$3:$AO$306&gt;AO168))+(SUMPRODUCT(--(calc!$AM$3:$AM$306=TRUE),--(calc!$AO$3:$AO$306=AO168))-1)/2,"")</f>
        <v/>
      </c>
      <c r="AT168" s="5">
        <f>IF(AM168,SUMPRODUCT(--(calc!$AM$3:$AM$306=TRUE),--(ROW(calc!$AM$3:$AM$306)&gt;ROW(AM168)),--(((calc!$AR$3:$AR$306&gt;AR168)*(calc!$AS$3:$AS$306&gt;AS168)+(calc!$AR$3:$AR$306&lt;AR168)*(calc!$AS$3:$AS$306&lt;AS168))&gt;0))-SUMPRODUCT(--(calc!$AM$3:$AM$306=TRUE),--(ROW(calc!$AM$3:$AM$306)&gt;ROW(AM168)),--(((calc!$AR$3:$AR$306&gt;AR168)*(calc!$AS$3:$AS$306&lt;AS168)+(calc!$AR$3:$AR$306&lt;AR168)*(calc!$AS$3:$AS$306&gt;AS168))&gt;0)),0)</f>
        <v/>
      </c>
      <c r="AU168" s="5">
        <f>IF(mos_metrics!K167="","",mos_metrics!K167)</f>
        <v/>
      </c>
      <c r="AV168" s="2">
        <f>AND($J168,ISNUMBER(AU168),correlation!$I$30=1)</f>
        <v/>
      </c>
      <c r="AW168" s="5">
        <f>IF(AV168,$F168,"")</f>
        <v/>
      </c>
      <c r="AX168" s="5">
        <f>IF(AV168,AU168*correlation!$J$30,"")</f>
        <v/>
      </c>
      <c r="AY168" s="5">
        <f>IF(AND(AV168,ISNUMBER(correlation!$F$30)),AX168*correlation!$F$30+correlation!$G$30,"")</f>
        <v/>
      </c>
      <c r="AZ168" s="5">
        <f>IF(AND(AV168,ISNUMBER(AY168)),(AW168-AY168)^2,"")</f>
        <v/>
      </c>
      <c r="BA168" s="5">
        <f>IF(AV168,1+SUMPRODUCT(--(calc!$AV$3:$AV$306=TRUE),--(calc!$AW$3:$AW$306&gt;AW168))+(SUMPRODUCT(--(calc!$AV$3:$AV$306=TRUE),--(calc!$AW$3:$AW$306=AW168))-1)/2,"")</f>
        <v/>
      </c>
      <c r="BB168" s="5">
        <f>IF(AV168,1+SUMPRODUCT(--(calc!$AV$3:$AV$306=TRUE),--(calc!$AX$3:$AX$306&gt;AX168))+(SUMPRODUCT(--(calc!$AV$3:$AV$306=TRUE),--(calc!$AX$3:$AX$306=AX168))-1)/2,"")</f>
        <v/>
      </c>
      <c r="BC168" s="5">
        <f>IF(AV168,SUMPRODUCT(--(calc!$AV$3:$AV$306=TRUE),--(ROW(calc!$AV$3:$AV$306)&gt;ROW(AV168)),--(((calc!$BA$3:$BA$306&gt;BA168)*(calc!$BB$3:$BB$306&gt;BB168)+(calc!$BA$3:$BA$306&lt;BA168)*(calc!$BB$3:$BB$306&lt;BB168))&gt;0))-SUMPRODUCT(--(calc!$AV$3:$AV$306=TRUE),--(ROW(calc!$AV$3:$AV$306)&gt;ROW(AV168)),--(((calc!$BA$3:$BA$306&gt;BA168)*(calc!$BB$3:$BB$306&lt;BB168)+(calc!$BA$3:$BA$306&lt;BA168)*(calc!$BB$3:$BB$306&gt;BB168))&gt;0)),0)</f>
        <v/>
      </c>
      <c r="BD168" s="5">
        <f>IF(mos_metrics!L167="","",mos_metrics!L167)</f>
        <v/>
      </c>
      <c r="BE168" s="2">
        <f>AND($J168,ISNUMBER(BD168),correlation!$I$31=1)</f>
        <v/>
      </c>
      <c r="BF168" s="5">
        <f>IF(BE168,$F168,"")</f>
        <v/>
      </c>
      <c r="BG168" s="5">
        <f>IF(BE168,BD168*correlation!$J$31,"")</f>
        <v/>
      </c>
      <c r="BH168" s="5">
        <f>IF(AND(BE168,ISNUMBER(correlation!$F$31)),BG168*correlation!$F$31+correlation!$G$31,"")</f>
        <v/>
      </c>
      <c r="BI168" s="5">
        <f>IF(AND(BE168,ISNUMBER(BH168)),(BF168-BH168)^2,"")</f>
        <v/>
      </c>
      <c r="BJ168" s="5">
        <f>IF(BE168,1+SUMPRODUCT(--(calc!$BE$3:$BE$306=TRUE),--(calc!$BF$3:$BF$306&gt;BF168))+(SUMPRODUCT(--(calc!$BE$3:$BE$306=TRUE),--(calc!$BF$3:$BF$306=BF168))-1)/2,"")</f>
        <v/>
      </c>
      <c r="BK168" s="5">
        <f>IF(BE168,1+SUMPRODUCT(--(calc!$BE$3:$BE$306=TRUE),--(calc!$BG$3:$BG$306&gt;BG168))+(SUMPRODUCT(--(calc!$BE$3:$BE$306=TRUE),--(calc!$BG$3:$BG$306=BG168))-1)/2,"")</f>
        <v/>
      </c>
      <c r="BL168" s="5">
        <f>IF(BE168,SUMPRODUCT(--(calc!$BE$3:$BE$306=TRUE),--(ROW(calc!$BE$3:$BE$306)&gt;ROW(BE168)),--(((calc!$BJ$3:$BJ$306&gt;BJ168)*(calc!$BK$3:$BK$306&gt;BK168)+(calc!$BJ$3:$BJ$306&lt;BJ168)*(calc!$BK$3:$BK$306&lt;BK168))&gt;0))-SUMPRODUCT(--(calc!$BE$3:$BE$306=TRUE),--(ROW(calc!$BE$3:$BE$306)&gt;ROW(BE168)),--(((calc!$BJ$3:$BJ$306&gt;BJ168)*(calc!$BK$3:$BK$306&lt;BK168)+(calc!$BJ$3:$BJ$306&lt;BJ168)*(calc!$BK$3:$BK$306&gt;BK168))&gt;0)),0)</f>
        <v/>
      </c>
      <c r="BM168" s="5">
        <f>IF(mos_metrics!M167="","",mos_metrics!M167)</f>
        <v/>
      </c>
      <c r="BN168" s="2">
        <f>AND($J168,ISNUMBER(BM168),correlation!$I$32=1)</f>
        <v/>
      </c>
      <c r="BO168" s="5">
        <f>IF(BN168,$F168,"")</f>
        <v/>
      </c>
      <c r="BP168" s="5">
        <f>IF(BN168,BM168*correlation!$J$32,"")</f>
        <v/>
      </c>
      <c r="BQ168" s="5">
        <f>IF(AND(BN168,ISNUMBER(correlation!$F$32)),BP168*correlation!$F$32+correlation!$G$32,"")</f>
        <v/>
      </c>
      <c r="BR168" s="5">
        <f>IF(AND(BN168,ISNUMBER(BQ168)),(BO168-BQ168)^2,"")</f>
        <v/>
      </c>
      <c r="BS168" s="5">
        <f>IF(BN168,1+SUMPRODUCT(--(calc!$BN$3:$BN$306=TRUE),--(calc!$BO$3:$BO$306&gt;BO168))+(SUMPRODUCT(--(calc!$BN$3:$BN$306=TRUE),--(calc!$BO$3:$BO$306=BO168))-1)/2,"")</f>
        <v/>
      </c>
      <c r="BT168" s="5">
        <f>IF(BN168,1+SUMPRODUCT(--(calc!$BN$3:$BN$306=TRUE),--(calc!$BP$3:$BP$306&gt;BP168))+(SUMPRODUCT(--(calc!$BN$3:$BN$306=TRUE),--(calc!$BP$3:$BP$306=BP168))-1)/2,"")</f>
        <v/>
      </c>
      <c r="BU168" s="5">
        <f>IF(BN168,SUMPRODUCT(--(calc!$BN$3:$BN$306=TRUE),--(ROW(calc!$BN$3:$BN$306)&gt;ROW(BN168)),--(((calc!$BS$3:$BS$306&gt;BS168)*(calc!$BT$3:$BT$306&gt;BT168)+(calc!$BS$3:$BS$306&lt;BS168)*(calc!$BT$3:$BT$306&lt;BT168))&gt;0))-SUMPRODUCT(--(calc!$BN$3:$BN$306=TRUE),--(ROW(calc!$BN$3:$BN$306)&gt;ROW(BN168)),--(((calc!$BS$3:$BS$306&gt;BS168)*(calc!$BT$3:$BT$306&lt;BT168)+(calc!$BS$3:$BS$306&lt;BS168)*(calc!$BT$3:$BT$306&gt;BT168))&gt;0)),0)</f>
        <v/>
      </c>
    </row>
    <row r="169">
      <c r="A169" s="2">
        <f>mos_metrics!A168</f>
        <v/>
      </c>
      <c r="B169" s="2">
        <f>mos_metrics!B168</f>
        <v/>
      </c>
      <c r="C169" s="2">
        <f>mos_metrics!C168</f>
        <v/>
      </c>
      <c r="D169" s="2">
        <f>mos_metrics!D168</f>
        <v/>
      </c>
      <c r="E169" s="2">
        <f>mos_metrics!E168</f>
        <v/>
      </c>
      <c r="F169" s="2">
        <f>mos_metrics!F168</f>
        <v/>
      </c>
      <c r="G169" s="2">
        <f>IF($B169="","",IFERROR(VLOOKUP($B169,correlation!$A$2:$B$16,2,FALSE),1))</f>
        <v/>
      </c>
      <c r="H169" s="2">
        <f>IF($E169="","",IFERROR(VLOOKUP($E169,correlation!$D$2:$E$8,2,FALSE),1))</f>
        <v/>
      </c>
      <c r="I169" s="2">
        <f>ISNUMBER($F169)</f>
        <v/>
      </c>
      <c r="J169" s="2">
        <f>AND($G169=1,$H169=1,$I169)</f>
        <v/>
      </c>
      <c r="K169" s="5">
        <f>IF(mos_metrics!G168="","",mos_metrics!G168)</f>
        <v/>
      </c>
      <c r="L169" s="2">
        <f>AND($J169,ISNUMBER(K169),correlation!$I$26=1)</f>
        <v/>
      </c>
      <c r="M169" s="5">
        <f>IF(L169,$F169,"")</f>
        <v/>
      </c>
      <c r="N169" s="5">
        <f>IF(L169,K169*correlation!$J$26,"")</f>
        <v/>
      </c>
      <c r="O169" s="5">
        <f>IF(AND(L169,ISNUMBER(correlation!$F$26)),N169*correlation!$F$26+correlation!$G$26,"")</f>
        <v/>
      </c>
      <c r="P169" s="5">
        <f>IF(AND(L169,ISNUMBER(O169)),(M169-O169)^2,"")</f>
        <v/>
      </c>
      <c r="Q169" s="5">
        <f>IF(L169,1+SUMPRODUCT(--(calc!$L$3:$L$306=TRUE),--(calc!$M$3:$M$306&gt;M169))+(SUMPRODUCT(--(calc!$L$3:$L$306=TRUE),--(calc!$M$3:$M$306=M169))-1)/2,"")</f>
        <v/>
      </c>
      <c r="R169" s="5">
        <f>IF(L169,1+SUMPRODUCT(--(calc!$L$3:$L$306=TRUE),--(calc!$N$3:$N$306&gt;N169))+(SUMPRODUCT(--(calc!$L$3:$L$306=TRUE),--(calc!$N$3:$N$306=N169))-1)/2,"")</f>
        <v/>
      </c>
      <c r="S169" s="5">
        <f>IF(L169,SUMPRODUCT(--(calc!$L$3:$L$306=TRUE),--(ROW(calc!$L$3:$L$306)&gt;ROW(L169)),--(((calc!$Q$3:$Q$306&gt;Q169)*(calc!$R$3:$R$306&gt;R169)+(calc!$Q$3:$Q$306&lt;Q169)*(calc!$R$3:$R$306&lt;R169))&gt;0))-SUMPRODUCT(--(calc!$L$3:$L$306=TRUE),--(ROW(calc!$L$3:$L$306)&gt;ROW(L169)),--(((calc!$Q$3:$Q$306&gt;Q169)*(calc!$R$3:$R$306&lt;R169)+(calc!$Q$3:$Q$306&lt;Q169)*(calc!$R$3:$R$306&gt;R169))&gt;0)),0)</f>
        <v/>
      </c>
      <c r="T169" s="5">
        <f>IF(mos_metrics!H168="","",mos_metrics!H168)</f>
        <v/>
      </c>
      <c r="U169" s="2">
        <f>AND($J169,ISNUMBER(T169),correlation!$I$27=1)</f>
        <v/>
      </c>
      <c r="V169" s="5">
        <f>IF(U169,$F169,"")</f>
        <v/>
      </c>
      <c r="W169" s="5">
        <f>IF(U169,T169*correlation!$J$27,"")</f>
        <v/>
      </c>
      <c r="X169" s="5">
        <f>IF(AND(U169,ISNUMBER(correlation!$F$27)),W169*correlation!$F$27+correlation!$G$27,"")</f>
        <v/>
      </c>
      <c r="Y169" s="5">
        <f>IF(AND(U169,ISNUMBER(X169)),(V169-X169)^2,"")</f>
        <v/>
      </c>
      <c r="Z169" s="5">
        <f>IF(U169,1+SUMPRODUCT(--(calc!$U$3:$U$306=TRUE),--(calc!$V$3:$V$306&gt;V169))+(SUMPRODUCT(--(calc!$U$3:$U$306=TRUE),--(calc!$V$3:$V$306=V169))-1)/2,"")</f>
        <v/>
      </c>
      <c r="AA169" s="5">
        <f>IF(U169,1+SUMPRODUCT(--(calc!$U$3:$U$306=TRUE),--(calc!$W$3:$W$306&gt;W169))+(SUMPRODUCT(--(calc!$U$3:$U$306=TRUE),--(calc!$W$3:$W$306=W169))-1)/2,"")</f>
        <v/>
      </c>
      <c r="AB169" s="5">
        <f>IF(U169,SUMPRODUCT(--(calc!$U$3:$U$306=TRUE),--(ROW(calc!$U$3:$U$306)&gt;ROW(U169)),--(((calc!$Z$3:$Z$306&gt;Z169)*(calc!$AA$3:$AA$306&gt;AA169)+(calc!$Z$3:$Z$306&lt;Z169)*(calc!$AA$3:$AA$306&lt;AA169))&gt;0))-SUMPRODUCT(--(calc!$U$3:$U$306=TRUE),--(ROW(calc!$U$3:$U$306)&gt;ROW(U169)),--(((calc!$Z$3:$Z$306&gt;Z169)*(calc!$AA$3:$AA$306&lt;AA169)+(calc!$Z$3:$Z$306&lt;Z169)*(calc!$AA$3:$AA$306&gt;AA169))&gt;0)),0)</f>
        <v/>
      </c>
      <c r="AC169" s="5">
        <f>IF(mos_metrics!I168="","",mos_metrics!I168)</f>
        <v/>
      </c>
      <c r="AD169" s="2">
        <f>AND($J169,ISNUMBER(AC169),correlation!$I$28=1)</f>
        <v/>
      </c>
      <c r="AE169" s="5">
        <f>IF(AD169,$F169,"")</f>
        <v/>
      </c>
      <c r="AF169" s="5">
        <f>IF(AD169,AC169*correlation!$J$28,"")</f>
        <v/>
      </c>
      <c r="AG169" s="5">
        <f>IF(AND(AD169,ISNUMBER(correlation!$F$28)),AF169*correlation!$F$28+correlation!$G$28,"")</f>
        <v/>
      </c>
      <c r="AH169" s="5">
        <f>IF(AND(AD169,ISNUMBER(AG169)),(AE169-AG169)^2,"")</f>
        <v/>
      </c>
      <c r="AI169" s="5">
        <f>IF(AD169,1+SUMPRODUCT(--(calc!$AD$3:$AD$306=TRUE),--(calc!$AE$3:$AE$306&gt;AE169))+(SUMPRODUCT(--(calc!$AD$3:$AD$306=TRUE),--(calc!$AE$3:$AE$306=AE169))-1)/2,"")</f>
        <v/>
      </c>
      <c r="AJ169" s="5">
        <f>IF(AD169,1+SUMPRODUCT(--(calc!$AD$3:$AD$306=TRUE),--(calc!$AF$3:$AF$306&gt;AF169))+(SUMPRODUCT(--(calc!$AD$3:$AD$306=TRUE),--(calc!$AF$3:$AF$306=AF169))-1)/2,"")</f>
        <v/>
      </c>
      <c r="AK169" s="5">
        <f>IF(AD169,SUMPRODUCT(--(calc!$AD$3:$AD$306=TRUE),--(ROW(calc!$AD$3:$AD$306)&gt;ROW(AD169)),--(((calc!$AI$3:$AI$306&gt;AI169)*(calc!$AJ$3:$AJ$306&gt;AJ169)+(calc!$AI$3:$AI$306&lt;AI169)*(calc!$AJ$3:$AJ$306&lt;AJ169))&gt;0))-SUMPRODUCT(--(calc!$AD$3:$AD$306=TRUE),--(ROW(calc!$AD$3:$AD$306)&gt;ROW(AD169)),--(((calc!$AI$3:$AI$306&gt;AI169)*(calc!$AJ$3:$AJ$306&lt;AJ169)+(calc!$AI$3:$AI$306&lt;AI169)*(calc!$AJ$3:$AJ$306&gt;AJ169))&gt;0)),0)</f>
        <v/>
      </c>
      <c r="AL169" s="5">
        <f>IF(mos_metrics!J168="","",mos_metrics!J168)</f>
        <v/>
      </c>
      <c r="AM169" s="2">
        <f>AND($J169,ISNUMBER(AL169),correlation!$I$29=1)</f>
        <v/>
      </c>
      <c r="AN169" s="5">
        <f>IF(AM169,$F169,"")</f>
        <v/>
      </c>
      <c r="AO169" s="5">
        <f>IF(AM169,AL169*correlation!$J$29,"")</f>
        <v/>
      </c>
      <c r="AP169" s="5">
        <f>IF(AND(AM169,ISNUMBER(correlation!$F$29)),AO169*correlation!$F$29+correlation!$G$29,"")</f>
        <v/>
      </c>
      <c r="AQ169" s="5">
        <f>IF(AND(AM169,ISNUMBER(AP169)),(AN169-AP169)^2,"")</f>
        <v/>
      </c>
      <c r="AR169" s="5">
        <f>IF(AM169,1+SUMPRODUCT(--(calc!$AM$3:$AM$306=TRUE),--(calc!$AN$3:$AN$306&gt;AN169))+(SUMPRODUCT(--(calc!$AM$3:$AM$306=TRUE),--(calc!$AN$3:$AN$306=AN169))-1)/2,"")</f>
        <v/>
      </c>
      <c r="AS169" s="5">
        <f>IF(AM169,1+SUMPRODUCT(--(calc!$AM$3:$AM$306=TRUE),--(calc!$AO$3:$AO$306&gt;AO169))+(SUMPRODUCT(--(calc!$AM$3:$AM$306=TRUE),--(calc!$AO$3:$AO$306=AO169))-1)/2,"")</f>
        <v/>
      </c>
      <c r="AT169" s="5">
        <f>IF(AM169,SUMPRODUCT(--(calc!$AM$3:$AM$306=TRUE),--(ROW(calc!$AM$3:$AM$306)&gt;ROW(AM169)),--(((calc!$AR$3:$AR$306&gt;AR169)*(calc!$AS$3:$AS$306&gt;AS169)+(calc!$AR$3:$AR$306&lt;AR169)*(calc!$AS$3:$AS$306&lt;AS169))&gt;0))-SUMPRODUCT(--(calc!$AM$3:$AM$306=TRUE),--(ROW(calc!$AM$3:$AM$306)&gt;ROW(AM169)),--(((calc!$AR$3:$AR$306&gt;AR169)*(calc!$AS$3:$AS$306&lt;AS169)+(calc!$AR$3:$AR$306&lt;AR169)*(calc!$AS$3:$AS$306&gt;AS169))&gt;0)),0)</f>
        <v/>
      </c>
      <c r="AU169" s="5">
        <f>IF(mos_metrics!K168="","",mos_metrics!K168)</f>
        <v/>
      </c>
      <c r="AV169" s="2">
        <f>AND($J169,ISNUMBER(AU169),correlation!$I$30=1)</f>
        <v/>
      </c>
      <c r="AW169" s="5">
        <f>IF(AV169,$F169,"")</f>
        <v/>
      </c>
      <c r="AX169" s="5">
        <f>IF(AV169,AU169*correlation!$J$30,"")</f>
        <v/>
      </c>
      <c r="AY169" s="5">
        <f>IF(AND(AV169,ISNUMBER(correlation!$F$30)),AX169*correlation!$F$30+correlation!$G$30,"")</f>
        <v/>
      </c>
      <c r="AZ169" s="5">
        <f>IF(AND(AV169,ISNUMBER(AY169)),(AW169-AY169)^2,"")</f>
        <v/>
      </c>
      <c r="BA169" s="5">
        <f>IF(AV169,1+SUMPRODUCT(--(calc!$AV$3:$AV$306=TRUE),--(calc!$AW$3:$AW$306&gt;AW169))+(SUMPRODUCT(--(calc!$AV$3:$AV$306=TRUE),--(calc!$AW$3:$AW$306=AW169))-1)/2,"")</f>
        <v/>
      </c>
      <c r="BB169" s="5">
        <f>IF(AV169,1+SUMPRODUCT(--(calc!$AV$3:$AV$306=TRUE),--(calc!$AX$3:$AX$306&gt;AX169))+(SUMPRODUCT(--(calc!$AV$3:$AV$306=TRUE),--(calc!$AX$3:$AX$306=AX169))-1)/2,"")</f>
        <v/>
      </c>
      <c r="BC169" s="5">
        <f>IF(AV169,SUMPRODUCT(--(calc!$AV$3:$AV$306=TRUE),--(ROW(calc!$AV$3:$AV$306)&gt;ROW(AV169)),--(((calc!$BA$3:$BA$306&gt;BA169)*(calc!$BB$3:$BB$306&gt;BB169)+(calc!$BA$3:$BA$306&lt;BA169)*(calc!$BB$3:$BB$306&lt;BB169))&gt;0))-SUMPRODUCT(--(calc!$AV$3:$AV$306=TRUE),--(ROW(calc!$AV$3:$AV$306)&gt;ROW(AV169)),--(((calc!$BA$3:$BA$306&gt;BA169)*(calc!$BB$3:$BB$306&lt;BB169)+(calc!$BA$3:$BA$306&lt;BA169)*(calc!$BB$3:$BB$306&gt;BB169))&gt;0)),0)</f>
        <v/>
      </c>
      <c r="BD169" s="5">
        <f>IF(mos_metrics!L168="","",mos_metrics!L168)</f>
        <v/>
      </c>
      <c r="BE169" s="2">
        <f>AND($J169,ISNUMBER(BD169),correlation!$I$31=1)</f>
        <v/>
      </c>
      <c r="BF169" s="5">
        <f>IF(BE169,$F169,"")</f>
        <v/>
      </c>
      <c r="BG169" s="5">
        <f>IF(BE169,BD169*correlation!$J$31,"")</f>
        <v/>
      </c>
      <c r="BH169" s="5">
        <f>IF(AND(BE169,ISNUMBER(correlation!$F$31)),BG169*correlation!$F$31+correlation!$G$31,"")</f>
        <v/>
      </c>
      <c r="BI169" s="5">
        <f>IF(AND(BE169,ISNUMBER(BH169)),(BF169-BH169)^2,"")</f>
        <v/>
      </c>
      <c r="BJ169" s="5">
        <f>IF(BE169,1+SUMPRODUCT(--(calc!$BE$3:$BE$306=TRUE),--(calc!$BF$3:$BF$306&gt;BF169))+(SUMPRODUCT(--(calc!$BE$3:$BE$306=TRUE),--(calc!$BF$3:$BF$306=BF169))-1)/2,"")</f>
        <v/>
      </c>
      <c r="BK169" s="5">
        <f>IF(BE169,1+SUMPRODUCT(--(calc!$BE$3:$BE$306=TRUE),--(calc!$BG$3:$BG$306&gt;BG169))+(SUMPRODUCT(--(calc!$BE$3:$BE$306=TRUE),--(calc!$BG$3:$BG$306=BG169))-1)/2,"")</f>
        <v/>
      </c>
      <c r="BL169" s="5">
        <f>IF(BE169,SUMPRODUCT(--(calc!$BE$3:$BE$306=TRUE),--(ROW(calc!$BE$3:$BE$306)&gt;ROW(BE169)),--(((calc!$BJ$3:$BJ$306&gt;BJ169)*(calc!$BK$3:$BK$306&gt;BK169)+(calc!$BJ$3:$BJ$306&lt;BJ169)*(calc!$BK$3:$BK$306&lt;BK169))&gt;0))-SUMPRODUCT(--(calc!$BE$3:$BE$306=TRUE),--(ROW(calc!$BE$3:$BE$306)&gt;ROW(BE169)),--(((calc!$BJ$3:$BJ$306&gt;BJ169)*(calc!$BK$3:$BK$306&lt;BK169)+(calc!$BJ$3:$BJ$306&lt;BJ169)*(calc!$BK$3:$BK$306&gt;BK169))&gt;0)),0)</f>
        <v/>
      </c>
      <c r="BM169" s="5">
        <f>IF(mos_metrics!M168="","",mos_metrics!M168)</f>
        <v/>
      </c>
      <c r="BN169" s="2">
        <f>AND($J169,ISNUMBER(BM169),correlation!$I$32=1)</f>
        <v/>
      </c>
      <c r="BO169" s="5">
        <f>IF(BN169,$F169,"")</f>
        <v/>
      </c>
      <c r="BP169" s="5">
        <f>IF(BN169,BM169*correlation!$J$32,"")</f>
        <v/>
      </c>
      <c r="BQ169" s="5">
        <f>IF(AND(BN169,ISNUMBER(correlation!$F$32)),BP169*correlation!$F$32+correlation!$G$32,"")</f>
        <v/>
      </c>
      <c r="BR169" s="5">
        <f>IF(AND(BN169,ISNUMBER(BQ169)),(BO169-BQ169)^2,"")</f>
        <v/>
      </c>
      <c r="BS169" s="5">
        <f>IF(BN169,1+SUMPRODUCT(--(calc!$BN$3:$BN$306=TRUE),--(calc!$BO$3:$BO$306&gt;BO169))+(SUMPRODUCT(--(calc!$BN$3:$BN$306=TRUE),--(calc!$BO$3:$BO$306=BO169))-1)/2,"")</f>
        <v/>
      </c>
      <c r="BT169" s="5">
        <f>IF(BN169,1+SUMPRODUCT(--(calc!$BN$3:$BN$306=TRUE),--(calc!$BP$3:$BP$306&gt;BP169))+(SUMPRODUCT(--(calc!$BN$3:$BN$306=TRUE),--(calc!$BP$3:$BP$306=BP169))-1)/2,"")</f>
        <v/>
      </c>
      <c r="BU169" s="5">
        <f>IF(BN169,SUMPRODUCT(--(calc!$BN$3:$BN$306=TRUE),--(ROW(calc!$BN$3:$BN$306)&gt;ROW(BN169)),--(((calc!$BS$3:$BS$306&gt;BS169)*(calc!$BT$3:$BT$306&gt;BT169)+(calc!$BS$3:$BS$306&lt;BS169)*(calc!$BT$3:$BT$306&lt;BT169))&gt;0))-SUMPRODUCT(--(calc!$BN$3:$BN$306=TRUE),--(ROW(calc!$BN$3:$BN$306)&gt;ROW(BN169)),--(((calc!$BS$3:$BS$306&gt;BS169)*(calc!$BT$3:$BT$306&lt;BT169)+(calc!$BS$3:$BS$306&lt;BS169)*(calc!$BT$3:$BT$306&gt;BT169))&gt;0)),0)</f>
        <v/>
      </c>
    </row>
    <row r="170">
      <c r="A170" s="2">
        <f>mos_metrics!A169</f>
        <v/>
      </c>
      <c r="B170" s="2">
        <f>mos_metrics!B169</f>
        <v/>
      </c>
      <c r="C170" s="2">
        <f>mos_metrics!C169</f>
        <v/>
      </c>
      <c r="D170" s="2">
        <f>mos_metrics!D169</f>
        <v/>
      </c>
      <c r="E170" s="2">
        <f>mos_metrics!E169</f>
        <v/>
      </c>
      <c r="F170" s="2">
        <f>mos_metrics!F169</f>
        <v/>
      </c>
      <c r="G170" s="2">
        <f>IF($B170="","",IFERROR(VLOOKUP($B170,correlation!$A$2:$B$16,2,FALSE),1))</f>
        <v/>
      </c>
      <c r="H170" s="2">
        <f>IF($E170="","",IFERROR(VLOOKUP($E170,correlation!$D$2:$E$8,2,FALSE),1))</f>
        <v/>
      </c>
      <c r="I170" s="2">
        <f>ISNUMBER($F170)</f>
        <v/>
      </c>
      <c r="J170" s="2">
        <f>AND($G170=1,$H170=1,$I170)</f>
        <v/>
      </c>
      <c r="K170" s="5">
        <f>IF(mos_metrics!G169="","",mos_metrics!G169)</f>
        <v/>
      </c>
      <c r="L170" s="2">
        <f>AND($J170,ISNUMBER(K170),correlation!$I$26=1)</f>
        <v/>
      </c>
      <c r="M170" s="5">
        <f>IF(L170,$F170,"")</f>
        <v/>
      </c>
      <c r="N170" s="5">
        <f>IF(L170,K170*correlation!$J$26,"")</f>
        <v/>
      </c>
      <c r="O170" s="5">
        <f>IF(AND(L170,ISNUMBER(correlation!$F$26)),N170*correlation!$F$26+correlation!$G$26,"")</f>
        <v/>
      </c>
      <c r="P170" s="5">
        <f>IF(AND(L170,ISNUMBER(O170)),(M170-O170)^2,"")</f>
        <v/>
      </c>
      <c r="Q170" s="5">
        <f>IF(L170,1+SUMPRODUCT(--(calc!$L$3:$L$306=TRUE),--(calc!$M$3:$M$306&gt;M170))+(SUMPRODUCT(--(calc!$L$3:$L$306=TRUE),--(calc!$M$3:$M$306=M170))-1)/2,"")</f>
        <v/>
      </c>
      <c r="R170" s="5">
        <f>IF(L170,1+SUMPRODUCT(--(calc!$L$3:$L$306=TRUE),--(calc!$N$3:$N$306&gt;N170))+(SUMPRODUCT(--(calc!$L$3:$L$306=TRUE),--(calc!$N$3:$N$306=N170))-1)/2,"")</f>
        <v/>
      </c>
      <c r="S170" s="5">
        <f>IF(L170,SUMPRODUCT(--(calc!$L$3:$L$306=TRUE),--(ROW(calc!$L$3:$L$306)&gt;ROW(L170)),--(((calc!$Q$3:$Q$306&gt;Q170)*(calc!$R$3:$R$306&gt;R170)+(calc!$Q$3:$Q$306&lt;Q170)*(calc!$R$3:$R$306&lt;R170))&gt;0))-SUMPRODUCT(--(calc!$L$3:$L$306=TRUE),--(ROW(calc!$L$3:$L$306)&gt;ROW(L170)),--(((calc!$Q$3:$Q$306&gt;Q170)*(calc!$R$3:$R$306&lt;R170)+(calc!$Q$3:$Q$306&lt;Q170)*(calc!$R$3:$R$306&gt;R170))&gt;0)),0)</f>
        <v/>
      </c>
      <c r="T170" s="5">
        <f>IF(mos_metrics!H169="","",mos_metrics!H169)</f>
        <v/>
      </c>
      <c r="U170" s="2">
        <f>AND($J170,ISNUMBER(T170),correlation!$I$27=1)</f>
        <v/>
      </c>
      <c r="V170" s="5">
        <f>IF(U170,$F170,"")</f>
        <v/>
      </c>
      <c r="W170" s="5">
        <f>IF(U170,T170*correlation!$J$27,"")</f>
        <v/>
      </c>
      <c r="X170" s="5">
        <f>IF(AND(U170,ISNUMBER(correlation!$F$27)),W170*correlation!$F$27+correlation!$G$27,"")</f>
        <v/>
      </c>
      <c r="Y170" s="5">
        <f>IF(AND(U170,ISNUMBER(X170)),(V170-X170)^2,"")</f>
        <v/>
      </c>
      <c r="Z170" s="5">
        <f>IF(U170,1+SUMPRODUCT(--(calc!$U$3:$U$306=TRUE),--(calc!$V$3:$V$306&gt;V170))+(SUMPRODUCT(--(calc!$U$3:$U$306=TRUE),--(calc!$V$3:$V$306=V170))-1)/2,"")</f>
        <v/>
      </c>
      <c r="AA170" s="5">
        <f>IF(U170,1+SUMPRODUCT(--(calc!$U$3:$U$306=TRUE),--(calc!$W$3:$W$306&gt;W170))+(SUMPRODUCT(--(calc!$U$3:$U$306=TRUE),--(calc!$W$3:$W$306=W170))-1)/2,"")</f>
        <v/>
      </c>
      <c r="AB170" s="5">
        <f>IF(U170,SUMPRODUCT(--(calc!$U$3:$U$306=TRUE),--(ROW(calc!$U$3:$U$306)&gt;ROW(U170)),--(((calc!$Z$3:$Z$306&gt;Z170)*(calc!$AA$3:$AA$306&gt;AA170)+(calc!$Z$3:$Z$306&lt;Z170)*(calc!$AA$3:$AA$306&lt;AA170))&gt;0))-SUMPRODUCT(--(calc!$U$3:$U$306=TRUE),--(ROW(calc!$U$3:$U$306)&gt;ROW(U170)),--(((calc!$Z$3:$Z$306&gt;Z170)*(calc!$AA$3:$AA$306&lt;AA170)+(calc!$Z$3:$Z$306&lt;Z170)*(calc!$AA$3:$AA$306&gt;AA170))&gt;0)),0)</f>
        <v/>
      </c>
      <c r="AC170" s="5">
        <f>IF(mos_metrics!I169="","",mos_metrics!I169)</f>
        <v/>
      </c>
      <c r="AD170" s="2">
        <f>AND($J170,ISNUMBER(AC170),correlation!$I$28=1)</f>
        <v/>
      </c>
      <c r="AE170" s="5">
        <f>IF(AD170,$F170,"")</f>
        <v/>
      </c>
      <c r="AF170" s="5">
        <f>IF(AD170,AC170*correlation!$J$28,"")</f>
        <v/>
      </c>
      <c r="AG170" s="5">
        <f>IF(AND(AD170,ISNUMBER(correlation!$F$28)),AF170*correlation!$F$28+correlation!$G$28,"")</f>
        <v/>
      </c>
      <c r="AH170" s="5">
        <f>IF(AND(AD170,ISNUMBER(AG170)),(AE170-AG170)^2,"")</f>
        <v/>
      </c>
      <c r="AI170" s="5">
        <f>IF(AD170,1+SUMPRODUCT(--(calc!$AD$3:$AD$306=TRUE),--(calc!$AE$3:$AE$306&gt;AE170))+(SUMPRODUCT(--(calc!$AD$3:$AD$306=TRUE),--(calc!$AE$3:$AE$306=AE170))-1)/2,"")</f>
        <v/>
      </c>
      <c r="AJ170" s="5">
        <f>IF(AD170,1+SUMPRODUCT(--(calc!$AD$3:$AD$306=TRUE),--(calc!$AF$3:$AF$306&gt;AF170))+(SUMPRODUCT(--(calc!$AD$3:$AD$306=TRUE),--(calc!$AF$3:$AF$306=AF170))-1)/2,"")</f>
        <v/>
      </c>
      <c r="AK170" s="5">
        <f>IF(AD170,SUMPRODUCT(--(calc!$AD$3:$AD$306=TRUE),--(ROW(calc!$AD$3:$AD$306)&gt;ROW(AD170)),--(((calc!$AI$3:$AI$306&gt;AI170)*(calc!$AJ$3:$AJ$306&gt;AJ170)+(calc!$AI$3:$AI$306&lt;AI170)*(calc!$AJ$3:$AJ$306&lt;AJ170))&gt;0))-SUMPRODUCT(--(calc!$AD$3:$AD$306=TRUE),--(ROW(calc!$AD$3:$AD$306)&gt;ROW(AD170)),--(((calc!$AI$3:$AI$306&gt;AI170)*(calc!$AJ$3:$AJ$306&lt;AJ170)+(calc!$AI$3:$AI$306&lt;AI170)*(calc!$AJ$3:$AJ$306&gt;AJ170))&gt;0)),0)</f>
        <v/>
      </c>
      <c r="AL170" s="5">
        <f>IF(mos_metrics!J169="","",mos_metrics!J169)</f>
        <v/>
      </c>
      <c r="AM170" s="2">
        <f>AND($J170,ISNUMBER(AL170),correlation!$I$29=1)</f>
        <v/>
      </c>
      <c r="AN170" s="5">
        <f>IF(AM170,$F170,"")</f>
        <v/>
      </c>
      <c r="AO170" s="5">
        <f>IF(AM170,AL170*correlation!$J$29,"")</f>
        <v/>
      </c>
      <c r="AP170" s="5">
        <f>IF(AND(AM170,ISNUMBER(correlation!$F$29)),AO170*correlation!$F$29+correlation!$G$29,"")</f>
        <v/>
      </c>
      <c r="AQ170" s="5">
        <f>IF(AND(AM170,ISNUMBER(AP170)),(AN170-AP170)^2,"")</f>
        <v/>
      </c>
      <c r="AR170" s="5">
        <f>IF(AM170,1+SUMPRODUCT(--(calc!$AM$3:$AM$306=TRUE),--(calc!$AN$3:$AN$306&gt;AN170))+(SUMPRODUCT(--(calc!$AM$3:$AM$306=TRUE),--(calc!$AN$3:$AN$306=AN170))-1)/2,"")</f>
        <v/>
      </c>
      <c r="AS170" s="5">
        <f>IF(AM170,1+SUMPRODUCT(--(calc!$AM$3:$AM$306=TRUE),--(calc!$AO$3:$AO$306&gt;AO170))+(SUMPRODUCT(--(calc!$AM$3:$AM$306=TRUE),--(calc!$AO$3:$AO$306=AO170))-1)/2,"")</f>
        <v/>
      </c>
      <c r="AT170" s="5">
        <f>IF(AM170,SUMPRODUCT(--(calc!$AM$3:$AM$306=TRUE),--(ROW(calc!$AM$3:$AM$306)&gt;ROW(AM170)),--(((calc!$AR$3:$AR$306&gt;AR170)*(calc!$AS$3:$AS$306&gt;AS170)+(calc!$AR$3:$AR$306&lt;AR170)*(calc!$AS$3:$AS$306&lt;AS170))&gt;0))-SUMPRODUCT(--(calc!$AM$3:$AM$306=TRUE),--(ROW(calc!$AM$3:$AM$306)&gt;ROW(AM170)),--(((calc!$AR$3:$AR$306&gt;AR170)*(calc!$AS$3:$AS$306&lt;AS170)+(calc!$AR$3:$AR$306&lt;AR170)*(calc!$AS$3:$AS$306&gt;AS170))&gt;0)),0)</f>
        <v/>
      </c>
      <c r="AU170" s="5">
        <f>IF(mos_metrics!K169="","",mos_metrics!K169)</f>
        <v/>
      </c>
      <c r="AV170" s="2">
        <f>AND($J170,ISNUMBER(AU170),correlation!$I$30=1)</f>
        <v/>
      </c>
      <c r="AW170" s="5">
        <f>IF(AV170,$F170,"")</f>
        <v/>
      </c>
      <c r="AX170" s="5">
        <f>IF(AV170,AU170*correlation!$J$30,"")</f>
        <v/>
      </c>
      <c r="AY170" s="5">
        <f>IF(AND(AV170,ISNUMBER(correlation!$F$30)),AX170*correlation!$F$30+correlation!$G$30,"")</f>
        <v/>
      </c>
      <c r="AZ170" s="5">
        <f>IF(AND(AV170,ISNUMBER(AY170)),(AW170-AY170)^2,"")</f>
        <v/>
      </c>
      <c r="BA170" s="5">
        <f>IF(AV170,1+SUMPRODUCT(--(calc!$AV$3:$AV$306=TRUE),--(calc!$AW$3:$AW$306&gt;AW170))+(SUMPRODUCT(--(calc!$AV$3:$AV$306=TRUE),--(calc!$AW$3:$AW$306=AW170))-1)/2,"")</f>
        <v/>
      </c>
      <c r="BB170" s="5">
        <f>IF(AV170,1+SUMPRODUCT(--(calc!$AV$3:$AV$306=TRUE),--(calc!$AX$3:$AX$306&gt;AX170))+(SUMPRODUCT(--(calc!$AV$3:$AV$306=TRUE),--(calc!$AX$3:$AX$306=AX170))-1)/2,"")</f>
        <v/>
      </c>
      <c r="BC170" s="5">
        <f>IF(AV170,SUMPRODUCT(--(calc!$AV$3:$AV$306=TRUE),--(ROW(calc!$AV$3:$AV$306)&gt;ROW(AV170)),--(((calc!$BA$3:$BA$306&gt;BA170)*(calc!$BB$3:$BB$306&gt;BB170)+(calc!$BA$3:$BA$306&lt;BA170)*(calc!$BB$3:$BB$306&lt;BB170))&gt;0))-SUMPRODUCT(--(calc!$AV$3:$AV$306=TRUE),--(ROW(calc!$AV$3:$AV$306)&gt;ROW(AV170)),--(((calc!$BA$3:$BA$306&gt;BA170)*(calc!$BB$3:$BB$306&lt;BB170)+(calc!$BA$3:$BA$306&lt;BA170)*(calc!$BB$3:$BB$306&gt;BB170))&gt;0)),0)</f>
        <v/>
      </c>
      <c r="BD170" s="5">
        <f>IF(mos_metrics!L169="","",mos_metrics!L169)</f>
        <v/>
      </c>
      <c r="BE170" s="2">
        <f>AND($J170,ISNUMBER(BD170),correlation!$I$31=1)</f>
        <v/>
      </c>
      <c r="BF170" s="5">
        <f>IF(BE170,$F170,"")</f>
        <v/>
      </c>
      <c r="BG170" s="5">
        <f>IF(BE170,BD170*correlation!$J$31,"")</f>
        <v/>
      </c>
      <c r="BH170" s="5">
        <f>IF(AND(BE170,ISNUMBER(correlation!$F$31)),BG170*correlation!$F$31+correlation!$G$31,"")</f>
        <v/>
      </c>
      <c r="BI170" s="5">
        <f>IF(AND(BE170,ISNUMBER(BH170)),(BF170-BH170)^2,"")</f>
        <v/>
      </c>
      <c r="BJ170" s="5">
        <f>IF(BE170,1+SUMPRODUCT(--(calc!$BE$3:$BE$306=TRUE),--(calc!$BF$3:$BF$306&gt;BF170))+(SUMPRODUCT(--(calc!$BE$3:$BE$306=TRUE),--(calc!$BF$3:$BF$306=BF170))-1)/2,"")</f>
        <v/>
      </c>
      <c r="BK170" s="5">
        <f>IF(BE170,1+SUMPRODUCT(--(calc!$BE$3:$BE$306=TRUE),--(calc!$BG$3:$BG$306&gt;BG170))+(SUMPRODUCT(--(calc!$BE$3:$BE$306=TRUE),--(calc!$BG$3:$BG$306=BG170))-1)/2,"")</f>
        <v/>
      </c>
      <c r="BL170" s="5">
        <f>IF(BE170,SUMPRODUCT(--(calc!$BE$3:$BE$306=TRUE),--(ROW(calc!$BE$3:$BE$306)&gt;ROW(BE170)),--(((calc!$BJ$3:$BJ$306&gt;BJ170)*(calc!$BK$3:$BK$306&gt;BK170)+(calc!$BJ$3:$BJ$306&lt;BJ170)*(calc!$BK$3:$BK$306&lt;BK170))&gt;0))-SUMPRODUCT(--(calc!$BE$3:$BE$306=TRUE),--(ROW(calc!$BE$3:$BE$306)&gt;ROW(BE170)),--(((calc!$BJ$3:$BJ$306&gt;BJ170)*(calc!$BK$3:$BK$306&lt;BK170)+(calc!$BJ$3:$BJ$306&lt;BJ170)*(calc!$BK$3:$BK$306&gt;BK170))&gt;0)),0)</f>
        <v/>
      </c>
      <c r="BM170" s="5">
        <f>IF(mos_metrics!M169="","",mos_metrics!M169)</f>
        <v/>
      </c>
      <c r="BN170" s="2">
        <f>AND($J170,ISNUMBER(BM170),correlation!$I$32=1)</f>
        <v/>
      </c>
      <c r="BO170" s="5">
        <f>IF(BN170,$F170,"")</f>
        <v/>
      </c>
      <c r="BP170" s="5">
        <f>IF(BN170,BM170*correlation!$J$32,"")</f>
        <v/>
      </c>
      <c r="BQ170" s="5">
        <f>IF(AND(BN170,ISNUMBER(correlation!$F$32)),BP170*correlation!$F$32+correlation!$G$32,"")</f>
        <v/>
      </c>
      <c r="BR170" s="5">
        <f>IF(AND(BN170,ISNUMBER(BQ170)),(BO170-BQ170)^2,"")</f>
        <v/>
      </c>
      <c r="BS170" s="5">
        <f>IF(BN170,1+SUMPRODUCT(--(calc!$BN$3:$BN$306=TRUE),--(calc!$BO$3:$BO$306&gt;BO170))+(SUMPRODUCT(--(calc!$BN$3:$BN$306=TRUE),--(calc!$BO$3:$BO$306=BO170))-1)/2,"")</f>
        <v/>
      </c>
      <c r="BT170" s="5">
        <f>IF(BN170,1+SUMPRODUCT(--(calc!$BN$3:$BN$306=TRUE),--(calc!$BP$3:$BP$306&gt;BP170))+(SUMPRODUCT(--(calc!$BN$3:$BN$306=TRUE),--(calc!$BP$3:$BP$306=BP170))-1)/2,"")</f>
        <v/>
      </c>
      <c r="BU170" s="5">
        <f>IF(BN170,SUMPRODUCT(--(calc!$BN$3:$BN$306=TRUE),--(ROW(calc!$BN$3:$BN$306)&gt;ROW(BN170)),--(((calc!$BS$3:$BS$306&gt;BS170)*(calc!$BT$3:$BT$306&gt;BT170)+(calc!$BS$3:$BS$306&lt;BS170)*(calc!$BT$3:$BT$306&lt;BT170))&gt;0))-SUMPRODUCT(--(calc!$BN$3:$BN$306=TRUE),--(ROW(calc!$BN$3:$BN$306)&gt;ROW(BN170)),--(((calc!$BS$3:$BS$306&gt;BS170)*(calc!$BT$3:$BT$306&lt;BT170)+(calc!$BS$3:$BS$306&lt;BS170)*(calc!$BT$3:$BT$306&gt;BT170))&gt;0)),0)</f>
        <v/>
      </c>
    </row>
    <row r="171">
      <c r="A171" s="2">
        <f>mos_metrics!A170</f>
        <v/>
      </c>
      <c r="B171" s="2">
        <f>mos_metrics!B170</f>
        <v/>
      </c>
      <c r="C171" s="2">
        <f>mos_metrics!C170</f>
        <v/>
      </c>
      <c r="D171" s="2">
        <f>mos_metrics!D170</f>
        <v/>
      </c>
      <c r="E171" s="2">
        <f>mos_metrics!E170</f>
        <v/>
      </c>
      <c r="F171" s="2">
        <f>mos_metrics!F170</f>
        <v/>
      </c>
      <c r="G171" s="2">
        <f>IF($B171="","",IFERROR(VLOOKUP($B171,correlation!$A$2:$B$16,2,FALSE),1))</f>
        <v/>
      </c>
      <c r="H171" s="2">
        <f>IF($E171="","",IFERROR(VLOOKUP($E171,correlation!$D$2:$E$8,2,FALSE),1))</f>
        <v/>
      </c>
      <c r="I171" s="2">
        <f>ISNUMBER($F171)</f>
        <v/>
      </c>
      <c r="J171" s="2">
        <f>AND($G171=1,$H171=1,$I171)</f>
        <v/>
      </c>
      <c r="K171" s="5">
        <f>IF(mos_metrics!G170="","",mos_metrics!G170)</f>
        <v/>
      </c>
      <c r="L171" s="2">
        <f>AND($J171,ISNUMBER(K171),correlation!$I$26=1)</f>
        <v/>
      </c>
      <c r="M171" s="5">
        <f>IF(L171,$F171,"")</f>
        <v/>
      </c>
      <c r="N171" s="5">
        <f>IF(L171,K171*correlation!$J$26,"")</f>
        <v/>
      </c>
      <c r="O171" s="5">
        <f>IF(AND(L171,ISNUMBER(correlation!$F$26)),N171*correlation!$F$26+correlation!$G$26,"")</f>
        <v/>
      </c>
      <c r="P171" s="5">
        <f>IF(AND(L171,ISNUMBER(O171)),(M171-O171)^2,"")</f>
        <v/>
      </c>
      <c r="Q171" s="5">
        <f>IF(L171,1+SUMPRODUCT(--(calc!$L$3:$L$306=TRUE),--(calc!$M$3:$M$306&gt;M171))+(SUMPRODUCT(--(calc!$L$3:$L$306=TRUE),--(calc!$M$3:$M$306=M171))-1)/2,"")</f>
        <v/>
      </c>
      <c r="R171" s="5">
        <f>IF(L171,1+SUMPRODUCT(--(calc!$L$3:$L$306=TRUE),--(calc!$N$3:$N$306&gt;N171))+(SUMPRODUCT(--(calc!$L$3:$L$306=TRUE),--(calc!$N$3:$N$306=N171))-1)/2,"")</f>
        <v/>
      </c>
      <c r="S171" s="5">
        <f>IF(L171,SUMPRODUCT(--(calc!$L$3:$L$306=TRUE),--(ROW(calc!$L$3:$L$306)&gt;ROW(L171)),--(((calc!$Q$3:$Q$306&gt;Q171)*(calc!$R$3:$R$306&gt;R171)+(calc!$Q$3:$Q$306&lt;Q171)*(calc!$R$3:$R$306&lt;R171))&gt;0))-SUMPRODUCT(--(calc!$L$3:$L$306=TRUE),--(ROW(calc!$L$3:$L$306)&gt;ROW(L171)),--(((calc!$Q$3:$Q$306&gt;Q171)*(calc!$R$3:$R$306&lt;R171)+(calc!$Q$3:$Q$306&lt;Q171)*(calc!$R$3:$R$306&gt;R171))&gt;0)),0)</f>
        <v/>
      </c>
      <c r="T171" s="5">
        <f>IF(mos_metrics!H170="","",mos_metrics!H170)</f>
        <v/>
      </c>
      <c r="U171" s="2">
        <f>AND($J171,ISNUMBER(T171),correlation!$I$27=1)</f>
        <v/>
      </c>
      <c r="V171" s="5">
        <f>IF(U171,$F171,"")</f>
        <v/>
      </c>
      <c r="W171" s="5">
        <f>IF(U171,T171*correlation!$J$27,"")</f>
        <v/>
      </c>
      <c r="X171" s="5">
        <f>IF(AND(U171,ISNUMBER(correlation!$F$27)),W171*correlation!$F$27+correlation!$G$27,"")</f>
        <v/>
      </c>
      <c r="Y171" s="5">
        <f>IF(AND(U171,ISNUMBER(X171)),(V171-X171)^2,"")</f>
        <v/>
      </c>
      <c r="Z171" s="5">
        <f>IF(U171,1+SUMPRODUCT(--(calc!$U$3:$U$306=TRUE),--(calc!$V$3:$V$306&gt;V171))+(SUMPRODUCT(--(calc!$U$3:$U$306=TRUE),--(calc!$V$3:$V$306=V171))-1)/2,"")</f>
        <v/>
      </c>
      <c r="AA171" s="5">
        <f>IF(U171,1+SUMPRODUCT(--(calc!$U$3:$U$306=TRUE),--(calc!$W$3:$W$306&gt;W171))+(SUMPRODUCT(--(calc!$U$3:$U$306=TRUE),--(calc!$W$3:$W$306=W171))-1)/2,"")</f>
        <v/>
      </c>
      <c r="AB171" s="5">
        <f>IF(U171,SUMPRODUCT(--(calc!$U$3:$U$306=TRUE),--(ROW(calc!$U$3:$U$306)&gt;ROW(U171)),--(((calc!$Z$3:$Z$306&gt;Z171)*(calc!$AA$3:$AA$306&gt;AA171)+(calc!$Z$3:$Z$306&lt;Z171)*(calc!$AA$3:$AA$306&lt;AA171))&gt;0))-SUMPRODUCT(--(calc!$U$3:$U$306=TRUE),--(ROW(calc!$U$3:$U$306)&gt;ROW(U171)),--(((calc!$Z$3:$Z$306&gt;Z171)*(calc!$AA$3:$AA$306&lt;AA171)+(calc!$Z$3:$Z$306&lt;Z171)*(calc!$AA$3:$AA$306&gt;AA171))&gt;0)),0)</f>
        <v/>
      </c>
      <c r="AC171" s="5">
        <f>IF(mos_metrics!I170="","",mos_metrics!I170)</f>
        <v/>
      </c>
      <c r="AD171" s="2">
        <f>AND($J171,ISNUMBER(AC171),correlation!$I$28=1)</f>
        <v/>
      </c>
      <c r="AE171" s="5">
        <f>IF(AD171,$F171,"")</f>
        <v/>
      </c>
      <c r="AF171" s="5">
        <f>IF(AD171,AC171*correlation!$J$28,"")</f>
        <v/>
      </c>
      <c r="AG171" s="5">
        <f>IF(AND(AD171,ISNUMBER(correlation!$F$28)),AF171*correlation!$F$28+correlation!$G$28,"")</f>
        <v/>
      </c>
      <c r="AH171" s="5">
        <f>IF(AND(AD171,ISNUMBER(AG171)),(AE171-AG171)^2,"")</f>
        <v/>
      </c>
      <c r="AI171" s="5">
        <f>IF(AD171,1+SUMPRODUCT(--(calc!$AD$3:$AD$306=TRUE),--(calc!$AE$3:$AE$306&gt;AE171))+(SUMPRODUCT(--(calc!$AD$3:$AD$306=TRUE),--(calc!$AE$3:$AE$306=AE171))-1)/2,"")</f>
        <v/>
      </c>
      <c r="AJ171" s="5">
        <f>IF(AD171,1+SUMPRODUCT(--(calc!$AD$3:$AD$306=TRUE),--(calc!$AF$3:$AF$306&gt;AF171))+(SUMPRODUCT(--(calc!$AD$3:$AD$306=TRUE),--(calc!$AF$3:$AF$306=AF171))-1)/2,"")</f>
        <v/>
      </c>
      <c r="AK171" s="5">
        <f>IF(AD171,SUMPRODUCT(--(calc!$AD$3:$AD$306=TRUE),--(ROW(calc!$AD$3:$AD$306)&gt;ROW(AD171)),--(((calc!$AI$3:$AI$306&gt;AI171)*(calc!$AJ$3:$AJ$306&gt;AJ171)+(calc!$AI$3:$AI$306&lt;AI171)*(calc!$AJ$3:$AJ$306&lt;AJ171))&gt;0))-SUMPRODUCT(--(calc!$AD$3:$AD$306=TRUE),--(ROW(calc!$AD$3:$AD$306)&gt;ROW(AD171)),--(((calc!$AI$3:$AI$306&gt;AI171)*(calc!$AJ$3:$AJ$306&lt;AJ171)+(calc!$AI$3:$AI$306&lt;AI171)*(calc!$AJ$3:$AJ$306&gt;AJ171))&gt;0)),0)</f>
        <v/>
      </c>
      <c r="AL171" s="5">
        <f>IF(mos_metrics!J170="","",mos_metrics!J170)</f>
        <v/>
      </c>
      <c r="AM171" s="2">
        <f>AND($J171,ISNUMBER(AL171),correlation!$I$29=1)</f>
        <v/>
      </c>
      <c r="AN171" s="5">
        <f>IF(AM171,$F171,"")</f>
        <v/>
      </c>
      <c r="AO171" s="5">
        <f>IF(AM171,AL171*correlation!$J$29,"")</f>
        <v/>
      </c>
      <c r="AP171" s="5">
        <f>IF(AND(AM171,ISNUMBER(correlation!$F$29)),AO171*correlation!$F$29+correlation!$G$29,"")</f>
        <v/>
      </c>
      <c r="AQ171" s="5">
        <f>IF(AND(AM171,ISNUMBER(AP171)),(AN171-AP171)^2,"")</f>
        <v/>
      </c>
      <c r="AR171" s="5">
        <f>IF(AM171,1+SUMPRODUCT(--(calc!$AM$3:$AM$306=TRUE),--(calc!$AN$3:$AN$306&gt;AN171))+(SUMPRODUCT(--(calc!$AM$3:$AM$306=TRUE),--(calc!$AN$3:$AN$306=AN171))-1)/2,"")</f>
        <v/>
      </c>
      <c r="AS171" s="5">
        <f>IF(AM171,1+SUMPRODUCT(--(calc!$AM$3:$AM$306=TRUE),--(calc!$AO$3:$AO$306&gt;AO171))+(SUMPRODUCT(--(calc!$AM$3:$AM$306=TRUE),--(calc!$AO$3:$AO$306=AO171))-1)/2,"")</f>
        <v/>
      </c>
      <c r="AT171" s="5">
        <f>IF(AM171,SUMPRODUCT(--(calc!$AM$3:$AM$306=TRUE),--(ROW(calc!$AM$3:$AM$306)&gt;ROW(AM171)),--(((calc!$AR$3:$AR$306&gt;AR171)*(calc!$AS$3:$AS$306&gt;AS171)+(calc!$AR$3:$AR$306&lt;AR171)*(calc!$AS$3:$AS$306&lt;AS171))&gt;0))-SUMPRODUCT(--(calc!$AM$3:$AM$306=TRUE),--(ROW(calc!$AM$3:$AM$306)&gt;ROW(AM171)),--(((calc!$AR$3:$AR$306&gt;AR171)*(calc!$AS$3:$AS$306&lt;AS171)+(calc!$AR$3:$AR$306&lt;AR171)*(calc!$AS$3:$AS$306&gt;AS171))&gt;0)),0)</f>
        <v/>
      </c>
      <c r="AU171" s="5">
        <f>IF(mos_metrics!K170="","",mos_metrics!K170)</f>
        <v/>
      </c>
      <c r="AV171" s="2">
        <f>AND($J171,ISNUMBER(AU171),correlation!$I$30=1)</f>
        <v/>
      </c>
      <c r="AW171" s="5">
        <f>IF(AV171,$F171,"")</f>
        <v/>
      </c>
      <c r="AX171" s="5">
        <f>IF(AV171,AU171*correlation!$J$30,"")</f>
        <v/>
      </c>
      <c r="AY171" s="5">
        <f>IF(AND(AV171,ISNUMBER(correlation!$F$30)),AX171*correlation!$F$30+correlation!$G$30,"")</f>
        <v/>
      </c>
      <c r="AZ171" s="5">
        <f>IF(AND(AV171,ISNUMBER(AY171)),(AW171-AY171)^2,"")</f>
        <v/>
      </c>
      <c r="BA171" s="5">
        <f>IF(AV171,1+SUMPRODUCT(--(calc!$AV$3:$AV$306=TRUE),--(calc!$AW$3:$AW$306&gt;AW171))+(SUMPRODUCT(--(calc!$AV$3:$AV$306=TRUE),--(calc!$AW$3:$AW$306=AW171))-1)/2,"")</f>
        <v/>
      </c>
      <c r="BB171" s="5">
        <f>IF(AV171,1+SUMPRODUCT(--(calc!$AV$3:$AV$306=TRUE),--(calc!$AX$3:$AX$306&gt;AX171))+(SUMPRODUCT(--(calc!$AV$3:$AV$306=TRUE),--(calc!$AX$3:$AX$306=AX171))-1)/2,"")</f>
        <v/>
      </c>
      <c r="BC171" s="5">
        <f>IF(AV171,SUMPRODUCT(--(calc!$AV$3:$AV$306=TRUE),--(ROW(calc!$AV$3:$AV$306)&gt;ROW(AV171)),--(((calc!$BA$3:$BA$306&gt;BA171)*(calc!$BB$3:$BB$306&gt;BB171)+(calc!$BA$3:$BA$306&lt;BA171)*(calc!$BB$3:$BB$306&lt;BB171))&gt;0))-SUMPRODUCT(--(calc!$AV$3:$AV$306=TRUE),--(ROW(calc!$AV$3:$AV$306)&gt;ROW(AV171)),--(((calc!$BA$3:$BA$306&gt;BA171)*(calc!$BB$3:$BB$306&lt;BB171)+(calc!$BA$3:$BA$306&lt;BA171)*(calc!$BB$3:$BB$306&gt;BB171))&gt;0)),0)</f>
        <v/>
      </c>
      <c r="BD171" s="5">
        <f>IF(mos_metrics!L170="","",mos_metrics!L170)</f>
        <v/>
      </c>
      <c r="BE171" s="2">
        <f>AND($J171,ISNUMBER(BD171),correlation!$I$31=1)</f>
        <v/>
      </c>
      <c r="BF171" s="5">
        <f>IF(BE171,$F171,"")</f>
        <v/>
      </c>
      <c r="BG171" s="5">
        <f>IF(BE171,BD171*correlation!$J$31,"")</f>
        <v/>
      </c>
      <c r="BH171" s="5">
        <f>IF(AND(BE171,ISNUMBER(correlation!$F$31)),BG171*correlation!$F$31+correlation!$G$31,"")</f>
        <v/>
      </c>
      <c r="BI171" s="5">
        <f>IF(AND(BE171,ISNUMBER(BH171)),(BF171-BH171)^2,"")</f>
        <v/>
      </c>
      <c r="BJ171" s="5">
        <f>IF(BE171,1+SUMPRODUCT(--(calc!$BE$3:$BE$306=TRUE),--(calc!$BF$3:$BF$306&gt;BF171))+(SUMPRODUCT(--(calc!$BE$3:$BE$306=TRUE),--(calc!$BF$3:$BF$306=BF171))-1)/2,"")</f>
        <v/>
      </c>
      <c r="BK171" s="5">
        <f>IF(BE171,1+SUMPRODUCT(--(calc!$BE$3:$BE$306=TRUE),--(calc!$BG$3:$BG$306&gt;BG171))+(SUMPRODUCT(--(calc!$BE$3:$BE$306=TRUE),--(calc!$BG$3:$BG$306=BG171))-1)/2,"")</f>
        <v/>
      </c>
      <c r="BL171" s="5">
        <f>IF(BE171,SUMPRODUCT(--(calc!$BE$3:$BE$306=TRUE),--(ROW(calc!$BE$3:$BE$306)&gt;ROW(BE171)),--(((calc!$BJ$3:$BJ$306&gt;BJ171)*(calc!$BK$3:$BK$306&gt;BK171)+(calc!$BJ$3:$BJ$306&lt;BJ171)*(calc!$BK$3:$BK$306&lt;BK171))&gt;0))-SUMPRODUCT(--(calc!$BE$3:$BE$306=TRUE),--(ROW(calc!$BE$3:$BE$306)&gt;ROW(BE171)),--(((calc!$BJ$3:$BJ$306&gt;BJ171)*(calc!$BK$3:$BK$306&lt;BK171)+(calc!$BJ$3:$BJ$306&lt;BJ171)*(calc!$BK$3:$BK$306&gt;BK171))&gt;0)),0)</f>
        <v/>
      </c>
      <c r="BM171" s="5">
        <f>IF(mos_metrics!M170="","",mos_metrics!M170)</f>
        <v/>
      </c>
      <c r="BN171" s="2">
        <f>AND($J171,ISNUMBER(BM171),correlation!$I$32=1)</f>
        <v/>
      </c>
      <c r="BO171" s="5">
        <f>IF(BN171,$F171,"")</f>
        <v/>
      </c>
      <c r="BP171" s="5">
        <f>IF(BN171,BM171*correlation!$J$32,"")</f>
        <v/>
      </c>
      <c r="BQ171" s="5">
        <f>IF(AND(BN171,ISNUMBER(correlation!$F$32)),BP171*correlation!$F$32+correlation!$G$32,"")</f>
        <v/>
      </c>
      <c r="BR171" s="5">
        <f>IF(AND(BN171,ISNUMBER(BQ171)),(BO171-BQ171)^2,"")</f>
        <v/>
      </c>
      <c r="BS171" s="5">
        <f>IF(BN171,1+SUMPRODUCT(--(calc!$BN$3:$BN$306=TRUE),--(calc!$BO$3:$BO$306&gt;BO171))+(SUMPRODUCT(--(calc!$BN$3:$BN$306=TRUE),--(calc!$BO$3:$BO$306=BO171))-1)/2,"")</f>
        <v/>
      </c>
      <c r="BT171" s="5">
        <f>IF(BN171,1+SUMPRODUCT(--(calc!$BN$3:$BN$306=TRUE),--(calc!$BP$3:$BP$306&gt;BP171))+(SUMPRODUCT(--(calc!$BN$3:$BN$306=TRUE),--(calc!$BP$3:$BP$306=BP171))-1)/2,"")</f>
        <v/>
      </c>
      <c r="BU171" s="5">
        <f>IF(BN171,SUMPRODUCT(--(calc!$BN$3:$BN$306=TRUE),--(ROW(calc!$BN$3:$BN$306)&gt;ROW(BN171)),--(((calc!$BS$3:$BS$306&gt;BS171)*(calc!$BT$3:$BT$306&gt;BT171)+(calc!$BS$3:$BS$306&lt;BS171)*(calc!$BT$3:$BT$306&lt;BT171))&gt;0))-SUMPRODUCT(--(calc!$BN$3:$BN$306=TRUE),--(ROW(calc!$BN$3:$BN$306)&gt;ROW(BN171)),--(((calc!$BS$3:$BS$306&gt;BS171)*(calc!$BT$3:$BT$306&lt;BT171)+(calc!$BS$3:$BS$306&lt;BS171)*(calc!$BT$3:$BT$306&gt;BT171))&gt;0)),0)</f>
        <v/>
      </c>
    </row>
    <row r="172">
      <c r="A172" s="2">
        <f>mos_metrics!A171</f>
        <v/>
      </c>
      <c r="B172" s="2">
        <f>mos_metrics!B171</f>
        <v/>
      </c>
      <c r="C172" s="2">
        <f>mos_metrics!C171</f>
        <v/>
      </c>
      <c r="D172" s="2">
        <f>mos_metrics!D171</f>
        <v/>
      </c>
      <c r="E172" s="2">
        <f>mos_metrics!E171</f>
        <v/>
      </c>
      <c r="F172" s="2">
        <f>mos_metrics!F171</f>
        <v/>
      </c>
      <c r="G172" s="2">
        <f>IF($B172="","",IFERROR(VLOOKUP($B172,correlation!$A$2:$B$16,2,FALSE),1))</f>
        <v/>
      </c>
      <c r="H172" s="2">
        <f>IF($E172="","",IFERROR(VLOOKUP($E172,correlation!$D$2:$E$8,2,FALSE),1))</f>
        <v/>
      </c>
      <c r="I172" s="2">
        <f>ISNUMBER($F172)</f>
        <v/>
      </c>
      <c r="J172" s="2">
        <f>AND($G172=1,$H172=1,$I172)</f>
        <v/>
      </c>
      <c r="K172" s="5">
        <f>IF(mos_metrics!G171="","",mos_metrics!G171)</f>
        <v/>
      </c>
      <c r="L172" s="2">
        <f>AND($J172,ISNUMBER(K172),correlation!$I$26=1)</f>
        <v/>
      </c>
      <c r="M172" s="5">
        <f>IF(L172,$F172,"")</f>
        <v/>
      </c>
      <c r="N172" s="5">
        <f>IF(L172,K172*correlation!$J$26,"")</f>
        <v/>
      </c>
      <c r="O172" s="5">
        <f>IF(AND(L172,ISNUMBER(correlation!$F$26)),N172*correlation!$F$26+correlation!$G$26,"")</f>
        <v/>
      </c>
      <c r="P172" s="5">
        <f>IF(AND(L172,ISNUMBER(O172)),(M172-O172)^2,"")</f>
        <v/>
      </c>
      <c r="Q172" s="5">
        <f>IF(L172,1+SUMPRODUCT(--(calc!$L$3:$L$306=TRUE),--(calc!$M$3:$M$306&gt;M172))+(SUMPRODUCT(--(calc!$L$3:$L$306=TRUE),--(calc!$M$3:$M$306=M172))-1)/2,"")</f>
        <v/>
      </c>
      <c r="R172" s="5">
        <f>IF(L172,1+SUMPRODUCT(--(calc!$L$3:$L$306=TRUE),--(calc!$N$3:$N$306&gt;N172))+(SUMPRODUCT(--(calc!$L$3:$L$306=TRUE),--(calc!$N$3:$N$306=N172))-1)/2,"")</f>
        <v/>
      </c>
      <c r="S172" s="5">
        <f>IF(L172,SUMPRODUCT(--(calc!$L$3:$L$306=TRUE),--(ROW(calc!$L$3:$L$306)&gt;ROW(L172)),--(((calc!$Q$3:$Q$306&gt;Q172)*(calc!$R$3:$R$306&gt;R172)+(calc!$Q$3:$Q$306&lt;Q172)*(calc!$R$3:$R$306&lt;R172))&gt;0))-SUMPRODUCT(--(calc!$L$3:$L$306=TRUE),--(ROW(calc!$L$3:$L$306)&gt;ROW(L172)),--(((calc!$Q$3:$Q$306&gt;Q172)*(calc!$R$3:$R$306&lt;R172)+(calc!$Q$3:$Q$306&lt;Q172)*(calc!$R$3:$R$306&gt;R172))&gt;0)),0)</f>
        <v/>
      </c>
      <c r="T172" s="5">
        <f>IF(mos_metrics!H171="","",mos_metrics!H171)</f>
        <v/>
      </c>
      <c r="U172" s="2">
        <f>AND($J172,ISNUMBER(T172),correlation!$I$27=1)</f>
        <v/>
      </c>
      <c r="V172" s="5">
        <f>IF(U172,$F172,"")</f>
        <v/>
      </c>
      <c r="W172" s="5">
        <f>IF(U172,T172*correlation!$J$27,"")</f>
        <v/>
      </c>
      <c r="X172" s="5">
        <f>IF(AND(U172,ISNUMBER(correlation!$F$27)),W172*correlation!$F$27+correlation!$G$27,"")</f>
        <v/>
      </c>
      <c r="Y172" s="5">
        <f>IF(AND(U172,ISNUMBER(X172)),(V172-X172)^2,"")</f>
        <v/>
      </c>
      <c r="Z172" s="5">
        <f>IF(U172,1+SUMPRODUCT(--(calc!$U$3:$U$306=TRUE),--(calc!$V$3:$V$306&gt;V172))+(SUMPRODUCT(--(calc!$U$3:$U$306=TRUE),--(calc!$V$3:$V$306=V172))-1)/2,"")</f>
        <v/>
      </c>
      <c r="AA172" s="5">
        <f>IF(U172,1+SUMPRODUCT(--(calc!$U$3:$U$306=TRUE),--(calc!$W$3:$W$306&gt;W172))+(SUMPRODUCT(--(calc!$U$3:$U$306=TRUE),--(calc!$W$3:$W$306=W172))-1)/2,"")</f>
        <v/>
      </c>
      <c r="AB172" s="5">
        <f>IF(U172,SUMPRODUCT(--(calc!$U$3:$U$306=TRUE),--(ROW(calc!$U$3:$U$306)&gt;ROW(U172)),--(((calc!$Z$3:$Z$306&gt;Z172)*(calc!$AA$3:$AA$306&gt;AA172)+(calc!$Z$3:$Z$306&lt;Z172)*(calc!$AA$3:$AA$306&lt;AA172))&gt;0))-SUMPRODUCT(--(calc!$U$3:$U$306=TRUE),--(ROW(calc!$U$3:$U$306)&gt;ROW(U172)),--(((calc!$Z$3:$Z$306&gt;Z172)*(calc!$AA$3:$AA$306&lt;AA172)+(calc!$Z$3:$Z$306&lt;Z172)*(calc!$AA$3:$AA$306&gt;AA172))&gt;0)),0)</f>
        <v/>
      </c>
      <c r="AC172" s="5">
        <f>IF(mos_metrics!I171="","",mos_metrics!I171)</f>
        <v/>
      </c>
      <c r="AD172" s="2">
        <f>AND($J172,ISNUMBER(AC172),correlation!$I$28=1)</f>
        <v/>
      </c>
      <c r="AE172" s="5">
        <f>IF(AD172,$F172,"")</f>
        <v/>
      </c>
      <c r="AF172" s="5">
        <f>IF(AD172,AC172*correlation!$J$28,"")</f>
        <v/>
      </c>
      <c r="AG172" s="5">
        <f>IF(AND(AD172,ISNUMBER(correlation!$F$28)),AF172*correlation!$F$28+correlation!$G$28,"")</f>
        <v/>
      </c>
      <c r="AH172" s="5">
        <f>IF(AND(AD172,ISNUMBER(AG172)),(AE172-AG172)^2,"")</f>
        <v/>
      </c>
      <c r="AI172" s="5">
        <f>IF(AD172,1+SUMPRODUCT(--(calc!$AD$3:$AD$306=TRUE),--(calc!$AE$3:$AE$306&gt;AE172))+(SUMPRODUCT(--(calc!$AD$3:$AD$306=TRUE),--(calc!$AE$3:$AE$306=AE172))-1)/2,"")</f>
        <v/>
      </c>
      <c r="AJ172" s="5">
        <f>IF(AD172,1+SUMPRODUCT(--(calc!$AD$3:$AD$306=TRUE),--(calc!$AF$3:$AF$306&gt;AF172))+(SUMPRODUCT(--(calc!$AD$3:$AD$306=TRUE),--(calc!$AF$3:$AF$306=AF172))-1)/2,"")</f>
        <v/>
      </c>
      <c r="AK172" s="5">
        <f>IF(AD172,SUMPRODUCT(--(calc!$AD$3:$AD$306=TRUE),--(ROW(calc!$AD$3:$AD$306)&gt;ROW(AD172)),--(((calc!$AI$3:$AI$306&gt;AI172)*(calc!$AJ$3:$AJ$306&gt;AJ172)+(calc!$AI$3:$AI$306&lt;AI172)*(calc!$AJ$3:$AJ$306&lt;AJ172))&gt;0))-SUMPRODUCT(--(calc!$AD$3:$AD$306=TRUE),--(ROW(calc!$AD$3:$AD$306)&gt;ROW(AD172)),--(((calc!$AI$3:$AI$306&gt;AI172)*(calc!$AJ$3:$AJ$306&lt;AJ172)+(calc!$AI$3:$AI$306&lt;AI172)*(calc!$AJ$3:$AJ$306&gt;AJ172))&gt;0)),0)</f>
        <v/>
      </c>
      <c r="AL172" s="5">
        <f>IF(mos_metrics!J171="","",mos_metrics!J171)</f>
        <v/>
      </c>
      <c r="AM172" s="2">
        <f>AND($J172,ISNUMBER(AL172),correlation!$I$29=1)</f>
        <v/>
      </c>
      <c r="AN172" s="5">
        <f>IF(AM172,$F172,"")</f>
        <v/>
      </c>
      <c r="AO172" s="5">
        <f>IF(AM172,AL172*correlation!$J$29,"")</f>
        <v/>
      </c>
      <c r="AP172" s="5">
        <f>IF(AND(AM172,ISNUMBER(correlation!$F$29)),AO172*correlation!$F$29+correlation!$G$29,"")</f>
        <v/>
      </c>
      <c r="AQ172" s="5">
        <f>IF(AND(AM172,ISNUMBER(AP172)),(AN172-AP172)^2,"")</f>
        <v/>
      </c>
      <c r="AR172" s="5">
        <f>IF(AM172,1+SUMPRODUCT(--(calc!$AM$3:$AM$306=TRUE),--(calc!$AN$3:$AN$306&gt;AN172))+(SUMPRODUCT(--(calc!$AM$3:$AM$306=TRUE),--(calc!$AN$3:$AN$306=AN172))-1)/2,"")</f>
        <v/>
      </c>
      <c r="AS172" s="5">
        <f>IF(AM172,1+SUMPRODUCT(--(calc!$AM$3:$AM$306=TRUE),--(calc!$AO$3:$AO$306&gt;AO172))+(SUMPRODUCT(--(calc!$AM$3:$AM$306=TRUE),--(calc!$AO$3:$AO$306=AO172))-1)/2,"")</f>
        <v/>
      </c>
      <c r="AT172" s="5">
        <f>IF(AM172,SUMPRODUCT(--(calc!$AM$3:$AM$306=TRUE),--(ROW(calc!$AM$3:$AM$306)&gt;ROW(AM172)),--(((calc!$AR$3:$AR$306&gt;AR172)*(calc!$AS$3:$AS$306&gt;AS172)+(calc!$AR$3:$AR$306&lt;AR172)*(calc!$AS$3:$AS$306&lt;AS172))&gt;0))-SUMPRODUCT(--(calc!$AM$3:$AM$306=TRUE),--(ROW(calc!$AM$3:$AM$306)&gt;ROW(AM172)),--(((calc!$AR$3:$AR$306&gt;AR172)*(calc!$AS$3:$AS$306&lt;AS172)+(calc!$AR$3:$AR$306&lt;AR172)*(calc!$AS$3:$AS$306&gt;AS172))&gt;0)),0)</f>
        <v/>
      </c>
      <c r="AU172" s="5">
        <f>IF(mos_metrics!K171="","",mos_metrics!K171)</f>
        <v/>
      </c>
      <c r="AV172" s="2">
        <f>AND($J172,ISNUMBER(AU172),correlation!$I$30=1)</f>
        <v/>
      </c>
      <c r="AW172" s="5">
        <f>IF(AV172,$F172,"")</f>
        <v/>
      </c>
      <c r="AX172" s="5">
        <f>IF(AV172,AU172*correlation!$J$30,"")</f>
        <v/>
      </c>
      <c r="AY172" s="5">
        <f>IF(AND(AV172,ISNUMBER(correlation!$F$30)),AX172*correlation!$F$30+correlation!$G$30,"")</f>
        <v/>
      </c>
      <c r="AZ172" s="5">
        <f>IF(AND(AV172,ISNUMBER(AY172)),(AW172-AY172)^2,"")</f>
        <v/>
      </c>
      <c r="BA172" s="5">
        <f>IF(AV172,1+SUMPRODUCT(--(calc!$AV$3:$AV$306=TRUE),--(calc!$AW$3:$AW$306&gt;AW172))+(SUMPRODUCT(--(calc!$AV$3:$AV$306=TRUE),--(calc!$AW$3:$AW$306=AW172))-1)/2,"")</f>
        <v/>
      </c>
      <c r="BB172" s="5">
        <f>IF(AV172,1+SUMPRODUCT(--(calc!$AV$3:$AV$306=TRUE),--(calc!$AX$3:$AX$306&gt;AX172))+(SUMPRODUCT(--(calc!$AV$3:$AV$306=TRUE),--(calc!$AX$3:$AX$306=AX172))-1)/2,"")</f>
        <v/>
      </c>
      <c r="BC172" s="5">
        <f>IF(AV172,SUMPRODUCT(--(calc!$AV$3:$AV$306=TRUE),--(ROW(calc!$AV$3:$AV$306)&gt;ROW(AV172)),--(((calc!$BA$3:$BA$306&gt;BA172)*(calc!$BB$3:$BB$306&gt;BB172)+(calc!$BA$3:$BA$306&lt;BA172)*(calc!$BB$3:$BB$306&lt;BB172))&gt;0))-SUMPRODUCT(--(calc!$AV$3:$AV$306=TRUE),--(ROW(calc!$AV$3:$AV$306)&gt;ROW(AV172)),--(((calc!$BA$3:$BA$306&gt;BA172)*(calc!$BB$3:$BB$306&lt;BB172)+(calc!$BA$3:$BA$306&lt;BA172)*(calc!$BB$3:$BB$306&gt;BB172))&gt;0)),0)</f>
        <v/>
      </c>
      <c r="BD172" s="5">
        <f>IF(mos_metrics!L171="","",mos_metrics!L171)</f>
        <v/>
      </c>
      <c r="BE172" s="2">
        <f>AND($J172,ISNUMBER(BD172),correlation!$I$31=1)</f>
        <v/>
      </c>
      <c r="BF172" s="5">
        <f>IF(BE172,$F172,"")</f>
        <v/>
      </c>
      <c r="BG172" s="5">
        <f>IF(BE172,BD172*correlation!$J$31,"")</f>
        <v/>
      </c>
      <c r="BH172" s="5">
        <f>IF(AND(BE172,ISNUMBER(correlation!$F$31)),BG172*correlation!$F$31+correlation!$G$31,"")</f>
        <v/>
      </c>
      <c r="BI172" s="5">
        <f>IF(AND(BE172,ISNUMBER(BH172)),(BF172-BH172)^2,"")</f>
        <v/>
      </c>
      <c r="BJ172" s="5">
        <f>IF(BE172,1+SUMPRODUCT(--(calc!$BE$3:$BE$306=TRUE),--(calc!$BF$3:$BF$306&gt;BF172))+(SUMPRODUCT(--(calc!$BE$3:$BE$306=TRUE),--(calc!$BF$3:$BF$306=BF172))-1)/2,"")</f>
        <v/>
      </c>
      <c r="BK172" s="5">
        <f>IF(BE172,1+SUMPRODUCT(--(calc!$BE$3:$BE$306=TRUE),--(calc!$BG$3:$BG$306&gt;BG172))+(SUMPRODUCT(--(calc!$BE$3:$BE$306=TRUE),--(calc!$BG$3:$BG$306=BG172))-1)/2,"")</f>
        <v/>
      </c>
      <c r="BL172" s="5">
        <f>IF(BE172,SUMPRODUCT(--(calc!$BE$3:$BE$306=TRUE),--(ROW(calc!$BE$3:$BE$306)&gt;ROW(BE172)),--(((calc!$BJ$3:$BJ$306&gt;BJ172)*(calc!$BK$3:$BK$306&gt;BK172)+(calc!$BJ$3:$BJ$306&lt;BJ172)*(calc!$BK$3:$BK$306&lt;BK172))&gt;0))-SUMPRODUCT(--(calc!$BE$3:$BE$306=TRUE),--(ROW(calc!$BE$3:$BE$306)&gt;ROW(BE172)),--(((calc!$BJ$3:$BJ$306&gt;BJ172)*(calc!$BK$3:$BK$306&lt;BK172)+(calc!$BJ$3:$BJ$306&lt;BJ172)*(calc!$BK$3:$BK$306&gt;BK172))&gt;0)),0)</f>
        <v/>
      </c>
      <c r="BM172" s="5">
        <f>IF(mos_metrics!M171="","",mos_metrics!M171)</f>
        <v/>
      </c>
      <c r="BN172" s="2">
        <f>AND($J172,ISNUMBER(BM172),correlation!$I$32=1)</f>
        <v/>
      </c>
      <c r="BO172" s="5">
        <f>IF(BN172,$F172,"")</f>
        <v/>
      </c>
      <c r="BP172" s="5">
        <f>IF(BN172,BM172*correlation!$J$32,"")</f>
        <v/>
      </c>
      <c r="BQ172" s="5">
        <f>IF(AND(BN172,ISNUMBER(correlation!$F$32)),BP172*correlation!$F$32+correlation!$G$32,"")</f>
        <v/>
      </c>
      <c r="BR172" s="5">
        <f>IF(AND(BN172,ISNUMBER(BQ172)),(BO172-BQ172)^2,"")</f>
        <v/>
      </c>
      <c r="BS172" s="5">
        <f>IF(BN172,1+SUMPRODUCT(--(calc!$BN$3:$BN$306=TRUE),--(calc!$BO$3:$BO$306&gt;BO172))+(SUMPRODUCT(--(calc!$BN$3:$BN$306=TRUE),--(calc!$BO$3:$BO$306=BO172))-1)/2,"")</f>
        <v/>
      </c>
      <c r="BT172" s="5">
        <f>IF(BN172,1+SUMPRODUCT(--(calc!$BN$3:$BN$306=TRUE),--(calc!$BP$3:$BP$306&gt;BP172))+(SUMPRODUCT(--(calc!$BN$3:$BN$306=TRUE),--(calc!$BP$3:$BP$306=BP172))-1)/2,"")</f>
        <v/>
      </c>
      <c r="BU172" s="5">
        <f>IF(BN172,SUMPRODUCT(--(calc!$BN$3:$BN$306=TRUE),--(ROW(calc!$BN$3:$BN$306)&gt;ROW(BN172)),--(((calc!$BS$3:$BS$306&gt;BS172)*(calc!$BT$3:$BT$306&gt;BT172)+(calc!$BS$3:$BS$306&lt;BS172)*(calc!$BT$3:$BT$306&lt;BT172))&gt;0))-SUMPRODUCT(--(calc!$BN$3:$BN$306=TRUE),--(ROW(calc!$BN$3:$BN$306)&gt;ROW(BN172)),--(((calc!$BS$3:$BS$306&gt;BS172)*(calc!$BT$3:$BT$306&lt;BT172)+(calc!$BS$3:$BS$306&lt;BS172)*(calc!$BT$3:$BT$306&gt;BT172))&gt;0)),0)</f>
        <v/>
      </c>
    </row>
    <row r="173">
      <c r="A173" s="2">
        <f>mos_metrics!A172</f>
        <v/>
      </c>
      <c r="B173" s="2">
        <f>mos_metrics!B172</f>
        <v/>
      </c>
      <c r="C173" s="2">
        <f>mos_metrics!C172</f>
        <v/>
      </c>
      <c r="D173" s="2">
        <f>mos_metrics!D172</f>
        <v/>
      </c>
      <c r="E173" s="2">
        <f>mos_metrics!E172</f>
        <v/>
      </c>
      <c r="F173" s="2">
        <f>mos_metrics!F172</f>
        <v/>
      </c>
      <c r="G173" s="2">
        <f>IF($B173="","",IFERROR(VLOOKUP($B173,correlation!$A$2:$B$16,2,FALSE),1))</f>
        <v/>
      </c>
      <c r="H173" s="2">
        <f>IF($E173="","",IFERROR(VLOOKUP($E173,correlation!$D$2:$E$8,2,FALSE),1))</f>
        <v/>
      </c>
      <c r="I173" s="2">
        <f>ISNUMBER($F173)</f>
        <v/>
      </c>
      <c r="J173" s="2">
        <f>AND($G173=1,$H173=1,$I173)</f>
        <v/>
      </c>
      <c r="K173" s="5">
        <f>IF(mos_metrics!G172="","",mos_metrics!G172)</f>
        <v/>
      </c>
      <c r="L173" s="2">
        <f>AND($J173,ISNUMBER(K173),correlation!$I$26=1)</f>
        <v/>
      </c>
      <c r="M173" s="5">
        <f>IF(L173,$F173,"")</f>
        <v/>
      </c>
      <c r="N173" s="5">
        <f>IF(L173,K173*correlation!$J$26,"")</f>
        <v/>
      </c>
      <c r="O173" s="5">
        <f>IF(AND(L173,ISNUMBER(correlation!$F$26)),N173*correlation!$F$26+correlation!$G$26,"")</f>
        <v/>
      </c>
      <c r="P173" s="5">
        <f>IF(AND(L173,ISNUMBER(O173)),(M173-O173)^2,"")</f>
        <v/>
      </c>
      <c r="Q173" s="5">
        <f>IF(L173,1+SUMPRODUCT(--(calc!$L$3:$L$306=TRUE),--(calc!$M$3:$M$306&gt;M173))+(SUMPRODUCT(--(calc!$L$3:$L$306=TRUE),--(calc!$M$3:$M$306=M173))-1)/2,"")</f>
        <v/>
      </c>
      <c r="R173" s="5">
        <f>IF(L173,1+SUMPRODUCT(--(calc!$L$3:$L$306=TRUE),--(calc!$N$3:$N$306&gt;N173))+(SUMPRODUCT(--(calc!$L$3:$L$306=TRUE),--(calc!$N$3:$N$306=N173))-1)/2,"")</f>
        <v/>
      </c>
      <c r="S173" s="5">
        <f>IF(L173,SUMPRODUCT(--(calc!$L$3:$L$306=TRUE),--(ROW(calc!$L$3:$L$306)&gt;ROW(L173)),--(((calc!$Q$3:$Q$306&gt;Q173)*(calc!$R$3:$R$306&gt;R173)+(calc!$Q$3:$Q$306&lt;Q173)*(calc!$R$3:$R$306&lt;R173))&gt;0))-SUMPRODUCT(--(calc!$L$3:$L$306=TRUE),--(ROW(calc!$L$3:$L$306)&gt;ROW(L173)),--(((calc!$Q$3:$Q$306&gt;Q173)*(calc!$R$3:$R$306&lt;R173)+(calc!$Q$3:$Q$306&lt;Q173)*(calc!$R$3:$R$306&gt;R173))&gt;0)),0)</f>
        <v/>
      </c>
      <c r="T173" s="5">
        <f>IF(mos_metrics!H172="","",mos_metrics!H172)</f>
        <v/>
      </c>
      <c r="U173" s="2">
        <f>AND($J173,ISNUMBER(T173),correlation!$I$27=1)</f>
        <v/>
      </c>
      <c r="V173" s="5">
        <f>IF(U173,$F173,"")</f>
        <v/>
      </c>
      <c r="W173" s="5">
        <f>IF(U173,T173*correlation!$J$27,"")</f>
        <v/>
      </c>
      <c r="X173" s="5">
        <f>IF(AND(U173,ISNUMBER(correlation!$F$27)),W173*correlation!$F$27+correlation!$G$27,"")</f>
        <v/>
      </c>
      <c r="Y173" s="5">
        <f>IF(AND(U173,ISNUMBER(X173)),(V173-X173)^2,"")</f>
        <v/>
      </c>
      <c r="Z173" s="5">
        <f>IF(U173,1+SUMPRODUCT(--(calc!$U$3:$U$306=TRUE),--(calc!$V$3:$V$306&gt;V173))+(SUMPRODUCT(--(calc!$U$3:$U$306=TRUE),--(calc!$V$3:$V$306=V173))-1)/2,"")</f>
        <v/>
      </c>
      <c r="AA173" s="5">
        <f>IF(U173,1+SUMPRODUCT(--(calc!$U$3:$U$306=TRUE),--(calc!$W$3:$W$306&gt;W173))+(SUMPRODUCT(--(calc!$U$3:$U$306=TRUE),--(calc!$W$3:$W$306=W173))-1)/2,"")</f>
        <v/>
      </c>
      <c r="AB173" s="5">
        <f>IF(U173,SUMPRODUCT(--(calc!$U$3:$U$306=TRUE),--(ROW(calc!$U$3:$U$306)&gt;ROW(U173)),--(((calc!$Z$3:$Z$306&gt;Z173)*(calc!$AA$3:$AA$306&gt;AA173)+(calc!$Z$3:$Z$306&lt;Z173)*(calc!$AA$3:$AA$306&lt;AA173))&gt;0))-SUMPRODUCT(--(calc!$U$3:$U$306=TRUE),--(ROW(calc!$U$3:$U$306)&gt;ROW(U173)),--(((calc!$Z$3:$Z$306&gt;Z173)*(calc!$AA$3:$AA$306&lt;AA173)+(calc!$Z$3:$Z$306&lt;Z173)*(calc!$AA$3:$AA$306&gt;AA173))&gt;0)),0)</f>
        <v/>
      </c>
      <c r="AC173" s="5">
        <f>IF(mos_metrics!I172="","",mos_metrics!I172)</f>
        <v/>
      </c>
      <c r="AD173" s="2">
        <f>AND($J173,ISNUMBER(AC173),correlation!$I$28=1)</f>
        <v/>
      </c>
      <c r="AE173" s="5">
        <f>IF(AD173,$F173,"")</f>
        <v/>
      </c>
      <c r="AF173" s="5">
        <f>IF(AD173,AC173*correlation!$J$28,"")</f>
        <v/>
      </c>
      <c r="AG173" s="5">
        <f>IF(AND(AD173,ISNUMBER(correlation!$F$28)),AF173*correlation!$F$28+correlation!$G$28,"")</f>
        <v/>
      </c>
      <c r="AH173" s="5">
        <f>IF(AND(AD173,ISNUMBER(AG173)),(AE173-AG173)^2,"")</f>
        <v/>
      </c>
      <c r="AI173" s="5">
        <f>IF(AD173,1+SUMPRODUCT(--(calc!$AD$3:$AD$306=TRUE),--(calc!$AE$3:$AE$306&gt;AE173))+(SUMPRODUCT(--(calc!$AD$3:$AD$306=TRUE),--(calc!$AE$3:$AE$306=AE173))-1)/2,"")</f>
        <v/>
      </c>
      <c r="AJ173" s="5">
        <f>IF(AD173,1+SUMPRODUCT(--(calc!$AD$3:$AD$306=TRUE),--(calc!$AF$3:$AF$306&gt;AF173))+(SUMPRODUCT(--(calc!$AD$3:$AD$306=TRUE),--(calc!$AF$3:$AF$306=AF173))-1)/2,"")</f>
        <v/>
      </c>
      <c r="AK173" s="5">
        <f>IF(AD173,SUMPRODUCT(--(calc!$AD$3:$AD$306=TRUE),--(ROW(calc!$AD$3:$AD$306)&gt;ROW(AD173)),--(((calc!$AI$3:$AI$306&gt;AI173)*(calc!$AJ$3:$AJ$306&gt;AJ173)+(calc!$AI$3:$AI$306&lt;AI173)*(calc!$AJ$3:$AJ$306&lt;AJ173))&gt;0))-SUMPRODUCT(--(calc!$AD$3:$AD$306=TRUE),--(ROW(calc!$AD$3:$AD$306)&gt;ROW(AD173)),--(((calc!$AI$3:$AI$306&gt;AI173)*(calc!$AJ$3:$AJ$306&lt;AJ173)+(calc!$AI$3:$AI$306&lt;AI173)*(calc!$AJ$3:$AJ$306&gt;AJ173))&gt;0)),0)</f>
        <v/>
      </c>
      <c r="AL173" s="5">
        <f>IF(mos_metrics!J172="","",mos_metrics!J172)</f>
        <v/>
      </c>
      <c r="AM173" s="2">
        <f>AND($J173,ISNUMBER(AL173),correlation!$I$29=1)</f>
        <v/>
      </c>
      <c r="AN173" s="5">
        <f>IF(AM173,$F173,"")</f>
        <v/>
      </c>
      <c r="AO173" s="5">
        <f>IF(AM173,AL173*correlation!$J$29,"")</f>
        <v/>
      </c>
      <c r="AP173" s="5">
        <f>IF(AND(AM173,ISNUMBER(correlation!$F$29)),AO173*correlation!$F$29+correlation!$G$29,"")</f>
        <v/>
      </c>
      <c r="AQ173" s="5">
        <f>IF(AND(AM173,ISNUMBER(AP173)),(AN173-AP173)^2,"")</f>
        <v/>
      </c>
      <c r="AR173" s="5">
        <f>IF(AM173,1+SUMPRODUCT(--(calc!$AM$3:$AM$306=TRUE),--(calc!$AN$3:$AN$306&gt;AN173))+(SUMPRODUCT(--(calc!$AM$3:$AM$306=TRUE),--(calc!$AN$3:$AN$306=AN173))-1)/2,"")</f>
        <v/>
      </c>
      <c r="AS173" s="5">
        <f>IF(AM173,1+SUMPRODUCT(--(calc!$AM$3:$AM$306=TRUE),--(calc!$AO$3:$AO$306&gt;AO173))+(SUMPRODUCT(--(calc!$AM$3:$AM$306=TRUE),--(calc!$AO$3:$AO$306=AO173))-1)/2,"")</f>
        <v/>
      </c>
      <c r="AT173" s="5">
        <f>IF(AM173,SUMPRODUCT(--(calc!$AM$3:$AM$306=TRUE),--(ROW(calc!$AM$3:$AM$306)&gt;ROW(AM173)),--(((calc!$AR$3:$AR$306&gt;AR173)*(calc!$AS$3:$AS$306&gt;AS173)+(calc!$AR$3:$AR$306&lt;AR173)*(calc!$AS$3:$AS$306&lt;AS173))&gt;0))-SUMPRODUCT(--(calc!$AM$3:$AM$306=TRUE),--(ROW(calc!$AM$3:$AM$306)&gt;ROW(AM173)),--(((calc!$AR$3:$AR$306&gt;AR173)*(calc!$AS$3:$AS$306&lt;AS173)+(calc!$AR$3:$AR$306&lt;AR173)*(calc!$AS$3:$AS$306&gt;AS173))&gt;0)),0)</f>
        <v/>
      </c>
      <c r="AU173" s="5">
        <f>IF(mos_metrics!K172="","",mos_metrics!K172)</f>
        <v/>
      </c>
      <c r="AV173" s="2">
        <f>AND($J173,ISNUMBER(AU173),correlation!$I$30=1)</f>
        <v/>
      </c>
      <c r="AW173" s="5">
        <f>IF(AV173,$F173,"")</f>
        <v/>
      </c>
      <c r="AX173" s="5">
        <f>IF(AV173,AU173*correlation!$J$30,"")</f>
        <v/>
      </c>
      <c r="AY173" s="5">
        <f>IF(AND(AV173,ISNUMBER(correlation!$F$30)),AX173*correlation!$F$30+correlation!$G$30,"")</f>
        <v/>
      </c>
      <c r="AZ173" s="5">
        <f>IF(AND(AV173,ISNUMBER(AY173)),(AW173-AY173)^2,"")</f>
        <v/>
      </c>
      <c r="BA173" s="5">
        <f>IF(AV173,1+SUMPRODUCT(--(calc!$AV$3:$AV$306=TRUE),--(calc!$AW$3:$AW$306&gt;AW173))+(SUMPRODUCT(--(calc!$AV$3:$AV$306=TRUE),--(calc!$AW$3:$AW$306=AW173))-1)/2,"")</f>
        <v/>
      </c>
      <c r="BB173" s="5">
        <f>IF(AV173,1+SUMPRODUCT(--(calc!$AV$3:$AV$306=TRUE),--(calc!$AX$3:$AX$306&gt;AX173))+(SUMPRODUCT(--(calc!$AV$3:$AV$306=TRUE),--(calc!$AX$3:$AX$306=AX173))-1)/2,"")</f>
        <v/>
      </c>
      <c r="BC173" s="5">
        <f>IF(AV173,SUMPRODUCT(--(calc!$AV$3:$AV$306=TRUE),--(ROW(calc!$AV$3:$AV$306)&gt;ROW(AV173)),--(((calc!$BA$3:$BA$306&gt;BA173)*(calc!$BB$3:$BB$306&gt;BB173)+(calc!$BA$3:$BA$306&lt;BA173)*(calc!$BB$3:$BB$306&lt;BB173))&gt;0))-SUMPRODUCT(--(calc!$AV$3:$AV$306=TRUE),--(ROW(calc!$AV$3:$AV$306)&gt;ROW(AV173)),--(((calc!$BA$3:$BA$306&gt;BA173)*(calc!$BB$3:$BB$306&lt;BB173)+(calc!$BA$3:$BA$306&lt;BA173)*(calc!$BB$3:$BB$306&gt;BB173))&gt;0)),0)</f>
        <v/>
      </c>
      <c r="BD173" s="5">
        <f>IF(mos_metrics!L172="","",mos_metrics!L172)</f>
        <v/>
      </c>
      <c r="BE173" s="2">
        <f>AND($J173,ISNUMBER(BD173),correlation!$I$31=1)</f>
        <v/>
      </c>
      <c r="BF173" s="5">
        <f>IF(BE173,$F173,"")</f>
        <v/>
      </c>
      <c r="BG173" s="5">
        <f>IF(BE173,BD173*correlation!$J$31,"")</f>
        <v/>
      </c>
      <c r="BH173" s="5">
        <f>IF(AND(BE173,ISNUMBER(correlation!$F$31)),BG173*correlation!$F$31+correlation!$G$31,"")</f>
        <v/>
      </c>
      <c r="BI173" s="5">
        <f>IF(AND(BE173,ISNUMBER(BH173)),(BF173-BH173)^2,"")</f>
        <v/>
      </c>
      <c r="BJ173" s="5">
        <f>IF(BE173,1+SUMPRODUCT(--(calc!$BE$3:$BE$306=TRUE),--(calc!$BF$3:$BF$306&gt;BF173))+(SUMPRODUCT(--(calc!$BE$3:$BE$306=TRUE),--(calc!$BF$3:$BF$306=BF173))-1)/2,"")</f>
        <v/>
      </c>
      <c r="BK173" s="5">
        <f>IF(BE173,1+SUMPRODUCT(--(calc!$BE$3:$BE$306=TRUE),--(calc!$BG$3:$BG$306&gt;BG173))+(SUMPRODUCT(--(calc!$BE$3:$BE$306=TRUE),--(calc!$BG$3:$BG$306=BG173))-1)/2,"")</f>
        <v/>
      </c>
      <c r="BL173" s="5">
        <f>IF(BE173,SUMPRODUCT(--(calc!$BE$3:$BE$306=TRUE),--(ROW(calc!$BE$3:$BE$306)&gt;ROW(BE173)),--(((calc!$BJ$3:$BJ$306&gt;BJ173)*(calc!$BK$3:$BK$306&gt;BK173)+(calc!$BJ$3:$BJ$306&lt;BJ173)*(calc!$BK$3:$BK$306&lt;BK173))&gt;0))-SUMPRODUCT(--(calc!$BE$3:$BE$306=TRUE),--(ROW(calc!$BE$3:$BE$306)&gt;ROW(BE173)),--(((calc!$BJ$3:$BJ$306&gt;BJ173)*(calc!$BK$3:$BK$306&lt;BK173)+(calc!$BJ$3:$BJ$306&lt;BJ173)*(calc!$BK$3:$BK$306&gt;BK173))&gt;0)),0)</f>
        <v/>
      </c>
      <c r="BM173" s="5">
        <f>IF(mos_metrics!M172="","",mos_metrics!M172)</f>
        <v/>
      </c>
      <c r="BN173" s="2">
        <f>AND($J173,ISNUMBER(BM173),correlation!$I$32=1)</f>
        <v/>
      </c>
      <c r="BO173" s="5">
        <f>IF(BN173,$F173,"")</f>
        <v/>
      </c>
      <c r="BP173" s="5">
        <f>IF(BN173,BM173*correlation!$J$32,"")</f>
        <v/>
      </c>
      <c r="BQ173" s="5">
        <f>IF(AND(BN173,ISNUMBER(correlation!$F$32)),BP173*correlation!$F$32+correlation!$G$32,"")</f>
        <v/>
      </c>
      <c r="BR173" s="5">
        <f>IF(AND(BN173,ISNUMBER(BQ173)),(BO173-BQ173)^2,"")</f>
        <v/>
      </c>
      <c r="BS173" s="5">
        <f>IF(BN173,1+SUMPRODUCT(--(calc!$BN$3:$BN$306=TRUE),--(calc!$BO$3:$BO$306&gt;BO173))+(SUMPRODUCT(--(calc!$BN$3:$BN$306=TRUE),--(calc!$BO$3:$BO$306=BO173))-1)/2,"")</f>
        <v/>
      </c>
      <c r="BT173" s="5">
        <f>IF(BN173,1+SUMPRODUCT(--(calc!$BN$3:$BN$306=TRUE),--(calc!$BP$3:$BP$306&gt;BP173))+(SUMPRODUCT(--(calc!$BN$3:$BN$306=TRUE),--(calc!$BP$3:$BP$306=BP173))-1)/2,"")</f>
        <v/>
      </c>
      <c r="BU173" s="5">
        <f>IF(BN173,SUMPRODUCT(--(calc!$BN$3:$BN$306=TRUE),--(ROW(calc!$BN$3:$BN$306)&gt;ROW(BN173)),--(((calc!$BS$3:$BS$306&gt;BS173)*(calc!$BT$3:$BT$306&gt;BT173)+(calc!$BS$3:$BS$306&lt;BS173)*(calc!$BT$3:$BT$306&lt;BT173))&gt;0))-SUMPRODUCT(--(calc!$BN$3:$BN$306=TRUE),--(ROW(calc!$BN$3:$BN$306)&gt;ROW(BN173)),--(((calc!$BS$3:$BS$306&gt;BS173)*(calc!$BT$3:$BT$306&lt;BT173)+(calc!$BS$3:$BS$306&lt;BS173)*(calc!$BT$3:$BT$306&gt;BT173))&gt;0)),0)</f>
        <v/>
      </c>
    </row>
    <row r="174">
      <c r="A174" s="2">
        <f>mos_metrics!A173</f>
        <v/>
      </c>
      <c r="B174" s="2">
        <f>mos_metrics!B173</f>
        <v/>
      </c>
      <c r="C174" s="2">
        <f>mos_metrics!C173</f>
        <v/>
      </c>
      <c r="D174" s="2">
        <f>mos_metrics!D173</f>
        <v/>
      </c>
      <c r="E174" s="2">
        <f>mos_metrics!E173</f>
        <v/>
      </c>
      <c r="F174" s="2">
        <f>mos_metrics!F173</f>
        <v/>
      </c>
      <c r="G174" s="2">
        <f>IF($B174="","",IFERROR(VLOOKUP($B174,correlation!$A$2:$B$16,2,FALSE),1))</f>
        <v/>
      </c>
      <c r="H174" s="2">
        <f>IF($E174="","",IFERROR(VLOOKUP($E174,correlation!$D$2:$E$8,2,FALSE),1))</f>
        <v/>
      </c>
      <c r="I174" s="2">
        <f>ISNUMBER($F174)</f>
        <v/>
      </c>
      <c r="J174" s="2">
        <f>AND($G174=1,$H174=1,$I174)</f>
        <v/>
      </c>
      <c r="K174" s="5">
        <f>IF(mos_metrics!G173="","",mos_metrics!G173)</f>
        <v/>
      </c>
      <c r="L174" s="2">
        <f>AND($J174,ISNUMBER(K174),correlation!$I$26=1)</f>
        <v/>
      </c>
      <c r="M174" s="5">
        <f>IF(L174,$F174,"")</f>
        <v/>
      </c>
      <c r="N174" s="5">
        <f>IF(L174,K174*correlation!$J$26,"")</f>
        <v/>
      </c>
      <c r="O174" s="5">
        <f>IF(AND(L174,ISNUMBER(correlation!$F$26)),N174*correlation!$F$26+correlation!$G$26,"")</f>
        <v/>
      </c>
      <c r="P174" s="5">
        <f>IF(AND(L174,ISNUMBER(O174)),(M174-O174)^2,"")</f>
        <v/>
      </c>
      <c r="Q174" s="5">
        <f>IF(L174,1+SUMPRODUCT(--(calc!$L$3:$L$306=TRUE),--(calc!$M$3:$M$306&gt;M174))+(SUMPRODUCT(--(calc!$L$3:$L$306=TRUE),--(calc!$M$3:$M$306=M174))-1)/2,"")</f>
        <v/>
      </c>
      <c r="R174" s="5">
        <f>IF(L174,1+SUMPRODUCT(--(calc!$L$3:$L$306=TRUE),--(calc!$N$3:$N$306&gt;N174))+(SUMPRODUCT(--(calc!$L$3:$L$306=TRUE),--(calc!$N$3:$N$306=N174))-1)/2,"")</f>
        <v/>
      </c>
      <c r="S174" s="5">
        <f>IF(L174,SUMPRODUCT(--(calc!$L$3:$L$306=TRUE),--(ROW(calc!$L$3:$L$306)&gt;ROW(L174)),--(((calc!$Q$3:$Q$306&gt;Q174)*(calc!$R$3:$R$306&gt;R174)+(calc!$Q$3:$Q$306&lt;Q174)*(calc!$R$3:$R$306&lt;R174))&gt;0))-SUMPRODUCT(--(calc!$L$3:$L$306=TRUE),--(ROW(calc!$L$3:$L$306)&gt;ROW(L174)),--(((calc!$Q$3:$Q$306&gt;Q174)*(calc!$R$3:$R$306&lt;R174)+(calc!$Q$3:$Q$306&lt;Q174)*(calc!$R$3:$R$306&gt;R174))&gt;0)),0)</f>
        <v/>
      </c>
      <c r="T174" s="5">
        <f>IF(mos_metrics!H173="","",mos_metrics!H173)</f>
        <v/>
      </c>
      <c r="U174" s="2">
        <f>AND($J174,ISNUMBER(T174),correlation!$I$27=1)</f>
        <v/>
      </c>
      <c r="V174" s="5">
        <f>IF(U174,$F174,"")</f>
        <v/>
      </c>
      <c r="W174" s="5">
        <f>IF(U174,T174*correlation!$J$27,"")</f>
        <v/>
      </c>
      <c r="X174" s="5">
        <f>IF(AND(U174,ISNUMBER(correlation!$F$27)),W174*correlation!$F$27+correlation!$G$27,"")</f>
        <v/>
      </c>
      <c r="Y174" s="5">
        <f>IF(AND(U174,ISNUMBER(X174)),(V174-X174)^2,"")</f>
        <v/>
      </c>
      <c r="Z174" s="5">
        <f>IF(U174,1+SUMPRODUCT(--(calc!$U$3:$U$306=TRUE),--(calc!$V$3:$V$306&gt;V174))+(SUMPRODUCT(--(calc!$U$3:$U$306=TRUE),--(calc!$V$3:$V$306=V174))-1)/2,"")</f>
        <v/>
      </c>
      <c r="AA174" s="5">
        <f>IF(U174,1+SUMPRODUCT(--(calc!$U$3:$U$306=TRUE),--(calc!$W$3:$W$306&gt;W174))+(SUMPRODUCT(--(calc!$U$3:$U$306=TRUE),--(calc!$W$3:$W$306=W174))-1)/2,"")</f>
        <v/>
      </c>
      <c r="AB174" s="5">
        <f>IF(U174,SUMPRODUCT(--(calc!$U$3:$U$306=TRUE),--(ROW(calc!$U$3:$U$306)&gt;ROW(U174)),--(((calc!$Z$3:$Z$306&gt;Z174)*(calc!$AA$3:$AA$306&gt;AA174)+(calc!$Z$3:$Z$306&lt;Z174)*(calc!$AA$3:$AA$306&lt;AA174))&gt;0))-SUMPRODUCT(--(calc!$U$3:$U$306=TRUE),--(ROW(calc!$U$3:$U$306)&gt;ROW(U174)),--(((calc!$Z$3:$Z$306&gt;Z174)*(calc!$AA$3:$AA$306&lt;AA174)+(calc!$Z$3:$Z$306&lt;Z174)*(calc!$AA$3:$AA$306&gt;AA174))&gt;0)),0)</f>
        <v/>
      </c>
      <c r="AC174" s="5">
        <f>IF(mos_metrics!I173="","",mos_metrics!I173)</f>
        <v/>
      </c>
      <c r="AD174" s="2">
        <f>AND($J174,ISNUMBER(AC174),correlation!$I$28=1)</f>
        <v/>
      </c>
      <c r="AE174" s="5">
        <f>IF(AD174,$F174,"")</f>
        <v/>
      </c>
      <c r="AF174" s="5">
        <f>IF(AD174,AC174*correlation!$J$28,"")</f>
        <v/>
      </c>
      <c r="AG174" s="5">
        <f>IF(AND(AD174,ISNUMBER(correlation!$F$28)),AF174*correlation!$F$28+correlation!$G$28,"")</f>
        <v/>
      </c>
      <c r="AH174" s="5">
        <f>IF(AND(AD174,ISNUMBER(AG174)),(AE174-AG174)^2,"")</f>
        <v/>
      </c>
      <c r="AI174" s="5">
        <f>IF(AD174,1+SUMPRODUCT(--(calc!$AD$3:$AD$306=TRUE),--(calc!$AE$3:$AE$306&gt;AE174))+(SUMPRODUCT(--(calc!$AD$3:$AD$306=TRUE),--(calc!$AE$3:$AE$306=AE174))-1)/2,"")</f>
        <v/>
      </c>
      <c r="AJ174" s="5">
        <f>IF(AD174,1+SUMPRODUCT(--(calc!$AD$3:$AD$306=TRUE),--(calc!$AF$3:$AF$306&gt;AF174))+(SUMPRODUCT(--(calc!$AD$3:$AD$306=TRUE),--(calc!$AF$3:$AF$306=AF174))-1)/2,"")</f>
        <v/>
      </c>
      <c r="AK174" s="5">
        <f>IF(AD174,SUMPRODUCT(--(calc!$AD$3:$AD$306=TRUE),--(ROW(calc!$AD$3:$AD$306)&gt;ROW(AD174)),--(((calc!$AI$3:$AI$306&gt;AI174)*(calc!$AJ$3:$AJ$306&gt;AJ174)+(calc!$AI$3:$AI$306&lt;AI174)*(calc!$AJ$3:$AJ$306&lt;AJ174))&gt;0))-SUMPRODUCT(--(calc!$AD$3:$AD$306=TRUE),--(ROW(calc!$AD$3:$AD$306)&gt;ROW(AD174)),--(((calc!$AI$3:$AI$306&gt;AI174)*(calc!$AJ$3:$AJ$306&lt;AJ174)+(calc!$AI$3:$AI$306&lt;AI174)*(calc!$AJ$3:$AJ$306&gt;AJ174))&gt;0)),0)</f>
        <v/>
      </c>
      <c r="AL174" s="5">
        <f>IF(mos_metrics!J173="","",mos_metrics!J173)</f>
        <v/>
      </c>
      <c r="AM174" s="2">
        <f>AND($J174,ISNUMBER(AL174),correlation!$I$29=1)</f>
        <v/>
      </c>
      <c r="AN174" s="5">
        <f>IF(AM174,$F174,"")</f>
        <v/>
      </c>
      <c r="AO174" s="5">
        <f>IF(AM174,AL174*correlation!$J$29,"")</f>
        <v/>
      </c>
      <c r="AP174" s="5">
        <f>IF(AND(AM174,ISNUMBER(correlation!$F$29)),AO174*correlation!$F$29+correlation!$G$29,"")</f>
        <v/>
      </c>
      <c r="AQ174" s="5">
        <f>IF(AND(AM174,ISNUMBER(AP174)),(AN174-AP174)^2,"")</f>
        <v/>
      </c>
      <c r="AR174" s="5">
        <f>IF(AM174,1+SUMPRODUCT(--(calc!$AM$3:$AM$306=TRUE),--(calc!$AN$3:$AN$306&gt;AN174))+(SUMPRODUCT(--(calc!$AM$3:$AM$306=TRUE),--(calc!$AN$3:$AN$306=AN174))-1)/2,"")</f>
        <v/>
      </c>
      <c r="AS174" s="5">
        <f>IF(AM174,1+SUMPRODUCT(--(calc!$AM$3:$AM$306=TRUE),--(calc!$AO$3:$AO$306&gt;AO174))+(SUMPRODUCT(--(calc!$AM$3:$AM$306=TRUE),--(calc!$AO$3:$AO$306=AO174))-1)/2,"")</f>
        <v/>
      </c>
      <c r="AT174" s="5">
        <f>IF(AM174,SUMPRODUCT(--(calc!$AM$3:$AM$306=TRUE),--(ROW(calc!$AM$3:$AM$306)&gt;ROW(AM174)),--(((calc!$AR$3:$AR$306&gt;AR174)*(calc!$AS$3:$AS$306&gt;AS174)+(calc!$AR$3:$AR$306&lt;AR174)*(calc!$AS$3:$AS$306&lt;AS174))&gt;0))-SUMPRODUCT(--(calc!$AM$3:$AM$306=TRUE),--(ROW(calc!$AM$3:$AM$306)&gt;ROW(AM174)),--(((calc!$AR$3:$AR$306&gt;AR174)*(calc!$AS$3:$AS$306&lt;AS174)+(calc!$AR$3:$AR$306&lt;AR174)*(calc!$AS$3:$AS$306&gt;AS174))&gt;0)),0)</f>
        <v/>
      </c>
      <c r="AU174" s="5">
        <f>IF(mos_metrics!K173="","",mos_metrics!K173)</f>
        <v/>
      </c>
      <c r="AV174" s="2">
        <f>AND($J174,ISNUMBER(AU174),correlation!$I$30=1)</f>
        <v/>
      </c>
      <c r="AW174" s="5">
        <f>IF(AV174,$F174,"")</f>
        <v/>
      </c>
      <c r="AX174" s="5">
        <f>IF(AV174,AU174*correlation!$J$30,"")</f>
        <v/>
      </c>
      <c r="AY174" s="5">
        <f>IF(AND(AV174,ISNUMBER(correlation!$F$30)),AX174*correlation!$F$30+correlation!$G$30,"")</f>
        <v/>
      </c>
      <c r="AZ174" s="5">
        <f>IF(AND(AV174,ISNUMBER(AY174)),(AW174-AY174)^2,"")</f>
        <v/>
      </c>
      <c r="BA174" s="5">
        <f>IF(AV174,1+SUMPRODUCT(--(calc!$AV$3:$AV$306=TRUE),--(calc!$AW$3:$AW$306&gt;AW174))+(SUMPRODUCT(--(calc!$AV$3:$AV$306=TRUE),--(calc!$AW$3:$AW$306=AW174))-1)/2,"")</f>
        <v/>
      </c>
      <c r="BB174" s="5">
        <f>IF(AV174,1+SUMPRODUCT(--(calc!$AV$3:$AV$306=TRUE),--(calc!$AX$3:$AX$306&gt;AX174))+(SUMPRODUCT(--(calc!$AV$3:$AV$306=TRUE),--(calc!$AX$3:$AX$306=AX174))-1)/2,"")</f>
        <v/>
      </c>
      <c r="BC174" s="5">
        <f>IF(AV174,SUMPRODUCT(--(calc!$AV$3:$AV$306=TRUE),--(ROW(calc!$AV$3:$AV$306)&gt;ROW(AV174)),--(((calc!$BA$3:$BA$306&gt;BA174)*(calc!$BB$3:$BB$306&gt;BB174)+(calc!$BA$3:$BA$306&lt;BA174)*(calc!$BB$3:$BB$306&lt;BB174))&gt;0))-SUMPRODUCT(--(calc!$AV$3:$AV$306=TRUE),--(ROW(calc!$AV$3:$AV$306)&gt;ROW(AV174)),--(((calc!$BA$3:$BA$306&gt;BA174)*(calc!$BB$3:$BB$306&lt;BB174)+(calc!$BA$3:$BA$306&lt;BA174)*(calc!$BB$3:$BB$306&gt;BB174))&gt;0)),0)</f>
        <v/>
      </c>
      <c r="BD174" s="5">
        <f>IF(mos_metrics!L173="","",mos_metrics!L173)</f>
        <v/>
      </c>
      <c r="BE174" s="2">
        <f>AND($J174,ISNUMBER(BD174),correlation!$I$31=1)</f>
        <v/>
      </c>
      <c r="BF174" s="5">
        <f>IF(BE174,$F174,"")</f>
        <v/>
      </c>
      <c r="BG174" s="5">
        <f>IF(BE174,BD174*correlation!$J$31,"")</f>
        <v/>
      </c>
      <c r="BH174" s="5">
        <f>IF(AND(BE174,ISNUMBER(correlation!$F$31)),BG174*correlation!$F$31+correlation!$G$31,"")</f>
        <v/>
      </c>
      <c r="BI174" s="5">
        <f>IF(AND(BE174,ISNUMBER(BH174)),(BF174-BH174)^2,"")</f>
        <v/>
      </c>
      <c r="BJ174" s="5">
        <f>IF(BE174,1+SUMPRODUCT(--(calc!$BE$3:$BE$306=TRUE),--(calc!$BF$3:$BF$306&gt;BF174))+(SUMPRODUCT(--(calc!$BE$3:$BE$306=TRUE),--(calc!$BF$3:$BF$306=BF174))-1)/2,"")</f>
        <v/>
      </c>
      <c r="BK174" s="5">
        <f>IF(BE174,1+SUMPRODUCT(--(calc!$BE$3:$BE$306=TRUE),--(calc!$BG$3:$BG$306&gt;BG174))+(SUMPRODUCT(--(calc!$BE$3:$BE$306=TRUE),--(calc!$BG$3:$BG$306=BG174))-1)/2,"")</f>
        <v/>
      </c>
      <c r="BL174" s="5">
        <f>IF(BE174,SUMPRODUCT(--(calc!$BE$3:$BE$306=TRUE),--(ROW(calc!$BE$3:$BE$306)&gt;ROW(BE174)),--(((calc!$BJ$3:$BJ$306&gt;BJ174)*(calc!$BK$3:$BK$306&gt;BK174)+(calc!$BJ$3:$BJ$306&lt;BJ174)*(calc!$BK$3:$BK$306&lt;BK174))&gt;0))-SUMPRODUCT(--(calc!$BE$3:$BE$306=TRUE),--(ROW(calc!$BE$3:$BE$306)&gt;ROW(BE174)),--(((calc!$BJ$3:$BJ$306&gt;BJ174)*(calc!$BK$3:$BK$306&lt;BK174)+(calc!$BJ$3:$BJ$306&lt;BJ174)*(calc!$BK$3:$BK$306&gt;BK174))&gt;0)),0)</f>
        <v/>
      </c>
      <c r="BM174" s="5">
        <f>IF(mos_metrics!M173="","",mos_metrics!M173)</f>
        <v/>
      </c>
      <c r="BN174" s="2">
        <f>AND($J174,ISNUMBER(BM174),correlation!$I$32=1)</f>
        <v/>
      </c>
      <c r="BO174" s="5">
        <f>IF(BN174,$F174,"")</f>
        <v/>
      </c>
      <c r="BP174" s="5">
        <f>IF(BN174,BM174*correlation!$J$32,"")</f>
        <v/>
      </c>
      <c r="BQ174" s="5">
        <f>IF(AND(BN174,ISNUMBER(correlation!$F$32)),BP174*correlation!$F$32+correlation!$G$32,"")</f>
        <v/>
      </c>
      <c r="BR174" s="5">
        <f>IF(AND(BN174,ISNUMBER(BQ174)),(BO174-BQ174)^2,"")</f>
        <v/>
      </c>
      <c r="BS174" s="5">
        <f>IF(BN174,1+SUMPRODUCT(--(calc!$BN$3:$BN$306=TRUE),--(calc!$BO$3:$BO$306&gt;BO174))+(SUMPRODUCT(--(calc!$BN$3:$BN$306=TRUE),--(calc!$BO$3:$BO$306=BO174))-1)/2,"")</f>
        <v/>
      </c>
      <c r="BT174" s="5">
        <f>IF(BN174,1+SUMPRODUCT(--(calc!$BN$3:$BN$306=TRUE),--(calc!$BP$3:$BP$306&gt;BP174))+(SUMPRODUCT(--(calc!$BN$3:$BN$306=TRUE),--(calc!$BP$3:$BP$306=BP174))-1)/2,"")</f>
        <v/>
      </c>
      <c r="BU174" s="5">
        <f>IF(BN174,SUMPRODUCT(--(calc!$BN$3:$BN$306=TRUE),--(ROW(calc!$BN$3:$BN$306)&gt;ROW(BN174)),--(((calc!$BS$3:$BS$306&gt;BS174)*(calc!$BT$3:$BT$306&gt;BT174)+(calc!$BS$3:$BS$306&lt;BS174)*(calc!$BT$3:$BT$306&lt;BT174))&gt;0))-SUMPRODUCT(--(calc!$BN$3:$BN$306=TRUE),--(ROW(calc!$BN$3:$BN$306)&gt;ROW(BN174)),--(((calc!$BS$3:$BS$306&gt;BS174)*(calc!$BT$3:$BT$306&lt;BT174)+(calc!$BS$3:$BS$306&lt;BS174)*(calc!$BT$3:$BT$306&gt;BT174))&gt;0)),0)</f>
        <v/>
      </c>
    </row>
    <row r="175">
      <c r="A175" s="2">
        <f>mos_metrics!A174</f>
        <v/>
      </c>
      <c r="B175" s="2">
        <f>mos_metrics!B174</f>
        <v/>
      </c>
      <c r="C175" s="2">
        <f>mos_metrics!C174</f>
        <v/>
      </c>
      <c r="D175" s="2">
        <f>mos_metrics!D174</f>
        <v/>
      </c>
      <c r="E175" s="2">
        <f>mos_metrics!E174</f>
        <v/>
      </c>
      <c r="F175" s="2">
        <f>mos_metrics!F174</f>
        <v/>
      </c>
      <c r="G175" s="2">
        <f>IF($B175="","",IFERROR(VLOOKUP($B175,correlation!$A$2:$B$16,2,FALSE),1))</f>
        <v/>
      </c>
      <c r="H175" s="2">
        <f>IF($E175="","",IFERROR(VLOOKUP($E175,correlation!$D$2:$E$8,2,FALSE),1))</f>
        <v/>
      </c>
      <c r="I175" s="2">
        <f>ISNUMBER($F175)</f>
        <v/>
      </c>
      <c r="J175" s="2">
        <f>AND($G175=1,$H175=1,$I175)</f>
        <v/>
      </c>
      <c r="K175" s="5">
        <f>IF(mos_metrics!G174="","",mos_metrics!G174)</f>
        <v/>
      </c>
      <c r="L175" s="2">
        <f>AND($J175,ISNUMBER(K175),correlation!$I$26=1)</f>
        <v/>
      </c>
      <c r="M175" s="5">
        <f>IF(L175,$F175,"")</f>
        <v/>
      </c>
      <c r="N175" s="5">
        <f>IF(L175,K175*correlation!$J$26,"")</f>
        <v/>
      </c>
      <c r="O175" s="5">
        <f>IF(AND(L175,ISNUMBER(correlation!$F$26)),N175*correlation!$F$26+correlation!$G$26,"")</f>
        <v/>
      </c>
      <c r="P175" s="5">
        <f>IF(AND(L175,ISNUMBER(O175)),(M175-O175)^2,"")</f>
        <v/>
      </c>
      <c r="Q175" s="5">
        <f>IF(L175,1+SUMPRODUCT(--(calc!$L$3:$L$306=TRUE),--(calc!$M$3:$M$306&gt;M175))+(SUMPRODUCT(--(calc!$L$3:$L$306=TRUE),--(calc!$M$3:$M$306=M175))-1)/2,"")</f>
        <v/>
      </c>
      <c r="R175" s="5">
        <f>IF(L175,1+SUMPRODUCT(--(calc!$L$3:$L$306=TRUE),--(calc!$N$3:$N$306&gt;N175))+(SUMPRODUCT(--(calc!$L$3:$L$306=TRUE),--(calc!$N$3:$N$306=N175))-1)/2,"")</f>
        <v/>
      </c>
      <c r="S175" s="5">
        <f>IF(L175,SUMPRODUCT(--(calc!$L$3:$L$306=TRUE),--(ROW(calc!$L$3:$L$306)&gt;ROW(L175)),--(((calc!$Q$3:$Q$306&gt;Q175)*(calc!$R$3:$R$306&gt;R175)+(calc!$Q$3:$Q$306&lt;Q175)*(calc!$R$3:$R$306&lt;R175))&gt;0))-SUMPRODUCT(--(calc!$L$3:$L$306=TRUE),--(ROW(calc!$L$3:$L$306)&gt;ROW(L175)),--(((calc!$Q$3:$Q$306&gt;Q175)*(calc!$R$3:$R$306&lt;R175)+(calc!$Q$3:$Q$306&lt;Q175)*(calc!$R$3:$R$306&gt;R175))&gt;0)),0)</f>
        <v/>
      </c>
      <c r="T175" s="5">
        <f>IF(mos_metrics!H174="","",mos_metrics!H174)</f>
        <v/>
      </c>
      <c r="U175" s="2">
        <f>AND($J175,ISNUMBER(T175),correlation!$I$27=1)</f>
        <v/>
      </c>
      <c r="V175" s="5">
        <f>IF(U175,$F175,"")</f>
        <v/>
      </c>
      <c r="W175" s="5">
        <f>IF(U175,T175*correlation!$J$27,"")</f>
        <v/>
      </c>
      <c r="X175" s="5">
        <f>IF(AND(U175,ISNUMBER(correlation!$F$27)),W175*correlation!$F$27+correlation!$G$27,"")</f>
        <v/>
      </c>
      <c r="Y175" s="5">
        <f>IF(AND(U175,ISNUMBER(X175)),(V175-X175)^2,"")</f>
        <v/>
      </c>
      <c r="Z175" s="5">
        <f>IF(U175,1+SUMPRODUCT(--(calc!$U$3:$U$306=TRUE),--(calc!$V$3:$V$306&gt;V175))+(SUMPRODUCT(--(calc!$U$3:$U$306=TRUE),--(calc!$V$3:$V$306=V175))-1)/2,"")</f>
        <v/>
      </c>
      <c r="AA175" s="5">
        <f>IF(U175,1+SUMPRODUCT(--(calc!$U$3:$U$306=TRUE),--(calc!$W$3:$W$306&gt;W175))+(SUMPRODUCT(--(calc!$U$3:$U$306=TRUE),--(calc!$W$3:$W$306=W175))-1)/2,"")</f>
        <v/>
      </c>
      <c r="AB175" s="5">
        <f>IF(U175,SUMPRODUCT(--(calc!$U$3:$U$306=TRUE),--(ROW(calc!$U$3:$U$306)&gt;ROW(U175)),--(((calc!$Z$3:$Z$306&gt;Z175)*(calc!$AA$3:$AA$306&gt;AA175)+(calc!$Z$3:$Z$306&lt;Z175)*(calc!$AA$3:$AA$306&lt;AA175))&gt;0))-SUMPRODUCT(--(calc!$U$3:$U$306=TRUE),--(ROW(calc!$U$3:$U$306)&gt;ROW(U175)),--(((calc!$Z$3:$Z$306&gt;Z175)*(calc!$AA$3:$AA$306&lt;AA175)+(calc!$Z$3:$Z$306&lt;Z175)*(calc!$AA$3:$AA$306&gt;AA175))&gt;0)),0)</f>
        <v/>
      </c>
      <c r="AC175" s="5">
        <f>IF(mos_metrics!I174="","",mos_metrics!I174)</f>
        <v/>
      </c>
      <c r="AD175" s="2">
        <f>AND($J175,ISNUMBER(AC175),correlation!$I$28=1)</f>
        <v/>
      </c>
      <c r="AE175" s="5">
        <f>IF(AD175,$F175,"")</f>
        <v/>
      </c>
      <c r="AF175" s="5">
        <f>IF(AD175,AC175*correlation!$J$28,"")</f>
        <v/>
      </c>
      <c r="AG175" s="5">
        <f>IF(AND(AD175,ISNUMBER(correlation!$F$28)),AF175*correlation!$F$28+correlation!$G$28,"")</f>
        <v/>
      </c>
      <c r="AH175" s="5">
        <f>IF(AND(AD175,ISNUMBER(AG175)),(AE175-AG175)^2,"")</f>
        <v/>
      </c>
      <c r="AI175" s="5">
        <f>IF(AD175,1+SUMPRODUCT(--(calc!$AD$3:$AD$306=TRUE),--(calc!$AE$3:$AE$306&gt;AE175))+(SUMPRODUCT(--(calc!$AD$3:$AD$306=TRUE),--(calc!$AE$3:$AE$306=AE175))-1)/2,"")</f>
        <v/>
      </c>
      <c r="AJ175" s="5">
        <f>IF(AD175,1+SUMPRODUCT(--(calc!$AD$3:$AD$306=TRUE),--(calc!$AF$3:$AF$306&gt;AF175))+(SUMPRODUCT(--(calc!$AD$3:$AD$306=TRUE),--(calc!$AF$3:$AF$306=AF175))-1)/2,"")</f>
        <v/>
      </c>
      <c r="AK175" s="5">
        <f>IF(AD175,SUMPRODUCT(--(calc!$AD$3:$AD$306=TRUE),--(ROW(calc!$AD$3:$AD$306)&gt;ROW(AD175)),--(((calc!$AI$3:$AI$306&gt;AI175)*(calc!$AJ$3:$AJ$306&gt;AJ175)+(calc!$AI$3:$AI$306&lt;AI175)*(calc!$AJ$3:$AJ$306&lt;AJ175))&gt;0))-SUMPRODUCT(--(calc!$AD$3:$AD$306=TRUE),--(ROW(calc!$AD$3:$AD$306)&gt;ROW(AD175)),--(((calc!$AI$3:$AI$306&gt;AI175)*(calc!$AJ$3:$AJ$306&lt;AJ175)+(calc!$AI$3:$AI$306&lt;AI175)*(calc!$AJ$3:$AJ$306&gt;AJ175))&gt;0)),0)</f>
        <v/>
      </c>
      <c r="AL175" s="5">
        <f>IF(mos_metrics!J174="","",mos_metrics!J174)</f>
        <v/>
      </c>
      <c r="AM175" s="2">
        <f>AND($J175,ISNUMBER(AL175),correlation!$I$29=1)</f>
        <v/>
      </c>
      <c r="AN175" s="5">
        <f>IF(AM175,$F175,"")</f>
        <v/>
      </c>
      <c r="AO175" s="5">
        <f>IF(AM175,AL175*correlation!$J$29,"")</f>
        <v/>
      </c>
      <c r="AP175" s="5">
        <f>IF(AND(AM175,ISNUMBER(correlation!$F$29)),AO175*correlation!$F$29+correlation!$G$29,"")</f>
        <v/>
      </c>
      <c r="AQ175" s="5">
        <f>IF(AND(AM175,ISNUMBER(AP175)),(AN175-AP175)^2,"")</f>
        <v/>
      </c>
      <c r="AR175" s="5">
        <f>IF(AM175,1+SUMPRODUCT(--(calc!$AM$3:$AM$306=TRUE),--(calc!$AN$3:$AN$306&gt;AN175))+(SUMPRODUCT(--(calc!$AM$3:$AM$306=TRUE),--(calc!$AN$3:$AN$306=AN175))-1)/2,"")</f>
        <v/>
      </c>
      <c r="AS175" s="5">
        <f>IF(AM175,1+SUMPRODUCT(--(calc!$AM$3:$AM$306=TRUE),--(calc!$AO$3:$AO$306&gt;AO175))+(SUMPRODUCT(--(calc!$AM$3:$AM$306=TRUE),--(calc!$AO$3:$AO$306=AO175))-1)/2,"")</f>
        <v/>
      </c>
      <c r="AT175" s="5">
        <f>IF(AM175,SUMPRODUCT(--(calc!$AM$3:$AM$306=TRUE),--(ROW(calc!$AM$3:$AM$306)&gt;ROW(AM175)),--(((calc!$AR$3:$AR$306&gt;AR175)*(calc!$AS$3:$AS$306&gt;AS175)+(calc!$AR$3:$AR$306&lt;AR175)*(calc!$AS$3:$AS$306&lt;AS175))&gt;0))-SUMPRODUCT(--(calc!$AM$3:$AM$306=TRUE),--(ROW(calc!$AM$3:$AM$306)&gt;ROW(AM175)),--(((calc!$AR$3:$AR$306&gt;AR175)*(calc!$AS$3:$AS$306&lt;AS175)+(calc!$AR$3:$AR$306&lt;AR175)*(calc!$AS$3:$AS$306&gt;AS175))&gt;0)),0)</f>
        <v/>
      </c>
      <c r="AU175" s="5">
        <f>IF(mos_metrics!K174="","",mos_metrics!K174)</f>
        <v/>
      </c>
      <c r="AV175" s="2">
        <f>AND($J175,ISNUMBER(AU175),correlation!$I$30=1)</f>
        <v/>
      </c>
      <c r="AW175" s="5">
        <f>IF(AV175,$F175,"")</f>
        <v/>
      </c>
      <c r="AX175" s="5">
        <f>IF(AV175,AU175*correlation!$J$30,"")</f>
        <v/>
      </c>
      <c r="AY175" s="5">
        <f>IF(AND(AV175,ISNUMBER(correlation!$F$30)),AX175*correlation!$F$30+correlation!$G$30,"")</f>
        <v/>
      </c>
      <c r="AZ175" s="5">
        <f>IF(AND(AV175,ISNUMBER(AY175)),(AW175-AY175)^2,"")</f>
        <v/>
      </c>
      <c r="BA175" s="5">
        <f>IF(AV175,1+SUMPRODUCT(--(calc!$AV$3:$AV$306=TRUE),--(calc!$AW$3:$AW$306&gt;AW175))+(SUMPRODUCT(--(calc!$AV$3:$AV$306=TRUE),--(calc!$AW$3:$AW$306=AW175))-1)/2,"")</f>
        <v/>
      </c>
      <c r="BB175" s="5">
        <f>IF(AV175,1+SUMPRODUCT(--(calc!$AV$3:$AV$306=TRUE),--(calc!$AX$3:$AX$306&gt;AX175))+(SUMPRODUCT(--(calc!$AV$3:$AV$306=TRUE),--(calc!$AX$3:$AX$306=AX175))-1)/2,"")</f>
        <v/>
      </c>
      <c r="BC175" s="5">
        <f>IF(AV175,SUMPRODUCT(--(calc!$AV$3:$AV$306=TRUE),--(ROW(calc!$AV$3:$AV$306)&gt;ROW(AV175)),--(((calc!$BA$3:$BA$306&gt;BA175)*(calc!$BB$3:$BB$306&gt;BB175)+(calc!$BA$3:$BA$306&lt;BA175)*(calc!$BB$3:$BB$306&lt;BB175))&gt;0))-SUMPRODUCT(--(calc!$AV$3:$AV$306=TRUE),--(ROW(calc!$AV$3:$AV$306)&gt;ROW(AV175)),--(((calc!$BA$3:$BA$306&gt;BA175)*(calc!$BB$3:$BB$306&lt;BB175)+(calc!$BA$3:$BA$306&lt;BA175)*(calc!$BB$3:$BB$306&gt;BB175))&gt;0)),0)</f>
        <v/>
      </c>
      <c r="BD175" s="5">
        <f>IF(mos_metrics!L174="","",mos_metrics!L174)</f>
        <v/>
      </c>
      <c r="BE175" s="2">
        <f>AND($J175,ISNUMBER(BD175),correlation!$I$31=1)</f>
        <v/>
      </c>
      <c r="BF175" s="5">
        <f>IF(BE175,$F175,"")</f>
        <v/>
      </c>
      <c r="BG175" s="5">
        <f>IF(BE175,BD175*correlation!$J$31,"")</f>
        <v/>
      </c>
      <c r="BH175" s="5">
        <f>IF(AND(BE175,ISNUMBER(correlation!$F$31)),BG175*correlation!$F$31+correlation!$G$31,"")</f>
        <v/>
      </c>
      <c r="BI175" s="5">
        <f>IF(AND(BE175,ISNUMBER(BH175)),(BF175-BH175)^2,"")</f>
        <v/>
      </c>
      <c r="BJ175" s="5">
        <f>IF(BE175,1+SUMPRODUCT(--(calc!$BE$3:$BE$306=TRUE),--(calc!$BF$3:$BF$306&gt;BF175))+(SUMPRODUCT(--(calc!$BE$3:$BE$306=TRUE),--(calc!$BF$3:$BF$306=BF175))-1)/2,"")</f>
        <v/>
      </c>
      <c r="BK175" s="5">
        <f>IF(BE175,1+SUMPRODUCT(--(calc!$BE$3:$BE$306=TRUE),--(calc!$BG$3:$BG$306&gt;BG175))+(SUMPRODUCT(--(calc!$BE$3:$BE$306=TRUE),--(calc!$BG$3:$BG$306=BG175))-1)/2,"")</f>
        <v/>
      </c>
      <c r="BL175" s="5">
        <f>IF(BE175,SUMPRODUCT(--(calc!$BE$3:$BE$306=TRUE),--(ROW(calc!$BE$3:$BE$306)&gt;ROW(BE175)),--(((calc!$BJ$3:$BJ$306&gt;BJ175)*(calc!$BK$3:$BK$306&gt;BK175)+(calc!$BJ$3:$BJ$306&lt;BJ175)*(calc!$BK$3:$BK$306&lt;BK175))&gt;0))-SUMPRODUCT(--(calc!$BE$3:$BE$306=TRUE),--(ROW(calc!$BE$3:$BE$306)&gt;ROW(BE175)),--(((calc!$BJ$3:$BJ$306&gt;BJ175)*(calc!$BK$3:$BK$306&lt;BK175)+(calc!$BJ$3:$BJ$306&lt;BJ175)*(calc!$BK$3:$BK$306&gt;BK175))&gt;0)),0)</f>
        <v/>
      </c>
      <c r="BM175" s="5">
        <f>IF(mos_metrics!M174="","",mos_metrics!M174)</f>
        <v/>
      </c>
      <c r="BN175" s="2">
        <f>AND($J175,ISNUMBER(BM175),correlation!$I$32=1)</f>
        <v/>
      </c>
      <c r="BO175" s="5">
        <f>IF(BN175,$F175,"")</f>
        <v/>
      </c>
      <c r="BP175" s="5">
        <f>IF(BN175,BM175*correlation!$J$32,"")</f>
        <v/>
      </c>
      <c r="BQ175" s="5">
        <f>IF(AND(BN175,ISNUMBER(correlation!$F$32)),BP175*correlation!$F$32+correlation!$G$32,"")</f>
        <v/>
      </c>
      <c r="BR175" s="5">
        <f>IF(AND(BN175,ISNUMBER(BQ175)),(BO175-BQ175)^2,"")</f>
        <v/>
      </c>
      <c r="BS175" s="5">
        <f>IF(BN175,1+SUMPRODUCT(--(calc!$BN$3:$BN$306=TRUE),--(calc!$BO$3:$BO$306&gt;BO175))+(SUMPRODUCT(--(calc!$BN$3:$BN$306=TRUE),--(calc!$BO$3:$BO$306=BO175))-1)/2,"")</f>
        <v/>
      </c>
      <c r="BT175" s="5">
        <f>IF(BN175,1+SUMPRODUCT(--(calc!$BN$3:$BN$306=TRUE),--(calc!$BP$3:$BP$306&gt;BP175))+(SUMPRODUCT(--(calc!$BN$3:$BN$306=TRUE),--(calc!$BP$3:$BP$306=BP175))-1)/2,"")</f>
        <v/>
      </c>
      <c r="BU175" s="5">
        <f>IF(BN175,SUMPRODUCT(--(calc!$BN$3:$BN$306=TRUE),--(ROW(calc!$BN$3:$BN$306)&gt;ROW(BN175)),--(((calc!$BS$3:$BS$306&gt;BS175)*(calc!$BT$3:$BT$306&gt;BT175)+(calc!$BS$3:$BS$306&lt;BS175)*(calc!$BT$3:$BT$306&lt;BT175))&gt;0))-SUMPRODUCT(--(calc!$BN$3:$BN$306=TRUE),--(ROW(calc!$BN$3:$BN$306)&gt;ROW(BN175)),--(((calc!$BS$3:$BS$306&gt;BS175)*(calc!$BT$3:$BT$306&lt;BT175)+(calc!$BS$3:$BS$306&lt;BS175)*(calc!$BT$3:$BT$306&gt;BT175))&gt;0)),0)</f>
        <v/>
      </c>
    </row>
    <row r="176">
      <c r="A176" s="2">
        <f>mos_metrics!A175</f>
        <v/>
      </c>
      <c r="B176" s="2">
        <f>mos_metrics!B175</f>
        <v/>
      </c>
      <c r="C176" s="2">
        <f>mos_metrics!C175</f>
        <v/>
      </c>
      <c r="D176" s="2">
        <f>mos_metrics!D175</f>
        <v/>
      </c>
      <c r="E176" s="2">
        <f>mos_metrics!E175</f>
        <v/>
      </c>
      <c r="F176" s="2">
        <f>mos_metrics!F175</f>
        <v/>
      </c>
      <c r="G176" s="2">
        <f>IF($B176="","",IFERROR(VLOOKUP($B176,correlation!$A$2:$B$16,2,FALSE),1))</f>
        <v/>
      </c>
      <c r="H176" s="2">
        <f>IF($E176="","",IFERROR(VLOOKUP($E176,correlation!$D$2:$E$8,2,FALSE),1))</f>
        <v/>
      </c>
      <c r="I176" s="2">
        <f>ISNUMBER($F176)</f>
        <v/>
      </c>
      <c r="J176" s="2">
        <f>AND($G176=1,$H176=1,$I176)</f>
        <v/>
      </c>
      <c r="K176" s="5">
        <f>IF(mos_metrics!G175="","",mos_metrics!G175)</f>
        <v/>
      </c>
      <c r="L176" s="2">
        <f>AND($J176,ISNUMBER(K176),correlation!$I$26=1)</f>
        <v/>
      </c>
      <c r="M176" s="5">
        <f>IF(L176,$F176,"")</f>
        <v/>
      </c>
      <c r="N176" s="5">
        <f>IF(L176,K176*correlation!$J$26,"")</f>
        <v/>
      </c>
      <c r="O176" s="5">
        <f>IF(AND(L176,ISNUMBER(correlation!$F$26)),N176*correlation!$F$26+correlation!$G$26,"")</f>
        <v/>
      </c>
      <c r="P176" s="5">
        <f>IF(AND(L176,ISNUMBER(O176)),(M176-O176)^2,"")</f>
        <v/>
      </c>
      <c r="Q176" s="5">
        <f>IF(L176,1+SUMPRODUCT(--(calc!$L$3:$L$306=TRUE),--(calc!$M$3:$M$306&gt;M176))+(SUMPRODUCT(--(calc!$L$3:$L$306=TRUE),--(calc!$M$3:$M$306=M176))-1)/2,"")</f>
        <v/>
      </c>
      <c r="R176" s="5">
        <f>IF(L176,1+SUMPRODUCT(--(calc!$L$3:$L$306=TRUE),--(calc!$N$3:$N$306&gt;N176))+(SUMPRODUCT(--(calc!$L$3:$L$306=TRUE),--(calc!$N$3:$N$306=N176))-1)/2,"")</f>
        <v/>
      </c>
      <c r="S176" s="5">
        <f>IF(L176,SUMPRODUCT(--(calc!$L$3:$L$306=TRUE),--(ROW(calc!$L$3:$L$306)&gt;ROW(L176)),--(((calc!$Q$3:$Q$306&gt;Q176)*(calc!$R$3:$R$306&gt;R176)+(calc!$Q$3:$Q$306&lt;Q176)*(calc!$R$3:$R$306&lt;R176))&gt;0))-SUMPRODUCT(--(calc!$L$3:$L$306=TRUE),--(ROW(calc!$L$3:$L$306)&gt;ROW(L176)),--(((calc!$Q$3:$Q$306&gt;Q176)*(calc!$R$3:$R$306&lt;R176)+(calc!$Q$3:$Q$306&lt;Q176)*(calc!$R$3:$R$306&gt;R176))&gt;0)),0)</f>
        <v/>
      </c>
      <c r="T176" s="5">
        <f>IF(mos_metrics!H175="","",mos_metrics!H175)</f>
        <v/>
      </c>
      <c r="U176" s="2">
        <f>AND($J176,ISNUMBER(T176),correlation!$I$27=1)</f>
        <v/>
      </c>
      <c r="V176" s="5">
        <f>IF(U176,$F176,"")</f>
        <v/>
      </c>
      <c r="W176" s="5">
        <f>IF(U176,T176*correlation!$J$27,"")</f>
        <v/>
      </c>
      <c r="X176" s="5">
        <f>IF(AND(U176,ISNUMBER(correlation!$F$27)),W176*correlation!$F$27+correlation!$G$27,"")</f>
        <v/>
      </c>
      <c r="Y176" s="5">
        <f>IF(AND(U176,ISNUMBER(X176)),(V176-X176)^2,"")</f>
        <v/>
      </c>
      <c r="Z176" s="5">
        <f>IF(U176,1+SUMPRODUCT(--(calc!$U$3:$U$306=TRUE),--(calc!$V$3:$V$306&gt;V176))+(SUMPRODUCT(--(calc!$U$3:$U$306=TRUE),--(calc!$V$3:$V$306=V176))-1)/2,"")</f>
        <v/>
      </c>
      <c r="AA176" s="5">
        <f>IF(U176,1+SUMPRODUCT(--(calc!$U$3:$U$306=TRUE),--(calc!$W$3:$W$306&gt;W176))+(SUMPRODUCT(--(calc!$U$3:$U$306=TRUE),--(calc!$W$3:$W$306=W176))-1)/2,"")</f>
        <v/>
      </c>
      <c r="AB176" s="5">
        <f>IF(U176,SUMPRODUCT(--(calc!$U$3:$U$306=TRUE),--(ROW(calc!$U$3:$U$306)&gt;ROW(U176)),--(((calc!$Z$3:$Z$306&gt;Z176)*(calc!$AA$3:$AA$306&gt;AA176)+(calc!$Z$3:$Z$306&lt;Z176)*(calc!$AA$3:$AA$306&lt;AA176))&gt;0))-SUMPRODUCT(--(calc!$U$3:$U$306=TRUE),--(ROW(calc!$U$3:$U$306)&gt;ROW(U176)),--(((calc!$Z$3:$Z$306&gt;Z176)*(calc!$AA$3:$AA$306&lt;AA176)+(calc!$Z$3:$Z$306&lt;Z176)*(calc!$AA$3:$AA$306&gt;AA176))&gt;0)),0)</f>
        <v/>
      </c>
      <c r="AC176" s="5">
        <f>IF(mos_metrics!I175="","",mos_metrics!I175)</f>
        <v/>
      </c>
      <c r="AD176" s="2">
        <f>AND($J176,ISNUMBER(AC176),correlation!$I$28=1)</f>
        <v/>
      </c>
      <c r="AE176" s="5">
        <f>IF(AD176,$F176,"")</f>
        <v/>
      </c>
      <c r="AF176" s="5">
        <f>IF(AD176,AC176*correlation!$J$28,"")</f>
        <v/>
      </c>
      <c r="AG176" s="5">
        <f>IF(AND(AD176,ISNUMBER(correlation!$F$28)),AF176*correlation!$F$28+correlation!$G$28,"")</f>
        <v/>
      </c>
      <c r="AH176" s="5">
        <f>IF(AND(AD176,ISNUMBER(AG176)),(AE176-AG176)^2,"")</f>
        <v/>
      </c>
      <c r="AI176" s="5">
        <f>IF(AD176,1+SUMPRODUCT(--(calc!$AD$3:$AD$306=TRUE),--(calc!$AE$3:$AE$306&gt;AE176))+(SUMPRODUCT(--(calc!$AD$3:$AD$306=TRUE),--(calc!$AE$3:$AE$306=AE176))-1)/2,"")</f>
        <v/>
      </c>
      <c r="AJ176" s="5">
        <f>IF(AD176,1+SUMPRODUCT(--(calc!$AD$3:$AD$306=TRUE),--(calc!$AF$3:$AF$306&gt;AF176))+(SUMPRODUCT(--(calc!$AD$3:$AD$306=TRUE),--(calc!$AF$3:$AF$306=AF176))-1)/2,"")</f>
        <v/>
      </c>
      <c r="AK176" s="5">
        <f>IF(AD176,SUMPRODUCT(--(calc!$AD$3:$AD$306=TRUE),--(ROW(calc!$AD$3:$AD$306)&gt;ROW(AD176)),--(((calc!$AI$3:$AI$306&gt;AI176)*(calc!$AJ$3:$AJ$306&gt;AJ176)+(calc!$AI$3:$AI$306&lt;AI176)*(calc!$AJ$3:$AJ$306&lt;AJ176))&gt;0))-SUMPRODUCT(--(calc!$AD$3:$AD$306=TRUE),--(ROW(calc!$AD$3:$AD$306)&gt;ROW(AD176)),--(((calc!$AI$3:$AI$306&gt;AI176)*(calc!$AJ$3:$AJ$306&lt;AJ176)+(calc!$AI$3:$AI$306&lt;AI176)*(calc!$AJ$3:$AJ$306&gt;AJ176))&gt;0)),0)</f>
        <v/>
      </c>
      <c r="AL176" s="5">
        <f>IF(mos_metrics!J175="","",mos_metrics!J175)</f>
        <v/>
      </c>
      <c r="AM176" s="2">
        <f>AND($J176,ISNUMBER(AL176),correlation!$I$29=1)</f>
        <v/>
      </c>
      <c r="AN176" s="5">
        <f>IF(AM176,$F176,"")</f>
        <v/>
      </c>
      <c r="AO176" s="5">
        <f>IF(AM176,AL176*correlation!$J$29,"")</f>
        <v/>
      </c>
      <c r="AP176" s="5">
        <f>IF(AND(AM176,ISNUMBER(correlation!$F$29)),AO176*correlation!$F$29+correlation!$G$29,"")</f>
        <v/>
      </c>
      <c r="AQ176" s="5">
        <f>IF(AND(AM176,ISNUMBER(AP176)),(AN176-AP176)^2,"")</f>
        <v/>
      </c>
      <c r="AR176" s="5">
        <f>IF(AM176,1+SUMPRODUCT(--(calc!$AM$3:$AM$306=TRUE),--(calc!$AN$3:$AN$306&gt;AN176))+(SUMPRODUCT(--(calc!$AM$3:$AM$306=TRUE),--(calc!$AN$3:$AN$306=AN176))-1)/2,"")</f>
        <v/>
      </c>
      <c r="AS176" s="5">
        <f>IF(AM176,1+SUMPRODUCT(--(calc!$AM$3:$AM$306=TRUE),--(calc!$AO$3:$AO$306&gt;AO176))+(SUMPRODUCT(--(calc!$AM$3:$AM$306=TRUE),--(calc!$AO$3:$AO$306=AO176))-1)/2,"")</f>
        <v/>
      </c>
      <c r="AT176" s="5">
        <f>IF(AM176,SUMPRODUCT(--(calc!$AM$3:$AM$306=TRUE),--(ROW(calc!$AM$3:$AM$306)&gt;ROW(AM176)),--(((calc!$AR$3:$AR$306&gt;AR176)*(calc!$AS$3:$AS$306&gt;AS176)+(calc!$AR$3:$AR$306&lt;AR176)*(calc!$AS$3:$AS$306&lt;AS176))&gt;0))-SUMPRODUCT(--(calc!$AM$3:$AM$306=TRUE),--(ROW(calc!$AM$3:$AM$306)&gt;ROW(AM176)),--(((calc!$AR$3:$AR$306&gt;AR176)*(calc!$AS$3:$AS$306&lt;AS176)+(calc!$AR$3:$AR$306&lt;AR176)*(calc!$AS$3:$AS$306&gt;AS176))&gt;0)),0)</f>
        <v/>
      </c>
      <c r="AU176" s="5">
        <f>IF(mos_metrics!K175="","",mos_metrics!K175)</f>
        <v/>
      </c>
      <c r="AV176" s="2">
        <f>AND($J176,ISNUMBER(AU176),correlation!$I$30=1)</f>
        <v/>
      </c>
      <c r="AW176" s="5">
        <f>IF(AV176,$F176,"")</f>
        <v/>
      </c>
      <c r="AX176" s="5">
        <f>IF(AV176,AU176*correlation!$J$30,"")</f>
        <v/>
      </c>
      <c r="AY176" s="5">
        <f>IF(AND(AV176,ISNUMBER(correlation!$F$30)),AX176*correlation!$F$30+correlation!$G$30,"")</f>
        <v/>
      </c>
      <c r="AZ176" s="5">
        <f>IF(AND(AV176,ISNUMBER(AY176)),(AW176-AY176)^2,"")</f>
        <v/>
      </c>
      <c r="BA176" s="5">
        <f>IF(AV176,1+SUMPRODUCT(--(calc!$AV$3:$AV$306=TRUE),--(calc!$AW$3:$AW$306&gt;AW176))+(SUMPRODUCT(--(calc!$AV$3:$AV$306=TRUE),--(calc!$AW$3:$AW$306=AW176))-1)/2,"")</f>
        <v/>
      </c>
      <c r="BB176" s="5">
        <f>IF(AV176,1+SUMPRODUCT(--(calc!$AV$3:$AV$306=TRUE),--(calc!$AX$3:$AX$306&gt;AX176))+(SUMPRODUCT(--(calc!$AV$3:$AV$306=TRUE),--(calc!$AX$3:$AX$306=AX176))-1)/2,"")</f>
        <v/>
      </c>
      <c r="BC176" s="5">
        <f>IF(AV176,SUMPRODUCT(--(calc!$AV$3:$AV$306=TRUE),--(ROW(calc!$AV$3:$AV$306)&gt;ROW(AV176)),--(((calc!$BA$3:$BA$306&gt;BA176)*(calc!$BB$3:$BB$306&gt;BB176)+(calc!$BA$3:$BA$306&lt;BA176)*(calc!$BB$3:$BB$306&lt;BB176))&gt;0))-SUMPRODUCT(--(calc!$AV$3:$AV$306=TRUE),--(ROW(calc!$AV$3:$AV$306)&gt;ROW(AV176)),--(((calc!$BA$3:$BA$306&gt;BA176)*(calc!$BB$3:$BB$306&lt;BB176)+(calc!$BA$3:$BA$306&lt;BA176)*(calc!$BB$3:$BB$306&gt;BB176))&gt;0)),0)</f>
        <v/>
      </c>
      <c r="BD176" s="5">
        <f>IF(mos_metrics!L175="","",mos_metrics!L175)</f>
        <v/>
      </c>
      <c r="BE176" s="2">
        <f>AND($J176,ISNUMBER(BD176),correlation!$I$31=1)</f>
        <v/>
      </c>
      <c r="BF176" s="5">
        <f>IF(BE176,$F176,"")</f>
        <v/>
      </c>
      <c r="BG176" s="5">
        <f>IF(BE176,BD176*correlation!$J$31,"")</f>
        <v/>
      </c>
      <c r="BH176" s="5">
        <f>IF(AND(BE176,ISNUMBER(correlation!$F$31)),BG176*correlation!$F$31+correlation!$G$31,"")</f>
        <v/>
      </c>
      <c r="BI176" s="5">
        <f>IF(AND(BE176,ISNUMBER(BH176)),(BF176-BH176)^2,"")</f>
        <v/>
      </c>
      <c r="BJ176" s="5">
        <f>IF(BE176,1+SUMPRODUCT(--(calc!$BE$3:$BE$306=TRUE),--(calc!$BF$3:$BF$306&gt;BF176))+(SUMPRODUCT(--(calc!$BE$3:$BE$306=TRUE),--(calc!$BF$3:$BF$306=BF176))-1)/2,"")</f>
        <v/>
      </c>
      <c r="BK176" s="5">
        <f>IF(BE176,1+SUMPRODUCT(--(calc!$BE$3:$BE$306=TRUE),--(calc!$BG$3:$BG$306&gt;BG176))+(SUMPRODUCT(--(calc!$BE$3:$BE$306=TRUE),--(calc!$BG$3:$BG$306=BG176))-1)/2,"")</f>
        <v/>
      </c>
      <c r="BL176" s="5">
        <f>IF(BE176,SUMPRODUCT(--(calc!$BE$3:$BE$306=TRUE),--(ROW(calc!$BE$3:$BE$306)&gt;ROW(BE176)),--(((calc!$BJ$3:$BJ$306&gt;BJ176)*(calc!$BK$3:$BK$306&gt;BK176)+(calc!$BJ$3:$BJ$306&lt;BJ176)*(calc!$BK$3:$BK$306&lt;BK176))&gt;0))-SUMPRODUCT(--(calc!$BE$3:$BE$306=TRUE),--(ROW(calc!$BE$3:$BE$306)&gt;ROW(BE176)),--(((calc!$BJ$3:$BJ$306&gt;BJ176)*(calc!$BK$3:$BK$306&lt;BK176)+(calc!$BJ$3:$BJ$306&lt;BJ176)*(calc!$BK$3:$BK$306&gt;BK176))&gt;0)),0)</f>
        <v/>
      </c>
      <c r="BM176" s="5">
        <f>IF(mos_metrics!M175="","",mos_metrics!M175)</f>
        <v/>
      </c>
      <c r="BN176" s="2">
        <f>AND($J176,ISNUMBER(BM176),correlation!$I$32=1)</f>
        <v/>
      </c>
      <c r="BO176" s="5">
        <f>IF(BN176,$F176,"")</f>
        <v/>
      </c>
      <c r="BP176" s="5">
        <f>IF(BN176,BM176*correlation!$J$32,"")</f>
        <v/>
      </c>
      <c r="BQ176" s="5">
        <f>IF(AND(BN176,ISNUMBER(correlation!$F$32)),BP176*correlation!$F$32+correlation!$G$32,"")</f>
        <v/>
      </c>
      <c r="BR176" s="5">
        <f>IF(AND(BN176,ISNUMBER(BQ176)),(BO176-BQ176)^2,"")</f>
        <v/>
      </c>
      <c r="BS176" s="5">
        <f>IF(BN176,1+SUMPRODUCT(--(calc!$BN$3:$BN$306=TRUE),--(calc!$BO$3:$BO$306&gt;BO176))+(SUMPRODUCT(--(calc!$BN$3:$BN$306=TRUE),--(calc!$BO$3:$BO$306=BO176))-1)/2,"")</f>
        <v/>
      </c>
      <c r="BT176" s="5">
        <f>IF(BN176,1+SUMPRODUCT(--(calc!$BN$3:$BN$306=TRUE),--(calc!$BP$3:$BP$306&gt;BP176))+(SUMPRODUCT(--(calc!$BN$3:$BN$306=TRUE),--(calc!$BP$3:$BP$306=BP176))-1)/2,"")</f>
        <v/>
      </c>
      <c r="BU176" s="5">
        <f>IF(BN176,SUMPRODUCT(--(calc!$BN$3:$BN$306=TRUE),--(ROW(calc!$BN$3:$BN$306)&gt;ROW(BN176)),--(((calc!$BS$3:$BS$306&gt;BS176)*(calc!$BT$3:$BT$306&gt;BT176)+(calc!$BS$3:$BS$306&lt;BS176)*(calc!$BT$3:$BT$306&lt;BT176))&gt;0))-SUMPRODUCT(--(calc!$BN$3:$BN$306=TRUE),--(ROW(calc!$BN$3:$BN$306)&gt;ROW(BN176)),--(((calc!$BS$3:$BS$306&gt;BS176)*(calc!$BT$3:$BT$306&lt;BT176)+(calc!$BS$3:$BS$306&lt;BS176)*(calc!$BT$3:$BT$306&gt;BT176))&gt;0)),0)</f>
        <v/>
      </c>
    </row>
    <row r="177">
      <c r="A177" s="2">
        <f>mos_metrics!A176</f>
        <v/>
      </c>
      <c r="B177" s="2">
        <f>mos_metrics!B176</f>
        <v/>
      </c>
      <c r="C177" s="2">
        <f>mos_metrics!C176</f>
        <v/>
      </c>
      <c r="D177" s="2">
        <f>mos_metrics!D176</f>
        <v/>
      </c>
      <c r="E177" s="2">
        <f>mos_metrics!E176</f>
        <v/>
      </c>
      <c r="F177" s="2">
        <f>mos_metrics!F176</f>
        <v/>
      </c>
      <c r="G177" s="2">
        <f>IF($B177="","",IFERROR(VLOOKUP($B177,correlation!$A$2:$B$16,2,FALSE),1))</f>
        <v/>
      </c>
      <c r="H177" s="2">
        <f>IF($E177="","",IFERROR(VLOOKUP($E177,correlation!$D$2:$E$8,2,FALSE),1))</f>
        <v/>
      </c>
      <c r="I177" s="2">
        <f>ISNUMBER($F177)</f>
        <v/>
      </c>
      <c r="J177" s="2">
        <f>AND($G177=1,$H177=1,$I177)</f>
        <v/>
      </c>
      <c r="K177" s="5">
        <f>IF(mos_metrics!G176="","",mos_metrics!G176)</f>
        <v/>
      </c>
      <c r="L177" s="2">
        <f>AND($J177,ISNUMBER(K177),correlation!$I$26=1)</f>
        <v/>
      </c>
      <c r="M177" s="5">
        <f>IF(L177,$F177,"")</f>
        <v/>
      </c>
      <c r="N177" s="5">
        <f>IF(L177,K177*correlation!$J$26,"")</f>
        <v/>
      </c>
      <c r="O177" s="5">
        <f>IF(AND(L177,ISNUMBER(correlation!$F$26)),N177*correlation!$F$26+correlation!$G$26,"")</f>
        <v/>
      </c>
      <c r="P177" s="5">
        <f>IF(AND(L177,ISNUMBER(O177)),(M177-O177)^2,"")</f>
        <v/>
      </c>
      <c r="Q177" s="5">
        <f>IF(L177,1+SUMPRODUCT(--(calc!$L$3:$L$306=TRUE),--(calc!$M$3:$M$306&gt;M177))+(SUMPRODUCT(--(calc!$L$3:$L$306=TRUE),--(calc!$M$3:$M$306=M177))-1)/2,"")</f>
        <v/>
      </c>
      <c r="R177" s="5">
        <f>IF(L177,1+SUMPRODUCT(--(calc!$L$3:$L$306=TRUE),--(calc!$N$3:$N$306&gt;N177))+(SUMPRODUCT(--(calc!$L$3:$L$306=TRUE),--(calc!$N$3:$N$306=N177))-1)/2,"")</f>
        <v/>
      </c>
      <c r="S177" s="5">
        <f>IF(L177,SUMPRODUCT(--(calc!$L$3:$L$306=TRUE),--(ROW(calc!$L$3:$L$306)&gt;ROW(L177)),--(((calc!$Q$3:$Q$306&gt;Q177)*(calc!$R$3:$R$306&gt;R177)+(calc!$Q$3:$Q$306&lt;Q177)*(calc!$R$3:$R$306&lt;R177))&gt;0))-SUMPRODUCT(--(calc!$L$3:$L$306=TRUE),--(ROW(calc!$L$3:$L$306)&gt;ROW(L177)),--(((calc!$Q$3:$Q$306&gt;Q177)*(calc!$R$3:$R$306&lt;R177)+(calc!$Q$3:$Q$306&lt;Q177)*(calc!$R$3:$R$306&gt;R177))&gt;0)),0)</f>
        <v/>
      </c>
      <c r="T177" s="5">
        <f>IF(mos_metrics!H176="","",mos_metrics!H176)</f>
        <v/>
      </c>
      <c r="U177" s="2">
        <f>AND($J177,ISNUMBER(T177),correlation!$I$27=1)</f>
        <v/>
      </c>
      <c r="V177" s="5">
        <f>IF(U177,$F177,"")</f>
        <v/>
      </c>
      <c r="W177" s="5">
        <f>IF(U177,T177*correlation!$J$27,"")</f>
        <v/>
      </c>
      <c r="X177" s="5">
        <f>IF(AND(U177,ISNUMBER(correlation!$F$27)),W177*correlation!$F$27+correlation!$G$27,"")</f>
        <v/>
      </c>
      <c r="Y177" s="5">
        <f>IF(AND(U177,ISNUMBER(X177)),(V177-X177)^2,"")</f>
        <v/>
      </c>
      <c r="Z177" s="5">
        <f>IF(U177,1+SUMPRODUCT(--(calc!$U$3:$U$306=TRUE),--(calc!$V$3:$V$306&gt;V177))+(SUMPRODUCT(--(calc!$U$3:$U$306=TRUE),--(calc!$V$3:$V$306=V177))-1)/2,"")</f>
        <v/>
      </c>
      <c r="AA177" s="5">
        <f>IF(U177,1+SUMPRODUCT(--(calc!$U$3:$U$306=TRUE),--(calc!$W$3:$W$306&gt;W177))+(SUMPRODUCT(--(calc!$U$3:$U$306=TRUE),--(calc!$W$3:$W$306=W177))-1)/2,"")</f>
        <v/>
      </c>
      <c r="AB177" s="5">
        <f>IF(U177,SUMPRODUCT(--(calc!$U$3:$U$306=TRUE),--(ROW(calc!$U$3:$U$306)&gt;ROW(U177)),--(((calc!$Z$3:$Z$306&gt;Z177)*(calc!$AA$3:$AA$306&gt;AA177)+(calc!$Z$3:$Z$306&lt;Z177)*(calc!$AA$3:$AA$306&lt;AA177))&gt;0))-SUMPRODUCT(--(calc!$U$3:$U$306=TRUE),--(ROW(calc!$U$3:$U$306)&gt;ROW(U177)),--(((calc!$Z$3:$Z$306&gt;Z177)*(calc!$AA$3:$AA$306&lt;AA177)+(calc!$Z$3:$Z$306&lt;Z177)*(calc!$AA$3:$AA$306&gt;AA177))&gt;0)),0)</f>
        <v/>
      </c>
      <c r="AC177" s="5">
        <f>IF(mos_metrics!I176="","",mos_metrics!I176)</f>
        <v/>
      </c>
      <c r="AD177" s="2">
        <f>AND($J177,ISNUMBER(AC177),correlation!$I$28=1)</f>
        <v/>
      </c>
      <c r="AE177" s="5">
        <f>IF(AD177,$F177,"")</f>
        <v/>
      </c>
      <c r="AF177" s="5">
        <f>IF(AD177,AC177*correlation!$J$28,"")</f>
        <v/>
      </c>
      <c r="AG177" s="5">
        <f>IF(AND(AD177,ISNUMBER(correlation!$F$28)),AF177*correlation!$F$28+correlation!$G$28,"")</f>
        <v/>
      </c>
      <c r="AH177" s="5">
        <f>IF(AND(AD177,ISNUMBER(AG177)),(AE177-AG177)^2,"")</f>
        <v/>
      </c>
      <c r="AI177" s="5">
        <f>IF(AD177,1+SUMPRODUCT(--(calc!$AD$3:$AD$306=TRUE),--(calc!$AE$3:$AE$306&gt;AE177))+(SUMPRODUCT(--(calc!$AD$3:$AD$306=TRUE),--(calc!$AE$3:$AE$306=AE177))-1)/2,"")</f>
        <v/>
      </c>
      <c r="AJ177" s="5">
        <f>IF(AD177,1+SUMPRODUCT(--(calc!$AD$3:$AD$306=TRUE),--(calc!$AF$3:$AF$306&gt;AF177))+(SUMPRODUCT(--(calc!$AD$3:$AD$306=TRUE),--(calc!$AF$3:$AF$306=AF177))-1)/2,"")</f>
        <v/>
      </c>
      <c r="AK177" s="5">
        <f>IF(AD177,SUMPRODUCT(--(calc!$AD$3:$AD$306=TRUE),--(ROW(calc!$AD$3:$AD$306)&gt;ROW(AD177)),--(((calc!$AI$3:$AI$306&gt;AI177)*(calc!$AJ$3:$AJ$306&gt;AJ177)+(calc!$AI$3:$AI$306&lt;AI177)*(calc!$AJ$3:$AJ$306&lt;AJ177))&gt;0))-SUMPRODUCT(--(calc!$AD$3:$AD$306=TRUE),--(ROW(calc!$AD$3:$AD$306)&gt;ROW(AD177)),--(((calc!$AI$3:$AI$306&gt;AI177)*(calc!$AJ$3:$AJ$306&lt;AJ177)+(calc!$AI$3:$AI$306&lt;AI177)*(calc!$AJ$3:$AJ$306&gt;AJ177))&gt;0)),0)</f>
        <v/>
      </c>
      <c r="AL177" s="5">
        <f>IF(mos_metrics!J176="","",mos_metrics!J176)</f>
        <v/>
      </c>
      <c r="AM177" s="2">
        <f>AND($J177,ISNUMBER(AL177),correlation!$I$29=1)</f>
        <v/>
      </c>
      <c r="AN177" s="5">
        <f>IF(AM177,$F177,"")</f>
        <v/>
      </c>
      <c r="AO177" s="5">
        <f>IF(AM177,AL177*correlation!$J$29,"")</f>
        <v/>
      </c>
      <c r="AP177" s="5">
        <f>IF(AND(AM177,ISNUMBER(correlation!$F$29)),AO177*correlation!$F$29+correlation!$G$29,"")</f>
        <v/>
      </c>
      <c r="AQ177" s="5">
        <f>IF(AND(AM177,ISNUMBER(AP177)),(AN177-AP177)^2,"")</f>
        <v/>
      </c>
      <c r="AR177" s="5">
        <f>IF(AM177,1+SUMPRODUCT(--(calc!$AM$3:$AM$306=TRUE),--(calc!$AN$3:$AN$306&gt;AN177))+(SUMPRODUCT(--(calc!$AM$3:$AM$306=TRUE),--(calc!$AN$3:$AN$306=AN177))-1)/2,"")</f>
        <v/>
      </c>
      <c r="AS177" s="5">
        <f>IF(AM177,1+SUMPRODUCT(--(calc!$AM$3:$AM$306=TRUE),--(calc!$AO$3:$AO$306&gt;AO177))+(SUMPRODUCT(--(calc!$AM$3:$AM$306=TRUE),--(calc!$AO$3:$AO$306=AO177))-1)/2,"")</f>
        <v/>
      </c>
      <c r="AT177" s="5">
        <f>IF(AM177,SUMPRODUCT(--(calc!$AM$3:$AM$306=TRUE),--(ROW(calc!$AM$3:$AM$306)&gt;ROW(AM177)),--(((calc!$AR$3:$AR$306&gt;AR177)*(calc!$AS$3:$AS$306&gt;AS177)+(calc!$AR$3:$AR$306&lt;AR177)*(calc!$AS$3:$AS$306&lt;AS177))&gt;0))-SUMPRODUCT(--(calc!$AM$3:$AM$306=TRUE),--(ROW(calc!$AM$3:$AM$306)&gt;ROW(AM177)),--(((calc!$AR$3:$AR$306&gt;AR177)*(calc!$AS$3:$AS$306&lt;AS177)+(calc!$AR$3:$AR$306&lt;AR177)*(calc!$AS$3:$AS$306&gt;AS177))&gt;0)),0)</f>
        <v/>
      </c>
      <c r="AU177" s="5">
        <f>IF(mos_metrics!K176="","",mos_metrics!K176)</f>
        <v/>
      </c>
      <c r="AV177" s="2">
        <f>AND($J177,ISNUMBER(AU177),correlation!$I$30=1)</f>
        <v/>
      </c>
      <c r="AW177" s="5">
        <f>IF(AV177,$F177,"")</f>
        <v/>
      </c>
      <c r="AX177" s="5">
        <f>IF(AV177,AU177*correlation!$J$30,"")</f>
        <v/>
      </c>
      <c r="AY177" s="5">
        <f>IF(AND(AV177,ISNUMBER(correlation!$F$30)),AX177*correlation!$F$30+correlation!$G$30,"")</f>
        <v/>
      </c>
      <c r="AZ177" s="5">
        <f>IF(AND(AV177,ISNUMBER(AY177)),(AW177-AY177)^2,"")</f>
        <v/>
      </c>
      <c r="BA177" s="5">
        <f>IF(AV177,1+SUMPRODUCT(--(calc!$AV$3:$AV$306=TRUE),--(calc!$AW$3:$AW$306&gt;AW177))+(SUMPRODUCT(--(calc!$AV$3:$AV$306=TRUE),--(calc!$AW$3:$AW$306=AW177))-1)/2,"")</f>
        <v/>
      </c>
      <c r="BB177" s="5">
        <f>IF(AV177,1+SUMPRODUCT(--(calc!$AV$3:$AV$306=TRUE),--(calc!$AX$3:$AX$306&gt;AX177))+(SUMPRODUCT(--(calc!$AV$3:$AV$306=TRUE),--(calc!$AX$3:$AX$306=AX177))-1)/2,"")</f>
        <v/>
      </c>
      <c r="BC177" s="5">
        <f>IF(AV177,SUMPRODUCT(--(calc!$AV$3:$AV$306=TRUE),--(ROW(calc!$AV$3:$AV$306)&gt;ROW(AV177)),--(((calc!$BA$3:$BA$306&gt;BA177)*(calc!$BB$3:$BB$306&gt;BB177)+(calc!$BA$3:$BA$306&lt;BA177)*(calc!$BB$3:$BB$306&lt;BB177))&gt;0))-SUMPRODUCT(--(calc!$AV$3:$AV$306=TRUE),--(ROW(calc!$AV$3:$AV$306)&gt;ROW(AV177)),--(((calc!$BA$3:$BA$306&gt;BA177)*(calc!$BB$3:$BB$306&lt;BB177)+(calc!$BA$3:$BA$306&lt;BA177)*(calc!$BB$3:$BB$306&gt;BB177))&gt;0)),0)</f>
        <v/>
      </c>
      <c r="BD177" s="5">
        <f>IF(mos_metrics!L176="","",mos_metrics!L176)</f>
        <v/>
      </c>
      <c r="BE177" s="2">
        <f>AND($J177,ISNUMBER(BD177),correlation!$I$31=1)</f>
        <v/>
      </c>
      <c r="BF177" s="5">
        <f>IF(BE177,$F177,"")</f>
        <v/>
      </c>
      <c r="BG177" s="5">
        <f>IF(BE177,BD177*correlation!$J$31,"")</f>
        <v/>
      </c>
      <c r="BH177" s="5">
        <f>IF(AND(BE177,ISNUMBER(correlation!$F$31)),BG177*correlation!$F$31+correlation!$G$31,"")</f>
        <v/>
      </c>
      <c r="BI177" s="5">
        <f>IF(AND(BE177,ISNUMBER(BH177)),(BF177-BH177)^2,"")</f>
        <v/>
      </c>
      <c r="BJ177" s="5">
        <f>IF(BE177,1+SUMPRODUCT(--(calc!$BE$3:$BE$306=TRUE),--(calc!$BF$3:$BF$306&gt;BF177))+(SUMPRODUCT(--(calc!$BE$3:$BE$306=TRUE),--(calc!$BF$3:$BF$306=BF177))-1)/2,"")</f>
        <v/>
      </c>
      <c r="BK177" s="5">
        <f>IF(BE177,1+SUMPRODUCT(--(calc!$BE$3:$BE$306=TRUE),--(calc!$BG$3:$BG$306&gt;BG177))+(SUMPRODUCT(--(calc!$BE$3:$BE$306=TRUE),--(calc!$BG$3:$BG$306=BG177))-1)/2,"")</f>
        <v/>
      </c>
      <c r="BL177" s="5">
        <f>IF(BE177,SUMPRODUCT(--(calc!$BE$3:$BE$306=TRUE),--(ROW(calc!$BE$3:$BE$306)&gt;ROW(BE177)),--(((calc!$BJ$3:$BJ$306&gt;BJ177)*(calc!$BK$3:$BK$306&gt;BK177)+(calc!$BJ$3:$BJ$306&lt;BJ177)*(calc!$BK$3:$BK$306&lt;BK177))&gt;0))-SUMPRODUCT(--(calc!$BE$3:$BE$306=TRUE),--(ROW(calc!$BE$3:$BE$306)&gt;ROW(BE177)),--(((calc!$BJ$3:$BJ$306&gt;BJ177)*(calc!$BK$3:$BK$306&lt;BK177)+(calc!$BJ$3:$BJ$306&lt;BJ177)*(calc!$BK$3:$BK$306&gt;BK177))&gt;0)),0)</f>
        <v/>
      </c>
      <c r="BM177" s="5">
        <f>IF(mos_metrics!M176="","",mos_metrics!M176)</f>
        <v/>
      </c>
      <c r="BN177" s="2">
        <f>AND($J177,ISNUMBER(BM177),correlation!$I$32=1)</f>
        <v/>
      </c>
      <c r="BO177" s="5">
        <f>IF(BN177,$F177,"")</f>
        <v/>
      </c>
      <c r="BP177" s="5">
        <f>IF(BN177,BM177*correlation!$J$32,"")</f>
        <v/>
      </c>
      <c r="BQ177" s="5">
        <f>IF(AND(BN177,ISNUMBER(correlation!$F$32)),BP177*correlation!$F$32+correlation!$G$32,"")</f>
        <v/>
      </c>
      <c r="BR177" s="5">
        <f>IF(AND(BN177,ISNUMBER(BQ177)),(BO177-BQ177)^2,"")</f>
        <v/>
      </c>
      <c r="BS177" s="5">
        <f>IF(BN177,1+SUMPRODUCT(--(calc!$BN$3:$BN$306=TRUE),--(calc!$BO$3:$BO$306&gt;BO177))+(SUMPRODUCT(--(calc!$BN$3:$BN$306=TRUE),--(calc!$BO$3:$BO$306=BO177))-1)/2,"")</f>
        <v/>
      </c>
      <c r="BT177" s="5">
        <f>IF(BN177,1+SUMPRODUCT(--(calc!$BN$3:$BN$306=TRUE),--(calc!$BP$3:$BP$306&gt;BP177))+(SUMPRODUCT(--(calc!$BN$3:$BN$306=TRUE),--(calc!$BP$3:$BP$306=BP177))-1)/2,"")</f>
        <v/>
      </c>
      <c r="BU177" s="5">
        <f>IF(BN177,SUMPRODUCT(--(calc!$BN$3:$BN$306=TRUE),--(ROW(calc!$BN$3:$BN$306)&gt;ROW(BN177)),--(((calc!$BS$3:$BS$306&gt;BS177)*(calc!$BT$3:$BT$306&gt;BT177)+(calc!$BS$3:$BS$306&lt;BS177)*(calc!$BT$3:$BT$306&lt;BT177))&gt;0))-SUMPRODUCT(--(calc!$BN$3:$BN$306=TRUE),--(ROW(calc!$BN$3:$BN$306)&gt;ROW(BN177)),--(((calc!$BS$3:$BS$306&gt;BS177)*(calc!$BT$3:$BT$306&lt;BT177)+(calc!$BS$3:$BS$306&lt;BS177)*(calc!$BT$3:$BT$306&gt;BT177))&gt;0)),0)</f>
        <v/>
      </c>
    </row>
    <row r="178">
      <c r="A178" s="2">
        <f>mos_metrics!A177</f>
        <v/>
      </c>
      <c r="B178" s="2">
        <f>mos_metrics!B177</f>
        <v/>
      </c>
      <c r="C178" s="2">
        <f>mos_metrics!C177</f>
        <v/>
      </c>
      <c r="D178" s="2">
        <f>mos_metrics!D177</f>
        <v/>
      </c>
      <c r="E178" s="2">
        <f>mos_metrics!E177</f>
        <v/>
      </c>
      <c r="F178" s="2">
        <f>mos_metrics!F177</f>
        <v/>
      </c>
      <c r="G178" s="2">
        <f>IF($B178="","",IFERROR(VLOOKUP($B178,correlation!$A$2:$B$16,2,FALSE),1))</f>
        <v/>
      </c>
      <c r="H178" s="2">
        <f>IF($E178="","",IFERROR(VLOOKUP($E178,correlation!$D$2:$E$8,2,FALSE),1))</f>
        <v/>
      </c>
      <c r="I178" s="2">
        <f>ISNUMBER($F178)</f>
        <v/>
      </c>
      <c r="J178" s="2">
        <f>AND($G178=1,$H178=1,$I178)</f>
        <v/>
      </c>
      <c r="K178" s="5">
        <f>IF(mos_metrics!G177="","",mos_metrics!G177)</f>
        <v/>
      </c>
      <c r="L178" s="2">
        <f>AND($J178,ISNUMBER(K178),correlation!$I$26=1)</f>
        <v/>
      </c>
      <c r="M178" s="5">
        <f>IF(L178,$F178,"")</f>
        <v/>
      </c>
      <c r="N178" s="5">
        <f>IF(L178,K178*correlation!$J$26,"")</f>
        <v/>
      </c>
      <c r="O178" s="5">
        <f>IF(AND(L178,ISNUMBER(correlation!$F$26)),N178*correlation!$F$26+correlation!$G$26,"")</f>
        <v/>
      </c>
      <c r="P178" s="5">
        <f>IF(AND(L178,ISNUMBER(O178)),(M178-O178)^2,"")</f>
        <v/>
      </c>
      <c r="Q178" s="5">
        <f>IF(L178,1+SUMPRODUCT(--(calc!$L$3:$L$306=TRUE),--(calc!$M$3:$M$306&gt;M178))+(SUMPRODUCT(--(calc!$L$3:$L$306=TRUE),--(calc!$M$3:$M$306=M178))-1)/2,"")</f>
        <v/>
      </c>
      <c r="R178" s="5">
        <f>IF(L178,1+SUMPRODUCT(--(calc!$L$3:$L$306=TRUE),--(calc!$N$3:$N$306&gt;N178))+(SUMPRODUCT(--(calc!$L$3:$L$306=TRUE),--(calc!$N$3:$N$306=N178))-1)/2,"")</f>
        <v/>
      </c>
      <c r="S178" s="5">
        <f>IF(L178,SUMPRODUCT(--(calc!$L$3:$L$306=TRUE),--(ROW(calc!$L$3:$L$306)&gt;ROW(L178)),--(((calc!$Q$3:$Q$306&gt;Q178)*(calc!$R$3:$R$306&gt;R178)+(calc!$Q$3:$Q$306&lt;Q178)*(calc!$R$3:$R$306&lt;R178))&gt;0))-SUMPRODUCT(--(calc!$L$3:$L$306=TRUE),--(ROW(calc!$L$3:$L$306)&gt;ROW(L178)),--(((calc!$Q$3:$Q$306&gt;Q178)*(calc!$R$3:$R$306&lt;R178)+(calc!$Q$3:$Q$306&lt;Q178)*(calc!$R$3:$R$306&gt;R178))&gt;0)),0)</f>
        <v/>
      </c>
      <c r="T178" s="5">
        <f>IF(mos_metrics!H177="","",mos_metrics!H177)</f>
        <v/>
      </c>
      <c r="U178" s="2">
        <f>AND($J178,ISNUMBER(T178),correlation!$I$27=1)</f>
        <v/>
      </c>
      <c r="V178" s="5">
        <f>IF(U178,$F178,"")</f>
        <v/>
      </c>
      <c r="W178" s="5">
        <f>IF(U178,T178*correlation!$J$27,"")</f>
        <v/>
      </c>
      <c r="X178" s="5">
        <f>IF(AND(U178,ISNUMBER(correlation!$F$27)),W178*correlation!$F$27+correlation!$G$27,"")</f>
        <v/>
      </c>
      <c r="Y178" s="5">
        <f>IF(AND(U178,ISNUMBER(X178)),(V178-X178)^2,"")</f>
        <v/>
      </c>
      <c r="Z178" s="5">
        <f>IF(U178,1+SUMPRODUCT(--(calc!$U$3:$U$306=TRUE),--(calc!$V$3:$V$306&gt;V178))+(SUMPRODUCT(--(calc!$U$3:$U$306=TRUE),--(calc!$V$3:$V$306=V178))-1)/2,"")</f>
        <v/>
      </c>
      <c r="AA178" s="5">
        <f>IF(U178,1+SUMPRODUCT(--(calc!$U$3:$U$306=TRUE),--(calc!$W$3:$W$306&gt;W178))+(SUMPRODUCT(--(calc!$U$3:$U$306=TRUE),--(calc!$W$3:$W$306=W178))-1)/2,"")</f>
        <v/>
      </c>
      <c r="AB178" s="5">
        <f>IF(U178,SUMPRODUCT(--(calc!$U$3:$U$306=TRUE),--(ROW(calc!$U$3:$U$306)&gt;ROW(U178)),--(((calc!$Z$3:$Z$306&gt;Z178)*(calc!$AA$3:$AA$306&gt;AA178)+(calc!$Z$3:$Z$306&lt;Z178)*(calc!$AA$3:$AA$306&lt;AA178))&gt;0))-SUMPRODUCT(--(calc!$U$3:$U$306=TRUE),--(ROW(calc!$U$3:$U$306)&gt;ROW(U178)),--(((calc!$Z$3:$Z$306&gt;Z178)*(calc!$AA$3:$AA$306&lt;AA178)+(calc!$Z$3:$Z$306&lt;Z178)*(calc!$AA$3:$AA$306&gt;AA178))&gt;0)),0)</f>
        <v/>
      </c>
      <c r="AC178" s="5">
        <f>IF(mos_metrics!I177="","",mos_metrics!I177)</f>
        <v/>
      </c>
      <c r="AD178" s="2">
        <f>AND($J178,ISNUMBER(AC178),correlation!$I$28=1)</f>
        <v/>
      </c>
      <c r="AE178" s="5">
        <f>IF(AD178,$F178,"")</f>
        <v/>
      </c>
      <c r="AF178" s="5">
        <f>IF(AD178,AC178*correlation!$J$28,"")</f>
        <v/>
      </c>
      <c r="AG178" s="5">
        <f>IF(AND(AD178,ISNUMBER(correlation!$F$28)),AF178*correlation!$F$28+correlation!$G$28,"")</f>
        <v/>
      </c>
      <c r="AH178" s="5">
        <f>IF(AND(AD178,ISNUMBER(AG178)),(AE178-AG178)^2,"")</f>
        <v/>
      </c>
      <c r="AI178" s="5">
        <f>IF(AD178,1+SUMPRODUCT(--(calc!$AD$3:$AD$306=TRUE),--(calc!$AE$3:$AE$306&gt;AE178))+(SUMPRODUCT(--(calc!$AD$3:$AD$306=TRUE),--(calc!$AE$3:$AE$306=AE178))-1)/2,"")</f>
        <v/>
      </c>
      <c r="AJ178" s="5">
        <f>IF(AD178,1+SUMPRODUCT(--(calc!$AD$3:$AD$306=TRUE),--(calc!$AF$3:$AF$306&gt;AF178))+(SUMPRODUCT(--(calc!$AD$3:$AD$306=TRUE),--(calc!$AF$3:$AF$306=AF178))-1)/2,"")</f>
        <v/>
      </c>
      <c r="AK178" s="5">
        <f>IF(AD178,SUMPRODUCT(--(calc!$AD$3:$AD$306=TRUE),--(ROW(calc!$AD$3:$AD$306)&gt;ROW(AD178)),--(((calc!$AI$3:$AI$306&gt;AI178)*(calc!$AJ$3:$AJ$306&gt;AJ178)+(calc!$AI$3:$AI$306&lt;AI178)*(calc!$AJ$3:$AJ$306&lt;AJ178))&gt;0))-SUMPRODUCT(--(calc!$AD$3:$AD$306=TRUE),--(ROW(calc!$AD$3:$AD$306)&gt;ROW(AD178)),--(((calc!$AI$3:$AI$306&gt;AI178)*(calc!$AJ$3:$AJ$306&lt;AJ178)+(calc!$AI$3:$AI$306&lt;AI178)*(calc!$AJ$3:$AJ$306&gt;AJ178))&gt;0)),0)</f>
        <v/>
      </c>
      <c r="AL178" s="5">
        <f>IF(mos_metrics!J177="","",mos_metrics!J177)</f>
        <v/>
      </c>
      <c r="AM178" s="2">
        <f>AND($J178,ISNUMBER(AL178),correlation!$I$29=1)</f>
        <v/>
      </c>
      <c r="AN178" s="5">
        <f>IF(AM178,$F178,"")</f>
        <v/>
      </c>
      <c r="AO178" s="5">
        <f>IF(AM178,AL178*correlation!$J$29,"")</f>
        <v/>
      </c>
      <c r="AP178" s="5">
        <f>IF(AND(AM178,ISNUMBER(correlation!$F$29)),AO178*correlation!$F$29+correlation!$G$29,"")</f>
        <v/>
      </c>
      <c r="AQ178" s="5">
        <f>IF(AND(AM178,ISNUMBER(AP178)),(AN178-AP178)^2,"")</f>
        <v/>
      </c>
      <c r="AR178" s="5">
        <f>IF(AM178,1+SUMPRODUCT(--(calc!$AM$3:$AM$306=TRUE),--(calc!$AN$3:$AN$306&gt;AN178))+(SUMPRODUCT(--(calc!$AM$3:$AM$306=TRUE),--(calc!$AN$3:$AN$306=AN178))-1)/2,"")</f>
        <v/>
      </c>
      <c r="AS178" s="5">
        <f>IF(AM178,1+SUMPRODUCT(--(calc!$AM$3:$AM$306=TRUE),--(calc!$AO$3:$AO$306&gt;AO178))+(SUMPRODUCT(--(calc!$AM$3:$AM$306=TRUE),--(calc!$AO$3:$AO$306=AO178))-1)/2,"")</f>
        <v/>
      </c>
      <c r="AT178" s="5">
        <f>IF(AM178,SUMPRODUCT(--(calc!$AM$3:$AM$306=TRUE),--(ROW(calc!$AM$3:$AM$306)&gt;ROW(AM178)),--(((calc!$AR$3:$AR$306&gt;AR178)*(calc!$AS$3:$AS$306&gt;AS178)+(calc!$AR$3:$AR$306&lt;AR178)*(calc!$AS$3:$AS$306&lt;AS178))&gt;0))-SUMPRODUCT(--(calc!$AM$3:$AM$306=TRUE),--(ROW(calc!$AM$3:$AM$306)&gt;ROW(AM178)),--(((calc!$AR$3:$AR$306&gt;AR178)*(calc!$AS$3:$AS$306&lt;AS178)+(calc!$AR$3:$AR$306&lt;AR178)*(calc!$AS$3:$AS$306&gt;AS178))&gt;0)),0)</f>
        <v/>
      </c>
      <c r="AU178" s="5">
        <f>IF(mos_metrics!K177="","",mos_metrics!K177)</f>
        <v/>
      </c>
      <c r="AV178" s="2">
        <f>AND($J178,ISNUMBER(AU178),correlation!$I$30=1)</f>
        <v/>
      </c>
      <c r="AW178" s="5">
        <f>IF(AV178,$F178,"")</f>
        <v/>
      </c>
      <c r="AX178" s="5">
        <f>IF(AV178,AU178*correlation!$J$30,"")</f>
        <v/>
      </c>
      <c r="AY178" s="5">
        <f>IF(AND(AV178,ISNUMBER(correlation!$F$30)),AX178*correlation!$F$30+correlation!$G$30,"")</f>
        <v/>
      </c>
      <c r="AZ178" s="5">
        <f>IF(AND(AV178,ISNUMBER(AY178)),(AW178-AY178)^2,"")</f>
        <v/>
      </c>
      <c r="BA178" s="5">
        <f>IF(AV178,1+SUMPRODUCT(--(calc!$AV$3:$AV$306=TRUE),--(calc!$AW$3:$AW$306&gt;AW178))+(SUMPRODUCT(--(calc!$AV$3:$AV$306=TRUE),--(calc!$AW$3:$AW$306=AW178))-1)/2,"")</f>
        <v/>
      </c>
      <c r="BB178" s="5">
        <f>IF(AV178,1+SUMPRODUCT(--(calc!$AV$3:$AV$306=TRUE),--(calc!$AX$3:$AX$306&gt;AX178))+(SUMPRODUCT(--(calc!$AV$3:$AV$306=TRUE),--(calc!$AX$3:$AX$306=AX178))-1)/2,"")</f>
        <v/>
      </c>
      <c r="BC178" s="5">
        <f>IF(AV178,SUMPRODUCT(--(calc!$AV$3:$AV$306=TRUE),--(ROW(calc!$AV$3:$AV$306)&gt;ROW(AV178)),--(((calc!$BA$3:$BA$306&gt;BA178)*(calc!$BB$3:$BB$306&gt;BB178)+(calc!$BA$3:$BA$306&lt;BA178)*(calc!$BB$3:$BB$306&lt;BB178))&gt;0))-SUMPRODUCT(--(calc!$AV$3:$AV$306=TRUE),--(ROW(calc!$AV$3:$AV$306)&gt;ROW(AV178)),--(((calc!$BA$3:$BA$306&gt;BA178)*(calc!$BB$3:$BB$306&lt;BB178)+(calc!$BA$3:$BA$306&lt;BA178)*(calc!$BB$3:$BB$306&gt;BB178))&gt;0)),0)</f>
        <v/>
      </c>
      <c r="BD178" s="5">
        <f>IF(mos_metrics!L177="","",mos_metrics!L177)</f>
        <v/>
      </c>
      <c r="BE178" s="2">
        <f>AND($J178,ISNUMBER(BD178),correlation!$I$31=1)</f>
        <v/>
      </c>
      <c r="BF178" s="5">
        <f>IF(BE178,$F178,"")</f>
        <v/>
      </c>
      <c r="BG178" s="5">
        <f>IF(BE178,BD178*correlation!$J$31,"")</f>
        <v/>
      </c>
      <c r="BH178" s="5">
        <f>IF(AND(BE178,ISNUMBER(correlation!$F$31)),BG178*correlation!$F$31+correlation!$G$31,"")</f>
        <v/>
      </c>
      <c r="BI178" s="5">
        <f>IF(AND(BE178,ISNUMBER(BH178)),(BF178-BH178)^2,"")</f>
        <v/>
      </c>
      <c r="BJ178" s="5">
        <f>IF(BE178,1+SUMPRODUCT(--(calc!$BE$3:$BE$306=TRUE),--(calc!$BF$3:$BF$306&gt;BF178))+(SUMPRODUCT(--(calc!$BE$3:$BE$306=TRUE),--(calc!$BF$3:$BF$306=BF178))-1)/2,"")</f>
        <v/>
      </c>
      <c r="BK178" s="5">
        <f>IF(BE178,1+SUMPRODUCT(--(calc!$BE$3:$BE$306=TRUE),--(calc!$BG$3:$BG$306&gt;BG178))+(SUMPRODUCT(--(calc!$BE$3:$BE$306=TRUE),--(calc!$BG$3:$BG$306=BG178))-1)/2,"")</f>
        <v/>
      </c>
      <c r="BL178" s="5">
        <f>IF(BE178,SUMPRODUCT(--(calc!$BE$3:$BE$306=TRUE),--(ROW(calc!$BE$3:$BE$306)&gt;ROW(BE178)),--(((calc!$BJ$3:$BJ$306&gt;BJ178)*(calc!$BK$3:$BK$306&gt;BK178)+(calc!$BJ$3:$BJ$306&lt;BJ178)*(calc!$BK$3:$BK$306&lt;BK178))&gt;0))-SUMPRODUCT(--(calc!$BE$3:$BE$306=TRUE),--(ROW(calc!$BE$3:$BE$306)&gt;ROW(BE178)),--(((calc!$BJ$3:$BJ$306&gt;BJ178)*(calc!$BK$3:$BK$306&lt;BK178)+(calc!$BJ$3:$BJ$306&lt;BJ178)*(calc!$BK$3:$BK$306&gt;BK178))&gt;0)),0)</f>
        <v/>
      </c>
      <c r="BM178" s="5">
        <f>IF(mos_metrics!M177="","",mos_metrics!M177)</f>
        <v/>
      </c>
      <c r="BN178" s="2">
        <f>AND($J178,ISNUMBER(BM178),correlation!$I$32=1)</f>
        <v/>
      </c>
      <c r="BO178" s="5">
        <f>IF(BN178,$F178,"")</f>
        <v/>
      </c>
      <c r="BP178" s="5">
        <f>IF(BN178,BM178*correlation!$J$32,"")</f>
        <v/>
      </c>
      <c r="BQ178" s="5">
        <f>IF(AND(BN178,ISNUMBER(correlation!$F$32)),BP178*correlation!$F$32+correlation!$G$32,"")</f>
        <v/>
      </c>
      <c r="BR178" s="5">
        <f>IF(AND(BN178,ISNUMBER(BQ178)),(BO178-BQ178)^2,"")</f>
        <v/>
      </c>
      <c r="BS178" s="5">
        <f>IF(BN178,1+SUMPRODUCT(--(calc!$BN$3:$BN$306=TRUE),--(calc!$BO$3:$BO$306&gt;BO178))+(SUMPRODUCT(--(calc!$BN$3:$BN$306=TRUE),--(calc!$BO$3:$BO$306=BO178))-1)/2,"")</f>
        <v/>
      </c>
      <c r="BT178" s="5">
        <f>IF(BN178,1+SUMPRODUCT(--(calc!$BN$3:$BN$306=TRUE),--(calc!$BP$3:$BP$306&gt;BP178))+(SUMPRODUCT(--(calc!$BN$3:$BN$306=TRUE),--(calc!$BP$3:$BP$306=BP178))-1)/2,"")</f>
        <v/>
      </c>
      <c r="BU178" s="5">
        <f>IF(BN178,SUMPRODUCT(--(calc!$BN$3:$BN$306=TRUE),--(ROW(calc!$BN$3:$BN$306)&gt;ROW(BN178)),--(((calc!$BS$3:$BS$306&gt;BS178)*(calc!$BT$3:$BT$306&gt;BT178)+(calc!$BS$3:$BS$306&lt;BS178)*(calc!$BT$3:$BT$306&lt;BT178))&gt;0))-SUMPRODUCT(--(calc!$BN$3:$BN$306=TRUE),--(ROW(calc!$BN$3:$BN$306)&gt;ROW(BN178)),--(((calc!$BS$3:$BS$306&gt;BS178)*(calc!$BT$3:$BT$306&lt;BT178)+(calc!$BS$3:$BS$306&lt;BS178)*(calc!$BT$3:$BT$306&gt;BT178))&gt;0)),0)</f>
        <v/>
      </c>
    </row>
    <row r="179">
      <c r="A179" s="2">
        <f>mos_metrics!A178</f>
        <v/>
      </c>
      <c r="B179" s="2">
        <f>mos_metrics!B178</f>
        <v/>
      </c>
      <c r="C179" s="2">
        <f>mos_metrics!C178</f>
        <v/>
      </c>
      <c r="D179" s="2">
        <f>mos_metrics!D178</f>
        <v/>
      </c>
      <c r="E179" s="2">
        <f>mos_metrics!E178</f>
        <v/>
      </c>
      <c r="F179" s="2">
        <f>mos_metrics!F178</f>
        <v/>
      </c>
      <c r="G179" s="2">
        <f>IF($B179="","",IFERROR(VLOOKUP($B179,correlation!$A$2:$B$16,2,FALSE),1))</f>
        <v/>
      </c>
      <c r="H179" s="2">
        <f>IF($E179="","",IFERROR(VLOOKUP($E179,correlation!$D$2:$E$8,2,FALSE),1))</f>
        <v/>
      </c>
      <c r="I179" s="2">
        <f>ISNUMBER($F179)</f>
        <v/>
      </c>
      <c r="J179" s="2">
        <f>AND($G179=1,$H179=1,$I179)</f>
        <v/>
      </c>
      <c r="K179" s="5">
        <f>IF(mos_metrics!G178="","",mos_metrics!G178)</f>
        <v/>
      </c>
      <c r="L179" s="2">
        <f>AND($J179,ISNUMBER(K179),correlation!$I$26=1)</f>
        <v/>
      </c>
      <c r="M179" s="5">
        <f>IF(L179,$F179,"")</f>
        <v/>
      </c>
      <c r="N179" s="5">
        <f>IF(L179,K179*correlation!$J$26,"")</f>
        <v/>
      </c>
      <c r="O179" s="5">
        <f>IF(AND(L179,ISNUMBER(correlation!$F$26)),N179*correlation!$F$26+correlation!$G$26,"")</f>
        <v/>
      </c>
      <c r="P179" s="5">
        <f>IF(AND(L179,ISNUMBER(O179)),(M179-O179)^2,"")</f>
        <v/>
      </c>
      <c r="Q179" s="5">
        <f>IF(L179,1+SUMPRODUCT(--(calc!$L$3:$L$306=TRUE),--(calc!$M$3:$M$306&gt;M179))+(SUMPRODUCT(--(calc!$L$3:$L$306=TRUE),--(calc!$M$3:$M$306=M179))-1)/2,"")</f>
        <v/>
      </c>
      <c r="R179" s="5">
        <f>IF(L179,1+SUMPRODUCT(--(calc!$L$3:$L$306=TRUE),--(calc!$N$3:$N$306&gt;N179))+(SUMPRODUCT(--(calc!$L$3:$L$306=TRUE),--(calc!$N$3:$N$306=N179))-1)/2,"")</f>
        <v/>
      </c>
      <c r="S179" s="5">
        <f>IF(L179,SUMPRODUCT(--(calc!$L$3:$L$306=TRUE),--(ROW(calc!$L$3:$L$306)&gt;ROW(L179)),--(((calc!$Q$3:$Q$306&gt;Q179)*(calc!$R$3:$R$306&gt;R179)+(calc!$Q$3:$Q$306&lt;Q179)*(calc!$R$3:$R$306&lt;R179))&gt;0))-SUMPRODUCT(--(calc!$L$3:$L$306=TRUE),--(ROW(calc!$L$3:$L$306)&gt;ROW(L179)),--(((calc!$Q$3:$Q$306&gt;Q179)*(calc!$R$3:$R$306&lt;R179)+(calc!$Q$3:$Q$306&lt;Q179)*(calc!$R$3:$R$306&gt;R179))&gt;0)),0)</f>
        <v/>
      </c>
      <c r="T179" s="5">
        <f>IF(mos_metrics!H178="","",mos_metrics!H178)</f>
        <v/>
      </c>
      <c r="U179" s="2">
        <f>AND($J179,ISNUMBER(T179),correlation!$I$27=1)</f>
        <v/>
      </c>
      <c r="V179" s="5">
        <f>IF(U179,$F179,"")</f>
        <v/>
      </c>
      <c r="W179" s="5">
        <f>IF(U179,T179*correlation!$J$27,"")</f>
        <v/>
      </c>
      <c r="X179" s="5">
        <f>IF(AND(U179,ISNUMBER(correlation!$F$27)),W179*correlation!$F$27+correlation!$G$27,"")</f>
        <v/>
      </c>
      <c r="Y179" s="5">
        <f>IF(AND(U179,ISNUMBER(X179)),(V179-X179)^2,"")</f>
        <v/>
      </c>
      <c r="Z179" s="5">
        <f>IF(U179,1+SUMPRODUCT(--(calc!$U$3:$U$306=TRUE),--(calc!$V$3:$V$306&gt;V179))+(SUMPRODUCT(--(calc!$U$3:$U$306=TRUE),--(calc!$V$3:$V$306=V179))-1)/2,"")</f>
        <v/>
      </c>
      <c r="AA179" s="5">
        <f>IF(U179,1+SUMPRODUCT(--(calc!$U$3:$U$306=TRUE),--(calc!$W$3:$W$306&gt;W179))+(SUMPRODUCT(--(calc!$U$3:$U$306=TRUE),--(calc!$W$3:$W$306=W179))-1)/2,"")</f>
        <v/>
      </c>
      <c r="AB179" s="5">
        <f>IF(U179,SUMPRODUCT(--(calc!$U$3:$U$306=TRUE),--(ROW(calc!$U$3:$U$306)&gt;ROW(U179)),--(((calc!$Z$3:$Z$306&gt;Z179)*(calc!$AA$3:$AA$306&gt;AA179)+(calc!$Z$3:$Z$306&lt;Z179)*(calc!$AA$3:$AA$306&lt;AA179))&gt;0))-SUMPRODUCT(--(calc!$U$3:$U$306=TRUE),--(ROW(calc!$U$3:$U$306)&gt;ROW(U179)),--(((calc!$Z$3:$Z$306&gt;Z179)*(calc!$AA$3:$AA$306&lt;AA179)+(calc!$Z$3:$Z$306&lt;Z179)*(calc!$AA$3:$AA$306&gt;AA179))&gt;0)),0)</f>
        <v/>
      </c>
      <c r="AC179" s="5">
        <f>IF(mos_metrics!I178="","",mos_metrics!I178)</f>
        <v/>
      </c>
      <c r="AD179" s="2">
        <f>AND($J179,ISNUMBER(AC179),correlation!$I$28=1)</f>
        <v/>
      </c>
      <c r="AE179" s="5">
        <f>IF(AD179,$F179,"")</f>
        <v/>
      </c>
      <c r="AF179" s="5">
        <f>IF(AD179,AC179*correlation!$J$28,"")</f>
        <v/>
      </c>
      <c r="AG179" s="5">
        <f>IF(AND(AD179,ISNUMBER(correlation!$F$28)),AF179*correlation!$F$28+correlation!$G$28,"")</f>
        <v/>
      </c>
      <c r="AH179" s="5">
        <f>IF(AND(AD179,ISNUMBER(AG179)),(AE179-AG179)^2,"")</f>
        <v/>
      </c>
      <c r="AI179" s="5">
        <f>IF(AD179,1+SUMPRODUCT(--(calc!$AD$3:$AD$306=TRUE),--(calc!$AE$3:$AE$306&gt;AE179))+(SUMPRODUCT(--(calc!$AD$3:$AD$306=TRUE),--(calc!$AE$3:$AE$306=AE179))-1)/2,"")</f>
        <v/>
      </c>
      <c r="AJ179" s="5">
        <f>IF(AD179,1+SUMPRODUCT(--(calc!$AD$3:$AD$306=TRUE),--(calc!$AF$3:$AF$306&gt;AF179))+(SUMPRODUCT(--(calc!$AD$3:$AD$306=TRUE),--(calc!$AF$3:$AF$306=AF179))-1)/2,"")</f>
        <v/>
      </c>
      <c r="AK179" s="5">
        <f>IF(AD179,SUMPRODUCT(--(calc!$AD$3:$AD$306=TRUE),--(ROW(calc!$AD$3:$AD$306)&gt;ROW(AD179)),--(((calc!$AI$3:$AI$306&gt;AI179)*(calc!$AJ$3:$AJ$306&gt;AJ179)+(calc!$AI$3:$AI$306&lt;AI179)*(calc!$AJ$3:$AJ$306&lt;AJ179))&gt;0))-SUMPRODUCT(--(calc!$AD$3:$AD$306=TRUE),--(ROW(calc!$AD$3:$AD$306)&gt;ROW(AD179)),--(((calc!$AI$3:$AI$306&gt;AI179)*(calc!$AJ$3:$AJ$306&lt;AJ179)+(calc!$AI$3:$AI$306&lt;AI179)*(calc!$AJ$3:$AJ$306&gt;AJ179))&gt;0)),0)</f>
        <v/>
      </c>
      <c r="AL179" s="5">
        <f>IF(mos_metrics!J178="","",mos_metrics!J178)</f>
        <v/>
      </c>
      <c r="AM179" s="2">
        <f>AND($J179,ISNUMBER(AL179),correlation!$I$29=1)</f>
        <v/>
      </c>
      <c r="AN179" s="5">
        <f>IF(AM179,$F179,"")</f>
        <v/>
      </c>
      <c r="AO179" s="5">
        <f>IF(AM179,AL179*correlation!$J$29,"")</f>
        <v/>
      </c>
      <c r="AP179" s="5">
        <f>IF(AND(AM179,ISNUMBER(correlation!$F$29)),AO179*correlation!$F$29+correlation!$G$29,"")</f>
        <v/>
      </c>
      <c r="AQ179" s="5">
        <f>IF(AND(AM179,ISNUMBER(AP179)),(AN179-AP179)^2,"")</f>
        <v/>
      </c>
      <c r="AR179" s="5">
        <f>IF(AM179,1+SUMPRODUCT(--(calc!$AM$3:$AM$306=TRUE),--(calc!$AN$3:$AN$306&gt;AN179))+(SUMPRODUCT(--(calc!$AM$3:$AM$306=TRUE),--(calc!$AN$3:$AN$306=AN179))-1)/2,"")</f>
        <v/>
      </c>
      <c r="AS179" s="5">
        <f>IF(AM179,1+SUMPRODUCT(--(calc!$AM$3:$AM$306=TRUE),--(calc!$AO$3:$AO$306&gt;AO179))+(SUMPRODUCT(--(calc!$AM$3:$AM$306=TRUE),--(calc!$AO$3:$AO$306=AO179))-1)/2,"")</f>
        <v/>
      </c>
      <c r="AT179" s="5">
        <f>IF(AM179,SUMPRODUCT(--(calc!$AM$3:$AM$306=TRUE),--(ROW(calc!$AM$3:$AM$306)&gt;ROW(AM179)),--(((calc!$AR$3:$AR$306&gt;AR179)*(calc!$AS$3:$AS$306&gt;AS179)+(calc!$AR$3:$AR$306&lt;AR179)*(calc!$AS$3:$AS$306&lt;AS179))&gt;0))-SUMPRODUCT(--(calc!$AM$3:$AM$306=TRUE),--(ROW(calc!$AM$3:$AM$306)&gt;ROW(AM179)),--(((calc!$AR$3:$AR$306&gt;AR179)*(calc!$AS$3:$AS$306&lt;AS179)+(calc!$AR$3:$AR$306&lt;AR179)*(calc!$AS$3:$AS$306&gt;AS179))&gt;0)),0)</f>
        <v/>
      </c>
      <c r="AU179" s="5">
        <f>IF(mos_metrics!K178="","",mos_metrics!K178)</f>
        <v/>
      </c>
      <c r="AV179" s="2">
        <f>AND($J179,ISNUMBER(AU179),correlation!$I$30=1)</f>
        <v/>
      </c>
      <c r="AW179" s="5">
        <f>IF(AV179,$F179,"")</f>
        <v/>
      </c>
      <c r="AX179" s="5">
        <f>IF(AV179,AU179*correlation!$J$30,"")</f>
        <v/>
      </c>
      <c r="AY179" s="5">
        <f>IF(AND(AV179,ISNUMBER(correlation!$F$30)),AX179*correlation!$F$30+correlation!$G$30,"")</f>
        <v/>
      </c>
      <c r="AZ179" s="5">
        <f>IF(AND(AV179,ISNUMBER(AY179)),(AW179-AY179)^2,"")</f>
        <v/>
      </c>
      <c r="BA179" s="5">
        <f>IF(AV179,1+SUMPRODUCT(--(calc!$AV$3:$AV$306=TRUE),--(calc!$AW$3:$AW$306&gt;AW179))+(SUMPRODUCT(--(calc!$AV$3:$AV$306=TRUE),--(calc!$AW$3:$AW$306=AW179))-1)/2,"")</f>
        <v/>
      </c>
      <c r="BB179" s="5">
        <f>IF(AV179,1+SUMPRODUCT(--(calc!$AV$3:$AV$306=TRUE),--(calc!$AX$3:$AX$306&gt;AX179))+(SUMPRODUCT(--(calc!$AV$3:$AV$306=TRUE),--(calc!$AX$3:$AX$306=AX179))-1)/2,"")</f>
        <v/>
      </c>
      <c r="BC179" s="5">
        <f>IF(AV179,SUMPRODUCT(--(calc!$AV$3:$AV$306=TRUE),--(ROW(calc!$AV$3:$AV$306)&gt;ROW(AV179)),--(((calc!$BA$3:$BA$306&gt;BA179)*(calc!$BB$3:$BB$306&gt;BB179)+(calc!$BA$3:$BA$306&lt;BA179)*(calc!$BB$3:$BB$306&lt;BB179))&gt;0))-SUMPRODUCT(--(calc!$AV$3:$AV$306=TRUE),--(ROW(calc!$AV$3:$AV$306)&gt;ROW(AV179)),--(((calc!$BA$3:$BA$306&gt;BA179)*(calc!$BB$3:$BB$306&lt;BB179)+(calc!$BA$3:$BA$306&lt;BA179)*(calc!$BB$3:$BB$306&gt;BB179))&gt;0)),0)</f>
        <v/>
      </c>
      <c r="BD179" s="5">
        <f>IF(mos_metrics!L178="","",mos_metrics!L178)</f>
        <v/>
      </c>
      <c r="BE179" s="2">
        <f>AND($J179,ISNUMBER(BD179),correlation!$I$31=1)</f>
        <v/>
      </c>
      <c r="BF179" s="5">
        <f>IF(BE179,$F179,"")</f>
        <v/>
      </c>
      <c r="BG179" s="5">
        <f>IF(BE179,BD179*correlation!$J$31,"")</f>
        <v/>
      </c>
      <c r="BH179" s="5">
        <f>IF(AND(BE179,ISNUMBER(correlation!$F$31)),BG179*correlation!$F$31+correlation!$G$31,"")</f>
        <v/>
      </c>
      <c r="BI179" s="5">
        <f>IF(AND(BE179,ISNUMBER(BH179)),(BF179-BH179)^2,"")</f>
        <v/>
      </c>
      <c r="BJ179" s="5">
        <f>IF(BE179,1+SUMPRODUCT(--(calc!$BE$3:$BE$306=TRUE),--(calc!$BF$3:$BF$306&gt;BF179))+(SUMPRODUCT(--(calc!$BE$3:$BE$306=TRUE),--(calc!$BF$3:$BF$306=BF179))-1)/2,"")</f>
        <v/>
      </c>
      <c r="BK179" s="5">
        <f>IF(BE179,1+SUMPRODUCT(--(calc!$BE$3:$BE$306=TRUE),--(calc!$BG$3:$BG$306&gt;BG179))+(SUMPRODUCT(--(calc!$BE$3:$BE$306=TRUE),--(calc!$BG$3:$BG$306=BG179))-1)/2,"")</f>
        <v/>
      </c>
      <c r="BL179" s="5">
        <f>IF(BE179,SUMPRODUCT(--(calc!$BE$3:$BE$306=TRUE),--(ROW(calc!$BE$3:$BE$306)&gt;ROW(BE179)),--(((calc!$BJ$3:$BJ$306&gt;BJ179)*(calc!$BK$3:$BK$306&gt;BK179)+(calc!$BJ$3:$BJ$306&lt;BJ179)*(calc!$BK$3:$BK$306&lt;BK179))&gt;0))-SUMPRODUCT(--(calc!$BE$3:$BE$306=TRUE),--(ROW(calc!$BE$3:$BE$306)&gt;ROW(BE179)),--(((calc!$BJ$3:$BJ$306&gt;BJ179)*(calc!$BK$3:$BK$306&lt;BK179)+(calc!$BJ$3:$BJ$306&lt;BJ179)*(calc!$BK$3:$BK$306&gt;BK179))&gt;0)),0)</f>
        <v/>
      </c>
      <c r="BM179" s="5">
        <f>IF(mos_metrics!M178="","",mos_metrics!M178)</f>
        <v/>
      </c>
      <c r="BN179" s="2">
        <f>AND($J179,ISNUMBER(BM179),correlation!$I$32=1)</f>
        <v/>
      </c>
      <c r="BO179" s="5">
        <f>IF(BN179,$F179,"")</f>
        <v/>
      </c>
      <c r="BP179" s="5">
        <f>IF(BN179,BM179*correlation!$J$32,"")</f>
        <v/>
      </c>
      <c r="BQ179" s="5">
        <f>IF(AND(BN179,ISNUMBER(correlation!$F$32)),BP179*correlation!$F$32+correlation!$G$32,"")</f>
        <v/>
      </c>
      <c r="BR179" s="5">
        <f>IF(AND(BN179,ISNUMBER(BQ179)),(BO179-BQ179)^2,"")</f>
        <v/>
      </c>
      <c r="BS179" s="5">
        <f>IF(BN179,1+SUMPRODUCT(--(calc!$BN$3:$BN$306=TRUE),--(calc!$BO$3:$BO$306&gt;BO179))+(SUMPRODUCT(--(calc!$BN$3:$BN$306=TRUE),--(calc!$BO$3:$BO$306=BO179))-1)/2,"")</f>
        <v/>
      </c>
      <c r="BT179" s="5">
        <f>IF(BN179,1+SUMPRODUCT(--(calc!$BN$3:$BN$306=TRUE),--(calc!$BP$3:$BP$306&gt;BP179))+(SUMPRODUCT(--(calc!$BN$3:$BN$306=TRUE),--(calc!$BP$3:$BP$306=BP179))-1)/2,"")</f>
        <v/>
      </c>
      <c r="BU179" s="5">
        <f>IF(BN179,SUMPRODUCT(--(calc!$BN$3:$BN$306=TRUE),--(ROW(calc!$BN$3:$BN$306)&gt;ROW(BN179)),--(((calc!$BS$3:$BS$306&gt;BS179)*(calc!$BT$3:$BT$306&gt;BT179)+(calc!$BS$3:$BS$306&lt;BS179)*(calc!$BT$3:$BT$306&lt;BT179))&gt;0))-SUMPRODUCT(--(calc!$BN$3:$BN$306=TRUE),--(ROW(calc!$BN$3:$BN$306)&gt;ROW(BN179)),--(((calc!$BS$3:$BS$306&gt;BS179)*(calc!$BT$3:$BT$306&lt;BT179)+(calc!$BS$3:$BS$306&lt;BS179)*(calc!$BT$3:$BT$306&gt;BT179))&gt;0)),0)</f>
        <v/>
      </c>
    </row>
    <row r="180">
      <c r="A180" s="2">
        <f>mos_metrics!A179</f>
        <v/>
      </c>
      <c r="B180" s="2">
        <f>mos_metrics!B179</f>
        <v/>
      </c>
      <c r="C180" s="2">
        <f>mos_metrics!C179</f>
        <v/>
      </c>
      <c r="D180" s="2">
        <f>mos_metrics!D179</f>
        <v/>
      </c>
      <c r="E180" s="2">
        <f>mos_metrics!E179</f>
        <v/>
      </c>
      <c r="F180" s="2">
        <f>mos_metrics!F179</f>
        <v/>
      </c>
      <c r="G180" s="2">
        <f>IF($B180="","",IFERROR(VLOOKUP($B180,correlation!$A$2:$B$16,2,FALSE),1))</f>
        <v/>
      </c>
      <c r="H180" s="2">
        <f>IF($E180="","",IFERROR(VLOOKUP($E180,correlation!$D$2:$E$8,2,FALSE),1))</f>
        <v/>
      </c>
      <c r="I180" s="2">
        <f>ISNUMBER($F180)</f>
        <v/>
      </c>
      <c r="J180" s="2">
        <f>AND($G180=1,$H180=1,$I180)</f>
        <v/>
      </c>
      <c r="K180" s="5">
        <f>IF(mos_metrics!G179="","",mos_metrics!G179)</f>
        <v/>
      </c>
      <c r="L180" s="2">
        <f>AND($J180,ISNUMBER(K180),correlation!$I$26=1)</f>
        <v/>
      </c>
      <c r="M180" s="5">
        <f>IF(L180,$F180,"")</f>
        <v/>
      </c>
      <c r="N180" s="5">
        <f>IF(L180,K180*correlation!$J$26,"")</f>
        <v/>
      </c>
      <c r="O180" s="5">
        <f>IF(AND(L180,ISNUMBER(correlation!$F$26)),N180*correlation!$F$26+correlation!$G$26,"")</f>
        <v/>
      </c>
      <c r="P180" s="5">
        <f>IF(AND(L180,ISNUMBER(O180)),(M180-O180)^2,"")</f>
        <v/>
      </c>
      <c r="Q180" s="5">
        <f>IF(L180,1+SUMPRODUCT(--(calc!$L$3:$L$306=TRUE),--(calc!$M$3:$M$306&gt;M180))+(SUMPRODUCT(--(calc!$L$3:$L$306=TRUE),--(calc!$M$3:$M$306=M180))-1)/2,"")</f>
        <v/>
      </c>
      <c r="R180" s="5">
        <f>IF(L180,1+SUMPRODUCT(--(calc!$L$3:$L$306=TRUE),--(calc!$N$3:$N$306&gt;N180))+(SUMPRODUCT(--(calc!$L$3:$L$306=TRUE),--(calc!$N$3:$N$306=N180))-1)/2,"")</f>
        <v/>
      </c>
      <c r="S180" s="5">
        <f>IF(L180,SUMPRODUCT(--(calc!$L$3:$L$306=TRUE),--(ROW(calc!$L$3:$L$306)&gt;ROW(L180)),--(((calc!$Q$3:$Q$306&gt;Q180)*(calc!$R$3:$R$306&gt;R180)+(calc!$Q$3:$Q$306&lt;Q180)*(calc!$R$3:$R$306&lt;R180))&gt;0))-SUMPRODUCT(--(calc!$L$3:$L$306=TRUE),--(ROW(calc!$L$3:$L$306)&gt;ROW(L180)),--(((calc!$Q$3:$Q$306&gt;Q180)*(calc!$R$3:$R$306&lt;R180)+(calc!$Q$3:$Q$306&lt;Q180)*(calc!$R$3:$R$306&gt;R180))&gt;0)),0)</f>
        <v/>
      </c>
      <c r="T180" s="5">
        <f>IF(mos_metrics!H179="","",mos_metrics!H179)</f>
        <v/>
      </c>
      <c r="U180" s="2">
        <f>AND($J180,ISNUMBER(T180),correlation!$I$27=1)</f>
        <v/>
      </c>
      <c r="V180" s="5">
        <f>IF(U180,$F180,"")</f>
        <v/>
      </c>
      <c r="W180" s="5">
        <f>IF(U180,T180*correlation!$J$27,"")</f>
        <v/>
      </c>
      <c r="X180" s="5">
        <f>IF(AND(U180,ISNUMBER(correlation!$F$27)),W180*correlation!$F$27+correlation!$G$27,"")</f>
        <v/>
      </c>
      <c r="Y180" s="5">
        <f>IF(AND(U180,ISNUMBER(X180)),(V180-X180)^2,"")</f>
        <v/>
      </c>
      <c r="Z180" s="5">
        <f>IF(U180,1+SUMPRODUCT(--(calc!$U$3:$U$306=TRUE),--(calc!$V$3:$V$306&gt;V180))+(SUMPRODUCT(--(calc!$U$3:$U$306=TRUE),--(calc!$V$3:$V$306=V180))-1)/2,"")</f>
        <v/>
      </c>
      <c r="AA180" s="5">
        <f>IF(U180,1+SUMPRODUCT(--(calc!$U$3:$U$306=TRUE),--(calc!$W$3:$W$306&gt;W180))+(SUMPRODUCT(--(calc!$U$3:$U$306=TRUE),--(calc!$W$3:$W$306=W180))-1)/2,"")</f>
        <v/>
      </c>
      <c r="AB180" s="5">
        <f>IF(U180,SUMPRODUCT(--(calc!$U$3:$U$306=TRUE),--(ROW(calc!$U$3:$U$306)&gt;ROW(U180)),--(((calc!$Z$3:$Z$306&gt;Z180)*(calc!$AA$3:$AA$306&gt;AA180)+(calc!$Z$3:$Z$306&lt;Z180)*(calc!$AA$3:$AA$306&lt;AA180))&gt;0))-SUMPRODUCT(--(calc!$U$3:$U$306=TRUE),--(ROW(calc!$U$3:$U$306)&gt;ROW(U180)),--(((calc!$Z$3:$Z$306&gt;Z180)*(calc!$AA$3:$AA$306&lt;AA180)+(calc!$Z$3:$Z$306&lt;Z180)*(calc!$AA$3:$AA$306&gt;AA180))&gt;0)),0)</f>
        <v/>
      </c>
      <c r="AC180" s="5">
        <f>IF(mos_metrics!I179="","",mos_metrics!I179)</f>
        <v/>
      </c>
      <c r="AD180" s="2">
        <f>AND($J180,ISNUMBER(AC180),correlation!$I$28=1)</f>
        <v/>
      </c>
      <c r="AE180" s="5">
        <f>IF(AD180,$F180,"")</f>
        <v/>
      </c>
      <c r="AF180" s="5">
        <f>IF(AD180,AC180*correlation!$J$28,"")</f>
        <v/>
      </c>
      <c r="AG180" s="5">
        <f>IF(AND(AD180,ISNUMBER(correlation!$F$28)),AF180*correlation!$F$28+correlation!$G$28,"")</f>
        <v/>
      </c>
      <c r="AH180" s="5">
        <f>IF(AND(AD180,ISNUMBER(AG180)),(AE180-AG180)^2,"")</f>
        <v/>
      </c>
      <c r="AI180" s="5">
        <f>IF(AD180,1+SUMPRODUCT(--(calc!$AD$3:$AD$306=TRUE),--(calc!$AE$3:$AE$306&gt;AE180))+(SUMPRODUCT(--(calc!$AD$3:$AD$306=TRUE),--(calc!$AE$3:$AE$306=AE180))-1)/2,"")</f>
        <v/>
      </c>
      <c r="AJ180" s="5">
        <f>IF(AD180,1+SUMPRODUCT(--(calc!$AD$3:$AD$306=TRUE),--(calc!$AF$3:$AF$306&gt;AF180))+(SUMPRODUCT(--(calc!$AD$3:$AD$306=TRUE),--(calc!$AF$3:$AF$306=AF180))-1)/2,"")</f>
        <v/>
      </c>
      <c r="AK180" s="5">
        <f>IF(AD180,SUMPRODUCT(--(calc!$AD$3:$AD$306=TRUE),--(ROW(calc!$AD$3:$AD$306)&gt;ROW(AD180)),--(((calc!$AI$3:$AI$306&gt;AI180)*(calc!$AJ$3:$AJ$306&gt;AJ180)+(calc!$AI$3:$AI$306&lt;AI180)*(calc!$AJ$3:$AJ$306&lt;AJ180))&gt;0))-SUMPRODUCT(--(calc!$AD$3:$AD$306=TRUE),--(ROW(calc!$AD$3:$AD$306)&gt;ROW(AD180)),--(((calc!$AI$3:$AI$306&gt;AI180)*(calc!$AJ$3:$AJ$306&lt;AJ180)+(calc!$AI$3:$AI$306&lt;AI180)*(calc!$AJ$3:$AJ$306&gt;AJ180))&gt;0)),0)</f>
        <v/>
      </c>
      <c r="AL180" s="5">
        <f>IF(mos_metrics!J179="","",mos_metrics!J179)</f>
        <v/>
      </c>
      <c r="AM180" s="2">
        <f>AND($J180,ISNUMBER(AL180),correlation!$I$29=1)</f>
        <v/>
      </c>
      <c r="AN180" s="5">
        <f>IF(AM180,$F180,"")</f>
        <v/>
      </c>
      <c r="AO180" s="5">
        <f>IF(AM180,AL180*correlation!$J$29,"")</f>
        <v/>
      </c>
      <c r="AP180" s="5">
        <f>IF(AND(AM180,ISNUMBER(correlation!$F$29)),AO180*correlation!$F$29+correlation!$G$29,"")</f>
        <v/>
      </c>
      <c r="AQ180" s="5">
        <f>IF(AND(AM180,ISNUMBER(AP180)),(AN180-AP180)^2,"")</f>
        <v/>
      </c>
      <c r="AR180" s="5">
        <f>IF(AM180,1+SUMPRODUCT(--(calc!$AM$3:$AM$306=TRUE),--(calc!$AN$3:$AN$306&gt;AN180))+(SUMPRODUCT(--(calc!$AM$3:$AM$306=TRUE),--(calc!$AN$3:$AN$306=AN180))-1)/2,"")</f>
        <v/>
      </c>
      <c r="AS180" s="5">
        <f>IF(AM180,1+SUMPRODUCT(--(calc!$AM$3:$AM$306=TRUE),--(calc!$AO$3:$AO$306&gt;AO180))+(SUMPRODUCT(--(calc!$AM$3:$AM$306=TRUE),--(calc!$AO$3:$AO$306=AO180))-1)/2,"")</f>
        <v/>
      </c>
      <c r="AT180" s="5">
        <f>IF(AM180,SUMPRODUCT(--(calc!$AM$3:$AM$306=TRUE),--(ROW(calc!$AM$3:$AM$306)&gt;ROW(AM180)),--(((calc!$AR$3:$AR$306&gt;AR180)*(calc!$AS$3:$AS$306&gt;AS180)+(calc!$AR$3:$AR$306&lt;AR180)*(calc!$AS$3:$AS$306&lt;AS180))&gt;0))-SUMPRODUCT(--(calc!$AM$3:$AM$306=TRUE),--(ROW(calc!$AM$3:$AM$306)&gt;ROW(AM180)),--(((calc!$AR$3:$AR$306&gt;AR180)*(calc!$AS$3:$AS$306&lt;AS180)+(calc!$AR$3:$AR$306&lt;AR180)*(calc!$AS$3:$AS$306&gt;AS180))&gt;0)),0)</f>
        <v/>
      </c>
      <c r="AU180" s="5">
        <f>IF(mos_metrics!K179="","",mos_metrics!K179)</f>
        <v/>
      </c>
      <c r="AV180" s="2">
        <f>AND($J180,ISNUMBER(AU180),correlation!$I$30=1)</f>
        <v/>
      </c>
      <c r="AW180" s="5">
        <f>IF(AV180,$F180,"")</f>
        <v/>
      </c>
      <c r="AX180" s="5">
        <f>IF(AV180,AU180*correlation!$J$30,"")</f>
        <v/>
      </c>
      <c r="AY180" s="5">
        <f>IF(AND(AV180,ISNUMBER(correlation!$F$30)),AX180*correlation!$F$30+correlation!$G$30,"")</f>
        <v/>
      </c>
      <c r="AZ180" s="5">
        <f>IF(AND(AV180,ISNUMBER(AY180)),(AW180-AY180)^2,"")</f>
        <v/>
      </c>
      <c r="BA180" s="5">
        <f>IF(AV180,1+SUMPRODUCT(--(calc!$AV$3:$AV$306=TRUE),--(calc!$AW$3:$AW$306&gt;AW180))+(SUMPRODUCT(--(calc!$AV$3:$AV$306=TRUE),--(calc!$AW$3:$AW$306=AW180))-1)/2,"")</f>
        <v/>
      </c>
      <c r="BB180" s="5">
        <f>IF(AV180,1+SUMPRODUCT(--(calc!$AV$3:$AV$306=TRUE),--(calc!$AX$3:$AX$306&gt;AX180))+(SUMPRODUCT(--(calc!$AV$3:$AV$306=TRUE),--(calc!$AX$3:$AX$306=AX180))-1)/2,"")</f>
        <v/>
      </c>
      <c r="BC180" s="5">
        <f>IF(AV180,SUMPRODUCT(--(calc!$AV$3:$AV$306=TRUE),--(ROW(calc!$AV$3:$AV$306)&gt;ROW(AV180)),--(((calc!$BA$3:$BA$306&gt;BA180)*(calc!$BB$3:$BB$306&gt;BB180)+(calc!$BA$3:$BA$306&lt;BA180)*(calc!$BB$3:$BB$306&lt;BB180))&gt;0))-SUMPRODUCT(--(calc!$AV$3:$AV$306=TRUE),--(ROW(calc!$AV$3:$AV$306)&gt;ROW(AV180)),--(((calc!$BA$3:$BA$306&gt;BA180)*(calc!$BB$3:$BB$306&lt;BB180)+(calc!$BA$3:$BA$306&lt;BA180)*(calc!$BB$3:$BB$306&gt;BB180))&gt;0)),0)</f>
        <v/>
      </c>
      <c r="BD180" s="5">
        <f>IF(mos_metrics!L179="","",mos_metrics!L179)</f>
        <v/>
      </c>
      <c r="BE180" s="2">
        <f>AND($J180,ISNUMBER(BD180),correlation!$I$31=1)</f>
        <v/>
      </c>
      <c r="BF180" s="5">
        <f>IF(BE180,$F180,"")</f>
        <v/>
      </c>
      <c r="BG180" s="5">
        <f>IF(BE180,BD180*correlation!$J$31,"")</f>
        <v/>
      </c>
      <c r="BH180" s="5">
        <f>IF(AND(BE180,ISNUMBER(correlation!$F$31)),BG180*correlation!$F$31+correlation!$G$31,"")</f>
        <v/>
      </c>
      <c r="BI180" s="5">
        <f>IF(AND(BE180,ISNUMBER(BH180)),(BF180-BH180)^2,"")</f>
        <v/>
      </c>
      <c r="BJ180" s="5">
        <f>IF(BE180,1+SUMPRODUCT(--(calc!$BE$3:$BE$306=TRUE),--(calc!$BF$3:$BF$306&gt;BF180))+(SUMPRODUCT(--(calc!$BE$3:$BE$306=TRUE),--(calc!$BF$3:$BF$306=BF180))-1)/2,"")</f>
        <v/>
      </c>
      <c r="BK180" s="5">
        <f>IF(BE180,1+SUMPRODUCT(--(calc!$BE$3:$BE$306=TRUE),--(calc!$BG$3:$BG$306&gt;BG180))+(SUMPRODUCT(--(calc!$BE$3:$BE$306=TRUE),--(calc!$BG$3:$BG$306=BG180))-1)/2,"")</f>
        <v/>
      </c>
      <c r="BL180" s="5">
        <f>IF(BE180,SUMPRODUCT(--(calc!$BE$3:$BE$306=TRUE),--(ROW(calc!$BE$3:$BE$306)&gt;ROW(BE180)),--(((calc!$BJ$3:$BJ$306&gt;BJ180)*(calc!$BK$3:$BK$306&gt;BK180)+(calc!$BJ$3:$BJ$306&lt;BJ180)*(calc!$BK$3:$BK$306&lt;BK180))&gt;0))-SUMPRODUCT(--(calc!$BE$3:$BE$306=TRUE),--(ROW(calc!$BE$3:$BE$306)&gt;ROW(BE180)),--(((calc!$BJ$3:$BJ$306&gt;BJ180)*(calc!$BK$3:$BK$306&lt;BK180)+(calc!$BJ$3:$BJ$306&lt;BJ180)*(calc!$BK$3:$BK$306&gt;BK180))&gt;0)),0)</f>
        <v/>
      </c>
      <c r="BM180" s="5">
        <f>IF(mos_metrics!M179="","",mos_metrics!M179)</f>
        <v/>
      </c>
      <c r="BN180" s="2">
        <f>AND($J180,ISNUMBER(BM180),correlation!$I$32=1)</f>
        <v/>
      </c>
      <c r="BO180" s="5">
        <f>IF(BN180,$F180,"")</f>
        <v/>
      </c>
      <c r="BP180" s="5">
        <f>IF(BN180,BM180*correlation!$J$32,"")</f>
        <v/>
      </c>
      <c r="BQ180" s="5">
        <f>IF(AND(BN180,ISNUMBER(correlation!$F$32)),BP180*correlation!$F$32+correlation!$G$32,"")</f>
        <v/>
      </c>
      <c r="BR180" s="5">
        <f>IF(AND(BN180,ISNUMBER(BQ180)),(BO180-BQ180)^2,"")</f>
        <v/>
      </c>
      <c r="BS180" s="5">
        <f>IF(BN180,1+SUMPRODUCT(--(calc!$BN$3:$BN$306=TRUE),--(calc!$BO$3:$BO$306&gt;BO180))+(SUMPRODUCT(--(calc!$BN$3:$BN$306=TRUE),--(calc!$BO$3:$BO$306=BO180))-1)/2,"")</f>
        <v/>
      </c>
      <c r="BT180" s="5">
        <f>IF(BN180,1+SUMPRODUCT(--(calc!$BN$3:$BN$306=TRUE),--(calc!$BP$3:$BP$306&gt;BP180))+(SUMPRODUCT(--(calc!$BN$3:$BN$306=TRUE),--(calc!$BP$3:$BP$306=BP180))-1)/2,"")</f>
        <v/>
      </c>
      <c r="BU180" s="5">
        <f>IF(BN180,SUMPRODUCT(--(calc!$BN$3:$BN$306=TRUE),--(ROW(calc!$BN$3:$BN$306)&gt;ROW(BN180)),--(((calc!$BS$3:$BS$306&gt;BS180)*(calc!$BT$3:$BT$306&gt;BT180)+(calc!$BS$3:$BS$306&lt;BS180)*(calc!$BT$3:$BT$306&lt;BT180))&gt;0))-SUMPRODUCT(--(calc!$BN$3:$BN$306=TRUE),--(ROW(calc!$BN$3:$BN$306)&gt;ROW(BN180)),--(((calc!$BS$3:$BS$306&gt;BS180)*(calc!$BT$3:$BT$306&lt;BT180)+(calc!$BS$3:$BS$306&lt;BS180)*(calc!$BT$3:$BT$306&gt;BT180))&gt;0)),0)</f>
        <v/>
      </c>
    </row>
    <row r="181">
      <c r="A181" s="2">
        <f>mos_metrics!A180</f>
        <v/>
      </c>
      <c r="B181" s="2">
        <f>mos_metrics!B180</f>
        <v/>
      </c>
      <c r="C181" s="2">
        <f>mos_metrics!C180</f>
        <v/>
      </c>
      <c r="D181" s="2">
        <f>mos_metrics!D180</f>
        <v/>
      </c>
      <c r="E181" s="2">
        <f>mos_metrics!E180</f>
        <v/>
      </c>
      <c r="F181" s="2">
        <f>mos_metrics!F180</f>
        <v/>
      </c>
      <c r="G181" s="2">
        <f>IF($B181="","",IFERROR(VLOOKUP($B181,correlation!$A$2:$B$16,2,FALSE),1))</f>
        <v/>
      </c>
      <c r="H181" s="2">
        <f>IF($E181="","",IFERROR(VLOOKUP($E181,correlation!$D$2:$E$8,2,FALSE),1))</f>
        <v/>
      </c>
      <c r="I181" s="2">
        <f>ISNUMBER($F181)</f>
        <v/>
      </c>
      <c r="J181" s="2">
        <f>AND($G181=1,$H181=1,$I181)</f>
        <v/>
      </c>
      <c r="K181" s="5">
        <f>IF(mos_metrics!G180="","",mos_metrics!G180)</f>
        <v/>
      </c>
      <c r="L181" s="2">
        <f>AND($J181,ISNUMBER(K181),correlation!$I$26=1)</f>
        <v/>
      </c>
      <c r="M181" s="5">
        <f>IF(L181,$F181,"")</f>
        <v/>
      </c>
      <c r="N181" s="5">
        <f>IF(L181,K181*correlation!$J$26,"")</f>
        <v/>
      </c>
      <c r="O181" s="5">
        <f>IF(AND(L181,ISNUMBER(correlation!$F$26)),N181*correlation!$F$26+correlation!$G$26,"")</f>
        <v/>
      </c>
      <c r="P181" s="5">
        <f>IF(AND(L181,ISNUMBER(O181)),(M181-O181)^2,"")</f>
        <v/>
      </c>
      <c r="Q181" s="5">
        <f>IF(L181,1+SUMPRODUCT(--(calc!$L$3:$L$306=TRUE),--(calc!$M$3:$M$306&gt;M181))+(SUMPRODUCT(--(calc!$L$3:$L$306=TRUE),--(calc!$M$3:$M$306=M181))-1)/2,"")</f>
        <v/>
      </c>
      <c r="R181" s="5">
        <f>IF(L181,1+SUMPRODUCT(--(calc!$L$3:$L$306=TRUE),--(calc!$N$3:$N$306&gt;N181))+(SUMPRODUCT(--(calc!$L$3:$L$306=TRUE),--(calc!$N$3:$N$306=N181))-1)/2,"")</f>
        <v/>
      </c>
      <c r="S181" s="5">
        <f>IF(L181,SUMPRODUCT(--(calc!$L$3:$L$306=TRUE),--(ROW(calc!$L$3:$L$306)&gt;ROW(L181)),--(((calc!$Q$3:$Q$306&gt;Q181)*(calc!$R$3:$R$306&gt;R181)+(calc!$Q$3:$Q$306&lt;Q181)*(calc!$R$3:$R$306&lt;R181))&gt;0))-SUMPRODUCT(--(calc!$L$3:$L$306=TRUE),--(ROW(calc!$L$3:$L$306)&gt;ROW(L181)),--(((calc!$Q$3:$Q$306&gt;Q181)*(calc!$R$3:$R$306&lt;R181)+(calc!$Q$3:$Q$306&lt;Q181)*(calc!$R$3:$R$306&gt;R181))&gt;0)),0)</f>
        <v/>
      </c>
      <c r="T181" s="5">
        <f>IF(mos_metrics!H180="","",mos_metrics!H180)</f>
        <v/>
      </c>
      <c r="U181" s="2">
        <f>AND($J181,ISNUMBER(T181),correlation!$I$27=1)</f>
        <v/>
      </c>
      <c r="V181" s="5">
        <f>IF(U181,$F181,"")</f>
        <v/>
      </c>
      <c r="W181" s="5">
        <f>IF(U181,T181*correlation!$J$27,"")</f>
        <v/>
      </c>
      <c r="X181" s="5">
        <f>IF(AND(U181,ISNUMBER(correlation!$F$27)),W181*correlation!$F$27+correlation!$G$27,"")</f>
        <v/>
      </c>
      <c r="Y181" s="5">
        <f>IF(AND(U181,ISNUMBER(X181)),(V181-X181)^2,"")</f>
        <v/>
      </c>
      <c r="Z181" s="5">
        <f>IF(U181,1+SUMPRODUCT(--(calc!$U$3:$U$306=TRUE),--(calc!$V$3:$V$306&gt;V181))+(SUMPRODUCT(--(calc!$U$3:$U$306=TRUE),--(calc!$V$3:$V$306=V181))-1)/2,"")</f>
        <v/>
      </c>
      <c r="AA181" s="5">
        <f>IF(U181,1+SUMPRODUCT(--(calc!$U$3:$U$306=TRUE),--(calc!$W$3:$W$306&gt;W181))+(SUMPRODUCT(--(calc!$U$3:$U$306=TRUE),--(calc!$W$3:$W$306=W181))-1)/2,"")</f>
        <v/>
      </c>
      <c r="AB181" s="5">
        <f>IF(U181,SUMPRODUCT(--(calc!$U$3:$U$306=TRUE),--(ROW(calc!$U$3:$U$306)&gt;ROW(U181)),--(((calc!$Z$3:$Z$306&gt;Z181)*(calc!$AA$3:$AA$306&gt;AA181)+(calc!$Z$3:$Z$306&lt;Z181)*(calc!$AA$3:$AA$306&lt;AA181))&gt;0))-SUMPRODUCT(--(calc!$U$3:$U$306=TRUE),--(ROW(calc!$U$3:$U$306)&gt;ROW(U181)),--(((calc!$Z$3:$Z$306&gt;Z181)*(calc!$AA$3:$AA$306&lt;AA181)+(calc!$Z$3:$Z$306&lt;Z181)*(calc!$AA$3:$AA$306&gt;AA181))&gt;0)),0)</f>
        <v/>
      </c>
      <c r="AC181" s="5">
        <f>IF(mos_metrics!I180="","",mos_metrics!I180)</f>
        <v/>
      </c>
      <c r="AD181" s="2">
        <f>AND($J181,ISNUMBER(AC181),correlation!$I$28=1)</f>
        <v/>
      </c>
      <c r="AE181" s="5">
        <f>IF(AD181,$F181,"")</f>
        <v/>
      </c>
      <c r="AF181" s="5">
        <f>IF(AD181,AC181*correlation!$J$28,"")</f>
        <v/>
      </c>
      <c r="AG181" s="5">
        <f>IF(AND(AD181,ISNUMBER(correlation!$F$28)),AF181*correlation!$F$28+correlation!$G$28,"")</f>
        <v/>
      </c>
      <c r="AH181" s="5">
        <f>IF(AND(AD181,ISNUMBER(AG181)),(AE181-AG181)^2,"")</f>
        <v/>
      </c>
      <c r="AI181" s="5">
        <f>IF(AD181,1+SUMPRODUCT(--(calc!$AD$3:$AD$306=TRUE),--(calc!$AE$3:$AE$306&gt;AE181))+(SUMPRODUCT(--(calc!$AD$3:$AD$306=TRUE),--(calc!$AE$3:$AE$306=AE181))-1)/2,"")</f>
        <v/>
      </c>
      <c r="AJ181" s="5">
        <f>IF(AD181,1+SUMPRODUCT(--(calc!$AD$3:$AD$306=TRUE),--(calc!$AF$3:$AF$306&gt;AF181))+(SUMPRODUCT(--(calc!$AD$3:$AD$306=TRUE),--(calc!$AF$3:$AF$306=AF181))-1)/2,"")</f>
        <v/>
      </c>
      <c r="AK181" s="5">
        <f>IF(AD181,SUMPRODUCT(--(calc!$AD$3:$AD$306=TRUE),--(ROW(calc!$AD$3:$AD$306)&gt;ROW(AD181)),--(((calc!$AI$3:$AI$306&gt;AI181)*(calc!$AJ$3:$AJ$306&gt;AJ181)+(calc!$AI$3:$AI$306&lt;AI181)*(calc!$AJ$3:$AJ$306&lt;AJ181))&gt;0))-SUMPRODUCT(--(calc!$AD$3:$AD$306=TRUE),--(ROW(calc!$AD$3:$AD$306)&gt;ROW(AD181)),--(((calc!$AI$3:$AI$306&gt;AI181)*(calc!$AJ$3:$AJ$306&lt;AJ181)+(calc!$AI$3:$AI$306&lt;AI181)*(calc!$AJ$3:$AJ$306&gt;AJ181))&gt;0)),0)</f>
        <v/>
      </c>
      <c r="AL181" s="5">
        <f>IF(mos_metrics!J180="","",mos_metrics!J180)</f>
        <v/>
      </c>
      <c r="AM181" s="2">
        <f>AND($J181,ISNUMBER(AL181),correlation!$I$29=1)</f>
        <v/>
      </c>
      <c r="AN181" s="5">
        <f>IF(AM181,$F181,"")</f>
        <v/>
      </c>
      <c r="AO181" s="5">
        <f>IF(AM181,AL181*correlation!$J$29,"")</f>
        <v/>
      </c>
      <c r="AP181" s="5">
        <f>IF(AND(AM181,ISNUMBER(correlation!$F$29)),AO181*correlation!$F$29+correlation!$G$29,"")</f>
        <v/>
      </c>
      <c r="AQ181" s="5">
        <f>IF(AND(AM181,ISNUMBER(AP181)),(AN181-AP181)^2,"")</f>
        <v/>
      </c>
      <c r="AR181" s="5">
        <f>IF(AM181,1+SUMPRODUCT(--(calc!$AM$3:$AM$306=TRUE),--(calc!$AN$3:$AN$306&gt;AN181))+(SUMPRODUCT(--(calc!$AM$3:$AM$306=TRUE),--(calc!$AN$3:$AN$306=AN181))-1)/2,"")</f>
        <v/>
      </c>
      <c r="AS181" s="5">
        <f>IF(AM181,1+SUMPRODUCT(--(calc!$AM$3:$AM$306=TRUE),--(calc!$AO$3:$AO$306&gt;AO181))+(SUMPRODUCT(--(calc!$AM$3:$AM$306=TRUE),--(calc!$AO$3:$AO$306=AO181))-1)/2,"")</f>
        <v/>
      </c>
      <c r="AT181" s="5">
        <f>IF(AM181,SUMPRODUCT(--(calc!$AM$3:$AM$306=TRUE),--(ROW(calc!$AM$3:$AM$306)&gt;ROW(AM181)),--(((calc!$AR$3:$AR$306&gt;AR181)*(calc!$AS$3:$AS$306&gt;AS181)+(calc!$AR$3:$AR$306&lt;AR181)*(calc!$AS$3:$AS$306&lt;AS181))&gt;0))-SUMPRODUCT(--(calc!$AM$3:$AM$306=TRUE),--(ROW(calc!$AM$3:$AM$306)&gt;ROW(AM181)),--(((calc!$AR$3:$AR$306&gt;AR181)*(calc!$AS$3:$AS$306&lt;AS181)+(calc!$AR$3:$AR$306&lt;AR181)*(calc!$AS$3:$AS$306&gt;AS181))&gt;0)),0)</f>
        <v/>
      </c>
      <c r="AU181" s="5">
        <f>IF(mos_metrics!K180="","",mos_metrics!K180)</f>
        <v/>
      </c>
      <c r="AV181" s="2">
        <f>AND($J181,ISNUMBER(AU181),correlation!$I$30=1)</f>
        <v/>
      </c>
      <c r="AW181" s="5">
        <f>IF(AV181,$F181,"")</f>
        <v/>
      </c>
      <c r="AX181" s="5">
        <f>IF(AV181,AU181*correlation!$J$30,"")</f>
        <v/>
      </c>
      <c r="AY181" s="5">
        <f>IF(AND(AV181,ISNUMBER(correlation!$F$30)),AX181*correlation!$F$30+correlation!$G$30,"")</f>
        <v/>
      </c>
      <c r="AZ181" s="5">
        <f>IF(AND(AV181,ISNUMBER(AY181)),(AW181-AY181)^2,"")</f>
        <v/>
      </c>
      <c r="BA181" s="5">
        <f>IF(AV181,1+SUMPRODUCT(--(calc!$AV$3:$AV$306=TRUE),--(calc!$AW$3:$AW$306&gt;AW181))+(SUMPRODUCT(--(calc!$AV$3:$AV$306=TRUE),--(calc!$AW$3:$AW$306=AW181))-1)/2,"")</f>
        <v/>
      </c>
      <c r="BB181" s="5">
        <f>IF(AV181,1+SUMPRODUCT(--(calc!$AV$3:$AV$306=TRUE),--(calc!$AX$3:$AX$306&gt;AX181))+(SUMPRODUCT(--(calc!$AV$3:$AV$306=TRUE),--(calc!$AX$3:$AX$306=AX181))-1)/2,"")</f>
        <v/>
      </c>
      <c r="BC181" s="5">
        <f>IF(AV181,SUMPRODUCT(--(calc!$AV$3:$AV$306=TRUE),--(ROW(calc!$AV$3:$AV$306)&gt;ROW(AV181)),--(((calc!$BA$3:$BA$306&gt;BA181)*(calc!$BB$3:$BB$306&gt;BB181)+(calc!$BA$3:$BA$306&lt;BA181)*(calc!$BB$3:$BB$306&lt;BB181))&gt;0))-SUMPRODUCT(--(calc!$AV$3:$AV$306=TRUE),--(ROW(calc!$AV$3:$AV$306)&gt;ROW(AV181)),--(((calc!$BA$3:$BA$306&gt;BA181)*(calc!$BB$3:$BB$306&lt;BB181)+(calc!$BA$3:$BA$306&lt;BA181)*(calc!$BB$3:$BB$306&gt;BB181))&gt;0)),0)</f>
        <v/>
      </c>
      <c r="BD181" s="5">
        <f>IF(mos_metrics!L180="","",mos_metrics!L180)</f>
        <v/>
      </c>
      <c r="BE181" s="2">
        <f>AND($J181,ISNUMBER(BD181),correlation!$I$31=1)</f>
        <v/>
      </c>
      <c r="BF181" s="5">
        <f>IF(BE181,$F181,"")</f>
        <v/>
      </c>
      <c r="BG181" s="5">
        <f>IF(BE181,BD181*correlation!$J$31,"")</f>
        <v/>
      </c>
      <c r="BH181" s="5">
        <f>IF(AND(BE181,ISNUMBER(correlation!$F$31)),BG181*correlation!$F$31+correlation!$G$31,"")</f>
        <v/>
      </c>
      <c r="BI181" s="5">
        <f>IF(AND(BE181,ISNUMBER(BH181)),(BF181-BH181)^2,"")</f>
        <v/>
      </c>
      <c r="BJ181" s="5">
        <f>IF(BE181,1+SUMPRODUCT(--(calc!$BE$3:$BE$306=TRUE),--(calc!$BF$3:$BF$306&gt;BF181))+(SUMPRODUCT(--(calc!$BE$3:$BE$306=TRUE),--(calc!$BF$3:$BF$306=BF181))-1)/2,"")</f>
        <v/>
      </c>
      <c r="BK181" s="5">
        <f>IF(BE181,1+SUMPRODUCT(--(calc!$BE$3:$BE$306=TRUE),--(calc!$BG$3:$BG$306&gt;BG181))+(SUMPRODUCT(--(calc!$BE$3:$BE$306=TRUE),--(calc!$BG$3:$BG$306=BG181))-1)/2,"")</f>
        <v/>
      </c>
      <c r="BL181" s="5">
        <f>IF(BE181,SUMPRODUCT(--(calc!$BE$3:$BE$306=TRUE),--(ROW(calc!$BE$3:$BE$306)&gt;ROW(BE181)),--(((calc!$BJ$3:$BJ$306&gt;BJ181)*(calc!$BK$3:$BK$306&gt;BK181)+(calc!$BJ$3:$BJ$306&lt;BJ181)*(calc!$BK$3:$BK$306&lt;BK181))&gt;0))-SUMPRODUCT(--(calc!$BE$3:$BE$306=TRUE),--(ROW(calc!$BE$3:$BE$306)&gt;ROW(BE181)),--(((calc!$BJ$3:$BJ$306&gt;BJ181)*(calc!$BK$3:$BK$306&lt;BK181)+(calc!$BJ$3:$BJ$306&lt;BJ181)*(calc!$BK$3:$BK$306&gt;BK181))&gt;0)),0)</f>
        <v/>
      </c>
      <c r="BM181" s="5">
        <f>IF(mos_metrics!M180="","",mos_metrics!M180)</f>
        <v/>
      </c>
      <c r="BN181" s="2">
        <f>AND($J181,ISNUMBER(BM181),correlation!$I$32=1)</f>
        <v/>
      </c>
      <c r="BO181" s="5">
        <f>IF(BN181,$F181,"")</f>
        <v/>
      </c>
      <c r="BP181" s="5">
        <f>IF(BN181,BM181*correlation!$J$32,"")</f>
        <v/>
      </c>
      <c r="BQ181" s="5">
        <f>IF(AND(BN181,ISNUMBER(correlation!$F$32)),BP181*correlation!$F$32+correlation!$G$32,"")</f>
        <v/>
      </c>
      <c r="BR181" s="5">
        <f>IF(AND(BN181,ISNUMBER(BQ181)),(BO181-BQ181)^2,"")</f>
        <v/>
      </c>
      <c r="BS181" s="5">
        <f>IF(BN181,1+SUMPRODUCT(--(calc!$BN$3:$BN$306=TRUE),--(calc!$BO$3:$BO$306&gt;BO181))+(SUMPRODUCT(--(calc!$BN$3:$BN$306=TRUE),--(calc!$BO$3:$BO$306=BO181))-1)/2,"")</f>
        <v/>
      </c>
      <c r="BT181" s="5">
        <f>IF(BN181,1+SUMPRODUCT(--(calc!$BN$3:$BN$306=TRUE),--(calc!$BP$3:$BP$306&gt;BP181))+(SUMPRODUCT(--(calc!$BN$3:$BN$306=TRUE),--(calc!$BP$3:$BP$306=BP181))-1)/2,"")</f>
        <v/>
      </c>
      <c r="BU181" s="5">
        <f>IF(BN181,SUMPRODUCT(--(calc!$BN$3:$BN$306=TRUE),--(ROW(calc!$BN$3:$BN$306)&gt;ROW(BN181)),--(((calc!$BS$3:$BS$306&gt;BS181)*(calc!$BT$3:$BT$306&gt;BT181)+(calc!$BS$3:$BS$306&lt;BS181)*(calc!$BT$3:$BT$306&lt;BT181))&gt;0))-SUMPRODUCT(--(calc!$BN$3:$BN$306=TRUE),--(ROW(calc!$BN$3:$BN$306)&gt;ROW(BN181)),--(((calc!$BS$3:$BS$306&gt;BS181)*(calc!$BT$3:$BT$306&lt;BT181)+(calc!$BS$3:$BS$306&lt;BS181)*(calc!$BT$3:$BT$306&gt;BT181))&gt;0)),0)</f>
        <v/>
      </c>
    </row>
    <row r="182">
      <c r="A182" s="2">
        <f>mos_metrics!A181</f>
        <v/>
      </c>
      <c r="B182" s="2">
        <f>mos_metrics!B181</f>
        <v/>
      </c>
      <c r="C182" s="2">
        <f>mos_metrics!C181</f>
        <v/>
      </c>
      <c r="D182" s="2">
        <f>mos_metrics!D181</f>
        <v/>
      </c>
      <c r="E182" s="2">
        <f>mos_metrics!E181</f>
        <v/>
      </c>
      <c r="F182" s="2">
        <f>mos_metrics!F181</f>
        <v/>
      </c>
      <c r="G182" s="2">
        <f>IF($B182="","",IFERROR(VLOOKUP($B182,correlation!$A$2:$B$16,2,FALSE),1))</f>
        <v/>
      </c>
      <c r="H182" s="2">
        <f>IF($E182="","",IFERROR(VLOOKUP($E182,correlation!$D$2:$E$8,2,FALSE),1))</f>
        <v/>
      </c>
      <c r="I182" s="2">
        <f>ISNUMBER($F182)</f>
        <v/>
      </c>
      <c r="J182" s="2">
        <f>AND($G182=1,$H182=1,$I182)</f>
        <v/>
      </c>
      <c r="K182" s="5">
        <f>IF(mos_metrics!G181="","",mos_metrics!G181)</f>
        <v/>
      </c>
      <c r="L182" s="2">
        <f>AND($J182,ISNUMBER(K182),correlation!$I$26=1)</f>
        <v/>
      </c>
      <c r="M182" s="5">
        <f>IF(L182,$F182,"")</f>
        <v/>
      </c>
      <c r="N182" s="5">
        <f>IF(L182,K182*correlation!$J$26,"")</f>
        <v/>
      </c>
      <c r="O182" s="5">
        <f>IF(AND(L182,ISNUMBER(correlation!$F$26)),N182*correlation!$F$26+correlation!$G$26,"")</f>
        <v/>
      </c>
      <c r="P182" s="5">
        <f>IF(AND(L182,ISNUMBER(O182)),(M182-O182)^2,"")</f>
        <v/>
      </c>
      <c r="Q182" s="5">
        <f>IF(L182,1+SUMPRODUCT(--(calc!$L$3:$L$306=TRUE),--(calc!$M$3:$M$306&gt;M182))+(SUMPRODUCT(--(calc!$L$3:$L$306=TRUE),--(calc!$M$3:$M$306=M182))-1)/2,"")</f>
        <v/>
      </c>
      <c r="R182" s="5">
        <f>IF(L182,1+SUMPRODUCT(--(calc!$L$3:$L$306=TRUE),--(calc!$N$3:$N$306&gt;N182))+(SUMPRODUCT(--(calc!$L$3:$L$306=TRUE),--(calc!$N$3:$N$306=N182))-1)/2,"")</f>
        <v/>
      </c>
      <c r="S182" s="5">
        <f>IF(L182,SUMPRODUCT(--(calc!$L$3:$L$306=TRUE),--(ROW(calc!$L$3:$L$306)&gt;ROW(L182)),--(((calc!$Q$3:$Q$306&gt;Q182)*(calc!$R$3:$R$306&gt;R182)+(calc!$Q$3:$Q$306&lt;Q182)*(calc!$R$3:$R$306&lt;R182))&gt;0))-SUMPRODUCT(--(calc!$L$3:$L$306=TRUE),--(ROW(calc!$L$3:$L$306)&gt;ROW(L182)),--(((calc!$Q$3:$Q$306&gt;Q182)*(calc!$R$3:$R$306&lt;R182)+(calc!$Q$3:$Q$306&lt;Q182)*(calc!$R$3:$R$306&gt;R182))&gt;0)),0)</f>
        <v/>
      </c>
      <c r="T182" s="5">
        <f>IF(mos_metrics!H181="","",mos_metrics!H181)</f>
        <v/>
      </c>
      <c r="U182" s="2">
        <f>AND($J182,ISNUMBER(T182),correlation!$I$27=1)</f>
        <v/>
      </c>
      <c r="V182" s="5">
        <f>IF(U182,$F182,"")</f>
        <v/>
      </c>
      <c r="W182" s="5">
        <f>IF(U182,T182*correlation!$J$27,"")</f>
        <v/>
      </c>
      <c r="X182" s="5">
        <f>IF(AND(U182,ISNUMBER(correlation!$F$27)),W182*correlation!$F$27+correlation!$G$27,"")</f>
        <v/>
      </c>
      <c r="Y182" s="5">
        <f>IF(AND(U182,ISNUMBER(X182)),(V182-X182)^2,"")</f>
        <v/>
      </c>
      <c r="Z182" s="5">
        <f>IF(U182,1+SUMPRODUCT(--(calc!$U$3:$U$306=TRUE),--(calc!$V$3:$V$306&gt;V182))+(SUMPRODUCT(--(calc!$U$3:$U$306=TRUE),--(calc!$V$3:$V$306=V182))-1)/2,"")</f>
        <v/>
      </c>
      <c r="AA182" s="5">
        <f>IF(U182,1+SUMPRODUCT(--(calc!$U$3:$U$306=TRUE),--(calc!$W$3:$W$306&gt;W182))+(SUMPRODUCT(--(calc!$U$3:$U$306=TRUE),--(calc!$W$3:$W$306=W182))-1)/2,"")</f>
        <v/>
      </c>
      <c r="AB182" s="5">
        <f>IF(U182,SUMPRODUCT(--(calc!$U$3:$U$306=TRUE),--(ROW(calc!$U$3:$U$306)&gt;ROW(U182)),--(((calc!$Z$3:$Z$306&gt;Z182)*(calc!$AA$3:$AA$306&gt;AA182)+(calc!$Z$3:$Z$306&lt;Z182)*(calc!$AA$3:$AA$306&lt;AA182))&gt;0))-SUMPRODUCT(--(calc!$U$3:$U$306=TRUE),--(ROW(calc!$U$3:$U$306)&gt;ROW(U182)),--(((calc!$Z$3:$Z$306&gt;Z182)*(calc!$AA$3:$AA$306&lt;AA182)+(calc!$Z$3:$Z$306&lt;Z182)*(calc!$AA$3:$AA$306&gt;AA182))&gt;0)),0)</f>
        <v/>
      </c>
      <c r="AC182" s="5">
        <f>IF(mos_metrics!I181="","",mos_metrics!I181)</f>
        <v/>
      </c>
      <c r="AD182" s="2">
        <f>AND($J182,ISNUMBER(AC182),correlation!$I$28=1)</f>
        <v/>
      </c>
      <c r="AE182" s="5">
        <f>IF(AD182,$F182,"")</f>
        <v/>
      </c>
      <c r="AF182" s="5">
        <f>IF(AD182,AC182*correlation!$J$28,"")</f>
        <v/>
      </c>
      <c r="AG182" s="5">
        <f>IF(AND(AD182,ISNUMBER(correlation!$F$28)),AF182*correlation!$F$28+correlation!$G$28,"")</f>
        <v/>
      </c>
      <c r="AH182" s="5">
        <f>IF(AND(AD182,ISNUMBER(AG182)),(AE182-AG182)^2,"")</f>
        <v/>
      </c>
      <c r="AI182" s="5">
        <f>IF(AD182,1+SUMPRODUCT(--(calc!$AD$3:$AD$306=TRUE),--(calc!$AE$3:$AE$306&gt;AE182))+(SUMPRODUCT(--(calc!$AD$3:$AD$306=TRUE),--(calc!$AE$3:$AE$306=AE182))-1)/2,"")</f>
        <v/>
      </c>
      <c r="AJ182" s="5">
        <f>IF(AD182,1+SUMPRODUCT(--(calc!$AD$3:$AD$306=TRUE),--(calc!$AF$3:$AF$306&gt;AF182))+(SUMPRODUCT(--(calc!$AD$3:$AD$306=TRUE),--(calc!$AF$3:$AF$306=AF182))-1)/2,"")</f>
        <v/>
      </c>
      <c r="AK182" s="5">
        <f>IF(AD182,SUMPRODUCT(--(calc!$AD$3:$AD$306=TRUE),--(ROW(calc!$AD$3:$AD$306)&gt;ROW(AD182)),--(((calc!$AI$3:$AI$306&gt;AI182)*(calc!$AJ$3:$AJ$306&gt;AJ182)+(calc!$AI$3:$AI$306&lt;AI182)*(calc!$AJ$3:$AJ$306&lt;AJ182))&gt;0))-SUMPRODUCT(--(calc!$AD$3:$AD$306=TRUE),--(ROW(calc!$AD$3:$AD$306)&gt;ROW(AD182)),--(((calc!$AI$3:$AI$306&gt;AI182)*(calc!$AJ$3:$AJ$306&lt;AJ182)+(calc!$AI$3:$AI$306&lt;AI182)*(calc!$AJ$3:$AJ$306&gt;AJ182))&gt;0)),0)</f>
        <v/>
      </c>
      <c r="AL182" s="5">
        <f>IF(mos_metrics!J181="","",mos_metrics!J181)</f>
        <v/>
      </c>
      <c r="AM182" s="2">
        <f>AND($J182,ISNUMBER(AL182),correlation!$I$29=1)</f>
        <v/>
      </c>
      <c r="AN182" s="5">
        <f>IF(AM182,$F182,"")</f>
        <v/>
      </c>
      <c r="AO182" s="5">
        <f>IF(AM182,AL182*correlation!$J$29,"")</f>
        <v/>
      </c>
      <c r="AP182" s="5">
        <f>IF(AND(AM182,ISNUMBER(correlation!$F$29)),AO182*correlation!$F$29+correlation!$G$29,"")</f>
        <v/>
      </c>
      <c r="AQ182" s="5">
        <f>IF(AND(AM182,ISNUMBER(AP182)),(AN182-AP182)^2,"")</f>
        <v/>
      </c>
      <c r="AR182" s="5">
        <f>IF(AM182,1+SUMPRODUCT(--(calc!$AM$3:$AM$306=TRUE),--(calc!$AN$3:$AN$306&gt;AN182))+(SUMPRODUCT(--(calc!$AM$3:$AM$306=TRUE),--(calc!$AN$3:$AN$306=AN182))-1)/2,"")</f>
        <v/>
      </c>
      <c r="AS182" s="5">
        <f>IF(AM182,1+SUMPRODUCT(--(calc!$AM$3:$AM$306=TRUE),--(calc!$AO$3:$AO$306&gt;AO182))+(SUMPRODUCT(--(calc!$AM$3:$AM$306=TRUE),--(calc!$AO$3:$AO$306=AO182))-1)/2,"")</f>
        <v/>
      </c>
      <c r="AT182" s="5">
        <f>IF(AM182,SUMPRODUCT(--(calc!$AM$3:$AM$306=TRUE),--(ROW(calc!$AM$3:$AM$306)&gt;ROW(AM182)),--(((calc!$AR$3:$AR$306&gt;AR182)*(calc!$AS$3:$AS$306&gt;AS182)+(calc!$AR$3:$AR$306&lt;AR182)*(calc!$AS$3:$AS$306&lt;AS182))&gt;0))-SUMPRODUCT(--(calc!$AM$3:$AM$306=TRUE),--(ROW(calc!$AM$3:$AM$306)&gt;ROW(AM182)),--(((calc!$AR$3:$AR$306&gt;AR182)*(calc!$AS$3:$AS$306&lt;AS182)+(calc!$AR$3:$AR$306&lt;AR182)*(calc!$AS$3:$AS$306&gt;AS182))&gt;0)),0)</f>
        <v/>
      </c>
      <c r="AU182" s="5">
        <f>IF(mos_metrics!K181="","",mos_metrics!K181)</f>
        <v/>
      </c>
      <c r="AV182" s="2">
        <f>AND($J182,ISNUMBER(AU182),correlation!$I$30=1)</f>
        <v/>
      </c>
      <c r="AW182" s="5">
        <f>IF(AV182,$F182,"")</f>
        <v/>
      </c>
      <c r="AX182" s="5">
        <f>IF(AV182,AU182*correlation!$J$30,"")</f>
        <v/>
      </c>
      <c r="AY182" s="5">
        <f>IF(AND(AV182,ISNUMBER(correlation!$F$30)),AX182*correlation!$F$30+correlation!$G$30,"")</f>
        <v/>
      </c>
      <c r="AZ182" s="5">
        <f>IF(AND(AV182,ISNUMBER(AY182)),(AW182-AY182)^2,"")</f>
        <v/>
      </c>
      <c r="BA182" s="5">
        <f>IF(AV182,1+SUMPRODUCT(--(calc!$AV$3:$AV$306=TRUE),--(calc!$AW$3:$AW$306&gt;AW182))+(SUMPRODUCT(--(calc!$AV$3:$AV$306=TRUE),--(calc!$AW$3:$AW$306=AW182))-1)/2,"")</f>
        <v/>
      </c>
      <c r="BB182" s="5">
        <f>IF(AV182,1+SUMPRODUCT(--(calc!$AV$3:$AV$306=TRUE),--(calc!$AX$3:$AX$306&gt;AX182))+(SUMPRODUCT(--(calc!$AV$3:$AV$306=TRUE),--(calc!$AX$3:$AX$306=AX182))-1)/2,"")</f>
        <v/>
      </c>
      <c r="BC182" s="5">
        <f>IF(AV182,SUMPRODUCT(--(calc!$AV$3:$AV$306=TRUE),--(ROW(calc!$AV$3:$AV$306)&gt;ROW(AV182)),--(((calc!$BA$3:$BA$306&gt;BA182)*(calc!$BB$3:$BB$306&gt;BB182)+(calc!$BA$3:$BA$306&lt;BA182)*(calc!$BB$3:$BB$306&lt;BB182))&gt;0))-SUMPRODUCT(--(calc!$AV$3:$AV$306=TRUE),--(ROW(calc!$AV$3:$AV$306)&gt;ROW(AV182)),--(((calc!$BA$3:$BA$306&gt;BA182)*(calc!$BB$3:$BB$306&lt;BB182)+(calc!$BA$3:$BA$306&lt;BA182)*(calc!$BB$3:$BB$306&gt;BB182))&gt;0)),0)</f>
        <v/>
      </c>
      <c r="BD182" s="5">
        <f>IF(mos_metrics!L181="","",mos_metrics!L181)</f>
        <v/>
      </c>
      <c r="BE182" s="2">
        <f>AND($J182,ISNUMBER(BD182),correlation!$I$31=1)</f>
        <v/>
      </c>
      <c r="BF182" s="5">
        <f>IF(BE182,$F182,"")</f>
        <v/>
      </c>
      <c r="BG182" s="5">
        <f>IF(BE182,BD182*correlation!$J$31,"")</f>
        <v/>
      </c>
      <c r="BH182" s="5">
        <f>IF(AND(BE182,ISNUMBER(correlation!$F$31)),BG182*correlation!$F$31+correlation!$G$31,"")</f>
        <v/>
      </c>
      <c r="BI182" s="5">
        <f>IF(AND(BE182,ISNUMBER(BH182)),(BF182-BH182)^2,"")</f>
        <v/>
      </c>
      <c r="BJ182" s="5">
        <f>IF(BE182,1+SUMPRODUCT(--(calc!$BE$3:$BE$306=TRUE),--(calc!$BF$3:$BF$306&gt;BF182))+(SUMPRODUCT(--(calc!$BE$3:$BE$306=TRUE),--(calc!$BF$3:$BF$306=BF182))-1)/2,"")</f>
        <v/>
      </c>
      <c r="BK182" s="5">
        <f>IF(BE182,1+SUMPRODUCT(--(calc!$BE$3:$BE$306=TRUE),--(calc!$BG$3:$BG$306&gt;BG182))+(SUMPRODUCT(--(calc!$BE$3:$BE$306=TRUE),--(calc!$BG$3:$BG$306=BG182))-1)/2,"")</f>
        <v/>
      </c>
      <c r="BL182" s="5">
        <f>IF(BE182,SUMPRODUCT(--(calc!$BE$3:$BE$306=TRUE),--(ROW(calc!$BE$3:$BE$306)&gt;ROW(BE182)),--(((calc!$BJ$3:$BJ$306&gt;BJ182)*(calc!$BK$3:$BK$306&gt;BK182)+(calc!$BJ$3:$BJ$306&lt;BJ182)*(calc!$BK$3:$BK$306&lt;BK182))&gt;0))-SUMPRODUCT(--(calc!$BE$3:$BE$306=TRUE),--(ROW(calc!$BE$3:$BE$306)&gt;ROW(BE182)),--(((calc!$BJ$3:$BJ$306&gt;BJ182)*(calc!$BK$3:$BK$306&lt;BK182)+(calc!$BJ$3:$BJ$306&lt;BJ182)*(calc!$BK$3:$BK$306&gt;BK182))&gt;0)),0)</f>
        <v/>
      </c>
      <c r="BM182" s="5">
        <f>IF(mos_metrics!M181="","",mos_metrics!M181)</f>
        <v/>
      </c>
      <c r="BN182" s="2">
        <f>AND($J182,ISNUMBER(BM182),correlation!$I$32=1)</f>
        <v/>
      </c>
      <c r="BO182" s="5">
        <f>IF(BN182,$F182,"")</f>
        <v/>
      </c>
      <c r="BP182" s="5">
        <f>IF(BN182,BM182*correlation!$J$32,"")</f>
        <v/>
      </c>
      <c r="BQ182" s="5">
        <f>IF(AND(BN182,ISNUMBER(correlation!$F$32)),BP182*correlation!$F$32+correlation!$G$32,"")</f>
        <v/>
      </c>
      <c r="BR182" s="5">
        <f>IF(AND(BN182,ISNUMBER(BQ182)),(BO182-BQ182)^2,"")</f>
        <v/>
      </c>
      <c r="BS182" s="5">
        <f>IF(BN182,1+SUMPRODUCT(--(calc!$BN$3:$BN$306=TRUE),--(calc!$BO$3:$BO$306&gt;BO182))+(SUMPRODUCT(--(calc!$BN$3:$BN$306=TRUE),--(calc!$BO$3:$BO$306=BO182))-1)/2,"")</f>
        <v/>
      </c>
      <c r="BT182" s="5">
        <f>IF(BN182,1+SUMPRODUCT(--(calc!$BN$3:$BN$306=TRUE),--(calc!$BP$3:$BP$306&gt;BP182))+(SUMPRODUCT(--(calc!$BN$3:$BN$306=TRUE),--(calc!$BP$3:$BP$306=BP182))-1)/2,"")</f>
        <v/>
      </c>
      <c r="BU182" s="5">
        <f>IF(BN182,SUMPRODUCT(--(calc!$BN$3:$BN$306=TRUE),--(ROW(calc!$BN$3:$BN$306)&gt;ROW(BN182)),--(((calc!$BS$3:$BS$306&gt;BS182)*(calc!$BT$3:$BT$306&gt;BT182)+(calc!$BS$3:$BS$306&lt;BS182)*(calc!$BT$3:$BT$306&lt;BT182))&gt;0))-SUMPRODUCT(--(calc!$BN$3:$BN$306=TRUE),--(ROW(calc!$BN$3:$BN$306)&gt;ROW(BN182)),--(((calc!$BS$3:$BS$306&gt;BS182)*(calc!$BT$3:$BT$306&lt;BT182)+(calc!$BS$3:$BS$306&lt;BS182)*(calc!$BT$3:$BT$306&gt;BT182))&gt;0)),0)</f>
        <v/>
      </c>
    </row>
    <row r="183">
      <c r="A183" s="2">
        <f>mos_metrics!A182</f>
        <v/>
      </c>
      <c r="B183" s="2">
        <f>mos_metrics!B182</f>
        <v/>
      </c>
      <c r="C183" s="2">
        <f>mos_metrics!C182</f>
        <v/>
      </c>
      <c r="D183" s="2">
        <f>mos_metrics!D182</f>
        <v/>
      </c>
      <c r="E183" s="2">
        <f>mos_metrics!E182</f>
        <v/>
      </c>
      <c r="F183" s="2">
        <f>mos_metrics!F182</f>
        <v/>
      </c>
      <c r="G183" s="2">
        <f>IF($B183="","",IFERROR(VLOOKUP($B183,correlation!$A$2:$B$16,2,FALSE),1))</f>
        <v/>
      </c>
      <c r="H183" s="2">
        <f>IF($E183="","",IFERROR(VLOOKUP($E183,correlation!$D$2:$E$8,2,FALSE),1))</f>
        <v/>
      </c>
      <c r="I183" s="2">
        <f>ISNUMBER($F183)</f>
        <v/>
      </c>
      <c r="J183" s="2">
        <f>AND($G183=1,$H183=1,$I183)</f>
        <v/>
      </c>
      <c r="K183" s="5">
        <f>IF(mos_metrics!G182="","",mos_metrics!G182)</f>
        <v/>
      </c>
      <c r="L183" s="2">
        <f>AND($J183,ISNUMBER(K183),correlation!$I$26=1)</f>
        <v/>
      </c>
      <c r="M183" s="5">
        <f>IF(L183,$F183,"")</f>
        <v/>
      </c>
      <c r="N183" s="5">
        <f>IF(L183,K183*correlation!$J$26,"")</f>
        <v/>
      </c>
      <c r="O183" s="5">
        <f>IF(AND(L183,ISNUMBER(correlation!$F$26)),N183*correlation!$F$26+correlation!$G$26,"")</f>
        <v/>
      </c>
      <c r="P183" s="5">
        <f>IF(AND(L183,ISNUMBER(O183)),(M183-O183)^2,"")</f>
        <v/>
      </c>
      <c r="Q183" s="5">
        <f>IF(L183,1+SUMPRODUCT(--(calc!$L$3:$L$306=TRUE),--(calc!$M$3:$M$306&gt;M183))+(SUMPRODUCT(--(calc!$L$3:$L$306=TRUE),--(calc!$M$3:$M$306=M183))-1)/2,"")</f>
        <v/>
      </c>
      <c r="R183" s="5">
        <f>IF(L183,1+SUMPRODUCT(--(calc!$L$3:$L$306=TRUE),--(calc!$N$3:$N$306&gt;N183))+(SUMPRODUCT(--(calc!$L$3:$L$306=TRUE),--(calc!$N$3:$N$306=N183))-1)/2,"")</f>
        <v/>
      </c>
      <c r="S183" s="5">
        <f>IF(L183,SUMPRODUCT(--(calc!$L$3:$L$306=TRUE),--(ROW(calc!$L$3:$L$306)&gt;ROW(L183)),--(((calc!$Q$3:$Q$306&gt;Q183)*(calc!$R$3:$R$306&gt;R183)+(calc!$Q$3:$Q$306&lt;Q183)*(calc!$R$3:$R$306&lt;R183))&gt;0))-SUMPRODUCT(--(calc!$L$3:$L$306=TRUE),--(ROW(calc!$L$3:$L$306)&gt;ROW(L183)),--(((calc!$Q$3:$Q$306&gt;Q183)*(calc!$R$3:$R$306&lt;R183)+(calc!$Q$3:$Q$306&lt;Q183)*(calc!$R$3:$R$306&gt;R183))&gt;0)),0)</f>
        <v/>
      </c>
      <c r="T183" s="5">
        <f>IF(mos_metrics!H182="","",mos_metrics!H182)</f>
        <v/>
      </c>
      <c r="U183" s="2">
        <f>AND($J183,ISNUMBER(T183),correlation!$I$27=1)</f>
        <v/>
      </c>
      <c r="V183" s="5">
        <f>IF(U183,$F183,"")</f>
        <v/>
      </c>
      <c r="W183" s="5">
        <f>IF(U183,T183*correlation!$J$27,"")</f>
        <v/>
      </c>
      <c r="X183" s="5">
        <f>IF(AND(U183,ISNUMBER(correlation!$F$27)),W183*correlation!$F$27+correlation!$G$27,"")</f>
        <v/>
      </c>
      <c r="Y183" s="5">
        <f>IF(AND(U183,ISNUMBER(X183)),(V183-X183)^2,"")</f>
        <v/>
      </c>
      <c r="Z183" s="5">
        <f>IF(U183,1+SUMPRODUCT(--(calc!$U$3:$U$306=TRUE),--(calc!$V$3:$V$306&gt;V183))+(SUMPRODUCT(--(calc!$U$3:$U$306=TRUE),--(calc!$V$3:$V$306=V183))-1)/2,"")</f>
        <v/>
      </c>
      <c r="AA183" s="5">
        <f>IF(U183,1+SUMPRODUCT(--(calc!$U$3:$U$306=TRUE),--(calc!$W$3:$W$306&gt;W183))+(SUMPRODUCT(--(calc!$U$3:$U$306=TRUE),--(calc!$W$3:$W$306=W183))-1)/2,"")</f>
        <v/>
      </c>
      <c r="AB183" s="5">
        <f>IF(U183,SUMPRODUCT(--(calc!$U$3:$U$306=TRUE),--(ROW(calc!$U$3:$U$306)&gt;ROW(U183)),--(((calc!$Z$3:$Z$306&gt;Z183)*(calc!$AA$3:$AA$306&gt;AA183)+(calc!$Z$3:$Z$306&lt;Z183)*(calc!$AA$3:$AA$306&lt;AA183))&gt;0))-SUMPRODUCT(--(calc!$U$3:$U$306=TRUE),--(ROW(calc!$U$3:$U$306)&gt;ROW(U183)),--(((calc!$Z$3:$Z$306&gt;Z183)*(calc!$AA$3:$AA$306&lt;AA183)+(calc!$Z$3:$Z$306&lt;Z183)*(calc!$AA$3:$AA$306&gt;AA183))&gt;0)),0)</f>
        <v/>
      </c>
      <c r="AC183" s="5">
        <f>IF(mos_metrics!I182="","",mos_metrics!I182)</f>
        <v/>
      </c>
      <c r="AD183" s="2">
        <f>AND($J183,ISNUMBER(AC183),correlation!$I$28=1)</f>
        <v/>
      </c>
      <c r="AE183" s="5">
        <f>IF(AD183,$F183,"")</f>
        <v/>
      </c>
      <c r="AF183" s="5">
        <f>IF(AD183,AC183*correlation!$J$28,"")</f>
        <v/>
      </c>
      <c r="AG183" s="5">
        <f>IF(AND(AD183,ISNUMBER(correlation!$F$28)),AF183*correlation!$F$28+correlation!$G$28,"")</f>
        <v/>
      </c>
      <c r="AH183" s="5">
        <f>IF(AND(AD183,ISNUMBER(AG183)),(AE183-AG183)^2,"")</f>
        <v/>
      </c>
      <c r="AI183" s="5">
        <f>IF(AD183,1+SUMPRODUCT(--(calc!$AD$3:$AD$306=TRUE),--(calc!$AE$3:$AE$306&gt;AE183))+(SUMPRODUCT(--(calc!$AD$3:$AD$306=TRUE),--(calc!$AE$3:$AE$306=AE183))-1)/2,"")</f>
        <v/>
      </c>
      <c r="AJ183" s="5">
        <f>IF(AD183,1+SUMPRODUCT(--(calc!$AD$3:$AD$306=TRUE),--(calc!$AF$3:$AF$306&gt;AF183))+(SUMPRODUCT(--(calc!$AD$3:$AD$306=TRUE),--(calc!$AF$3:$AF$306=AF183))-1)/2,"")</f>
        <v/>
      </c>
      <c r="AK183" s="5">
        <f>IF(AD183,SUMPRODUCT(--(calc!$AD$3:$AD$306=TRUE),--(ROW(calc!$AD$3:$AD$306)&gt;ROW(AD183)),--(((calc!$AI$3:$AI$306&gt;AI183)*(calc!$AJ$3:$AJ$306&gt;AJ183)+(calc!$AI$3:$AI$306&lt;AI183)*(calc!$AJ$3:$AJ$306&lt;AJ183))&gt;0))-SUMPRODUCT(--(calc!$AD$3:$AD$306=TRUE),--(ROW(calc!$AD$3:$AD$306)&gt;ROW(AD183)),--(((calc!$AI$3:$AI$306&gt;AI183)*(calc!$AJ$3:$AJ$306&lt;AJ183)+(calc!$AI$3:$AI$306&lt;AI183)*(calc!$AJ$3:$AJ$306&gt;AJ183))&gt;0)),0)</f>
        <v/>
      </c>
      <c r="AL183" s="5">
        <f>IF(mos_metrics!J182="","",mos_metrics!J182)</f>
        <v/>
      </c>
      <c r="AM183" s="2">
        <f>AND($J183,ISNUMBER(AL183),correlation!$I$29=1)</f>
        <v/>
      </c>
      <c r="AN183" s="5">
        <f>IF(AM183,$F183,"")</f>
        <v/>
      </c>
      <c r="AO183" s="5">
        <f>IF(AM183,AL183*correlation!$J$29,"")</f>
        <v/>
      </c>
      <c r="AP183" s="5">
        <f>IF(AND(AM183,ISNUMBER(correlation!$F$29)),AO183*correlation!$F$29+correlation!$G$29,"")</f>
        <v/>
      </c>
      <c r="AQ183" s="5">
        <f>IF(AND(AM183,ISNUMBER(AP183)),(AN183-AP183)^2,"")</f>
        <v/>
      </c>
      <c r="AR183" s="5">
        <f>IF(AM183,1+SUMPRODUCT(--(calc!$AM$3:$AM$306=TRUE),--(calc!$AN$3:$AN$306&gt;AN183))+(SUMPRODUCT(--(calc!$AM$3:$AM$306=TRUE),--(calc!$AN$3:$AN$306=AN183))-1)/2,"")</f>
        <v/>
      </c>
      <c r="AS183" s="5">
        <f>IF(AM183,1+SUMPRODUCT(--(calc!$AM$3:$AM$306=TRUE),--(calc!$AO$3:$AO$306&gt;AO183))+(SUMPRODUCT(--(calc!$AM$3:$AM$306=TRUE),--(calc!$AO$3:$AO$306=AO183))-1)/2,"")</f>
        <v/>
      </c>
      <c r="AT183" s="5">
        <f>IF(AM183,SUMPRODUCT(--(calc!$AM$3:$AM$306=TRUE),--(ROW(calc!$AM$3:$AM$306)&gt;ROW(AM183)),--(((calc!$AR$3:$AR$306&gt;AR183)*(calc!$AS$3:$AS$306&gt;AS183)+(calc!$AR$3:$AR$306&lt;AR183)*(calc!$AS$3:$AS$306&lt;AS183))&gt;0))-SUMPRODUCT(--(calc!$AM$3:$AM$306=TRUE),--(ROW(calc!$AM$3:$AM$306)&gt;ROW(AM183)),--(((calc!$AR$3:$AR$306&gt;AR183)*(calc!$AS$3:$AS$306&lt;AS183)+(calc!$AR$3:$AR$306&lt;AR183)*(calc!$AS$3:$AS$306&gt;AS183))&gt;0)),0)</f>
        <v/>
      </c>
      <c r="AU183" s="5">
        <f>IF(mos_metrics!K182="","",mos_metrics!K182)</f>
        <v/>
      </c>
      <c r="AV183" s="2">
        <f>AND($J183,ISNUMBER(AU183),correlation!$I$30=1)</f>
        <v/>
      </c>
      <c r="AW183" s="5">
        <f>IF(AV183,$F183,"")</f>
        <v/>
      </c>
      <c r="AX183" s="5">
        <f>IF(AV183,AU183*correlation!$J$30,"")</f>
        <v/>
      </c>
      <c r="AY183" s="5">
        <f>IF(AND(AV183,ISNUMBER(correlation!$F$30)),AX183*correlation!$F$30+correlation!$G$30,"")</f>
        <v/>
      </c>
      <c r="AZ183" s="5">
        <f>IF(AND(AV183,ISNUMBER(AY183)),(AW183-AY183)^2,"")</f>
        <v/>
      </c>
      <c r="BA183" s="5">
        <f>IF(AV183,1+SUMPRODUCT(--(calc!$AV$3:$AV$306=TRUE),--(calc!$AW$3:$AW$306&gt;AW183))+(SUMPRODUCT(--(calc!$AV$3:$AV$306=TRUE),--(calc!$AW$3:$AW$306=AW183))-1)/2,"")</f>
        <v/>
      </c>
      <c r="BB183" s="5">
        <f>IF(AV183,1+SUMPRODUCT(--(calc!$AV$3:$AV$306=TRUE),--(calc!$AX$3:$AX$306&gt;AX183))+(SUMPRODUCT(--(calc!$AV$3:$AV$306=TRUE),--(calc!$AX$3:$AX$306=AX183))-1)/2,"")</f>
        <v/>
      </c>
      <c r="BC183" s="5">
        <f>IF(AV183,SUMPRODUCT(--(calc!$AV$3:$AV$306=TRUE),--(ROW(calc!$AV$3:$AV$306)&gt;ROW(AV183)),--(((calc!$BA$3:$BA$306&gt;BA183)*(calc!$BB$3:$BB$306&gt;BB183)+(calc!$BA$3:$BA$306&lt;BA183)*(calc!$BB$3:$BB$306&lt;BB183))&gt;0))-SUMPRODUCT(--(calc!$AV$3:$AV$306=TRUE),--(ROW(calc!$AV$3:$AV$306)&gt;ROW(AV183)),--(((calc!$BA$3:$BA$306&gt;BA183)*(calc!$BB$3:$BB$306&lt;BB183)+(calc!$BA$3:$BA$306&lt;BA183)*(calc!$BB$3:$BB$306&gt;BB183))&gt;0)),0)</f>
        <v/>
      </c>
      <c r="BD183" s="5">
        <f>IF(mos_metrics!L182="","",mos_metrics!L182)</f>
        <v/>
      </c>
      <c r="BE183" s="2">
        <f>AND($J183,ISNUMBER(BD183),correlation!$I$31=1)</f>
        <v/>
      </c>
      <c r="BF183" s="5">
        <f>IF(BE183,$F183,"")</f>
        <v/>
      </c>
      <c r="BG183" s="5">
        <f>IF(BE183,BD183*correlation!$J$31,"")</f>
        <v/>
      </c>
      <c r="BH183" s="5">
        <f>IF(AND(BE183,ISNUMBER(correlation!$F$31)),BG183*correlation!$F$31+correlation!$G$31,"")</f>
        <v/>
      </c>
      <c r="BI183" s="5">
        <f>IF(AND(BE183,ISNUMBER(BH183)),(BF183-BH183)^2,"")</f>
        <v/>
      </c>
      <c r="BJ183" s="5">
        <f>IF(BE183,1+SUMPRODUCT(--(calc!$BE$3:$BE$306=TRUE),--(calc!$BF$3:$BF$306&gt;BF183))+(SUMPRODUCT(--(calc!$BE$3:$BE$306=TRUE),--(calc!$BF$3:$BF$306=BF183))-1)/2,"")</f>
        <v/>
      </c>
      <c r="BK183" s="5">
        <f>IF(BE183,1+SUMPRODUCT(--(calc!$BE$3:$BE$306=TRUE),--(calc!$BG$3:$BG$306&gt;BG183))+(SUMPRODUCT(--(calc!$BE$3:$BE$306=TRUE),--(calc!$BG$3:$BG$306=BG183))-1)/2,"")</f>
        <v/>
      </c>
      <c r="BL183" s="5">
        <f>IF(BE183,SUMPRODUCT(--(calc!$BE$3:$BE$306=TRUE),--(ROW(calc!$BE$3:$BE$306)&gt;ROW(BE183)),--(((calc!$BJ$3:$BJ$306&gt;BJ183)*(calc!$BK$3:$BK$306&gt;BK183)+(calc!$BJ$3:$BJ$306&lt;BJ183)*(calc!$BK$3:$BK$306&lt;BK183))&gt;0))-SUMPRODUCT(--(calc!$BE$3:$BE$306=TRUE),--(ROW(calc!$BE$3:$BE$306)&gt;ROW(BE183)),--(((calc!$BJ$3:$BJ$306&gt;BJ183)*(calc!$BK$3:$BK$306&lt;BK183)+(calc!$BJ$3:$BJ$306&lt;BJ183)*(calc!$BK$3:$BK$306&gt;BK183))&gt;0)),0)</f>
        <v/>
      </c>
      <c r="BM183" s="5">
        <f>IF(mos_metrics!M182="","",mos_metrics!M182)</f>
        <v/>
      </c>
      <c r="BN183" s="2">
        <f>AND($J183,ISNUMBER(BM183),correlation!$I$32=1)</f>
        <v/>
      </c>
      <c r="BO183" s="5">
        <f>IF(BN183,$F183,"")</f>
        <v/>
      </c>
      <c r="BP183" s="5">
        <f>IF(BN183,BM183*correlation!$J$32,"")</f>
        <v/>
      </c>
      <c r="BQ183" s="5">
        <f>IF(AND(BN183,ISNUMBER(correlation!$F$32)),BP183*correlation!$F$32+correlation!$G$32,"")</f>
        <v/>
      </c>
      <c r="BR183" s="5">
        <f>IF(AND(BN183,ISNUMBER(BQ183)),(BO183-BQ183)^2,"")</f>
        <v/>
      </c>
      <c r="BS183" s="5">
        <f>IF(BN183,1+SUMPRODUCT(--(calc!$BN$3:$BN$306=TRUE),--(calc!$BO$3:$BO$306&gt;BO183))+(SUMPRODUCT(--(calc!$BN$3:$BN$306=TRUE),--(calc!$BO$3:$BO$306=BO183))-1)/2,"")</f>
        <v/>
      </c>
      <c r="BT183" s="5">
        <f>IF(BN183,1+SUMPRODUCT(--(calc!$BN$3:$BN$306=TRUE),--(calc!$BP$3:$BP$306&gt;BP183))+(SUMPRODUCT(--(calc!$BN$3:$BN$306=TRUE),--(calc!$BP$3:$BP$306=BP183))-1)/2,"")</f>
        <v/>
      </c>
      <c r="BU183" s="5">
        <f>IF(BN183,SUMPRODUCT(--(calc!$BN$3:$BN$306=TRUE),--(ROW(calc!$BN$3:$BN$306)&gt;ROW(BN183)),--(((calc!$BS$3:$BS$306&gt;BS183)*(calc!$BT$3:$BT$306&gt;BT183)+(calc!$BS$3:$BS$306&lt;BS183)*(calc!$BT$3:$BT$306&lt;BT183))&gt;0))-SUMPRODUCT(--(calc!$BN$3:$BN$306=TRUE),--(ROW(calc!$BN$3:$BN$306)&gt;ROW(BN183)),--(((calc!$BS$3:$BS$306&gt;BS183)*(calc!$BT$3:$BT$306&lt;BT183)+(calc!$BS$3:$BS$306&lt;BS183)*(calc!$BT$3:$BT$306&gt;BT183))&gt;0)),0)</f>
        <v/>
      </c>
    </row>
    <row r="184">
      <c r="A184" s="2">
        <f>mos_metrics!A183</f>
        <v/>
      </c>
      <c r="B184" s="2">
        <f>mos_metrics!B183</f>
        <v/>
      </c>
      <c r="C184" s="2">
        <f>mos_metrics!C183</f>
        <v/>
      </c>
      <c r="D184" s="2">
        <f>mos_metrics!D183</f>
        <v/>
      </c>
      <c r="E184" s="2">
        <f>mos_metrics!E183</f>
        <v/>
      </c>
      <c r="F184" s="2">
        <f>mos_metrics!F183</f>
        <v/>
      </c>
      <c r="G184" s="2">
        <f>IF($B184="","",IFERROR(VLOOKUP($B184,correlation!$A$2:$B$16,2,FALSE),1))</f>
        <v/>
      </c>
      <c r="H184" s="2">
        <f>IF($E184="","",IFERROR(VLOOKUP($E184,correlation!$D$2:$E$8,2,FALSE),1))</f>
        <v/>
      </c>
      <c r="I184" s="2">
        <f>ISNUMBER($F184)</f>
        <v/>
      </c>
      <c r="J184" s="2">
        <f>AND($G184=1,$H184=1,$I184)</f>
        <v/>
      </c>
      <c r="K184" s="5">
        <f>IF(mos_metrics!G183="","",mos_metrics!G183)</f>
        <v/>
      </c>
      <c r="L184" s="2">
        <f>AND($J184,ISNUMBER(K184),correlation!$I$26=1)</f>
        <v/>
      </c>
      <c r="M184" s="5">
        <f>IF(L184,$F184,"")</f>
        <v/>
      </c>
      <c r="N184" s="5">
        <f>IF(L184,K184*correlation!$J$26,"")</f>
        <v/>
      </c>
      <c r="O184" s="5">
        <f>IF(AND(L184,ISNUMBER(correlation!$F$26)),N184*correlation!$F$26+correlation!$G$26,"")</f>
        <v/>
      </c>
      <c r="P184" s="5">
        <f>IF(AND(L184,ISNUMBER(O184)),(M184-O184)^2,"")</f>
        <v/>
      </c>
      <c r="Q184" s="5">
        <f>IF(L184,1+SUMPRODUCT(--(calc!$L$3:$L$306=TRUE),--(calc!$M$3:$M$306&gt;M184))+(SUMPRODUCT(--(calc!$L$3:$L$306=TRUE),--(calc!$M$3:$M$306=M184))-1)/2,"")</f>
        <v/>
      </c>
      <c r="R184" s="5">
        <f>IF(L184,1+SUMPRODUCT(--(calc!$L$3:$L$306=TRUE),--(calc!$N$3:$N$306&gt;N184))+(SUMPRODUCT(--(calc!$L$3:$L$306=TRUE),--(calc!$N$3:$N$306=N184))-1)/2,"")</f>
        <v/>
      </c>
      <c r="S184" s="5">
        <f>IF(L184,SUMPRODUCT(--(calc!$L$3:$L$306=TRUE),--(ROW(calc!$L$3:$L$306)&gt;ROW(L184)),--(((calc!$Q$3:$Q$306&gt;Q184)*(calc!$R$3:$R$306&gt;R184)+(calc!$Q$3:$Q$306&lt;Q184)*(calc!$R$3:$R$306&lt;R184))&gt;0))-SUMPRODUCT(--(calc!$L$3:$L$306=TRUE),--(ROW(calc!$L$3:$L$306)&gt;ROW(L184)),--(((calc!$Q$3:$Q$306&gt;Q184)*(calc!$R$3:$R$306&lt;R184)+(calc!$Q$3:$Q$306&lt;Q184)*(calc!$R$3:$R$306&gt;R184))&gt;0)),0)</f>
        <v/>
      </c>
      <c r="T184" s="5">
        <f>IF(mos_metrics!H183="","",mos_metrics!H183)</f>
        <v/>
      </c>
      <c r="U184" s="2">
        <f>AND($J184,ISNUMBER(T184),correlation!$I$27=1)</f>
        <v/>
      </c>
      <c r="V184" s="5">
        <f>IF(U184,$F184,"")</f>
        <v/>
      </c>
      <c r="W184" s="5">
        <f>IF(U184,T184*correlation!$J$27,"")</f>
        <v/>
      </c>
      <c r="X184" s="5">
        <f>IF(AND(U184,ISNUMBER(correlation!$F$27)),W184*correlation!$F$27+correlation!$G$27,"")</f>
        <v/>
      </c>
      <c r="Y184" s="5">
        <f>IF(AND(U184,ISNUMBER(X184)),(V184-X184)^2,"")</f>
        <v/>
      </c>
      <c r="Z184" s="5">
        <f>IF(U184,1+SUMPRODUCT(--(calc!$U$3:$U$306=TRUE),--(calc!$V$3:$V$306&gt;V184))+(SUMPRODUCT(--(calc!$U$3:$U$306=TRUE),--(calc!$V$3:$V$306=V184))-1)/2,"")</f>
        <v/>
      </c>
      <c r="AA184" s="5">
        <f>IF(U184,1+SUMPRODUCT(--(calc!$U$3:$U$306=TRUE),--(calc!$W$3:$W$306&gt;W184))+(SUMPRODUCT(--(calc!$U$3:$U$306=TRUE),--(calc!$W$3:$W$306=W184))-1)/2,"")</f>
        <v/>
      </c>
      <c r="AB184" s="5">
        <f>IF(U184,SUMPRODUCT(--(calc!$U$3:$U$306=TRUE),--(ROW(calc!$U$3:$U$306)&gt;ROW(U184)),--(((calc!$Z$3:$Z$306&gt;Z184)*(calc!$AA$3:$AA$306&gt;AA184)+(calc!$Z$3:$Z$306&lt;Z184)*(calc!$AA$3:$AA$306&lt;AA184))&gt;0))-SUMPRODUCT(--(calc!$U$3:$U$306=TRUE),--(ROW(calc!$U$3:$U$306)&gt;ROW(U184)),--(((calc!$Z$3:$Z$306&gt;Z184)*(calc!$AA$3:$AA$306&lt;AA184)+(calc!$Z$3:$Z$306&lt;Z184)*(calc!$AA$3:$AA$306&gt;AA184))&gt;0)),0)</f>
        <v/>
      </c>
      <c r="AC184" s="5">
        <f>IF(mos_metrics!I183="","",mos_metrics!I183)</f>
        <v/>
      </c>
      <c r="AD184" s="2">
        <f>AND($J184,ISNUMBER(AC184),correlation!$I$28=1)</f>
        <v/>
      </c>
      <c r="AE184" s="5">
        <f>IF(AD184,$F184,"")</f>
        <v/>
      </c>
      <c r="AF184" s="5">
        <f>IF(AD184,AC184*correlation!$J$28,"")</f>
        <v/>
      </c>
      <c r="AG184" s="5">
        <f>IF(AND(AD184,ISNUMBER(correlation!$F$28)),AF184*correlation!$F$28+correlation!$G$28,"")</f>
        <v/>
      </c>
      <c r="AH184" s="5">
        <f>IF(AND(AD184,ISNUMBER(AG184)),(AE184-AG184)^2,"")</f>
        <v/>
      </c>
      <c r="AI184" s="5">
        <f>IF(AD184,1+SUMPRODUCT(--(calc!$AD$3:$AD$306=TRUE),--(calc!$AE$3:$AE$306&gt;AE184))+(SUMPRODUCT(--(calc!$AD$3:$AD$306=TRUE),--(calc!$AE$3:$AE$306=AE184))-1)/2,"")</f>
        <v/>
      </c>
      <c r="AJ184" s="5">
        <f>IF(AD184,1+SUMPRODUCT(--(calc!$AD$3:$AD$306=TRUE),--(calc!$AF$3:$AF$306&gt;AF184))+(SUMPRODUCT(--(calc!$AD$3:$AD$306=TRUE),--(calc!$AF$3:$AF$306=AF184))-1)/2,"")</f>
        <v/>
      </c>
      <c r="AK184" s="5">
        <f>IF(AD184,SUMPRODUCT(--(calc!$AD$3:$AD$306=TRUE),--(ROW(calc!$AD$3:$AD$306)&gt;ROW(AD184)),--(((calc!$AI$3:$AI$306&gt;AI184)*(calc!$AJ$3:$AJ$306&gt;AJ184)+(calc!$AI$3:$AI$306&lt;AI184)*(calc!$AJ$3:$AJ$306&lt;AJ184))&gt;0))-SUMPRODUCT(--(calc!$AD$3:$AD$306=TRUE),--(ROW(calc!$AD$3:$AD$306)&gt;ROW(AD184)),--(((calc!$AI$3:$AI$306&gt;AI184)*(calc!$AJ$3:$AJ$306&lt;AJ184)+(calc!$AI$3:$AI$306&lt;AI184)*(calc!$AJ$3:$AJ$306&gt;AJ184))&gt;0)),0)</f>
        <v/>
      </c>
      <c r="AL184" s="5">
        <f>IF(mos_metrics!J183="","",mos_metrics!J183)</f>
        <v/>
      </c>
      <c r="AM184" s="2">
        <f>AND($J184,ISNUMBER(AL184),correlation!$I$29=1)</f>
        <v/>
      </c>
      <c r="AN184" s="5">
        <f>IF(AM184,$F184,"")</f>
        <v/>
      </c>
      <c r="AO184" s="5">
        <f>IF(AM184,AL184*correlation!$J$29,"")</f>
        <v/>
      </c>
      <c r="AP184" s="5">
        <f>IF(AND(AM184,ISNUMBER(correlation!$F$29)),AO184*correlation!$F$29+correlation!$G$29,"")</f>
        <v/>
      </c>
      <c r="AQ184" s="5">
        <f>IF(AND(AM184,ISNUMBER(AP184)),(AN184-AP184)^2,"")</f>
        <v/>
      </c>
      <c r="AR184" s="5">
        <f>IF(AM184,1+SUMPRODUCT(--(calc!$AM$3:$AM$306=TRUE),--(calc!$AN$3:$AN$306&gt;AN184))+(SUMPRODUCT(--(calc!$AM$3:$AM$306=TRUE),--(calc!$AN$3:$AN$306=AN184))-1)/2,"")</f>
        <v/>
      </c>
      <c r="AS184" s="5">
        <f>IF(AM184,1+SUMPRODUCT(--(calc!$AM$3:$AM$306=TRUE),--(calc!$AO$3:$AO$306&gt;AO184))+(SUMPRODUCT(--(calc!$AM$3:$AM$306=TRUE),--(calc!$AO$3:$AO$306=AO184))-1)/2,"")</f>
        <v/>
      </c>
      <c r="AT184" s="5">
        <f>IF(AM184,SUMPRODUCT(--(calc!$AM$3:$AM$306=TRUE),--(ROW(calc!$AM$3:$AM$306)&gt;ROW(AM184)),--(((calc!$AR$3:$AR$306&gt;AR184)*(calc!$AS$3:$AS$306&gt;AS184)+(calc!$AR$3:$AR$306&lt;AR184)*(calc!$AS$3:$AS$306&lt;AS184))&gt;0))-SUMPRODUCT(--(calc!$AM$3:$AM$306=TRUE),--(ROW(calc!$AM$3:$AM$306)&gt;ROW(AM184)),--(((calc!$AR$3:$AR$306&gt;AR184)*(calc!$AS$3:$AS$306&lt;AS184)+(calc!$AR$3:$AR$306&lt;AR184)*(calc!$AS$3:$AS$306&gt;AS184))&gt;0)),0)</f>
        <v/>
      </c>
      <c r="AU184" s="5">
        <f>IF(mos_metrics!K183="","",mos_metrics!K183)</f>
        <v/>
      </c>
      <c r="AV184" s="2">
        <f>AND($J184,ISNUMBER(AU184),correlation!$I$30=1)</f>
        <v/>
      </c>
      <c r="AW184" s="5">
        <f>IF(AV184,$F184,"")</f>
        <v/>
      </c>
      <c r="AX184" s="5">
        <f>IF(AV184,AU184*correlation!$J$30,"")</f>
        <v/>
      </c>
      <c r="AY184" s="5">
        <f>IF(AND(AV184,ISNUMBER(correlation!$F$30)),AX184*correlation!$F$30+correlation!$G$30,"")</f>
        <v/>
      </c>
      <c r="AZ184" s="5">
        <f>IF(AND(AV184,ISNUMBER(AY184)),(AW184-AY184)^2,"")</f>
        <v/>
      </c>
      <c r="BA184" s="5">
        <f>IF(AV184,1+SUMPRODUCT(--(calc!$AV$3:$AV$306=TRUE),--(calc!$AW$3:$AW$306&gt;AW184))+(SUMPRODUCT(--(calc!$AV$3:$AV$306=TRUE),--(calc!$AW$3:$AW$306=AW184))-1)/2,"")</f>
        <v/>
      </c>
      <c r="BB184" s="5">
        <f>IF(AV184,1+SUMPRODUCT(--(calc!$AV$3:$AV$306=TRUE),--(calc!$AX$3:$AX$306&gt;AX184))+(SUMPRODUCT(--(calc!$AV$3:$AV$306=TRUE),--(calc!$AX$3:$AX$306=AX184))-1)/2,"")</f>
        <v/>
      </c>
      <c r="BC184" s="5">
        <f>IF(AV184,SUMPRODUCT(--(calc!$AV$3:$AV$306=TRUE),--(ROW(calc!$AV$3:$AV$306)&gt;ROW(AV184)),--(((calc!$BA$3:$BA$306&gt;BA184)*(calc!$BB$3:$BB$306&gt;BB184)+(calc!$BA$3:$BA$306&lt;BA184)*(calc!$BB$3:$BB$306&lt;BB184))&gt;0))-SUMPRODUCT(--(calc!$AV$3:$AV$306=TRUE),--(ROW(calc!$AV$3:$AV$306)&gt;ROW(AV184)),--(((calc!$BA$3:$BA$306&gt;BA184)*(calc!$BB$3:$BB$306&lt;BB184)+(calc!$BA$3:$BA$306&lt;BA184)*(calc!$BB$3:$BB$306&gt;BB184))&gt;0)),0)</f>
        <v/>
      </c>
      <c r="BD184" s="5">
        <f>IF(mos_metrics!L183="","",mos_metrics!L183)</f>
        <v/>
      </c>
      <c r="BE184" s="2">
        <f>AND($J184,ISNUMBER(BD184),correlation!$I$31=1)</f>
        <v/>
      </c>
      <c r="BF184" s="5">
        <f>IF(BE184,$F184,"")</f>
        <v/>
      </c>
      <c r="BG184" s="5">
        <f>IF(BE184,BD184*correlation!$J$31,"")</f>
        <v/>
      </c>
      <c r="BH184" s="5">
        <f>IF(AND(BE184,ISNUMBER(correlation!$F$31)),BG184*correlation!$F$31+correlation!$G$31,"")</f>
        <v/>
      </c>
      <c r="BI184" s="5">
        <f>IF(AND(BE184,ISNUMBER(BH184)),(BF184-BH184)^2,"")</f>
        <v/>
      </c>
      <c r="BJ184" s="5">
        <f>IF(BE184,1+SUMPRODUCT(--(calc!$BE$3:$BE$306=TRUE),--(calc!$BF$3:$BF$306&gt;BF184))+(SUMPRODUCT(--(calc!$BE$3:$BE$306=TRUE),--(calc!$BF$3:$BF$306=BF184))-1)/2,"")</f>
        <v/>
      </c>
      <c r="BK184" s="5">
        <f>IF(BE184,1+SUMPRODUCT(--(calc!$BE$3:$BE$306=TRUE),--(calc!$BG$3:$BG$306&gt;BG184))+(SUMPRODUCT(--(calc!$BE$3:$BE$306=TRUE),--(calc!$BG$3:$BG$306=BG184))-1)/2,"")</f>
        <v/>
      </c>
      <c r="BL184" s="5">
        <f>IF(BE184,SUMPRODUCT(--(calc!$BE$3:$BE$306=TRUE),--(ROW(calc!$BE$3:$BE$306)&gt;ROW(BE184)),--(((calc!$BJ$3:$BJ$306&gt;BJ184)*(calc!$BK$3:$BK$306&gt;BK184)+(calc!$BJ$3:$BJ$306&lt;BJ184)*(calc!$BK$3:$BK$306&lt;BK184))&gt;0))-SUMPRODUCT(--(calc!$BE$3:$BE$306=TRUE),--(ROW(calc!$BE$3:$BE$306)&gt;ROW(BE184)),--(((calc!$BJ$3:$BJ$306&gt;BJ184)*(calc!$BK$3:$BK$306&lt;BK184)+(calc!$BJ$3:$BJ$306&lt;BJ184)*(calc!$BK$3:$BK$306&gt;BK184))&gt;0)),0)</f>
        <v/>
      </c>
      <c r="BM184" s="5">
        <f>IF(mos_metrics!M183="","",mos_metrics!M183)</f>
        <v/>
      </c>
      <c r="BN184" s="2">
        <f>AND($J184,ISNUMBER(BM184),correlation!$I$32=1)</f>
        <v/>
      </c>
      <c r="BO184" s="5">
        <f>IF(BN184,$F184,"")</f>
        <v/>
      </c>
      <c r="BP184" s="5">
        <f>IF(BN184,BM184*correlation!$J$32,"")</f>
        <v/>
      </c>
      <c r="BQ184" s="5">
        <f>IF(AND(BN184,ISNUMBER(correlation!$F$32)),BP184*correlation!$F$32+correlation!$G$32,"")</f>
        <v/>
      </c>
      <c r="BR184" s="5">
        <f>IF(AND(BN184,ISNUMBER(BQ184)),(BO184-BQ184)^2,"")</f>
        <v/>
      </c>
      <c r="BS184" s="5">
        <f>IF(BN184,1+SUMPRODUCT(--(calc!$BN$3:$BN$306=TRUE),--(calc!$BO$3:$BO$306&gt;BO184))+(SUMPRODUCT(--(calc!$BN$3:$BN$306=TRUE),--(calc!$BO$3:$BO$306=BO184))-1)/2,"")</f>
        <v/>
      </c>
      <c r="BT184" s="5">
        <f>IF(BN184,1+SUMPRODUCT(--(calc!$BN$3:$BN$306=TRUE),--(calc!$BP$3:$BP$306&gt;BP184))+(SUMPRODUCT(--(calc!$BN$3:$BN$306=TRUE),--(calc!$BP$3:$BP$306=BP184))-1)/2,"")</f>
        <v/>
      </c>
      <c r="BU184" s="5">
        <f>IF(BN184,SUMPRODUCT(--(calc!$BN$3:$BN$306=TRUE),--(ROW(calc!$BN$3:$BN$306)&gt;ROW(BN184)),--(((calc!$BS$3:$BS$306&gt;BS184)*(calc!$BT$3:$BT$306&gt;BT184)+(calc!$BS$3:$BS$306&lt;BS184)*(calc!$BT$3:$BT$306&lt;BT184))&gt;0))-SUMPRODUCT(--(calc!$BN$3:$BN$306=TRUE),--(ROW(calc!$BN$3:$BN$306)&gt;ROW(BN184)),--(((calc!$BS$3:$BS$306&gt;BS184)*(calc!$BT$3:$BT$306&lt;BT184)+(calc!$BS$3:$BS$306&lt;BS184)*(calc!$BT$3:$BT$306&gt;BT184))&gt;0)),0)</f>
        <v/>
      </c>
    </row>
    <row r="185">
      <c r="A185" s="2">
        <f>mos_metrics!A184</f>
        <v/>
      </c>
      <c r="B185" s="2">
        <f>mos_metrics!B184</f>
        <v/>
      </c>
      <c r="C185" s="2">
        <f>mos_metrics!C184</f>
        <v/>
      </c>
      <c r="D185" s="2">
        <f>mos_metrics!D184</f>
        <v/>
      </c>
      <c r="E185" s="2">
        <f>mos_metrics!E184</f>
        <v/>
      </c>
      <c r="F185" s="2">
        <f>mos_metrics!F184</f>
        <v/>
      </c>
      <c r="G185" s="2">
        <f>IF($B185="","",IFERROR(VLOOKUP($B185,correlation!$A$2:$B$16,2,FALSE),1))</f>
        <v/>
      </c>
      <c r="H185" s="2">
        <f>IF($E185="","",IFERROR(VLOOKUP($E185,correlation!$D$2:$E$8,2,FALSE),1))</f>
        <v/>
      </c>
      <c r="I185" s="2">
        <f>ISNUMBER($F185)</f>
        <v/>
      </c>
      <c r="J185" s="2">
        <f>AND($G185=1,$H185=1,$I185)</f>
        <v/>
      </c>
      <c r="K185" s="5">
        <f>IF(mos_metrics!G184="","",mos_metrics!G184)</f>
        <v/>
      </c>
      <c r="L185" s="2">
        <f>AND($J185,ISNUMBER(K185),correlation!$I$26=1)</f>
        <v/>
      </c>
      <c r="M185" s="5">
        <f>IF(L185,$F185,"")</f>
        <v/>
      </c>
      <c r="N185" s="5">
        <f>IF(L185,K185*correlation!$J$26,"")</f>
        <v/>
      </c>
      <c r="O185" s="5">
        <f>IF(AND(L185,ISNUMBER(correlation!$F$26)),N185*correlation!$F$26+correlation!$G$26,"")</f>
        <v/>
      </c>
      <c r="P185" s="5">
        <f>IF(AND(L185,ISNUMBER(O185)),(M185-O185)^2,"")</f>
        <v/>
      </c>
      <c r="Q185" s="5">
        <f>IF(L185,1+SUMPRODUCT(--(calc!$L$3:$L$306=TRUE),--(calc!$M$3:$M$306&gt;M185))+(SUMPRODUCT(--(calc!$L$3:$L$306=TRUE),--(calc!$M$3:$M$306=M185))-1)/2,"")</f>
        <v/>
      </c>
      <c r="R185" s="5">
        <f>IF(L185,1+SUMPRODUCT(--(calc!$L$3:$L$306=TRUE),--(calc!$N$3:$N$306&gt;N185))+(SUMPRODUCT(--(calc!$L$3:$L$306=TRUE),--(calc!$N$3:$N$306=N185))-1)/2,"")</f>
        <v/>
      </c>
      <c r="S185" s="5">
        <f>IF(L185,SUMPRODUCT(--(calc!$L$3:$L$306=TRUE),--(ROW(calc!$L$3:$L$306)&gt;ROW(L185)),--(((calc!$Q$3:$Q$306&gt;Q185)*(calc!$R$3:$R$306&gt;R185)+(calc!$Q$3:$Q$306&lt;Q185)*(calc!$R$3:$R$306&lt;R185))&gt;0))-SUMPRODUCT(--(calc!$L$3:$L$306=TRUE),--(ROW(calc!$L$3:$L$306)&gt;ROW(L185)),--(((calc!$Q$3:$Q$306&gt;Q185)*(calc!$R$3:$R$306&lt;R185)+(calc!$Q$3:$Q$306&lt;Q185)*(calc!$R$3:$R$306&gt;R185))&gt;0)),0)</f>
        <v/>
      </c>
      <c r="T185" s="5">
        <f>IF(mos_metrics!H184="","",mos_metrics!H184)</f>
        <v/>
      </c>
      <c r="U185" s="2">
        <f>AND($J185,ISNUMBER(T185),correlation!$I$27=1)</f>
        <v/>
      </c>
      <c r="V185" s="5">
        <f>IF(U185,$F185,"")</f>
        <v/>
      </c>
      <c r="W185" s="5">
        <f>IF(U185,T185*correlation!$J$27,"")</f>
        <v/>
      </c>
      <c r="X185" s="5">
        <f>IF(AND(U185,ISNUMBER(correlation!$F$27)),W185*correlation!$F$27+correlation!$G$27,"")</f>
        <v/>
      </c>
      <c r="Y185" s="5">
        <f>IF(AND(U185,ISNUMBER(X185)),(V185-X185)^2,"")</f>
        <v/>
      </c>
      <c r="Z185" s="5">
        <f>IF(U185,1+SUMPRODUCT(--(calc!$U$3:$U$306=TRUE),--(calc!$V$3:$V$306&gt;V185))+(SUMPRODUCT(--(calc!$U$3:$U$306=TRUE),--(calc!$V$3:$V$306=V185))-1)/2,"")</f>
        <v/>
      </c>
      <c r="AA185" s="5">
        <f>IF(U185,1+SUMPRODUCT(--(calc!$U$3:$U$306=TRUE),--(calc!$W$3:$W$306&gt;W185))+(SUMPRODUCT(--(calc!$U$3:$U$306=TRUE),--(calc!$W$3:$W$306=W185))-1)/2,"")</f>
        <v/>
      </c>
      <c r="AB185" s="5">
        <f>IF(U185,SUMPRODUCT(--(calc!$U$3:$U$306=TRUE),--(ROW(calc!$U$3:$U$306)&gt;ROW(U185)),--(((calc!$Z$3:$Z$306&gt;Z185)*(calc!$AA$3:$AA$306&gt;AA185)+(calc!$Z$3:$Z$306&lt;Z185)*(calc!$AA$3:$AA$306&lt;AA185))&gt;0))-SUMPRODUCT(--(calc!$U$3:$U$306=TRUE),--(ROW(calc!$U$3:$U$306)&gt;ROW(U185)),--(((calc!$Z$3:$Z$306&gt;Z185)*(calc!$AA$3:$AA$306&lt;AA185)+(calc!$Z$3:$Z$306&lt;Z185)*(calc!$AA$3:$AA$306&gt;AA185))&gt;0)),0)</f>
        <v/>
      </c>
      <c r="AC185" s="5">
        <f>IF(mos_metrics!I184="","",mos_metrics!I184)</f>
        <v/>
      </c>
      <c r="AD185" s="2">
        <f>AND($J185,ISNUMBER(AC185),correlation!$I$28=1)</f>
        <v/>
      </c>
      <c r="AE185" s="5">
        <f>IF(AD185,$F185,"")</f>
        <v/>
      </c>
      <c r="AF185" s="5">
        <f>IF(AD185,AC185*correlation!$J$28,"")</f>
        <v/>
      </c>
      <c r="AG185" s="5">
        <f>IF(AND(AD185,ISNUMBER(correlation!$F$28)),AF185*correlation!$F$28+correlation!$G$28,"")</f>
        <v/>
      </c>
      <c r="AH185" s="5">
        <f>IF(AND(AD185,ISNUMBER(AG185)),(AE185-AG185)^2,"")</f>
        <v/>
      </c>
      <c r="AI185" s="5">
        <f>IF(AD185,1+SUMPRODUCT(--(calc!$AD$3:$AD$306=TRUE),--(calc!$AE$3:$AE$306&gt;AE185))+(SUMPRODUCT(--(calc!$AD$3:$AD$306=TRUE),--(calc!$AE$3:$AE$306=AE185))-1)/2,"")</f>
        <v/>
      </c>
      <c r="AJ185" s="5">
        <f>IF(AD185,1+SUMPRODUCT(--(calc!$AD$3:$AD$306=TRUE),--(calc!$AF$3:$AF$306&gt;AF185))+(SUMPRODUCT(--(calc!$AD$3:$AD$306=TRUE),--(calc!$AF$3:$AF$306=AF185))-1)/2,"")</f>
        <v/>
      </c>
      <c r="AK185" s="5">
        <f>IF(AD185,SUMPRODUCT(--(calc!$AD$3:$AD$306=TRUE),--(ROW(calc!$AD$3:$AD$306)&gt;ROW(AD185)),--(((calc!$AI$3:$AI$306&gt;AI185)*(calc!$AJ$3:$AJ$306&gt;AJ185)+(calc!$AI$3:$AI$306&lt;AI185)*(calc!$AJ$3:$AJ$306&lt;AJ185))&gt;0))-SUMPRODUCT(--(calc!$AD$3:$AD$306=TRUE),--(ROW(calc!$AD$3:$AD$306)&gt;ROW(AD185)),--(((calc!$AI$3:$AI$306&gt;AI185)*(calc!$AJ$3:$AJ$306&lt;AJ185)+(calc!$AI$3:$AI$306&lt;AI185)*(calc!$AJ$3:$AJ$306&gt;AJ185))&gt;0)),0)</f>
        <v/>
      </c>
      <c r="AL185" s="5">
        <f>IF(mos_metrics!J184="","",mos_metrics!J184)</f>
        <v/>
      </c>
      <c r="AM185" s="2">
        <f>AND($J185,ISNUMBER(AL185),correlation!$I$29=1)</f>
        <v/>
      </c>
      <c r="AN185" s="5">
        <f>IF(AM185,$F185,"")</f>
        <v/>
      </c>
      <c r="AO185" s="5">
        <f>IF(AM185,AL185*correlation!$J$29,"")</f>
        <v/>
      </c>
      <c r="AP185" s="5">
        <f>IF(AND(AM185,ISNUMBER(correlation!$F$29)),AO185*correlation!$F$29+correlation!$G$29,"")</f>
        <v/>
      </c>
      <c r="AQ185" s="5">
        <f>IF(AND(AM185,ISNUMBER(AP185)),(AN185-AP185)^2,"")</f>
        <v/>
      </c>
      <c r="AR185" s="5">
        <f>IF(AM185,1+SUMPRODUCT(--(calc!$AM$3:$AM$306=TRUE),--(calc!$AN$3:$AN$306&gt;AN185))+(SUMPRODUCT(--(calc!$AM$3:$AM$306=TRUE),--(calc!$AN$3:$AN$306=AN185))-1)/2,"")</f>
        <v/>
      </c>
      <c r="AS185" s="5">
        <f>IF(AM185,1+SUMPRODUCT(--(calc!$AM$3:$AM$306=TRUE),--(calc!$AO$3:$AO$306&gt;AO185))+(SUMPRODUCT(--(calc!$AM$3:$AM$306=TRUE),--(calc!$AO$3:$AO$306=AO185))-1)/2,"")</f>
        <v/>
      </c>
      <c r="AT185" s="5">
        <f>IF(AM185,SUMPRODUCT(--(calc!$AM$3:$AM$306=TRUE),--(ROW(calc!$AM$3:$AM$306)&gt;ROW(AM185)),--(((calc!$AR$3:$AR$306&gt;AR185)*(calc!$AS$3:$AS$306&gt;AS185)+(calc!$AR$3:$AR$306&lt;AR185)*(calc!$AS$3:$AS$306&lt;AS185))&gt;0))-SUMPRODUCT(--(calc!$AM$3:$AM$306=TRUE),--(ROW(calc!$AM$3:$AM$306)&gt;ROW(AM185)),--(((calc!$AR$3:$AR$306&gt;AR185)*(calc!$AS$3:$AS$306&lt;AS185)+(calc!$AR$3:$AR$306&lt;AR185)*(calc!$AS$3:$AS$306&gt;AS185))&gt;0)),0)</f>
        <v/>
      </c>
      <c r="AU185" s="5">
        <f>IF(mos_metrics!K184="","",mos_metrics!K184)</f>
        <v/>
      </c>
      <c r="AV185" s="2">
        <f>AND($J185,ISNUMBER(AU185),correlation!$I$30=1)</f>
        <v/>
      </c>
      <c r="AW185" s="5">
        <f>IF(AV185,$F185,"")</f>
        <v/>
      </c>
      <c r="AX185" s="5">
        <f>IF(AV185,AU185*correlation!$J$30,"")</f>
        <v/>
      </c>
      <c r="AY185" s="5">
        <f>IF(AND(AV185,ISNUMBER(correlation!$F$30)),AX185*correlation!$F$30+correlation!$G$30,"")</f>
        <v/>
      </c>
      <c r="AZ185" s="5">
        <f>IF(AND(AV185,ISNUMBER(AY185)),(AW185-AY185)^2,"")</f>
        <v/>
      </c>
      <c r="BA185" s="5">
        <f>IF(AV185,1+SUMPRODUCT(--(calc!$AV$3:$AV$306=TRUE),--(calc!$AW$3:$AW$306&gt;AW185))+(SUMPRODUCT(--(calc!$AV$3:$AV$306=TRUE),--(calc!$AW$3:$AW$306=AW185))-1)/2,"")</f>
        <v/>
      </c>
      <c r="BB185" s="5">
        <f>IF(AV185,1+SUMPRODUCT(--(calc!$AV$3:$AV$306=TRUE),--(calc!$AX$3:$AX$306&gt;AX185))+(SUMPRODUCT(--(calc!$AV$3:$AV$306=TRUE),--(calc!$AX$3:$AX$306=AX185))-1)/2,"")</f>
        <v/>
      </c>
      <c r="BC185" s="5">
        <f>IF(AV185,SUMPRODUCT(--(calc!$AV$3:$AV$306=TRUE),--(ROW(calc!$AV$3:$AV$306)&gt;ROW(AV185)),--(((calc!$BA$3:$BA$306&gt;BA185)*(calc!$BB$3:$BB$306&gt;BB185)+(calc!$BA$3:$BA$306&lt;BA185)*(calc!$BB$3:$BB$306&lt;BB185))&gt;0))-SUMPRODUCT(--(calc!$AV$3:$AV$306=TRUE),--(ROW(calc!$AV$3:$AV$306)&gt;ROW(AV185)),--(((calc!$BA$3:$BA$306&gt;BA185)*(calc!$BB$3:$BB$306&lt;BB185)+(calc!$BA$3:$BA$306&lt;BA185)*(calc!$BB$3:$BB$306&gt;BB185))&gt;0)),0)</f>
        <v/>
      </c>
      <c r="BD185" s="5">
        <f>IF(mos_metrics!L184="","",mos_metrics!L184)</f>
        <v/>
      </c>
      <c r="BE185" s="2">
        <f>AND($J185,ISNUMBER(BD185),correlation!$I$31=1)</f>
        <v/>
      </c>
      <c r="BF185" s="5">
        <f>IF(BE185,$F185,"")</f>
        <v/>
      </c>
      <c r="BG185" s="5">
        <f>IF(BE185,BD185*correlation!$J$31,"")</f>
        <v/>
      </c>
      <c r="BH185" s="5">
        <f>IF(AND(BE185,ISNUMBER(correlation!$F$31)),BG185*correlation!$F$31+correlation!$G$31,"")</f>
        <v/>
      </c>
      <c r="BI185" s="5">
        <f>IF(AND(BE185,ISNUMBER(BH185)),(BF185-BH185)^2,"")</f>
        <v/>
      </c>
      <c r="BJ185" s="5">
        <f>IF(BE185,1+SUMPRODUCT(--(calc!$BE$3:$BE$306=TRUE),--(calc!$BF$3:$BF$306&gt;BF185))+(SUMPRODUCT(--(calc!$BE$3:$BE$306=TRUE),--(calc!$BF$3:$BF$306=BF185))-1)/2,"")</f>
        <v/>
      </c>
      <c r="BK185" s="5">
        <f>IF(BE185,1+SUMPRODUCT(--(calc!$BE$3:$BE$306=TRUE),--(calc!$BG$3:$BG$306&gt;BG185))+(SUMPRODUCT(--(calc!$BE$3:$BE$306=TRUE),--(calc!$BG$3:$BG$306=BG185))-1)/2,"")</f>
        <v/>
      </c>
      <c r="BL185" s="5">
        <f>IF(BE185,SUMPRODUCT(--(calc!$BE$3:$BE$306=TRUE),--(ROW(calc!$BE$3:$BE$306)&gt;ROW(BE185)),--(((calc!$BJ$3:$BJ$306&gt;BJ185)*(calc!$BK$3:$BK$306&gt;BK185)+(calc!$BJ$3:$BJ$306&lt;BJ185)*(calc!$BK$3:$BK$306&lt;BK185))&gt;0))-SUMPRODUCT(--(calc!$BE$3:$BE$306=TRUE),--(ROW(calc!$BE$3:$BE$306)&gt;ROW(BE185)),--(((calc!$BJ$3:$BJ$306&gt;BJ185)*(calc!$BK$3:$BK$306&lt;BK185)+(calc!$BJ$3:$BJ$306&lt;BJ185)*(calc!$BK$3:$BK$306&gt;BK185))&gt;0)),0)</f>
        <v/>
      </c>
      <c r="BM185" s="5">
        <f>IF(mos_metrics!M184="","",mos_metrics!M184)</f>
        <v/>
      </c>
      <c r="BN185" s="2">
        <f>AND($J185,ISNUMBER(BM185),correlation!$I$32=1)</f>
        <v/>
      </c>
      <c r="BO185" s="5">
        <f>IF(BN185,$F185,"")</f>
        <v/>
      </c>
      <c r="BP185" s="5">
        <f>IF(BN185,BM185*correlation!$J$32,"")</f>
        <v/>
      </c>
      <c r="BQ185" s="5">
        <f>IF(AND(BN185,ISNUMBER(correlation!$F$32)),BP185*correlation!$F$32+correlation!$G$32,"")</f>
        <v/>
      </c>
      <c r="BR185" s="5">
        <f>IF(AND(BN185,ISNUMBER(BQ185)),(BO185-BQ185)^2,"")</f>
        <v/>
      </c>
      <c r="BS185" s="5">
        <f>IF(BN185,1+SUMPRODUCT(--(calc!$BN$3:$BN$306=TRUE),--(calc!$BO$3:$BO$306&gt;BO185))+(SUMPRODUCT(--(calc!$BN$3:$BN$306=TRUE),--(calc!$BO$3:$BO$306=BO185))-1)/2,"")</f>
        <v/>
      </c>
      <c r="BT185" s="5">
        <f>IF(BN185,1+SUMPRODUCT(--(calc!$BN$3:$BN$306=TRUE),--(calc!$BP$3:$BP$306&gt;BP185))+(SUMPRODUCT(--(calc!$BN$3:$BN$306=TRUE),--(calc!$BP$3:$BP$306=BP185))-1)/2,"")</f>
        <v/>
      </c>
      <c r="BU185" s="5">
        <f>IF(BN185,SUMPRODUCT(--(calc!$BN$3:$BN$306=TRUE),--(ROW(calc!$BN$3:$BN$306)&gt;ROW(BN185)),--(((calc!$BS$3:$BS$306&gt;BS185)*(calc!$BT$3:$BT$306&gt;BT185)+(calc!$BS$3:$BS$306&lt;BS185)*(calc!$BT$3:$BT$306&lt;BT185))&gt;0))-SUMPRODUCT(--(calc!$BN$3:$BN$306=TRUE),--(ROW(calc!$BN$3:$BN$306)&gt;ROW(BN185)),--(((calc!$BS$3:$BS$306&gt;BS185)*(calc!$BT$3:$BT$306&lt;BT185)+(calc!$BS$3:$BS$306&lt;BS185)*(calc!$BT$3:$BT$306&gt;BT185))&gt;0)),0)</f>
        <v/>
      </c>
    </row>
    <row r="186">
      <c r="A186" s="2">
        <f>mos_metrics!A185</f>
        <v/>
      </c>
      <c r="B186" s="2">
        <f>mos_metrics!B185</f>
        <v/>
      </c>
      <c r="C186" s="2">
        <f>mos_metrics!C185</f>
        <v/>
      </c>
      <c r="D186" s="2">
        <f>mos_metrics!D185</f>
        <v/>
      </c>
      <c r="E186" s="2">
        <f>mos_metrics!E185</f>
        <v/>
      </c>
      <c r="F186" s="2">
        <f>mos_metrics!F185</f>
        <v/>
      </c>
      <c r="G186" s="2">
        <f>IF($B186="","",IFERROR(VLOOKUP($B186,correlation!$A$2:$B$16,2,FALSE),1))</f>
        <v/>
      </c>
      <c r="H186" s="2">
        <f>IF($E186="","",IFERROR(VLOOKUP($E186,correlation!$D$2:$E$8,2,FALSE),1))</f>
        <v/>
      </c>
      <c r="I186" s="2">
        <f>ISNUMBER($F186)</f>
        <v/>
      </c>
      <c r="J186" s="2">
        <f>AND($G186=1,$H186=1,$I186)</f>
        <v/>
      </c>
      <c r="K186" s="5">
        <f>IF(mos_metrics!G185="","",mos_metrics!G185)</f>
        <v/>
      </c>
      <c r="L186" s="2">
        <f>AND($J186,ISNUMBER(K186),correlation!$I$26=1)</f>
        <v/>
      </c>
      <c r="M186" s="5">
        <f>IF(L186,$F186,"")</f>
        <v/>
      </c>
      <c r="N186" s="5">
        <f>IF(L186,K186*correlation!$J$26,"")</f>
        <v/>
      </c>
      <c r="O186" s="5">
        <f>IF(AND(L186,ISNUMBER(correlation!$F$26)),N186*correlation!$F$26+correlation!$G$26,"")</f>
        <v/>
      </c>
      <c r="P186" s="5">
        <f>IF(AND(L186,ISNUMBER(O186)),(M186-O186)^2,"")</f>
        <v/>
      </c>
      <c r="Q186" s="5">
        <f>IF(L186,1+SUMPRODUCT(--(calc!$L$3:$L$306=TRUE),--(calc!$M$3:$M$306&gt;M186))+(SUMPRODUCT(--(calc!$L$3:$L$306=TRUE),--(calc!$M$3:$M$306=M186))-1)/2,"")</f>
        <v/>
      </c>
      <c r="R186" s="5">
        <f>IF(L186,1+SUMPRODUCT(--(calc!$L$3:$L$306=TRUE),--(calc!$N$3:$N$306&gt;N186))+(SUMPRODUCT(--(calc!$L$3:$L$306=TRUE),--(calc!$N$3:$N$306=N186))-1)/2,"")</f>
        <v/>
      </c>
      <c r="S186" s="5">
        <f>IF(L186,SUMPRODUCT(--(calc!$L$3:$L$306=TRUE),--(ROW(calc!$L$3:$L$306)&gt;ROW(L186)),--(((calc!$Q$3:$Q$306&gt;Q186)*(calc!$R$3:$R$306&gt;R186)+(calc!$Q$3:$Q$306&lt;Q186)*(calc!$R$3:$R$306&lt;R186))&gt;0))-SUMPRODUCT(--(calc!$L$3:$L$306=TRUE),--(ROW(calc!$L$3:$L$306)&gt;ROW(L186)),--(((calc!$Q$3:$Q$306&gt;Q186)*(calc!$R$3:$R$306&lt;R186)+(calc!$Q$3:$Q$306&lt;Q186)*(calc!$R$3:$R$306&gt;R186))&gt;0)),0)</f>
        <v/>
      </c>
      <c r="T186" s="5">
        <f>IF(mos_metrics!H185="","",mos_metrics!H185)</f>
        <v/>
      </c>
      <c r="U186" s="2">
        <f>AND($J186,ISNUMBER(T186),correlation!$I$27=1)</f>
        <v/>
      </c>
      <c r="V186" s="5">
        <f>IF(U186,$F186,"")</f>
        <v/>
      </c>
      <c r="W186" s="5">
        <f>IF(U186,T186*correlation!$J$27,"")</f>
        <v/>
      </c>
      <c r="X186" s="5">
        <f>IF(AND(U186,ISNUMBER(correlation!$F$27)),W186*correlation!$F$27+correlation!$G$27,"")</f>
        <v/>
      </c>
      <c r="Y186" s="5">
        <f>IF(AND(U186,ISNUMBER(X186)),(V186-X186)^2,"")</f>
        <v/>
      </c>
      <c r="Z186" s="5">
        <f>IF(U186,1+SUMPRODUCT(--(calc!$U$3:$U$306=TRUE),--(calc!$V$3:$V$306&gt;V186))+(SUMPRODUCT(--(calc!$U$3:$U$306=TRUE),--(calc!$V$3:$V$306=V186))-1)/2,"")</f>
        <v/>
      </c>
      <c r="AA186" s="5">
        <f>IF(U186,1+SUMPRODUCT(--(calc!$U$3:$U$306=TRUE),--(calc!$W$3:$W$306&gt;W186))+(SUMPRODUCT(--(calc!$U$3:$U$306=TRUE),--(calc!$W$3:$W$306=W186))-1)/2,"")</f>
        <v/>
      </c>
      <c r="AB186" s="5">
        <f>IF(U186,SUMPRODUCT(--(calc!$U$3:$U$306=TRUE),--(ROW(calc!$U$3:$U$306)&gt;ROW(U186)),--(((calc!$Z$3:$Z$306&gt;Z186)*(calc!$AA$3:$AA$306&gt;AA186)+(calc!$Z$3:$Z$306&lt;Z186)*(calc!$AA$3:$AA$306&lt;AA186))&gt;0))-SUMPRODUCT(--(calc!$U$3:$U$306=TRUE),--(ROW(calc!$U$3:$U$306)&gt;ROW(U186)),--(((calc!$Z$3:$Z$306&gt;Z186)*(calc!$AA$3:$AA$306&lt;AA186)+(calc!$Z$3:$Z$306&lt;Z186)*(calc!$AA$3:$AA$306&gt;AA186))&gt;0)),0)</f>
        <v/>
      </c>
      <c r="AC186" s="5">
        <f>IF(mos_metrics!I185="","",mos_metrics!I185)</f>
        <v/>
      </c>
      <c r="AD186" s="2">
        <f>AND($J186,ISNUMBER(AC186),correlation!$I$28=1)</f>
        <v/>
      </c>
      <c r="AE186" s="5">
        <f>IF(AD186,$F186,"")</f>
        <v/>
      </c>
      <c r="AF186" s="5">
        <f>IF(AD186,AC186*correlation!$J$28,"")</f>
        <v/>
      </c>
      <c r="AG186" s="5">
        <f>IF(AND(AD186,ISNUMBER(correlation!$F$28)),AF186*correlation!$F$28+correlation!$G$28,"")</f>
        <v/>
      </c>
      <c r="AH186" s="5">
        <f>IF(AND(AD186,ISNUMBER(AG186)),(AE186-AG186)^2,"")</f>
        <v/>
      </c>
      <c r="AI186" s="5">
        <f>IF(AD186,1+SUMPRODUCT(--(calc!$AD$3:$AD$306=TRUE),--(calc!$AE$3:$AE$306&gt;AE186))+(SUMPRODUCT(--(calc!$AD$3:$AD$306=TRUE),--(calc!$AE$3:$AE$306=AE186))-1)/2,"")</f>
        <v/>
      </c>
      <c r="AJ186" s="5">
        <f>IF(AD186,1+SUMPRODUCT(--(calc!$AD$3:$AD$306=TRUE),--(calc!$AF$3:$AF$306&gt;AF186))+(SUMPRODUCT(--(calc!$AD$3:$AD$306=TRUE),--(calc!$AF$3:$AF$306=AF186))-1)/2,"")</f>
        <v/>
      </c>
      <c r="AK186" s="5">
        <f>IF(AD186,SUMPRODUCT(--(calc!$AD$3:$AD$306=TRUE),--(ROW(calc!$AD$3:$AD$306)&gt;ROW(AD186)),--(((calc!$AI$3:$AI$306&gt;AI186)*(calc!$AJ$3:$AJ$306&gt;AJ186)+(calc!$AI$3:$AI$306&lt;AI186)*(calc!$AJ$3:$AJ$306&lt;AJ186))&gt;0))-SUMPRODUCT(--(calc!$AD$3:$AD$306=TRUE),--(ROW(calc!$AD$3:$AD$306)&gt;ROW(AD186)),--(((calc!$AI$3:$AI$306&gt;AI186)*(calc!$AJ$3:$AJ$306&lt;AJ186)+(calc!$AI$3:$AI$306&lt;AI186)*(calc!$AJ$3:$AJ$306&gt;AJ186))&gt;0)),0)</f>
        <v/>
      </c>
      <c r="AL186" s="5">
        <f>IF(mos_metrics!J185="","",mos_metrics!J185)</f>
        <v/>
      </c>
      <c r="AM186" s="2">
        <f>AND($J186,ISNUMBER(AL186),correlation!$I$29=1)</f>
        <v/>
      </c>
      <c r="AN186" s="5">
        <f>IF(AM186,$F186,"")</f>
        <v/>
      </c>
      <c r="AO186" s="5">
        <f>IF(AM186,AL186*correlation!$J$29,"")</f>
        <v/>
      </c>
      <c r="AP186" s="5">
        <f>IF(AND(AM186,ISNUMBER(correlation!$F$29)),AO186*correlation!$F$29+correlation!$G$29,"")</f>
        <v/>
      </c>
      <c r="AQ186" s="5">
        <f>IF(AND(AM186,ISNUMBER(AP186)),(AN186-AP186)^2,"")</f>
        <v/>
      </c>
      <c r="AR186" s="5">
        <f>IF(AM186,1+SUMPRODUCT(--(calc!$AM$3:$AM$306=TRUE),--(calc!$AN$3:$AN$306&gt;AN186))+(SUMPRODUCT(--(calc!$AM$3:$AM$306=TRUE),--(calc!$AN$3:$AN$306=AN186))-1)/2,"")</f>
        <v/>
      </c>
      <c r="AS186" s="5">
        <f>IF(AM186,1+SUMPRODUCT(--(calc!$AM$3:$AM$306=TRUE),--(calc!$AO$3:$AO$306&gt;AO186))+(SUMPRODUCT(--(calc!$AM$3:$AM$306=TRUE),--(calc!$AO$3:$AO$306=AO186))-1)/2,"")</f>
        <v/>
      </c>
      <c r="AT186" s="5">
        <f>IF(AM186,SUMPRODUCT(--(calc!$AM$3:$AM$306=TRUE),--(ROW(calc!$AM$3:$AM$306)&gt;ROW(AM186)),--(((calc!$AR$3:$AR$306&gt;AR186)*(calc!$AS$3:$AS$306&gt;AS186)+(calc!$AR$3:$AR$306&lt;AR186)*(calc!$AS$3:$AS$306&lt;AS186))&gt;0))-SUMPRODUCT(--(calc!$AM$3:$AM$306=TRUE),--(ROW(calc!$AM$3:$AM$306)&gt;ROW(AM186)),--(((calc!$AR$3:$AR$306&gt;AR186)*(calc!$AS$3:$AS$306&lt;AS186)+(calc!$AR$3:$AR$306&lt;AR186)*(calc!$AS$3:$AS$306&gt;AS186))&gt;0)),0)</f>
        <v/>
      </c>
      <c r="AU186" s="5">
        <f>IF(mos_metrics!K185="","",mos_metrics!K185)</f>
        <v/>
      </c>
      <c r="AV186" s="2">
        <f>AND($J186,ISNUMBER(AU186),correlation!$I$30=1)</f>
        <v/>
      </c>
      <c r="AW186" s="5">
        <f>IF(AV186,$F186,"")</f>
        <v/>
      </c>
      <c r="AX186" s="5">
        <f>IF(AV186,AU186*correlation!$J$30,"")</f>
        <v/>
      </c>
      <c r="AY186" s="5">
        <f>IF(AND(AV186,ISNUMBER(correlation!$F$30)),AX186*correlation!$F$30+correlation!$G$30,"")</f>
        <v/>
      </c>
      <c r="AZ186" s="5">
        <f>IF(AND(AV186,ISNUMBER(AY186)),(AW186-AY186)^2,"")</f>
        <v/>
      </c>
      <c r="BA186" s="5">
        <f>IF(AV186,1+SUMPRODUCT(--(calc!$AV$3:$AV$306=TRUE),--(calc!$AW$3:$AW$306&gt;AW186))+(SUMPRODUCT(--(calc!$AV$3:$AV$306=TRUE),--(calc!$AW$3:$AW$306=AW186))-1)/2,"")</f>
        <v/>
      </c>
      <c r="BB186" s="5">
        <f>IF(AV186,1+SUMPRODUCT(--(calc!$AV$3:$AV$306=TRUE),--(calc!$AX$3:$AX$306&gt;AX186))+(SUMPRODUCT(--(calc!$AV$3:$AV$306=TRUE),--(calc!$AX$3:$AX$306=AX186))-1)/2,"")</f>
        <v/>
      </c>
      <c r="BC186" s="5">
        <f>IF(AV186,SUMPRODUCT(--(calc!$AV$3:$AV$306=TRUE),--(ROW(calc!$AV$3:$AV$306)&gt;ROW(AV186)),--(((calc!$BA$3:$BA$306&gt;BA186)*(calc!$BB$3:$BB$306&gt;BB186)+(calc!$BA$3:$BA$306&lt;BA186)*(calc!$BB$3:$BB$306&lt;BB186))&gt;0))-SUMPRODUCT(--(calc!$AV$3:$AV$306=TRUE),--(ROW(calc!$AV$3:$AV$306)&gt;ROW(AV186)),--(((calc!$BA$3:$BA$306&gt;BA186)*(calc!$BB$3:$BB$306&lt;BB186)+(calc!$BA$3:$BA$306&lt;BA186)*(calc!$BB$3:$BB$306&gt;BB186))&gt;0)),0)</f>
        <v/>
      </c>
      <c r="BD186" s="5">
        <f>IF(mos_metrics!L185="","",mos_metrics!L185)</f>
        <v/>
      </c>
      <c r="BE186" s="2">
        <f>AND($J186,ISNUMBER(BD186),correlation!$I$31=1)</f>
        <v/>
      </c>
      <c r="BF186" s="5">
        <f>IF(BE186,$F186,"")</f>
        <v/>
      </c>
      <c r="BG186" s="5">
        <f>IF(BE186,BD186*correlation!$J$31,"")</f>
        <v/>
      </c>
      <c r="BH186" s="5">
        <f>IF(AND(BE186,ISNUMBER(correlation!$F$31)),BG186*correlation!$F$31+correlation!$G$31,"")</f>
        <v/>
      </c>
      <c r="BI186" s="5">
        <f>IF(AND(BE186,ISNUMBER(BH186)),(BF186-BH186)^2,"")</f>
        <v/>
      </c>
      <c r="BJ186" s="5">
        <f>IF(BE186,1+SUMPRODUCT(--(calc!$BE$3:$BE$306=TRUE),--(calc!$BF$3:$BF$306&gt;BF186))+(SUMPRODUCT(--(calc!$BE$3:$BE$306=TRUE),--(calc!$BF$3:$BF$306=BF186))-1)/2,"")</f>
        <v/>
      </c>
      <c r="BK186" s="5">
        <f>IF(BE186,1+SUMPRODUCT(--(calc!$BE$3:$BE$306=TRUE),--(calc!$BG$3:$BG$306&gt;BG186))+(SUMPRODUCT(--(calc!$BE$3:$BE$306=TRUE),--(calc!$BG$3:$BG$306=BG186))-1)/2,"")</f>
        <v/>
      </c>
      <c r="BL186" s="5">
        <f>IF(BE186,SUMPRODUCT(--(calc!$BE$3:$BE$306=TRUE),--(ROW(calc!$BE$3:$BE$306)&gt;ROW(BE186)),--(((calc!$BJ$3:$BJ$306&gt;BJ186)*(calc!$BK$3:$BK$306&gt;BK186)+(calc!$BJ$3:$BJ$306&lt;BJ186)*(calc!$BK$3:$BK$306&lt;BK186))&gt;0))-SUMPRODUCT(--(calc!$BE$3:$BE$306=TRUE),--(ROW(calc!$BE$3:$BE$306)&gt;ROW(BE186)),--(((calc!$BJ$3:$BJ$306&gt;BJ186)*(calc!$BK$3:$BK$306&lt;BK186)+(calc!$BJ$3:$BJ$306&lt;BJ186)*(calc!$BK$3:$BK$306&gt;BK186))&gt;0)),0)</f>
        <v/>
      </c>
      <c r="BM186" s="5">
        <f>IF(mos_metrics!M185="","",mos_metrics!M185)</f>
        <v/>
      </c>
      <c r="BN186" s="2">
        <f>AND($J186,ISNUMBER(BM186),correlation!$I$32=1)</f>
        <v/>
      </c>
      <c r="BO186" s="5">
        <f>IF(BN186,$F186,"")</f>
        <v/>
      </c>
      <c r="BP186" s="5">
        <f>IF(BN186,BM186*correlation!$J$32,"")</f>
        <v/>
      </c>
      <c r="BQ186" s="5">
        <f>IF(AND(BN186,ISNUMBER(correlation!$F$32)),BP186*correlation!$F$32+correlation!$G$32,"")</f>
        <v/>
      </c>
      <c r="BR186" s="5">
        <f>IF(AND(BN186,ISNUMBER(BQ186)),(BO186-BQ186)^2,"")</f>
        <v/>
      </c>
      <c r="BS186" s="5">
        <f>IF(BN186,1+SUMPRODUCT(--(calc!$BN$3:$BN$306=TRUE),--(calc!$BO$3:$BO$306&gt;BO186))+(SUMPRODUCT(--(calc!$BN$3:$BN$306=TRUE),--(calc!$BO$3:$BO$306=BO186))-1)/2,"")</f>
        <v/>
      </c>
      <c r="BT186" s="5">
        <f>IF(BN186,1+SUMPRODUCT(--(calc!$BN$3:$BN$306=TRUE),--(calc!$BP$3:$BP$306&gt;BP186))+(SUMPRODUCT(--(calc!$BN$3:$BN$306=TRUE),--(calc!$BP$3:$BP$306=BP186))-1)/2,"")</f>
        <v/>
      </c>
      <c r="BU186" s="5">
        <f>IF(BN186,SUMPRODUCT(--(calc!$BN$3:$BN$306=TRUE),--(ROW(calc!$BN$3:$BN$306)&gt;ROW(BN186)),--(((calc!$BS$3:$BS$306&gt;BS186)*(calc!$BT$3:$BT$306&gt;BT186)+(calc!$BS$3:$BS$306&lt;BS186)*(calc!$BT$3:$BT$306&lt;BT186))&gt;0))-SUMPRODUCT(--(calc!$BN$3:$BN$306=TRUE),--(ROW(calc!$BN$3:$BN$306)&gt;ROW(BN186)),--(((calc!$BS$3:$BS$306&gt;BS186)*(calc!$BT$3:$BT$306&lt;BT186)+(calc!$BS$3:$BS$306&lt;BS186)*(calc!$BT$3:$BT$306&gt;BT186))&gt;0)),0)</f>
        <v/>
      </c>
    </row>
    <row r="187">
      <c r="A187" s="2">
        <f>mos_metrics!A186</f>
        <v/>
      </c>
      <c r="B187" s="2">
        <f>mos_metrics!B186</f>
        <v/>
      </c>
      <c r="C187" s="2">
        <f>mos_metrics!C186</f>
        <v/>
      </c>
      <c r="D187" s="2">
        <f>mos_metrics!D186</f>
        <v/>
      </c>
      <c r="E187" s="2">
        <f>mos_metrics!E186</f>
        <v/>
      </c>
      <c r="F187" s="2">
        <f>mos_metrics!F186</f>
        <v/>
      </c>
      <c r="G187" s="2">
        <f>IF($B187="","",IFERROR(VLOOKUP($B187,correlation!$A$2:$B$16,2,FALSE),1))</f>
        <v/>
      </c>
      <c r="H187" s="2">
        <f>IF($E187="","",IFERROR(VLOOKUP($E187,correlation!$D$2:$E$8,2,FALSE),1))</f>
        <v/>
      </c>
      <c r="I187" s="2">
        <f>ISNUMBER($F187)</f>
        <v/>
      </c>
      <c r="J187" s="2">
        <f>AND($G187=1,$H187=1,$I187)</f>
        <v/>
      </c>
      <c r="K187" s="5">
        <f>IF(mos_metrics!G186="","",mos_metrics!G186)</f>
        <v/>
      </c>
      <c r="L187" s="2">
        <f>AND($J187,ISNUMBER(K187),correlation!$I$26=1)</f>
        <v/>
      </c>
      <c r="M187" s="5">
        <f>IF(L187,$F187,"")</f>
        <v/>
      </c>
      <c r="N187" s="5">
        <f>IF(L187,K187*correlation!$J$26,"")</f>
        <v/>
      </c>
      <c r="O187" s="5">
        <f>IF(AND(L187,ISNUMBER(correlation!$F$26)),N187*correlation!$F$26+correlation!$G$26,"")</f>
        <v/>
      </c>
      <c r="P187" s="5">
        <f>IF(AND(L187,ISNUMBER(O187)),(M187-O187)^2,"")</f>
        <v/>
      </c>
      <c r="Q187" s="5">
        <f>IF(L187,1+SUMPRODUCT(--(calc!$L$3:$L$306=TRUE),--(calc!$M$3:$M$306&gt;M187))+(SUMPRODUCT(--(calc!$L$3:$L$306=TRUE),--(calc!$M$3:$M$306=M187))-1)/2,"")</f>
        <v/>
      </c>
      <c r="R187" s="5">
        <f>IF(L187,1+SUMPRODUCT(--(calc!$L$3:$L$306=TRUE),--(calc!$N$3:$N$306&gt;N187))+(SUMPRODUCT(--(calc!$L$3:$L$306=TRUE),--(calc!$N$3:$N$306=N187))-1)/2,"")</f>
        <v/>
      </c>
      <c r="S187" s="5">
        <f>IF(L187,SUMPRODUCT(--(calc!$L$3:$L$306=TRUE),--(ROW(calc!$L$3:$L$306)&gt;ROW(L187)),--(((calc!$Q$3:$Q$306&gt;Q187)*(calc!$R$3:$R$306&gt;R187)+(calc!$Q$3:$Q$306&lt;Q187)*(calc!$R$3:$R$306&lt;R187))&gt;0))-SUMPRODUCT(--(calc!$L$3:$L$306=TRUE),--(ROW(calc!$L$3:$L$306)&gt;ROW(L187)),--(((calc!$Q$3:$Q$306&gt;Q187)*(calc!$R$3:$R$306&lt;R187)+(calc!$Q$3:$Q$306&lt;Q187)*(calc!$R$3:$R$306&gt;R187))&gt;0)),0)</f>
        <v/>
      </c>
      <c r="T187" s="5">
        <f>IF(mos_metrics!H186="","",mos_metrics!H186)</f>
        <v/>
      </c>
      <c r="U187" s="2">
        <f>AND($J187,ISNUMBER(T187),correlation!$I$27=1)</f>
        <v/>
      </c>
      <c r="V187" s="5">
        <f>IF(U187,$F187,"")</f>
        <v/>
      </c>
      <c r="W187" s="5">
        <f>IF(U187,T187*correlation!$J$27,"")</f>
        <v/>
      </c>
      <c r="X187" s="5">
        <f>IF(AND(U187,ISNUMBER(correlation!$F$27)),W187*correlation!$F$27+correlation!$G$27,"")</f>
        <v/>
      </c>
      <c r="Y187" s="5">
        <f>IF(AND(U187,ISNUMBER(X187)),(V187-X187)^2,"")</f>
        <v/>
      </c>
      <c r="Z187" s="5">
        <f>IF(U187,1+SUMPRODUCT(--(calc!$U$3:$U$306=TRUE),--(calc!$V$3:$V$306&gt;V187))+(SUMPRODUCT(--(calc!$U$3:$U$306=TRUE),--(calc!$V$3:$V$306=V187))-1)/2,"")</f>
        <v/>
      </c>
      <c r="AA187" s="5">
        <f>IF(U187,1+SUMPRODUCT(--(calc!$U$3:$U$306=TRUE),--(calc!$W$3:$W$306&gt;W187))+(SUMPRODUCT(--(calc!$U$3:$U$306=TRUE),--(calc!$W$3:$W$306=W187))-1)/2,"")</f>
        <v/>
      </c>
      <c r="AB187" s="5">
        <f>IF(U187,SUMPRODUCT(--(calc!$U$3:$U$306=TRUE),--(ROW(calc!$U$3:$U$306)&gt;ROW(U187)),--(((calc!$Z$3:$Z$306&gt;Z187)*(calc!$AA$3:$AA$306&gt;AA187)+(calc!$Z$3:$Z$306&lt;Z187)*(calc!$AA$3:$AA$306&lt;AA187))&gt;0))-SUMPRODUCT(--(calc!$U$3:$U$306=TRUE),--(ROW(calc!$U$3:$U$306)&gt;ROW(U187)),--(((calc!$Z$3:$Z$306&gt;Z187)*(calc!$AA$3:$AA$306&lt;AA187)+(calc!$Z$3:$Z$306&lt;Z187)*(calc!$AA$3:$AA$306&gt;AA187))&gt;0)),0)</f>
        <v/>
      </c>
      <c r="AC187" s="5">
        <f>IF(mos_metrics!I186="","",mos_metrics!I186)</f>
        <v/>
      </c>
      <c r="AD187" s="2">
        <f>AND($J187,ISNUMBER(AC187),correlation!$I$28=1)</f>
        <v/>
      </c>
      <c r="AE187" s="5">
        <f>IF(AD187,$F187,"")</f>
        <v/>
      </c>
      <c r="AF187" s="5">
        <f>IF(AD187,AC187*correlation!$J$28,"")</f>
        <v/>
      </c>
      <c r="AG187" s="5">
        <f>IF(AND(AD187,ISNUMBER(correlation!$F$28)),AF187*correlation!$F$28+correlation!$G$28,"")</f>
        <v/>
      </c>
      <c r="AH187" s="5">
        <f>IF(AND(AD187,ISNUMBER(AG187)),(AE187-AG187)^2,"")</f>
        <v/>
      </c>
      <c r="AI187" s="5">
        <f>IF(AD187,1+SUMPRODUCT(--(calc!$AD$3:$AD$306=TRUE),--(calc!$AE$3:$AE$306&gt;AE187))+(SUMPRODUCT(--(calc!$AD$3:$AD$306=TRUE),--(calc!$AE$3:$AE$306=AE187))-1)/2,"")</f>
        <v/>
      </c>
      <c r="AJ187" s="5">
        <f>IF(AD187,1+SUMPRODUCT(--(calc!$AD$3:$AD$306=TRUE),--(calc!$AF$3:$AF$306&gt;AF187))+(SUMPRODUCT(--(calc!$AD$3:$AD$306=TRUE),--(calc!$AF$3:$AF$306=AF187))-1)/2,"")</f>
        <v/>
      </c>
      <c r="AK187" s="5">
        <f>IF(AD187,SUMPRODUCT(--(calc!$AD$3:$AD$306=TRUE),--(ROW(calc!$AD$3:$AD$306)&gt;ROW(AD187)),--(((calc!$AI$3:$AI$306&gt;AI187)*(calc!$AJ$3:$AJ$306&gt;AJ187)+(calc!$AI$3:$AI$306&lt;AI187)*(calc!$AJ$3:$AJ$306&lt;AJ187))&gt;0))-SUMPRODUCT(--(calc!$AD$3:$AD$306=TRUE),--(ROW(calc!$AD$3:$AD$306)&gt;ROW(AD187)),--(((calc!$AI$3:$AI$306&gt;AI187)*(calc!$AJ$3:$AJ$306&lt;AJ187)+(calc!$AI$3:$AI$306&lt;AI187)*(calc!$AJ$3:$AJ$306&gt;AJ187))&gt;0)),0)</f>
        <v/>
      </c>
      <c r="AL187" s="5">
        <f>IF(mos_metrics!J186="","",mos_metrics!J186)</f>
        <v/>
      </c>
      <c r="AM187" s="2">
        <f>AND($J187,ISNUMBER(AL187),correlation!$I$29=1)</f>
        <v/>
      </c>
      <c r="AN187" s="5">
        <f>IF(AM187,$F187,"")</f>
        <v/>
      </c>
      <c r="AO187" s="5">
        <f>IF(AM187,AL187*correlation!$J$29,"")</f>
        <v/>
      </c>
      <c r="AP187" s="5">
        <f>IF(AND(AM187,ISNUMBER(correlation!$F$29)),AO187*correlation!$F$29+correlation!$G$29,"")</f>
        <v/>
      </c>
      <c r="AQ187" s="5">
        <f>IF(AND(AM187,ISNUMBER(AP187)),(AN187-AP187)^2,"")</f>
        <v/>
      </c>
      <c r="AR187" s="5">
        <f>IF(AM187,1+SUMPRODUCT(--(calc!$AM$3:$AM$306=TRUE),--(calc!$AN$3:$AN$306&gt;AN187))+(SUMPRODUCT(--(calc!$AM$3:$AM$306=TRUE),--(calc!$AN$3:$AN$306=AN187))-1)/2,"")</f>
        <v/>
      </c>
      <c r="AS187" s="5">
        <f>IF(AM187,1+SUMPRODUCT(--(calc!$AM$3:$AM$306=TRUE),--(calc!$AO$3:$AO$306&gt;AO187))+(SUMPRODUCT(--(calc!$AM$3:$AM$306=TRUE),--(calc!$AO$3:$AO$306=AO187))-1)/2,"")</f>
        <v/>
      </c>
      <c r="AT187" s="5">
        <f>IF(AM187,SUMPRODUCT(--(calc!$AM$3:$AM$306=TRUE),--(ROW(calc!$AM$3:$AM$306)&gt;ROW(AM187)),--(((calc!$AR$3:$AR$306&gt;AR187)*(calc!$AS$3:$AS$306&gt;AS187)+(calc!$AR$3:$AR$306&lt;AR187)*(calc!$AS$3:$AS$306&lt;AS187))&gt;0))-SUMPRODUCT(--(calc!$AM$3:$AM$306=TRUE),--(ROW(calc!$AM$3:$AM$306)&gt;ROW(AM187)),--(((calc!$AR$3:$AR$306&gt;AR187)*(calc!$AS$3:$AS$306&lt;AS187)+(calc!$AR$3:$AR$306&lt;AR187)*(calc!$AS$3:$AS$306&gt;AS187))&gt;0)),0)</f>
        <v/>
      </c>
      <c r="AU187" s="5">
        <f>IF(mos_metrics!K186="","",mos_metrics!K186)</f>
        <v/>
      </c>
      <c r="AV187" s="2">
        <f>AND($J187,ISNUMBER(AU187),correlation!$I$30=1)</f>
        <v/>
      </c>
      <c r="AW187" s="5">
        <f>IF(AV187,$F187,"")</f>
        <v/>
      </c>
      <c r="AX187" s="5">
        <f>IF(AV187,AU187*correlation!$J$30,"")</f>
        <v/>
      </c>
      <c r="AY187" s="5">
        <f>IF(AND(AV187,ISNUMBER(correlation!$F$30)),AX187*correlation!$F$30+correlation!$G$30,"")</f>
        <v/>
      </c>
      <c r="AZ187" s="5">
        <f>IF(AND(AV187,ISNUMBER(AY187)),(AW187-AY187)^2,"")</f>
        <v/>
      </c>
      <c r="BA187" s="5">
        <f>IF(AV187,1+SUMPRODUCT(--(calc!$AV$3:$AV$306=TRUE),--(calc!$AW$3:$AW$306&gt;AW187))+(SUMPRODUCT(--(calc!$AV$3:$AV$306=TRUE),--(calc!$AW$3:$AW$306=AW187))-1)/2,"")</f>
        <v/>
      </c>
      <c r="BB187" s="5">
        <f>IF(AV187,1+SUMPRODUCT(--(calc!$AV$3:$AV$306=TRUE),--(calc!$AX$3:$AX$306&gt;AX187))+(SUMPRODUCT(--(calc!$AV$3:$AV$306=TRUE),--(calc!$AX$3:$AX$306=AX187))-1)/2,"")</f>
        <v/>
      </c>
      <c r="BC187" s="5">
        <f>IF(AV187,SUMPRODUCT(--(calc!$AV$3:$AV$306=TRUE),--(ROW(calc!$AV$3:$AV$306)&gt;ROW(AV187)),--(((calc!$BA$3:$BA$306&gt;BA187)*(calc!$BB$3:$BB$306&gt;BB187)+(calc!$BA$3:$BA$306&lt;BA187)*(calc!$BB$3:$BB$306&lt;BB187))&gt;0))-SUMPRODUCT(--(calc!$AV$3:$AV$306=TRUE),--(ROW(calc!$AV$3:$AV$306)&gt;ROW(AV187)),--(((calc!$BA$3:$BA$306&gt;BA187)*(calc!$BB$3:$BB$306&lt;BB187)+(calc!$BA$3:$BA$306&lt;BA187)*(calc!$BB$3:$BB$306&gt;BB187))&gt;0)),0)</f>
        <v/>
      </c>
      <c r="BD187" s="5">
        <f>IF(mos_metrics!L186="","",mos_metrics!L186)</f>
        <v/>
      </c>
      <c r="BE187" s="2">
        <f>AND($J187,ISNUMBER(BD187),correlation!$I$31=1)</f>
        <v/>
      </c>
      <c r="BF187" s="5">
        <f>IF(BE187,$F187,"")</f>
        <v/>
      </c>
      <c r="BG187" s="5">
        <f>IF(BE187,BD187*correlation!$J$31,"")</f>
        <v/>
      </c>
      <c r="BH187" s="5">
        <f>IF(AND(BE187,ISNUMBER(correlation!$F$31)),BG187*correlation!$F$31+correlation!$G$31,"")</f>
        <v/>
      </c>
      <c r="BI187" s="5">
        <f>IF(AND(BE187,ISNUMBER(BH187)),(BF187-BH187)^2,"")</f>
        <v/>
      </c>
      <c r="BJ187" s="5">
        <f>IF(BE187,1+SUMPRODUCT(--(calc!$BE$3:$BE$306=TRUE),--(calc!$BF$3:$BF$306&gt;BF187))+(SUMPRODUCT(--(calc!$BE$3:$BE$306=TRUE),--(calc!$BF$3:$BF$306=BF187))-1)/2,"")</f>
        <v/>
      </c>
      <c r="BK187" s="5">
        <f>IF(BE187,1+SUMPRODUCT(--(calc!$BE$3:$BE$306=TRUE),--(calc!$BG$3:$BG$306&gt;BG187))+(SUMPRODUCT(--(calc!$BE$3:$BE$306=TRUE),--(calc!$BG$3:$BG$306=BG187))-1)/2,"")</f>
        <v/>
      </c>
      <c r="BL187" s="5">
        <f>IF(BE187,SUMPRODUCT(--(calc!$BE$3:$BE$306=TRUE),--(ROW(calc!$BE$3:$BE$306)&gt;ROW(BE187)),--(((calc!$BJ$3:$BJ$306&gt;BJ187)*(calc!$BK$3:$BK$306&gt;BK187)+(calc!$BJ$3:$BJ$306&lt;BJ187)*(calc!$BK$3:$BK$306&lt;BK187))&gt;0))-SUMPRODUCT(--(calc!$BE$3:$BE$306=TRUE),--(ROW(calc!$BE$3:$BE$306)&gt;ROW(BE187)),--(((calc!$BJ$3:$BJ$306&gt;BJ187)*(calc!$BK$3:$BK$306&lt;BK187)+(calc!$BJ$3:$BJ$306&lt;BJ187)*(calc!$BK$3:$BK$306&gt;BK187))&gt;0)),0)</f>
        <v/>
      </c>
      <c r="BM187" s="5">
        <f>IF(mos_metrics!M186="","",mos_metrics!M186)</f>
        <v/>
      </c>
      <c r="BN187" s="2">
        <f>AND($J187,ISNUMBER(BM187),correlation!$I$32=1)</f>
        <v/>
      </c>
      <c r="BO187" s="5">
        <f>IF(BN187,$F187,"")</f>
        <v/>
      </c>
      <c r="BP187" s="5">
        <f>IF(BN187,BM187*correlation!$J$32,"")</f>
        <v/>
      </c>
      <c r="BQ187" s="5">
        <f>IF(AND(BN187,ISNUMBER(correlation!$F$32)),BP187*correlation!$F$32+correlation!$G$32,"")</f>
        <v/>
      </c>
      <c r="BR187" s="5">
        <f>IF(AND(BN187,ISNUMBER(BQ187)),(BO187-BQ187)^2,"")</f>
        <v/>
      </c>
      <c r="BS187" s="5">
        <f>IF(BN187,1+SUMPRODUCT(--(calc!$BN$3:$BN$306=TRUE),--(calc!$BO$3:$BO$306&gt;BO187))+(SUMPRODUCT(--(calc!$BN$3:$BN$306=TRUE),--(calc!$BO$3:$BO$306=BO187))-1)/2,"")</f>
        <v/>
      </c>
      <c r="BT187" s="5">
        <f>IF(BN187,1+SUMPRODUCT(--(calc!$BN$3:$BN$306=TRUE),--(calc!$BP$3:$BP$306&gt;BP187))+(SUMPRODUCT(--(calc!$BN$3:$BN$306=TRUE),--(calc!$BP$3:$BP$306=BP187))-1)/2,"")</f>
        <v/>
      </c>
      <c r="BU187" s="5">
        <f>IF(BN187,SUMPRODUCT(--(calc!$BN$3:$BN$306=TRUE),--(ROW(calc!$BN$3:$BN$306)&gt;ROW(BN187)),--(((calc!$BS$3:$BS$306&gt;BS187)*(calc!$BT$3:$BT$306&gt;BT187)+(calc!$BS$3:$BS$306&lt;BS187)*(calc!$BT$3:$BT$306&lt;BT187))&gt;0))-SUMPRODUCT(--(calc!$BN$3:$BN$306=TRUE),--(ROW(calc!$BN$3:$BN$306)&gt;ROW(BN187)),--(((calc!$BS$3:$BS$306&gt;BS187)*(calc!$BT$3:$BT$306&lt;BT187)+(calc!$BS$3:$BS$306&lt;BS187)*(calc!$BT$3:$BT$306&gt;BT187))&gt;0)),0)</f>
        <v/>
      </c>
    </row>
    <row r="188">
      <c r="A188" s="2">
        <f>mos_metrics!A187</f>
        <v/>
      </c>
      <c r="B188" s="2">
        <f>mos_metrics!B187</f>
        <v/>
      </c>
      <c r="C188" s="2">
        <f>mos_metrics!C187</f>
        <v/>
      </c>
      <c r="D188" s="2">
        <f>mos_metrics!D187</f>
        <v/>
      </c>
      <c r="E188" s="2">
        <f>mos_metrics!E187</f>
        <v/>
      </c>
      <c r="F188" s="2">
        <f>mos_metrics!F187</f>
        <v/>
      </c>
      <c r="G188" s="2">
        <f>IF($B188="","",IFERROR(VLOOKUP($B188,correlation!$A$2:$B$16,2,FALSE),1))</f>
        <v/>
      </c>
      <c r="H188" s="2">
        <f>IF($E188="","",IFERROR(VLOOKUP($E188,correlation!$D$2:$E$8,2,FALSE),1))</f>
        <v/>
      </c>
      <c r="I188" s="2">
        <f>ISNUMBER($F188)</f>
        <v/>
      </c>
      <c r="J188" s="2">
        <f>AND($G188=1,$H188=1,$I188)</f>
        <v/>
      </c>
      <c r="K188" s="5">
        <f>IF(mos_metrics!G187="","",mos_metrics!G187)</f>
        <v/>
      </c>
      <c r="L188" s="2">
        <f>AND($J188,ISNUMBER(K188),correlation!$I$26=1)</f>
        <v/>
      </c>
      <c r="M188" s="5">
        <f>IF(L188,$F188,"")</f>
        <v/>
      </c>
      <c r="N188" s="5">
        <f>IF(L188,K188*correlation!$J$26,"")</f>
        <v/>
      </c>
      <c r="O188" s="5">
        <f>IF(AND(L188,ISNUMBER(correlation!$F$26)),N188*correlation!$F$26+correlation!$G$26,"")</f>
        <v/>
      </c>
      <c r="P188" s="5">
        <f>IF(AND(L188,ISNUMBER(O188)),(M188-O188)^2,"")</f>
        <v/>
      </c>
      <c r="Q188" s="5">
        <f>IF(L188,1+SUMPRODUCT(--(calc!$L$3:$L$306=TRUE),--(calc!$M$3:$M$306&gt;M188))+(SUMPRODUCT(--(calc!$L$3:$L$306=TRUE),--(calc!$M$3:$M$306=M188))-1)/2,"")</f>
        <v/>
      </c>
      <c r="R188" s="5">
        <f>IF(L188,1+SUMPRODUCT(--(calc!$L$3:$L$306=TRUE),--(calc!$N$3:$N$306&gt;N188))+(SUMPRODUCT(--(calc!$L$3:$L$306=TRUE),--(calc!$N$3:$N$306=N188))-1)/2,"")</f>
        <v/>
      </c>
      <c r="S188" s="5">
        <f>IF(L188,SUMPRODUCT(--(calc!$L$3:$L$306=TRUE),--(ROW(calc!$L$3:$L$306)&gt;ROW(L188)),--(((calc!$Q$3:$Q$306&gt;Q188)*(calc!$R$3:$R$306&gt;R188)+(calc!$Q$3:$Q$306&lt;Q188)*(calc!$R$3:$R$306&lt;R188))&gt;0))-SUMPRODUCT(--(calc!$L$3:$L$306=TRUE),--(ROW(calc!$L$3:$L$306)&gt;ROW(L188)),--(((calc!$Q$3:$Q$306&gt;Q188)*(calc!$R$3:$R$306&lt;R188)+(calc!$Q$3:$Q$306&lt;Q188)*(calc!$R$3:$R$306&gt;R188))&gt;0)),0)</f>
        <v/>
      </c>
      <c r="T188" s="5">
        <f>IF(mos_metrics!H187="","",mos_metrics!H187)</f>
        <v/>
      </c>
      <c r="U188" s="2">
        <f>AND($J188,ISNUMBER(T188),correlation!$I$27=1)</f>
        <v/>
      </c>
      <c r="V188" s="5">
        <f>IF(U188,$F188,"")</f>
        <v/>
      </c>
      <c r="W188" s="5">
        <f>IF(U188,T188*correlation!$J$27,"")</f>
        <v/>
      </c>
      <c r="X188" s="5">
        <f>IF(AND(U188,ISNUMBER(correlation!$F$27)),W188*correlation!$F$27+correlation!$G$27,"")</f>
        <v/>
      </c>
      <c r="Y188" s="5">
        <f>IF(AND(U188,ISNUMBER(X188)),(V188-X188)^2,"")</f>
        <v/>
      </c>
      <c r="Z188" s="5">
        <f>IF(U188,1+SUMPRODUCT(--(calc!$U$3:$U$306=TRUE),--(calc!$V$3:$V$306&gt;V188))+(SUMPRODUCT(--(calc!$U$3:$U$306=TRUE),--(calc!$V$3:$V$306=V188))-1)/2,"")</f>
        <v/>
      </c>
      <c r="AA188" s="5">
        <f>IF(U188,1+SUMPRODUCT(--(calc!$U$3:$U$306=TRUE),--(calc!$W$3:$W$306&gt;W188))+(SUMPRODUCT(--(calc!$U$3:$U$306=TRUE),--(calc!$W$3:$W$306=W188))-1)/2,"")</f>
        <v/>
      </c>
      <c r="AB188" s="5">
        <f>IF(U188,SUMPRODUCT(--(calc!$U$3:$U$306=TRUE),--(ROW(calc!$U$3:$U$306)&gt;ROW(U188)),--(((calc!$Z$3:$Z$306&gt;Z188)*(calc!$AA$3:$AA$306&gt;AA188)+(calc!$Z$3:$Z$306&lt;Z188)*(calc!$AA$3:$AA$306&lt;AA188))&gt;0))-SUMPRODUCT(--(calc!$U$3:$U$306=TRUE),--(ROW(calc!$U$3:$U$306)&gt;ROW(U188)),--(((calc!$Z$3:$Z$306&gt;Z188)*(calc!$AA$3:$AA$306&lt;AA188)+(calc!$Z$3:$Z$306&lt;Z188)*(calc!$AA$3:$AA$306&gt;AA188))&gt;0)),0)</f>
        <v/>
      </c>
      <c r="AC188" s="5">
        <f>IF(mos_metrics!I187="","",mos_metrics!I187)</f>
        <v/>
      </c>
      <c r="AD188" s="2">
        <f>AND($J188,ISNUMBER(AC188),correlation!$I$28=1)</f>
        <v/>
      </c>
      <c r="AE188" s="5">
        <f>IF(AD188,$F188,"")</f>
        <v/>
      </c>
      <c r="AF188" s="5">
        <f>IF(AD188,AC188*correlation!$J$28,"")</f>
        <v/>
      </c>
      <c r="AG188" s="5">
        <f>IF(AND(AD188,ISNUMBER(correlation!$F$28)),AF188*correlation!$F$28+correlation!$G$28,"")</f>
        <v/>
      </c>
      <c r="AH188" s="5">
        <f>IF(AND(AD188,ISNUMBER(AG188)),(AE188-AG188)^2,"")</f>
        <v/>
      </c>
      <c r="AI188" s="5">
        <f>IF(AD188,1+SUMPRODUCT(--(calc!$AD$3:$AD$306=TRUE),--(calc!$AE$3:$AE$306&gt;AE188))+(SUMPRODUCT(--(calc!$AD$3:$AD$306=TRUE),--(calc!$AE$3:$AE$306=AE188))-1)/2,"")</f>
        <v/>
      </c>
      <c r="AJ188" s="5">
        <f>IF(AD188,1+SUMPRODUCT(--(calc!$AD$3:$AD$306=TRUE),--(calc!$AF$3:$AF$306&gt;AF188))+(SUMPRODUCT(--(calc!$AD$3:$AD$306=TRUE),--(calc!$AF$3:$AF$306=AF188))-1)/2,"")</f>
        <v/>
      </c>
      <c r="AK188" s="5">
        <f>IF(AD188,SUMPRODUCT(--(calc!$AD$3:$AD$306=TRUE),--(ROW(calc!$AD$3:$AD$306)&gt;ROW(AD188)),--(((calc!$AI$3:$AI$306&gt;AI188)*(calc!$AJ$3:$AJ$306&gt;AJ188)+(calc!$AI$3:$AI$306&lt;AI188)*(calc!$AJ$3:$AJ$306&lt;AJ188))&gt;0))-SUMPRODUCT(--(calc!$AD$3:$AD$306=TRUE),--(ROW(calc!$AD$3:$AD$306)&gt;ROW(AD188)),--(((calc!$AI$3:$AI$306&gt;AI188)*(calc!$AJ$3:$AJ$306&lt;AJ188)+(calc!$AI$3:$AI$306&lt;AI188)*(calc!$AJ$3:$AJ$306&gt;AJ188))&gt;0)),0)</f>
        <v/>
      </c>
      <c r="AL188" s="5">
        <f>IF(mos_metrics!J187="","",mos_metrics!J187)</f>
        <v/>
      </c>
      <c r="AM188" s="2">
        <f>AND($J188,ISNUMBER(AL188),correlation!$I$29=1)</f>
        <v/>
      </c>
      <c r="AN188" s="5">
        <f>IF(AM188,$F188,"")</f>
        <v/>
      </c>
      <c r="AO188" s="5">
        <f>IF(AM188,AL188*correlation!$J$29,"")</f>
        <v/>
      </c>
      <c r="AP188" s="5">
        <f>IF(AND(AM188,ISNUMBER(correlation!$F$29)),AO188*correlation!$F$29+correlation!$G$29,"")</f>
        <v/>
      </c>
      <c r="AQ188" s="5">
        <f>IF(AND(AM188,ISNUMBER(AP188)),(AN188-AP188)^2,"")</f>
        <v/>
      </c>
      <c r="AR188" s="5">
        <f>IF(AM188,1+SUMPRODUCT(--(calc!$AM$3:$AM$306=TRUE),--(calc!$AN$3:$AN$306&gt;AN188))+(SUMPRODUCT(--(calc!$AM$3:$AM$306=TRUE),--(calc!$AN$3:$AN$306=AN188))-1)/2,"")</f>
        <v/>
      </c>
      <c r="AS188" s="5">
        <f>IF(AM188,1+SUMPRODUCT(--(calc!$AM$3:$AM$306=TRUE),--(calc!$AO$3:$AO$306&gt;AO188))+(SUMPRODUCT(--(calc!$AM$3:$AM$306=TRUE),--(calc!$AO$3:$AO$306=AO188))-1)/2,"")</f>
        <v/>
      </c>
      <c r="AT188" s="5">
        <f>IF(AM188,SUMPRODUCT(--(calc!$AM$3:$AM$306=TRUE),--(ROW(calc!$AM$3:$AM$306)&gt;ROW(AM188)),--(((calc!$AR$3:$AR$306&gt;AR188)*(calc!$AS$3:$AS$306&gt;AS188)+(calc!$AR$3:$AR$306&lt;AR188)*(calc!$AS$3:$AS$306&lt;AS188))&gt;0))-SUMPRODUCT(--(calc!$AM$3:$AM$306=TRUE),--(ROW(calc!$AM$3:$AM$306)&gt;ROW(AM188)),--(((calc!$AR$3:$AR$306&gt;AR188)*(calc!$AS$3:$AS$306&lt;AS188)+(calc!$AR$3:$AR$306&lt;AR188)*(calc!$AS$3:$AS$306&gt;AS188))&gt;0)),0)</f>
        <v/>
      </c>
      <c r="AU188" s="5">
        <f>IF(mos_metrics!K187="","",mos_metrics!K187)</f>
        <v/>
      </c>
      <c r="AV188" s="2">
        <f>AND($J188,ISNUMBER(AU188),correlation!$I$30=1)</f>
        <v/>
      </c>
      <c r="AW188" s="5">
        <f>IF(AV188,$F188,"")</f>
        <v/>
      </c>
      <c r="AX188" s="5">
        <f>IF(AV188,AU188*correlation!$J$30,"")</f>
        <v/>
      </c>
      <c r="AY188" s="5">
        <f>IF(AND(AV188,ISNUMBER(correlation!$F$30)),AX188*correlation!$F$30+correlation!$G$30,"")</f>
        <v/>
      </c>
      <c r="AZ188" s="5">
        <f>IF(AND(AV188,ISNUMBER(AY188)),(AW188-AY188)^2,"")</f>
        <v/>
      </c>
      <c r="BA188" s="5">
        <f>IF(AV188,1+SUMPRODUCT(--(calc!$AV$3:$AV$306=TRUE),--(calc!$AW$3:$AW$306&gt;AW188))+(SUMPRODUCT(--(calc!$AV$3:$AV$306=TRUE),--(calc!$AW$3:$AW$306=AW188))-1)/2,"")</f>
        <v/>
      </c>
      <c r="BB188" s="5">
        <f>IF(AV188,1+SUMPRODUCT(--(calc!$AV$3:$AV$306=TRUE),--(calc!$AX$3:$AX$306&gt;AX188))+(SUMPRODUCT(--(calc!$AV$3:$AV$306=TRUE),--(calc!$AX$3:$AX$306=AX188))-1)/2,"")</f>
        <v/>
      </c>
      <c r="BC188" s="5">
        <f>IF(AV188,SUMPRODUCT(--(calc!$AV$3:$AV$306=TRUE),--(ROW(calc!$AV$3:$AV$306)&gt;ROW(AV188)),--(((calc!$BA$3:$BA$306&gt;BA188)*(calc!$BB$3:$BB$306&gt;BB188)+(calc!$BA$3:$BA$306&lt;BA188)*(calc!$BB$3:$BB$306&lt;BB188))&gt;0))-SUMPRODUCT(--(calc!$AV$3:$AV$306=TRUE),--(ROW(calc!$AV$3:$AV$306)&gt;ROW(AV188)),--(((calc!$BA$3:$BA$306&gt;BA188)*(calc!$BB$3:$BB$306&lt;BB188)+(calc!$BA$3:$BA$306&lt;BA188)*(calc!$BB$3:$BB$306&gt;BB188))&gt;0)),0)</f>
        <v/>
      </c>
      <c r="BD188" s="5">
        <f>IF(mos_metrics!L187="","",mos_metrics!L187)</f>
        <v/>
      </c>
      <c r="BE188" s="2">
        <f>AND($J188,ISNUMBER(BD188),correlation!$I$31=1)</f>
        <v/>
      </c>
      <c r="BF188" s="5">
        <f>IF(BE188,$F188,"")</f>
        <v/>
      </c>
      <c r="BG188" s="5">
        <f>IF(BE188,BD188*correlation!$J$31,"")</f>
        <v/>
      </c>
      <c r="BH188" s="5">
        <f>IF(AND(BE188,ISNUMBER(correlation!$F$31)),BG188*correlation!$F$31+correlation!$G$31,"")</f>
        <v/>
      </c>
      <c r="BI188" s="5">
        <f>IF(AND(BE188,ISNUMBER(BH188)),(BF188-BH188)^2,"")</f>
        <v/>
      </c>
      <c r="BJ188" s="5">
        <f>IF(BE188,1+SUMPRODUCT(--(calc!$BE$3:$BE$306=TRUE),--(calc!$BF$3:$BF$306&gt;BF188))+(SUMPRODUCT(--(calc!$BE$3:$BE$306=TRUE),--(calc!$BF$3:$BF$306=BF188))-1)/2,"")</f>
        <v/>
      </c>
      <c r="BK188" s="5">
        <f>IF(BE188,1+SUMPRODUCT(--(calc!$BE$3:$BE$306=TRUE),--(calc!$BG$3:$BG$306&gt;BG188))+(SUMPRODUCT(--(calc!$BE$3:$BE$306=TRUE),--(calc!$BG$3:$BG$306=BG188))-1)/2,"")</f>
        <v/>
      </c>
      <c r="BL188" s="5">
        <f>IF(BE188,SUMPRODUCT(--(calc!$BE$3:$BE$306=TRUE),--(ROW(calc!$BE$3:$BE$306)&gt;ROW(BE188)),--(((calc!$BJ$3:$BJ$306&gt;BJ188)*(calc!$BK$3:$BK$306&gt;BK188)+(calc!$BJ$3:$BJ$306&lt;BJ188)*(calc!$BK$3:$BK$306&lt;BK188))&gt;0))-SUMPRODUCT(--(calc!$BE$3:$BE$306=TRUE),--(ROW(calc!$BE$3:$BE$306)&gt;ROW(BE188)),--(((calc!$BJ$3:$BJ$306&gt;BJ188)*(calc!$BK$3:$BK$306&lt;BK188)+(calc!$BJ$3:$BJ$306&lt;BJ188)*(calc!$BK$3:$BK$306&gt;BK188))&gt;0)),0)</f>
        <v/>
      </c>
      <c r="BM188" s="5">
        <f>IF(mos_metrics!M187="","",mos_metrics!M187)</f>
        <v/>
      </c>
      <c r="BN188" s="2">
        <f>AND($J188,ISNUMBER(BM188),correlation!$I$32=1)</f>
        <v/>
      </c>
      <c r="BO188" s="5">
        <f>IF(BN188,$F188,"")</f>
        <v/>
      </c>
      <c r="BP188" s="5">
        <f>IF(BN188,BM188*correlation!$J$32,"")</f>
        <v/>
      </c>
      <c r="BQ188" s="5">
        <f>IF(AND(BN188,ISNUMBER(correlation!$F$32)),BP188*correlation!$F$32+correlation!$G$32,"")</f>
        <v/>
      </c>
      <c r="BR188" s="5">
        <f>IF(AND(BN188,ISNUMBER(BQ188)),(BO188-BQ188)^2,"")</f>
        <v/>
      </c>
      <c r="BS188" s="5">
        <f>IF(BN188,1+SUMPRODUCT(--(calc!$BN$3:$BN$306=TRUE),--(calc!$BO$3:$BO$306&gt;BO188))+(SUMPRODUCT(--(calc!$BN$3:$BN$306=TRUE),--(calc!$BO$3:$BO$306=BO188))-1)/2,"")</f>
        <v/>
      </c>
      <c r="BT188" s="5">
        <f>IF(BN188,1+SUMPRODUCT(--(calc!$BN$3:$BN$306=TRUE),--(calc!$BP$3:$BP$306&gt;BP188))+(SUMPRODUCT(--(calc!$BN$3:$BN$306=TRUE),--(calc!$BP$3:$BP$306=BP188))-1)/2,"")</f>
        <v/>
      </c>
      <c r="BU188" s="5">
        <f>IF(BN188,SUMPRODUCT(--(calc!$BN$3:$BN$306=TRUE),--(ROW(calc!$BN$3:$BN$306)&gt;ROW(BN188)),--(((calc!$BS$3:$BS$306&gt;BS188)*(calc!$BT$3:$BT$306&gt;BT188)+(calc!$BS$3:$BS$306&lt;BS188)*(calc!$BT$3:$BT$306&lt;BT188))&gt;0))-SUMPRODUCT(--(calc!$BN$3:$BN$306=TRUE),--(ROW(calc!$BN$3:$BN$306)&gt;ROW(BN188)),--(((calc!$BS$3:$BS$306&gt;BS188)*(calc!$BT$3:$BT$306&lt;BT188)+(calc!$BS$3:$BS$306&lt;BS188)*(calc!$BT$3:$BT$306&gt;BT188))&gt;0)),0)</f>
        <v/>
      </c>
    </row>
    <row r="189">
      <c r="A189" s="2">
        <f>mos_metrics!A188</f>
        <v/>
      </c>
      <c r="B189" s="2">
        <f>mos_metrics!B188</f>
        <v/>
      </c>
      <c r="C189" s="2">
        <f>mos_metrics!C188</f>
        <v/>
      </c>
      <c r="D189" s="2">
        <f>mos_metrics!D188</f>
        <v/>
      </c>
      <c r="E189" s="2">
        <f>mos_metrics!E188</f>
        <v/>
      </c>
      <c r="F189" s="2">
        <f>mos_metrics!F188</f>
        <v/>
      </c>
      <c r="G189" s="2">
        <f>IF($B189="","",IFERROR(VLOOKUP($B189,correlation!$A$2:$B$16,2,FALSE),1))</f>
        <v/>
      </c>
      <c r="H189" s="2">
        <f>IF($E189="","",IFERROR(VLOOKUP($E189,correlation!$D$2:$E$8,2,FALSE),1))</f>
        <v/>
      </c>
      <c r="I189" s="2">
        <f>ISNUMBER($F189)</f>
        <v/>
      </c>
      <c r="J189" s="2">
        <f>AND($G189=1,$H189=1,$I189)</f>
        <v/>
      </c>
      <c r="K189" s="5">
        <f>IF(mos_metrics!G188="","",mos_metrics!G188)</f>
        <v/>
      </c>
      <c r="L189" s="2">
        <f>AND($J189,ISNUMBER(K189),correlation!$I$26=1)</f>
        <v/>
      </c>
      <c r="M189" s="5">
        <f>IF(L189,$F189,"")</f>
        <v/>
      </c>
      <c r="N189" s="5">
        <f>IF(L189,K189*correlation!$J$26,"")</f>
        <v/>
      </c>
      <c r="O189" s="5">
        <f>IF(AND(L189,ISNUMBER(correlation!$F$26)),N189*correlation!$F$26+correlation!$G$26,"")</f>
        <v/>
      </c>
      <c r="P189" s="5">
        <f>IF(AND(L189,ISNUMBER(O189)),(M189-O189)^2,"")</f>
        <v/>
      </c>
      <c r="Q189" s="5">
        <f>IF(L189,1+SUMPRODUCT(--(calc!$L$3:$L$306=TRUE),--(calc!$M$3:$M$306&gt;M189))+(SUMPRODUCT(--(calc!$L$3:$L$306=TRUE),--(calc!$M$3:$M$306=M189))-1)/2,"")</f>
        <v/>
      </c>
      <c r="R189" s="5">
        <f>IF(L189,1+SUMPRODUCT(--(calc!$L$3:$L$306=TRUE),--(calc!$N$3:$N$306&gt;N189))+(SUMPRODUCT(--(calc!$L$3:$L$306=TRUE),--(calc!$N$3:$N$306=N189))-1)/2,"")</f>
        <v/>
      </c>
      <c r="S189" s="5">
        <f>IF(L189,SUMPRODUCT(--(calc!$L$3:$L$306=TRUE),--(ROW(calc!$L$3:$L$306)&gt;ROW(L189)),--(((calc!$Q$3:$Q$306&gt;Q189)*(calc!$R$3:$R$306&gt;R189)+(calc!$Q$3:$Q$306&lt;Q189)*(calc!$R$3:$R$306&lt;R189))&gt;0))-SUMPRODUCT(--(calc!$L$3:$L$306=TRUE),--(ROW(calc!$L$3:$L$306)&gt;ROW(L189)),--(((calc!$Q$3:$Q$306&gt;Q189)*(calc!$R$3:$R$306&lt;R189)+(calc!$Q$3:$Q$306&lt;Q189)*(calc!$R$3:$R$306&gt;R189))&gt;0)),0)</f>
        <v/>
      </c>
      <c r="T189" s="5">
        <f>IF(mos_metrics!H188="","",mos_metrics!H188)</f>
        <v/>
      </c>
      <c r="U189" s="2">
        <f>AND($J189,ISNUMBER(T189),correlation!$I$27=1)</f>
        <v/>
      </c>
      <c r="V189" s="5">
        <f>IF(U189,$F189,"")</f>
        <v/>
      </c>
      <c r="W189" s="5">
        <f>IF(U189,T189*correlation!$J$27,"")</f>
        <v/>
      </c>
      <c r="X189" s="5">
        <f>IF(AND(U189,ISNUMBER(correlation!$F$27)),W189*correlation!$F$27+correlation!$G$27,"")</f>
        <v/>
      </c>
      <c r="Y189" s="5">
        <f>IF(AND(U189,ISNUMBER(X189)),(V189-X189)^2,"")</f>
        <v/>
      </c>
      <c r="Z189" s="5">
        <f>IF(U189,1+SUMPRODUCT(--(calc!$U$3:$U$306=TRUE),--(calc!$V$3:$V$306&gt;V189))+(SUMPRODUCT(--(calc!$U$3:$U$306=TRUE),--(calc!$V$3:$V$306=V189))-1)/2,"")</f>
        <v/>
      </c>
      <c r="AA189" s="5">
        <f>IF(U189,1+SUMPRODUCT(--(calc!$U$3:$U$306=TRUE),--(calc!$W$3:$W$306&gt;W189))+(SUMPRODUCT(--(calc!$U$3:$U$306=TRUE),--(calc!$W$3:$W$306=W189))-1)/2,"")</f>
        <v/>
      </c>
      <c r="AB189" s="5">
        <f>IF(U189,SUMPRODUCT(--(calc!$U$3:$U$306=TRUE),--(ROW(calc!$U$3:$U$306)&gt;ROW(U189)),--(((calc!$Z$3:$Z$306&gt;Z189)*(calc!$AA$3:$AA$306&gt;AA189)+(calc!$Z$3:$Z$306&lt;Z189)*(calc!$AA$3:$AA$306&lt;AA189))&gt;0))-SUMPRODUCT(--(calc!$U$3:$U$306=TRUE),--(ROW(calc!$U$3:$U$306)&gt;ROW(U189)),--(((calc!$Z$3:$Z$306&gt;Z189)*(calc!$AA$3:$AA$306&lt;AA189)+(calc!$Z$3:$Z$306&lt;Z189)*(calc!$AA$3:$AA$306&gt;AA189))&gt;0)),0)</f>
        <v/>
      </c>
      <c r="AC189" s="5">
        <f>IF(mos_metrics!I188="","",mos_metrics!I188)</f>
        <v/>
      </c>
      <c r="AD189" s="2">
        <f>AND($J189,ISNUMBER(AC189),correlation!$I$28=1)</f>
        <v/>
      </c>
      <c r="AE189" s="5">
        <f>IF(AD189,$F189,"")</f>
        <v/>
      </c>
      <c r="AF189" s="5">
        <f>IF(AD189,AC189*correlation!$J$28,"")</f>
        <v/>
      </c>
      <c r="AG189" s="5">
        <f>IF(AND(AD189,ISNUMBER(correlation!$F$28)),AF189*correlation!$F$28+correlation!$G$28,"")</f>
        <v/>
      </c>
      <c r="AH189" s="5">
        <f>IF(AND(AD189,ISNUMBER(AG189)),(AE189-AG189)^2,"")</f>
        <v/>
      </c>
      <c r="AI189" s="5">
        <f>IF(AD189,1+SUMPRODUCT(--(calc!$AD$3:$AD$306=TRUE),--(calc!$AE$3:$AE$306&gt;AE189))+(SUMPRODUCT(--(calc!$AD$3:$AD$306=TRUE),--(calc!$AE$3:$AE$306=AE189))-1)/2,"")</f>
        <v/>
      </c>
      <c r="AJ189" s="5">
        <f>IF(AD189,1+SUMPRODUCT(--(calc!$AD$3:$AD$306=TRUE),--(calc!$AF$3:$AF$306&gt;AF189))+(SUMPRODUCT(--(calc!$AD$3:$AD$306=TRUE),--(calc!$AF$3:$AF$306=AF189))-1)/2,"")</f>
        <v/>
      </c>
      <c r="AK189" s="5">
        <f>IF(AD189,SUMPRODUCT(--(calc!$AD$3:$AD$306=TRUE),--(ROW(calc!$AD$3:$AD$306)&gt;ROW(AD189)),--(((calc!$AI$3:$AI$306&gt;AI189)*(calc!$AJ$3:$AJ$306&gt;AJ189)+(calc!$AI$3:$AI$306&lt;AI189)*(calc!$AJ$3:$AJ$306&lt;AJ189))&gt;0))-SUMPRODUCT(--(calc!$AD$3:$AD$306=TRUE),--(ROW(calc!$AD$3:$AD$306)&gt;ROW(AD189)),--(((calc!$AI$3:$AI$306&gt;AI189)*(calc!$AJ$3:$AJ$306&lt;AJ189)+(calc!$AI$3:$AI$306&lt;AI189)*(calc!$AJ$3:$AJ$306&gt;AJ189))&gt;0)),0)</f>
        <v/>
      </c>
      <c r="AL189" s="5">
        <f>IF(mos_metrics!J188="","",mos_metrics!J188)</f>
        <v/>
      </c>
      <c r="AM189" s="2">
        <f>AND($J189,ISNUMBER(AL189),correlation!$I$29=1)</f>
        <v/>
      </c>
      <c r="AN189" s="5">
        <f>IF(AM189,$F189,"")</f>
        <v/>
      </c>
      <c r="AO189" s="5">
        <f>IF(AM189,AL189*correlation!$J$29,"")</f>
        <v/>
      </c>
      <c r="AP189" s="5">
        <f>IF(AND(AM189,ISNUMBER(correlation!$F$29)),AO189*correlation!$F$29+correlation!$G$29,"")</f>
        <v/>
      </c>
      <c r="AQ189" s="5">
        <f>IF(AND(AM189,ISNUMBER(AP189)),(AN189-AP189)^2,"")</f>
        <v/>
      </c>
      <c r="AR189" s="5">
        <f>IF(AM189,1+SUMPRODUCT(--(calc!$AM$3:$AM$306=TRUE),--(calc!$AN$3:$AN$306&gt;AN189))+(SUMPRODUCT(--(calc!$AM$3:$AM$306=TRUE),--(calc!$AN$3:$AN$306=AN189))-1)/2,"")</f>
        <v/>
      </c>
      <c r="AS189" s="5">
        <f>IF(AM189,1+SUMPRODUCT(--(calc!$AM$3:$AM$306=TRUE),--(calc!$AO$3:$AO$306&gt;AO189))+(SUMPRODUCT(--(calc!$AM$3:$AM$306=TRUE),--(calc!$AO$3:$AO$306=AO189))-1)/2,"")</f>
        <v/>
      </c>
      <c r="AT189" s="5">
        <f>IF(AM189,SUMPRODUCT(--(calc!$AM$3:$AM$306=TRUE),--(ROW(calc!$AM$3:$AM$306)&gt;ROW(AM189)),--(((calc!$AR$3:$AR$306&gt;AR189)*(calc!$AS$3:$AS$306&gt;AS189)+(calc!$AR$3:$AR$306&lt;AR189)*(calc!$AS$3:$AS$306&lt;AS189))&gt;0))-SUMPRODUCT(--(calc!$AM$3:$AM$306=TRUE),--(ROW(calc!$AM$3:$AM$306)&gt;ROW(AM189)),--(((calc!$AR$3:$AR$306&gt;AR189)*(calc!$AS$3:$AS$306&lt;AS189)+(calc!$AR$3:$AR$306&lt;AR189)*(calc!$AS$3:$AS$306&gt;AS189))&gt;0)),0)</f>
        <v/>
      </c>
      <c r="AU189" s="5">
        <f>IF(mos_metrics!K188="","",mos_metrics!K188)</f>
        <v/>
      </c>
      <c r="AV189" s="2">
        <f>AND($J189,ISNUMBER(AU189),correlation!$I$30=1)</f>
        <v/>
      </c>
      <c r="AW189" s="5">
        <f>IF(AV189,$F189,"")</f>
        <v/>
      </c>
      <c r="AX189" s="5">
        <f>IF(AV189,AU189*correlation!$J$30,"")</f>
        <v/>
      </c>
      <c r="AY189" s="5">
        <f>IF(AND(AV189,ISNUMBER(correlation!$F$30)),AX189*correlation!$F$30+correlation!$G$30,"")</f>
        <v/>
      </c>
      <c r="AZ189" s="5">
        <f>IF(AND(AV189,ISNUMBER(AY189)),(AW189-AY189)^2,"")</f>
        <v/>
      </c>
      <c r="BA189" s="5">
        <f>IF(AV189,1+SUMPRODUCT(--(calc!$AV$3:$AV$306=TRUE),--(calc!$AW$3:$AW$306&gt;AW189))+(SUMPRODUCT(--(calc!$AV$3:$AV$306=TRUE),--(calc!$AW$3:$AW$306=AW189))-1)/2,"")</f>
        <v/>
      </c>
      <c r="BB189" s="5">
        <f>IF(AV189,1+SUMPRODUCT(--(calc!$AV$3:$AV$306=TRUE),--(calc!$AX$3:$AX$306&gt;AX189))+(SUMPRODUCT(--(calc!$AV$3:$AV$306=TRUE),--(calc!$AX$3:$AX$306=AX189))-1)/2,"")</f>
        <v/>
      </c>
      <c r="BC189" s="5">
        <f>IF(AV189,SUMPRODUCT(--(calc!$AV$3:$AV$306=TRUE),--(ROW(calc!$AV$3:$AV$306)&gt;ROW(AV189)),--(((calc!$BA$3:$BA$306&gt;BA189)*(calc!$BB$3:$BB$306&gt;BB189)+(calc!$BA$3:$BA$306&lt;BA189)*(calc!$BB$3:$BB$306&lt;BB189))&gt;0))-SUMPRODUCT(--(calc!$AV$3:$AV$306=TRUE),--(ROW(calc!$AV$3:$AV$306)&gt;ROW(AV189)),--(((calc!$BA$3:$BA$306&gt;BA189)*(calc!$BB$3:$BB$306&lt;BB189)+(calc!$BA$3:$BA$306&lt;BA189)*(calc!$BB$3:$BB$306&gt;BB189))&gt;0)),0)</f>
        <v/>
      </c>
      <c r="BD189" s="5">
        <f>IF(mos_metrics!L188="","",mos_metrics!L188)</f>
        <v/>
      </c>
      <c r="BE189" s="2">
        <f>AND($J189,ISNUMBER(BD189),correlation!$I$31=1)</f>
        <v/>
      </c>
      <c r="BF189" s="5">
        <f>IF(BE189,$F189,"")</f>
        <v/>
      </c>
      <c r="BG189" s="5">
        <f>IF(BE189,BD189*correlation!$J$31,"")</f>
        <v/>
      </c>
      <c r="BH189" s="5">
        <f>IF(AND(BE189,ISNUMBER(correlation!$F$31)),BG189*correlation!$F$31+correlation!$G$31,"")</f>
        <v/>
      </c>
      <c r="BI189" s="5">
        <f>IF(AND(BE189,ISNUMBER(BH189)),(BF189-BH189)^2,"")</f>
        <v/>
      </c>
      <c r="BJ189" s="5">
        <f>IF(BE189,1+SUMPRODUCT(--(calc!$BE$3:$BE$306=TRUE),--(calc!$BF$3:$BF$306&gt;BF189))+(SUMPRODUCT(--(calc!$BE$3:$BE$306=TRUE),--(calc!$BF$3:$BF$306=BF189))-1)/2,"")</f>
        <v/>
      </c>
      <c r="BK189" s="5">
        <f>IF(BE189,1+SUMPRODUCT(--(calc!$BE$3:$BE$306=TRUE),--(calc!$BG$3:$BG$306&gt;BG189))+(SUMPRODUCT(--(calc!$BE$3:$BE$306=TRUE),--(calc!$BG$3:$BG$306=BG189))-1)/2,"")</f>
        <v/>
      </c>
      <c r="BL189" s="5">
        <f>IF(BE189,SUMPRODUCT(--(calc!$BE$3:$BE$306=TRUE),--(ROW(calc!$BE$3:$BE$306)&gt;ROW(BE189)),--(((calc!$BJ$3:$BJ$306&gt;BJ189)*(calc!$BK$3:$BK$306&gt;BK189)+(calc!$BJ$3:$BJ$306&lt;BJ189)*(calc!$BK$3:$BK$306&lt;BK189))&gt;0))-SUMPRODUCT(--(calc!$BE$3:$BE$306=TRUE),--(ROW(calc!$BE$3:$BE$306)&gt;ROW(BE189)),--(((calc!$BJ$3:$BJ$306&gt;BJ189)*(calc!$BK$3:$BK$306&lt;BK189)+(calc!$BJ$3:$BJ$306&lt;BJ189)*(calc!$BK$3:$BK$306&gt;BK189))&gt;0)),0)</f>
        <v/>
      </c>
      <c r="BM189" s="5">
        <f>IF(mos_metrics!M188="","",mos_metrics!M188)</f>
        <v/>
      </c>
      <c r="BN189" s="2">
        <f>AND($J189,ISNUMBER(BM189),correlation!$I$32=1)</f>
        <v/>
      </c>
      <c r="BO189" s="5">
        <f>IF(BN189,$F189,"")</f>
        <v/>
      </c>
      <c r="BP189" s="5">
        <f>IF(BN189,BM189*correlation!$J$32,"")</f>
        <v/>
      </c>
      <c r="BQ189" s="5">
        <f>IF(AND(BN189,ISNUMBER(correlation!$F$32)),BP189*correlation!$F$32+correlation!$G$32,"")</f>
        <v/>
      </c>
      <c r="BR189" s="5">
        <f>IF(AND(BN189,ISNUMBER(BQ189)),(BO189-BQ189)^2,"")</f>
        <v/>
      </c>
      <c r="BS189" s="5">
        <f>IF(BN189,1+SUMPRODUCT(--(calc!$BN$3:$BN$306=TRUE),--(calc!$BO$3:$BO$306&gt;BO189))+(SUMPRODUCT(--(calc!$BN$3:$BN$306=TRUE),--(calc!$BO$3:$BO$306=BO189))-1)/2,"")</f>
        <v/>
      </c>
      <c r="BT189" s="5">
        <f>IF(BN189,1+SUMPRODUCT(--(calc!$BN$3:$BN$306=TRUE),--(calc!$BP$3:$BP$306&gt;BP189))+(SUMPRODUCT(--(calc!$BN$3:$BN$306=TRUE),--(calc!$BP$3:$BP$306=BP189))-1)/2,"")</f>
        <v/>
      </c>
      <c r="BU189" s="5">
        <f>IF(BN189,SUMPRODUCT(--(calc!$BN$3:$BN$306=TRUE),--(ROW(calc!$BN$3:$BN$306)&gt;ROW(BN189)),--(((calc!$BS$3:$BS$306&gt;BS189)*(calc!$BT$3:$BT$306&gt;BT189)+(calc!$BS$3:$BS$306&lt;BS189)*(calc!$BT$3:$BT$306&lt;BT189))&gt;0))-SUMPRODUCT(--(calc!$BN$3:$BN$306=TRUE),--(ROW(calc!$BN$3:$BN$306)&gt;ROW(BN189)),--(((calc!$BS$3:$BS$306&gt;BS189)*(calc!$BT$3:$BT$306&lt;BT189)+(calc!$BS$3:$BS$306&lt;BS189)*(calc!$BT$3:$BT$306&gt;BT189))&gt;0)),0)</f>
        <v/>
      </c>
    </row>
    <row r="190">
      <c r="A190" s="2">
        <f>mos_metrics!A189</f>
        <v/>
      </c>
      <c r="B190" s="2">
        <f>mos_metrics!B189</f>
        <v/>
      </c>
      <c r="C190" s="2">
        <f>mos_metrics!C189</f>
        <v/>
      </c>
      <c r="D190" s="2">
        <f>mos_metrics!D189</f>
        <v/>
      </c>
      <c r="E190" s="2">
        <f>mos_metrics!E189</f>
        <v/>
      </c>
      <c r="F190" s="2">
        <f>mos_metrics!F189</f>
        <v/>
      </c>
      <c r="G190" s="2">
        <f>IF($B190="","",IFERROR(VLOOKUP($B190,correlation!$A$2:$B$16,2,FALSE),1))</f>
        <v/>
      </c>
      <c r="H190" s="2">
        <f>IF($E190="","",IFERROR(VLOOKUP($E190,correlation!$D$2:$E$8,2,FALSE),1))</f>
        <v/>
      </c>
      <c r="I190" s="2">
        <f>ISNUMBER($F190)</f>
        <v/>
      </c>
      <c r="J190" s="2">
        <f>AND($G190=1,$H190=1,$I190)</f>
        <v/>
      </c>
      <c r="K190" s="5">
        <f>IF(mos_metrics!G189="","",mos_metrics!G189)</f>
        <v/>
      </c>
      <c r="L190" s="2">
        <f>AND($J190,ISNUMBER(K190),correlation!$I$26=1)</f>
        <v/>
      </c>
      <c r="M190" s="5">
        <f>IF(L190,$F190,"")</f>
        <v/>
      </c>
      <c r="N190" s="5">
        <f>IF(L190,K190*correlation!$J$26,"")</f>
        <v/>
      </c>
      <c r="O190" s="5">
        <f>IF(AND(L190,ISNUMBER(correlation!$F$26)),N190*correlation!$F$26+correlation!$G$26,"")</f>
        <v/>
      </c>
      <c r="P190" s="5">
        <f>IF(AND(L190,ISNUMBER(O190)),(M190-O190)^2,"")</f>
        <v/>
      </c>
      <c r="Q190" s="5">
        <f>IF(L190,1+SUMPRODUCT(--(calc!$L$3:$L$306=TRUE),--(calc!$M$3:$M$306&gt;M190))+(SUMPRODUCT(--(calc!$L$3:$L$306=TRUE),--(calc!$M$3:$M$306=M190))-1)/2,"")</f>
        <v/>
      </c>
      <c r="R190" s="5">
        <f>IF(L190,1+SUMPRODUCT(--(calc!$L$3:$L$306=TRUE),--(calc!$N$3:$N$306&gt;N190))+(SUMPRODUCT(--(calc!$L$3:$L$306=TRUE),--(calc!$N$3:$N$306=N190))-1)/2,"")</f>
        <v/>
      </c>
      <c r="S190" s="5">
        <f>IF(L190,SUMPRODUCT(--(calc!$L$3:$L$306=TRUE),--(ROW(calc!$L$3:$L$306)&gt;ROW(L190)),--(((calc!$Q$3:$Q$306&gt;Q190)*(calc!$R$3:$R$306&gt;R190)+(calc!$Q$3:$Q$306&lt;Q190)*(calc!$R$3:$R$306&lt;R190))&gt;0))-SUMPRODUCT(--(calc!$L$3:$L$306=TRUE),--(ROW(calc!$L$3:$L$306)&gt;ROW(L190)),--(((calc!$Q$3:$Q$306&gt;Q190)*(calc!$R$3:$R$306&lt;R190)+(calc!$Q$3:$Q$306&lt;Q190)*(calc!$R$3:$R$306&gt;R190))&gt;0)),0)</f>
        <v/>
      </c>
      <c r="T190" s="5">
        <f>IF(mos_metrics!H189="","",mos_metrics!H189)</f>
        <v/>
      </c>
      <c r="U190" s="2">
        <f>AND($J190,ISNUMBER(T190),correlation!$I$27=1)</f>
        <v/>
      </c>
      <c r="V190" s="5">
        <f>IF(U190,$F190,"")</f>
        <v/>
      </c>
      <c r="W190" s="5">
        <f>IF(U190,T190*correlation!$J$27,"")</f>
        <v/>
      </c>
      <c r="X190" s="5">
        <f>IF(AND(U190,ISNUMBER(correlation!$F$27)),W190*correlation!$F$27+correlation!$G$27,"")</f>
        <v/>
      </c>
      <c r="Y190" s="5">
        <f>IF(AND(U190,ISNUMBER(X190)),(V190-X190)^2,"")</f>
        <v/>
      </c>
      <c r="Z190" s="5">
        <f>IF(U190,1+SUMPRODUCT(--(calc!$U$3:$U$306=TRUE),--(calc!$V$3:$V$306&gt;V190))+(SUMPRODUCT(--(calc!$U$3:$U$306=TRUE),--(calc!$V$3:$V$306=V190))-1)/2,"")</f>
        <v/>
      </c>
      <c r="AA190" s="5">
        <f>IF(U190,1+SUMPRODUCT(--(calc!$U$3:$U$306=TRUE),--(calc!$W$3:$W$306&gt;W190))+(SUMPRODUCT(--(calc!$U$3:$U$306=TRUE),--(calc!$W$3:$W$306=W190))-1)/2,"")</f>
        <v/>
      </c>
      <c r="AB190" s="5">
        <f>IF(U190,SUMPRODUCT(--(calc!$U$3:$U$306=TRUE),--(ROW(calc!$U$3:$U$306)&gt;ROW(U190)),--(((calc!$Z$3:$Z$306&gt;Z190)*(calc!$AA$3:$AA$306&gt;AA190)+(calc!$Z$3:$Z$306&lt;Z190)*(calc!$AA$3:$AA$306&lt;AA190))&gt;0))-SUMPRODUCT(--(calc!$U$3:$U$306=TRUE),--(ROW(calc!$U$3:$U$306)&gt;ROW(U190)),--(((calc!$Z$3:$Z$306&gt;Z190)*(calc!$AA$3:$AA$306&lt;AA190)+(calc!$Z$3:$Z$306&lt;Z190)*(calc!$AA$3:$AA$306&gt;AA190))&gt;0)),0)</f>
        <v/>
      </c>
      <c r="AC190" s="5">
        <f>IF(mos_metrics!I189="","",mos_metrics!I189)</f>
        <v/>
      </c>
      <c r="AD190" s="2">
        <f>AND($J190,ISNUMBER(AC190),correlation!$I$28=1)</f>
        <v/>
      </c>
      <c r="AE190" s="5">
        <f>IF(AD190,$F190,"")</f>
        <v/>
      </c>
      <c r="AF190" s="5">
        <f>IF(AD190,AC190*correlation!$J$28,"")</f>
        <v/>
      </c>
      <c r="AG190" s="5">
        <f>IF(AND(AD190,ISNUMBER(correlation!$F$28)),AF190*correlation!$F$28+correlation!$G$28,"")</f>
        <v/>
      </c>
      <c r="AH190" s="5">
        <f>IF(AND(AD190,ISNUMBER(AG190)),(AE190-AG190)^2,"")</f>
        <v/>
      </c>
      <c r="AI190" s="5">
        <f>IF(AD190,1+SUMPRODUCT(--(calc!$AD$3:$AD$306=TRUE),--(calc!$AE$3:$AE$306&gt;AE190))+(SUMPRODUCT(--(calc!$AD$3:$AD$306=TRUE),--(calc!$AE$3:$AE$306=AE190))-1)/2,"")</f>
        <v/>
      </c>
      <c r="AJ190" s="5">
        <f>IF(AD190,1+SUMPRODUCT(--(calc!$AD$3:$AD$306=TRUE),--(calc!$AF$3:$AF$306&gt;AF190))+(SUMPRODUCT(--(calc!$AD$3:$AD$306=TRUE),--(calc!$AF$3:$AF$306=AF190))-1)/2,"")</f>
        <v/>
      </c>
      <c r="AK190" s="5">
        <f>IF(AD190,SUMPRODUCT(--(calc!$AD$3:$AD$306=TRUE),--(ROW(calc!$AD$3:$AD$306)&gt;ROW(AD190)),--(((calc!$AI$3:$AI$306&gt;AI190)*(calc!$AJ$3:$AJ$306&gt;AJ190)+(calc!$AI$3:$AI$306&lt;AI190)*(calc!$AJ$3:$AJ$306&lt;AJ190))&gt;0))-SUMPRODUCT(--(calc!$AD$3:$AD$306=TRUE),--(ROW(calc!$AD$3:$AD$306)&gt;ROW(AD190)),--(((calc!$AI$3:$AI$306&gt;AI190)*(calc!$AJ$3:$AJ$306&lt;AJ190)+(calc!$AI$3:$AI$306&lt;AI190)*(calc!$AJ$3:$AJ$306&gt;AJ190))&gt;0)),0)</f>
        <v/>
      </c>
      <c r="AL190" s="5">
        <f>IF(mos_metrics!J189="","",mos_metrics!J189)</f>
        <v/>
      </c>
      <c r="AM190" s="2">
        <f>AND($J190,ISNUMBER(AL190),correlation!$I$29=1)</f>
        <v/>
      </c>
      <c r="AN190" s="5">
        <f>IF(AM190,$F190,"")</f>
        <v/>
      </c>
      <c r="AO190" s="5">
        <f>IF(AM190,AL190*correlation!$J$29,"")</f>
        <v/>
      </c>
      <c r="AP190" s="5">
        <f>IF(AND(AM190,ISNUMBER(correlation!$F$29)),AO190*correlation!$F$29+correlation!$G$29,"")</f>
        <v/>
      </c>
      <c r="AQ190" s="5">
        <f>IF(AND(AM190,ISNUMBER(AP190)),(AN190-AP190)^2,"")</f>
        <v/>
      </c>
      <c r="AR190" s="5">
        <f>IF(AM190,1+SUMPRODUCT(--(calc!$AM$3:$AM$306=TRUE),--(calc!$AN$3:$AN$306&gt;AN190))+(SUMPRODUCT(--(calc!$AM$3:$AM$306=TRUE),--(calc!$AN$3:$AN$306=AN190))-1)/2,"")</f>
        <v/>
      </c>
      <c r="AS190" s="5">
        <f>IF(AM190,1+SUMPRODUCT(--(calc!$AM$3:$AM$306=TRUE),--(calc!$AO$3:$AO$306&gt;AO190))+(SUMPRODUCT(--(calc!$AM$3:$AM$306=TRUE),--(calc!$AO$3:$AO$306=AO190))-1)/2,"")</f>
        <v/>
      </c>
      <c r="AT190" s="5">
        <f>IF(AM190,SUMPRODUCT(--(calc!$AM$3:$AM$306=TRUE),--(ROW(calc!$AM$3:$AM$306)&gt;ROW(AM190)),--(((calc!$AR$3:$AR$306&gt;AR190)*(calc!$AS$3:$AS$306&gt;AS190)+(calc!$AR$3:$AR$306&lt;AR190)*(calc!$AS$3:$AS$306&lt;AS190))&gt;0))-SUMPRODUCT(--(calc!$AM$3:$AM$306=TRUE),--(ROW(calc!$AM$3:$AM$306)&gt;ROW(AM190)),--(((calc!$AR$3:$AR$306&gt;AR190)*(calc!$AS$3:$AS$306&lt;AS190)+(calc!$AR$3:$AR$306&lt;AR190)*(calc!$AS$3:$AS$306&gt;AS190))&gt;0)),0)</f>
        <v/>
      </c>
      <c r="AU190" s="5">
        <f>IF(mos_metrics!K189="","",mos_metrics!K189)</f>
        <v/>
      </c>
      <c r="AV190" s="2">
        <f>AND($J190,ISNUMBER(AU190),correlation!$I$30=1)</f>
        <v/>
      </c>
      <c r="AW190" s="5">
        <f>IF(AV190,$F190,"")</f>
        <v/>
      </c>
      <c r="AX190" s="5">
        <f>IF(AV190,AU190*correlation!$J$30,"")</f>
        <v/>
      </c>
      <c r="AY190" s="5">
        <f>IF(AND(AV190,ISNUMBER(correlation!$F$30)),AX190*correlation!$F$30+correlation!$G$30,"")</f>
        <v/>
      </c>
      <c r="AZ190" s="5">
        <f>IF(AND(AV190,ISNUMBER(AY190)),(AW190-AY190)^2,"")</f>
        <v/>
      </c>
      <c r="BA190" s="5">
        <f>IF(AV190,1+SUMPRODUCT(--(calc!$AV$3:$AV$306=TRUE),--(calc!$AW$3:$AW$306&gt;AW190))+(SUMPRODUCT(--(calc!$AV$3:$AV$306=TRUE),--(calc!$AW$3:$AW$306=AW190))-1)/2,"")</f>
        <v/>
      </c>
      <c r="BB190" s="5">
        <f>IF(AV190,1+SUMPRODUCT(--(calc!$AV$3:$AV$306=TRUE),--(calc!$AX$3:$AX$306&gt;AX190))+(SUMPRODUCT(--(calc!$AV$3:$AV$306=TRUE),--(calc!$AX$3:$AX$306=AX190))-1)/2,"")</f>
        <v/>
      </c>
      <c r="BC190" s="5">
        <f>IF(AV190,SUMPRODUCT(--(calc!$AV$3:$AV$306=TRUE),--(ROW(calc!$AV$3:$AV$306)&gt;ROW(AV190)),--(((calc!$BA$3:$BA$306&gt;BA190)*(calc!$BB$3:$BB$306&gt;BB190)+(calc!$BA$3:$BA$306&lt;BA190)*(calc!$BB$3:$BB$306&lt;BB190))&gt;0))-SUMPRODUCT(--(calc!$AV$3:$AV$306=TRUE),--(ROW(calc!$AV$3:$AV$306)&gt;ROW(AV190)),--(((calc!$BA$3:$BA$306&gt;BA190)*(calc!$BB$3:$BB$306&lt;BB190)+(calc!$BA$3:$BA$306&lt;BA190)*(calc!$BB$3:$BB$306&gt;BB190))&gt;0)),0)</f>
        <v/>
      </c>
      <c r="BD190" s="5">
        <f>IF(mos_metrics!L189="","",mos_metrics!L189)</f>
        <v/>
      </c>
      <c r="BE190" s="2">
        <f>AND($J190,ISNUMBER(BD190),correlation!$I$31=1)</f>
        <v/>
      </c>
      <c r="BF190" s="5">
        <f>IF(BE190,$F190,"")</f>
        <v/>
      </c>
      <c r="BG190" s="5">
        <f>IF(BE190,BD190*correlation!$J$31,"")</f>
        <v/>
      </c>
      <c r="BH190" s="5">
        <f>IF(AND(BE190,ISNUMBER(correlation!$F$31)),BG190*correlation!$F$31+correlation!$G$31,"")</f>
        <v/>
      </c>
      <c r="BI190" s="5">
        <f>IF(AND(BE190,ISNUMBER(BH190)),(BF190-BH190)^2,"")</f>
        <v/>
      </c>
      <c r="BJ190" s="5">
        <f>IF(BE190,1+SUMPRODUCT(--(calc!$BE$3:$BE$306=TRUE),--(calc!$BF$3:$BF$306&gt;BF190))+(SUMPRODUCT(--(calc!$BE$3:$BE$306=TRUE),--(calc!$BF$3:$BF$306=BF190))-1)/2,"")</f>
        <v/>
      </c>
      <c r="BK190" s="5">
        <f>IF(BE190,1+SUMPRODUCT(--(calc!$BE$3:$BE$306=TRUE),--(calc!$BG$3:$BG$306&gt;BG190))+(SUMPRODUCT(--(calc!$BE$3:$BE$306=TRUE),--(calc!$BG$3:$BG$306=BG190))-1)/2,"")</f>
        <v/>
      </c>
      <c r="BL190" s="5">
        <f>IF(BE190,SUMPRODUCT(--(calc!$BE$3:$BE$306=TRUE),--(ROW(calc!$BE$3:$BE$306)&gt;ROW(BE190)),--(((calc!$BJ$3:$BJ$306&gt;BJ190)*(calc!$BK$3:$BK$306&gt;BK190)+(calc!$BJ$3:$BJ$306&lt;BJ190)*(calc!$BK$3:$BK$306&lt;BK190))&gt;0))-SUMPRODUCT(--(calc!$BE$3:$BE$306=TRUE),--(ROW(calc!$BE$3:$BE$306)&gt;ROW(BE190)),--(((calc!$BJ$3:$BJ$306&gt;BJ190)*(calc!$BK$3:$BK$306&lt;BK190)+(calc!$BJ$3:$BJ$306&lt;BJ190)*(calc!$BK$3:$BK$306&gt;BK190))&gt;0)),0)</f>
        <v/>
      </c>
      <c r="BM190" s="5">
        <f>IF(mos_metrics!M189="","",mos_metrics!M189)</f>
        <v/>
      </c>
      <c r="BN190" s="2">
        <f>AND($J190,ISNUMBER(BM190),correlation!$I$32=1)</f>
        <v/>
      </c>
      <c r="BO190" s="5">
        <f>IF(BN190,$F190,"")</f>
        <v/>
      </c>
      <c r="BP190" s="5">
        <f>IF(BN190,BM190*correlation!$J$32,"")</f>
        <v/>
      </c>
      <c r="BQ190" s="5">
        <f>IF(AND(BN190,ISNUMBER(correlation!$F$32)),BP190*correlation!$F$32+correlation!$G$32,"")</f>
        <v/>
      </c>
      <c r="BR190" s="5">
        <f>IF(AND(BN190,ISNUMBER(BQ190)),(BO190-BQ190)^2,"")</f>
        <v/>
      </c>
      <c r="BS190" s="5">
        <f>IF(BN190,1+SUMPRODUCT(--(calc!$BN$3:$BN$306=TRUE),--(calc!$BO$3:$BO$306&gt;BO190))+(SUMPRODUCT(--(calc!$BN$3:$BN$306=TRUE),--(calc!$BO$3:$BO$306=BO190))-1)/2,"")</f>
        <v/>
      </c>
      <c r="BT190" s="5">
        <f>IF(BN190,1+SUMPRODUCT(--(calc!$BN$3:$BN$306=TRUE),--(calc!$BP$3:$BP$306&gt;BP190))+(SUMPRODUCT(--(calc!$BN$3:$BN$306=TRUE),--(calc!$BP$3:$BP$306=BP190))-1)/2,"")</f>
        <v/>
      </c>
      <c r="BU190" s="5">
        <f>IF(BN190,SUMPRODUCT(--(calc!$BN$3:$BN$306=TRUE),--(ROW(calc!$BN$3:$BN$306)&gt;ROW(BN190)),--(((calc!$BS$3:$BS$306&gt;BS190)*(calc!$BT$3:$BT$306&gt;BT190)+(calc!$BS$3:$BS$306&lt;BS190)*(calc!$BT$3:$BT$306&lt;BT190))&gt;0))-SUMPRODUCT(--(calc!$BN$3:$BN$306=TRUE),--(ROW(calc!$BN$3:$BN$306)&gt;ROW(BN190)),--(((calc!$BS$3:$BS$306&gt;BS190)*(calc!$BT$3:$BT$306&lt;BT190)+(calc!$BS$3:$BS$306&lt;BS190)*(calc!$BT$3:$BT$306&gt;BT190))&gt;0)),0)</f>
        <v/>
      </c>
    </row>
    <row r="191">
      <c r="A191" s="2">
        <f>mos_metrics!A190</f>
        <v/>
      </c>
      <c r="B191" s="2">
        <f>mos_metrics!B190</f>
        <v/>
      </c>
      <c r="C191" s="2">
        <f>mos_metrics!C190</f>
        <v/>
      </c>
      <c r="D191" s="2">
        <f>mos_metrics!D190</f>
        <v/>
      </c>
      <c r="E191" s="2">
        <f>mos_metrics!E190</f>
        <v/>
      </c>
      <c r="F191" s="2">
        <f>mos_metrics!F190</f>
        <v/>
      </c>
      <c r="G191" s="2">
        <f>IF($B191="","",IFERROR(VLOOKUP($B191,correlation!$A$2:$B$16,2,FALSE),1))</f>
        <v/>
      </c>
      <c r="H191" s="2">
        <f>IF($E191="","",IFERROR(VLOOKUP($E191,correlation!$D$2:$E$8,2,FALSE),1))</f>
        <v/>
      </c>
      <c r="I191" s="2">
        <f>ISNUMBER($F191)</f>
        <v/>
      </c>
      <c r="J191" s="2">
        <f>AND($G191=1,$H191=1,$I191)</f>
        <v/>
      </c>
      <c r="K191" s="5">
        <f>IF(mos_metrics!G190="","",mos_metrics!G190)</f>
        <v/>
      </c>
      <c r="L191" s="2">
        <f>AND($J191,ISNUMBER(K191),correlation!$I$26=1)</f>
        <v/>
      </c>
      <c r="M191" s="5">
        <f>IF(L191,$F191,"")</f>
        <v/>
      </c>
      <c r="N191" s="5">
        <f>IF(L191,K191*correlation!$J$26,"")</f>
        <v/>
      </c>
      <c r="O191" s="5">
        <f>IF(AND(L191,ISNUMBER(correlation!$F$26)),N191*correlation!$F$26+correlation!$G$26,"")</f>
        <v/>
      </c>
      <c r="P191" s="5">
        <f>IF(AND(L191,ISNUMBER(O191)),(M191-O191)^2,"")</f>
        <v/>
      </c>
      <c r="Q191" s="5">
        <f>IF(L191,1+SUMPRODUCT(--(calc!$L$3:$L$306=TRUE),--(calc!$M$3:$M$306&gt;M191))+(SUMPRODUCT(--(calc!$L$3:$L$306=TRUE),--(calc!$M$3:$M$306=M191))-1)/2,"")</f>
        <v/>
      </c>
      <c r="R191" s="5">
        <f>IF(L191,1+SUMPRODUCT(--(calc!$L$3:$L$306=TRUE),--(calc!$N$3:$N$306&gt;N191))+(SUMPRODUCT(--(calc!$L$3:$L$306=TRUE),--(calc!$N$3:$N$306=N191))-1)/2,"")</f>
        <v/>
      </c>
      <c r="S191" s="5">
        <f>IF(L191,SUMPRODUCT(--(calc!$L$3:$L$306=TRUE),--(ROW(calc!$L$3:$L$306)&gt;ROW(L191)),--(((calc!$Q$3:$Q$306&gt;Q191)*(calc!$R$3:$R$306&gt;R191)+(calc!$Q$3:$Q$306&lt;Q191)*(calc!$R$3:$R$306&lt;R191))&gt;0))-SUMPRODUCT(--(calc!$L$3:$L$306=TRUE),--(ROW(calc!$L$3:$L$306)&gt;ROW(L191)),--(((calc!$Q$3:$Q$306&gt;Q191)*(calc!$R$3:$R$306&lt;R191)+(calc!$Q$3:$Q$306&lt;Q191)*(calc!$R$3:$R$306&gt;R191))&gt;0)),0)</f>
        <v/>
      </c>
      <c r="T191" s="5">
        <f>IF(mos_metrics!H190="","",mos_metrics!H190)</f>
        <v/>
      </c>
      <c r="U191" s="2">
        <f>AND($J191,ISNUMBER(T191),correlation!$I$27=1)</f>
        <v/>
      </c>
      <c r="V191" s="5">
        <f>IF(U191,$F191,"")</f>
        <v/>
      </c>
      <c r="W191" s="5">
        <f>IF(U191,T191*correlation!$J$27,"")</f>
        <v/>
      </c>
      <c r="X191" s="5">
        <f>IF(AND(U191,ISNUMBER(correlation!$F$27)),W191*correlation!$F$27+correlation!$G$27,"")</f>
        <v/>
      </c>
      <c r="Y191" s="5">
        <f>IF(AND(U191,ISNUMBER(X191)),(V191-X191)^2,"")</f>
        <v/>
      </c>
      <c r="Z191" s="5">
        <f>IF(U191,1+SUMPRODUCT(--(calc!$U$3:$U$306=TRUE),--(calc!$V$3:$V$306&gt;V191))+(SUMPRODUCT(--(calc!$U$3:$U$306=TRUE),--(calc!$V$3:$V$306=V191))-1)/2,"")</f>
        <v/>
      </c>
      <c r="AA191" s="5">
        <f>IF(U191,1+SUMPRODUCT(--(calc!$U$3:$U$306=TRUE),--(calc!$W$3:$W$306&gt;W191))+(SUMPRODUCT(--(calc!$U$3:$U$306=TRUE),--(calc!$W$3:$W$306=W191))-1)/2,"")</f>
        <v/>
      </c>
      <c r="AB191" s="5">
        <f>IF(U191,SUMPRODUCT(--(calc!$U$3:$U$306=TRUE),--(ROW(calc!$U$3:$U$306)&gt;ROW(U191)),--(((calc!$Z$3:$Z$306&gt;Z191)*(calc!$AA$3:$AA$306&gt;AA191)+(calc!$Z$3:$Z$306&lt;Z191)*(calc!$AA$3:$AA$306&lt;AA191))&gt;0))-SUMPRODUCT(--(calc!$U$3:$U$306=TRUE),--(ROW(calc!$U$3:$U$306)&gt;ROW(U191)),--(((calc!$Z$3:$Z$306&gt;Z191)*(calc!$AA$3:$AA$306&lt;AA191)+(calc!$Z$3:$Z$306&lt;Z191)*(calc!$AA$3:$AA$306&gt;AA191))&gt;0)),0)</f>
        <v/>
      </c>
      <c r="AC191" s="5">
        <f>IF(mos_metrics!I190="","",mos_metrics!I190)</f>
        <v/>
      </c>
      <c r="AD191" s="2">
        <f>AND($J191,ISNUMBER(AC191),correlation!$I$28=1)</f>
        <v/>
      </c>
      <c r="AE191" s="5">
        <f>IF(AD191,$F191,"")</f>
        <v/>
      </c>
      <c r="AF191" s="5">
        <f>IF(AD191,AC191*correlation!$J$28,"")</f>
        <v/>
      </c>
      <c r="AG191" s="5">
        <f>IF(AND(AD191,ISNUMBER(correlation!$F$28)),AF191*correlation!$F$28+correlation!$G$28,"")</f>
        <v/>
      </c>
      <c r="AH191" s="5">
        <f>IF(AND(AD191,ISNUMBER(AG191)),(AE191-AG191)^2,"")</f>
        <v/>
      </c>
      <c r="AI191" s="5">
        <f>IF(AD191,1+SUMPRODUCT(--(calc!$AD$3:$AD$306=TRUE),--(calc!$AE$3:$AE$306&gt;AE191))+(SUMPRODUCT(--(calc!$AD$3:$AD$306=TRUE),--(calc!$AE$3:$AE$306=AE191))-1)/2,"")</f>
        <v/>
      </c>
      <c r="AJ191" s="5">
        <f>IF(AD191,1+SUMPRODUCT(--(calc!$AD$3:$AD$306=TRUE),--(calc!$AF$3:$AF$306&gt;AF191))+(SUMPRODUCT(--(calc!$AD$3:$AD$306=TRUE),--(calc!$AF$3:$AF$306=AF191))-1)/2,"")</f>
        <v/>
      </c>
      <c r="AK191" s="5">
        <f>IF(AD191,SUMPRODUCT(--(calc!$AD$3:$AD$306=TRUE),--(ROW(calc!$AD$3:$AD$306)&gt;ROW(AD191)),--(((calc!$AI$3:$AI$306&gt;AI191)*(calc!$AJ$3:$AJ$306&gt;AJ191)+(calc!$AI$3:$AI$306&lt;AI191)*(calc!$AJ$3:$AJ$306&lt;AJ191))&gt;0))-SUMPRODUCT(--(calc!$AD$3:$AD$306=TRUE),--(ROW(calc!$AD$3:$AD$306)&gt;ROW(AD191)),--(((calc!$AI$3:$AI$306&gt;AI191)*(calc!$AJ$3:$AJ$306&lt;AJ191)+(calc!$AI$3:$AI$306&lt;AI191)*(calc!$AJ$3:$AJ$306&gt;AJ191))&gt;0)),0)</f>
        <v/>
      </c>
      <c r="AL191" s="5">
        <f>IF(mos_metrics!J190="","",mos_metrics!J190)</f>
        <v/>
      </c>
      <c r="AM191" s="2">
        <f>AND($J191,ISNUMBER(AL191),correlation!$I$29=1)</f>
        <v/>
      </c>
      <c r="AN191" s="5">
        <f>IF(AM191,$F191,"")</f>
        <v/>
      </c>
      <c r="AO191" s="5">
        <f>IF(AM191,AL191*correlation!$J$29,"")</f>
        <v/>
      </c>
      <c r="AP191" s="5">
        <f>IF(AND(AM191,ISNUMBER(correlation!$F$29)),AO191*correlation!$F$29+correlation!$G$29,"")</f>
        <v/>
      </c>
      <c r="AQ191" s="5">
        <f>IF(AND(AM191,ISNUMBER(AP191)),(AN191-AP191)^2,"")</f>
        <v/>
      </c>
      <c r="AR191" s="5">
        <f>IF(AM191,1+SUMPRODUCT(--(calc!$AM$3:$AM$306=TRUE),--(calc!$AN$3:$AN$306&gt;AN191))+(SUMPRODUCT(--(calc!$AM$3:$AM$306=TRUE),--(calc!$AN$3:$AN$306=AN191))-1)/2,"")</f>
        <v/>
      </c>
      <c r="AS191" s="5">
        <f>IF(AM191,1+SUMPRODUCT(--(calc!$AM$3:$AM$306=TRUE),--(calc!$AO$3:$AO$306&gt;AO191))+(SUMPRODUCT(--(calc!$AM$3:$AM$306=TRUE),--(calc!$AO$3:$AO$306=AO191))-1)/2,"")</f>
        <v/>
      </c>
      <c r="AT191" s="5">
        <f>IF(AM191,SUMPRODUCT(--(calc!$AM$3:$AM$306=TRUE),--(ROW(calc!$AM$3:$AM$306)&gt;ROW(AM191)),--(((calc!$AR$3:$AR$306&gt;AR191)*(calc!$AS$3:$AS$306&gt;AS191)+(calc!$AR$3:$AR$306&lt;AR191)*(calc!$AS$3:$AS$306&lt;AS191))&gt;0))-SUMPRODUCT(--(calc!$AM$3:$AM$306=TRUE),--(ROW(calc!$AM$3:$AM$306)&gt;ROW(AM191)),--(((calc!$AR$3:$AR$306&gt;AR191)*(calc!$AS$3:$AS$306&lt;AS191)+(calc!$AR$3:$AR$306&lt;AR191)*(calc!$AS$3:$AS$306&gt;AS191))&gt;0)),0)</f>
        <v/>
      </c>
      <c r="AU191" s="5">
        <f>IF(mos_metrics!K190="","",mos_metrics!K190)</f>
        <v/>
      </c>
      <c r="AV191" s="2">
        <f>AND($J191,ISNUMBER(AU191),correlation!$I$30=1)</f>
        <v/>
      </c>
      <c r="AW191" s="5">
        <f>IF(AV191,$F191,"")</f>
        <v/>
      </c>
      <c r="AX191" s="5">
        <f>IF(AV191,AU191*correlation!$J$30,"")</f>
        <v/>
      </c>
      <c r="AY191" s="5">
        <f>IF(AND(AV191,ISNUMBER(correlation!$F$30)),AX191*correlation!$F$30+correlation!$G$30,"")</f>
        <v/>
      </c>
      <c r="AZ191" s="5">
        <f>IF(AND(AV191,ISNUMBER(AY191)),(AW191-AY191)^2,"")</f>
        <v/>
      </c>
      <c r="BA191" s="5">
        <f>IF(AV191,1+SUMPRODUCT(--(calc!$AV$3:$AV$306=TRUE),--(calc!$AW$3:$AW$306&gt;AW191))+(SUMPRODUCT(--(calc!$AV$3:$AV$306=TRUE),--(calc!$AW$3:$AW$306=AW191))-1)/2,"")</f>
        <v/>
      </c>
      <c r="BB191" s="5">
        <f>IF(AV191,1+SUMPRODUCT(--(calc!$AV$3:$AV$306=TRUE),--(calc!$AX$3:$AX$306&gt;AX191))+(SUMPRODUCT(--(calc!$AV$3:$AV$306=TRUE),--(calc!$AX$3:$AX$306=AX191))-1)/2,"")</f>
        <v/>
      </c>
      <c r="BC191" s="5">
        <f>IF(AV191,SUMPRODUCT(--(calc!$AV$3:$AV$306=TRUE),--(ROW(calc!$AV$3:$AV$306)&gt;ROW(AV191)),--(((calc!$BA$3:$BA$306&gt;BA191)*(calc!$BB$3:$BB$306&gt;BB191)+(calc!$BA$3:$BA$306&lt;BA191)*(calc!$BB$3:$BB$306&lt;BB191))&gt;0))-SUMPRODUCT(--(calc!$AV$3:$AV$306=TRUE),--(ROW(calc!$AV$3:$AV$306)&gt;ROW(AV191)),--(((calc!$BA$3:$BA$306&gt;BA191)*(calc!$BB$3:$BB$306&lt;BB191)+(calc!$BA$3:$BA$306&lt;BA191)*(calc!$BB$3:$BB$306&gt;BB191))&gt;0)),0)</f>
        <v/>
      </c>
      <c r="BD191" s="5">
        <f>IF(mos_metrics!L190="","",mos_metrics!L190)</f>
        <v/>
      </c>
      <c r="BE191" s="2">
        <f>AND($J191,ISNUMBER(BD191),correlation!$I$31=1)</f>
        <v/>
      </c>
      <c r="BF191" s="5">
        <f>IF(BE191,$F191,"")</f>
        <v/>
      </c>
      <c r="BG191" s="5">
        <f>IF(BE191,BD191*correlation!$J$31,"")</f>
        <v/>
      </c>
      <c r="BH191" s="5">
        <f>IF(AND(BE191,ISNUMBER(correlation!$F$31)),BG191*correlation!$F$31+correlation!$G$31,"")</f>
        <v/>
      </c>
      <c r="BI191" s="5">
        <f>IF(AND(BE191,ISNUMBER(BH191)),(BF191-BH191)^2,"")</f>
        <v/>
      </c>
      <c r="BJ191" s="5">
        <f>IF(BE191,1+SUMPRODUCT(--(calc!$BE$3:$BE$306=TRUE),--(calc!$BF$3:$BF$306&gt;BF191))+(SUMPRODUCT(--(calc!$BE$3:$BE$306=TRUE),--(calc!$BF$3:$BF$306=BF191))-1)/2,"")</f>
        <v/>
      </c>
      <c r="BK191" s="5">
        <f>IF(BE191,1+SUMPRODUCT(--(calc!$BE$3:$BE$306=TRUE),--(calc!$BG$3:$BG$306&gt;BG191))+(SUMPRODUCT(--(calc!$BE$3:$BE$306=TRUE),--(calc!$BG$3:$BG$306=BG191))-1)/2,"")</f>
        <v/>
      </c>
      <c r="BL191" s="5">
        <f>IF(BE191,SUMPRODUCT(--(calc!$BE$3:$BE$306=TRUE),--(ROW(calc!$BE$3:$BE$306)&gt;ROW(BE191)),--(((calc!$BJ$3:$BJ$306&gt;BJ191)*(calc!$BK$3:$BK$306&gt;BK191)+(calc!$BJ$3:$BJ$306&lt;BJ191)*(calc!$BK$3:$BK$306&lt;BK191))&gt;0))-SUMPRODUCT(--(calc!$BE$3:$BE$306=TRUE),--(ROW(calc!$BE$3:$BE$306)&gt;ROW(BE191)),--(((calc!$BJ$3:$BJ$306&gt;BJ191)*(calc!$BK$3:$BK$306&lt;BK191)+(calc!$BJ$3:$BJ$306&lt;BJ191)*(calc!$BK$3:$BK$306&gt;BK191))&gt;0)),0)</f>
        <v/>
      </c>
      <c r="BM191" s="5">
        <f>IF(mos_metrics!M190="","",mos_metrics!M190)</f>
        <v/>
      </c>
      <c r="BN191" s="2">
        <f>AND($J191,ISNUMBER(BM191),correlation!$I$32=1)</f>
        <v/>
      </c>
      <c r="BO191" s="5">
        <f>IF(BN191,$F191,"")</f>
        <v/>
      </c>
      <c r="BP191" s="5">
        <f>IF(BN191,BM191*correlation!$J$32,"")</f>
        <v/>
      </c>
      <c r="BQ191" s="5">
        <f>IF(AND(BN191,ISNUMBER(correlation!$F$32)),BP191*correlation!$F$32+correlation!$G$32,"")</f>
        <v/>
      </c>
      <c r="BR191" s="5">
        <f>IF(AND(BN191,ISNUMBER(BQ191)),(BO191-BQ191)^2,"")</f>
        <v/>
      </c>
      <c r="BS191" s="5">
        <f>IF(BN191,1+SUMPRODUCT(--(calc!$BN$3:$BN$306=TRUE),--(calc!$BO$3:$BO$306&gt;BO191))+(SUMPRODUCT(--(calc!$BN$3:$BN$306=TRUE),--(calc!$BO$3:$BO$306=BO191))-1)/2,"")</f>
        <v/>
      </c>
      <c r="BT191" s="5">
        <f>IF(BN191,1+SUMPRODUCT(--(calc!$BN$3:$BN$306=TRUE),--(calc!$BP$3:$BP$306&gt;BP191))+(SUMPRODUCT(--(calc!$BN$3:$BN$306=TRUE),--(calc!$BP$3:$BP$306=BP191))-1)/2,"")</f>
        <v/>
      </c>
      <c r="BU191" s="5">
        <f>IF(BN191,SUMPRODUCT(--(calc!$BN$3:$BN$306=TRUE),--(ROW(calc!$BN$3:$BN$306)&gt;ROW(BN191)),--(((calc!$BS$3:$BS$306&gt;BS191)*(calc!$BT$3:$BT$306&gt;BT191)+(calc!$BS$3:$BS$306&lt;BS191)*(calc!$BT$3:$BT$306&lt;BT191))&gt;0))-SUMPRODUCT(--(calc!$BN$3:$BN$306=TRUE),--(ROW(calc!$BN$3:$BN$306)&gt;ROW(BN191)),--(((calc!$BS$3:$BS$306&gt;BS191)*(calc!$BT$3:$BT$306&lt;BT191)+(calc!$BS$3:$BS$306&lt;BS191)*(calc!$BT$3:$BT$306&gt;BT191))&gt;0)),0)</f>
        <v/>
      </c>
    </row>
    <row r="192">
      <c r="A192" s="2">
        <f>mos_metrics!A191</f>
        <v/>
      </c>
      <c r="B192" s="2">
        <f>mos_metrics!B191</f>
        <v/>
      </c>
      <c r="C192" s="2">
        <f>mos_metrics!C191</f>
        <v/>
      </c>
      <c r="D192" s="2">
        <f>mos_metrics!D191</f>
        <v/>
      </c>
      <c r="E192" s="2">
        <f>mos_metrics!E191</f>
        <v/>
      </c>
      <c r="F192" s="2">
        <f>mos_metrics!F191</f>
        <v/>
      </c>
      <c r="G192" s="2">
        <f>IF($B192="","",IFERROR(VLOOKUP($B192,correlation!$A$2:$B$16,2,FALSE),1))</f>
        <v/>
      </c>
      <c r="H192" s="2">
        <f>IF($E192="","",IFERROR(VLOOKUP($E192,correlation!$D$2:$E$8,2,FALSE),1))</f>
        <v/>
      </c>
      <c r="I192" s="2">
        <f>ISNUMBER($F192)</f>
        <v/>
      </c>
      <c r="J192" s="2">
        <f>AND($G192=1,$H192=1,$I192)</f>
        <v/>
      </c>
      <c r="K192" s="5">
        <f>IF(mos_metrics!G191="","",mos_metrics!G191)</f>
        <v/>
      </c>
      <c r="L192" s="2">
        <f>AND($J192,ISNUMBER(K192),correlation!$I$26=1)</f>
        <v/>
      </c>
      <c r="M192" s="5">
        <f>IF(L192,$F192,"")</f>
        <v/>
      </c>
      <c r="N192" s="5">
        <f>IF(L192,K192*correlation!$J$26,"")</f>
        <v/>
      </c>
      <c r="O192" s="5">
        <f>IF(AND(L192,ISNUMBER(correlation!$F$26)),N192*correlation!$F$26+correlation!$G$26,"")</f>
        <v/>
      </c>
      <c r="P192" s="5">
        <f>IF(AND(L192,ISNUMBER(O192)),(M192-O192)^2,"")</f>
        <v/>
      </c>
      <c r="Q192" s="5">
        <f>IF(L192,1+SUMPRODUCT(--(calc!$L$3:$L$306=TRUE),--(calc!$M$3:$M$306&gt;M192))+(SUMPRODUCT(--(calc!$L$3:$L$306=TRUE),--(calc!$M$3:$M$306=M192))-1)/2,"")</f>
        <v/>
      </c>
      <c r="R192" s="5">
        <f>IF(L192,1+SUMPRODUCT(--(calc!$L$3:$L$306=TRUE),--(calc!$N$3:$N$306&gt;N192))+(SUMPRODUCT(--(calc!$L$3:$L$306=TRUE),--(calc!$N$3:$N$306=N192))-1)/2,"")</f>
        <v/>
      </c>
      <c r="S192" s="5">
        <f>IF(L192,SUMPRODUCT(--(calc!$L$3:$L$306=TRUE),--(ROW(calc!$L$3:$L$306)&gt;ROW(L192)),--(((calc!$Q$3:$Q$306&gt;Q192)*(calc!$R$3:$R$306&gt;R192)+(calc!$Q$3:$Q$306&lt;Q192)*(calc!$R$3:$R$306&lt;R192))&gt;0))-SUMPRODUCT(--(calc!$L$3:$L$306=TRUE),--(ROW(calc!$L$3:$L$306)&gt;ROW(L192)),--(((calc!$Q$3:$Q$306&gt;Q192)*(calc!$R$3:$R$306&lt;R192)+(calc!$Q$3:$Q$306&lt;Q192)*(calc!$R$3:$R$306&gt;R192))&gt;0)),0)</f>
        <v/>
      </c>
      <c r="T192" s="5">
        <f>IF(mos_metrics!H191="","",mos_metrics!H191)</f>
        <v/>
      </c>
      <c r="U192" s="2">
        <f>AND($J192,ISNUMBER(T192),correlation!$I$27=1)</f>
        <v/>
      </c>
      <c r="V192" s="5">
        <f>IF(U192,$F192,"")</f>
        <v/>
      </c>
      <c r="W192" s="5">
        <f>IF(U192,T192*correlation!$J$27,"")</f>
        <v/>
      </c>
      <c r="X192" s="5">
        <f>IF(AND(U192,ISNUMBER(correlation!$F$27)),W192*correlation!$F$27+correlation!$G$27,"")</f>
        <v/>
      </c>
      <c r="Y192" s="5">
        <f>IF(AND(U192,ISNUMBER(X192)),(V192-X192)^2,"")</f>
        <v/>
      </c>
      <c r="Z192" s="5">
        <f>IF(U192,1+SUMPRODUCT(--(calc!$U$3:$U$306=TRUE),--(calc!$V$3:$V$306&gt;V192))+(SUMPRODUCT(--(calc!$U$3:$U$306=TRUE),--(calc!$V$3:$V$306=V192))-1)/2,"")</f>
        <v/>
      </c>
      <c r="AA192" s="5">
        <f>IF(U192,1+SUMPRODUCT(--(calc!$U$3:$U$306=TRUE),--(calc!$W$3:$W$306&gt;W192))+(SUMPRODUCT(--(calc!$U$3:$U$306=TRUE),--(calc!$W$3:$W$306=W192))-1)/2,"")</f>
        <v/>
      </c>
      <c r="AB192" s="5">
        <f>IF(U192,SUMPRODUCT(--(calc!$U$3:$U$306=TRUE),--(ROW(calc!$U$3:$U$306)&gt;ROW(U192)),--(((calc!$Z$3:$Z$306&gt;Z192)*(calc!$AA$3:$AA$306&gt;AA192)+(calc!$Z$3:$Z$306&lt;Z192)*(calc!$AA$3:$AA$306&lt;AA192))&gt;0))-SUMPRODUCT(--(calc!$U$3:$U$306=TRUE),--(ROW(calc!$U$3:$U$306)&gt;ROW(U192)),--(((calc!$Z$3:$Z$306&gt;Z192)*(calc!$AA$3:$AA$306&lt;AA192)+(calc!$Z$3:$Z$306&lt;Z192)*(calc!$AA$3:$AA$306&gt;AA192))&gt;0)),0)</f>
        <v/>
      </c>
      <c r="AC192" s="5">
        <f>IF(mos_metrics!I191="","",mos_metrics!I191)</f>
        <v/>
      </c>
      <c r="AD192" s="2">
        <f>AND($J192,ISNUMBER(AC192),correlation!$I$28=1)</f>
        <v/>
      </c>
      <c r="AE192" s="5">
        <f>IF(AD192,$F192,"")</f>
        <v/>
      </c>
      <c r="AF192" s="5">
        <f>IF(AD192,AC192*correlation!$J$28,"")</f>
        <v/>
      </c>
      <c r="AG192" s="5">
        <f>IF(AND(AD192,ISNUMBER(correlation!$F$28)),AF192*correlation!$F$28+correlation!$G$28,"")</f>
        <v/>
      </c>
      <c r="AH192" s="5">
        <f>IF(AND(AD192,ISNUMBER(AG192)),(AE192-AG192)^2,"")</f>
        <v/>
      </c>
      <c r="AI192" s="5">
        <f>IF(AD192,1+SUMPRODUCT(--(calc!$AD$3:$AD$306=TRUE),--(calc!$AE$3:$AE$306&gt;AE192))+(SUMPRODUCT(--(calc!$AD$3:$AD$306=TRUE),--(calc!$AE$3:$AE$306=AE192))-1)/2,"")</f>
        <v/>
      </c>
      <c r="AJ192" s="5">
        <f>IF(AD192,1+SUMPRODUCT(--(calc!$AD$3:$AD$306=TRUE),--(calc!$AF$3:$AF$306&gt;AF192))+(SUMPRODUCT(--(calc!$AD$3:$AD$306=TRUE),--(calc!$AF$3:$AF$306=AF192))-1)/2,"")</f>
        <v/>
      </c>
      <c r="AK192" s="5">
        <f>IF(AD192,SUMPRODUCT(--(calc!$AD$3:$AD$306=TRUE),--(ROW(calc!$AD$3:$AD$306)&gt;ROW(AD192)),--(((calc!$AI$3:$AI$306&gt;AI192)*(calc!$AJ$3:$AJ$306&gt;AJ192)+(calc!$AI$3:$AI$306&lt;AI192)*(calc!$AJ$3:$AJ$306&lt;AJ192))&gt;0))-SUMPRODUCT(--(calc!$AD$3:$AD$306=TRUE),--(ROW(calc!$AD$3:$AD$306)&gt;ROW(AD192)),--(((calc!$AI$3:$AI$306&gt;AI192)*(calc!$AJ$3:$AJ$306&lt;AJ192)+(calc!$AI$3:$AI$306&lt;AI192)*(calc!$AJ$3:$AJ$306&gt;AJ192))&gt;0)),0)</f>
        <v/>
      </c>
      <c r="AL192" s="5">
        <f>IF(mos_metrics!J191="","",mos_metrics!J191)</f>
        <v/>
      </c>
      <c r="AM192" s="2">
        <f>AND($J192,ISNUMBER(AL192),correlation!$I$29=1)</f>
        <v/>
      </c>
      <c r="AN192" s="5">
        <f>IF(AM192,$F192,"")</f>
        <v/>
      </c>
      <c r="AO192" s="5">
        <f>IF(AM192,AL192*correlation!$J$29,"")</f>
        <v/>
      </c>
      <c r="AP192" s="5">
        <f>IF(AND(AM192,ISNUMBER(correlation!$F$29)),AO192*correlation!$F$29+correlation!$G$29,"")</f>
        <v/>
      </c>
      <c r="AQ192" s="5">
        <f>IF(AND(AM192,ISNUMBER(AP192)),(AN192-AP192)^2,"")</f>
        <v/>
      </c>
      <c r="AR192" s="5">
        <f>IF(AM192,1+SUMPRODUCT(--(calc!$AM$3:$AM$306=TRUE),--(calc!$AN$3:$AN$306&gt;AN192))+(SUMPRODUCT(--(calc!$AM$3:$AM$306=TRUE),--(calc!$AN$3:$AN$306=AN192))-1)/2,"")</f>
        <v/>
      </c>
      <c r="AS192" s="5">
        <f>IF(AM192,1+SUMPRODUCT(--(calc!$AM$3:$AM$306=TRUE),--(calc!$AO$3:$AO$306&gt;AO192))+(SUMPRODUCT(--(calc!$AM$3:$AM$306=TRUE),--(calc!$AO$3:$AO$306=AO192))-1)/2,"")</f>
        <v/>
      </c>
      <c r="AT192" s="5">
        <f>IF(AM192,SUMPRODUCT(--(calc!$AM$3:$AM$306=TRUE),--(ROW(calc!$AM$3:$AM$306)&gt;ROW(AM192)),--(((calc!$AR$3:$AR$306&gt;AR192)*(calc!$AS$3:$AS$306&gt;AS192)+(calc!$AR$3:$AR$306&lt;AR192)*(calc!$AS$3:$AS$306&lt;AS192))&gt;0))-SUMPRODUCT(--(calc!$AM$3:$AM$306=TRUE),--(ROW(calc!$AM$3:$AM$306)&gt;ROW(AM192)),--(((calc!$AR$3:$AR$306&gt;AR192)*(calc!$AS$3:$AS$306&lt;AS192)+(calc!$AR$3:$AR$306&lt;AR192)*(calc!$AS$3:$AS$306&gt;AS192))&gt;0)),0)</f>
        <v/>
      </c>
      <c r="AU192" s="5">
        <f>IF(mos_metrics!K191="","",mos_metrics!K191)</f>
        <v/>
      </c>
      <c r="AV192" s="2">
        <f>AND($J192,ISNUMBER(AU192),correlation!$I$30=1)</f>
        <v/>
      </c>
      <c r="AW192" s="5">
        <f>IF(AV192,$F192,"")</f>
        <v/>
      </c>
      <c r="AX192" s="5">
        <f>IF(AV192,AU192*correlation!$J$30,"")</f>
        <v/>
      </c>
      <c r="AY192" s="5">
        <f>IF(AND(AV192,ISNUMBER(correlation!$F$30)),AX192*correlation!$F$30+correlation!$G$30,"")</f>
        <v/>
      </c>
      <c r="AZ192" s="5">
        <f>IF(AND(AV192,ISNUMBER(AY192)),(AW192-AY192)^2,"")</f>
        <v/>
      </c>
      <c r="BA192" s="5">
        <f>IF(AV192,1+SUMPRODUCT(--(calc!$AV$3:$AV$306=TRUE),--(calc!$AW$3:$AW$306&gt;AW192))+(SUMPRODUCT(--(calc!$AV$3:$AV$306=TRUE),--(calc!$AW$3:$AW$306=AW192))-1)/2,"")</f>
        <v/>
      </c>
      <c r="BB192" s="5">
        <f>IF(AV192,1+SUMPRODUCT(--(calc!$AV$3:$AV$306=TRUE),--(calc!$AX$3:$AX$306&gt;AX192))+(SUMPRODUCT(--(calc!$AV$3:$AV$306=TRUE),--(calc!$AX$3:$AX$306=AX192))-1)/2,"")</f>
        <v/>
      </c>
      <c r="BC192" s="5">
        <f>IF(AV192,SUMPRODUCT(--(calc!$AV$3:$AV$306=TRUE),--(ROW(calc!$AV$3:$AV$306)&gt;ROW(AV192)),--(((calc!$BA$3:$BA$306&gt;BA192)*(calc!$BB$3:$BB$306&gt;BB192)+(calc!$BA$3:$BA$306&lt;BA192)*(calc!$BB$3:$BB$306&lt;BB192))&gt;0))-SUMPRODUCT(--(calc!$AV$3:$AV$306=TRUE),--(ROW(calc!$AV$3:$AV$306)&gt;ROW(AV192)),--(((calc!$BA$3:$BA$306&gt;BA192)*(calc!$BB$3:$BB$306&lt;BB192)+(calc!$BA$3:$BA$306&lt;BA192)*(calc!$BB$3:$BB$306&gt;BB192))&gt;0)),0)</f>
        <v/>
      </c>
      <c r="BD192" s="5">
        <f>IF(mos_metrics!L191="","",mos_metrics!L191)</f>
        <v/>
      </c>
      <c r="BE192" s="2">
        <f>AND($J192,ISNUMBER(BD192),correlation!$I$31=1)</f>
        <v/>
      </c>
      <c r="BF192" s="5">
        <f>IF(BE192,$F192,"")</f>
        <v/>
      </c>
      <c r="BG192" s="5">
        <f>IF(BE192,BD192*correlation!$J$31,"")</f>
        <v/>
      </c>
      <c r="BH192" s="5">
        <f>IF(AND(BE192,ISNUMBER(correlation!$F$31)),BG192*correlation!$F$31+correlation!$G$31,"")</f>
        <v/>
      </c>
      <c r="BI192" s="5">
        <f>IF(AND(BE192,ISNUMBER(BH192)),(BF192-BH192)^2,"")</f>
        <v/>
      </c>
      <c r="BJ192" s="5">
        <f>IF(BE192,1+SUMPRODUCT(--(calc!$BE$3:$BE$306=TRUE),--(calc!$BF$3:$BF$306&gt;BF192))+(SUMPRODUCT(--(calc!$BE$3:$BE$306=TRUE),--(calc!$BF$3:$BF$306=BF192))-1)/2,"")</f>
        <v/>
      </c>
      <c r="BK192" s="5">
        <f>IF(BE192,1+SUMPRODUCT(--(calc!$BE$3:$BE$306=TRUE),--(calc!$BG$3:$BG$306&gt;BG192))+(SUMPRODUCT(--(calc!$BE$3:$BE$306=TRUE),--(calc!$BG$3:$BG$306=BG192))-1)/2,"")</f>
        <v/>
      </c>
      <c r="BL192" s="5">
        <f>IF(BE192,SUMPRODUCT(--(calc!$BE$3:$BE$306=TRUE),--(ROW(calc!$BE$3:$BE$306)&gt;ROW(BE192)),--(((calc!$BJ$3:$BJ$306&gt;BJ192)*(calc!$BK$3:$BK$306&gt;BK192)+(calc!$BJ$3:$BJ$306&lt;BJ192)*(calc!$BK$3:$BK$306&lt;BK192))&gt;0))-SUMPRODUCT(--(calc!$BE$3:$BE$306=TRUE),--(ROW(calc!$BE$3:$BE$306)&gt;ROW(BE192)),--(((calc!$BJ$3:$BJ$306&gt;BJ192)*(calc!$BK$3:$BK$306&lt;BK192)+(calc!$BJ$3:$BJ$306&lt;BJ192)*(calc!$BK$3:$BK$306&gt;BK192))&gt;0)),0)</f>
        <v/>
      </c>
      <c r="BM192" s="5">
        <f>IF(mos_metrics!M191="","",mos_metrics!M191)</f>
        <v/>
      </c>
      <c r="BN192" s="2">
        <f>AND($J192,ISNUMBER(BM192),correlation!$I$32=1)</f>
        <v/>
      </c>
      <c r="BO192" s="5">
        <f>IF(BN192,$F192,"")</f>
        <v/>
      </c>
      <c r="BP192" s="5">
        <f>IF(BN192,BM192*correlation!$J$32,"")</f>
        <v/>
      </c>
      <c r="BQ192" s="5">
        <f>IF(AND(BN192,ISNUMBER(correlation!$F$32)),BP192*correlation!$F$32+correlation!$G$32,"")</f>
        <v/>
      </c>
      <c r="BR192" s="5">
        <f>IF(AND(BN192,ISNUMBER(BQ192)),(BO192-BQ192)^2,"")</f>
        <v/>
      </c>
      <c r="BS192" s="5">
        <f>IF(BN192,1+SUMPRODUCT(--(calc!$BN$3:$BN$306=TRUE),--(calc!$BO$3:$BO$306&gt;BO192))+(SUMPRODUCT(--(calc!$BN$3:$BN$306=TRUE),--(calc!$BO$3:$BO$306=BO192))-1)/2,"")</f>
        <v/>
      </c>
      <c r="BT192" s="5">
        <f>IF(BN192,1+SUMPRODUCT(--(calc!$BN$3:$BN$306=TRUE),--(calc!$BP$3:$BP$306&gt;BP192))+(SUMPRODUCT(--(calc!$BN$3:$BN$306=TRUE),--(calc!$BP$3:$BP$306=BP192))-1)/2,"")</f>
        <v/>
      </c>
      <c r="BU192" s="5">
        <f>IF(BN192,SUMPRODUCT(--(calc!$BN$3:$BN$306=TRUE),--(ROW(calc!$BN$3:$BN$306)&gt;ROW(BN192)),--(((calc!$BS$3:$BS$306&gt;BS192)*(calc!$BT$3:$BT$306&gt;BT192)+(calc!$BS$3:$BS$306&lt;BS192)*(calc!$BT$3:$BT$306&lt;BT192))&gt;0))-SUMPRODUCT(--(calc!$BN$3:$BN$306=TRUE),--(ROW(calc!$BN$3:$BN$306)&gt;ROW(BN192)),--(((calc!$BS$3:$BS$306&gt;BS192)*(calc!$BT$3:$BT$306&lt;BT192)+(calc!$BS$3:$BS$306&lt;BS192)*(calc!$BT$3:$BT$306&gt;BT192))&gt;0)),0)</f>
        <v/>
      </c>
    </row>
    <row r="193">
      <c r="A193" s="2">
        <f>mos_metrics!A192</f>
        <v/>
      </c>
      <c r="B193" s="2">
        <f>mos_metrics!B192</f>
        <v/>
      </c>
      <c r="C193" s="2">
        <f>mos_metrics!C192</f>
        <v/>
      </c>
      <c r="D193" s="2">
        <f>mos_metrics!D192</f>
        <v/>
      </c>
      <c r="E193" s="2">
        <f>mos_metrics!E192</f>
        <v/>
      </c>
      <c r="F193" s="2">
        <f>mos_metrics!F192</f>
        <v/>
      </c>
      <c r="G193" s="2">
        <f>IF($B193="","",IFERROR(VLOOKUP($B193,correlation!$A$2:$B$16,2,FALSE),1))</f>
        <v/>
      </c>
      <c r="H193" s="2">
        <f>IF($E193="","",IFERROR(VLOOKUP($E193,correlation!$D$2:$E$8,2,FALSE),1))</f>
        <v/>
      </c>
      <c r="I193" s="2">
        <f>ISNUMBER($F193)</f>
        <v/>
      </c>
      <c r="J193" s="2">
        <f>AND($G193=1,$H193=1,$I193)</f>
        <v/>
      </c>
      <c r="K193" s="5">
        <f>IF(mos_metrics!G192="","",mos_metrics!G192)</f>
        <v/>
      </c>
      <c r="L193" s="2">
        <f>AND($J193,ISNUMBER(K193),correlation!$I$26=1)</f>
        <v/>
      </c>
      <c r="M193" s="5">
        <f>IF(L193,$F193,"")</f>
        <v/>
      </c>
      <c r="N193" s="5">
        <f>IF(L193,K193*correlation!$J$26,"")</f>
        <v/>
      </c>
      <c r="O193" s="5">
        <f>IF(AND(L193,ISNUMBER(correlation!$F$26)),N193*correlation!$F$26+correlation!$G$26,"")</f>
        <v/>
      </c>
      <c r="P193" s="5">
        <f>IF(AND(L193,ISNUMBER(O193)),(M193-O193)^2,"")</f>
        <v/>
      </c>
      <c r="Q193" s="5">
        <f>IF(L193,1+SUMPRODUCT(--(calc!$L$3:$L$306=TRUE),--(calc!$M$3:$M$306&gt;M193))+(SUMPRODUCT(--(calc!$L$3:$L$306=TRUE),--(calc!$M$3:$M$306=M193))-1)/2,"")</f>
        <v/>
      </c>
      <c r="R193" s="5">
        <f>IF(L193,1+SUMPRODUCT(--(calc!$L$3:$L$306=TRUE),--(calc!$N$3:$N$306&gt;N193))+(SUMPRODUCT(--(calc!$L$3:$L$306=TRUE),--(calc!$N$3:$N$306=N193))-1)/2,"")</f>
        <v/>
      </c>
      <c r="S193" s="5">
        <f>IF(L193,SUMPRODUCT(--(calc!$L$3:$L$306=TRUE),--(ROW(calc!$L$3:$L$306)&gt;ROW(L193)),--(((calc!$Q$3:$Q$306&gt;Q193)*(calc!$R$3:$R$306&gt;R193)+(calc!$Q$3:$Q$306&lt;Q193)*(calc!$R$3:$R$306&lt;R193))&gt;0))-SUMPRODUCT(--(calc!$L$3:$L$306=TRUE),--(ROW(calc!$L$3:$L$306)&gt;ROW(L193)),--(((calc!$Q$3:$Q$306&gt;Q193)*(calc!$R$3:$R$306&lt;R193)+(calc!$Q$3:$Q$306&lt;Q193)*(calc!$R$3:$R$306&gt;R193))&gt;0)),0)</f>
        <v/>
      </c>
      <c r="T193" s="5">
        <f>IF(mos_metrics!H192="","",mos_metrics!H192)</f>
        <v/>
      </c>
      <c r="U193" s="2">
        <f>AND($J193,ISNUMBER(T193),correlation!$I$27=1)</f>
        <v/>
      </c>
      <c r="V193" s="5">
        <f>IF(U193,$F193,"")</f>
        <v/>
      </c>
      <c r="W193" s="5">
        <f>IF(U193,T193*correlation!$J$27,"")</f>
        <v/>
      </c>
      <c r="X193" s="5">
        <f>IF(AND(U193,ISNUMBER(correlation!$F$27)),W193*correlation!$F$27+correlation!$G$27,"")</f>
        <v/>
      </c>
      <c r="Y193" s="5">
        <f>IF(AND(U193,ISNUMBER(X193)),(V193-X193)^2,"")</f>
        <v/>
      </c>
      <c r="Z193" s="5">
        <f>IF(U193,1+SUMPRODUCT(--(calc!$U$3:$U$306=TRUE),--(calc!$V$3:$V$306&gt;V193))+(SUMPRODUCT(--(calc!$U$3:$U$306=TRUE),--(calc!$V$3:$V$306=V193))-1)/2,"")</f>
        <v/>
      </c>
      <c r="AA193" s="5">
        <f>IF(U193,1+SUMPRODUCT(--(calc!$U$3:$U$306=TRUE),--(calc!$W$3:$W$306&gt;W193))+(SUMPRODUCT(--(calc!$U$3:$U$306=TRUE),--(calc!$W$3:$W$306=W193))-1)/2,"")</f>
        <v/>
      </c>
      <c r="AB193" s="5">
        <f>IF(U193,SUMPRODUCT(--(calc!$U$3:$U$306=TRUE),--(ROW(calc!$U$3:$U$306)&gt;ROW(U193)),--(((calc!$Z$3:$Z$306&gt;Z193)*(calc!$AA$3:$AA$306&gt;AA193)+(calc!$Z$3:$Z$306&lt;Z193)*(calc!$AA$3:$AA$306&lt;AA193))&gt;0))-SUMPRODUCT(--(calc!$U$3:$U$306=TRUE),--(ROW(calc!$U$3:$U$306)&gt;ROW(U193)),--(((calc!$Z$3:$Z$306&gt;Z193)*(calc!$AA$3:$AA$306&lt;AA193)+(calc!$Z$3:$Z$306&lt;Z193)*(calc!$AA$3:$AA$306&gt;AA193))&gt;0)),0)</f>
        <v/>
      </c>
      <c r="AC193" s="5">
        <f>IF(mos_metrics!I192="","",mos_metrics!I192)</f>
        <v/>
      </c>
      <c r="AD193" s="2">
        <f>AND($J193,ISNUMBER(AC193),correlation!$I$28=1)</f>
        <v/>
      </c>
      <c r="AE193" s="5">
        <f>IF(AD193,$F193,"")</f>
        <v/>
      </c>
      <c r="AF193" s="5">
        <f>IF(AD193,AC193*correlation!$J$28,"")</f>
        <v/>
      </c>
      <c r="AG193" s="5">
        <f>IF(AND(AD193,ISNUMBER(correlation!$F$28)),AF193*correlation!$F$28+correlation!$G$28,"")</f>
        <v/>
      </c>
      <c r="AH193" s="5">
        <f>IF(AND(AD193,ISNUMBER(AG193)),(AE193-AG193)^2,"")</f>
        <v/>
      </c>
      <c r="AI193" s="5">
        <f>IF(AD193,1+SUMPRODUCT(--(calc!$AD$3:$AD$306=TRUE),--(calc!$AE$3:$AE$306&gt;AE193))+(SUMPRODUCT(--(calc!$AD$3:$AD$306=TRUE),--(calc!$AE$3:$AE$306=AE193))-1)/2,"")</f>
        <v/>
      </c>
      <c r="AJ193" s="5">
        <f>IF(AD193,1+SUMPRODUCT(--(calc!$AD$3:$AD$306=TRUE),--(calc!$AF$3:$AF$306&gt;AF193))+(SUMPRODUCT(--(calc!$AD$3:$AD$306=TRUE),--(calc!$AF$3:$AF$306=AF193))-1)/2,"")</f>
        <v/>
      </c>
      <c r="AK193" s="5">
        <f>IF(AD193,SUMPRODUCT(--(calc!$AD$3:$AD$306=TRUE),--(ROW(calc!$AD$3:$AD$306)&gt;ROW(AD193)),--(((calc!$AI$3:$AI$306&gt;AI193)*(calc!$AJ$3:$AJ$306&gt;AJ193)+(calc!$AI$3:$AI$306&lt;AI193)*(calc!$AJ$3:$AJ$306&lt;AJ193))&gt;0))-SUMPRODUCT(--(calc!$AD$3:$AD$306=TRUE),--(ROW(calc!$AD$3:$AD$306)&gt;ROW(AD193)),--(((calc!$AI$3:$AI$306&gt;AI193)*(calc!$AJ$3:$AJ$306&lt;AJ193)+(calc!$AI$3:$AI$306&lt;AI193)*(calc!$AJ$3:$AJ$306&gt;AJ193))&gt;0)),0)</f>
        <v/>
      </c>
      <c r="AL193" s="5">
        <f>IF(mos_metrics!J192="","",mos_metrics!J192)</f>
        <v/>
      </c>
      <c r="AM193" s="2">
        <f>AND($J193,ISNUMBER(AL193),correlation!$I$29=1)</f>
        <v/>
      </c>
      <c r="AN193" s="5">
        <f>IF(AM193,$F193,"")</f>
        <v/>
      </c>
      <c r="AO193" s="5">
        <f>IF(AM193,AL193*correlation!$J$29,"")</f>
        <v/>
      </c>
      <c r="AP193" s="5">
        <f>IF(AND(AM193,ISNUMBER(correlation!$F$29)),AO193*correlation!$F$29+correlation!$G$29,"")</f>
        <v/>
      </c>
      <c r="AQ193" s="5">
        <f>IF(AND(AM193,ISNUMBER(AP193)),(AN193-AP193)^2,"")</f>
        <v/>
      </c>
      <c r="AR193" s="5">
        <f>IF(AM193,1+SUMPRODUCT(--(calc!$AM$3:$AM$306=TRUE),--(calc!$AN$3:$AN$306&gt;AN193))+(SUMPRODUCT(--(calc!$AM$3:$AM$306=TRUE),--(calc!$AN$3:$AN$306=AN193))-1)/2,"")</f>
        <v/>
      </c>
      <c r="AS193" s="5">
        <f>IF(AM193,1+SUMPRODUCT(--(calc!$AM$3:$AM$306=TRUE),--(calc!$AO$3:$AO$306&gt;AO193))+(SUMPRODUCT(--(calc!$AM$3:$AM$306=TRUE),--(calc!$AO$3:$AO$306=AO193))-1)/2,"")</f>
        <v/>
      </c>
      <c r="AT193" s="5">
        <f>IF(AM193,SUMPRODUCT(--(calc!$AM$3:$AM$306=TRUE),--(ROW(calc!$AM$3:$AM$306)&gt;ROW(AM193)),--(((calc!$AR$3:$AR$306&gt;AR193)*(calc!$AS$3:$AS$306&gt;AS193)+(calc!$AR$3:$AR$306&lt;AR193)*(calc!$AS$3:$AS$306&lt;AS193))&gt;0))-SUMPRODUCT(--(calc!$AM$3:$AM$306=TRUE),--(ROW(calc!$AM$3:$AM$306)&gt;ROW(AM193)),--(((calc!$AR$3:$AR$306&gt;AR193)*(calc!$AS$3:$AS$306&lt;AS193)+(calc!$AR$3:$AR$306&lt;AR193)*(calc!$AS$3:$AS$306&gt;AS193))&gt;0)),0)</f>
        <v/>
      </c>
      <c r="AU193" s="5">
        <f>IF(mos_metrics!K192="","",mos_metrics!K192)</f>
        <v/>
      </c>
      <c r="AV193" s="2">
        <f>AND($J193,ISNUMBER(AU193),correlation!$I$30=1)</f>
        <v/>
      </c>
      <c r="AW193" s="5">
        <f>IF(AV193,$F193,"")</f>
        <v/>
      </c>
      <c r="AX193" s="5">
        <f>IF(AV193,AU193*correlation!$J$30,"")</f>
        <v/>
      </c>
      <c r="AY193" s="5">
        <f>IF(AND(AV193,ISNUMBER(correlation!$F$30)),AX193*correlation!$F$30+correlation!$G$30,"")</f>
        <v/>
      </c>
      <c r="AZ193" s="5">
        <f>IF(AND(AV193,ISNUMBER(AY193)),(AW193-AY193)^2,"")</f>
        <v/>
      </c>
      <c r="BA193" s="5">
        <f>IF(AV193,1+SUMPRODUCT(--(calc!$AV$3:$AV$306=TRUE),--(calc!$AW$3:$AW$306&gt;AW193))+(SUMPRODUCT(--(calc!$AV$3:$AV$306=TRUE),--(calc!$AW$3:$AW$306=AW193))-1)/2,"")</f>
        <v/>
      </c>
      <c r="BB193" s="5">
        <f>IF(AV193,1+SUMPRODUCT(--(calc!$AV$3:$AV$306=TRUE),--(calc!$AX$3:$AX$306&gt;AX193))+(SUMPRODUCT(--(calc!$AV$3:$AV$306=TRUE),--(calc!$AX$3:$AX$306=AX193))-1)/2,"")</f>
        <v/>
      </c>
      <c r="BC193" s="5">
        <f>IF(AV193,SUMPRODUCT(--(calc!$AV$3:$AV$306=TRUE),--(ROW(calc!$AV$3:$AV$306)&gt;ROW(AV193)),--(((calc!$BA$3:$BA$306&gt;BA193)*(calc!$BB$3:$BB$306&gt;BB193)+(calc!$BA$3:$BA$306&lt;BA193)*(calc!$BB$3:$BB$306&lt;BB193))&gt;0))-SUMPRODUCT(--(calc!$AV$3:$AV$306=TRUE),--(ROW(calc!$AV$3:$AV$306)&gt;ROW(AV193)),--(((calc!$BA$3:$BA$306&gt;BA193)*(calc!$BB$3:$BB$306&lt;BB193)+(calc!$BA$3:$BA$306&lt;BA193)*(calc!$BB$3:$BB$306&gt;BB193))&gt;0)),0)</f>
        <v/>
      </c>
      <c r="BD193" s="5">
        <f>IF(mos_metrics!L192="","",mos_metrics!L192)</f>
        <v/>
      </c>
      <c r="BE193" s="2">
        <f>AND($J193,ISNUMBER(BD193),correlation!$I$31=1)</f>
        <v/>
      </c>
      <c r="BF193" s="5">
        <f>IF(BE193,$F193,"")</f>
        <v/>
      </c>
      <c r="BG193" s="5">
        <f>IF(BE193,BD193*correlation!$J$31,"")</f>
        <v/>
      </c>
      <c r="BH193" s="5">
        <f>IF(AND(BE193,ISNUMBER(correlation!$F$31)),BG193*correlation!$F$31+correlation!$G$31,"")</f>
        <v/>
      </c>
      <c r="BI193" s="5">
        <f>IF(AND(BE193,ISNUMBER(BH193)),(BF193-BH193)^2,"")</f>
        <v/>
      </c>
      <c r="BJ193" s="5">
        <f>IF(BE193,1+SUMPRODUCT(--(calc!$BE$3:$BE$306=TRUE),--(calc!$BF$3:$BF$306&gt;BF193))+(SUMPRODUCT(--(calc!$BE$3:$BE$306=TRUE),--(calc!$BF$3:$BF$306=BF193))-1)/2,"")</f>
        <v/>
      </c>
      <c r="BK193" s="5">
        <f>IF(BE193,1+SUMPRODUCT(--(calc!$BE$3:$BE$306=TRUE),--(calc!$BG$3:$BG$306&gt;BG193))+(SUMPRODUCT(--(calc!$BE$3:$BE$306=TRUE),--(calc!$BG$3:$BG$306=BG193))-1)/2,"")</f>
        <v/>
      </c>
      <c r="BL193" s="5">
        <f>IF(BE193,SUMPRODUCT(--(calc!$BE$3:$BE$306=TRUE),--(ROW(calc!$BE$3:$BE$306)&gt;ROW(BE193)),--(((calc!$BJ$3:$BJ$306&gt;BJ193)*(calc!$BK$3:$BK$306&gt;BK193)+(calc!$BJ$3:$BJ$306&lt;BJ193)*(calc!$BK$3:$BK$306&lt;BK193))&gt;0))-SUMPRODUCT(--(calc!$BE$3:$BE$306=TRUE),--(ROW(calc!$BE$3:$BE$306)&gt;ROW(BE193)),--(((calc!$BJ$3:$BJ$306&gt;BJ193)*(calc!$BK$3:$BK$306&lt;BK193)+(calc!$BJ$3:$BJ$306&lt;BJ193)*(calc!$BK$3:$BK$306&gt;BK193))&gt;0)),0)</f>
        <v/>
      </c>
      <c r="BM193" s="5">
        <f>IF(mos_metrics!M192="","",mos_metrics!M192)</f>
        <v/>
      </c>
      <c r="BN193" s="2">
        <f>AND($J193,ISNUMBER(BM193),correlation!$I$32=1)</f>
        <v/>
      </c>
      <c r="BO193" s="5">
        <f>IF(BN193,$F193,"")</f>
        <v/>
      </c>
      <c r="BP193" s="5">
        <f>IF(BN193,BM193*correlation!$J$32,"")</f>
        <v/>
      </c>
      <c r="BQ193" s="5">
        <f>IF(AND(BN193,ISNUMBER(correlation!$F$32)),BP193*correlation!$F$32+correlation!$G$32,"")</f>
        <v/>
      </c>
      <c r="BR193" s="5">
        <f>IF(AND(BN193,ISNUMBER(BQ193)),(BO193-BQ193)^2,"")</f>
        <v/>
      </c>
      <c r="BS193" s="5">
        <f>IF(BN193,1+SUMPRODUCT(--(calc!$BN$3:$BN$306=TRUE),--(calc!$BO$3:$BO$306&gt;BO193))+(SUMPRODUCT(--(calc!$BN$3:$BN$306=TRUE),--(calc!$BO$3:$BO$306=BO193))-1)/2,"")</f>
        <v/>
      </c>
      <c r="BT193" s="5">
        <f>IF(BN193,1+SUMPRODUCT(--(calc!$BN$3:$BN$306=TRUE),--(calc!$BP$3:$BP$306&gt;BP193))+(SUMPRODUCT(--(calc!$BN$3:$BN$306=TRUE),--(calc!$BP$3:$BP$306=BP193))-1)/2,"")</f>
        <v/>
      </c>
      <c r="BU193" s="5">
        <f>IF(BN193,SUMPRODUCT(--(calc!$BN$3:$BN$306=TRUE),--(ROW(calc!$BN$3:$BN$306)&gt;ROW(BN193)),--(((calc!$BS$3:$BS$306&gt;BS193)*(calc!$BT$3:$BT$306&gt;BT193)+(calc!$BS$3:$BS$306&lt;BS193)*(calc!$BT$3:$BT$306&lt;BT193))&gt;0))-SUMPRODUCT(--(calc!$BN$3:$BN$306=TRUE),--(ROW(calc!$BN$3:$BN$306)&gt;ROW(BN193)),--(((calc!$BS$3:$BS$306&gt;BS193)*(calc!$BT$3:$BT$306&lt;BT193)+(calc!$BS$3:$BS$306&lt;BS193)*(calc!$BT$3:$BT$306&gt;BT193))&gt;0)),0)</f>
        <v/>
      </c>
    </row>
    <row r="194">
      <c r="A194" s="2">
        <f>mos_metrics!A193</f>
        <v/>
      </c>
      <c r="B194" s="2">
        <f>mos_metrics!B193</f>
        <v/>
      </c>
      <c r="C194" s="2">
        <f>mos_metrics!C193</f>
        <v/>
      </c>
      <c r="D194" s="2">
        <f>mos_metrics!D193</f>
        <v/>
      </c>
      <c r="E194" s="2">
        <f>mos_metrics!E193</f>
        <v/>
      </c>
      <c r="F194" s="2">
        <f>mos_metrics!F193</f>
        <v/>
      </c>
      <c r="G194" s="2">
        <f>IF($B194="","",IFERROR(VLOOKUP($B194,correlation!$A$2:$B$16,2,FALSE),1))</f>
        <v/>
      </c>
      <c r="H194" s="2">
        <f>IF($E194="","",IFERROR(VLOOKUP($E194,correlation!$D$2:$E$8,2,FALSE),1))</f>
        <v/>
      </c>
      <c r="I194" s="2">
        <f>ISNUMBER($F194)</f>
        <v/>
      </c>
      <c r="J194" s="2">
        <f>AND($G194=1,$H194=1,$I194)</f>
        <v/>
      </c>
      <c r="K194" s="5">
        <f>IF(mos_metrics!G193="","",mos_metrics!G193)</f>
        <v/>
      </c>
      <c r="L194" s="2">
        <f>AND($J194,ISNUMBER(K194),correlation!$I$26=1)</f>
        <v/>
      </c>
      <c r="M194" s="5">
        <f>IF(L194,$F194,"")</f>
        <v/>
      </c>
      <c r="N194" s="5">
        <f>IF(L194,K194*correlation!$J$26,"")</f>
        <v/>
      </c>
      <c r="O194" s="5">
        <f>IF(AND(L194,ISNUMBER(correlation!$F$26)),N194*correlation!$F$26+correlation!$G$26,"")</f>
        <v/>
      </c>
      <c r="P194" s="5">
        <f>IF(AND(L194,ISNUMBER(O194)),(M194-O194)^2,"")</f>
        <v/>
      </c>
      <c r="Q194" s="5">
        <f>IF(L194,1+SUMPRODUCT(--(calc!$L$3:$L$306=TRUE),--(calc!$M$3:$M$306&gt;M194))+(SUMPRODUCT(--(calc!$L$3:$L$306=TRUE),--(calc!$M$3:$M$306=M194))-1)/2,"")</f>
        <v/>
      </c>
      <c r="R194" s="5">
        <f>IF(L194,1+SUMPRODUCT(--(calc!$L$3:$L$306=TRUE),--(calc!$N$3:$N$306&gt;N194))+(SUMPRODUCT(--(calc!$L$3:$L$306=TRUE),--(calc!$N$3:$N$306=N194))-1)/2,"")</f>
        <v/>
      </c>
      <c r="S194" s="5">
        <f>IF(L194,SUMPRODUCT(--(calc!$L$3:$L$306=TRUE),--(ROW(calc!$L$3:$L$306)&gt;ROW(L194)),--(((calc!$Q$3:$Q$306&gt;Q194)*(calc!$R$3:$R$306&gt;R194)+(calc!$Q$3:$Q$306&lt;Q194)*(calc!$R$3:$R$306&lt;R194))&gt;0))-SUMPRODUCT(--(calc!$L$3:$L$306=TRUE),--(ROW(calc!$L$3:$L$306)&gt;ROW(L194)),--(((calc!$Q$3:$Q$306&gt;Q194)*(calc!$R$3:$R$306&lt;R194)+(calc!$Q$3:$Q$306&lt;Q194)*(calc!$R$3:$R$306&gt;R194))&gt;0)),0)</f>
        <v/>
      </c>
      <c r="T194" s="5">
        <f>IF(mos_metrics!H193="","",mos_metrics!H193)</f>
        <v/>
      </c>
      <c r="U194" s="2">
        <f>AND($J194,ISNUMBER(T194),correlation!$I$27=1)</f>
        <v/>
      </c>
      <c r="V194" s="5">
        <f>IF(U194,$F194,"")</f>
        <v/>
      </c>
      <c r="W194" s="5">
        <f>IF(U194,T194*correlation!$J$27,"")</f>
        <v/>
      </c>
      <c r="X194" s="5">
        <f>IF(AND(U194,ISNUMBER(correlation!$F$27)),W194*correlation!$F$27+correlation!$G$27,"")</f>
        <v/>
      </c>
      <c r="Y194" s="5">
        <f>IF(AND(U194,ISNUMBER(X194)),(V194-X194)^2,"")</f>
        <v/>
      </c>
      <c r="Z194" s="5">
        <f>IF(U194,1+SUMPRODUCT(--(calc!$U$3:$U$306=TRUE),--(calc!$V$3:$V$306&gt;V194))+(SUMPRODUCT(--(calc!$U$3:$U$306=TRUE),--(calc!$V$3:$V$306=V194))-1)/2,"")</f>
        <v/>
      </c>
      <c r="AA194" s="5">
        <f>IF(U194,1+SUMPRODUCT(--(calc!$U$3:$U$306=TRUE),--(calc!$W$3:$W$306&gt;W194))+(SUMPRODUCT(--(calc!$U$3:$U$306=TRUE),--(calc!$W$3:$W$306=W194))-1)/2,"")</f>
        <v/>
      </c>
      <c r="AB194" s="5">
        <f>IF(U194,SUMPRODUCT(--(calc!$U$3:$U$306=TRUE),--(ROW(calc!$U$3:$U$306)&gt;ROW(U194)),--(((calc!$Z$3:$Z$306&gt;Z194)*(calc!$AA$3:$AA$306&gt;AA194)+(calc!$Z$3:$Z$306&lt;Z194)*(calc!$AA$3:$AA$306&lt;AA194))&gt;0))-SUMPRODUCT(--(calc!$U$3:$U$306=TRUE),--(ROW(calc!$U$3:$U$306)&gt;ROW(U194)),--(((calc!$Z$3:$Z$306&gt;Z194)*(calc!$AA$3:$AA$306&lt;AA194)+(calc!$Z$3:$Z$306&lt;Z194)*(calc!$AA$3:$AA$306&gt;AA194))&gt;0)),0)</f>
        <v/>
      </c>
      <c r="AC194" s="5">
        <f>IF(mos_metrics!I193="","",mos_metrics!I193)</f>
        <v/>
      </c>
      <c r="AD194" s="2">
        <f>AND($J194,ISNUMBER(AC194),correlation!$I$28=1)</f>
        <v/>
      </c>
      <c r="AE194" s="5">
        <f>IF(AD194,$F194,"")</f>
        <v/>
      </c>
      <c r="AF194" s="5">
        <f>IF(AD194,AC194*correlation!$J$28,"")</f>
        <v/>
      </c>
      <c r="AG194" s="5">
        <f>IF(AND(AD194,ISNUMBER(correlation!$F$28)),AF194*correlation!$F$28+correlation!$G$28,"")</f>
        <v/>
      </c>
      <c r="AH194" s="5">
        <f>IF(AND(AD194,ISNUMBER(AG194)),(AE194-AG194)^2,"")</f>
        <v/>
      </c>
      <c r="AI194" s="5">
        <f>IF(AD194,1+SUMPRODUCT(--(calc!$AD$3:$AD$306=TRUE),--(calc!$AE$3:$AE$306&gt;AE194))+(SUMPRODUCT(--(calc!$AD$3:$AD$306=TRUE),--(calc!$AE$3:$AE$306=AE194))-1)/2,"")</f>
        <v/>
      </c>
      <c r="AJ194" s="5">
        <f>IF(AD194,1+SUMPRODUCT(--(calc!$AD$3:$AD$306=TRUE),--(calc!$AF$3:$AF$306&gt;AF194))+(SUMPRODUCT(--(calc!$AD$3:$AD$306=TRUE),--(calc!$AF$3:$AF$306=AF194))-1)/2,"")</f>
        <v/>
      </c>
      <c r="AK194" s="5">
        <f>IF(AD194,SUMPRODUCT(--(calc!$AD$3:$AD$306=TRUE),--(ROW(calc!$AD$3:$AD$306)&gt;ROW(AD194)),--(((calc!$AI$3:$AI$306&gt;AI194)*(calc!$AJ$3:$AJ$306&gt;AJ194)+(calc!$AI$3:$AI$306&lt;AI194)*(calc!$AJ$3:$AJ$306&lt;AJ194))&gt;0))-SUMPRODUCT(--(calc!$AD$3:$AD$306=TRUE),--(ROW(calc!$AD$3:$AD$306)&gt;ROW(AD194)),--(((calc!$AI$3:$AI$306&gt;AI194)*(calc!$AJ$3:$AJ$306&lt;AJ194)+(calc!$AI$3:$AI$306&lt;AI194)*(calc!$AJ$3:$AJ$306&gt;AJ194))&gt;0)),0)</f>
        <v/>
      </c>
      <c r="AL194" s="5">
        <f>IF(mos_metrics!J193="","",mos_metrics!J193)</f>
        <v/>
      </c>
      <c r="AM194" s="2">
        <f>AND($J194,ISNUMBER(AL194),correlation!$I$29=1)</f>
        <v/>
      </c>
      <c r="AN194" s="5">
        <f>IF(AM194,$F194,"")</f>
        <v/>
      </c>
      <c r="AO194" s="5">
        <f>IF(AM194,AL194*correlation!$J$29,"")</f>
        <v/>
      </c>
      <c r="AP194" s="5">
        <f>IF(AND(AM194,ISNUMBER(correlation!$F$29)),AO194*correlation!$F$29+correlation!$G$29,"")</f>
        <v/>
      </c>
      <c r="AQ194" s="5">
        <f>IF(AND(AM194,ISNUMBER(AP194)),(AN194-AP194)^2,"")</f>
        <v/>
      </c>
      <c r="AR194" s="5">
        <f>IF(AM194,1+SUMPRODUCT(--(calc!$AM$3:$AM$306=TRUE),--(calc!$AN$3:$AN$306&gt;AN194))+(SUMPRODUCT(--(calc!$AM$3:$AM$306=TRUE),--(calc!$AN$3:$AN$306=AN194))-1)/2,"")</f>
        <v/>
      </c>
      <c r="AS194" s="5">
        <f>IF(AM194,1+SUMPRODUCT(--(calc!$AM$3:$AM$306=TRUE),--(calc!$AO$3:$AO$306&gt;AO194))+(SUMPRODUCT(--(calc!$AM$3:$AM$306=TRUE),--(calc!$AO$3:$AO$306=AO194))-1)/2,"")</f>
        <v/>
      </c>
      <c r="AT194" s="5">
        <f>IF(AM194,SUMPRODUCT(--(calc!$AM$3:$AM$306=TRUE),--(ROW(calc!$AM$3:$AM$306)&gt;ROW(AM194)),--(((calc!$AR$3:$AR$306&gt;AR194)*(calc!$AS$3:$AS$306&gt;AS194)+(calc!$AR$3:$AR$306&lt;AR194)*(calc!$AS$3:$AS$306&lt;AS194))&gt;0))-SUMPRODUCT(--(calc!$AM$3:$AM$306=TRUE),--(ROW(calc!$AM$3:$AM$306)&gt;ROW(AM194)),--(((calc!$AR$3:$AR$306&gt;AR194)*(calc!$AS$3:$AS$306&lt;AS194)+(calc!$AR$3:$AR$306&lt;AR194)*(calc!$AS$3:$AS$306&gt;AS194))&gt;0)),0)</f>
        <v/>
      </c>
      <c r="AU194" s="5">
        <f>IF(mos_metrics!K193="","",mos_metrics!K193)</f>
        <v/>
      </c>
      <c r="AV194" s="2">
        <f>AND($J194,ISNUMBER(AU194),correlation!$I$30=1)</f>
        <v/>
      </c>
      <c r="AW194" s="5">
        <f>IF(AV194,$F194,"")</f>
        <v/>
      </c>
      <c r="AX194" s="5">
        <f>IF(AV194,AU194*correlation!$J$30,"")</f>
        <v/>
      </c>
      <c r="AY194" s="5">
        <f>IF(AND(AV194,ISNUMBER(correlation!$F$30)),AX194*correlation!$F$30+correlation!$G$30,"")</f>
        <v/>
      </c>
      <c r="AZ194" s="5">
        <f>IF(AND(AV194,ISNUMBER(AY194)),(AW194-AY194)^2,"")</f>
        <v/>
      </c>
      <c r="BA194" s="5">
        <f>IF(AV194,1+SUMPRODUCT(--(calc!$AV$3:$AV$306=TRUE),--(calc!$AW$3:$AW$306&gt;AW194))+(SUMPRODUCT(--(calc!$AV$3:$AV$306=TRUE),--(calc!$AW$3:$AW$306=AW194))-1)/2,"")</f>
        <v/>
      </c>
      <c r="BB194" s="5">
        <f>IF(AV194,1+SUMPRODUCT(--(calc!$AV$3:$AV$306=TRUE),--(calc!$AX$3:$AX$306&gt;AX194))+(SUMPRODUCT(--(calc!$AV$3:$AV$306=TRUE),--(calc!$AX$3:$AX$306=AX194))-1)/2,"")</f>
        <v/>
      </c>
      <c r="BC194" s="5">
        <f>IF(AV194,SUMPRODUCT(--(calc!$AV$3:$AV$306=TRUE),--(ROW(calc!$AV$3:$AV$306)&gt;ROW(AV194)),--(((calc!$BA$3:$BA$306&gt;BA194)*(calc!$BB$3:$BB$306&gt;BB194)+(calc!$BA$3:$BA$306&lt;BA194)*(calc!$BB$3:$BB$306&lt;BB194))&gt;0))-SUMPRODUCT(--(calc!$AV$3:$AV$306=TRUE),--(ROW(calc!$AV$3:$AV$306)&gt;ROW(AV194)),--(((calc!$BA$3:$BA$306&gt;BA194)*(calc!$BB$3:$BB$306&lt;BB194)+(calc!$BA$3:$BA$306&lt;BA194)*(calc!$BB$3:$BB$306&gt;BB194))&gt;0)),0)</f>
        <v/>
      </c>
      <c r="BD194" s="5">
        <f>IF(mos_metrics!L193="","",mos_metrics!L193)</f>
        <v/>
      </c>
      <c r="BE194" s="2">
        <f>AND($J194,ISNUMBER(BD194),correlation!$I$31=1)</f>
        <v/>
      </c>
      <c r="BF194" s="5">
        <f>IF(BE194,$F194,"")</f>
        <v/>
      </c>
      <c r="BG194" s="5">
        <f>IF(BE194,BD194*correlation!$J$31,"")</f>
        <v/>
      </c>
      <c r="BH194" s="5">
        <f>IF(AND(BE194,ISNUMBER(correlation!$F$31)),BG194*correlation!$F$31+correlation!$G$31,"")</f>
        <v/>
      </c>
      <c r="BI194" s="5">
        <f>IF(AND(BE194,ISNUMBER(BH194)),(BF194-BH194)^2,"")</f>
        <v/>
      </c>
      <c r="BJ194" s="5">
        <f>IF(BE194,1+SUMPRODUCT(--(calc!$BE$3:$BE$306=TRUE),--(calc!$BF$3:$BF$306&gt;BF194))+(SUMPRODUCT(--(calc!$BE$3:$BE$306=TRUE),--(calc!$BF$3:$BF$306=BF194))-1)/2,"")</f>
        <v/>
      </c>
      <c r="BK194" s="5">
        <f>IF(BE194,1+SUMPRODUCT(--(calc!$BE$3:$BE$306=TRUE),--(calc!$BG$3:$BG$306&gt;BG194))+(SUMPRODUCT(--(calc!$BE$3:$BE$306=TRUE),--(calc!$BG$3:$BG$306=BG194))-1)/2,"")</f>
        <v/>
      </c>
      <c r="BL194" s="5">
        <f>IF(BE194,SUMPRODUCT(--(calc!$BE$3:$BE$306=TRUE),--(ROW(calc!$BE$3:$BE$306)&gt;ROW(BE194)),--(((calc!$BJ$3:$BJ$306&gt;BJ194)*(calc!$BK$3:$BK$306&gt;BK194)+(calc!$BJ$3:$BJ$306&lt;BJ194)*(calc!$BK$3:$BK$306&lt;BK194))&gt;0))-SUMPRODUCT(--(calc!$BE$3:$BE$306=TRUE),--(ROW(calc!$BE$3:$BE$306)&gt;ROW(BE194)),--(((calc!$BJ$3:$BJ$306&gt;BJ194)*(calc!$BK$3:$BK$306&lt;BK194)+(calc!$BJ$3:$BJ$306&lt;BJ194)*(calc!$BK$3:$BK$306&gt;BK194))&gt;0)),0)</f>
        <v/>
      </c>
      <c r="BM194" s="5">
        <f>IF(mos_metrics!M193="","",mos_metrics!M193)</f>
        <v/>
      </c>
      <c r="BN194" s="2">
        <f>AND($J194,ISNUMBER(BM194),correlation!$I$32=1)</f>
        <v/>
      </c>
      <c r="BO194" s="5">
        <f>IF(BN194,$F194,"")</f>
        <v/>
      </c>
      <c r="BP194" s="5">
        <f>IF(BN194,BM194*correlation!$J$32,"")</f>
        <v/>
      </c>
      <c r="BQ194" s="5">
        <f>IF(AND(BN194,ISNUMBER(correlation!$F$32)),BP194*correlation!$F$32+correlation!$G$32,"")</f>
        <v/>
      </c>
      <c r="BR194" s="5">
        <f>IF(AND(BN194,ISNUMBER(BQ194)),(BO194-BQ194)^2,"")</f>
        <v/>
      </c>
      <c r="BS194" s="5">
        <f>IF(BN194,1+SUMPRODUCT(--(calc!$BN$3:$BN$306=TRUE),--(calc!$BO$3:$BO$306&gt;BO194))+(SUMPRODUCT(--(calc!$BN$3:$BN$306=TRUE),--(calc!$BO$3:$BO$306=BO194))-1)/2,"")</f>
        <v/>
      </c>
      <c r="BT194" s="5">
        <f>IF(BN194,1+SUMPRODUCT(--(calc!$BN$3:$BN$306=TRUE),--(calc!$BP$3:$BP$306&gt;BP194))+(SUMPRODUCT(--(calc!$BN$3:$BN$306=TRUE),--(calc!$BP$3:$BP$306=BP194))-1)/2,"")</f>
        <v/>
      </c>
      <c r="BU194" s="5">
        <f>IF(BN194,SUMPRODUCT(--(calc!$BN$3:$BN$306=TRUE),--(ROW(calc!$BN$3:$BN$306)&gt;ROW(BN194)),--(((calc!$BS$3:$BS$306&gt;BS194)*(calc!$BT$3:$BT$306&gt;BT194)+(calc!$BS$3:$BS$306&lt;BS194)*(calc!$BT$3:$BT$306&lt;BT194))&gt;0))-SUMPRODUCT(--(calc!$BN$3:$BN$306=TRUE),--(ROW(calc!$BN$3:$BN$306)&gt;ROW(BN194)),--(((calc!$BS$3:$BS$306&gt;BS194)*(calc!$BT$3:$BT$306&lt;BT194)+(calc!$BS$3:$BS$306&lt;BS194)*(calc!$BT$3:$BT$306&gt;BT194))&gt;0)),0)</f>
        <v/>
      </c>
    </row>
    <row r="195">
      <c r="A195" s="2">
        <f>mos_metrics!A194</f>
        <v/>
      </c>
      <c r="B195" s="2">
        <f>mos_metrics!B194</f>
        <v/>
      </c>
      <c r="C195" s="2">
        <f>mos_metrics!C194</f>
        <v/>
      </c>
      <c r="D195" s="2">
        <f>mos_metrics!D194</f>
        <v/>
      </c>
      <c r="E195" s="2">
        <f>mos_metrics!E194</f>
        <v/>
      </c>
      <c r="F195" s="2">
        <f>mos_metrics!F194</f>
        <v/>
      </c>
      <c r="G195" s="2">
        <f>IF($B195="","",IFERROR(VLOOKUP($B195,correlation!$A$2:$B$16,2,FALSE),1))</f>
        <v/>
      </c>
      <c r="H195" s="2">
        <f>IF($E195="","",IFERROR(VLOOKUP($E195,correlation!$D$2:$E$8,2,FALSE),1))</f>
        <v/>
      </c>
      <c r="I195" s="2">
        <f>ISNUMBER($F195)</f>
        <v/>
      </c>
      <c r="J195" s="2">
        <f>AND($G195=1,$H195=1,$I195)</f>
        <v/>
      </c>
      <c r="K195" s="5">
        <f>IF(mos_metrics!G194="","",mos_metrics!G194)</f>
        <v/>
      </c>
      <c r="L195" s="2">
        <f>AND($J195,ISNUMBER(K195),correlation!$I$26=1)</f>
        <v/>
      </c>
      <c r="M195" s="5">
        <f>IF(L195,$F195,"")</f>
        <v/>
      </c>
      <c r="N195" s="5">
        <f>IF(L195,K195*correlation!$J$26,"")</f>
        <v/>
      </c>
      <c r="O195" s="5">
        <f>IF(AND(L195,ISNUMBER(correlation!$F$26)),N195*correlation!$F$26+correlation!$G$26,"")</f>
        <v/>
      </c>
      <c r="P195" s="5">
        <f>IF(AND(L195,ISNUMBER(O195)),(M195-O195)^2,"")</f>
        <v/>
      </c>
      <c r="Q195" s="5">
        <f>IF(L195,1+SUMPRODUCT(--(calc!$L$3:$L$306=TRUE),--(calc!$M$3:$M$306&gt;M195))+(SUMPRODUCT(--(calc!$L$3:$L$306=TRUE),--(calc!$M$3:$M$306=M195))-1)/2,"")</f>
        <v/>
      </c>
      <c r="R195" s="5">
        <f>IF(L195,1+SUMPRODUCT(--(calc!$L$3:$L$306=TRUE),--(calc!$N$3:$N$306&gt;N195))+(SUMPRODUCT(--(calc!$L$3:$L$306=TRUE),--(calc!$N$3:$N$306=N195))-1)/2,"")</f>
        <v/>
      </c>
      <c r="S195" s="5">
        <f>IF(L195,SUMPRODUCT(--(calc!$L$3:$L$306=TRUE),--(ROW(calc!$L$3:$L$306)&gt;ROW(L195)),--(((calc!$Q$3:$Q$306&gt;Q195)*(calc!$R$3:$R$306&gt;R195)+(calc!$Q$3:$Q$306&lt;Q195)*(calc!$R$3:$R$306&lt;R195))&gt;0))-SUMPRODUCT(--(calc!$L$3:$L$306=TRUE),--(ROW(calc!$L$3:$L$306)&gt;ROW(L195)),--(((calc!$Q$3:$Q$306&gt;Q195)*(calc!$R$3:$R$306&lt;R195)+(calc!$Q$3:$Q$306&lt;Q195)*(calc!$R$3:$R$306&gt;R195))&gt;0)),0)</f>
        <v/>
      </c>
      <c r="T195" s="5">
        <f>IF(mos_metrics!H194="","",mos_metrics!H194)</f>
        <v/>
      </c>
      <c r="U195" s="2">
        <f>AND($J195,ISNUMBER(T195),correlation!$I$27=1)</f>
        <v/>
      </c>
      <c r="V195" s="5">
        <f>IF(U195,$F195,"")</f>
        <v/>
      </c>
      <c r="W195" s="5">
        <f>IF(U195,T195*correlation!$J$27,"")</f>
        <v/>
      </c>
      <c r="X195" s="5">
        <f>IF(AND(U195,ISNUMBER(correlation!$F$27)),W195*correlation!$F$27+correlation!$G$27,"")</f>
        <v/>
      </c>
      <c r="Y195" s="5">
        <f>IF(AND(U195,ISNUMBER(X195)),(V195-X195)^2,"")</f>
        <v/>
      </c>
      <c r="Z195" s="5">
        <f>IF(U195,1+SUMPRODUCT(--(calc!$U$3:$U$306=TRUE),--(calc!$V$3:$V$306&gt;V195))+(SUMPRODUCT(--(calc!$U$3:$U$306=TRUE),--(calc!$V$3:$V$306=V195))-1)/2,"")</f>
        <v/>
      </c>
      <c r="AA195" s="5">
        <f>IF(U195,1+SUMPRODUCT(--(calc!$U$3:$U$306=TRUE),--(calc!$W$3:$W$306&gt;W195))+(SUMPRODUCT(--(calc!$U$3:$U$306=TRUE),--(calc!$W$3:$W$306=W195))-1)/2,"")</f>
        <v/>
      </c>
      <c r="AB195" s="5">
        <f>IF(U195,SUMPRODUCT(--(calc!$U$3:$U$306=TRUE),--(ROW(calc!$U$3:$U$306)&gt;ROW(U195)),--(((calc!$Z$3:$Z$306&gt;Z195)*(calc!$AA$3:$AA$306&gt;AA195)+(calc!$Z$3:$Z$306&lt;Z195)*(calc!$AA$3:$AA$306&lt;AA195))&gt;0))-SUMPRODUCT(--(calc!$U$3:$U$306=TRUE),--(ROW(calc!$U$3:$U$306)&gt;ROW(U195)),--(((calc!$Z$3:$Z$306&gt;Z195)*(calc!$AA$3:$AA$306&lt;AA195)+(calc!$Z$3:$Z$306&lt;Z195)*(calc!$AA$3:$AA$306&gt;AA195))&gt;0)),0)</f>
        <v/>
      </c>
      <c r="AC195" s="5">
        <f>IF(mos_metrics!I194="","",mos_metrics!I194)</f>
        <v/>
      </c>
      <c r="AD195" s="2">
        <f>AND($J195,ISNUMBER(AC195),correlation!$I$28=1)</f>
        <v/>
      </c>
      <c r="AE195" s="5">
        <f>IF(AD195,$F195,"")</f>
        <v/>
      </c>
      <c r="AF195" s="5">
        <f>IF(AD195,AC195*correlation!$J$28,"")</f>
        <v/>
      </c>
      <c r="AG195" s="5">
        <f>IF(AND(AD195,ISNUMBER(correlation!$F$28)),AF195*correlation!$F$28+correlation!$G$28,"")</f>
        <v/>
      </c>
      <c r="AH195" s="5">
        <f>IF(AND(AD195,ISNUMBER(AG195)),(AE195-AG195)^2,"")</f>
        <v/>
      </c>
      <c r="AI195" s="5">
        <f>IF(AD195,1+SUMPRODUCT(--(calc!$AD$3:$AD$306=TRUE),--(calc!$AE$3:$AE$306&gt;AE195))+(SUMPRODUCT(--(calc!$AD$3:$AD$306=TRUE),--(calc!$AE$3:$AE$306=AE195))-1)/2,"")</f>
        <v/>
      </c>
      <c r="AJ195" s="5">
        <f>IF(AD195,1+SUMPRODUCT(--(calc!$AD$3:$AD$306=TRUE),--(calc!$AF$3:$AF$306&gt;AF195))+(SUMPRODUCT(--(calc!$AD$3:$AD$306=TRUE),--(calc!$AF$3:$AF$306=AF195))-1)/2,"")</f>
        <v/>
      </c>
      <c r="AK195" s="5">
        <f>IF(AD195,SUMPRODUCT(--(calc!$AD$3:$AD$306=TRUE),--(ROW(calc!$AD$3:$AD$306)&gt;ROW(AD195)),--(((calc!$AI$3:$AI$306&gt;AI195)*(calc!$AJ$3:$AJ$306&gt;AJ195)+(calc!$AI$3:$AI$306&lt;AI195)*(calc!$AJ$3:$AJ$306&lt;AJ195))&gt;0))-SUMPRODUCT(--(calc!$AD$3:$AD$306=TRUE),--(ROW(calc!$AD$3:$AD$306)&gt;ROW(AD195)),--(((calc!$AI$3:$AI$306&gt;AI195)*(calc!$AJ$3:$AJ$306&lt;AJ195)+(calc!$AI$3:$AI$306&lt;AI195)*(calc!$AJ$3:$AJ$306&gt;AJ195))&gt;0)),0)</f>
        <v/>
      </c>
      <c r="AL195" s="5">
        <f>IF(mos_metrics!J194="","",mos_metrics!J194)</f>
        <v/>
      </c>
      <c r="AM195" s="2">
        <f>AND($J195,ISNUMBER(AL195),correlation!$I$29=1)</f>
        <v/>
      </c>
      <c r="AN195" s="5">
        <f>IF(AM195,$F195,"")</f>
        <v/>
      </c>
      <c r="AO195" s="5">
        <f>IF(AM195,AL195*correlation!$J$29,"")</f>
        <v/>
      </c>
      <c r="AP195" s="5">
        <f>IF(AND(AM195,ISNUMBER(correlation!$F$29)),AO195*correlation!$F$29+correlation!$G$29,"")</f>
        <v/>
      </c>
      <c r="AQ195" s="5">
        <f>IF(AND(AM195,ISNUMBER(AP195)),(AN195-AP195)^2,"")</f>
        <v/>
      </c>
      <c r="AR195" s="5">
        <f>IF(AM195,1+SUMPRODUCT(--(calc!$AM$3:$AM$306=TRUE),--(calc!$AN$3:$AN$306&gt;AN195))+(SUMPRODUCT(--(calc!$AM$3:$AM$306=TRUE),--(calc!$AN$3:$AN$306=AN195))-1)/2,"")</f>
        <v/>
      </c>
      <c r="AS195" s="5">
        <f>IF(AM195,1+SUMPRODUCT(--(calc!$AM$3:$AM$306=TRUE),--(calc!$AO$3:$AO$306&gt;AO195))+(SUMPRODUCT(--(calc!$AM$3:$AM$306=TRUE),--(calc!$AO$3:$AO$306=AO195))-1)/2,"")</f>
        <v/>
      </c>
      <c r="AT195" s="5">
        <f>IF(AM195,SUMPRODUCT(--(calc!$AM$3:$AM$306=TRUE),--(ROW(calc!$AM$3:$AM$306)&gt;ROW(AM195)),--(((calc!$AR$3:$AR$306&gt;AR195)*(calc!$AS$3:$AS$306&gt;AS195)+(calc!$AR$3:$AR$306&lt;AR195)*(calc!$AS$3:$AS$306&lt;AS195))&gt;0))-SUMPRODUCT(--(calc!$AM$3:$AM$306=TRUE),--(ROW(calc!$AM$3:$AM$306)&gt;ROW(AM195)),--(((calc!$AR$3:$AR$306&gt;AR195)*(calc!$AS$3:$AS$306&lt;AS195)+(calc!$AR$3:$AR$306&lt;AR195)*(calc!$AS$3:$AS$306&gt;AS195))&gt;0)),0)</f>
        <v/>
      </c>
      <c r="AU195" s="5">
        <f>IF(mos_metrics!K194="","",mos_metrics!K194)</f>
        <v/>
      </c>
      <c r="AV195" s="2">
        <f>AND($J195,ISNUMBER(AU195),correlation!$I$30=1)</f>
        <v/>
      </c>
      <c r="AW195" s="5">
        <f>IF(AV195,$F195,"")</f>
        <v/>
      </c>
      <c r="AX195" s="5">
        <f>IF(AV195,AU195*correlation!$J$30,"")</f>
        <v/>
      </c>
      <c r="AY195" s="5">
        <f>IF(AND(AV195,ISNUMBER(correlation!$F$30)),AX195*correlation!$F$30+correlation!$G$30,"")</f>
        <v/>
      </c>
      <c r="AZ195" s="5">
        <f>IF(AND(AV195,ISNUMBER(AY195)),(AW195-AY195)^2,"")</f>
        <v/>
      </c>
      <c r="BA195" s="5">
        <f>IF(AV195,1+SUMPRODUCT(--(calc!$AV$3:$AV$306=TRUE),--(calc!$AW$3:$AW$306&gt;AW195))+(SUMPRODUCT(--(calc!$AV$3:$AV$306=TRUE),--(calc!$AW$3:$AW$306=AW195))-1)/2,"")</f>
        <v/>
      </c>
      <c r="BB195" s="5">
        <f>IF(AV195,1+SUMPRODUCT(--(calc!$AV$3:$AV$306=TRUE),--(calc!$AX$3:$AX$306&gt;AX195))+(SUMPRODUCT(--(calc!$AV$3:$AV$306=TRUE),--(calc!$AX$3:$AX$306=AX195))-1)/2,"")</f>
        <v/>
      </c>
      <c r="BC195" s="5">
        <f>IF(AV195,SUMPRODUCT(--(calc!$AV$3:$AV$306=TRUE),--(ROW(calc!$AV$3:$AV$306)&gt;ROW(AV195)),--(((calc!$BA$3:$BA$306&gt;BA195)*(calc!$BB$3:$BB$306&gt;BB195)+(calc!$BA$3:$BA$306&lt;BA195)*(calc!$BB$3:$BB$306&lt;BB195))&gt;0))-SUMPRODUCT(--(calc!$AV$3:$AV$306=TRUE),--(ROW(calc!$AV$3:$AV$306)&gt;ROW(AV195)),--(((calc!$BA$3:$BA$306&gt;BA195)*(calc!$BB$3:$BB$306&lt;BB195)+(calc!$BA$3:$BA$306&lt;BA195)*(calc!$BB$3:$BB$306&gt;BB195))&gt;0)),0)</f>
        <v/>
      </c>
      <c r="BD195" s="5">
        <f>IF(mos_metrics!L194="","",mos_metrics!L194)</f>
        <v/>
      </c>
      <c r="BE195" s="2">
        <f>AND($J195,ISNUMBER(BD195),correlation!$I$31=1)</f>
        <v/>
      </c>
      <c r="BF195" s="5">
        <f>IF(BE195,$F195,"")</f>
        <v/>
      </c>
      <c r="BG195" s="5">
        <f>IF(BE195,BD195*correlation!$J$31,"")</f>
        <v/>
      </c>
      <c r="BH195" s="5">
        <f>IF(AND(BE195,ISNUMBER(correlation!$F$31)),BG195*correlation!$F$31+correlation!$G$31,"")</f>
        <v/>
      </c>
      <c r="BI195" s="5">
        <f>IF(AND(BE195,ISNUMBER(BH195)),(BF195-BH195)^2,"")</f>
        <v/>
      </c>
      <c r="BJ195" s="5">
        <f>IF(BE195,1+SUMPRODUCT(--(calc!$BE$3:$BE$306=TRUE),--(calc!$BF$3:$BF$306&gt;BF195))+(SUMPRODUCT(--(calc!$BE$3:$BE$306=TRUE),--(calc!$BF$3:$BF$306=BF195))-1)/2,"")</f>
        <v/>
      </c>
      <c r="BK195" s="5">
        <f>IF(BE195,1+SUMPRODUCT(--(calc!$BE$3:$BE$306=TRUE),--(calc!$BG$3:$BG$306&gt;BG195))+(SUMPRODUCT(--(calc!$BE$3:$BE$306=TRUE),--(calc!$BG$3:$BG$306=BG195))-1)/2,"")</f>
        <v/>
      </c>
      <c r="BL195" s="5">
        <f>IF(BE195,SUMPRODUCT(--(calc!$BE$3:$BE$306=TRUE),--(ROW(calc!$BE$3:$BE$306)&gt;ROW(BE195)),--(((calc!$BJ$3:$BJ$306&gt;BJ195)*(calc!$BK$3:$BK$306&gt;BK195)+(calc!$BJ$3:$BJ$306&lt;BJ195)*(calc!$BK$3:$BK$306&lt;BK195))&gt;0))-SUMPRODUCT(--(calc!$BE$3:$BE$306=TRUE),--(ROW(calc!$BE$3:$BE$306)&gt;ROW(BE195)),--(((calc!$BJ$3:$BJ$306&gt;BJ195)*(calc!$BK$3:$BK$306&lt;BK195)+(calc!$BJ$3:$BJ$306&lt;BJ195)*(calc!$BK$3:$BK$306&gt;BK195))&gt;0)),0)</f>
        <v/>
      </c>
      <c r="BM195" s="5">
        <f>IF(mos_metrics!M194="","",mos_metrics!M194)</f>
        <v/>
      </c>
      <c r="BN195" s="2">
        <f>AND($J195,ISNUMBER(BM195),correlation!$I$32=1)</f>
        <v/>
      </c>
      <c r="BO195" s="5">
        <f>IF(BN195,$F195,"")</f>
        <v/>
      </c>
      <c r="BP195" s="5">
        <f>IF(BN195,BM195*correlation!$J$32,"")</f>
        <v/>
      </c>
      <c r="BQ195" s="5">
        <f>IF(AND(BN195,ISNUMBER(correlation!$F$32)),BP195*correlation!$F$32+correlation!$G$32,"")</f>
        <v/>
      </c>
      <c r="BR195" s="5">
        <f>IF(AND(BN195,ISNUMBER(BQ195)),(BO195-BQ195)^2,"")</f>
        <v/>
      </c>
      <c r="BS195" s="5">
        <f>IF(BN195,1+SUMPRODUCT(--(calc!$BN$3:$BN$306=TRUE),--(calc!$BO$3:$BO$306&gt;BO195))+(SUMPRODUCT(--(calc!$BN$3:$BN$306=TRUE),--(calc!$BO$3:$BO$306=BO195))-1)/2,"")</f>
        <v/>
      </c>
      <c r="BT195" s="5">
        <f>IF(BN195,1+SUMPRODUCT(--(calc!$BN$3:$BN$306=TRUE),--(calc!$BP$3:$BP$306&gt;BP195))+(SUMPRODUCT(--(calc!$BN$3:$BN$306=TRUE),--(calc!$BP$3:$BP$306=BP195))-1)/2,"")</f>
        <v/>
      </c>
      <c r="BU195" s="5">
        <f>IF(BN195,SUMPRODUCT(--(calc!$BN$3:$BN$306=TRUE),--(ROW(calc!$BN$3:$BN$306)&gt;ROW(BN195)),--(((calc!$BS$3:$BS$306&gt;BS195)*(calc!$BT$3:$BT$306&gt;BT195)+(calc!$BS$3:$BS$306&lt;BS195)*(calc!$BT$3:$BT$306&lt;BT195))&gt;0))-SUMPRODUCT(--(calc!$BN$3:$BN$306=TRUE),--(ROW(calc!$BN$3:$BN$306)&gt;ROW(BN195)),--(((calc!$BS$3:$BS$306&gt;BS195)*(calc!$BT$3:$BT$306&lt;BT195)+(calc!$BS$3:$BS$306&lt;BS195)*(calc!$BT$3:$BT$306&gt;BT195))&gt;0)),0)</f>
        <v/>
      </c>
    </row>
    <row r="196">
      <c r="A196" s="2">
        <f>mos_metrics!A195</f>
        <v/>
      </c>
      <c r="B196" s="2">
        <f>mos_metrics!B195</f>
        <v/>
      </c>
      <c r="C196" s="2">
        <f>mos_metrics!C195</f>
        <v/>
      </c>
      <c r="D196" s="2">
        <f>mos_metrics!D195</f>
        <v/>
      </c>
      <c r="E196" s="2">
        <f>mos_metrics!E195</f>
        <v/>
      </c>
      <c r="F196" s="2">
        <f>mos_metrics!F195</f>
        <v/>
      </c>
      <c r="G196" s="2">
        <f>IF($B196="","",IFERROR(VLOOKUP($B196,correlation!$A$2:$B$16,2,FALSE),1))</f>
        <v/>
      </c>
      <c r="H196" s="2">
        <f>IF($E196="","",IFERROR(VLOOKUP($E196,correlation!$D$2:$E$8,2,FALSE),1))</f>
        <v/>
      </c>
      <c r="I196" s="2">
        <f>ISNUMBER($F196)</f>
        <v/>
      </c>
      <c r="J196" s="2">
        <f>AND($G196=1,$H196=1,$I196)</f>
        <v/>
      </c>
      <c r="K196" s="5">
        <f>IF(mos_metrics!G195="","",mos_metrics!G195)</f>
        <v/>
      </c>
      <c r="L196" s="2">
        <f>AND($J196,ISNUMBER(K196),correlation!$I$26=1)</f>
        <v/>
      </c>
      <c r="M196" s="5">
        <f>IF(L196,$F196,"")</f>
        <v/>
      </c>
      <c r="N196" s="5">
        <f>IF(L196,K196*correlation!$J$26,"")</f>
        <v/>
      </c>
      <c r="O196" s="5">
        <f>IF(AND(L196,ISNUMBER(correlation!$F$26)),N196*correlation!$F$26+correlation!$G$26,"")</f>
        <v/>
      </c>
      <c r="P196" s="5">
        <f>IF(AND(L196,ISNUMBER(O196)),(M196-O196)^2,"")</f>
        <v/>
      </c>
      <c r="Q196" s="5">
        <f>IF(L196,1+SUMPRODUCT(--(calc!$L$3:$L$306=TRUE),--(calc!$M$3:$M$306&gt;M196))+(SUMPRODUCT(--(calc!$L$3:$L$306=TRUE),--(calc!$M$3:$M$306=M196))-1)/2,"")</f>
        <v/>
      </c>
      <c r="R196" s="5">
        <f>IF(L196,1+SUMPRODUCT(--(calc!$L$3:$L$306=TRUE),--(calc!$N$3:$N$306&gt;N196))+(SUMPRODUCT(--(calc!$L$3:$L$306=TRUE),--(calc!$N$3:$N$306=N196))-1)/2,"")</f>
        <v/>
      </c>
      <c r="S196" s="5">
        <f>IF(L196,SUMPRODUCT(--(calc!$L$3:$L$306=TRUE),--(ROW(calc!$L$3:$L$306)&gt;ROW(L196)),--(((calc!$Q$3:$Q$306&gt;Q196)*(calc!$R$3:$R$306&gt;R196)+(calc!$Q$3:$Q$306&lt;Q196)*(calc!$R$3:$R$306&lt;R196))&gt;0))-SUMPRODUCT(--(calc!$L$3:$L$306=TRUE),--(ROW(calc!$L$3:$L$306)&gt;ROW(L196)),--(((calc!$Q$3:$Q$306&gt;Q196)*(calc!$R$3:$R$306&lt;R196)+(calc!$Q$3:$Q$306&lt;Q196)*(calc!$R$3:$R$306&gt;R196))&gt;0)),0)</f>
        <v/>
      </c>
      <c r="T196" s="5">
        <f>IF(mos_metrics!H195="","",mos_metrics!H195)</f>
        <v/>
      </c>
      <c r="U196" s="2">
        <f>AND($J196,ISNUMBER(T196),correlation!$I$27=1)</f>
        <v/>
      </c>
      <c r="V196" s="5">
        <f>IF(U196,$F196,"")</f>
        <v/>
      </c>
      <c r="W196" s="5">
        <f>IF(U196,T196*correlation!$J$27,"")</f>
        <v/>
      </c>
      <c r="X196" s="5">
        <f>IF(AND(U196,ISNUMBER(correlation!$F$27)),W196*correlation!$F$27+correlation!$G$27,"")</f>
        <v/>
      </c>
      <c r="Y196" s="5">
        <f>IF(AND(U196,ISNUMBER(X196)),(V196-X196)^2,"")</f>
        <v/>
      </c>
      <c r="Z196" s="5">
        <f>IF(U196,1+SUMPRODUCT(--(calc!$U$3:$U$306=TRUE),--(calc!$V$3:$V$306&gt;V196))+(SUMPRODUCT(--(calc!$U$3:$U$306=TRUE),--(calc!$V$3:$V$306=V196))-1)/2,"")</f>
        <v/>
      </c>
      <c r="AA196" s="5">
        <f>IF(U196,1+SUMPRODUCT(--(calc!$U$3:$U$306=TRUE),--(calc!$W$3:$W$306&gt;W196))+(SUMPRODUCT(--(calc!$U$3:$U$306=TRUE),--(calc!$W$3:$W$306=W196))-1)/2,"")</f>
        <v/>
      </c>
      <c r="AB196" s="5">
        <f>IF(U196,SUMPRODUCT(--(calc!$U$3:$U$306=TRUE),--(ROW(calc!$U$3:$U$306)&gt;ROW(U196)),--(((calc!$Z$3:$Z$306&gt;Z196)*(calc!$AA$3:$AA$306&gt;AA196)+(calc!$Z$3:$Z$306&lt;Z196)*(calc!$AA$3:$AA$306&lt;AA196))&gt;0))-SUMPRODUCT(--(calc!$U$3:$U$306=TRUE),--(ROW(calc!$U$3:$U$306)&gt;ROW(U196)),--(((calc!$Z$3:$Z$306&gt;Z196)*(calc!$AA$3:$AA$306&lt;AA196)+(calc!$Z$3:$Z$306&lt;Z196)*(calc!$AA$3:$AA$306&gt;AA196))&gt;0)),0)</f>
        <v/>
      </c>
      <c r="AC196" s="5">
        <f>IF(mos_metrics!I195="","",mos_metrics!I195)</f>
        <v/>
      </c>
      <c r="AD196" s="2">
        <f>AND($J196,ISNUMBER(AC196),correlation!$I$28=1)</f>
        <v/>
      </c>
      <c r="AE196" s="5">
        <f>IF(AD196,$F196,"")</f>
        <v/>
      </c>
      <c r="AF196" s="5">
        <f>IF(AD196,AC196*correlation!$J$28,"")</f>
        <v/>
      </c>
      <c r="AG196" s="5">
        <f>IF(AND(AD196,ISNUMBER(correlation!$F$28)),AF196*correlation!$F$28+correlation!$G$28,"")</f>
        <v/>
      </c>
      <c r="AH196" s="5">
        <f>IF(AND(AD196,ISNUMBER(AG196)),(AE196-AG196)^2,"")</f>
        <v/>
      </c>
      <c r="AI196" s="5">
        <f>IF(AD196,1+SUMPRODUCT(--(calc!$AD$3:$AD$306=TRUE),--(calc!$AE$3:$AE$306&gt;AE196))+(SUMPRODUCT(--(calc!$AD$3:$AD$306=TRUE),--(calc!$AE$3:$AE$306=AE196))-1)/2,"")</f>
        <v/>
      </c>
      <c r="AJ196" s="5">
        <f>IF(AD196,1+SUMPRODUCT(--(calc!$AD$3:$AD$306=TRUE),--(calc!$AF$3:$AF$306&gt;AF196))+(SUMPRODUCT(--(calc!$AD$3:$AD$306=TRUE),--(calc!$AF$3:$AF$306=AF196))-1)/2,"")</f>
        <v/>
      </c>
      <c r="AK196" s="5">
        <f>IF(AD196,SUMPRODUCT(--(calc!$AD$3:$AD$306=TRUE),--(ROW(calc!$AD$3:$AD$306)&gt;ROW(AD196)),--(((calc!$AI$3:$AI$306&gt;AI196)*(calc!$AJ$3:$AJ$306&gt;AJ196)+(calc!$AI$3:$AI$306&lt;AI196)*(calc!$AJ$3:$AJ$306&lt;AJ196))&gt;0))-SUMPRODUCT(--(calc!$AD$3:$AD$306=TRUE),--(ROW(calc!$AD$3:$AD$306)&gt;ROW(AD196)),--(((calc!$AI$3:$AI$306&gt;AI196)*(calc!$AJ$3:$AJ$306&lt;AJ196)+(calc!$AI$3:$AI$306&lt;AI196)*(calc!$AJ$3:$AJ$306&gt;AJ196))&gt;0)),0)</f>
        <v/>
      </c>
      <c r="AL196" s="5">
        <f>IF(mos_metrics!J195="","",mos_metrics!J195)</f>
        <v/>
      </c>
      <c r="AM196" s="2">
        <f>AND($J196,ISNUMBER(AL196),correlation!$I$29=1)</f>
        <v/>
      </c>
      <c r="AN196" s="5">
        <f>IF(AM196,$F196,"")</f>
        <v/>
      </c>
      <c r="AO196" s="5">
        <f>IF(AM196,AL196*correlation!$J$29,"")</f>
        <v/>
      </c>
      <c r="AP196" s="5">
        <f>IF(AND(AM196,ISNUMBER(correlation!$F$29)),AO196*correlation!$F$29+correlation!$G$29,"")</f>
        <v/>
      </c>
      <c r="AQ196" s="5">
        <f>IF(AND(AM196,ISNUMBER(AP196)),(AN196-AP196)^2,"")</f>
        <v/>
      </c>
      <c r="AR196" s="5">
        <f>IF(AM196,1+SUMPRODUCT(--(calc!$AM$3:$AM$306=TRUE),--(calc!$AN$3:$AN$306&gt;AN196))+(SUMPRODUCT(--(calc!$AM$3:$AM$306=TRUE),--(calc!$AN$3:$AN$306=AN196))-1)/2,"")</f>
        <v/>
      </c>
      <c r="AS196" s="5">
        <f>IF(AM196,1+SUMPRODUCT(--(calc!$AM$3:$AM$306=TRUE),--(calc!$AO$3:$AO$306&gt;AO196))+(SUMPRODUCT(--(calc!$AM$3:$AM$306=TRUE),--(calc!$AO$3:$AO$306=AO196))-1)/2,"")</f>
        <v/>
      </c>
      <c r="AT196" s="5">
        <f>IF(AM196,SUMPRODUCT(--(calc!$AM$3:$AM$306=TRUE),--(ROW(calc!$AM$3:$AM$306)&gt;ROW(AM196)),--(((calc!$AR$3:$AR$306&gt;AR196)*(calc!$AS$3:$AS$306&gt;AS196)+(calc!$AR$3:$AR$306&lt;AR196)*(calc!$AS$3:$AS$306&lt;AS196))&gt;0))-SUMPRODUCT(--(calc!$AM$3:$AM$306=TRUE),--(ROW(calc!$AM$3:$AM$306)&gt;ROW(AM196)),--(((calc!$AR$3:$AR$306&gt;AR196)*(calc!$AS$3:$AS$306&lt;AS196)+(calc!$AR$3:$AR$306&lt;AR196)*(calc!$AS$3:$AS$306&gt;AS196))&gt;0)),0)</f>
        <v/>
      </c>
      <c r="AU196" s="5">
        <f>IF(mos_metrics!K195="","",mos_metrics!K195)</f>
        <v/>
      </c>
      <c r="AV196" s="2">
        <f>AND($J196,ISNUMBER(AU196),correlation!$I$30=1)</f>
        <v/>
      </c>
      <c r="AW196" s="5">
        <f>IF(AV196,$F196,"")</f>
        <v/>
      </c>
      <c r="AX196" s="5">
        <f>IF(AV196,AU196*correlation!$J$30,"")</f>
        <v/>
      </c>
      <c r="AY196" s="5">
        <f>IF(AND(AV196,ISNUMBER(correlation!$F$30)),AX196*correlation!$F$30+correlation!$G$30,"")</f>
        <v/>
      </c>
      <c r="AZ196" s="5">
        <f>IF(AND(AV196,ISNUMBER(AY196)),(AW196-AY196)^2,"")</f>
        <v/>
      </c>
      <c r="BA196" s="5">
        <f>IF(AV196,1+SUMPRODUCT(--(calc!$AV$3:$AV$306=TRUE),--(calc!$AW$3:$AW$306&gt;AW196))+(SUMPRODUCT(--(calc!$AV$3:$AV$306=TRUE),--(calc!$AW$3:$AW$306=AW196))-1)/2,"")</f>
        <v/>
      </c>
      <c r="BB196" s="5">
        <f>IF(AV196,1+SUMPRODUCT(--(calc!$AV$3:$AV$306=TRUE),--(calc!$AX$3:$AX$306&gt;AX196))+(SUMPRODUCT(--(calc!$AV$3:$AV$306=TRUE),--(calc!$AX$3:$AX$306=AX196))-1)/2,"")</f>
        <v/>
      </c>
      <c r="BC196" s="5">
        <f>IF(AV196,SUMPRODUCT(--(calc!$AV$3:$AV$306=TRUE),--(ROW(calc!$AV$3:$AV$306)&gt;ROW(AV196)),--(((calc!$BA$3:$BA$306&gt;BA196)*(calc!$BB$3:$BB$306&gt;BB196)+(calc!$BA$3:$BA$306&lt;BA196)*(calc!$BB$3:$BB$306&lt;BB196))&gt;0))-SUMPRODUCT(--(calc!$AV$3:$AV$306=TRUE),--(ROW(calc!$AV$3:$AV$306)&gt;ROW(AV196)),--(((calc!$BA$3:$BA$306&gt;BA196)*(calc!$BB$3:$BB$306&lt;BB196)+(calc!$BA$3:$BA$306&lt;BA196)*(calc!$BB$3:$BB$306&gt;BB196))&gt;0)),0)</f>
        <v/>
      </c>
      <c r="BD196" s="5">
        <f>IF(mos_metrics!L195="","",mos_metrics!L195)</f>
        <v/>
      </c>
      <c r="BE196" s="2">
        <f>AND($J196,ISNUMBER(BD196),correlation!$I$31=1)</f>
        <v/>
      </c>
      <c r="BF196" s="5">
        <f>IF(BE196,$F196,"")</f>
        <v/>
      </c>
      <c r="BG196" s="5">
        <f>IF(BE196,BD196*correlation!$J$31,"")</f>
        <v/>
      </c>
      <c r="BH196" s="5">
        <f>IF(AND(BE196,ISNUMBER(correlation!$F$31)),BG196*correlation!$F$31+correlation!$G$31,"")</f>
        <v/>
      </c>
      <c r="BI196" s="5">
        <f>IF(AND(BE196,ISNUMBER(BH196)),(BF196-BH196)^2,"")</f>
        <v/>
      </c>
      <c r="BJ196" s="5">
        <f>IF(BE196,1+SUMPRODUCT(--(calc!$BE$3:$BE$306=TRUE),--(calc!$BF$3:$BF$306&gt;BF196))+(SUMPRODUCT(--(calc!$BE$3:$BE$306=TRUE),--(calc!$BF$3:$BF$306=BF196))-1)/2,"")</f>
        <v/>
      </c>
      <c r="BK196" s="5">
        <f>IF(BE196,1+SUMPRODUCT(--(calc!$BE$3:$BE$306=TRUE),--(calc!$BG$3:$BG$306&gt;BG196))+(SUMPRODUCT(--(calc!$BE$3:$BE$306=TRUE),--(calc!$BG$3:$BG$306=BG196))-1)/2,"")</f>
        <v/>
      </c>
      <c r="BL196" s="5">
        <f>IF(BE196,SUMPRODUCT(--(calc!$BE$3:$BE$306=TRUE),--(ROW(calc!$BE$3:$BE$306)&gt;ROW(BE196)),--(((calc!$BJ$3:$BJ$306&gt;BJ196)*(calc!$BK$3:$BK$306&gt;BK196)+(calc!$BJ$3:$BJ$306&lt;BJ196)*(calc!$BK$3:$BK$306&lt;BK196))&gt;0))-SUMPRODUCT(--(calc!$BE$3:$BE$306=TRUE),--(ROW(calc!$BE$3:$BE$306)&gt;ROW(BE196)),--(((calc!$BJ$3:$BJ$306&gt;BJ196)*(calc!$BK$3:$BK$306&lt;BK196)+(calc!$BJ$3:$BJ$306&lt;BJ196)*(calc!$BK$3:$BK$306&gt;BK196))&gt;0)),0)</f>
        <v/>
      </c>
      <c r="BM196" s="5">
        <f>IF(mos_metrics!M195="","",mos_metrics!M195)</f>
        <v/>
      </c>
      <c r="BN196" s="2">
        <f>AND($J196,ISNUMBER(BM196),correlation!$I$32=1)</f>
        <v/>
      </c>
      <c r="BO196" s="5">
        <f>IF(BN196,$F196,"")</f>
        <v/>
      </c>
      <c r="BP196" s="5">
        <f>IF(BN196,BM196*correlation!$J$32,"")</f>
        <v/>
      </c>
      <c r="BQ196" s="5">
        <f>IF(AND(BN196,ISNUMBER(correlation!$F$32)),BP196*correlation!$F$32+correlation!$G$32,"")</f>
        <v/>
      </c>
      <c r="BR196" s="5">
        <f>IF(AND(BN196,ISNUMBER(BQ196)),(BO196-BQ196)^2,"")</f>
        <v/>
      </c>
      <c r="BS196" s="5">
        <f>IF(BN196,1+SUMPRODUCT(--(calc!$BN$3:$BN$306=TRUE),--(calc!$BO$3:$BO$306&gt;BO196))+(SUMPRODUCT(--(calc!$BN$3:$BN$306=TRUE),--(calc!$BO$3:$BO$306=BO196))-1)/2,"")</f>
        <v/>
      </c>
      <c r="BT196" s="5">
        <f>IF(BN196,1+SUMPRODUCT(--(calc!$BN$3:$BN$306=TRUE),--(calc!$BP$3:$BP$306&gt;BP196))+(SUMPRODUCT(--(calc!$BN$3:$BN$306=TRUE),--(calc!$BP$3:$BP$306=BP196))-1)/2,"")</f>
        <v/>
      </c>
      <c r="BU196" s="5">
        <f>IF(BN196,SUMPRODUCT(--(calc!$BN$3:$BN$306=TRUE),--(ROW(calc!$BN$3:$BN$306)&gt;ROW(BN196)),--(((calc!$BS$3:$BS$306&gt;BS196)*(calc!$BT$3:$BT$306&gt;BT196)+(calc!$BS$3:$BS$306&lt;BS196)*(calc!$BT$3:$BT$306&lt;BT196))&gt;0))-SUMPRODUCT(--(calc!$BN$3:$BN$306=TRUE),--(ROW(calc!$BN$3:$BN$306)&gt;ROW(BN196)),--(((calc!$BS$3:$BS$306&gt;BS196)*(calc!$BT$3:$BT$306&lt;BT196)+(calc!$BS$3:$BS$306&lt;BS196)*(calc!$BT$3:$BT$306&gt;BT196))&gt;0)),0)</f>
        <v/>
      </c>
    </row>
    <row r="197">
      <c r="A197" s="2">
        <f>mos_metrics!A196</f>
        <v/>
      </c>
      <c r="B197" s="2">
        <f>mos_metrics!B196</f>
        <v/>
      </c>
      <c r="C197" s="2">
        <f>mos_metrics!C196</f>
        <v/>
      </c>
      <c r="D197" s="2">
        <f>mos_metrics!D196</f>
        <v/>
      </c>
      <c r="E197" s="2">
        <f>mos_metrics!E196</f>
        <v/>
      </c>
      <c r="F197" s="2">
        <f>mos_metrics!F196</f>
        <v/>
      </c>
      <c r="G197" s="2">
        <f>IF($B197="","",IFERROR(VLOOKUP($B197,correlation!$A$2:$B$16,2,FALSE),1))</f>
        <v/>
      </c>
      <c r="H197" s="2">
        <f>IF($E197="","",IFERROR(VLOOKUP($E197,correlation!$D$2:$E$8,2,FALSE),1))</f>
        <v/>
      </c>
      <c r="I197" s="2">
        <f>ISNUMBER($F197)</f>
        <v/>
      </c>
      <c r="J197" s="2">
        <f>AND($G197=1,$H197=1,$I197)</f>
        <v/>
      </c>
      <c r="K197" s="5">
        <f>IF(mos_metrics!G196="","",mos_metrics!G196)</f>
        <v/>
      </c>
      <c r="L197" s="2">
        <f>AND($J197,ISNUMBER(K197),correlation!$I$26=1)</f>
        <v/>
      </c>
      <c r="M197" s="5">
        <f>IF(L197,$F197,"")</f>
        <v/>
      </c>
      <c r="N197" s="5">
        <f>IF(L197,K197*correlation!$J$26,"")</f>
        <v/>
      </c>
      <c r="O197" s="5">
        <f>IF(AND(L197,ISNUMBER(correlation!$F$26)),N197*correlation!$F$26+correlation!$G$26,"")</f>
        <v/>
      </c>
      <c r="P197" s="5">
        <f>IF(AND(L197,ISNUMBER(O197)),(M197-O197)^2,"")</f>
        <v/>
      </c>
      <c r="Q197" s="5">
        <f>IF(L197,1+SUMPRODUCT(--(calc!$L$3:$L$306=TRUE),--(calc!$M$3:$M$306&gt;M197))+(SUMPRODUCT(--(calc!$L$3:$L$306=TRUE),--(calc!$M$3:$M$306=M197))-1)/2,"")</f>
        <v/>
      </c>
      <c r="R197" s="5">
        <f>IF(L197,1+SUMPRODUCT(--(calc!$L$3:$L$306=TRUE),--(calc!$N$3:$N$306&gt;N197))+(SUMPRODUCT(--(calc!$L$3:$L$306=TRUE),--(calc!$N$3:$N$306=N197))-1)/2,"")</f>
        <v/>
      </c>
      <c r="S197" s="5">
        <f>IF(L197,SUMPRODUCT(--(calc!$L$3:$L$306=TRUE),--(ROW(calc!$L$3:$L$306)&gt;ROW(L197)),--(((calc!$Q$3:$Q$306&gt;Q197)*(calc!$R$3:$R$306&gt;R197)+(calc!$Q$3:$Q$306&lt;Q197)*(calc!$R$3:$R$306&lt;R197))&gt;0))-SUMPRODUCT(--(calc!$L$3:$L$306=TRUE),--(ROW(calc!$L$3:$L$306)&gt;ROW(L197)),--(((calc!$Q$3:$Q$306&gt;Q197)*(calc!$R$3:$R$306&lt;R197)+(calc!$Q$3:$Q$306&lt;Q197)*(calc!$R$3:$R$306&gt;R197))&gt;0)),0)</f>
        <v/>
      </c>
      <c r="T197" s="5">
        <f>IF(mos_metrics!H196="","",mos_metrics!H196)</f>
        <v/>
      </c>
      <c r="U197" s="2">
        <f>AND($J197,ISNUMBER(T197),correlation!$I$27=1)</f>
        <v/>
      </c>
      <c r="V197" s="5">
        <f>IF(U197,$F197,"")</f>
        <v/>
      </c>
      <c r="W197" s="5">
        <f>IF(U197,T197*correlation!$J$27,"")</f>
        <v/>
      </c>
      <c r="X197" s="5">
        <f>IF(AND(U197,ISNUMBER(correlation!$F$27)),W197*correlation!$F$27+correlation!$G$27,"")</f>
        <v/>
      </c>
      <c r="Y197" s="5">
        <f>IF(AND(U197,ISNUMBER(X197)),(V197-X197)^2,"")</f>
        <v/>
      </c>
      <c r="Z197" s="5">
        <f>IF(U197,1+SUMPRODUCT(--(calc!$U$3:$U$306=TRUE),--(calc!$V$3:$V$306&gt;V197))+(SUMPRODUCT(--(calc!$U$3:$U$306=TRUE),--(calc!$V$3:$V$306=V197))-1)/2,"")</f>
        <v/>
      </c>
      <c r="AA197" s="5">
        <f>IF(U197,1+SUMPRODUCT(--(calc!$U$3:$U$306=TRUE),--(calc!$W$3:$W$306&gt;W197))+(SUMPRODUCT(--(calc!$U$3:$U$306=TRUE),--(calc!$W$3:$W$306=W197))-1)/2,"")</f>
        <v/>
      </c>
      <c r="AB197" s="5">
        <f>IF(U197,SUMPRODUCT(--(calc!$U$3:$U$306=TRUE),--(ROW(calc!$U$3:$U$306)&gt;ROW(U197)),--(((calc!$Z$3:$Z$306&gt;Z197)*(calc!$AA$3:$AA$306&gt;AA197)+(calc!$Z$3:$Z$306&lt;Z197)*(calc!$AA$3:$AA$306&lt;AA197))&gt;0))-SUMPRODUCT(--(calc!$U$3:$U$306=TRUE),--(ROW(calc!$U$3:$U$306)&gt;ROW(U197)),--(((calc!$Z$3:$Z$306&gt;Z197)*(calc!$AA$3:$AA$306&lt;AA197)+(calc!$Z$3:$Z$306&lt;Z197)*(calc!$AA$3:$AA$306&gt;AA197))&gt;0)),0)</f>
        <v/>
      </c>
      <c r="AC197" s="5">
        <f>IF(mos_metrics!I196="","",mos_metrics!I196)</f>
        <v/>
      </c>
      <c r="AD197" s="2">
        <f>AND($J197,ISNUMBER(AC197),correlation!$I$28=1)</f>
        <v/>
      </c>
      <c r="AE197" s="5">
        <f>IF(AD197,$F197,"")</f>
        <v/>
      </c>
      <c r="AF197" s="5">
        <f>IF(AD197,AC197*correlation!$J$28,"")</f>
        <v/>
      </c>
      <c r="AG197" s="5">
        <f>IF(AND(AD197,ISNUMBER(correlation!$F$28)),AF197*correlation!$F$28+correlation!$G$28,"")</f>
        <v/>
      </c>
      <c r="AH197" s="5">
        <f>IF(AND(AD197,ISNUMBER(AG197)),(AE197-AG197)^2,"")</f>
        <v/>
      </c>
      <c r="AI197" s="5">
        <f>IF(AD197,1+SUMPRODUCT(--(calc!$AD$3:$AD$306=TRUE),--(calc!$AE$3:$AE$306&gt;AE197))+(SUMPRODUCT(--(calc!$AD$3:$AD$306=TRUE),--(calc!$AE$3:$AE$306=AE197))-1)/2,"")</f>
        <v/>
      </c>
      <c r="AJ197" s="5">
        <f>IF(AD197,1+SUMPRODUCT(--(calc!$AD$3:$AD$306=TRUE),--(calc!$AF$3:$AF$306&gt;AF197))+(SUMPRODUCT(--(calc!$AD$3:$AD$306=TRUE),--(calc!$AF$3:$AF$306=AF197))-1)/2,"")</f>
        <v/>
      </c>
      <c r="AK197" s="5">
        <f>IF(AD197,SUMPRODUCT(--(calc!$AD$3:$AD$306=TRUE),--(ROW(calc!$AD$3:$AD$306)&gt;ROW(AD197)),--(((calc!$AI$3:$AI$306&gt;AI197)*(calc!$AJ$3:$AJ$306&gt;AJ197)+(calc!$AI$3:$AI$306&lt;AI197)*(calc!$AJ$3:$AJ$306&lt;AJ197))&gt;0))-SUMPRODUCT(--(calc!$AD$3:$AD$306=TRUE),--(ROW(calc!$AD$3:$AD$306)&gt;ROW(AD197)),--(((calc!$AI$3:$AI$306&gt;AI197)*(calc!$AJ$3:$AJ$306&lt;AJ197)+(calc!$AI$3:$AI$306&lt;AI197)*(calc!$AJ$3:$AJ$306&gt;AJ197))&gt;0)),0)</f>
        <v/>
      </c>
      <c r="AL197" s="5">
        <f>IF(mos_metrics!J196="","",mos_metrics!J196)</f>
        <v/>
      </c>
      <c r="AM197" s="2">
        <f>AND($J197,ISNUMBER(AL197),correlation!$I$29=1)</f>
        <v/>
      </c>
      <c r="AN197" s="5">
        <f>IF(AM197,$F197,"")</f>
        <v/>
      </c>
      <c r="AO197" s="5">
        <f>IF(AM197,AL197*correlation!$J$29,"")</f>
        <v/>
      </c>
      <c r="AP197" s="5">
        <f>IF(AND(AM197,ISNUMBER(correlation!$F$29)),AO197*correlation!$F$29+correlation!$G$29,"")</f>
        <v/>
      </c>
      <c r="AQ197" s="5">
        <f>IF(AND(AM197,ISNUMBER(AP197)),(AN197-AP197)^2,"")</f>
        <v/>
      </c>
      <c r="AR197" s="5">
        <f>IF(AM197,1+SUMPRODUCT(--(calc!$AM$3:$AM$306=TRUE),--(calc!$AN$3:$AN$306&gt;AN197))+(SUMPRODUCT(--(calc!$AM$3:$AM$306=TRUE),--(calc!$AN$3:$AN$306=AN197))-1)/2,"")</f>
        <v/>
      </c>
      <c r="AS197" s="5">
        <f>IF(AM197,1+SUMPRODUCT(--(calc!$AM$3:$AM$306=TRUE),--(calc!$AO$3:$AO$306&gt;AO197))+(SUMPRODUCT(--(calc!$AM$3:$AM$306=TRUE),--(calc!$AO$3:$AO$306=AO197))-1)/2,"")</f>
        <v/>
      </c>
      <c r="AT197" s="5">
        <f>IF(AM197,SUMPRODUCT(--(calc!$AM$3:$AM$306=TRUE),--(ROW(calc!$AM$3:$AM$306)&gt;ROW(AM197)),--(((calc!$AR$3:$AR$306&gt;AR197)*(calc!$AS$3:$AS$306&gt;AS197)+(calc!$AR$3:$AR$306&lt;AR197)*(calc!$AS$3:$AS$306&lt;AS197))&gt;0))-SUMPRODUCT(--(calc!$AM$3:$AM$306=TRUE),--(ROW(calc!$AM$3:$AM$306)&gt;ROW(AM197)),--(((calc!$AR$3:$AR$306&gt;AR197)*(calc!$AS$3:$AS$306&lt;AS197)+(calc!$AR$3:$AR$306&lt;AR197)*(calc!$AS$3:$AS$306&gt;AS197))&gt;0)),0)</f>
        <v/>
      </c>
      <c r="AU197" s="5">
        <f>IF(mos_metrics!K196="","",mos_metrics!K196)</f>
        <v/>
      </c>
      <c r="AV197" s="2">
        <f>AND($J197,ISNUMBER(AU197),correlation!$I$30=1)</f>
        <v/>
      </c>
      <c r="AW197" s="5">
        <f>IF(AV197,$F197,"")</f>
        <v/>
      </c>
      <c r="AX197" s="5">
        <f>IF(AV197,AU197*correlation!$J$30,"")</f>
        <v/>
      </c>
      <c r="AY197" s="5">
        <f>IF(AND(AV197,ISNUMBER(correlation!$F$30)),AX197*correlation!$F$30+correlation!$G$30,"")</f>
        <v/>
      </c>
      <c r="AZ197" s="5">
        <f>IF(AND(AV197,ISNUMBER(AY197)),(AW197-AY197)^2,"")</f>
        <v/>
      </c>
      <c r="BA197" s="5">
        <f>IF(AV197,1+SUMPRODUCT(--(calc!$AV$3:$AV$306=TRUE),--(calc!$AW$3:$AW$306&gt;AW197))+(SUMPRODUCT(--(calc!$AV$3:$AV$306=TRUE),--(calc!$AW$3:$AW$306=AW197))-1)/2,"")</f>
        <v/>
      </c>
      <c r="BB197" s="5">
        <f>IF(AV197,1+SUMPRODUCT(--(calc!$AV$3:$AV$306=TRUE),--(calc!$AX$3:$AX$306&gt;AX197))+(SUMPRODUCT(--(calc!$AV$3:$AV$306=TRUE),--(calc!$AX$3:$AX$306=AX197))-1)/2,"")</f>
        <v/>
      </c>
      <c r="BC197" s="5">
        <f>IF(AV197,SUMPRODUCT(--(calc!$AV$3:$AV$306=TRUE),--(ROW(calc!$AV$3:$AV$306)&gt;ROW(AV197)),--(((calc!$BA$3:$BA$306&gt;BA197)*(calc!$BB$3:$BB$306&gt;BB197)+(calc!$BA$3:$BA$306&lt;BA197)*(calc!$BB$3:$BB$306&lt;BB197))&gt;0))-SUMPRODUCT(--(calc!$AV$3:$AV$306=TRUE),--(ROW(calc!$AV$3:$AV$306)&gt;ROW(AV197)),--(((calc!$BA$3:$BA$306&gt;BA197)*(calc!$BB$3:$BB$306&lt;BB197)+(calc!$BA$3:$BA$306&lt;BA197)*(calc!$BB$3:$BB$306&gt;BB197))&gt;0)),0)</f>
        <v/>
      </c>
      <c r="BD197" s="5">
        <f>IF(mos_metrics!L196="","",mos_metrics!L196)</f>
        <v/>
      </c>
      <c r="BE197" s="2">
        <f>AND($J197,ISNUMBER(BD197),correlation!$I$31=1)</f>
        <v/>
      </c>
      <c r="BF197" s="5">
        <f>IF(BE197,$F197,"")</f>
        <v/>
      </c>
      <c r="BG197" s="5">
        <f>IF(BE197,BD197*correlation!$J$31,"")</f>
        <v/>
      </c>
      <c r="BH197" s="5">
        <f>IF(AND(BE197,ISNUMBER(correlation!$F$31)),BG197*correlation!$F$31+correlation!$G$31,"")</f>
        <v/>
      </c>
      <c r="BI197" s="5">
        <f>IF(AND(BE197,ISNUMBER(BH197)),(BF197-BH197)^2,"")</f>
        <v/>
      </c>
      <c r="BJ197" s="5">
        <f>IF(BE197,1+SUMPRODUCT(--(calc!$BE$3:$BE$306=TRUE),--(calc!$BF$3:$BF$306&gt;BF197))+(SUMPRODUCT(--(calc!$BE$3:$BE$306=TRUE),--(calc!$BF$3:$BF$306=BF197))-1)/2,"")</f>
        <v/>
      </c>
      <c r="BK197" s="5">
        <f>IF(BE197,1+SUMPRODUCT(--(calc!$BE$3:$BE$306=TRUE),--(calc!$BG$3:$BG$306&gt;BG197))+(SUMPRODUCT(--(calc!$BE$3:$BE$306=TRUE),--(calc!$BG$3:$BG$306=BG197))-1)/2,"")</f>
        <v/>
      </c>
      <c r="BL197" s="5">
        <f>IF(BE197,SUMPRODUCT(--(calc!$BE$3:$BE$306=TRUE),--(ROW(calc!$BE$3:$BE$306)&gt;ROW(BE197)),--(((calc!$BJ$3:$BJ$306&gt;BJ197)*(calc!$BK$3:$BK$306&gt;BK197)+(calc!$BJ$3:$BJ$306&lt;BJ197)*(calc!$BK$3:$BK$306&lt;BK197))&gt;0))-SUMPRODUCT(--(calc!$BE$3:$BE$306=TRUE),--(ROW(calc!$BE$3:$BE$306)&gt;ROW(BE197)),--(((calc!$BJ$3:$BJ$306&gt;BJ197)*(calc!$BK$3:$BK$306&lt;BK197)+(calc!$BJ$3:$BJ$306&lt;BJ197)*(calc!$BK$3:$BK$306&gt;BK197))&gt;0)),0)</f>
        <v/>
      </c>
      <c r="BM197" s="5">
        <f>IF(mos_metrics!M196="","",mos_metrics!M196)</f>
        <v/>
      </c>
      <c r="BN197" s="2">
        <f>AND($J197,ISNUMBER(BM197),correlation!$I$32=1)</f>
        <v/>
      </c>
      <c r="BO197" s="5">
        <f>IF(BN197,$F197,"")</f>
        <v/>
      </c>
      <c r="BP197" s="5">
        <f>IF(BN197,BM197*correlation!$J$32,"")</f>
        <v/>
      </c>
      <c r="BQ197" s="5">
        <f>IF(AND(BN197,ISNUMBER(correlation!$F$32)),BP197*correlation!$F$32+correlation!$G$32,"")</f>
        <v/>
      </c>
      <c r="BR197" s="5">
        <f>IF(AND(BN197,ISNUMBER(BQ197)),(BO197-BQ197)^2,"")</f>
        <v/>
      </c>
      <c r="BS197" s="5">
        <f>IF(BN197,1+SUMPRODUCT(--(calc!$BN$3:$BN$306=TRUE),--(calc!$BO$3:$BO$306&gt;BO197))+(SUMPRODUCT(--(calc!$BN$3:$BN$306=TRUE),--(calc!$BO$3:$BO$306=BO197))-1)/2,"")</f>
        <v/>
      </c>
      <c r="BT197" s="5">
        <f>IF(BN197,1+SUMPRODUCT(--(calc!$BN$3:$BN$306=TRUE),--(calc!$BP$3:$BP$306&gt;BP197))+(SUMPRODUCT(--(calc!$BN$3:$BN$306=TRUE),--(calc!$BP$3:$BP$306=BP197))-1)/2,"")</f>
        <v/>
      </c>
      <c r="BU197" s="5">
        <f>IF(BN197,SUMPRODUCT(--(calc!$BN$3:$BN$306=TRUE),--(ROW(calc!$BN$3:$BN$306)&gt;ROW(BN197)),--(((calc!$BS$3:$BS$306&gt;BS197)*(calc!$BT$3:$BT$306&gt;BT197)+(calc!$BS$3:$BS$306&lt;BS197)*(calc!$BT$3:$BT$306&lt;BT197))&gt;0))-SUMPRODUCT(--(calc!$BN$3:$BN$306=TRUE),--(ROW(calc!$BN$3:$BN$306)&gt;ROW(BN197)),--(((calc!$BS$3:$BS$306&gt;BS197)*(calc!$BT$3:$BT$306&lt;BT197)+(calc!$BS$3:$BS$306&lt;BS197)*(calc!$BT$3:$BT$306&gt;BT197))&gt;0)),0)</f>
        <v/>
      </c>
    </row>
    <row r="198">
      <c r="A198" s="2">
        <f>mos_metrics!A197</f>
        <v/>
      </c>
      <c r="B198" s="2">
        <f>mos_metrics!B197</f>
        <v/>
      </c>
      <c r="C198" s="2">
        <f>mos_metrics!C197</f>
        <v/>
      </c>
      <c r="D198" s="2">
        <f>mos_metrics!D197</f>
        <v/>
      </c>
      <c r="E198" s="2">
        <f>mos_metrics!E197</f>
        <v/>
      </c>
      <c r="F198" s="2">
        <f>mos_metrics!F197</f>
        <v/>
      </c>
      <c r="G198" s="2">
        <f>IF($B198="","",IFERROR(VLOOKUP($B198,correlation!$A$2:$B$16,2,FALSE),1))</f>
        <v/>
      </c>
      <c r="H198" s="2">
        <f>IF($E198="","",IFERROR(VLOOKUP($E198,correlation!$D$2:$E$8,2,FALSE),1))</f>
        <v/>
      </c>
      <c r="I198" s="2">
        <f>ISNUMBER($F198)</f>
        <v/>
      </c>
      <c r="J198" s="2">
        <f>AND($G198=1,$H198=1,$I198)</f>
        <v/>
      </c>
      <c r="K198" s="5">
        <f>IF(mos_metrics!G197="","",mos_metrics!G197)</f>
        <v/>
      </c>
      <c r="L198" s="2">
        <f>AND($J198,ISNUMBER(K198),correlation!$I$26=1)</f>
        <v/>
      </c>
      <c r="M198" s="5">
        <f>IF(L198,$F198,"")</f>
        <v/>
      </c>
      <c r="N198" s="5">
        <f>IF(L198,K198*correlation!$J$26,"")</f>
        <v/>
      </c>
      <c r="O198" s="5">
        <f>IF(AND(L198,ISNUMBER(correlation!$F$26)),N198*correlation!$F$26+correlation!$G$26,"")</f>
        <v/>
      </c>
      <c r="P198" s="5">
        <f>IF(AND(L198,ISNUMBER(O198)),(M198-O198)^2,"")</f>
        <v/>
      </c>
      <c r="Q198" s="5">
        <f>IF(L198,1+SUMPRODUCT(--(calc!$L$3:$L$306=TRUE),--(calc!$M$3:$M$306&gt;M198))+(SUMPRODUCT(--(calc!$L$3:$L$306=TRUE),--(calc!$M$3:$M$306=M198))-1)/2,"")</f>
        <v/>
      </c>
      <c r="R198" s="5">
        <f>IF(L198,1+SUMPRODUCT(--(calc!$L$3:$L$306=TRUE),--(calc!$N$3:$N$306&gt;N198))+(SUMPRODUCT(--(calc!$L$3:$L$306=TRUE),--(calc!$N$3:$N$306=N198))-1)/2,"")</f>
        <v/>
      </c>
      <c r="S198" s="5">
        <f>IF(L198,SUMPRODUCT(--(calc!$L$3:$L$306=TRUE),--(ROW(calc!$L$3:$L$306)&gt;ROW(L198)),--(((calc!$Q$3:$Q$306&gt;Q198)*(calc!$R$3:$R$306&gt;R198)+(calc!$Q$3:$Q$306&lt;Q198)*(calc!$R$3:$R$306&lt;R198))&gt;0))-SUMPRODUCT(--(calc!$L$3:$L$306=TRUE),--(ROW(calc!$L$3:$L$306)&gt;ROW(L198)),--(((calc!$Q$3:$Q$306&gt;Q198)*(calc!$R$3:$R$306&lt;R198)+(calc!$Q$3:$Q$306&lt;Q198)*(calc!$R$3:$R$306&gt;R198))&gt;0)),0)</f>
        <v/>
      </c>
      <c r="T198" s="5">
        <f>IF(mos_metrics!H197="","",mos_metrics!H197)</f>
        <v/>
      </c>
      <c r="U198" s="2">
        <f>AND($J198,ISNUMBER(T198),correlation!$I$27=1)</f>
        <v/>
      </c>
      <c r="V198" s="5">
        <f>IF(U198,$F198,"")</f>
        <v/>
      </c>
      <c r="W198" s="5">
        <f>IF(U198,T198*correlation!$J$27,"")</f>
        <v/>
      </c>
      <c r="X198" s="5">
        <f>IF(AND(U198,ISNUMBER(correlation!$F$27)),W198*correlation!$F$27+correlation!$G$27,"")</f>
        <v/>
      </c>
      <c r="Y198" s="5">
        <f>IF(AND(U198,ISNUMBER(X198)),(V198-X198)^2,"")</f>
        <v/>
      </c>
      <c r="Z198" s="5">
        <f>IF(U198,1+SUMPRODUCT(--(calc!$U$3:$U$306=TRUE),--(calc!$V$3:$V$306&gt;V198))+(SUMPRODUCT(--(calc!$U$3:$U$306=TRUE),--(calc!$V$3:$V$306=V198))-1)/2,"")</f>
        <v/>
      </c>
      <c r="AA198" s="5">
        <f>IF(U198,1+SUMPRODUCT(--(calc!$U$3:$U$306=TRUE),--(calc!$W$3:$W$306&gt;W198))+(SUMPRODUCT(--(calc!$U$3:$U$306=TRUE),--(calc!$W$3:$W$306=W198))-1)/2,"")</f>
        <v/>
      </c>
      <c r="AB198" s="5">
        <f>IF(U198,SUMPRODUCT(--(calc!$U$3:$U$306=TRUE),--(ROW(calc!$U$3:$U$306)&gt;ROW(U198)),--(((calc!$Z$3:$Z$306&gt;Z198)*(calc!$AA$3:$AA$306&gt;AA198)+(calc!$Z$3:$Z$306&lt;Z198)*(calc!$AA$3:$AA$306&lt;AA198))&gt;0))-SUMPRODUCT(--(calc!$U$3:$U$306=TRUE),--(ROW(calc!$U$3:$U$306)&gt;ROW(U198)),--(((calc!$Z$3:$Z$306&gt;Z198)*(calc!$AA$3:$AA$306&lt;AA198)+(calc!$Z$3:$Z$306&lt;Z198)*(calc!$AA$3:$AA$306&gt;AA198))&gt;0)),0)</f>
        <v/>
      </c>
      <c r="AC198" s="5">
        <f>IF(mos_metrics!I197="","",mos_metrics!I197)</f>
        <v/>
      </c>
      <c r="AD198" s="2">
        <f>AND($J198,ISNUMBER(AC198),correlation!$I$28=1)</f>
        <v/>
      </c>
      <c r="AE198" s="5">
        <f>IF(AD198,$F198,"")</f>
        <v/>
      </c>
      <c r="AF198" s="5">
        <f>IF(AD198,AC198*correlation!$J$28,"")</f>
        <v/>
      </c>
      <c r="AG198" s="5">
        <f>IF(AND(AD198,ISNUMBER(correlation!$F$28)),AF198*correlation!$F$28+correlation!$G$28,"")</f>
        <v/>
      </c>
      <c r="AH198" s="5">
        <f>IF(AND(AD198,ISNUMBER(AG198)),(AE198-AG198)^2,"")</f>
        <v/>
      </c>
      <c r="AI198" s="5">
        <f>IF(AD198,1+SUMPRODUCT(--(calc!$AD$3:$AD$306=TRUE),--(calc!$AE$3:$AE$306&gt;AE198))+(SUMPRODUCT(--(calc!$AD$3:$AD$306=TRUE),--(calc!$AE$3:$AE$306=AE198))-1)/2,"")</f>
        <v/>
      </c>
      <c r="AJ198" s="5">
        <f>IF(AD198,1+SUMPRODUCT(--(calc!$AD$3:$AD$306=TRUE),--(calc!$AF$3:$AF$306&gt;AF198))+(SUMPRODUCT(--(calc!$AD$3:$AD$306=TRUE),--(calc!$AF$3:$AF$306=AF198))-1)/2,"")</f>
        <v/>
      </c>
      <c r="AK198" s="5">
        <f>IF(AD198,SUMPRODUCT(--(calc!$AD$3:$AD$306=TRUE),--(ROW(calc!$AD$3:$AD$306)&gt;ROW(AD198)),--(((calc!$AI$3:$AI$306&gt;AI198)*(calc!$AJ$3:$AJ$306&gt;AJ198)+(calc!$AI$3:$AI$306&lt;AI198)*(calc!$AJ$3:$AJ$306&lt;AJ198))&gt;0))-SUMPRODUCT(--(calc!$AD$3:$AD$306=TRUE),--(ROW(calc!$AD$3:$AD$306)&gt;ROW(AD198)),--(((calc!$AI$3:$AI$306&gt;AI198)*(calc!$AJ$3:$AJ$306&lt;AJ198)+(calc!$AI$3:$AI$306&lt;AI198)*(calc!$AJ$3:$AJ$306&gt;AJ198))&gt;0)),0)</f>
        <v/>
      </c>
      <c r="AL198" s="5">
        <f>IF(mos_metrics!J197="","",mos_metrics!J197)</f>
        <v/>
      </c>
      <c r="AM198" s="2">
        <f>AND($J198,ISNUMBER(AL198),correlation!$I$29=1)</f>
        <v/>
      </c>
      <c r="AN198" s="5">
        <f>IF(AM198,$F198,"")</f>
        <v/>
      </c>
      <c r="AO198" s="5">
        <f>IF(AM198,AL198*correlation!$J$29,"")</f>
        <v/>
      </c>
      <c r="AP198" s="5">
        <f>IF(AND(AM198,ISNUMBER(correlation!$F$29)),AO198*correlation!$F$29+correlation!$G$29,"")</f>
        <v/>
      </c>
      <c r="AQ198" s="5">
        <f>IF(AND(AM198,ISNUMBER(AP198)),(AN198-AP198)^2,"")</f>
        <v/>
      </c>
      <c r="AR198" s="5">
        <f>IF(AM198,1+SUMPRODUCT(--(calc!$AM$3:$AM$306=TRUE),--(calc!$AN$3:$AN$306&gt;AN198))+(SUMPRODUCT(--(calc!$AM$3:$AM$306=TRUE),--(calc!$AN$3:$AN$306=AN198))-1)/2,"")</f>
        <v/>
      </c>
      <c r="AS198" s="5">
        <f>IF(AM198,1+SUMPRODUCT(--(calc!$AM$3:$AM$306=TRUE),--(calc!$AO$3:$AO$306&gt;AO198))+(SUMPRODUCT(--(calc!$AM$3:$AM$306=TRUE),--(calc!$AO$3:$AO$306=AO198))-1)/2,"")</f>
        <v/>
      </c>
      <c r="AT198" s="5">
        <f>IF(AM198,SUMPRODUCT(--(calc!$AM$3:$AM$306=TRUE),--(ROW(calc!$AM$3:$AM$306)&gt;ROW(AM198)),--(((calc!$AR$3:$AR$306&gt;AR198)*(calc!$AS$3:$AS$306&gt;AS198)+(calc!$AR$3:$AR$306&lt;AR198)*(calc!$AS$3:$AS$306&lt;AS198))&gt;0))-SUMPRODUCT(--(calc!$AM$3:$AM$306=TRUE),--(ROW(calc!$AM$3:$AM$306)&gt;ROW(AM198)),--(((calc!$AR$3:$AR$306&gt;AR198)*(calc!$AS$3:$AS$306&lt;AS198)+(calc!$AR$3:$AR$306&lt;AR198)*(calc!$AS$3:$AS$306&gt;AS198))&gt;0)),0)</f>
        <v/>
      </c>
      <c r="AU198" s="5">
        <f>IF(mos_metrics!K197="","",mos_metrics!K197)</f>
        <v/>
      </c>
      <c r="AV198" s="2">
        <f>AND($J198,ISNUMBER(AU198),correlation!$I$30=1)</f>
        <v/>
      </c>
      <c r="AW198" s="5">
        <f>IF(AV198,$F198,"")</f>
        <v/>
      </c>
      <c r="AX198" s="5">
        <f>IF(AV198,AU198*correlation!$J$30,"")</f>
        <v/>
      </c>
      <c r="AY198" s="5">
        <f>IF(AND(AV198,ISNUMBER(correlation!$F$30)),AX198*correlation!$F$30+correlation!$G$30,"")</f>
        <v/>
      </c>
      <c r="AZ198" s="5">
        <f>IF(AND(AV198,ISNUMBER(AY198)),(AW198-AY198)^2,"")</f>
        <v/>
      </c>
      <c r="BA198" s="5">
        <f>IF(AV198,1+SUMPRODUCT(--(calc!$AV$3:$AV$306=TRUE),--(calc!$AW$3:$AW$306&gt;AW198))+(SUMPRODUCT(--(calc!$AV$3:$AV$306=TRUE),--(calc!$AW$3:$AW$306=AW198))-1)/2,"")</f>
        <v/>
      </c>
      <c r="BB198" s="5">
        <f>IF(AV198,1+SUMPRODUCT(--(calc!$AV$3:$AV$306=TRUE),--(calc!$AX$3:$AX$306&gt;AX198))+(SUMPRODUCT(--(calc!$AV$3:$AV$306=TRUE),--(calc!$AX$3:$AX$306=AX198))-1)/2,"")</f>
        <v/>
      </c>
      <c r="BC198" s="5">
        <f>IF(AV198,SUMPRODUCT(--(calc!$AV$3:$AV$306=TRUE),--(ROW(calc!$AV$3:$AV$306)&gt;ROW(AV198)),--(((calc!$BA$3:$BA$306&gt;BA198)*(calc!$BB$3:$BB$306&gt;BB198)+(calc!$BA$3:$BA$306&lt;BA198)*(calc!$BB$3:$BB$306&lt;BB198))&gt;0))-SUMPRODUCT(--(calc!$AV$3:$AV$306=TRUE),--(ROW(calc!$AV$3:$AV$306)&gt;ROW(AV198)),--(((calc!$BA$3:$BA$306&gt;BA198)*(calc!$BB$3:$BB$306&lt;BB198)+(calc!$BA$3:$BA$306&lt;BA198)*(calc!$BB$3:$BB$306&gt;BB198))&gt;0)),0)</f>
        <v/>
      </c>
      <c r="BD198" s="5">
        <f>IF(mos_metrics!L197="","",mos_metrics!L197)</f>
        <v/>
      </c>
      <c r="BE198" s="2">
        <f>AND($J198,ISNUMBER(BD198),correlation!$I$31=1)</f>
        <v/>
      </c>
      <c r="BF198" s="5">
        <f>IF(BE198,$F198,"")</f>
        <v/>
      </c>
      <c r="BG198" s="5">
        <f>IF(BE198,BD198*correlation!$J$31,"")</f>
        <v/>
      </c>
      <c r="BH198" s="5">
        <f>IF(AND(BE198,ISNUMBER(correlation!$F$31)),BG198*correlation!$F$31+correlation!$G$31,"")</f>
        <v/>
      </c>
      <c r="BI198" s="5">
        <f>IF(AND(BE198,ISNUMBER(BH198)),(BF198-BH198)^2,"")</f>
        <v/>
      </c>
      <c r="BJ198" s="5">
        <f>IF(BE198,1+SUMPRODUCT(--(calc!$BE$3:$BE$306=TRUE),--(calc!$BF$3:$BF$306&gt;BF198))+(SUMPRODUCT(--(calc!$BE$3:$BE$306=TRUE),--(calc!$BF$3:$BF$306=BF198))-1)/2,"")</f>
        <v/>
      </c>
      <c r="BK198" s="5">
        <f>IF(BE198,1+SUMPRODUCT(--(calc!$BE$3:$BE$306=TRUE),--(calc!$BG$3:$BG$306&gt;BG198))+(SUMPRODUCT(--(calc!$BE$3:$BE$306=TRUE),--(calc!$BG$3:$BG$306=BG198))-1)/2,"")</f>
        <v/>
      </c>
      <c r="BL198" s="5">
        <f>IF(BE198,SUMPRODUCT(--(calc!$BE$3:$BE$306=TRUE),--(ROW(calc!$BE$3:$BE$306)&gt;ROW(BE198)),--(((calc!$BJ$3:$BJ$306&gt;BJ198)*(calc!$BK$3:$BK$306&gt;BK198)+(calc!$BJ$3:$BJ$306&lt;BJ198)*(calc!$BK$3:$BK$306&lt;BK198))&gt;0))-SUMPRODUCT(--(calc!$BE$3:$BE$306=TRUE),--(ROW(calc!$BE$3:$BE$306)&gt;ROW(BE198)),--(((calc!$BJ$3:$BJ$306&gt;BJ198)*(calc!$BK$3:$BK$306&lt;BK198)+(calc!$BJ$3:$BJ$306&lt;BJ198)*(calc!$BK$3:$BK$306&gt;BK198))&gt;0)),0)</f>
        <v/>
      </c>
      <c r="BM198" s="5">
        <f>IF(mos_metrics!M197="","",mos_metrics!M197)</f>
        <v/>
      </c>
      <c r="BN198" s="2">
        <f>AND($J198,ISNUMBER(BM198),correlation!$I$32=1)</f>
        <v/>
      </c>
      <c r="BO198" s="5">
        <f>IF(BN198,$F198,"")</f>
        <v/>
      </c>
      <c r="BP198" s="5">
        <f>IF(BN198,BM198*correlation!$J$32,"")</f>
        <v/>
      </c>
      <c r="BQ198" s="5">
        <f>IF(AND(BN198,ISNUMBER(correlation!$F$32)),BP198*correlation!$F$32+correlation!$G$32,"")</f>
        <v/>
      </c>
      <c r="BR198" s="5">
        <f>IF(AND(BN198,ISNUMBER(BQ198)),(BO198-BQ198)^2,"")</f>
        <v/>
      </c>
      <c r="BS198" s="5">
        <f>IF(BN198,1+SUMPRODUCT(--(calc!$BN$3:$BN$306=TRUE),--(calc!$BO$3:$BO$306&gt;BO198))+(SUMPRODUCT(--(calc!$BN$3:$BN$306=TRUE),--(calc!$BO$3:$BO$306=BO198))-1)/2,"")</f>
        <v/>
      </c>
      <c r="BT198" s="5">
        <f>IF(BN198,1+SUMPRODUCT(--(calc!$BN$3:$BN$306=TRUE),--(calc!$BP$3:$BP$306&gt;BP198))+(SUMPRODUCT(--(calc!$BN$3:$BN$306=TRUE),--(calc!$BP$3:$BP$306=BP198))-1)/2,"")</f>
        <v/>
      </c>
      <c r="BU198" s="5">
        <f>IF(BN198,SUMPRODUCT(--(calc!$BN$3:$BN$306=TRUE),--(ROW(calc!$BN$3:$BN$306)&gt;ROW(BN198)),--(((calc!$BS$3:$BS$306&gt;BS198)*(calc!$BT$3:$BT$306&gt;BT198)+(calc!$BS$3:$BS$306&lt;BS198)*(calc!$BT$3:$BT$306&lt;BT198))&gt;0))-SUMPRODUCT(--(calc!$BN$3:$BN$306=TRUE),--(ROW(calc!$BN$3:$BN$306)&gt;ROW(BN198)),--(((calc!$BS$3:$BS$306&gt;BS198)*(calc!$BT$3:$BT$306&lt;BT198)+(calc!$BS$3:$BS$306&lt;BS198)*(calc!$BT$3:$BT$306&gt;BT198))&gt;0)),0)</f>
        <v/>
      </c>
    </row>
    <row r="199">
      <c r="A199" s="2">
        <f>mos_metrics!A198</f>
        <v/>
      </c>
      <c r="B199" s="2">
        <f>mos_metrics!B198</f>
        <v/>
      </c>
      <c r="C199" s="2">
        <f>mos_metrics!C198</f>
        <v/>
      </c>
      <c r="D199" s="2">
        <f>mos_metrics!D198</f>
        <v/>
      </c>
      <c r="E199" s="2">
        <f>mos_metrics!E198</f>
        <v/>
      </c>
      <c r="F199" s="2">
        <f>mos_metrics!F198</f>
        <v/>
      </c>
      <c r="G199" s="2">
        <f>IF($B199="","",IFERROR(VLOOKUP($B199,correlation!$A$2:$B$16,2,FALSE),1))</f>
        <v/>
      </c>
      <c r="H199" s="2">
        <f>IF($E199="","",IFERROR(VLOOKUP($E199,correlation!$D$2:$E$8,2,FALSE),1))</f>
        <v/>
      </c>
      <c r="I199" s="2">
        <f>ISNUMBER($F199)</f>
        <v/>
      </c>
      <c r="J199" s="2">
        <f>AND($G199=1,$H199=1,$I199)</f>
        <v/>
      </c>
      <c r="K199" s="5">
        <f>IF(mos_metrics!G198="","",mos_metrics!G198)</f>
        <v/>
      </c>
      <c r="L199" s="2">
        <f>AND($J199,ISNUMBER(K199),correlation!$I$26=1)</f>
        <v/>
      </c>
      <c r="M199" s="5">
        <f>IF(L199,$F199,"")</f>
        <v/>
      </c>
      <c r="N199" s="5">
        <f>IF(L199,K199*correlation!$J$26,"")</f>
        <v/>
      </c>
      <c r="O199" s="5">
        <f>IF(AND(L199,ISNUMBER(correlation!$F$26)),N199*correlation!$F$26+correlation!$G$26,"")</f>
        <v/>
      </c>
      <c r="P199" s="5">
        <f>IF(AND(L199,ISNUMBER(O199)),(M199-O199)^2,"")</f>
        <v/>
      </c>
      <c r="Q199" s="5">
        <f>IF(L199,1+SUMPRODUCT(--(calc!$L$3:$L$306=TRUE),--(calc!$M$3:$M$306&gt;M199))+(SUMPRODUCT(--(calc!$L$3:$L$306=TRUE),--(calc!$M$3:$M$306=M199))-1)/2,"")</f>
        <v/>
      </c>
      <c r="R199" s="5">
        <f>IF(L199,1+SUMPRODUCT(--(calc!$L$3:$L$306=TRUE),--(calc!$N$3:$N$306&gt;N199))+(SUMPRODUCT(--(calc!$L$3:$L$306=TRUE),--(calc!$N$3:$N$306=N199))-1)/2,"")</f>
        <v/>
      </c>
      <c r="S199" s="5">
        <f>IF(L199,SUMPRODUCT(--(calc!$L$3:$L$306=TRUE),--(ROW(calc!$L$3:$L$306)&gt;ROW(L199)),--(((calc!$Q$3:$Q$306&gt;Q199)*(calc!$R$3:$R$306&gt;R199)+(calc!$Q$3:$Q$306&lt;Q199)*(calc!$R$3:$R$306&lt;R199))&gt;0))-SUMPRODUCT(--(calc!$L$3:$L$306=TRUE),--(ROW(calc!$L$3:$L$306)&gt;ROW(L199)),--(((calc!$Q$3:$Q$306&gt;Q199)*(calc!$R$3:$R$306&lt;R199)+(calc!$Q$3:$Q$306&lt;Q199)*(calc!$R$3:$R$306&gt;R199))&gt;0)),0)</f>
        <v/>
      </c>
      <c r="T199" s="5">
        <f>IF(mos_metrics!H198="","",mos_metrics!H198)</f>
        <v/>
      </c>
      <c r="U199" s="2">
        <f>AND($J199,ISNUMBER(T199),correlation!$I$27=1)</f>
        <v/>
      </c>
      <c r="V199" s="5">
        <f>IF(U199,$F199,"")</f>
        <v/>
      </c>
      <c r="W199" s="5">
        <f>IF(U199,T199*correlation!$J$27,"")</f>
        <v/>
      </c>
      <c r="X199" s="5">
        <f>IF(AND(U199,ISNUMBER(correlation!$F$27)),W199*correlation!$F$27+correlation!$G$27,"")</f>
        <v/>
      </c>
      <c r="Y199" s="5">
        <f>IF(AND(U199,ISNUMBER(X199)),(V199-X199)^2,"")</f>
        <v/>
      </c>
      <c r="Z199" s="5">
        <f>IF(U199,1+SUMPRODUCT(--(calc!$U$3:$U$306=TRUE),--(calc!$V$3:$V$306&gt;V199))+(SUMPRODUCT(--(calc!$U$3:$U$306=TRUE),--(calc!$V$3:$V$306=V199))-1)/2,"")</f>
        <v/>
      </c>
      <c r="AA199" s="5">
        <f>IF(U199,1+SUMPRODUCT(--(calc!$U$3:$U$306=TRUE),--(calc!$W$3:$W$306&gt;W199))+(SUMPRODUCT(--(calc!$U$3:$U$306=TRUE),--(calc!$W$3:$W$306=W199))-1)/2,"")</f>
        <v/>
      </c>
      <c r="AB199" s="5">
        <f>IF(U199,SUMPRODUCT(--(calc!$U$3:$U$306=TRUE),--(ROW(calc!$U$3:$U$306)&gt;ROW(U199)),--(((calc!$Z$3:$Z$306&gt;Z199)*(calc!$AA$3:$AA$306&gt;AA199)+(calc!$Z$3:$Z$306&lt;Z199)*(calc!$AA$3:$AA$306&lt;AA199))&gt;0))-SUMPRODUCT(--(calc!$U$3:$U$306=TRUE),--(ROW(calc!$U$3:$U$306)&gt;ROW(U199)),--(((calc!$Z$3:$Z$306&gt;Z199)*(calc!$AA$3:$AA$306&lt;AA199)+(calc!$Z$3:$Z$306&lt;Z199)*(calc!$AA$3:$AA$306&gt;AA199))&gt;0)),0)</f>
        <v/>
      </c>
      <c r="AC199" s="5">
        <f>IF(mos_metrics!I198="","",mos_metrics!I198)</f>
        <v/>
      </c>
      <c r="AD199" s="2">
        <f>AND($J199,ISNUMBER(AC199),correlation!$I$28=1)</f>
        <v/>
      </c>
      <c r="AE199" s="5">
        <f>IF(AD199,$F199,"")</f>
        <v/>
      </c>
      <c r="AF199" s="5">
        <f>IF(AD199,AC199*correlation!$J$28,"")</f>
        <v/>
      </c>
      <c r="AG199" s="5">
        <f>IF(AND(AD199,ISNUMBER(correlation!$F$28)),AF199*correlation!$F$28+correlation!$G$28,"")</f>
        <v/>
      </c>
      <c r="AH199" s="5">
        <f>IF(AND(AD199,ISNUMBER(AG199)),(AE199-AG199)^2,"")</f>
        <v/>
      </c>
      <c r="AI199" s="5">
        <f>IF(AD199,1+SUMPRODUCT(--(calc!$AD$3:$AD$306=TRUE),--(calc!$AE$3:$AE$306&gt;AE199))+(SUMPRODUCT(--(calc!$AD$3:$AD$306=TRUE),--(calc!$AE$3:$AE$306=AE199))-1)/2,"")</f>
        <v/>
      </c>
      <c r="AJ199" s="5">
        <f>IF(AD199,1+SUMPRODUCT(--(calc!$AD$3:$AD$306=TRUE),--(calc!$AF$3:$AF$306&gt;AF199))+(SUMPRODUCT(--(calc!$AD$3:$AD$306=TRUE),--(calc!$AF$3:$AF$306=AF199))-1)/2,"")</f>
        <v/>
      </c>
      <c r="AK199" s="5">
        <f>IF(AD199,SUMPRODUCT(--(calc!$AD$3:$AD$306=TRUE),--(ROW(calc!$AD$3:$AD$306)&gt;ROW(AD199)),--(((calc!$AI$3:$AI$306&gt;AI199)*(calc!$AJ$3:$AJ$306&gt;AJ199)+(calc!$AI$3:$AI$306&lt;AI199)*(calc!$AJ$3:$AJ$306&lt;AJ199))&gt;0))-SUMPRODUCT(--(calc!$AD$3:$AD$306=TRUE),--(ROW(calc!$AD$3:$AD$306)&gt;ROW(AD199)),--(((calc!$AI$3:$AI$306&gt;AI199)*(calc!$AJ$3:$AJ$306&lt;AJ199)+(calc!$AI$3:$AI$306&lt;AI199)*(calc!$AJ$3:$AJ$306&gt;AJ199))&gt;0)),0)</f>
        <v/>
      </c>
      <c r="AL199" s="5">
        <f>IF(mos_metrics!J198="","",mos_metrics!J198)</f>
        <v/>
      </c>
      <c r="AM199" s="2">
        <f>AND($J199,ISNUMBER(AL199),correlation!$I$29=1)</f>
        <v/>
      </c>
      <c r="AN199" s="5">
        <f>IF(AM199,$F199,"")</f>
        <v/>
      </c>
      <c r="AO199" s="5">
        <f>IF(AM199,AL199*correlation!$J$29,"")</f>
        <v/>
      </c>
      <c r="AP199" s="5">
        <f>IF(AND(AM199,ISNUMBER(correlation!$F$29)),AO199*correlation!$F$29+correlation!$G$29,"")</f>
        <v/>
      </c>
      <c r="AQ199" s="5">
        <f>IF(AND(AM199,ISNUMBER(AP199)),(AN199-AP199)^2,"")</f>
        <v/>
      </c>
      <c r="AR199" s="5">
        <f>IF(AM199,1+SUMPRODUCT(--(calc!$AM$3:$AM$306=TRUE),--(calc!$AN$3:$AN$306&gt;AN199))+(SUMPRODUCT(--(calc!$AM$3:$AM$306=TRUE),--(calc!$AN$3:$AN$306=AN199))-1)/2,"")</f>
        <v/>
      </c>
      <c r="AS199" s="5">
        <f>IF(AM199,1+SUMPRODUCT(--(calc!$AM$3:$AM$306=TRUE),--(calc!$AO$3:$AO$306&gt;AO199))+(SUMPRODUCT(--(calc!$AM$3:$AM$306=TRUE),--(calc!$AO$3:$AO$306=AO199))-1)/2,"")</f>
        <v/>
      </c>
      <c r="AT199" s="5">
        <f>IF(AM199,SUMPRODUCT(--(calc!$AM$3:$AM$306=TRUE),--(ROW(calc!$AM$3:$AM$306)&gt;ROW(AM199)),--(((calc!$AR$3:$AR$306&gt;AR199)*(calc!$AS$3:$AS$306&gt;AS199)+(calc!$AR$3:$AR$306&lt;AR199)*(calc!$AS$3:$AS$306&lt;AS199))&gt;0))-SUMPRODUCT(--(calc!$AM$3:$AM$306=TRUE),--(ROW(calc!$AM$3:$AM$306)&gt;ROW(AM199)),--(((calc!$AR$3:$AR$306&gt;AR199)*(calc!$AS$3:$AS$306&lt;AS199)+(calc!$AR$3:$AR$306&lt;AR199)*(calc!$AS$3:$AS$306&gt;AS199))&gt;0)),0)</f>
        <v/>
      </c>
      <c r="AU199" s="5">
        <f>IF(mos_metrics!K198="","",mos_metrics!K198)</f>
        <v/>
      </c>
      <c r="AV199" s="2">
        <f>AND($J199,ISNUMBER(AU199),correlation!$I$30=1)</f>
        <v/>
      </c>
      <c r="AW199" s="5">
        <f>IF(AV199,$F199,"")</f>
        <v/>
      </c>
      <c r="AX199" s="5">
        <f>IF(AV199,AU199*correlation!$J$30,"")</f>
        <v/>
      </c>
      <c r="AY199" s="5">
        <f>IF(AND(AV199,ISNUMBER(correlation!$F$30)),AX199*correlation!$F$30+correlation!$G$30,"")</f>
        <v/>
      </c>
      <c r="AZ199" s="5">
        <f>IF(AND(AV199,ISNUMBER(AY199)),(AW199-AY199)^2,"")</f>
        <v/>
      </c>
      <c r="BA199" s="5">
        <f>IF(AV199,1+SUMPRODUCT(--(calc!$AV$3:$AV$306=TRUE),--(calc!$AW$3:$AW$306&gt;AW199))+(SUMPRODUCT(--(calc!$AV$3:$AV$306=TRUE),--(calc!$AW$3:$AW$306=AW199))-1)/2,"")</f>
        <v/>
      </c>
      <c r="BB199" s="5">
        <f>IF(AV199,1+SUMPRODUCT(--(calc!$AV$3:$AV$306=TRUE),--(calc!$AX$3:$AX$306&gt;AX199))+(SUMPRODUCT(--(calc!$AV$3:$AV$306=TRUE),--(calc!$AX$3:$AX$306=AX199))-1)/2,"")</f>
        <v/>
      </c>
      <c r="BC199" s="5">
        <f>IF(AV199,SUMPRODUCT(--(calc!$AV$3:$AV$306=TRUE),--(ROW(calc!$AV$3:$AV$306)&gt;ROW(AV199)),--(((calc!$BA$3:$BA$306&gt;BA199)*(calc!$BB$3:$BB$306&gt;BB199)+(calc!$BA$3:$BA$306&lt;BA199)*(calc!$BB$3:$BB$306&lt;BB199))&gt;0))-SUMPRODUCT(--(calc!$AV$3:$AV$306=TRUE),--(ROW(calc!$AV$3:$AV$306)&gt;ROW(AV199)),--(((calc!$BA$3:$BA$306&gt;BA199)*(calc!$BB$3:$BB$306&lt;BB199)+(calc!$BA$3:$BA$306&lt;BA199)*(calc!$BB$3:$BB$306&gt;BB199))&gt;0)),0)</f>
        <v/>
      </c>
      <c r="BD199" s="5">
        <f>IF(mos_metrics!L198="","",mos_metrics!L198)</f>
        <v/>
      </c>
      <c r="BE199" s="2">
        <f>AND($J199,ISNUMBER(BD199),correlation!$I$31=1)</f>
        <v/>
      </c>
      <c r="BF199" s="5">
        <f>IF(BE199,$F199,"")</f>
        <v/>
      </c>
      <c r="BG199" s="5">
        <f>IF(BE199,BD199*correlation!$J$31,"")</f>
        <v/>
      </c>
      <c r="BH199" s="5">
        <f>IF(AND(BE199,ISNUMBER(correlation!$F$31)),BG199*correlation!$F$31+correlation!$G$31,"")</f>
        <v/>
      </c>
      <c r="BI199" s="5">
        <f>IF(AND(BE199,ISNUMBER(BH199)),(BF199-BH199)^2,"")</f>
        <v/>
      </c>
      <c r="BJ199" s="5">
        <f>IF(BE199,1+SUMPRODUCT(--(calc!$BE$3:$BE$306=TRUE),--(calc!$BF$3:$BF$306&gt;BF199))+(SUMPRODUCT(--(calc!$BE$3:$BE$306=TRUE),--(calc!$BF$3:$BF$306=BF199))-1)/2,"")</f>
        <v/>
      </c>
      <c r="BK199" s="5">
        <f>IF(BE199,1+SUMPRODUCT(--(calc!$BE$3:$BE$306=TRUE),--(calc!$BG$3:$BG$306&gt;BG199))+(SUMPRODUCT(--(calc!$BE$3:$BE$306=TRUE),--(calc!$BG$3:$BG$306=BG199))-1)/2,"")</f>
        <v/>
      </c>
      <c r="BL199" s="5">
        <f>IF(BE199,SUMPRODUCT(--(calc!$BE$3:$BE$306=TRUE),--(ROW(calc!$BE$3:$BE$306)&gt;ROW(BE199)),--(((calc!$BJ$3:$BJ$306&gt;BJ199)*(calc!$BK$3:$BK$306&gt;BK199)+(calc!$BJ$3:$BJ$306&lt;BJ199)*(calc!$BK$3:$BK$306&lt;BK199))&gt;0))-SUMPRODUCT(--(calc!$BE$3:$BE$306=TRUE),--(ROW(calc!$BE$3:$BE$306)&gt;ROW(BE199)),--(((calc!$BJ$3:$BJ$306&gt;BJ199)*(calc!$BK$3:$BK$306&lt;BK199)+(calc!$BJ$3:$BJ$306&lt;BJ199)*(calc!$BK$3:$BK$306&gt;BK199))&gt;0)),0)</f>
        <v/>
      </c>
      <c r="BM199" s="5">
        <f>IF(mos_metrics!M198="","",mos_metrics!M198)</f>
        <v/>
      </c>
      <c r="BN199" s="2">
        <f>AND($J199,ISNUMBER(BM199),correlation!$I$32=1)</f>
        <v/>
      </c>
      <c r="BO199" s="5">
        <f>IF(BN199,$F199,"")</f>
        <v/>
      </c>
      <c r="BP199" s="5">
        <f>IF(BN199,BM199*correlation!$J$32,"")</f>
        <v/>
      </c>
      <c r="BQ199" s="5">
        <f>IF(AND(BN199,ISNUMBER(correlation!$F$32)),BP199*correlation!$F$32+correlation!$G$32,"")</f>
        <v/>
      </c>
      <c r="BR199" s="5">
        <f>IF(AND(BN199,ISNUMBER(BQ199)),(BO199-BQ199)^2,"")</f>
        <v/>
      </c>
      <c r="BS199" s="5">
        <f>IF(BN199,1+SUMPRODUCT(--(calc!$BN$3:$BN$306=TRUE),--(calc!$BO$3:$BO$306&gt;BO199))+(SUMPRODUCT(--(calc!$BN$3:$BN$306=TRUE),--(calc!$BO$3:$BO$306=BO199))-1)/2,"")</f>
        <v/>
      </c>
      <c r="BT199" s="5">
        <f>IF(BN199,1+SUMPRODUCT(--(calc!$BN$3:$BN$306=TRUE),--(calc!$BP$3:$BP$306&gt;BP199))+(SUMPRODUCT(--(calc!$BN$3:$BN$306=TRUE),--(calc!$BP$3:$BP$306=BP199))-1)/2,"")</f>
        <v/>
      </c>
      <c r="BU199" s="5">
        <f>IF(BN199,SUMPRODUCT(--(calc!$BN$3:$BN$306=TRUE),--(ROW(calc!$BN$3:$BN$306)&gt;ROW(BN199)),--(((calc!$BS$3:$BS$306&gt;BS199)*(calc!$BT$3:$BT$306&gt;BT199)+(calc!$BS$3:$BS$306&lt;BS199)*(calc!$BT$3:$BT$306&lt;BT199))&gt;0))-SUMPRODUCT(--(calc!$BN$3:$BN$306=TRUE),--(ROW(calc!$BN$3:$BN$306)&gt;ROW(BN199)),--(((calc!$BS$3:$BS$306&gt;BS199)*(calc!$BT$3:$BT$306&lt;BT199)+(calc!$BS$3:$BS$306&lt;BS199)*(calc!$BT$3:$BT$306&gt;BT199))&gt;0)),0)</f>
        <v/>
      </c>
    </row>
    <row r="200">
      <c r="A200" s="2">
        <f>mos_metrics!A199</f>
        <v/>
      </c>
      <c r="B200" s="2">
        <f>mos_metrics!B199</f>
        <v/>
      </c>
      <c r="C200" s="2">
        <f>mos_metrics!C199</f>
        <v/>
      </c>
      <c r="D200" s="2">
        <f>mos_metrics!D199</f>
        <v/>
      </c>
      <c r="E200" s="2">
        <f>mos_metrics!E199</f>
        <v/>
      </c>
      <c r="F200" s="2">
        <f>mos_metrics!F199</f>
        <v/>
      </c>
      <c r="G200" s="2">
        <f>IF($B200="","",IFERROR(VLOOKUP($B200,correlation!$A$2:$B$16,2,FALSE),1))</f>
        <v/>
      </c>
      <c r="H200" s="2">
        <f>IF($E200="","",IFERROR(VLOOKUP($E200,correlation!$D$2:$E$8,2,FALSE),1))</f>
        <v/>
      </c>
      <c r="I200" s="2">
        <f>ISNUMBER($F200)</f>
        <v/>
      </c>
      <c r="J200" s="2">
        <f>AND($G200=1,$H200=1,$I200)</f>
        <v/>
      </c>
      <c r="K200" s="5">
        <f>IF(mos_metrics!G199="","",mos_metrics!G199)</f>
        <v/>
      </c>
      <c r="L200" s="2">
        <f>AND($J200,ISNUMBER(K200),correlation!$I$26=1)</f>
        <v/>
      </c>
      <c r="M200" s="5">
        <f>IF(L200,$F200,"")</f>
        <v/>
      </c>
      <c r="N200" s="5">
        <f>IF(L200,K200*correlation!$J$26,"")</f>
        <v/>
      </c>
      <c r="O200" s="5">
        <f>IF(AND(L200,ISNUMBER(correlation!$F$26)),N200*correlation!$F$26+correlation!$G$26,"")</f>
        <v/>
      </c>
      <c r="P200" s="5">
        <f>IF(AND(L200,ISNUMBER(O200)),(M200-O200)^2,"")</f>
        <v/>
      </c>
      <c r="Q200" s="5">
        <f>IF(L200,1+SUMPRODUCT(--(calc!$L$3:$L$306=TRUE),--(calc!$M$3:$M$306&gt;M200))+(SUMPRODUCT(--(calc!$L$3:$L$306=TRUE),--(calc!$M$3:$M$306=M200))-1)/2,"")</f>
        <v/>
      </c>
      <c r="R200" s="5">
        <f>IF(L200,1+SUMPRODUCT(--(calc!$L$3:$L$306=TRUE),--(calc!$N$3:$N$306&gt;N200))+(SUMPRODUCT(--(calc!$L$3:$L$306=TRUE),--(calc!$N$3:$N$306=N200))-1)/2,"")</f>
        <v/>
      </c>
      <c r="S200" s="5">
        <f>IF(L200,SUMPRODUCT(--(calc!$L$3:$L$306=TRUE),--(ROW(calc!$L$3:$L$306)&gt;ROW(L200)),--(((calc!$Q$3:$Q$306&gt;Q200)*(calc!$R$3:$R$306&gt;R200)+(calc!$Q$3:$Q$306&lt;Q200)*(calc!$R$3:$R$306&lt;R200))&gt;0))-SUMPRODUCT(--(calc!$L$3:$L$306=TRUE),--(ROW(calc!$L$3:$L$306)&gt;ROW(L200)),--(((calc!$Q$3:$Q$306&gt;Q200)*(calc!$R$3:$R$306&lt;R200)+(calc!$Q$3:$Q$306&lt;Q200)*(calc!$R$3:$R$306&gt;R200))&gt;0)),0)</f>
        <v/>
      </c>
      <c r="T200" s="5">
        <f>IF(mos_metrics!H199="","",mos_metrics!H199)</f>
        <v/>
      </c>
      <c r="U200" s="2">
        <f>AND($J200,ISNUMBER(T200),correlation!$I$27=1)</f>
        <v/>
      </c>
      <c r="V200" s="5">
        <f>IF(U200,$F200,"")</f>
        <v/>
      </c>
      <c r="W200" s="5">
        <f>IF(U200,T200*correlation!$J$27,"")</f>
        <v/>
      </c>
      <c r="X200" s="5">
        <f>IF(AND(U200,ISNUMBER(correlation!$F$27)),W200*correlation!$F$27+correlation!$G$27,"")</f>
        <v/>
      </c>
      <c r="Y200" s="5">
        <f>IF(AND(U200,ISNUMBER(X200)),(V200-X200)^2,"")</f>
        <v/>
      </c>
      <c r="Z200" s="5">
        <f>IF(U200,1+SUMPRODUCT(--(calc!$U$3:$U$306=TRUE),--(calc!$V$3:$V$306&gt;V200))+(SUMPRODUCT(--(calc!$U$3:$U$306=TRUE),--(calc!$V$3:$V$306=V200))-1)/2,"")</f>
        <v/>
      </c>
      <c r="AA200" s="5">
        <f>IF(U200,1+SUMPRODUCT(--(calc!$U$3:$U$306=TRUE),--(calc!$W$3:$W$306&gt;W200))+(SUMPRODUCT(--(calc!$U$3:$U$306=TRUE),--(calc!$W$3:$W$306=W200))-1)/2,"")</f>
        <v/>
      </c>
      <c r="AB200" s="5">
        <f>IF(U200,SUMPRODUCT(--(calc!$U$3:$U$306=TRUE),--(ROW(calc!$U$3:$U$306)&gt;ROW(U200)),--(((calc!$Z$3:$Z$306&gt;Z200)*(calc!$AA$3:$AA$306&gt;AA200)+(calc!$Z$3:$Z$306&lt;Z200)*(calc!$AA$3:$AA$306&lt;AA200))&gt;0))-SUMPRODUCT(--(calc!$U$3:$U$306=TRUE),--(ROW(calc!$U$3:$U$306)&gt;ROW(U200)),--(((calc!$Z$3:$Z$306&gt;Z200)*(calc!$AA$3:$AA$306&lt;AA200)+(calc!$Z$3:$Z$306&lt;Z200)*(calc!$AA$3:$AA$306&gt;AA200))&gt;0)),0)</f>
        <v/>
      </c>
      <c r="AC200" s="5">
        <f>IF(mos_metrics!I199="","",mos_metrics!I199)</f>
        <v/>
      </c>
      <c r="AD200" s="2">
        <f>AND($J200,ISNUMBER(AC200),correlation!$I$28=1)</f>
        <v/>
      </c>
      <c r="AE200" s="5">
        <f>IF(AD200,$F200,"")</f>
        <v/>
      </c>
      <c r="AF200" s="5">
        <f>IF(AD200,AC200*correlation!$J$28,"")</f>
        <v/>
      </c>
      <c r="AG200" s="5">
        <f>IF(AND(AD200,ISNUMBER(correlation!$F$28)),AF200*correlation!$F$28+correlation!$G$28,"")</f>
        <v/>
      </c>
      <c r="AH200" s="5">
        <f>IF(AND(AD200,ISNUMBER(AG200)),(AE200-AG200)^2,"")</f>
        <v/>
      </c>
      <c r="AI200" s="5">
        <f>IF(AD200,1+SUMPRODUCT(--(calc!$AD$3:$AD$306=TRUE),--(calc!$AE$3:$AE$306&gt;AE200))+(SUMPRODUCT(--(calc!$AD$3:$AD$306=TRUE),--(calc!$AE$3:$AE$306=AE200))-1)/2,"")</f>
        <v/>
      </c>
      <c r="AJ200" s="5">
        <f>IF(AD200,1+SUMPRODUCT(--(calc!$AD$3:$AD$306=TRUE),--(calc!$AF$3:$AF$306&gt;AF200))+(SUMPRODUCT(--(calc!$AD$3:$AD$306=TRUE),--(calc!$AF$3:$AF$306=AF200))-1)/2,"")</f>
        <v/>
      </c>
      <c r="AK200" s="5">
        <f>IF(AD200,SUMPRODUCT(--(calc!$AD$3:$AD$306=TRUE),--(ROW(calc!$AD$3:$AD$306)&gt;ROW(AD200)),--(((calc!$AI$3:$AI$306&gt;AI200)*(calc!$AJ$3:$AJ$306&gt;AJ200)+(calc!$AI$3:$AI$306&lt;AI200)*(calc!$AJ$3:$AJ$306&lt;AJ200))&gt;0))-SUMPRODUCT(--(calc!$AD$3:$AD$306=TRUE),--(ROW(calc!$AD$3:$AD$306)&gt;ROW(AD200)),--(((calc!$AI$3:$AI$306&gt;AI200)*(calc!$AJ$3:$AJ$306&lt;AJ200)+(calc!$AI$3:$AI$306&lt;AI200)*(calc!$AJ$3:$AJ$306&gt;AJ200))&gt;0)),0)</f>
        <v/>
      </c>
      <c r="AL200" s="5">
        <f>IF(mos_metrics!J199="","",mos_metrics!J199)</f>
        <v/>
      </c>
      <c r="AM200" s="2">
        <f>AND($J200,ISNUMBER(AL200),correlation!$I$29=1)</f>
        <v/>
      </c>
      <c r="AN200" s="5">
        <f>IF(AM200,$F200,"")</f>
        <v/>
      </c>
      <c r="AO200" s="5">
        <f>IF(AM200,AL200*correlation!$J$29,"")</f>
        <v/>
      </c>
      <c r="AP200" s="5">
        <f>IF(AND(AM200,ISNUMBER(correlation!$F$29)),AO200*correlation!$F$29+correlation!$G$29,"")</f>
        <v/>
      </c>
      <c r="AQ200" s="5">
        <f>IF(AND(AM200,ISNUMBER(AP200)),(AN200-AP200)^2,"")</f>
        <v/>
      </c>
      <c r="AR200" s="5">
        <f>IF(AM200,1+SUMPRODUCT(--(calc!$AM$3:$AM$306=TRUE),--(calc!$AN$3:$AN$306&gt;AN200))+(SUMPRODUCT(--(calc!$AM$3:$AM$306=TRUE),--(calc!$AN$3:$AN$306=AN200))-1)/2,"")</f>
        <v/>
      </c>
      <c r="AS200" s="5">
        <f>IF(AM200,1+SUMPRODUCT(--(calc!$AM$3:$AM$306=TRUE),--(calc!$AO$3:$AO$306&gt;AO200))+(SUMPRODUCT(--(calc!$AM$3:$AM$306=TRUE),--(calc!$AO$3:$AO$306=AO200))-1)/2,"")</f>
        <v/>
      </c>
      <c r="AT200" s="5">
        <f>IF(AM200,SUMPRODUCT(--(calc!$AM$3:$AM$306=TRUE),--(ROW(calc!$AM$3:$AM$306)&gt;ROW(AM200)),--(((calc!$AR$3:$AR$306&gt;AR200)*(calc!$AS$3:$AS$306&gt;AS200)+(calc!$AR$3:$AR$306&lt;AR200)*(calc!$AS$3:$AS$306&lt;AS200))&gt;0))-SUMPRODUCT(--(calc!$AM$3:$AM$306=TRUE),--(ROW(calc!$AM$3:$AM$306)&gt;ROW(AM200)),--(((calc!$AR$3:$AR$306&gt;AR200)*(calc!$AS$3:$AS$306&lt;AS200)+(calc!$AR$3:$AR$306&lt;AR200)*(calc!$AS$3:$AS$306&gt;AS200))&gt;0)),0)</f>
        <v/>
      </c>
      <c r="AU200" s="5">
        <f>IF(mos_metrics!K199="","",mos_metrics!K199)</f>
        <v/>
      </c>
      <c r="AV200" s="2">
        <f>AND($J200,ISNUMBER(AU200),correlation!$I$30=1)</f>
        <v/>
      </c>
      <c r="AW200" s="5">
        <f>IF(AV200,$F200,"")</f>
        <v/>
      </c>
      <c r="AX200" s="5">
        <f>IF(AV200,AU200*correlation!$J$30,"")</f>
        <v/>
      </c>
      <c r="AY200" s="5">
        <f>IF(AND(AV200,ISNUMBER(correlation!$F$30)),AX200*correlation!$F$30+correlation!$G$30,"")</f>
        <v/>
      </c>
      <c r="AZ200" s="5">
        <f>IF(AND(AV200,ISNUMBER(AY200)),(AW200-AY200)^2,"")</f>
        <v/>
      </c>
      <c r="BA200" s="5">
        <f>IF(AV200,1+SUMPRODUCT(--(calc!$AV$3:$AV$306=TRUE),--(calc!$AW$3:$AW$306&gt;AW200))+(SUMPRODUCT(--(calc!$AV$3:$AV$306=TRUE),--(calc!$AW$3:$AW$306=AW200))-1)/2,"")</f>
        <v/>
      </c>
      <c r="BB200" s="5">
        <f>IF(AV200,1+SUMPRODUCT(--(calc!$AV$3:$AV$306=TRUE),--(calc!$AX$3:$AX$306&gt;AX200))+(SUMPRODUCT(--(calc!$AV$3:$AV$306=TRUE),--(calc!$AX$3:$AX$306=AX200))-1)/2,"")</f>
        <v/>
      </c>
      <c r="BC200" s="5">
        <f>IF(AV200,SUMPRODUCT(--(calc!$AV$3:$AV$306=TRUE),--(ROW(calc!$AV$3:$AV$306)&gt;ROW(AV200)),--(((calc!$BA$3:$BA$306&gt;BA200)*(calc!$BB$3:$BB$306&gt;BB200)+(calc!$BA$3:$BA$306&lt;BA200)*(calc!$BB$3:$BB$306&lt;BB200))&gt;0))-SUMPRODUCT(--(calc!$AV$3:$AV$306=TRUE),--(ROW(calc!$AV$3:$AV$306)&gt;ROW(AV200)),--(((calc!$BA$3:$BA$306&gt;BA200)*(calc!$BB$3:$BB$306&lt;BB200)+(calc!$BA$3:$BA$306&lt;BA200)*(calc!$BB$3:$BB$306&gt;BB200))&gt;0)),0)</f>
        <v/>
      </c>
      <c r="BD200" s="5">
        <f>IF(mos_metrics!L199="","",mos_metrics!L199)</f>
        <v/>
      </c>
      <c r="BE200" s="2">
        <f>AND($J200,ISNUMBER(BD200),correlation!$I$31=1)</f>
        <v/>
      </c>
      <c r="BF200" s="5">
        <f>IF(BE200,$F200,"")</f>
        <v/>
      </c>
      <c r="BG200" s="5">
        <f>IF(BE200,BD200*correlation!$J$31,"")</f>
        <v/>
      </c>
      <c r="BH200" s="5">
        <f>IF(AND(BE200,ISNUMBER(correlation!$F$31)),BG200*correlation!$F$31+correlation!$G$31,"")</f>
        <v/>
      </c>
      <c r="BI200" s="5">
        <f>IF(AND(BE200,ISNUMBER(BH200)),(BF200-BH200)^2,"")</f>
        <v/>
      </c>
      <c r="BJ200" s="5">
        <f>IF(BE200,1+SUMPRODUCT(--(calc!$BE$3:$BE$306=TRUE),--(calc!$BF$3:$BF$306&gt;BF200))+(SUMPRODUCT(--(calc!$BE$3:$BE$306=TRUE),--(calc!$BF$3:$BF$306=BF200))-1)/2,"")</f>
        <v/>
      </c>
      <c r="BK200" s="5">
        <f>IF(BE200,1+SUMPRODUCT(--(calc!$BE$3:$BE$306=TRUE),--(calc!$BG$3:$BG$306&gt;BG200))+(SUMPRODUCT(--(calc!$BE$3:$BE$306=TRUE),--(calc!$BG$3:$BG$306=BG200))-1)/2,"")</f>
        <v/>
      </c>
      <c r="BL200" s="5">
        <f>IF(BE200,SUMPRODUCT(--(calc!$BE$3:$BE$306=TRUE),--(ROW(calc!$BE$3:$BE$306)&gt;ROW(BE200)),--(((calc!$BJ$3:$BJ$306&gt;BJ200)*(calc!$BK$3:$BK$306&gt;BK200)+(calc!$BJ$3:$BJ$306&lt;BJ200)*(calc!$BK$3:$BK$306&lt;BK200))&gt;0))-SUMPRODUCT(--(calc!$BE$3:$BE$306=TRUE),--(ROW(calc!$BE$3:$BE$306)&gt;ROW(BE200)),--(((calc!$BJ$3:$BJ$306&gt;BJ200)*(calc!$BK$3:$BK$306&lt;BK200)+(calc!$BJ$3:$BJ$306&lt;BJ200)*(calc!$BK$3:$BK$306&gt;BK200))&gt;0)),0)</f>
        <v/>
      </c>
      <c r="BM200" s="5">
        <f>IF(mos_metrics!M199="","",mos_metrics!M199)</f>
        <v/>
      </c>
      <c r="BN200" s="2">
        <f>AND($J200,ISNUMBER(BM200),correlation!$I$32=1)</f>
        <v/>
      </c>
      <c r="BO200" s="5">
        <f>IF(BN200,$F200,"")</f>
        <v/>
      </c>
      <c r="BP200" s="5">
        <f>IF(BN200,BM200*correlation!$J$32,"")</f>
        <v/>
      </c>
      <c r="BQ200" s="5">
        <f>IF(AND(BN200,ISNUMBER(correlation!$F$32)),BP200*correlation!$F$32+correlation!$G$32,"")</f>
        <v/>
      </c>
      <c r="BR200" s="5">
        <f>IF(AND(BN200,ISNUMBER(BQ200)),(BO200-BQ200)^2,"")</f>
        <v/>
      </c>
      <c r="BS200" s="5">
        <f>IF(BN200,1+SUMPRODUCT(--(calc!$BN$3:$BN$306=TRUE),--(calc!$BO$3:$BO$306&gt;BO200))+(SUMPRODUCT(--(calc!$BN$3:$BN$306=TRUE),--(calc!$BO$3:$BO$306=BO200))-1)/2,"")</f>
        <v/>
      </c>
      <c r="BT200" s="5">
        <f>IF(BN200,1+SUMPRODUCT(--(calc!$BN$3:$BN$306=TRUE),--(calc!$BP$3:$BP$306&gt;BP200))+(SUMPRODUCT(--(calc!$BN$3:$BN$306=TRUE),--(calc!$BP$3:$BP$306=BP200))-1)/2,"")</f>
        <v/>
      </c>
      <c r="BU200" s="5">
        <f>IF(BN200,SUMPRODUCT(--(calc!$BN$3:$BN$306=TRUE),--(ROW(calc!$BN$3:$BN$306)&gt;ROW(BN200)),--(((calc!$BS$3:$BS$306&gt;BS200)*(calc!$BT$3:$BT$306&gt;BT200)+(calc!$BS$3:$BS$306&lt;BS200)*(calc!$BT$3:$BT$306&lt;BT200))&gt;0))-SUMPRODUCT(--(calc!$BN$3:$BN$306=TRUE),--(ROW(calc!$BN$3:$BN$306)&gt;ROW(BN200)),--(((calc!$BS$3:$BS$306&gt;BS200)*(calc!$BT$3:$BT$306&lt;BT200)+(calc!$BS$3:$BS$306&lt;BS200)*(calc!$BT$3:$BT$306&gt;BT200))&gt;0)),0)</f>
        <v/>
      </c>
    </row>
    <row r="201">
      <c r="A201" s="2">
        <f>mos_metrics!A200</f>
        <v/>
      </c>
      <c r="B201" s="2">
        <f>mos_metrics!B200</f>
        <v/>
      </c>
      <c r="C201" s="2">
        <f>mos_metrics!C200</f>
        <v/>
      </c>
      <c r="D201" s="2">
        <f>mos_metrics!D200</f>
        <v/>
      </c>
      <c r="E201" s="2">
        <f>mos_metrics!E200</f>
        <v/>
      </c>
      <c r="F201" s="2">
        <f>mos_metrics!F200</f>
        <v/>
      </c>
      <c r="G201" s="2">
        <f>IF($B201="","",IFERROR(VLOOKUP($B201,correlation!$A$2:$B$16,2,FALSE),1))</f>
        <v/>
      </c>
      <c r="H201" s="2">
        <f>IF($E201="","",IFERROR(VLOOKUP($E201,correlation!$D$2:$E$8,2,FALSE),1))</f>
        <v/>
      </c>
      <c r="I201" s="2">
        <f>ISNUMBER($F201)</f>
        <v/>
      </c>
      <c r="J201" s="2">
        <f>AND($G201=1,$H201=1,$I201)</f>
        <v/>
      </c>
      <c r="K201" s="5">
        <f>IF(mos_metrics!G200="","",mos_metrics!G200)</f>
        <v/>
      </c>
      <c r="L201" s="2">
        <f>AND($J201,ISNUMBER(K201),correlation!$I$26=1)</f>
        <v/>
      </c>
      <c r="M201" s="5">
        <f>IF(L201,$F201,"")</f>
        <v/>
      </c>
      <c r="N201" s="5">
        <f>IF(L201,K201*correlation!$J$26,"")</f>
        <v/>
      </c>
      <c r="O201" s="5">
        <f>IF(AND(L201,ISNUMBER(correlation!$F$26)),N201*correlation!$F$26+correlation!$G$26,"")</f>
        <v/>
      </c>
      <c r="P201" s="5">
        <f>IF(AND(L201,ISNUMBER(O201)),(M201-O201)^2,"")</f>
        <v/>
      </c>
      <c r="Q201" s="5">
        <f>IF(L201,1+SUMPRODUCT(--(calc!$L$3:$L$306=TRUE),--(calc!$M$3:$M$306&gt;M201))+(SUMPRODUCT(--(calc!$L$3:$L$306=TRUE),--(calc!$M$3:$M$306=M201))-1)/2,"")</f>
        <v/>
      </c>
      <c r="R201" s="5">
        <f>IF(L201,1+SUMPRODUCT(--(calc!$L$3:$L$306=TRUE),--(calc!$N$3:$N$306&gt;N201))+(SUMPRODUCT(--(calc!$L$3:$L$306=TRUE),--(calc!$N$3:$N$306=N201))-1)/2,"")</f>
        <v/>
      </c>
      <c r="S201" s="5">
        <f>IF(L201,SUMPRODUCT(--(calc!$L$3:$L$306=TRUE),--(ROW(calc!$L$3:$L$306)&gt;ROW(L201)),--(((calc!$Q$3:$Q$306&gt;Q201)*(calc!$R$3:$R$306&gt;R201)+(calc!$Q$3:$Q$306&lt;Q201)*(calc!$R$3:$R$306&lt;R201))&gt;0))-SUMPRODUCT(--(calc!$L$3:$L$306=TRUE),--(ROW(calc!$L$3:$L$306)&gt;ROW(L201)),--(((calc!$Q$3:$Q$306&gt;Q201)*(calc!$R$3:$R$306&lt;R201)+(calc!$Q$3:$Q$306&lt;Q201)*(calc!$R$3:$R$306&gt;R201))&gt;0)),0)</f>
        <v/>
      </c>
      <c r="T201" s="5">
        <f>IF(mos_metrics!H200="","",mos_metrics!H200)</f>
        <v/>
      </c>
      <c r="U201" s="2">
        <f>AND($J201,ISNUMBER(T201),correlation!$I$27=1)</f>
        <v/>
      </c>
      <c r="V201" s="5">
        <f>IF(U201,$F201,"")</f>
        <v/>
      </c>
      <c r="W201" s="5">
        <f>IF(U201,T201*correlation!$J$27,"")</f>
        <v/>
      </c>
      <c r="X201" s="5">
        <f>IF(AND(U201,ISNUMBER(correlation!$F$27)),W201*correlation!$F$27+correlation!$G$27,"")</f>
        <v/>
      </c>
      <c r="Y201" s="5">
        <f>IF(AND(U201,ISNUMBER(X201)),(V201-X201)^2,"")</f>
        <v/>
      </c>
      <c r="Z201" s="5">
        <f>IF(U201,1+SUMPRODUCT(--(calc!$U$3:$U$306=TRUE),--(calc!$V$3:$V$306&gt;V201))+(SUMPRODUCT(--(calc!$U$3:$U$306=TRUE),--(calc!$V$3:$V$306=V201))-1)/2,"")</f>
        <v/>
      </c>
      <c r="AA201" s="5">
        <f>IF(U201,1+SUMPRODUCT(--(calc!$U$3:$U$306=TRUE),--(calc!$W$3:$W$306&gt;W201))+(SUMPRODUCT(--(calc!$U$3:$U$306=TRUE),--(calc!$W$3:$W$306=W201))-1)/2,"")</f>
        <v/>
      </c>
      <c r="AB201" s="5">
        <f>IF(U201,SUMPRODUCT(--(calc!$U$3:$U$306=TRUE),--(ROW(calc!$U$3:$U$306)&gt;ROW(U201)),--(((calc!$Z$3:$Z$306&gt;Z201)*(calc!$AA$3:$AA$306&gt;AA201)+(calc!$Z$3:$Z$306&lt;Z201)*(calc!$AA$3:$AA$306&lt;AA201))&gt;0))-SUMPRODUCT(--(calc!$U$3:$U$306=TRUE),--(ROW(calc!$U$3:$U$306)&gt;ROW(U201)),--(((calc!$Z$3:$Z$306&gt;Z201)*(calc!$AA$3:$AA$306&lt;AA201)+(calc!$Z$3:$Z$306&lt;Z201)*(calc!$AA$3:$AA$306&gt;AA201))&gt;0)),0)</f>
        <v/>
      </c>
      <c r="AC201" s="5">
        <f>IF(mos_metrics!I200="","",mos_metrics!I200)</f>
        <v/>
      </c>
      <c r="AD201" s="2">
        <f>AND($J201,ISNUMBER(AC201),correlation!$I$28=1)</f>
        <v/>
      </c>
      <c r="AE201" s="5">
        <f>IF(AD201,$F201,"")</f>
        <v/>
      </c>
      <c r="AF201" s="5">
        <f>IF(AD201,AC201*correlation!$J$28,"")</f>
        <v/>
      </c>
      <c r="AG201" s="5">
        <f>IF(AND(AD201,ISNUMBER(correlation!$F$28)),AF201*correlation!$F$28+correlation!$G$28,"")</f>
        <v/>
      </c>
      <c r="AH201" s="5">
        <f>IF(AND(AD201,ISNUMBER(AG201)),(AE201-AG201)^2,"")</f>
        <v/>
      </c>
      <c r="AI201" s="5">
        <f>IF(AD201,1+SUMPRODUCT(--(calc!$AD$3:$AD$306=TRUE),--(calc!$AE$3:$AE$306&gt;AE201))+(SUMPRODUCT(--(calc!$AD$3:$AD$306=TRUE),--(calc!$AE$3:$AE$306=AE201))-1)/2,"")</f>
        <v/>
      </c>
      <c r="AJ201" s="5">
        <f>IF(AD201,1+SUMPRODUCT(--(calc!$AD$3:$AD$306=TRUE),--(calc!$AF$3:$AF$306&gt;AF201))+(SUMPRODUCT(--(calc!$AD$3:$AD$306=TRUE),--(calc!$AF$3:$AF$306=AF201))-1)/2,"")</f>
        <v/>
      </c>
      <c r="AK201" s="5">
        <f>IF(AD201,SUMPRODUCT(--(calc!$AD$3:$AD$306=TRUE),--(ROW(calc!$AD$3:$AD$306)&gt;ROW(AD201)),--(((calc!$AI$3:$AI$306&gt;AI201)*(calc!$AJ$3:$AJ$306&gt;AJ201)+(calc!$AI$3:$AI$306&lt;AI201)*(calc!$AJ$3:$AJ$306&lt;AJ201))&gt;0))-SUMPRODUCT(--(calc!$AD$3:$AD$306=TRUE),--(ROW(calc!$AD$3:$AD$306)&gt;ROW(AD201)),--(((calc!$AI$3:$AI$306&gt;AI201)*(calc!$AJ$3:$AJ$306&lt;AJ201)+(calc!$AI$3:$AI$306&lt;AI201)*(calc!$AJ$3:$AJ$306&gt;AJ201))&gt;0)),0)</f>
        <v/>
      </c>
      <c r="AL201" s="5">
        <f>IF(mos_metrics!J200="","",mos_metrics!J200)</f>
        <v/>
      </c>
      <c r="AM201" s="2">
        <f>AND($J201,ISNUMBER(AL201),correlation!$I$29=1)</f>
        <v/>
      </c>
      <c r="AN201" s="5">
        <f>IF(AM201,$F201,"")</f>
        <v/>
      </c>
      <c r="AO201" s="5">
        <f>IF(AM201,AL201*correlation!$J$29,"")</f>
        <v/>
      </c>
      <c r="AP201" s="5">
        <f>IF(AND(AM201,ISNUMBER(correlation!$F$29)),AO201*correlation!$F$29+correlation!$G$29,"")</f>
        <v/>
      </c>
      <c r="AQ201" s="5">
        <f>IF(AND(AM201,ISNUMBER(AP201)),(AN201-AP201)^2,"")</f>
        <v/>
      </c>
      <c r="AR201" s="5">
        <f>IF(AM201,1+SUMPRODUCT(--(calc!$AM$3:$AM$306=TRUE),--(calc!$AN$3:$AN$306&gt;AN201))+(SUMPRODUCT(--(calc!$AM$3:$AM$306=TRUE),--(calc!$AN$3:$AN$306=AN201))-1)/2,"")</f>
        <v/>
      </c>
      <c r="AS201" s="5">
        <f>IF(AM201,1+SUMPRODUCT(--(calc!$AM$3:$AM$306=TRUE),--(calc!$AO$3:$AO$306&gt;AO201))+(SUMPRODUCT(--(calc!$AM$3:$AM$306=TRUE),--(calc!$AO$3:$AO$306=AO201))-1)/2,"")</f>
        <v/>
      </c>
      <c r="AT201" s="5">
        <f>IF(AM201,SUMPRODUCT(--(calc!$AM$3:$AM$306=TRUE),--(ROW(calc!$AM$3:$AM$306)&gt;ROW(AM201)),--(((calc!$AR$3:$AR$306&gt;AR201)*(calc!$AS$3:$AS$306&gt;AS201)+(calc!$AR$3:$AR$306&lt;AR201)*(calc!$AS$3:$AS$306&lt;AS201))&gt;0))-SUMPRODUCT(--(calc!$AM$3:$AM$306=TRUE),--(ROW(calc!$AM$3:$AM$306)&gt;ROW(AM201)),--(((calc!$AR$3:$AR$306&gt;AR201)*(calc!$AS$3:$AS$306&lt;AS201)+(calc!$AR$3:$AR$306&lt;AR201)*(calc!$AS$3:$AS$306&gt;AS201))&gt;0)),0)</f>
        <v/>
      </c>
      <c r="AU201" s="5">
        <f>IF(mos_metrics!K200="","",mos_metrics!K200)</f>
        <v/>
      </c>
      <c r="AV201" s="2">
        <f>AND($J201,ISNUMBER(AU201),correlation!$I$30=1)</f>
        <v/>
      </c>
      <c r="AW201" s="5">
        <f>IF(AV201,$F201,"")</f>
        <v/>
      </c>
      <c r="AX201" s="5">
        <f>IF(AV201,AU201*correlation!$J$30,"")</f>
        <v/>
      </c>
      <c r="AY201" s="5">
        <f>IF(AND(AV201,ISNUMBER(correlation!$F$30)),AX201*correlation!$F$30+correlation!$G$30,"")</f>
        <v/>
      </c>
      <c r="AZ201" s="5">
        <f>IF(AND(AV201,ISNUMBER(AY201)),(AW201-AY201)^2,"")</f>
        <v/>
      </c>
      <c r="BA201" s="5">
        <f>IF(AV201,1+SUMPRODUCT(--(calc!$AV$3:$AV$306=TRUE),--(calc!$AW$3:$AW$306&gt;AW201))+(SUMPRODUCT(--(calc!$AV$3:$AV$306=TRUE),--(calc!$AW$3:$AW$306=AW201))-1)/2,"")</f>
        <v/>
      </c>
      <c r="BB201" s="5">
        <f>IF(AV201,1+SUMPRODUCT(--(calc!$AV$3:$AV$306=TRUE),--(calc!$AX$3:$AX$306&gt;AX201))+(SUMPRODUCT(--(calc!$AV$3:$AV$306=TRUE),--(calc!$AX$3:$AX$306=AX201))-1)/2,"")</f>
        <v/>
      </c>
      <c r="BC201" s="5">
        <f>IF(AV201,SUMPRODUCT(--(calc!$AV$3:$AV$306=TRUE),--(ROW(calc!$AV$3:$AV$306)&gt;ROW(AV201)),--(((calc!$BA$3:$BA$306&gt;BA201)*(calc!$BB$3:$BB$306&gt;BB201)+(calc!$BA$3:$BA$306&lt;BA201)*(calc!$BB$3:$BB$306&lt;BB201))&gt;0))-SUMPRODUCT(--(calc!$AV$3:$AV$306=TRUE),--(ROW(calc!$AV$3:$AV$306)&gt;ROW(AV201)),--(((calc!$BA$3:$BA$306&gt;BA201)*(calc!$BB$3:$BB$306&lt;BB201)+(calc!$BA$3:$BA$306&lt;BA201)*(calc!$BB$3:$BB$306&gt;BB201))&gt;0)),0)</f>
        <v/>
      </c>
      <c r="BD201" s="5">
        <f>IF(mos_metrics!L200="","",mos_metrics!L200)</f>
        <v/>
      </c>
      <c r="BE201" s="2">
        <f>AND($J201,ISNUMBER(BD201),correlation!$I$31=1)</f>
        <v/>
      </c>
      <c r="BF201" s="5">
        <f>IF(BE201,$F201,"")</f>
        <v/>
      </c>
      <c r="BG201" s="5">
        <f>IF(BE201,BD201*correlation!$J$31,"")</f>
        <v/>
      </c>
      <c r="BH201" s="5">
        <f>IF(AND(BE201,ISNUMBER(correlation!$F$31)),BG201*correlation!$F$31+correlation!$G$31,"")</f>
        <v/>
      </c>
      <c r="BI201" s="5">
        <f>IF(AND(BE201,ISNUMBER(BH201)),(BF201-BH201)^2,"")</f>
        <v/>
      </c>
      <c r="BJ201" s="5">
        <f>IF(BE201,1+SUMPRODUCT(--(calc!$BE$3:$BE$306=TRUE),--(calc!$BF$3:$BF$306&gt;BF201))+(SUMPRODUCT(--(calc!$BE$3:$BE$306=TRUE),--(calc!$BF$3:$BF$306=BF201))-1)/2,"")</f>
        <v/>
      </c>
      <c r="BK201" s="5">
        <f>IF(BE201,1+SUMPRODUCT(--(calc!$BE$3:$BE$306=TRUE),--(calc!$BG$3:$BG$306&gt;BG201))+(SUMPRODUCT(--(calc!$BE$3:$BE$306=TRUE),--(calc!$BG$3:$BG$306=BG201))-1)/2,"")</f>
        <v/>
      </c>
      <c r="BL201" s="5">
        <f>IF(BE201,SUMPRODUCT(--(calc!$BE$3:$BE$306=TRUE),--(ROW(calc!$BE$3:$BE$306)&gt;ROW(BE201)),--(((calc!$BJ$3:$BJ$306&gt;BJ201)*(calc!$BK$3:$BK$306&gt;BK201)+(calc!$BJ$3:$BJ$306&lt;BJ201)*(calc!$BK$3:$BK$306&lt;BK201))&gt;0))-SUMPRODUCT(--(calc!$BE$3:$BE$306=TRUE),--(ROW(calc!$BE$3:$BE$306)&gt;ROW(BE201)),--(((calc!$BJ$3:$BJ$306&gt;BJ201)*(calc!$BK$3:$BK$306&lt;BK201)+(calc!$BJ$3:$BJ$306&lt;BJ201)*(calc!$BK$3:$BK$306&gt;BK201))&gt;0)),0)</f>
        <v/>
      </c>
      <c r="BM201" s="5">
        <f>IF(mos_metrics!M200="","",mos_metrics!M200)</f>
        <v/>
      </c>
      <c r="BN201" s="2">
        <f>AND($J201,ISNUMBER(BM201),correlation!$I$32=1)</f>
        <v/>
      </c>
      <c r="BO201" s="5">
        <f>IF(BN201,$F201,"")</f>
        <v/>
      </c>
      <c r="BP201" s="5">
        <f>IF(BN201,BM201*correlation!$J$32,"")</f>
        <v/>
      </c>
      <c r="BQ201" s="5">
        <f>IF(AND(BN201,ISNUMBER(correlation!$F$32)),BP201*correlation!$F$32+correlation!$G$32,"")</f>
        <v/>
      </c>
      <c r="BR201" s="5">
        <f>IF(AND(BN201,ISNUMBER(BQ201)),(BO201-BQ201)^2,"")</f>
        <v/>
      </c>
      <c r="BS201" s="5">
        <f>IF(BN201,1+SUMPRODUCT(--(calc!$BN$3:$BN$306=TRUE),--(calc!$BO$3:$BO$306&gt;BO201))+(SUMPRODUCT(--(calc!$BN$3:$BN$306=TRUE),--(calc!$BO$3:$BO$306=BO201))-1)/2,"")</f>
        <v/>
      </c>
      <c r="BT201" s="5">
        <f>IF(BN201,1+SUMPRODUCT(--(calc!$BN$3:$BN$306=TRUE),--(calc!$BP$3:$BP$306&gt;BP201))+(SUMPRODUCT(--(calc!$BN$3:$BN$306=TRUE),--(calc!$BP$3:$BP$306=BP201))-1)/2,"")</f>
        <v/>
      </c>
      <c r="BU201" s="5">
        <f>IF(BN201,SUMPRODUCT(--(calc!$BN$3:$BN$306=TRUE),--(ROW(calc!$BN$3:$BN$306)&gt;ROW(BN201)),--(((calc!$BS$3:$BS$306&gt;BS201)*(calc!$BT$3:$BT$306&gt;BT201)+(calc!$BS$3:$BS$306&lt;BS201)*(calc!$BT$3:$BT$306&lt;BT201))&gt;0))-SUMPRODUCT(--(calc!$BN$3:$BN$306=TRUE),--(ROW(calc!$BN$3:$BN$306)&gt;ROW(BN201)),--(((calc!$BS$3:$BS$306&gt;BS201)*(calc!$BT$3:$BT$306&lt;BT201)+(calc!$BS$3:$BS$306&lt;BS201)*(calc!$BT$3:$BT$306&gt;BT201))&gt;0)),0)</f>
        <v/>
      </c>
    </row>
    <row r="202">
      <c r="A202" s="2">
        <f>mos_metrics!A201</f>
        <v/>
      </c>
      <c r="B202" s="2">
        <f>mos_metrics!B201</f>
        <v/>
      </c>
      <c r="C202" s="2">
        <f>mos_metrics!C201</f>
        <v/>
      </c>
      <c r="D202" s="2">
        <f>mos_metrics!D201</f>
        <v/>
      </c>
      <c r="E202" s="2">
        <f>mos_metrics!E201</f>
        <v/>
      </c>
      <c r="F202" s="2">
        <f>mos_metrics!F201</f>
        <v/>
      </c>
      <c r="G202" s="2">
        <f>IF($B202="","",IFERROR(VLOOKUP($B202,correlation!$A$2:$B$16,2,FALSE),1))</f>
        <v/>
      </c>
      <c r="H202" s="2">
        <f>IF($E202="","",IFERROR(VLOOKUP($E202,correlation!$D$2:$E$8,2,FALSE),1))</f>
        <v/>
      </c>
      <c r="I202" s="2">
        <f>ISNUMBER($F202)</f>
        <v/>
      </c>
      <c r="J202" s="2">
        <f>AND($G202=1,$H202=1,$I202)</f>
        <v/>
      </c>
      <c r="K202" s="5">
        <f>IF(mos_metrics!G201="","",mos_metrics!G201)</f>
        <v/>
      </c>
      <c r="L202" s="2">
        <f>AND($J202,ISNUMBER(K202),correlation!$I$26=1)</f>
        <v/>
      </c>
      <c r="M202" s="5">
        <f>IF(L202,$F202,"")</f>
        <v/>
      </c>
      <c r="N202" s="5">
        <f>IF(L202,K202*correlation!$J$26,"")</f>
        <v/>
      </c>
      <c r="O202" s="5">
        <f>IF(AND(L202,ISNUMBER(correlation!$F$26)),N202*correlation!$F$26+correlation!$G$26,"")</f>
        <v/>
      </c>
      <c r="P202" s="5">
        <f>IF(AND(L202,ISNUMBER(O202)),(M202-O202)^2,"")</f>
        <v/>
      </c>
      <c r="Q202" s="5">
        <f>IF(L202,1+SUMPRODUCT(--(calc!$L$3:$L$306=TRUE),--(calc!$M$3:$M$306&gt;M202))+(SUMPRODUCT(--(calc!$L$3:$L$306=TRUE),--(calc!$M$3:$M$306=M202))-1)/2,"")</f>
        <v/>
      </c>
      <c r="R202" s="5">
        <f>IF(L202,1+SUMPRODUCT(--(calc!$L$3:$L$306=TRUE),--(calc!$N$3:$N$306&gt;N202))+(SUMPRODUCT(--(calc!$L$3:$L$306=TRUE),--(calc!$N$3:$N$306=N202))-1)/2,"")</f>
        <v/>
      </c>
      <c r="S202" s="5">
        <f>IF(L202,SUMPRODUCT(--(calc!$L$3:$L$306=TRUE),--(ROW(calc!$L$3:$L$306)&gt;ROW(L202)),--(((calc!$Q$3:$Q$306&gt;Q202)*(calc!$R$3:$R$306&gt;R202)+(calc!$Q$3:$Q$306&lt;Q202)*(calc!$R$3:$R$306&lt;R202))&gt;0))-SUMPRODUCT(--(calc!$L$3:$L$306=TRUE),--(ROW(calc!$L$3:$L$306)&gt;ROW(L202)),--(((calc!$Q$3:$Q$306&gt;Q202)*(calc!$R$3:$R$306&lt;R202)+(calc!$Q$3:$Q$306&lt;Q202)*(calc!$R$3:$R$306&gt;R202))&gt;0)),0)</f>
        <v/>
      </c>
      <c r="T202" s="5">
        <f>IF(mos_metrics!H201="","",mos_metrics!H201)</f>
        <v/>
      </c>
      <c r="U202" s="2">
        <f>AND($J202,ISNUMBER(T202),correlation!$I$27=1)</f>
        <v/>
      </c>
      <c r="V202" s="5">
        <f>IF(U202,$F202,"")</f>
        <v/>
      </c>
      <c r="W202" s="5">
        <f>IF(U202,T202*correlation!$J$27,"")</f>
        <v/>
      </c>
      <c r="X202" s="5">
        <f>IF(AND(U202,ISNUMBER(correlation!$F$27)),W202*correlation!$F$27+correlation!$G$27,"")</f>
        <v/>
      </c>
      <c r="Y202" s="5">
        <f>IF(AND(U202,ISNUMBER(X202)),(V202-X202)^2,"")</f>
        <v/>
      </c>
      <c r="Z202" s="5">
        <f>IF(U202,1+SUMPRODUCT(--(calc!$U$3:$U$306=TRUE),--(calc!$V$3:$V$306&gt;V202))+(SUMPRODUCT(--(calc!$U$3:$U$306=TRUE),--(calc!$V$3:$V$306=V202))-1)/2,"")</f>
        <v/>
      </c>
      <c r="AA202" s="5">
        <f>IF(U202,1+SUMPRODUCT(--(calc!$U$3:$U$306=TRUE),--(calc!$W$3:$W$306&gt;W202))+(SUMPRODUCT(--(calc!$U$3:$U$306=TRUE),--(calc!$W$3:$W$306=W202))-1)/2,"")</f>
        <v/>
      </c>
      <c r="AB202" s="5">
        <f>IF(U202,SUMPRODUCT(--(calc!$U$3:$U$306=TRUE),--(ROW(calc!$U$3:$U$306)&gt;ROW(U202)),--(((calc!$Z$3:$Z$306&gt;Z202)*(calc!$AA$3:$AA$306&gt;AA202)+(calc!$Z$3:$Z$306&lt;Z202)*(calc!$AA$3:$AA$306&lt;AA202))&gt;0))-SUMPRODUCT(--(calc!$U$3:$U$306=TRUE),--(ROW(calc!$U$3:$U$306)&gt;ROW(U202)),--(((calc!$Z$3:$Z$306&gt;Z202)*(calc!$AA$3:$AA$306&lt;AA202)+(calc!$Z$3:$Z$306&lt;Z202)*(calc!$AA$3:$AA$306&gt;AA202))&gt;0)),0)</f>
        <v/>
      </c>
      <c r="AC202" s="5">
        <f>IF(mos_metrics!I201="","",mos_metrics!I201)</f>
        <v/>
      </c>
      <c r="AD202" s="2">
        <f>AND($J202,ISNUMBER(AC202),correlation!$I$28=1)</f>
        <v/>
      </c>
      <c r="AE202" s="5">
        <f>IF(AD202,$F202,"")</f>
        <v/>
      </c>
      <c r="AF202" s="5">
        <f>IF(AD202,AC202*correlation!$J$28,"")</f>
        <v/>
      </c>
      <c r="AG202" s="5">
        <f>IF(AND(AD202,ISNUMBER(correlation!$F$28)),AF202*correlation!$F$28+correlation!$G$28,"")</f>
        <v/>
      </c>
      <c r="AH202" s="5">
        <f>IF(AND(AD202,ISNUMBER(AG202)),(AE202-AG202)^2,"")</f>
        <v/>
      </c>
      <c r="AI202" s="5">
        <f>IF(AD202,1+SUMPRODUCT(--(calc!$AD$3:$AD$306=TRUE),--(calc!$AE$3:$AE$306&gt;AE202))+(SUMPRODUCT(--(calc!$AD$3:$AD$306=TRUE),--(calc!$AE$3:$AE$306=AE202))-1)/2,"")</f>
        <v/>
      </c>
      <c r="AJ202" s="5">
        <f>IF(AD202,1+SUMPRODUCT(--(calc!$AD$3:$AD$306=TRUE),--(calc!$AF$3:$AF$306&gt;AF202))+(SUMPRODUCT(--(calc!$AD$3:$AD$306=TRUE),--(calc!$AF$3:$AF$306=AF202))-1)/2,"")</f>
        <v/>
      </c>
      <c r="AK202" s="5">
        <f>IF(AD202,SUMPRODUCT(--(calc!$AD$3:$AD$306=TRUE),--(ROW(calc!$AD$3:$AD$306)&gt;ROW(AD202)),--(((calc!$AI$3:$AI$306&gt;AI202)*(calc!$AJ$3:$AJ$306&gt;AJ202)+(calc!$AI$3:$AI$306&lt;AI202)*(calc!$AJ$3:$AJ$306&lt;AJ202))&gt;0))-SUMPRODUCT(--(calc!$AD$3:$AD$306=TRUE),--(ROW(calc!$AD$3:$AD$306)&gt;ROW(AD202)),--(((calc!$AI$3:$AI$306&gt;AI202)*(calc!$AJ$3:$AJ$306&lt;AJ202)+(calc!$AI$3:$AI$306&lt;AI202)*(calc!$AJ$3:$AJ$306&gt;AJ202))&gt;0)),0)</f>
        <v/>
      </c>
      <c r="AL202" s="5">
        <f>IF(mos_metrics!J201="","",mos_metrics!J201)</f>
        <v/>
      </c>
      <c r="AM202" s="2">
        <f>AND($J202,ISNUMBER(AL202),correlation!$I$29=1)</f>
        <v/>
      </c>
      <c r="AN202" s="5">
        <f>IF(AM202,$F202,"")</f>
        <v/>
      </c>
      <c r="AO202" s="5">
        <f>IF(AM202,AL202*correlation!$J$29,"")</f>
        <v/>
      </c>
      <c r="AP202" s="5">
        <f>IF(AND(AM202,ISNUMBER(correlation!$F$29)),AO202*correlation!$F$29+correlation!$G$29,"")</f>
        <v/>
      </c>
      <c r="AQ202" s="5">
        <f>IF(AND(AM202,ISNUMBER(AP202)),(AN202-AP202)^2,"")</f>
        <v/>
      </c>
      <c r="AR202" s="5">
        <f>IF(AM202,1+SUMPRODUCT(--(calc!$AM$3:$AM$306=TRUE),--(calc!$AN$3:$AN$306&gt;AN202))+(SUMPRODUCT(--(calc!$AM$3:$AM$306=TRUE),--(calc!$AN$3:$AN$306=AN202))-1)/2,"")</f>
        <v/>
      </c>
      <c r="AS202" s="5">
        <f>IF(AM202,1+SUMPRODUCT(--(calc!$AM$3:$AM$306=TRUE),--(calc!$AO$3:$AO$306&gt;AO202))+(SUMPRODUCT(--(calc!$AM$3:$AM$306=TRUE),--(calc!$AO$3:$AO$306=AO202))-1)/2,"")</f>
        <v/>
      </c>
      <c r="AT202" s="5">
        <f>IF(AM202,SUMPRODUCT(--(calc!$AM$3:$AM$306=TRUE),--(ROW(calc!$AM$3:$AM$306)&gt;ROW(AM202)),--(((calc!$AR$3:$AR$306&gt;AR202)*(calc!$AS$3:$AS$306&gt;AS202)+(calc!$AR$3:$AR$306&lt;AR202)*(calc!$AS$3:$AS$306&lt;AS202))&gt;0))-SUMPRODUCT(--(calc!$AM$3:$AM$306=TRUE),--(ROW(calc!$AM$3:$AM$306)&gt;ROW(AM202)),--(((calc!$AR$3:$AR$306&gt;AR202)*(calc!$AS$3:$AS$306&lt;AS202)+(calc!$AR$3:$AR$306&lt;AR202)*(calc!$AS$3:$AS$306&gt;AS202))&gt;0)),0)</f>
        <v/>
      </c>
      <c r="AU202" s="5">
        <f>IF(mos_metrics!K201="","",mos_metrics!K201)</f>
        <v/>
      </c>
      <c r="AV202" s="2">
        <f>AND($J202,ISNUMBER(AU202),correlation!$I$30=1)</f>
        <v/>
      </c>
      <c r="AW202" s="5">
        <f>IF(AV202,$F202,"")</f>
        <v/>
      </c>
      <c r="AX202" s="5">
        <f>IF(AV202,AU202*correlation!$J$30,"")</f>
        <v/>
      </c>
      <c r="AY202" s="5">
        <f>IF(AND(AV202,ISNUMBER(correlation!$F$30)),AX202*correlation!$F$30+correlation!$G$30,"")</f>
        <v/>
      </c>
      <c r="AZ202" s="5">
        <f>IF(AND(AV202,ISNUMBER(AY202)),(AW202-AY202)^2,"")</f>
        <v/>
      </c>
      <c r="BA202" s="5">
        <f>IF(AV202,1+SUMPRODUCT(--(calc!$AV$3:$AV$306=TRUE),--(calc!$AW$3:$AW$306&gt;AW202))+(SUMPRODUCT(--(calc!$AV$3:$AV$306=TRUE),--(calc!$AW$3:$AW$306=AW202))-1)/2,"")</f>
        <v/>
      </c>
      <c r="BB202" s="5">
        <f>IF(AV202,1+SUMPRODUCT(--(calc!$AV$3:$AV$306=TRUE),--(calc!$AX$3:$AX$306&gt;AX202))+(SUMPRODUCT(--(calc!$AV$3:$AV$306=TRUE),--(calc!$AX$3:$AX$306=AX202))-1)/2,"")</f>
        <v/>
      </c>
      <c r="BC202" s="5">
        <f>IF(AV202,SUMPRODUCT(--(calc!$AV$3:$AV$306=TRUE),--(ROW(calc!$AV$3:$AV$306)&gt;ROW(AV202)),--(((calc!$BA$3:$BA$306&gt;BA202)*(calc!$BB$3:$BB$306&gt;BB202)+(calc!$BA$3:$BA$306&lt;BA202)*(calc!$BB$3:$BB$306&lt;BB202))&gt;0))-SUMPRODUCT(--(calc!$AV$3:$AV$306=TRUE),--(ROW(calc!$AV$3:$AV$306)&gt;ROW(AV202)),--(((calc!$BA$3:$BA$306&gt;BA202)*(calc!$BB$3:$BB$306&lt;BB202)+(calc!$BA$3:$BA$306&lt;BA202)*(calc!$BB$3:$BB$306&gt;BB202))&gt;0)),0)</f>
        <v/>
      </c>
      <c r="BD202" s="5">
        <f>IF(mos_metrics!L201="","",mos_metrics!L201)</f>
        <v/>
      </c>
      <c r="BE202" s="2">
        <f>AND($J202,ISNUMBER(BD202),correlation!$I$31=1)</f>
        <v/>
      </c>
      <c r="BF202" s="5">
        <f>IF(BE202,$F202,"")</f>
        <v/>
      </c>
      <c r="BG202" s="5">
        <f>IF(BE202,BD202*correlation!$J$31,"")</f>
        <v/>
      </c>
      <c r="BH202" s="5">
        <f>IF(AND(BE202,ISNUMBER(correlation!$F$31)),BG202*correlation!$F$31+correlation!$G$31,"")</f>
        <v/>
      </c>
      <c r="BI202" s="5">
        <f>IF(AND(BE202,ISNUMBER(BH202)),(BF202-BH202)^2,"")</f>
        <v/>
      </c>
      <c r="BJ202" s="5">
        <f>IF(BE202,1+SUMPRODUCT(--(calc!$BE$3:$BE$306=TRUE),--(calc!$BF$3:$BF$306&gt;BF202))+(SUMPRODUCT(--(calc!$BE$3:$BE$306=TRUE),--(calc!$BF$3:$BF$306=BF202))-1)/2,"")</f>
        <v/>
      </c>
      <c r="BK202" s="5">
        <f>IF(BE202,1+SUMPRODUCT(--(calc!$BE$3:$BE$306=TRUE),--(calc!$BG$3:$BG$306&gt;BG202))+(SUMPRODUCT(--(calc!$BE$3:$BE$306=TRUE),--(calc!$BG$3:$BG$306=BG202))-1)/2,"")</f>
        <v/>
      </c>
      <c r="BL202" s="5">
        <f>IF(BE202,SUMPRODUCT(--(calc!$BE$3:$BE$306=TRUE),--(ROW(calc!$BE$3:$BE$306)&gt;ROW(BE202)),--(((calc!$BJ$3:$BJ$306&gt;BJ202)*(calc!$BK$3:$BK$306&gt;BK202)+(calc!$BJ$3:$BJ$306&lt;BJ202)*(calc!$BK$3:$BK$306&lt;BK202))&gt;0))-SUMPRODUCT(--(calc!$BE$3:$BE$306=TRUE),--(ROW(calc!$BE$3:$BE$306)&gt;ROW(BE202)),--(((calc!$BJ$3:$BJ$306&gt;BJ202)*(calc!$BK$3:$BK$306&lt;BK202)+(calc!$BJ$3:$BJ$306&lt;BJ202)*(calc!$BK$3:$BK$306&gt;BK202))&gt;0)),0)</f>
        <v/>
      </c>
      <c r="BM202" s="5">
        <f>IF(mos_metrics!M201="","",mos_metrics!M201)</f>
        <v/>
      </c>
      <c r="BN202" s="2">
        <f>AND($J202,ISNUMBER(BM202),correlation!$I$32=1)</f>
        <v/>
      </c>
      <c r="BO202" s="5">
        <f>IF(BN202,$F202,"")</f>
        <v/>
      </c>
      <c r="BP202" s="5">
        <f>IF(BN202,BM202*correlation!$J$32,"")</f>
        <v/>
      </c>
      <c r="BQ202" s="5">
        <f>IF(AND(BN202,ISNUMBER(correlation!$F$32)),BP202*correlation!$F$32+correlation!$G$32,"")</f>
        <v/>
      </c>
      <c r="BR202" s="5">
        <f>IF(AND(BN202,ISNUMBER(BQ202)),(BO202-BQ202)^2,"")</f>
        <v/>
      </c>
      <c r="BS202" s="5">
        <f>IF(BN202,1+SUMPRODUCT(--(calc!$BN$3:$BN$306=TRUE),--(calc!$BO$3:$BO$306&gt;BO202))+(SUMPRODUCT(--(calc!$BN$3:$BN$306=TRUE),--(calc!$BO$3:$BO$306=BO202))-1)/2,"")</f>
        <v/>
      </c>
      <c r="BT202" s="5">
        <f>IF(BN202,1+SUMPRODUCT(--(calc!$BN$3:$BN$306=TRUE),--(calc!$BP$3:$BP$306&gt;BP202))+(SUMPRODUCT(--(calc!$BN$3:$BN$306=TRUE),--(calc!$BP$3:$BP$306=BP202))-1)/2,"")</f>
        <v/>
      </c>
      <c r="BU202" s="5">
        <f>IF(BN202,SUMPRODUCT(--(calc!$BN$3:$BN$306=TRUE),--(ROW(calc!$BN$3:$BN$306)&gt;ROW(BN202)),--(((calc!$BS$3:$BS$306&gt;BS202)*(calc!$BT$3:$BT$306&gt;BT202)+(calc!$BS$3:$BS$306&lt;BS202)*(calc!$BT$3:$BT$306&lt;BT202))&gt;0))-SUMPRODUCT(--(calc!$BN$3:$BN$306=TRUE),--(ROW(calc!$BN$3:$BN$306)&gt;ROW(BN202)),--(((calc!$BS$3:$BS$306&gt;BS202)*(calc!$BT$3:$BT$306&lt;BT202)+(calc!$BS$3:$BS$306&lt;BS202)*(calc!$BT$3:$BT$306&gt;BT202))&gt;0)),0)</f>
        <v/>
      </c>
    </row>
    <row r="203">
      <c r="A203" s="2">
        <f>mos_metrics!A202</f>
        <v/>
      </c>
      <c r="B203" s="2">
        <f>mos_metrics!B202</f>
        <v/>
      </c>
      <c r="C203" s="2">
        <f>mos_metrics!C202</f>
        <v/>
      </c>
      <c r="D203" s="2">
        <f>mos_metrics!D202</f>
        <v/>
      </c>
      <c r="E203" s="2">
        <f>mos_metrics!E202</f>
        <v/>
      </c>
      <c r="F203" s="2">
        <f>mos_metrics!F202</f>
        <v/>
      </c>
      <c r="G203" s="2">
        <f>IF($B203="","",IFERROR(VLOOKUP($B203,correlation!$A$2:$B$16,2,FALSE),1))</f>
        <v/>
      </c>
      <c r="H203" s="2">
        <f>IF($E203="","",IFERROR(VLOOKUP($E203,correlation!$D$2:$E$8,2,FALSE),1))</f>
        <v/>
      </c>
      <c r="I203" s="2">
        <f>ISNUMBER($F203)</f>
        <v/>
      </c>
      <c r="J203" s="2">
        <f>AND($G203=1,$H203=1,$I203)</f>
        <v/>
      </c>
      <c r="K203" s="5">
        <f>IF(mos_metrics!G202="","",mos_metrics!G202)</f>
        <v/>
      </c>
      <c r="L203" s="2">
        <f>AND($J203,ISNUMBER(K203),correlation!$I$26=1)</f>
        <v/>
      </c>
      <c r="M203" s="5">
        <f>IF(L203,$F203,"")</f>
        <v/>
      </c>
      <c r="N203" s="5">
        <f>IF(L203,K203*correlation!$J$26,"")</f>
        <v/>
      </c>
      <c r="O203" s="5">
        <f>IF(AND(L203,ISNUMBER(correlation!$F$26)),N203*correlation!$F$26+correlation!$G$26,"")</f>
        <v/>
      </c>
      <c r="P203" s="5">
        <f>IF(AND(L203,ISNUMBER(O203)),(M203-O203)^2,"")</f>
        <v/>
      </c>
      <c r="Q203" s="5">
        <f>IF(L203,1+SUMPRODUCT(--(calc!$L$3:$L$306=TRUE),--(calc!$M$3:$M$306&gt;M203))+(SUMPRODUCT(--(calc!$L$3:$L$306=TRUE),--(calc!$M$3:$M$306=M203))-1)/2,"")</f>
        <v/>
      </c>
      <c r="R203" s="5">
        <f>IF(L203,1+SUMPRODUCT(--(calc!$L$3:$L$306=TRUE),--(calc!$N$3:$N$306&gt;N203))+(SUMPRODUCT(--(calc!$L$3:$L$306=TRUE),--(calc!$N$3:$N$306=N203))-1)/2,"")</f>
        <v/>
      </c>
      <c r="S203" s="5">
        <f>IF(L203,SUMPRODUCT(--(calc!$L$3:$L$306=TRUE),--(ROW(calc!$L$3:$L$306)&gt;ROW(L203)),--(((calc!$Q$3:$Q$306&gt;Q203)*(calc!$R$3:$R$306&gt;R203)+(calc!$Q$3:$Q$306&lt;Q203)*(calc!$R$3:$R$306&lt;R203))&gt;0))-SUMPRODUCT(--(calc!$L$3:$L$306=TRUE),--(ROW(calc!$L$3:$L$306)&gt;ROW(L203)),--(((calc!$Q$3:$Q$306&gt;Q203)*(calc!$R$3:$R$306&lt;R203)+(calc!$Q$3:$Q$306&lt;Q203)*(calc!$R$3:$R$306&gt;R203))&gt;0)),0)</f>
        <v/>
      </c>
      <c r="T203" s="5">
        <f>IF(mos_metrics!H202="","",mos_metrics!H202)</f>
        <v/>
      </c>
      <c r="U203" s="2">
        <f>AND($J203,ISNUMBER(T203),correlation!$I$27=1)</f>
        <v/>
      </c>
      <c r="V203" s="5">
        <f>IF(U203,$F203,"")</f>
        <v/>
      </c>
      <c r="W203" s="5">
        <f>IF(U203,T203*correlation!$J$27,"")</f>
        <v/>
      </c>
      <c r="X203" s="5">
        <f>IF(AND(U203,ISNUMBER(correlation!$F$27)),W203*correlation!$F$27+correlation!$G$27,"")</f>
        <v/>
      </c>
      <c r="Y203" s="5">
        <f>IF(AND(U203,ISNUMBER(X203)),(V203-X203)^2,"")</f>
        <v/>
      </c>
      <c r="Z203" s="5">
        <f>IF(U203,1+SUMPRODUCT(--(calc!$U$3:$U$306=TRUE),--(calc!$V$3:$V$306&gt;V203))+(SUMPRODUCT(--(calc!$U$3:$U$306=TRUE),--(calc!$V$3:$V$306=V203))-1)/2,"")</f>
        <v/>
      </c>
      <c r="AA203" s="5">
        <f>IF(U203,1+SUMPRODUCT(--(calc!$U$3:$U$306=TRUE),--(calc!$W$3:$W$306&gt;W203))+(SUMPRODUCT(--(calc!$U$3:$U$306=TRUE),--(calc!$W$3:$W$306=W203))-1)/2,"")</f>
        <v/>
      </c>
      <c r="AB203" s="5">
        <f>IF(U203,SUMPRODUCT(--(calc!$U$3:$U$306=TRUE),--(ROW(calc!$U$3:$U$306)&gt;ROW(U203)),--(((calc!$Z$3:$Z$306&gt;Z203)*(calc!$AA$3:$AA$306&gt;AA203)+(calc!$Z$3:$Z$306&lt;Z203)*(calc!$AA$3:$AA$306&lt;AA203))&gt;0))-SUMPRODUCT(--(calc!$U$3:$U$306=TRUE),--(ROW(calc!$U$3:$U$306)&gt;ROW(U203)),--(((calc!$Z$3:$Z$306&gt;Z203)*(calc!$AA$3:$AA$306&lt;AA203)+(calc!$Z$3:$Z$306&lt;Z203)*(calc!$AA$3:$AA$306&gt;AA203))&gt;0)),0)</f>
        <v/>
      </c>
      <c r="AC203" s="5">
        <f>IF(mos_metrics!I202="","",mos_metrics!I202)</f>
        <v/>
      </c>
      <c r="AD203" s="2">
        <f>AND($J203,ISNUMBER(AC203),correlation!$I$28=1)</f>
        <v/>
      </c>
      <c r="AE203" s="5">
        <f>IF(AD203,$F203,"")</f>
        <v/>
      </c>
      <c r="AF203" s="5">
        <f>IF(AD203,AC203*correlation!$J$28,"")</f>
        <v/>
      </c>
      <c r="AG203" s="5">
        <f>IF(AND(AD203,ISNUMBER(correlation!$F$28)),AF203*correlation!$F$28+correlation!$G$28,"")</f>
        <v/>
      </c>
      <c r="AH203" s="5">
        <f>IF(AND(AD203,ISNUMBER(AG203)),(AE203-AG203)^2,"")</f>
        <v/>
      </c>
      <c r="AI203" s="5">
        <f>IF(AD203,1+SUMPRODUCT(--(calc!$AD$3:$AD$306=TRUE),--(calc!$AE$3:$AE$306&gt;AE203))+(SUMPRODUCT(--(calc!$AD$3:$AD$306=TRUE),--(calc!$AE$3:$AE$306=AE203))-1)/2,"")</f>
        <v/>
      </c>
      <c r="AJ203" s="5">
        <f>IF(AD203,1+SUMPRODUCT(--(calc!$AD$3:$AD$306=TRUE),--(calc!$AF$3:$AF$306&gt;AF203))+(SUMPRODUCT(--(calc!$AD$3:$AD$306=TRUE),--(calc!$AF$3:$AF$306=AF203))-1)/2,"")</f>
        <v/>
      </c>
      <c r="AK203" s="5">
        <f>IF(AD203,SUMPRODUCT(--(calc!$AD$3:$AD$306=TRUE),--(ROW(calc!$AD$3:$AD$306)&gt;ROW(AD203)),--(((calc!$AI$3:$AI$306&gt;AI203)*(calc!$AJ$3:$AJ$306&gt;AJ203)+(calc!$AI$3:$AI$306&lt;AI203)*(calc!$AJ$3:$AJ$306&lt;AJ203))&gt;0))-SUMPRODUCT(--(calc!$AD$3:$AD$306=TRUE),--(ROW(calc!$AD$3:$AD$306)&gt;ROW(AD203)),--(((calc!$AI$3:$AI$306&gt;AI203)*(calc!$AJ$3:$AJ$306&lt;AJ203)+(calc!$AI$3:$AI$306&lt;AI203)*(calc!$AJ$3:$AJ$306&gt;AJ203))&gt;0)),0)</f>
        <v/>
      </c>
      <c r="AL203" s="5">
        <f>IF(mos_metrics!J202="","",mos_metrics!J202)</f>
        <v/>
      </c>
      <c r="AM203" s="2">
        <f>AND($J203,ISNUMBER(AL203),correlation!$I$29=1)</f>
        <v/>
      </c>
      <c r="AN203" s="5">
        <f>IF(AM203,$F203,"")</f>
        <v/>
      </c>
      <c r="AO203" s="5">
        <f>IF(AM203,AL203*correlation!$J$29,"")</f>
        <v/>
      </c>
      <c r="AP203" s="5">
        <f>IF(AND(AM203,ISNUMBER(correlation!$F$29)),AO203*correlation!$F$29+correlation!$G$29,"")</f>
        <v/>
      </c>
      <c r="AQ203" s="5">
        <f>IF(AND(AM203,ISNUMBER(AP203)),(AN203-AP203)^2,"")</f>
        <v/>
      </c>
      <c r="AR203" s="5">
        <f>IF(AM203,1+SUMPRODUCT(--(calc!$AM$3:$AM$306=TRUE),--(calc!$AN$3:$AN$306&gt;AN203))+(SUMPRODUCT(--(calc!$AM$3:$AM$306=TRUE),--(calc!$AN$3:$AN$306=AN203))-1)/2,"")</f>
        <v/>
      </c>
      <c r="AS203" s="5">
        <f>IF(AM203,1+SUMPRODUCT(--(calc!$AM$3:$AM$306=TRUE),--(calc!$AO$3:$AO$306&gt;AO203))+(SUMPRODUCT(--(calc!$AM$3:$AM$306=TRUE),--(calc!$AO$3:$AO$306=AO203))-1)/2,"")</f>
        <v/>
      </c>
      <c r="AT203" s="5">
        <f>IF(AM203,SUMPRODUCT(--(calc!$AM$3:$AM$306=TRUE),--(ROW(calc!$AM$3:$AM$306)&gt;ROW(AM203)),--(((calc!$AR$3:$AR$306&gt;AR203)*(calc!$AS$3:$AS$306&gt;AS203)+(calc!$AR$3:$AR$306&lt;AR203)*(calc!$AS$3:$AS$306&lt;AS203))&gt;0))-SUMPRODUCT(--(calc!$AM$3:$AM$306=TRUE),--(ROW(calc!$AM$3:$AM$306)&gt;ROW(AM203)),--(((calc!$AR$3:$AR$306&gt;AR203)*(calc!$AS$3:$AS$306&lt;AS203)+(calc!$AR$3:$AR$306&lt;AR203)*(calc!$AS$3:$AS$306&gt;AS203))&gt;0)),0)</f>
        <v/>
      </c>
      <c r="AU203" s="5">
        <f>IF(mos_metrics!K202="","",mos_metrics!K202)</f>
        <v/>
      </c>
      <c r="AV203" s="2">
        <f>AND($J203,ISNUMBER(AU203),correlation!$I$30=1)</f>
        <v/>
      </c>
      <c r="AW203" s="5">
        <f>IF(AV203,$F203,"")</f>
        <v/>
      </c>
      <c r="AX203" s="5">
        <f>IF(AV203,AU203*correlation!$J$30,"")</f>
        <v/>
      </c>
      <c r="AY203" s="5">
        <f>IF(AND(AV203,ISNUMBER(correlation!$F$30)),AX203*correlation!$F$30+correlation!$G$30,"")</f>
        <v/>
      </c>
      <c r="AZ203" s="5">
        <f>IF(AND(AV203,ISNUMBER(AY203)),(AW203-AY203)^2,"")</f>
        <v/>
      </c>
      <c r="BA203" s="5">
        <f>IF(AV203,1+SUMPRODUCT(--(calc!$AV$3:$AV$306=TRUE),--(calc!$AW$3:$AW$306&gt;AW203))+(SUMPRODUCT(--(calc!$AV$3:$AV$306=TRUE),--(calc!$AW$3:$AW$306=AW203))-1)/2,"")</f>
        <v/>
      </c>
      <c r="BB203" s="5">
        <f>IF(AV203,1+SUMPRODUCT(--(calc!$AV$3:$AV$306=TRUE),--(calc!$AX$3:$AX$306&gt;AX203))+(SUMPRODUCT(--(calc!$AV$3:$AV$306=TRUE),--(calc!$AX$3:$AX$306=AX203))-1)/2,"")</f>
        <v/>
      </c>
      <c r="BC203" s="5">
        <f>IF(AV203,SUMPRODUCT(--(calc!$AV$3:$AV$306=TRUE),--(ROW(calc!$AV$3:$AV$306)&gt;ROW(AV203)),--(((calc!$BA$3:$BA$306&gt;BA203)*(calc!$BB$3:$BB$306&gt;BB203)+(calc!$BA$3:$BA$306&lt;BA203)*(calc!$BB$3:$BB$306&lt;BB203))&gt;0))-SUMPRODUCT(--(calc!$AV$3:$AV$306=TRUE),--(ROW(calc!$AV$3:$AV$306)&gt;ROW(AV203)),--(((calc!$BA$3:$BA$306&gt;BA203)*(calc!$BB$3:$BB$306&lt;BB203)+(calc!$BA$3:$BA$306&lt;BA203)*(calc!$BB$3:$BB$306&gt;BB203))&gt;0)),0)</f>
        <v/>
      </c>
      <c r="BD203" s="5">
        <f>IF(mos_metrics!L202="","",mos_metrics!L202)</f>
        <v/>
      </c>
      <c r="BE203" s="2">
        <f>AND($J203,ISNUMBER(BD203),correlation!$I$31=1)</f>
        <v/>
      </c>
      <c r="BF203" s="5">
        <f>IF(BE203,$F203,"")</f>
        <v/>
      </c>
      <c r="BG203" s="5">
        <f>IF(BE203,BD203*correlation!$J$31,"")</f>
        <v/>
      </c>
      <c r="BH203" s="5">
        <f>IF(AND(BE203,ISNUMBER(correlation!$F$31)),BG203*correlation!$F$31+correlation!$G$31,"")</f>
        <v/>
      </c>
      <c r="BI203" s="5">
        <f>IF(AND(BE203,ISNUMBER(BH203)),(BF203-BH203)^2,"")</f>
        <v/>
      </c>
      <c r="BJ203" s="5">
        <f>IF(BE203,1+SUMPRODUCT(--(calc!$BE$3:$BE$306=TRUE),--(calc!$BF$3:$BF$306&gt;BF203))+(SUMPRODUCT(--(calc!$BE$3:$BE$306=TRUE),--(calc!$BF$3:$BF$306=BF203))-1)/2,"")</f>
        <v/>
      </c>
      <c r="BK203" s="5">
        <f>IF(BE203,1+SUMPRODUCT(--(calc!$BE$3:$BE$306=TRUE),--(calc!$BG$3:$BG$306&gt;BG203))+(SUMPRODUCT(--(calc!$BE$3:$BE$306=TRUE),--(calc!$BG$3:$BG$306=BG203))-1)/2,"")</f>
        <v/>
      </c>
      <c r="BL203" s="5">
        <f>IF(BE203,SUMPRODUCT(--(calc!$BE$3:$BE$306=TRUE),--(ROW(calc!$BE$3:$BE$306)&gt;ROW(BE203)),--(((calc!$BJ$3:$BJ$306&gt;BJ203)*(calc!$BK$3:$BK$306&gt;BK203)+(calc!$BJ$3:$BJ$306&lt;BJ203)*(calc!$BK$3:$BK$306&lt;BK203))&gt;0))-SUMPRODUCT(--(calc!$BE$3:$BE$306=TRUE),--(ROW(calc!$BE$3:$BE$306)&gt;ROW(BE203)),--(((calc!$BJ$3:$BJ$306&gt;BJ203)*(calc!$BK$3:$BK$306&lt;BK203)+(calc!$BJ$3:$BJ$306&lt;BJ203)*(calc!$BK$3:$BK$306&gt;BK203))&gt;0)),0)</f>
        <v/>
      </c>
      <c r="BM203" s="5">
        <f>IF(mos_metrics!M202="","",mos_metrics!M202)</f>
        <v/>
      </c>
      <c r="BN203" s="2">
        <f>AND($J203,ISNUMBER(BM203),correlation!$I$32=1)</f>
        <v/>
      </c>
      <c r="BO203" s="5">
        <f>IF(BN203,$F203,"")</f>
        <v/>
      </c>
      <c r="BP203" s="5">
        <f>IF(BN203,BM203*correlation!$J$32,"")</f>
        <v/>
      </c>
      <c r="BQ203" s="5">
        <f>IF(AND(BN203,ISNUMBER(correlation!$F$32)),BP203*correlation!$F$32+correlation!$G$32,"")</f>
        <v/>
      </c>
      <c r="BR203" s="5">
        <f>IF(AND(BN203,ISNUMBER(BQ203)),(BO203-BQ203)^2,"")</f>
        <v/>
      </c>
      <c r="BS203" s="5">
        <f>IF(BN203,1+SUMPRODUCT(--(calc!$BN$3:$BN$306=TRUE),--(calc!$BO$3:$BO$306&gt;BO203))+(SUMPRODUCT(--(calc!$BN$3:$BN$306=TRUE),--(calc!$BO$3:$BO$306=BO203))-1)/2,"")</f>
        <v/>
      </c>
      <c r="BT203" s="5">
        <f>IF(BN203,1+SUMPRODUCT(--(calc!$BN$3:$BN$306=TRUE),--(calc!$BP$3:$BP$306&gt;BP203))+(SUMPRODUCT(--(calc!$BN$3:$BN$306=TRUE),--(calc!$BP$3:$BP$306=BP203))-1)/2,"")</f>
        <v/>
      </c>
      <c r="BU203" s="5">
        <f>IF(BN203,SUMPRODUCT(--(calc!$BN$3:$BN$306=TRUE),--(ROW(calc!$BN$3:$BN$306)&gt;ROW(BN203)),--(((calc!$BS$3:$BS$306&gt;BS203)*(calc!$BT$3:$BT$306&gt;BT203)+(calc!$BS$3:$BS$306&lt;BS203)*(calc!$BT$3:$BT$306&lt;BT203))&gt;0))-SUMPRODUCT(--(calc!$BN$3:$BN$306=TRUE),--(ROW(calc!$BN$3:$BN$306)&gt;ROW(BN203)),--(((calc!$BS$3:$BS$306&gt;BS203)*(calc!$BT$3:$BT$306&lt;BT203)+(calc!$BS$3:$BS$306&lt;BS203)*(calc!$BT$3:$BT$306&gt;BT203))&gt;0)),0)</f>
        <v/>
      </c>
    </row>
    <row r="204">
      <c r="A204" s="2">
        <f>mos_metrics!A203</f>
        <v/>
      </c>
      <c r="B204" s="2">
        <f>mos_metrics!B203</f>
        <v/>
      </c>
      <c r="C204" s="2">
        <f>mos_metrics!C203</f>
        <v/>
      </c>
      <c r="D204" s="2">
        <f>mos_metrics!D203</f>
        <v/>
      </c>
      <c r="E204" s="2">
        <f>mos_metrics!E203</f>
        <v/>
      </c>
      <c r="F204" s="2">
        <f>mos_metrics!F203</f>
        <v/>
      </c>
      <c r="G204" s="2">
        <f>IF($B204="","",IFERROR(VLOOKUP($B204,correlation!$A$2:$B$16,2,FALSE),1))</f>
        <v/>
      </c>
      <c r="H204" s="2">
        <f>IF($E204="","",IFERROR(VLOOKUP($E204,correlation!$D$2:$E$8,2,FALSE),1))</f>
        <v/>
      </c>
      <c r="I204" s="2">
        <f>ISNUMBER($F204)</f>
        <v/>
      </c>
      <c r="J204" s="2">
        <f>AND($G204=1,$H204=1,$I204)</f>
        <v/>
      </c>
      <c r="K204" s="5">
        <f>IF(mos_metrics!G203="","",mos_metrics!G203)</f>
        <v/>
      </c>
      <c r="L204" s="2">
        <f>AND($J204,ISNUMBER(K204),correlation!$I$26=1)</f>
        <v/>
      </c>
      <c r="M204" s="5">
        <f>IF(L204,$F204,"")</f>
        <v/>
      </c>
      <c r="N204" s="5">
        <f>IF(L204,K204*correlation!$J$26,"")</f>
        <v/>
      </c>
      <c r="O204" s="5">
        <f>IF(AND(L204,ISNUMBER(correlation!$F$26)),N204*correlation!$F$26+correlation!$G$26,"")</f>
        <v/>
      </c>
      <c r="P204" s="5">
        <f>IF(AND(L204,ISNUMBER(O204)),(M204-O204)^2,"")</f>
        <v/>
      </c>
      <c r="Q204" s="5">
        <f>IF(L204,1+SUMPRODUCT(--(calc!$L$3:$L$306=TRUE),--(calc!$M$3:$M$306&gt;M204))+(SUMPRODUCT(--(calc!$L$3:$L$306=TRUE),--(calc!$M$3:$M$306=M204))-1)/2,"")</f>
        <v/>
      </c>
      <c r="R204" s="5">
        <f>IF(L204,1+SUMPRODUCT(--(calc!$L$3:$L$306=TRUE),--(calc!$N$3:$N$306&gt;N204))+(SUMPRODUCT(--(calc!$L$3:$L$306=TRUE),--(calc!$N$3:$N$306=N204))-1)/2,"")</f>
        <v/>
      </c>
      <c r="S204" s="5">
        <f>IF(L204,SUMPRODUCT(--(calc!$L$3:$L$306=TRUE),--(ROW(calc!$L$3:$L$306)&gt;ROW(L204)),--(((calc!$Q$3:$Q$306&gt;Q204)*(calc!$R$3:$R$306&gt;R204)+(calc!$Q$3:$Q$306&lt;Q204)*(calc!$R$3:$R$306&lt;R204))&gt;0))-SUMPRODUCT(--(calc!$L$3:$L$306=TRUE),--(ROW(calc!$L$3:$L$306)&gt;ROW(L204)),--(((calc!$Q$3:$Q$306&gt;Q204)*(calc!$R$3:$R$306&lt;R204)+(calc!$Q$3:$Q$306&lt;Q204)*(calc!$R$3:$R$306&gt;R204))&gt;0)),0)</f>
        <v/>
      </c>
      <c r="T204" s="5">
        <f>IF(mos_metrics!H203="","",mos_metrics!H203)</f>
        <v/>
      </c>
      <c r="U204" s="2">
        <f>AND($J204,ISNUMBER(T204),correlation!$I$27=1)</f>
        <v/>
      </c>
      <c r="V204" s="5">
        <f>IF(U204,$F204,"")</f>
        <v/>
      </c>
      <c r="W204" s="5">
        <f>IF(U204,T204*correlation!$J$27,"")</f>
        <v/>
      </c>
      <c r="X204" s="5">
        <f>IF(AND(U204,ISNUMBER(correlation!$F$27)),W204*correlation!$F$27+correlation!$G$27,"")</f>
        <v/>
      </c>
      <c r="Y204" s="5">
        <f>IF(AND(U204,ISNUMBER(X204)),(V204-X204)^2,"")</f>
        <v/>
      </c>
      <c r="Z204" s="5">
        <f>IF(U204,1+SUMPRODUCT(--(calc!$U$3:$U$306=TRUE),--(calc!$V$3:$V$306&gt;V204))+(SUMPRODUCT(--(calc!$U$3:$U$306=TRUE),--(calc!$V$3:$V$306=V204))-1)/2,"")</f>
        <v/>
      </c>
      <c r="AA204" s="5">
        <f>IF(U204,1+SUMPRODUCT(--(calc!$U$3:$U$306=TRUE),--(calc!$W$3:$W$306&gt;W204))+(SUMPRODUCT(--(calc!$U$3:$U$306=TRUE),--(calc!$W$3:$W$306=W204))-1)/2,"")</f>
        <v/>
      </c>
      <c r="AB204" s="5">
        <f>IF(U204,SUMPRODUCT(--(calc!$U$3:$U$306=TRUE),--(ROW(calc!$U$3:$U$306)&gt;ROW(U204)),--(((calc!$Z$3:$Z$306&gt;Z204)*(calc!$AA$3:$AA$306&gt;AA204)+(calc!$Z$3:$Z$306&lt;Z204)*(calc!$AA$3:$AA$306&lt;AA204))&gt;0))-SUMPRODUCT(--(calc!$U$3:$U$306=TRUE),--(ROW(calc!$U$3:$U$306)&gt;ROW(U204)),--(((calc!$Z$3:$Z$306&gt;Z204)*(calc!$AA$3:$AA$306&lt;AA204)+(calc!$Z$3:$Z$306&lt;Z204)*(calc!$AA$3:$AA$306&gt;AA204))&gt;0)),0)</f>
        <v/>
      </c>
      <c r="AC204" s="5">
        <f>IF(mos_metrics!I203="","",mos_metrics!I203)</f>
        <v/>
      </c>
      <c r="AD204" s="2">
        <f>AND($J204,ISNUMBER(AC204),correlation!$I$28=1)</f>
        <v/>
      </c>
      <c r="AE204" s="5">
        <f>IF(AD204,$F204,"")</f>
        <v/>
      </c>
      <c r="AF204" s="5">
        <f>IF(AD204,AC204*correlation!$J$28,"")</f>
        <v/>
      </c>
      <c r="AG204" s="5">
        <f>IF(AND(AD204,ISNUMBER(correlation!$F$28)),AF204*correlation!$F$28+correlation!$G$28,"")</f>
        <v/>
      </c>
      <c r="AH204" s="5">
        <f>IF(AND(AD204,ISNUMBER(AG204)),(AE204-AG204)^2,"")</f>
        <v/>
      </c>
      <c r="AI204" s="5">
        <f>IF(AD204,1+SUMPRODUCT(--(calc!$AD$3:$AD$306=TRUE),--(calc!$AE$3:$AE$306&gt;AE204))+(SUMPRODUCT(--(calc!$AD$3:$AD$306=TRUE),--(calc!$AE$3:$AE$306=AE204))-1)/2,"")</f>
        <v/>
      </c>
      <c r="AJ204" s="5">
        <f>IF(AD204,1+SUMPRODUCT(--(calc!$AD$3:$AD$306=TRUE),--(calc!$AF$3:$AF$306&gt;AF204))+(SUMPRODUCT(--(calc!$AD$3:$AD$306=TRUE),--(calc!$AF$3:$AF$306=AF204))-1)/2,"")</f>
        <v/>
      </c>
      <c r="AK204" s="5">
        <f>IF(AD204,SUMPRODUCT(--(calc!$AD$3:$AD$306=TRUE),--(ROW(calc!$AD$3:$AD$306)&gt;ROW(AD204)),--(((calc!$AI$3:$AI$306&gt;AI204)*(calc!$AJ$3:$AJ$306&gt;AJ204)+(calc!$AI$3:$AI$306&lt;AI204)*(calc!$AJ$3:$AJ$306&lt;AJ204))&gt;0))-SUMPRODUCT(--(calc!$AD$3:$AD$306=TRUE),--(ROW(calc!$AD$3:$AD$306)&gt;ROW(AD204)),--(((calc!$AI$3:$AI$306&gt;AI204)*(calc!$AJ$3:$AJ$306&lt;AJ204)+(calc!$AI$3:$AI$306&lt;AI204)*(calc!$AJ$3:$AJ$306&gt;AJ204))&gt;0)),0)</f>
        <v/>
      </c>
      <c r="AL204" s="5">
        <f>IF(mos_metrics!J203="","",mos_metrics!J203)</f>
        <v/>
      </c>
      <c r="AM204" s="2">
        <f>AND($J204,ISNUMBER(AL204),correlation!$I$29=1)</f>
        <v/>
      </c>
      <c r="AN204" s="5">
        <f>IF(AM204,$F204,"")</f>
        <v/>
      </c>
      <c r="AO204" s="5">
        <f>IF(AM204,AL204*correlation!$J$29,"")</f>
        <v/>
      </c>
      <c r="AP204" s="5">
        <f>IF(AND(AM204,ISNUMBER(correlation!$F$29)),AO204*correlation!$F$29+correlation!$G$29,"")</f>
        <v/>
      </c>
      <c r="AQ204" s="5">
        <f>IF(AND(AM204,ISNUMBER(AP204)),(AN204-AP204)^2,"")</f>
        <v/>
      </c>
      <c r="AR204" s="5">
        <f>IF(AM204,1+SUMPRODUCT(--(calc!$AM$3:$AM$306=TRUE),--(calc!$AN$3:$AN$306&gt;AN204))+(SUMPRODUCT(--(calc!$AM$3:$AM$306=TRUE),--(calc!$AN$3:$AN$306=AN204))-1)/2,"")</f>
        <v/>
      </c>
      <c r="AS204" s="5">
        <f>IF(AM204,1+SUMPRODUCT(--(calc!$AM$3:$AM$306=TRUE),--(calc!$AO$3:$AO$306&gt;AO204))+(SUMPRODUCT(--(calc!$AM$3:$AM$306=TRUE),--(calc!$AO$3:$AO$306=AO204))-1)/2,"")</f>
        <v/>
      </c>
      <c r="AT204" s="5">
        <f>IF(AM204,SUMPRODUCT(--(calc!$AM$3:$AM$306=TRUE),--(ROW(calc!$AM$3:$AM$306)&gt;ROW(AM204)),--(((calc!$AR$3:$AR$306&gt;AR204)*(calc!$AS$3:$AS$306&gt;AS204)+(calc!$AR$3:$AR$306&lt;AR204)*(calc!$AS$3:$AS$306&lt;AS204))&gt;0))-SUMPRODUCT(--(calc!$AM$3:$AM$306=TRUE),--(ROW(calc!$AM$3:$AM$306)&gt;ROW(AM204)),--(((calc!$AR$3:$AR$306&gt;AR204)*(calc!$AS$3:$AS$306&lt;AS204)+(calc!$AR$3:$AR$306&lt;AR204)*(calc!$AS$3:$AS$306&gt;AS204))&gt;0)),0)</f>
        <v/>
      </c>
      <c r="AU204" s="5">
        <f>IF(mos_metrics!K203="","",mos_metrics!K203)</f>
        <v/>
      </c>
      <c r="AV204" s="2">
        <f>AND($J204,ISNUMBER(AU204),correlation!$I$30=1)</f>
        <v/>
      </c>
      <c r="AW204" s="5">
        <f>IF(AV204,$F204,"")</f>
        <v/>
      </c>
      <c r="AX204" s="5">
        <f>IF(AV204,AU204*correlation!$J$30,"")</f>
        <v/>
      </c>
      <c r="AY204" s="5">
        <f>IF(AND(AV204,ISNUMBER(correlation!$F$30)),AX204*correlation!$F$30+correlation!$G$30,"")</f>
        <v/>
      </c>
      <c r="AZ204" s="5">
        <f>IF(AND(AV204,ISNUMBER(AY204)),(AW204-AY204)^2,"")</f>
        <v/>
      </c>
      <c r="BA204" s="5">
        <f>IF(AV204,1+SUMPRODUCT(--(calc!$AV$3:$AV$306=TRUE),--(calc!$AW$3:$AW$306&gt;AW204))+(SUMPRODUCT(--(calc!$AV$3:$AV$306=TRUE),--(calc!$AW$3:$AW$306=AW204))-1)/2,"")</f>
        <v/>
      </c>
      <c r="BB204" s="5">
        <f>IF(AV204,1+SUMPRODUCT(--(calc!$AV$3:$AV$306=TRUE),--(calc!$AX$3:$AX$306&gt;AX204))+(SUMPRODUCT(--(calc!$AV$3:$AV$306=TRUE),--(calc!$AX$3:$AX$306=AX204))-1)/2,"")</f>
        <v/>
      </c>
      <c r="BC204" s="5">
        <f>IF(AV204,SUMPRODUCT(--(calc!$AV$3:$AV$306=TRUE),--(ROW(calc!$AV$3:$AV$306)&gt;ROW(AV204)),--(((calc!$BA$3:$BA$306&gt;BA204)*(calc!$BB$3:$BB$306&gt;BB204)+(calc!$BA$3:$BA$306&lt;BA204)*(calc!$BB$3:$BB$306&lt;BB204))&gt;0))-SUMPRODUCT(--(calc!$AV$3:$AV$306=TRUE),--(ROW(calc!$AV$3:$AV$306)&gt;ROW(AV204)),--(((calc!$BA$3:$BA$306&gt;BA204)*(calc!$BB$3:$BB$306&lt;BB204)+(calc!$BA$3:$BA$306&lt;BA204)*(calc!$BB$3:$BB$306&gt;BB204))&gt;0)),0)</f>
        <v/>
      </c>
      <c r="BD204" s="5">
        <f>IF(mos_metrics!L203="","",mos_metrics!L203)</f>
        <v/>
      </c>
      <c r="BE204" s="2">
        <f>AND($J204,ISNUMBER(BD204),correlation!$I$31=1)</f>
        <v/>
      </c>
      <c r="BF204" s="5">
        <f>IF(BE204,$F204,"")</f>
        <v/>
      </c>
      <c r="BG204" s="5">
        <f>IF(BE204,BD204*correlation!$J$31,"")</f>
        <v/>
      </c>
      <c r="BH204" s="5">
        <f>IF(AND(BE204,ISNUMBER(correlation!$F$31)),BG204*correlation!$F$31+correlation!$G$31,"")</f>
        <v/>
      </c>
      <c r="BI204" s="5">
        <f>IF(AND(BE204,ISNUMBER(BH204)),(BF204-BH204)^2,"")</f>
        <v/>
      </c>
      <c r="BJ204" s="5">
        <f>IF(BE204,1+SUMPRODUCT(--(calc!$BE$3:$BE$306=TRUE),--(calc!$BF$3:$BF$306&gt;BF204))+(SUMPRODUCT(--(calc!$BE$3:$BE$306=TRUE),--(calc!$BF$3:$BF$306=BF204))-1)/2,"")</f>
        <v/>
      </c>
      <c r="BK204" s="5">
        <f>IF(BE204,1+SUMPRODUCT(--(calc!$BE$3:$BE$306=TRUE),--(calc!$BG$3:$BG$306&gt;BG204))+(SUMPRODUCT(--(calc!$BE$3:$BE$306=TRUE),--(calc!$BG$3:$BG$306=BG204))-1)/2,"")</f>
        <v/>
      </c>
      <c r="BL204" s="5">
        <f>IF(BE204,SUMPRODUCT(--(calc!$BE$3:$BE$306=TRUE),--(ROW(calc!$BE$3:$BE$306)&gt;ROW(BE204)),--(((calc!$BJ$3:$BJ$306&gt;BJ204)*(calc!$BK$3:$BK$306&gt;BK204)+(calc!$BJ$3:$BJ$306&lt;BJ204)*(calc!$BK$3:$BK$306&lt;BK204))&gt;0))-SUMPRODUCT(--(calc!$BE$3:$BE$306=TRUE),--(ROW(calc!$BE$3:$BE$306)&gt;ROW(BE204)),--(((calc!$BJ$3:$BJ$306&gt;BJ204)*(calc!$BK$3:$BK$306&lt;BK204)+(calc!$BJ$3:$BJ$306&lt;BJ204)*(calc!$BK$3:$BK$306&gt;BK204))&gt;0)),0)</f>
        <v/>
      </c>
      <c r="BM204" s="5">
        <f>IF(mos_metrics!M203="","",mos_metrics!M203)</f>
        <v/>
      </c>
      <c r="BN204" s="2">
        <f>AND($J204,ISNUMBER(BM204),correlation!$I$32=1)</f>
        <v/>
      </c>
      <c r="BO204" s="5">
        <f>IF(BN204,$F204,"")</f>
        <v/>
      </c>
      <c r="BP204" s="5">
        <f>IF(BN204,BM204*correlation!$J$32,"")</f>
        <v/>
      </c>
      <c r="BQ204" s="5">
        <f>IF(AND(BN204,ISNUMBER(correlation!$F$32)),BP204*correlation!$F$32+correlation!$G$32,"")</f>
        <v/>
      </c>
      <c r="BR204" s="5">
        <f>IF(AND(BN204,ISNUMBER(BQ204)),(BO204-BQ204)^2,"")</f>
        <v/>
      </c>
      <c r="BS204" s="5">
        <f>IF(BN204,1+SUMPRODUCT(--(calc!$BN$3:$BN$306=TRUE),--(calc!$BO$3:$BO$306&gt;BO204))+(SUMPRODUCT(--(calc!$BN$3:$BN$306=TRUE),--(calc!$BO$3:$BO$306=BO204))-1)/2,"")</f>
        <v/>
      </c>
      <c r="BT204" s="5">
        <f>IF(BN204,1+SUMPRODUCT(--(calc!$BN$3:$BN$306=TRUE),--(calc!$BP$3:$BP$306&gt;BP204))+(SUMPRODUCT(--(calc!$BN$3:$BN$306=TRUE),--(calc!$BP$3:$BP$306=BP204))-1)/2,"")</f>
        <v/>
      </c>
      <c r="BU204" s="5">
        <f>IF(BN204,SUMPRODUCT(--(calc!$BN$3:$BN$306=TRUE),--(ROW(calc!$BN$3:$BN$306)&gt;ROW(BN204)),--(((calc!$BS$3:$BS$306&gt;BS204)*(calc!$BT$3:$BT$306&gt;BT204)+(calc!$BS$3:$BS$306&lt;BS204)*(calc!$BT$3:$BT$306&lt;BT204))&gt;0))-SUMPRODUCT(--(calc!$BN$3:$BN$306=TRUE),--(ROW(calc!$BN$3:$BN$306)&gt;ROW(BN204)),--(((calc!$BS$3:$BS$306&gt;BS204)*(calc!$BT$3:$BT$306&lt;BT204)+(calc!$BS$3:$BS$306&lt;BS204)*(calc!$BT$3:$BT$306&gt;BT204))&gt;0)),0)</f>
        <v/>
      </c>
    </row>
    <row r="205">
      <c r="A205" s="2">
        <f>mos_metrics!A204</f>
        <v/>
      </c>
      <c r="B205" s="2">
        <f>mos_metrics!B204</f>
        <v/>
      </c>
      <c r="C205" s="2">
        <f>mos_metrics!C204</f>
        <v/>
      </c>
      <c r="D205" s="2">
        <f>mos_metrics!D204</f>
        <v/>
      </c>
      <c r="E205" s="2">
        <f>mos_metrics!E204</f>
        <v/>
      </c>
      <c r="F205" s="2">
        <f>mos_metrics!F204</f>
        <v/>
      </c>
      <c r="G205" s="2">
        <f>IF($B205="","",IFERROR(VLOOKUP($B205,correlation!$A$2:$B$16,2,FALSE),1))</f>
        <v/>
      </c>
      <c r="H205" s="2">
        <f>IF($E205="","",IFERROR(VLOOKUP($E205,correlation!$D$2:$E$8,2,FALSE),1))</f>
        <v/>
      </c>
      <c r="I205" s="2">
        <f>ISNUMBER($F205)</f>
        <v/>
      </c>
      <c r="J205" s="2">
        <f>AND($G205=1,$H205=1,$I205)</f>
        <v/>
      </c>
      <c r="K205" s="5">
        <f>IF(mos_metrics!G204="","",mos_metrics!G204)</f>
        <v/>
      </c>
      <c r="L205" s="2">
        <f>AND($J205,ISNUMBER(K205),correlation!$I$26=1)</f>
        <v/>
      </c>
      <c r="M205" s="5">
        <f>IF(L205,$F205,"")</f>
        <v/>
      </c>
      <c r="N205" s="5">
        <f>IF(L205,K205*correlation!$J$26,"")</f>
        <v/>
      </c>
      <c r="O205" s="5">
        <f>IF(AND(L205,ISNUMBER(correlation!$F$26)),N205*correlation!$F$26+correlation!$G$26,"")</f>
        <v/>
      </c>
      <c r="P205" s="5">
        <f>IF(AND(L205,ISNUMBER(O205)),(M205-O205)^2,"")</f>
        <v/>
      </c>
      <c r="Q205" s="5">
        <f>IF(L205,1+SUMPRODUCT(--(calc!$L$3:$L$306=TRUE),--(calc!$M$3:$M$306&gt;M205))+(SUMPRODUCT(--(calc!$L$3:$L$306=TRUE),--(calc!$M$3:$M$306=M205))-1)/2,"")</f>
        <v/>
      </c>
      <c r="R205" s="5">
        <f>IF(L205,1+SUMPRODUCT(--(calc!$L$3:$L$306=TRUE),--(calc!$N$3:$N$306&gt;N205))+(SUMPRODUCT(--(calc!$L$3:$L$306=TRUE),--(calc!$N$3:$N$306=N205))-1)/2,"")</f>
        <v/>
      </c>
      <c r="S205" s="5">
        <f>IF(L205,SUMPRODUCT(--(calc!$L$3:$L$306=TRUE),--(ROW(calc!$L$3:$L$306)&gt;ROW(L205)),--(((calc!$Q$3:$Q$306&gt;Q205)*(calc!$R$3:$R$306&gt;R205)+(calc!$Q$3:$Q$306&lt;Q205)*(calc!$R$3:$R$306&lt;R205))&gt;0))-SUMPRODUCT(--(calc!$L$3:$L$306=TRUE),--(ROW(calc!$L$3:$L$306)&gt;ROW(L205)),--(((calc!$Q$3:$Q$306&gt;Q205)*(calc!$R$3:$R$306&lt;R205)+(calc!$Q$3:$Q$306&lt;Q205)*(calc!$R$3:$R$306&gt;R205))&gt;0)),0)</f>
        <v/>
      </c>
      <c r="T205" s="5">
        <f>IF(mos_metrics!H204="","",mos_metrics!H204)</f>
        <v/>
      </c>
      <c r="U205" s="2">
        <f>AND($J205,ISNUMBER(T205),correlation!$I$27=1)</f>
        <v/>
      </c>
      <c r="V205" s="5">
        <f>IF(U205,$F205,"")</f>
        <v/>
      </c>
      <c r="W205" s="5">
        <f>IF(U205,T205*correlation!$J$27,"")</f>
        <v/>
      </c>
      <c r="X205" s="5">
        <f>IF(AND(U205,ISNUMBER(correlation!$F$27)),W205*correlation!$F$27+correlation!$G$27,"")</f>
        <v/>
      </c>
      <c r="Y205" s="5">
        <f>IF(AND(U205,ISNUMBER(X205)),(V205-X205)^2,"")</f>
        <v/>
      </c>
      <c r="Z205" s="5">
        <f>IF(U205,1+SUMPRODUCT(--(calc!$U$3:$U$306=TRUE),--(calc!$V$3:$V$306&gt;V205))+(SUMPRODUCT(--(calc!$U$3:$U$306=TRUE),--(calc!$V$3:$V$306=V205))-1)/2,"")</f>
        <v/>
      </c>
      <c r="AA205" s="5">
        <f>IF(U205,1+SUMPRODUCT(--(calc!$U$3:$U$306=TRUE),--(calc!$W$3:$W$306&gt;W205))+(SUMPRODUCT(--(calc!$U$3:$U$306=TRUE),--(calc!$W$3:$W$306=W205))-1)/2,"")</f>
        <v/>
      </c>
      <c r="AB205" s="5">
        <f>IF(U205,SUMPRODUCT(--(calc!$U$3:$U$306=TRUE),--(ROW(calc!$U$3:$U$306)&gt;ROW(U205)),--(((calc!$Z$3:$Z$306&gt;Z205)*(calc!$AA$3:$AA$306&gt;AA205)+(calc!$Z$3:$Z$306&lt;Z205)*(calc!$AA$3:$AA$306&lt;AA205))&gt;0))-SUMPRODUCT(--(calc!$U$3:$U$306=TRUE),--(ROW(calc!$U$3:$U$306)&gt;ROW(U205)),--(((calc!$Z$3:$Z$306&gt;Z205)*(calc!$AA$3:$AA$306&lt;AA205)+(calc!$Z$3:$Z$306&lt;Z205)*(calc!$AA$3:$AA$306&gt;AA205))&gt;0)),0)</f>
        <v/>
      </c>
      <c r="AC205" s="5">
        <f>IF(mos_metrics!I204="","",mos_metrics!I204)</f>
        <v/>
      </c>
      <c r="AD205" s="2">
        <f>AND($J205,ISNUMBER(AC205),correlation!$I$28=1)</f>
        <v/>
      </c>
      <c r="AE205" s="5">
        <f>IF(AD205,$F205,"")</f>
        <v/>
      </c>
      <c r="AF205" s="5">
        <f>IF(AD205,AC205*correlation!$J$28,"")</f>
        <v/>
      </c>
      <c r="AG205" s="5">
        <f>IF(AND(AD205,ISNUMBER(correlation!$F$28)),AF205*correlation!$F$28+correlation!$G$28,"")</f>
        <v/>
      </c>
      <c r="AH205" s="5">
        <f>IF(AND(AD205,ISNUMBER(AG205)),(AE205-AG205)^2,"")</f>
        <v/>
      </c>
      <c r="AI205" s="5">
        <f>IF(AD205,1+SUMPRODUCT(--(calc!$AD$3:$AD$306=TRUE),--(calc!$AE$3:$AE$306&gt;AE205))+(SUMPRODUCT(--(calc!$AD$3:$AD$306=TRUE),--(calc!$AE$3:$AE$306=AE205))-1)/2,"")</f>
        <v/>
      </c>
      <c r="AJ205" s="5">
        <f>IF(AD205,1+SUMPRODUCT(--(calc!$AD$3:$AD$306=TRUE),--(calc!$AF$3:$AF$306&gt;AF205))+(SUMPRODUCT(--(calc!$AD$3:$AD$306=TRUE),--(calc!$AF$3:$AF$306=AF205))-1)/2,"")</f>
        <v/>
      </c>
      <c r="AK205" s="5">
        <f>IF(AD205,SUMPRODUCT(--(calc!$AD$3:$AD$306=TRUE),--(ROW(calc!$AD$3:$AD$306)&gt;ROW(AD205)),--(((calc!$AI$3:$AI$306&gt;AI205)*(calc!$AJ$3:$AJ$306&gt;AJ205)+(calc!$AI$3:$AI$306&lt;AI205)*(calc!$AJ$3:$AJ$306&lt;AJ205))&gt;0))-SUMPRODUCT(--(calc!$AD$3:$AD$306=TRUE),--(ROW(calc!$AD$3:$AD$306)&gt;ROW(AD205)),--(((calc!$AI$3:$AI$306&gt;AI205)*(calc!$AJ$3:$AJ$306&lt;AJ205)+(calc!$AI$3:$AI$306&lt;AI205)*(calc!$AJ$3:$AJ$306&gt;AJ205))&gt;0)),0)</f>
        <v/>
      </c>
      <c r="AL205" s="5">
        <f>IF(mos_metrics!J204="","",mos_metrics!J204)</f>
        <v/>
      </c>
      <c r="AM205" s="2">
        <f>AND($J205,ISNUMBER(AL205),correlation!$I$29=1)</f>
        <v/>
      </c>
      <c r="AN205" s="5">
        <f>IF(AM205,$F205,"")</f>
        <v/>
      </c>
      <c r="AO205" s="5">
        <f>IF(AM205,AL205*correlation!$J$29,"")</f>
        <v/>
      </c>
      <c r="AP205" s="5">
        <f>IF(AND(AM205,ISNUMBER(correlation!$F$29)),AO205*correlation!$F$29+correlation!$G$29,"")</f>
        <v/>
      </c>
      <c r="AQ205" s="5">
        <f>IF(AND(AM205,ISNUMBER(AP205)),(AN205-AP205)^2,"")</f>
        <v/>
      </c>
      <c r="AR205" s="5">
        <f>IF(AM205,1+SUMPRODUCT(--(calc!$AM$3:$AM$306=TRUE),--(calc!$AN$3:$AN$306&gt;AN205))+(SUMPRODUCT(--(calc!$AM$3:$AM$306=TRUE),--(calc!$AN$3:$AN$306=AN205))-1)/2,"")</f>
        <v/>
      </c>
      <c r="AS205" s="5">
        <f>IF(AM205,1+SUMPRODUCT(--(calc!$AM$3:$AM$306=TRUE),--(calc!$AO$3:$AO$306&gt;AO205))+(SUMPRODUCT(--(calc!$AM$3:$AM$306=TRUE),--(calc!$AO$3:$AO$306=AO205))-1)/2,"")</f>
        <v/>
      </c>
      <c r="AT205" s="5">
        <f>IF(AM205,SUMPRODUCT(--(calc!$AM$3:$AM$306=TRUE),--(ROW(calc!$AM$3:$AM$306)&gt;ROW(AM205)),--(((calc!$AR$3:$AR$306&gt;AR205)*(calc!$AS$3:$AS$306&gt;AS205)+(calc!$AR$3:$AR$306&lt;AR205)*(calc!$AS$3:$AS$306&lt;AS205))&gt;0))-SUMPRODUCT(--(calc!$AM$3:$AM$306=TRUE),--(ROW(calc!$AM$3:$AM$306)&gt;ROW(AM205)),--(((calc!$AR$3:$AR$306&gt;AR205)*(calc!$AS$3:$AS$306&lt;AS205)+(calc!$AR$3:$AR$306&lt;AR205)*(calc!$AS$3:$AS$306&gt;AS205))&gt;0)),0)</f>
        <v/>
      </c>
      <c r="AU205" s="5">
        <f>IF(mos_metrics!K204="","",mos_metrics!K204)</f>
        <v/>
      </c>
      <c r="AV205" s="2">
        <f>AND($J205,ISNUMBER(AU205),correlation!$I$30=1)</f>
        <v/>
      </c>
      <c r="AW205" s="5">
        <f>IF(AV205,$F205,"")</f>
        <v/>
      </c>
      <c r="AX205" s="5">
        <f>IF(AV205,AU205*correlation!$J$30,"")</f>
        <v/>
      </c>
      <c r="AY205" s="5">
        <f>IF(AND(AV205,ISNUMBER(correlation!$F$30)),AX205*correlation!$F$30+correlation!$G$30,"")</f>
        <v/>
      </c>
      <c r="AZ205" s="5">
        <f>IF(AND(AV205,ISNUMBER(AY205)),(AW205-AY205)^2,"")</f>
        <v/>
      </c>
      <c r="BA205" s="5">
        <f>IF(AV205,1+SUMPRODUCT(--(calc!$AV$3:$AV$306=TRUE),--(calc!$AW$3:$AW$306&gt;AW205))+(SUMPRODUCT(--(calc!$AV$3:$AV$306=TRUE),--(calc!$AW$3:$AW$306=AW205))-1)/2,"")</f>
        <v/>
      </c>
      <c r="BB205" s="5">
        <f>IF(AV205,1+SUMPRODUCT(--(calc!$AV$3:$AV$306=TRUE),--(calc!$AX$3:$AX$306&gt;AX205))+(SUMPRODUCT(--(calc!$AV$3:$AV$306=TRUE),--(calc!$AX$3:$AX$306=AX205))-1)/2,"")</f>
        <v/>
      </c>
      <c r="BC205" s="5">
        <f>IF(AV205,SUMPRODUCT(--(calc!$AV$3:$AV$306=TRUE),--(ROW(calc!$AV$3:$AV$306)&gt;ROW(AV205)),--(((calc!$BA$3:$BA$306&gt;BA205)*(calc!$BB$3:$BB$306&gt;BB205)+(calc!$BA$3:$BA$306&lt;BA205)*(calc!$BB$3:$BB$306&lt;BB205))&gt;0))-SUMPRODUCT(--(calc!$AV$3:$AV$306=TRUE),--(ROW(calc!$AV$3:$AV$306)&gt;ROW(AV205)),--(((calc!$BA$3:$BA$306&gt;BA205)*(calc!$BB$3:$BB$306&lt;BB205)+(calc!$BA$3:$BA$306&lt;BA205)*(calc!$BB$3:$BB$306&gt;BB205))&gt;0)),0)</f>
        <v/>
      </c>
      <c r="BD205" s="5">
        <f>IF(mos_metrics!L204="","",mos_metrics!L204)</f>
        <v/>
      </c>
      <c r="BE205" s="2">
        <f>AND($J205,ISNUMBER(BD205),correlation!$I$31=1)</f>
        <v/>
      </c>
      <c r="BF205" s="5">
        <f>IF(BE205,$F205,"")</f>
        <v/>
      </c>
      <c r="BG205" s="5">
        <f>IF(BE205,BD205*correlation!$J$31,"")</f>
        <v/>
      </c>
      <c r="BH205" s="5">
        <f>IF(AND(BE205,ISNUMBER(correlation!$F$31)),BG205*correlation!$F$31+correlation!$G$31,"")</f>
        <v/>
      </c>
      <c r="BI205" s="5">
        <f>IF(AND(BE205,ISNUMBER(BH205)),(BF205-BH205)^2,"")</f>
        <v/>
      </c>
      <c r="BJ205" s="5">
        <f>IF(BE205,1+SUMPRODUCT(--(calc!$BE$3:$BE$306=TRUE),--(calc!$BF$3:$BF$306&gt;BF205))+(SUMPRODUCT(--(calc!$BE$3:$BE$306=TRUE),--(calc!$BF$3:$BF$306=BF205))-1)/2,"")</f>
        <v/>
      </c>
      <c r="BK205" s="5">
        <f>IF(BE205,1+SUMPRODUCT(--(calc!$BE$3:$BE$306=TRUE),--(calc!$BG$3:$BG$306&gt;BG205))+(SUMPRODUCT(--(calc!$BE$3:$BE$306=TRUE),--(calc!$BG$3:$BG$306=BG205))-1)/2,"")</f>
        <v/>
      </c>
      <c r="BL205" s="5">
        <f>IF(BE205,SUMPRODUCT(--(calc!$BE$3:$BE$306=TRUE),--(ROW(calc!$BE$3:$BE$306)&gt;ROW(BE205)),--(((calc!$BJ$3:$BJ$306&gt;BJ205)*(calc!$BK$3:$BK$306&gt;BK205)+(calc!$BJ$3:$BJ$306&lt;BJ205)*(calc!$BK$3:$BK$306&lt;BK205))&gt;0))-SUMPRODUCT(--(calc!$BE$3:$BE$306=TRUE),--(ROW(calc!$BE$3:$BE$306)&gt;ROW(BE205)),--(((calc!$BJ$3:$BJ$306&gt;BJ205)*(calc!$BK$3:$BK$306&lt;BK205)+(calc!$BJ$3:$BJ$306&lt;BJ205)*(calc!$BK$3:$BK$306&gt;BK205))&gt;0)),0)</f>
        <v/>
      </c>
      <c r="BM205" s="5">
        <f>IF(mos_metrics!M204="","",mos_metrics!M204)</f>
        <v/>
      </c>
      <c r="BN205" s="2">
        <f>AND($J205,ISNUMBER(BM205),correlation!$I$32=1)</f>
        <v/>
      </c>
      <c r="BO205" s="5">
        <f>IF(BN205,$F205,"")</f>
        <v/>
      </c>
      <c r="BP205" s="5">
        <f>IF(BN205,BM205*correlation!$J$32,"")</f>
        <v/>
      </c>
      <c r="BQ205" s="5">
        <f>IF(AND(BN205,ISNUMBER(correlation!$F$32)),BP205*correlation!$F$32+correlation!$G$32,"")</f>
        <v/>
      </c>
      <c r="BR205" s="5">
        <f>IF(AND(BN205,ISNUMBER(BQ205)),(BO205-BQ205)^2,"")</f>
        <v/>
      </c>
      <c r="BS205" s="5">
        <f>IF(BN205,1+SUMPRODUCT(--(calc!$BN$3:$BN$306=TRUE),--(calc!$BO$3:$BO$306&gt;BO205))+(SUMPRODUCT(--(calc!$BN$3:$BN$306=TRUE),--(calc!$BO$3:$BO$306=BO205))-1)/2,"")</f>
        <v/>
      </c>
      <c r="BT205" s="5">
        <f>IF(BN205,1+SUMPRODUCT(--(calc!$BN$3:$BN$306=TRUE),--(calc!$BP$3:$BP$306&gt;BP205))+(SUMPRODUCT(--(calc!$BN$3:$BN$306=TRUE),--(calc!$BP$3:$BP$306=BP205))-1)/2,"")</f>
        <v/>
      </c>
      <c r="BU205" s="5">
        <f>IF(BN205,SUMPRODUCT(--(calc!$BN$3:$BN$306=TRUE),--(ROW(calc!$BN$3:$BN$306)&gt;ROW(BN205)),--(((calc!$BS$3:$BS$306&gt;BS205)*(calc!$BT$3:$BT$306&gt;BT205)+(calc!$BS$3:$BS$306&lt;BS205)*(calc!$BT$3:$BT$306&lt;BT205))&gt;0))-SUMPRODUCT(--(calc!$BN$3:$BN$306=TRUE),--(ROW(calc!$BN$3:$BN$306)&gt;ROW(BN205)),--(((calc!$BS$3:$BS$306&gt;BS205)*(calc!$BT$3:$BT$306&lt;BT205)+(calc!$BS$3:$BS$306&lt;BS205)*(calc!$BT$3:$BT$306&gt;BT205))&gt;0)),0)</f>
        <v/>
      </c>
    </row>
    <row r="206">
      <c r="A206" s="2">
        <f>mos_metrics!A205</f>
        <v/>
      </c>
      <c r="B206" s="2">
        <f>mos_metrics!B205</f>
        <v/>
      </c>
      <c r="C206" s="2">
        <f>mos_metrics!C205</f>
        <v/>
      </c>
      <c r="D206" s="2">
        <f>mos_metrics!D205</f>
        <v/>
      </c>
      <c r="E206" s="2">
        <f>mos_metrics!E205</f>
        <v/>
      </c>
      <c r="F206" s="2">
        <f>mos_metrics!F205</f>
        <v/>
      </c>
      <c r="G206" s="2">
        <f>IF($B206="","",IFERROR(VLOOKUP($B206,correlation!$A$2:$B$16,2,FALSE),1))</f>
        <v/>
      </c>
      <c r="H206" s="2">
        <f>IF($E206="","",IFERROR(VLOOKUP($E206,correlation!$D$2:$E$8,2,FALSE),1))</f>
        <v/>
      </c>
      <c r="I206" s="2">
        <f>ISNUMBER($F206)</f>
        <v/>
      </c>
      <c r="J206" s="2">
        <f>AND($G206=1,$H206=1,$I206)</f>
        <v/>
      </c>
      <c r="K206" s="5">
        <f>IF(mos_metrics!G205="","",mos_metrics!G205)</f>
        <v/>
      </c>
      <c r="L206" s="2">
        <f>AND($J206,ISNUMBER(K206),correlation!$I$26=1)</f>
        <v/>
      </c>
      <c r="M206" s="5">
        <f>IF(L206,$F206,"")</f>
        <v/>
      </c>
      <c r="N206" s="5">
        <f>IF(L206,K206*correlation!$J$26,"")</f>
        <v/>
      </c>
      <c r="O206" s="5">
        <f>IF(AND(L206,ISNUMBER(correlation!$F$26)),N206*correlation!$F$26+correlation!$G$26,"")</f>
        <v/>
      </c>
      <c r="P206" s="5">
        <f>IF(AND(L206,ISNUMBER(O206)),(M206-O206)^2,"")</f>
        <v/>
      </c>
      <c r="Q206" s="5">
        <f>IF(L206,1+SUMPRODUCT(--(calc!$L$3:$L$306=TRUE),--(calc!$M$3:$M$306&gt;M206))+(SUMPRODUCT(--(calc!$L$3:$L$306=TRUE),--(calc!$M$3:$M$306=M206))-1)/2,"")</f>
        <v/>
      </c>
      <c r="R206" s="5">
        <f>IF(L206,1+SUMPRODUCT(--(calc!$L$3:$L$306=TRUE),--(calc!$N$3:$N$306&gt;N206))+(SUMPRODUCT(--(calc!$L$3:$L$306=TRUE),--(calc!$N$3:$N$306=N206))-1)/2,"")</f>
        <v/>
      </c>
      <c r="S206" s="5">
        <f>IF(L206,SUMPRODUCT(--(calc!$L$3:$L$306=TRUE),--(ROW(calc!$L$3:$L$306)&gt;ROW(L206)),--(((calc!$Q$3:$Q$306&gt;Q206)*(calc!$R$3:$R$306&gt;R206)+(calc!$Q$3:$Q$306&lt;Q206)*(calc!$R$3:$R$306&lt;R206))&gt;0))-SUMPRODUCT(--(calc!$L$3:$L$306=TRUE),--(ROW(calc!$L$3:$L$306)&gt;ROW(L206)),--(((calc!$Q$3:$Q$306&gt;Q206)*(calc!$R$3:$R$306&lt;R206)+(calc!$Q$3:$Q$306&lt;Q206)*(calc!$R$3:$R$306&gt;R206))&gt;0)),0)</f>
        <v/>
      </c>
      <c r="T206" s="5">
        <f>IF(mos_metrics!H205="","",mos_metrics!H205)</f>
        <v/>
      </c>
      <c r="U206" s="2">
        <f>AND($J206,ISNUMBER(T206),correlation!$I$27=1)</f>
        <v/>
      </c>
      <c r="V206" s="5">
        <f>IF(U206,$F206,"")</f>
        <v/>
      </c>
      <c r="W206" s="5">
        <f>IF(U206,T206*correlation!$J$27,"")</f>
        <v/>
      </c>
      <c r="X206" s="5">
        <f>IF(AND(U206,ISNUMBER(correlation!$F$27)),W206*correlation!$F$27+correlation!$G$27,"")</f>
        <v/>
      </c>
      <c r="Y206" s="5">
        <f>IF(AND(U206,ISNUMBER(X206)),(V206-X206)^2,"")</f>
        <v/>
      </c>
      <c r="Z206" s="5">
        <f>IF(U206,1+SUMPRODUCT(--(calc!$U$3:$U$306=TRUE),--(calc!$V$3:$V$306&gt;V206))+(SUMPRODUCT(--(calc!$U$3:$U$306=TRUE),--(calc!$V$3:$V$306=V206))-1)/2,"")</f>
        <v/>
      </c>
      <c r="AA206" s="5">
        <f>IF(U206,1+SUMPRODUCT(--(calc!$U$3:$U$306=TRUE),--(calc!$W$3:$W$306&gt;W206))+(SUMPRODUCT(--(calc!$U$3:$U$306=TRUE),--(calc!$W$3:$W$306=W206))-1)/2,"")</f>
        <v/>
      </c>
      <c r="AB206" s="5">
        <f>IF(U206,SUMPRODUCT(--(calc!$U$3:$U$306=TRUE),--(ROW(calc!$U$3:$U$306)&gt;ROW(U206)),--(((calc!$Z$3:$Z$306&gt;Z206)*(calc!$AA$3:$AA$306&gt;AA206)+(calc!$Z$3:$Z$306&lt;Z206)*(calc!$AA$3:$AA$306&lt;AA206))&gt;0))-SUMPRODUCT(--(calc!$U$3:$U$306=TRUE),--(ROW(calc!$U$3:$U$306)&gt;ROW(U206)),--(((calc!$Z$3:$Z$306&gt;Z206)*(calc!$AA$3:$AA$306&lt;AA206)+(calc!$Z$3:$Z$306&lt;Z206)*(calc!$AA$3:$AA$306&gt;AA206))&gt;0)),0)</f>
        <v/>
      </c>
      <c r="AC206" s="5">
        <f>IF(mos_metrics!I205="","",mos_metrics!I205)</f>
        <v/>
      </c>
      <c r="AD206" s="2">
        <f>AND($J206,ISNUMBER(AC206),correlation!$I$28=1)</f>
        <v/>
      </c>
      <c r="AE206" s="5">
        <f>IF(AD206,$F206,"")</f>
        <v/>
      </c>
      <c r="AF206" s="5">
        <f>IF(AD206,AC206*correlation!$J$28,"")</f>
        <v/>
      </c>
      <c r="AG206" s="5">
        <f>IF(AND(AD206,ISNUMBER(correlation!$F$28)),AF206*correlation!$F$28+correlation!$G$28,"")</f>
        <v/>
      </c>
      <c r="AH206" s="5">
        <f>IF(AND(AD206,ISNUMBER(AG206)),(AE206-AG206)^2,"")</f>
        <v/>
      </c>
      <c r="AI206" s="5">
        <f>IF(AD206,1+SUMPRODUCT(--(calc!$AD$3:$AD$306=TRUE),--(calc!$AE$3:$AE$306&gt;AE206))+(SUMPRODUCT(--(calc!$AD$3:$AD$306=TRUE),--(calc!$AE$3:$AE$306=AE206))-1)/2,"")</f>
        <v/>
      </c>
      <c r="AJ206" s="5">
        <f>IF(AD206,1+SUMPRODUCT(--(calc!$AD$3:$AD$306=TRUE),--(calc!$AF$3:$AF$306&gt;AF206))+(SUMPRODUCT(--(calc!$AD$3:$AD$306=TRUE),--(calc!$AF$3:$AF$306=AF206))-1)/2,"")</f>
        <v/>
      </c>
      <c r="AK206" s="5">
        <f>IF(AD206,SUMPRODUCT(--(calc!$AD$3:$AD$306=TRUE),--(ROW(calc!$AD$3:$AD$306)&gt;ROW(AD206)),--(((calc!$AI$3:$AI$306&gt;AI206)*(calc!$AJ$3:$AJ$306&gt;AJ206)+(calc!$AI$3:$AI$306&lt;AI206)*(calc!$AJ$3:$AJ$306&lt;AJ206))&gt;0))-SUMPRODUCT(--(calc!$AD$3:$AD$306=TRUE),--(ROW(calc!$AD$3:$AD$306)&gt;ROW(AD206)),--(((calc!$AI$3:$AI$306&gt;AI206)*(calc!$AJ$3:$AJ$306&lt;AJ206)+(calc!$AI$3:$AI$306&lt;AI206)*(calc!$AJ$3:$AJ$306&gt;AJ206))&gt;0)),0)</f>
        <v/>
      </c>
      <c r="AL206" s="5">
        <f>IF(mos_metrics!J205="","",mos_metrics!J205)</f>
        <v/>
      </c>
      <c r="AM206" s="2">
        <f>AND($J206,ISNUMBER(AL206),correlation!$I$29=1)</f>
        <v/>
      </c>
      <c r="AN206" s="5">
        <f>IF(AM206,$F206,"")</f>
        <v/>
      </c>
      <c r="AO206" s="5">
        <f>IF(AM206,AL206*correlation!$J$29,"")</f>
        <v/>
      </c>
      <c r="AP206" s="5">
        <f>IF(AND(AM206,ISNUMBER(correlation!$F$29)),AO206*correlation!$F$29+correlation!$G$29,"")</f>
        <v/>
      </c>
      <c r="AQ206" s="5">
        <f>IF(AND(AM206,ISNUMBER(AP206)),(AN206-AP206)^2,"")</f>
        <v/>
      </c>
      <c r="AR206" s="5">
        <f>IF(AM206,1+SUMPRODUCT(--(calc!$AM$3:$AM$306=TRUE),--(calc!$AN$3:$AN$306&gt;AN206))+(SUMPRODUCT(--(calc!$AM$3:$AM$306=TRUE),--(calc!$AN$3:$AN$306=AN206))-1)/2,"")</f>
        <v/>
      </c>
      <c r="AS206" s="5">
        <f>IF(AM206,1+SUMPRODUCT(--(calc!$AM$3:$AM$306=TRUE),--(calc!$AO$3:$AO$306&gt;AO206))+(SUMPRODUCT(--(calc!$AM$3:$AM$306=TRUE),--(calc!$AO$3:$AO$306=AO206))-1)/2,"")</f>
        <v/>
      </c>
      <c r="AT206" s="5">
        <f>IF(AM206,SUMPRODUCT(--(calc!$AM$3:$AM$306=TRUE),--(ROW(calc!$AM$3:$AM$306)&gt;ROW(AM206)),--(((calc!$AR$3:$AR$306&gt;AR206)*(calc!$AS$3:$AS$306&gt;AS206)+(calc!$AR$3:$AR$306&lt;AR206)*(calc!$AS$3:$AS$306&lt;AS206))&gt;0))-SUMPRODUCT(--(calc!$AM$3:$AM$306=TRUE),--(ROW(calc!$AM$3:$AM$306)&gt;ROW(AM206)),--(((calc!$AR$3:$AR$306&gt;AR206)*(calc!$AS$3:$AS$306&lt;AS206)+(calc!$AR$3:$AR$306&lt;AR206)*(calc!$AS$3:$AS$306&gt;AS206))&gt;0)),0)</f>
        <v/>
      </c>
      <c r="AU206" s="5">
        <f>IF(mos_metrics!K205="","",mos_metrics!K205)</f>
        <v/>
      </c>
      <c r="AV206" s="2">
        <f>AND($J206,ISNUMBER(AU206),correlation!$I$30=1)</f>
        <v/>
      </c>
      <c r="AW206" s="5">
        <f>IF(AV206,$F206,"")</f>
        <v/>
      </c>
      <c r="AX206" s="5">
        <f>IF(AV206,AU206*correlation!$J$30,"")</f>
        <v/>
      </c>
      <c r="AY206" s="5">
        <f>IF(AND(AV206,ISNUMBER(correlation!$F$30)),AX206*correlation!$F$30+correlation!$G$30,"")</f>
        <v/>
      </c>
      <c r="AZ206" s="5">
        <f>IF(AND(AV206,ISNUMBER(AY206)),(AW206-AY206)^2,"")</f>
        <v/>
      </c>
      <c r="BA206" s="5">
        <f>IF(AV206,1+SUMPRODUCT(--(calc!$AV$3:$AV$306=TRUE),--(calc!$AW$3:$AW$306&gt;AW206))+(SUMPRODUCT(--(calc!$AV$3:$AV$306=TRUE),--(calc!$AW$3:$AW$306=AW206))-1)/2,"")</f>
        <v/>
      </c>
      <c r="BB206" s="5">
        <f>IF(AV206,1+SUMPRODUCT(--(calc!$AV$3:$AV$306=TRUE),--(calc!$AX$3:$AX$306&gt;AX206))+(SUMPRODUCT(--(calc!$AV$3:$AV$306=TRUE),--(calc!$AX$3:$AX$306=AX206))-1)/2,"")</f>
        <v/>
      </c>
      <c r="BC206" s="5">
        <f>IF(AV206,SUMPRODUCT(--(calc!$AV$3:$AV$306=TRUE),--(ROW(calc!$AV$3:$AV$306)&gt;ROW(AV206)),--(((calc!$BA$3:$BA$306&gt;BA206)*(calc!$BB$3:$BB$306&gt;BB206)+(calc!$BA$3:$BA$306&lt;BA206)*(calc!$BB$3:$BB$306&lt;BB206))&gt;0))-SUMPRODUCT(--(calc!$AV$3:$AV$306=TRUE),--(ROW(calc!$AV$3:$AV$306)&gt;ROW(AV206)),--(((calc!$BA$3:$BA$306&gt;BA206)*(calc!$BB$3:$BB$306&lt;BB206)+(calc!$BA$3:$BA$306&lt;BA206)*(calc!$BB$3:$BB$306&gt;BB206))&gt;0)),0)</f>
        <v/>
      </c>
      <c r="BD206" s="5">
        <f>IF(mos_metrics!L205="","",mos_metrics!L205)</f>
        <v/>
      </c>
      <c r="BE206" s="2">
        <f>AND($J206,ISNUMBER(BD206),correlation!$I$31=1)</f>
        <v/>
      </c>
      <c r="BF206" s="5">
        <f>IF(BE206,$F206,"")</f>
        <v/>
      </c>
      <c r="BG206" s="5">
        <f>IF(BE206,BD206*correlation!$J$31,"")</f>
        <v/>
      </c>
      <c r="BH206" s="5">
        <f>IF(AND(BE206,ISNUMBER(correlation!$F$31)),BG206*correlation!$F$31+correlation!$G$31,"")</f>
        <v/>
      </c>
      <c r="BI206" s="5">
        <f>IF(AND(BE206,ISNUMBER(BH206)),(BF206-BH206)^2,"")</f>
        <v/>
      </c>
      <c r="BJ206" s="5">
        <f>IF(BE206,1+SUMPRODUCT(--(calc!$BE$3:$BE$306=TRUE),--(calc!$BF$3:$BF$306&gt;BF206))+(SUMPRODUCT(--(calc!$BE$3:$BE$306=TRUE),--(calc!$BF$3:$BF$306=BF206))-1)/2,"")</f>
        <v/>
      </c>
      <c r="BK206" s="5">
        <f>IF(BE206,1+SUMPRODUCT(--(calc!$BE$3:$BE$306=TRUE),--(calc!$BG$3:$BG$306&gt;BG206))+(SUMPRODUCT(--(calc!$BE$3:$BE$306=TRUE),--(calc!$BG$3:$BG$306=BG206))-1)/2,"")</f>
        <v/>
      </c>
      <c r="BL206" s="5">
        <f>IF(BE206,SUMPRODUCT(--(calc!$BE$3:$BE$306=TRUE),--(ROW(calc!$BE$3:$BE$306)&gt;ROW(BE206)),--(((calc!$BJ$3:$BJ$306&gt;BJ206)*(calc!$BK$3:$BK$306&gt;BK206)+(calc!$BJ$3:$BJ$306&lt;BJ206)*(calc!$BK$3:$BK$306&lt;BK206))&gt;0))-SUMPRODUCT(--(calc!$BE$3:$BE$306=TRUE),--(ROW(calc!$BE$3:$BE$306)&gt;ROW(BE206)),--(((calc!$BJ$3:$BJ$306&gt;BJ206)*(calc!$BK$3:$BK$306&lt;BK206)+(calc!$BJ$3:$BJ$306&lt;BJ206)*(calc!$BK$3:$BK$306&gt;BK206))&gt;0)),0)</f>
        <v/>
      </c>
      <c r="BM206" s="5">
        <f>IF(mos_metrics!M205="","",mos_metrics!M205)</f>
        <v/>
      </c>
      <c r="BN206" s="2">
        <f>AND($J206,ISNUMBER(BM206),correlation!$I$32=1)</f>
        <v/>
      </c>
      <c r="BO206" s="5">
        <f>IF(BN206,$F206,"")</f>
        <v/>
      </c>
      <c r="BP206" s="5">
        <f>IF(BN206,BM206*correlation!$J$32,"")</f>
        <v/>
      </c>
      <c r="BQ206" s="5">
        <f>IF(AND(BN206,ISNUMBER(correlation!$F$32)),BP206*correlation!$F$32+correlation!$G$32,"")</f>
        <v/>
      </c>
      <c r="BR206" s="5">
        <f>IF(AND(BN206,ISNUMBER(BQ206)),(BO206-BQ206)^2,"")</f>
        <v/>
      </c>
      <c r="BS206" s="5">
        <f>IF(BN206,1+SUMPRODUCT(--(calc!$BN$3:$BN$306=TRUE),--(calc!$BO$3:$BO$306&gt;BO206))+(SUMPRODUCT(--(calc!$BN$3:$BN$306=TRUE),--(calc!$BO$3:$BO$306=BO206))-1)/2,"")</f>
        <v/>
      </c>
      <c r="BT206" s="5">
        <f>IF(BN206,1+SUMPRODUCT(--(calc!$BN$3:$BN$306=TRUE),--(calc!$BP$3:$BP$306&gt;BP206))+(SUMPRODUCT(--(calc!$BN$3:$BN$306=TRUE),--(calc!$BP$3:$BP$306=BP206))-1)/2,"")</f>
        <v/>
      </c>
      <c r="BU206" s="5">
        <f>IF(BN206,SUMPRODUCT(--(calc!$BN$3:$BN$306=TRUE),--(ROW(calc!$BN$3:$BN$306)&gt;ROW(BN206)),--(((calc!$BS$3:$BS$306&gt;BS206)*(calc!$BT$3:$BT$306&gt;BT206)+(calc!$BS$3:$BS$306&lt;BS206)*(calc!$BT$3:$BT$306&lt;BT206))&gt;0))-SUMPRODUCT(--(calc!$BN$3:$BN$306=TRUE),--(ROW(calc!$BN$3:$BN$306)&gt;ROW(BN206)),--(((calc!$BS$3:$BS$306&gt;BS206)*(calc!$BT$3:$BT$306&lt;BT206)+(calc!$BS$3:$BS$306&lt;BS206)*(calc!$BT$3:$BT$306&gt;BT206))&gt;0)),0)</f>
        <v/>
      </c>
    </row>
    <row r="207">
      <c r="A207" s="2">
        <f>mos_metrics!A206</f>
        <v/>
      </c>
      <c r="B207" s="2">
        <f>mos_metrics!B206</f>
        <v/>
      </c>
      <c r="C207" s="2">
        <f>mos_metrics!C206</f>
        <v/>
      </c>
      <c r="D207" s="2">
        <f>mos_metrics!D206</f>
        <v/>
      </c>
      <c r="E207" s="2">
        <f>mos_metrics!E206</f>
        <v/>
      </c>
      <c r="F207" s="2">
        <f>mos_metrics!F206</f>
        <v/>
      </c>
      <c r="G207" s="2">
        <f>IF($B207="","",IFERROR(VLOOKUP($B207,correlation!$A$2:$B$16,2,FALSE),1))</f>
        <v/>
      </c>
      <c r="H207" s="2">
        <f>IF($E207="","",IFERROR(VLOOKUP($E207,correlation!$D$2:$E$8,2,FALSE),1))</f>
        <v/>
      </c>
      <c r="I207" s="2">
        <f>ISNUMBER($F207)</f>
        <v/>
      </c>
      <c r="J207" s="2">
        <f>AND($G207=1,$H207=1,$I207)</f>
        <v/>
      </c>
      <c r="K207" s="5">
        <f>IF(mos_metrics!G206="","",mos_metrics!G206)</f>
        <v/>
      </c>
      <c r="L207" s="2">
        <f>AND($J207,ISNUMBER(K207),correlation!$I$26=1)</f>
        <v/>
      </c>
      <c r="M207" s="5">
        <f>IF(L207,$F207,"")</f>
        <v/>
      </c>
      <c r="N207" s="5">
        <f>IF(L207,K207*correlation!$J$26,"")</f>
        <v/>
      </c>
      <c r="O207" s="5">
        <f>IF(AND(L207,ISNUMBER(correlation!$F$26)),N207*correlation!$F$26+correlation!$G$26,"")</f>
        <v/>
      </c>
      <c r="P207" s="5">
        <f>IF(AND(L207,ISNUMBER(O207)),(M207-O207)^2,"")</f>
        <v/>
      </c>
      <c r="Q207" s="5">
        <f>IF(L207,1+SUMPRODUCT(--(calc!$L$3:$L$306=TRUE),--(calc!$M$3:$M$306&gt;M207))+(SUMPRODUCT(--(calc!$L$3:$L$306=TRUE),--(calc!$M$3:$M$306=M207))-1)/2,"")</f>
        <v/>
      </c>
      <c r="R207" s="5">
        <f>IF(L207,1+SUMPRODUCT(--(calc!$L$3:$L$306=TRUE),--(calc!$N$3:$N$306&gt;N207))+(SUMPRODUCT(--(calc!$L$3:$L$306=TRUE),--(calc!$N$3:$N$306=N207))-1)/2,"")</f>
        <v/>
      </c>
      <c r="S207" s="5">
        <f>IF(L207,SUMPRODUCT(--(calc!$L$3:$L$306=TRUE),--(ROW(calc!$L$3:$L$306)&gt;ROW(L207)),--(((calc!$Q$3:$Q$306&gt;Q207)*(calc!$R$3:$R$306&gt;R207)+(calc!$Q$3:$Q$306&lt;Q207)*(calc!$R$3:$R$306&lt;R207))&gt;0))-SUMPRODUCT(--(calc!$L$3:$L$306=TRUE),--(ROW(calc!$L$3:$L$306)&gt;ROW(L207)),--(((calc!$Q$3:$Q$306&gt;Q207)*(calc!$R$3:$R$306&lt;R207)+(calc!$Q$3:$Q$306&lt;Q207)*(calc!$R$3:$R$306&gt;R207))&gt;0)),0)</f>
        <v/>
      </c>
      <c r="T207" s="5">
        <f>IF(mos_metrics!H206="","",mos_metrics!H206)</f>
        <v/>
      </c>
      <c r="U207" s="2">
        <f>AND($J207,ISNUMBER(T207),correlation!$I$27=1)</f>
        <v/>
      </c>
      <c r="V207" s="5">
        <f>IF(U207,$F207,"")</f>
        <v/>
      </c>
      <c r="W207" s="5">
        <f>IF(U207,T207*correlation!$J$27,"")</f>
        <v/>
      </c>
      <c r="X207" s="5">
        <f>IF(AND(U207,ISNUMBER(correlation!$F$27)),W207*correlation!$F$27+correlation!$G$27,"")</f>
        <v/>
      </c>
      <c r="Y207" s="5">
        <f>IF(AND(U207,ISNUMBER(X207)),(V207-X207)^2,"")</f>
        <v/>
      </c>
      <c r="Z207" s="5">
        <f>IF(U207,1+SUMPRODUCT(--(calc!$U$3:$U$306=TRUE),--(calc!$V$3:$V$306&gt;V207))+(SUMPRODUCT(--(calc!$U$3:$U$306=TRUE),--(calc!$V$3:$V$306=V207))-1)/2,"")</f>
        <v/>
      </c>
      <c r="AA207" s="5">
        <f>IF(U207,1+SUMPRODUCT(--(calc!$U$3:$U$306=TRUE),--(calc!$W$3:$W$306&gt;W207))+(SUMPRODUCT(--(calc!$U$3:$U$306=TRUE),--(calc!$W$3:$W$306=W207))-1)/2,"")</f>
        <v/>
      </c>
      <c r="AB207" s="5">
        <f>IF(U207,SUMPRODUCT(--(calc!$U$3:$U$306=TRUE),--(ROW(calc!$U$3:$U$306)&gt;ROW(U207)),--(((calc!$Z$3:$Z$306&gt;Z207)*(calc!$AA$3:$AA$306&gt;AA207)+(calc!$Z$3:$Z$306&lt;Z207)*(calc!$AA$3:$AA$306&lt;AA207))&gt;0))-SUMPRODUCT(--(calc!$U$3:$U$306=TRUE),--(ROW(calc!$U$3:$U$306)&gt;ROW(U207)),--(((calc!$Z$3:$Z$306&gt;Z207)*(calc!$AA$3:$AA$306&lt;AA207)+(calc!$Z$3:$Z$306&lt;Z207)*(calc!$AA$3:$AA$306&gt;AA207))&gt;0)),0)</f>
        <v/>
      </c>
      <c r="AC207" s="5">
        <f>IF(mos_metrics!I206="","",mos_metrics!I206)</f>
        <v/>
      </c>
      <c r="AD207" s="2">
        <f>AND($J207,ISNUMBER(AC207),correlation!$I$28=1)</f>
        <v/>
      </c>
      <c r="AE207" s="5">
        <f>IF(AD207,$F207,"")</f>
        <v/>
      </c>
      <c r="AF207" s="5">
        <f>IF(AD207,AC207*correlation!$J$28,"")</f>
        <v/>
      </c>
      <c r="AG207" s="5">
        <f>IF(AND(AD207,ISNUMBER(correlation!$F$28)),AF207*correlation!$F$28+correlation!$G$28,"")</f>
        <v/>
      </c>
      <c r="AH207" s="5">
        <f>IF(AND(AD207,ISNUMBER(AG207)),(AE207-AG207)^2,"")</f>
        <v/>
      </c>
      <c r="AI207" s="5">
        <f>IF(AD207,1+SUMPRODUCT(--(calc!$AD$3:$AD$306=TRUE),--(calc!$AE$3:$AE$306&gt;AE207))+(SUMPRODUCT(--(calc!$AD$3:$AD$306=TRUE),--(calc!$AE$3:$AE$306=AE207))-1)/2,"")</f>
        <v/>
      </c>
      <c r="AJ207" s="5">
        <f>IF(AD207,1+SUMPRODUCT(--(calc!$AD$3:$AD$306=TRUE),--(calc!$AF$3:$AF$306&gt;AF207))+(SUMPRODUCT(--(calc!$AD$3:$AD$306=TRUE),--(calc!$AF$3:$AF$306=AF207))-1)/2,"")</f>
        <v/>
      </c>
      <c r="AK207" s="5">
        <f>IF(AD207,SUMPRODUCT(--(calc!$AD$3:$AD$306=TRUE),--(ROW(calc!$AD$3:$AD$306)&gt;ROW(AD207)),--(((calc!$AI$3:$AI$306&gt;AI207)*(calc!$AJ$3:$AJ$306&gt;AJ207)+(calc!$AI$3:$AI$306&lt;AI207)*(calc!$AJ$3:$AJ$306&lt;AJ207))&gt;0))-SUMPRODUCT(--(calc!$AD$3:$AD$306=TRUE),--(ROW(calc!$AD$3:$AD$306)&gt;ROW(AD207)),--(((calc!$AI$3:$AI$306&gt;AI207)*(calc!$AJ$3:$AJ$306&lt;AJ207)+(calc!$AI$3:$AI$306&lt;AI207)*(calc!$AJ$3:$AJ$306&gt;AJ207))&gt;0)),0)</f>
        <v/>
      </c>
      <c r="AL207" s="5">
        <f>IF(mos_metrics!J206="","",mos_metrics!J206)</f>
        <v/>
      </c>
      <c r="AM207" s="2">
        <f>AND($J207,ISNUMBER(AL207),correlation!$I$29=1)</f>
        <v/>
      </c>
      <c r="AN207" s="5">
        <f>IF(AM207,$F207,"")</f>
        <v/>
      </c>
      <c r="AO207" s="5">
        <f>IF(AM207,AL207*correlation!$J$29,"")</f>
        <v/>
      </c>
      <c r="AP207" s="5">
        <f>IF(AND(AM207,ISNUMBER(correlation!$F$29)),AO207*correlation!$F$29+correlation!$G$29,"")</f>
        <v/>
      </c>
      <c r="AQ207" s="5">
        <f>IF(AND(AM207,ISNUMBER(AP207)),(AN207-AP207)^2,"")</f>
        <v/>
      </c>
      <c r="AR207" s="5">
        <f>IF(AM207,1+SUMPRODUCT(--(calc!$AM$3:$AM$306=TRUE),--(calc!$AN$3:$AN$306&gt;AN207))+(SUMPRODUCT(--(calc!$AM$3:$AM$306=TRUE),--(calc!$AN$3:$AN$306=AN207))-1)/2,"")</f>
        <v/>
      </c>
      <c r="AS207" s="5">
        <f>IF(AM207,1+SUMPRODUCT(--(calc!$AM$3:$AM$306=TRUE),--(calc!$AO$3:$AO$306&gt;AO207))+(SUMPRODUCT(--(calc!$AM$3:$AM$306=TRUE),--(calc!$AO$3:$AO$306=AO207))-1)/2,"")</f>
        <v/>
      </c>
      <c r="AT207" s="5">
        <f>IF(AM207,SUMPRODUCT(--(calc!$AM$3:$AM$306=TRUE),--(ROW(calc!$AM$3:$AM$306)&gt;ROW(AM207)),--(((calc!$AR$3:$AR$306&gt;AR207)*(calc!$AS$3:$AS$306&gt;AS207)+(calc!$AR$3:$AR$306&lt;AR207)*(calc!$AS$3:$AS$306&lt;AS207))&gt;0))-SUMPRODUCT(--(calc!$AM$3:$AM$306=TRUE),--(ROW(calc!$AM$3:$AM$306)&gt;ROW(AM207)),--(((calc!$AR$3:$AR$306&gt;AR207)*(calc!$AS$3:$AS$306&lt;AS207)+(calc!$AR$3:$AR$306&lt;AR207)*(calc!$AS$3:$AS$306&gt;AS207))&gt;0)),0)</f>
        <v/>
      </c>
      <c r="AU207" s="5">
        <f>IF(mos_metrics!K206="","",mos_metrics!K206)</f>
        <v/>
      </c>
      <c r="AV207" s="2">
        <f>AND($J207,ISNUMBER(AU207),correlation!$I$30=1)</f>
        <v/>
      </c>
      <c r="AW207" s="5">
        <f>IF(AV207,$F207,"")</f>
        <v/>
      </c>
      <c r="AX207" s="5">
        <f>IF(AV207,AU207*correlation!$J$30,"")</f>
        <v/>
      </c>
      <c r="AY207" s="5">
        <f>IF(AND(AV207,ISNUMBER(correlation!$F$30)),AX207*correlation!$F$30+correlation!$G$30,"")</f>
        <v/>
      </c>
      <c r="AZ207" s="5">
        <f>IF(AND(AV207,ISNUMBER(AY207)),(AW207-AY207)^2,"")</f>
        <v/>
      </c>
      <c r="BA207" s="5">
        <f>IF(AV207,1+SUMPRODUCT(--(calc!$AV$3:$AV$306=TRUE),--(calc!$AW$3:$AW$306&gt;AW207))+(SUMPRODUCT(--(calc!$AV$3:$AV$306=TRUE),--(calc!$AW$3:$AW$306=AW207))-1)/2,"")</f>
        <v/>
      </c>
      <c r="BB207" s="5">
        <f>IF(AV207,1+SUMPRODUCT(--(calc!$AV$3:$AV$306=TRUE),--(calc!$AX$3:$AX$306&gt;AX207))+(SUMPRODUCT(--(calc!$AV$3:$AV$306=TRUE),--(calc!$AX$3:$AX$306=AX207))-1)/2,"")</f>
        <v/>
      </c>
      <c r="BC207" s="5">
        <f>IF(AV207,SUMPRODUCT(--(calc!$AV$3:$AV$306=TRUE),--(ROW(calc!$AV$3:$AV$306)&gt;ROW(AV207)),--(((calc!$BA$3:$BA$306&gt;BA207)*(calc!$BB$3:$BB$306&gt;BB207)+(calc!$BA$3:$BA$306&lt;BA207)*(calc!$BB$3:$BB$306&lt;BB207))&gt;0))-SUMPRODUCT(--(calc!$AV$3:$AV$306=TRUE),--(ROW(calc!$AV$3:$AV$306)&gt;ROW(AV207)),--(((calc!$BA$3:$BA$306&gt;BA207)*(calc!$BB$3:$BB$306&lt;BB207)+(calc!$BA$3:$BA$306&lt;BA207)*(calc!$BB$3:$BB$306&gt;BB207))&gt;0)),0)</f>
        <v/>
      </c>
      <c r="BD207" s="5">
        <f>IF(mos_metrics!L206="","",mos_metrics!L206)</f>
        <v/>
      </c>
      <c r="BE207" s="2">
        <f>AND($J207,ISNUMBER(BD207),correlation!$I$31=1)</f>
        <v/>
      </c>
      <c r="BF207" s="5">
        <f>IF(BE207,$F207,"")</f>
        <v/>
      </c>
      <c r="BG207" s="5">
        <f>IF(BE207,BD207*correlation!$J$31,"")</f>
        <v/>
      </c>
      <c r="BH207" s="5">
        <f>IF(AND(BE207,ISNUMBER(correlation!$F$31)),BG207*correlation!$F$31+correlation!$G$31,"")</f>
        <v/>
      </c>
      <c r="BI207" s="5">
        <f>IF(AND(BE207,ISNUMBER(BH207)),(BF207-BH207)^2,"")</f>
        <v/>
      </c>
      <c r="BJ207" s="5">
        <f>IF(BE207,1+SUMPRODUCT(--(calc!$BE$3:$BE$306=TRUE),--(calc!$BF$3:$BF$306&gt;BF207))+(SUMPRODUCT(--(calc!$BE$3:$BE$306=TRUE),--(calc!$BF$3:$BF$306=BF207))-1)/2,"")</f>
        <v/>
      </c>
      <c r="BK207" s="5">
        <f>IF(BE207,1+SUMPRODUCT(--(calc!$BE$3:$BE$306=TRUE),--(calc!$BG$3:$BG$306&gt;BG207))+(SUMPRODUCT(--(calc!$BE$3:$BE$306=TRUE),--(calc!$BG$3:$BG$306=BG207))-1)/2,"")</f>
        <v/>
      </c>
      <c r="BL207" s="5">
        <f>IF(BE207,SUMPRODUCT(--(calc!$BE$3:$BE$306=TRUE),--(ROW(calc!$BE$3:$BE$306)&gt;ROW(BE207)),--(((calc!$BJ$3:$BJ$306&gt;BJ207)*(calc!$BK$3:$BK$306&gt;BK207)+(calc!$BJ$3:$BJ$306&lt;BJ207)*(calc!$BK$3:$BK$306&lt;BK207))&gt;0))-SUMPRODUCT(--(calc!$BE$3:$BE$306=TRUE),--(ROW(calc!$BE$3:$BE$306)&gt;ROW(BE207)),--(((calc!$BJ$3:$BJ$306&gt;BJ207)*(calc!$BK$3:$BK$306&lt;BK207)+(calc!$BJ$3:$BJ$306&lt;BJ207)*(calc!$BK$3:$BK$306&gt;BK207))&gt;0)),0)</f>
        <v/>
      </c>
      <c r="BM207" s="5">
        <f>IF(mos_metrics!M206="","",mos_metrics!M206)</f>
        <v/>
      </c>
      <c r="BN207" s="2">
        <f>AND($J207,ISNUMBER(BM207),correlation!$I$32=1)</f>
        <v/>
      </c>
      <c r="BO207" s="5">
        <f>IF(BN207,$F207,"")</f>
        <v/>
      </c>
      <c r="BP207" s="5">
        <f>IF(BN207,BM207*correlation!$J$32,"")</f>
        <v/>
      </c>
      <c r="BQ207" s="5">
        <f>IF(AND(BN207,ISNUMBER(correlation!$F$32)),BP207*correlation!$F$32+correlation!$G$32,"")</f>
        <v/>
      </c>
      <c r="BR207" s="5">
        <f>IF(AND(BN207,ISNUMBER(BQ207)),(BO207-BQ207)^2,"")</f>
        <v/>
      </c>
      <c r="BS207" s="5">
        <f>IF(BN207,1+SUMPRODUCT(--(calc!$BN$3:$BN$306=TRUE),--(calc!$BO$3:$BO$306&gt;BO207))+(SUMPRODUCT(--(calc!$BN$3:$BN$306=TRUE),--(calc!$BO$3:$BO$306=BO207))-1)/2,"")</f>
        <v/>
      </c>
      <c r="BT207" s="5">
        <f>IF(BN207,1+SUMPRODUCT(--(calc!$BN$3:$BN$306=TRUE),--(calc!$BP$3:$BP$306&gt;BP207))+(SUMPRODUCT(--(calc!$BN$3:$BN$306=TRUE),--(calc!$BP$3:$BP$306=BP207))-1)/2,"")</f>
        <v/>
      </c>
      <c r="BU207" s="5">
        <f>IF(BN207,SUMPRODUCT(--(calc!$BN$3:$BN$306=TRUE),--(ROW(calc!$BN$3:$BN$306)&gt;ROW(BN207)),--(((calc!$BS$3:$BS$306&gt;BS207)*(calc!$BT$3:$BT$306&gt;BT207)+(calc!$BS$3:$BS$306&lt;BS207)*(calc!$BT$3:$BT$306&lt;BT207))&gt;0))-SUMPRODUCT(--(calc!$BN$3:$BN$306=TRUE),--(ROW(calc!$BN$3:$BN$306)&gt;ROW(BN207)),--(((calc!$BS$3:$BS$306&gt;BS207)*(calc!$BT$3:$BT$306&lt;BT207)+(calc!$BS$3:$BS$306&lt;BS207)*(calc!$BT$3:$BT$306&gt;BT207))&gt;0)),0)</f>
        <v/>
      </c>
    </row>
    <row r="208">
      <c r="A208" s="2">
        <f>mos_metrics!A207</f>
        <v/>
      </c>
      <c r="B208" s="2">
        <f>mos_metrics!B207</f>
        <v/>
      </c>
      <c r="C208" s="2">
        <f>mos_metrics!C207</f>
        <v/>
      </c>
      <c r="D208" s="2">
        <f>mos_metrics!D207</f>
        <v/>
      </c>
      <c r="E208" s="2">
        <f>mos_metrics!E207</f>
        <v/>
      </c>
      <c r="F208" s="2">
        <f>mos_metrics!F207</f>
        <v/>
      </c>
      <c r="G208" s="2">
        <f>IF($B208="","",IFERROR(VLOOKUP($B208,correlation!$A$2:$B$16,2,FALSE),1))</f>
        <v/>
      </c>
      <c r="H208" s="2">
        <f>IF($E208="","",IFERROR(VLOOKUP($E208,correlation!$D$2:$E$8,2,FALSE),1))</f>
        <v/>
      </c>
      <c r="I208" s="2">
        <f>ISNUMBER($F208)</f>
        <v/>
      </c>
      <c r="J208" s="2">
        <f>AND($G208=1,$H208=1,$I208)</f>
        <v/>
      </c>
      <c r="K208" s="5">
        <f>IF(mos_metrics!G207="","",mos_metrics!G207)</f>
        <v/>
      </c>
      <c r="L208" s="2">
        <f>AND($J208,ISNUMBER(K208),correlation!$I$26=1)</f>
        <v/>
      </c>
      <c r="M208" s="5">
        <f>IF(L208,$F208,"")</f>
        <v/>
      </c>
      <c r="N208" s="5">
        <f>IF(L208,K208*correlation!$J$26,"")</f>
        <v/>
      </c>
      <c r="O208" s="5">
        <f>IF(AND(L208,ISNUMBER(correlation!$F$26)),N208*correlation!$F$26+correlation!$G$26,"")</f>
        <v/>
      </c>
      <c r="P208" s="5">
        <f>IF(AND(L208,ISNUMBER(O208)),(M208-O208)^2,"")</f>
        <v/>
      </c>
      <c r="Q208" s="5">
        <f>IF(L208,1+SUMPRODUCT(--(calc!$L$3:$L$306=TRUE),--(calc!$M$3:$M$306&gt;M208))+(SUMPRODUCT(--(calc!$L$3:$L$306=TRUE),--(calc!$M$3:$M$306=M208))-1)/2,"")</f>
        <v/>
      </c>
      <c r="R208" s="5">
        <f>IF(L208,1+SUMPRODUCT(--(calc!$L$3:$L$306=TRUE),--(calc!$N$3:$N$306&gt;N208))+(SUMPRODUCT(--(calc!$L$3:$L$306=TRUE),--(calc!$N$3:$N$306=N208))-1)/2,"")</f>
        <v/>
      </c>
      <c r="S208" s="5">
        <f>IF(L208,SUMPRODUCT(--(calc!$L$3:$L$306=TRUE),--(ROW(calc!$L$3:$L$306)&gt;ROW(L208)),--(((calc!$Q$3:$Q$306&gt;Q208)*(calc!$R$3:$R$306&gt;R208)+(calc!$Q$3:$Q$306&lt;Q208)*(calc!$R$3:$R$306&lt;R208))&gt;0))-SUMPRODUCT(--(calc!$L$3:$L$306=TRUE),--(ROW(calc!$L$3:$L$306)&gt;ROW(L208)),--(((calc!$Q$3:$Q$306&gt;Q208)*(calc!$R$3:$R$306&lt;R208)+(calc!$Q$3:$Q$306&lt;Q208)*(calc!$R$3:$R$306&gt;R208))&gt;0)),0)</f>
        <v/>
      </c>
      <c r="T208" s="5">
        <f>IF(mos_metrics!H207="","",mos_metrics!H207)</f>
        <v/>
      </c>
      <c r="U208" s="2">
        <f>AND($J208,ISNUMBER(T208),correlation!$I$27=1)</f>
        <v/>
      </c>
      <c r="V208" s="5">
        <f>IF(U208,$F208,"")</f>
        <v/>
      </c>
      <c r="W208" s="5">
        <f>IF(U208,T208*correlation!$J$27,"")</f>
        <v/>
      </c>
      <c r="X208" s="5">
        <f>IF(AND(U208,ISNUMBER(correlation!$F$27)),W208*correlation!$F$27+correlation!$G$27,"")</f>
        <v/>
      </c>
      <c r="Y208" s="5">
        <f>IF(AND(U208,ISNUMBER(X208)),(V208-X208)^2,"")</f>
        <v/>
      </c>
      <c r="Z208" s="5">
        <f>IF(U208,1+SUMPRODUCT(--(calc!$U$3:$U$306=TRUE),--(calc!$V$3:$V$306&gt;V208))+(SUMPRODUCT(--(calc!$U$3:$U$306=TRUE),--(calc!$V$3:$V$306=V208))-1)/2,"")</f>
        <v/>
      </c>
      <c r="AA208" s="5">
        <f>IF(U208,1+SUMPRODUCT(--(calc!$U$3:$U$306=TRUE),--(calc!$W$3:$W$306&gt;W208))+(SUMPRODUCT(--(calc!$U$3:$U$306=TRUE),--(calc!$W$3:$W$306=W208))-1)/2,"")</f>
        <v/>
      </c>
      <c r="AB208" s="5">
        <f>IF(U208,SUMPRODUCT(--(calc!$U$3:$U$306=TRUE),--(ROW(calc!$U$3:$U$306)&gt;ROW(U208)),--(((calc!$Z$3:$Z$306&gt;Z208)*(calc!$AA$3:$AA$306&gt;AA208)+(calc!$Z$3:$Z$306&lt;Z208)*(calc!$AA$3:$AA$306&lt;AA208))&gt;0))-SUMPRODUCT(--(calc!$U$3:$U$306=TRUE),--(ROW(calc!$U$3:$U$306)&gt;ROW(U208)),--(((calc!$Z$3:$Z$306&gt;Z208)*(calc!$AA$3:$AA$306&lt;AA208)+(calc!$Z$3:$Z$306&lt;Z208)*(calc!$AA$3:$AA$306&gt;AA208))&gt;0)),0)</f>
        <v/>
      </c>
      <c r="AC208" s="5">
        <f>IF(mos_metrics!I207="","",mos_metrics!I207)</f>
        <v/>
      </c>
      <c r="AD208" s="2">
        <f>AND($J208,ISNUMBER(AC208),correlation!$I$28=1)</f>
        <v/>
      </c>
      <c r="AE208" s="5">
        <f>IF(AD208,$F208,"")</f>
        <v/>
      </c>
      <c r="AF208" s="5">
        <f>IF(AD208,AC208*correlation!$J$28,"")</f>
        <v/>
      </c>
      <c r="AG208" s="5">
        <f>IF(AND(AD208,ISNUMBER(correlation!$F$28)),AF208*correlation!$F$28+correlation!$G$28,"")</f>
        <v/>
      </c>
      <c r="AH208" s="5">
        <f>IF(AND(AD208,ISNUMBER(AG208)),(AE208-AG208)^2,"")</f>
        <v/>
      </c>
      <c r="AI208" s="5">
        <f>IF(AD208,1+SUMPRODUCT(--(calc!$AD$3:$AD$306=TRUE),--(calc!$AE$3:$AE$306&gt;AE208))+(SUMPRODUCT(--(calc!$AD$3:$AD$306=TRUE),--(calc!$AE$3:$AE$306=AE208))-1)/2,"")</f>
        <v/>
      </c>
      <c r="AJ208" s="5">
        <f>IF(AD208,1+SUMPRODUCT(--(calc!$AD$3:$AD$306=TRUE),--(calc!$AF$3:$AF$306&gt;AF208))+(SUMPRODUCT(--(calc!$AD$3:$AD$306=TRUE),--(calc!$AF$3:$AF$306=AF208))-1)/2,"")</f>
        <v/>
      </c>
      <c r="AK208" s="5">
        <f>IF(AD208,SUMPRODUCT(--(calc!$AD$3:$AD$306=TRUE),--(ROW(calc!$AD$3:$AD$306)&gt;ROW(AD208)),--(((calc!$AI$3:$AI$306&gt;AI208)*(calc!$AJ$3:$AJ$306&gt;AJ208)+(calc!$AI$3:$AI$306&lt;AI208)*(calc!$AJ$3:$AJ$306&lt;AJ208))&gt;0))-SUMPRODUCT(--(calc!$AD$3:$AD$306=TRUE),--(ROW(calc!$AD$3:$AD$306)&gt;ROW(AD208)),--(((calc!$AI$3:$AI$306&gt;AI208)*(calc!$AJ$3:$AJ$306&lt;AJ208)+(calc!$AI$3:$AI$306&lt;AI208)*(calc!$AJ$3:$AJ$306&gt;AJ208))&gt;0)),0)</f>
        <v/>
      </c>
      <c r="AL208" s="5">
        <f>IF(mos_metrics!J207="","",mos_metrics!J207)</f>
        <v/>
      </c>
      <c r="AM208" s="2">
        <f>AND($J208,ISNUMBER(AL208),correlation!$I$29=1)</f>
        <v/>
      </c>
      <c r="AN208" s="5">
        <f>IF(AM208,$F208,"")</f>
        <v/>
      </c>
      <c r="AO208" s="5">
        <f>IF(AM208,AL208*correlation!$J$29,"")</f>
        <v/>
      </c>
      <c r="AP208" s="5">
        <f>IF(AND(AM208,ISNUMBER(correlation!$F$29)),AO208*correlation!$F$29+correlation!$G$29,"")</f>
        <v/>
      </c>
      <c r="AQ208" s="5">
        <f>IF(AND(AM208,ISNUMBER(AP208)),(AN208-AP208)^2,"")</f>
        <v/>
      </c>
      <c r="AR208" s="5">
        <f>IF(AM208,1+SUMPRODUCT(--(calc!$AM$3:$AM$306=TRUE),--(calc!$AN$3:$AN$306&gt;AN208))+(SUMPRODUCT(--(calc!$AM$3:$AM$306=TRUE),--(calc!$AN$3:$AN$306=AN208))-1)/2,"")</f>
        <v/>
      </c>
      <c r="AS208" s="5">
        <f>IF(AM208,1+SUMPRODUCT(--(calc!$AM$3:$AM$306=TRUE),--(calc!$AO$3:$AO$306&gt;AO208))+(SUMPRODUCT(--(calc!$AM$3:$AM$306=TRUE),--(calc!$AO$3:$AO$306=AO208))-1)/2,"")</f>
        <v/>
      </c>
      <c r="AT208" s="5">
        <f>IF(AM208,SUMPRODUCT(--(calc!$AM$3:$AM$306=TRUE),--(ROW(calc!$AM$3:$AM$306)&gt;ROW(AM208)),--(((calc!$AR$3:$AR$306&gt;AR208)*(calc!$AS$3:$AS$306&gt;AS208)+(calc!$AR$3:$AR$306&lt;AR208)*(calc!$AS$3:$AS$306&lt;AS208))&gt;0))-SUMPRODUCT(--(calc!$AM$3:$AM$306=TRUE),--(ROW(calc!$AM$3:$AM$306)&gt;ROW(AM208)),--(((calc!$AR$3:$AR$306&gt;AR208)*(calc!$AS$3:$AS$306&lt;AS208)+(calc!$AR$3:$AR$306&lt;AR208)*(calc!$AS$3:$AS$306&gt;AS208))&gt;0)),0)</f>
        <v/>
      </c>
      <c r="AU208" s="5">
        <f>IF(mos_metrics!K207="","",mos_metrics!K207)</f>
        <v/>
      </c>
      <c r="AV208" s="2">
        <f>AND($J208,ISNUMBER(AU208),correlation!$I$30=1)</f>
        <v/>
      </c>
      <c r="AW208" s="5">
        <f>IF(AV208,$F208,"")</f>
        <v/>
      </c>
      <c r="AX208" s="5">
        <f>IF(AV208,AU208*correlation!$J$30,"")</f>
        <v/>
      </c>
      <c r="AY208" s="5">
        <f>IF(AND(AV208,ISNUMBER(correlation!$F$30)),AX208*correlation!$F$30+correlation!$G$30,"")</f>
        <v/>
      </c>
      <c r="AZ208" s="5">
        <f>IF(AND(AV208,ISNUMBER(AY208)),(AW208-AY208)^2,"")</f>
        <v/>
      </c>
      <c r="BA208" s="5">
        <f>IF(AV208,1+SUMPRODUCT(--(calc!$AV$3:$AV$306=TRUE),--(calc!$AW$3:$AW$306&gt;AW208))+(SUMPRODUCT(--(calc!$AV$3:$AV$306=TRUE),--(calc!$AW$3:$AW$306=AW208))-1)/2,"")</f>
        <v/>
      </c>
      <c r="BB208" s="5">
        <f>IF(AV208,1+SUMPRODUCT(--(calc!$AV$3:$AV$306=TRUE),--(calc!$AX$3:$AX$306&gt;AX208))+(SUMPRODUCT(--(calc!$AV$3:$AV$306=TRUE),--(calc!$AX$3:$AX$306=AX208))-1)/2,"")</f>
        <v/>
      </c>
      <c r="BC208" s="5">
        <f>IF(AV208,SUMPRODUCT(--(calc!$AV$3:$AV$306=TRUE),--(ROW(calc!$AV$3:$AV$306)&gt;ROW(AV208)),--(((calc!$BA$3:$BA$306&gt;BA208)*(calc!$BB$3:$BB$306&gt;BB208)+(calc!$BA$3:$BA$306&lt;BA208)*(calc!$BB$3:$BB$306&lt;BB208))&gt;0))-SUMPRODUCT(--(calc!$AV$3:$AV$306=TRUE),--(ROW(calc!$AV$3:$AV$306)&gt;ROW(AV208)),--(((calc!$BA$3:$BA$306&gt;BA208)*(calc!$BB$3:$BB$306&lt;BB208)+(calc!$BA$3:$BA$306&lt;BA208)*(calc!$BB$3:$BB$306&gt;BB208))&gt;0)),0)</f>
        <v/>
      </c>
      <c r="BD208" s="5">
        <f>IF(mos_metrics!L207="","",mos_metrics!L207)</f>
        <v/>
      </c>
      <c r="BE208" s="2">
        <f>AND($J208,ISNUMBER(BD208),correlation!$I$31=1)</f>
        <v/>
      </c>
      <c r="BF208" s="5">
        <f>IF(BE208,$F208,"")</f>
        <v/>
      </c>
      <c r="BG208" s="5">
        <f>IF(BE208,BD208*correlation!$J$31,"")</f>
        <v/>
      </c>
      <c r="BH208" s="5">
        <f>IF(AND(BE208,ISNUMBER(correlation!$F$31)),BG208*correlation!$F$31+correlation!$G$31,"")</f>
        <v/>
      </c>
      <c r="BI208" s="5">
        <f>IF(AND(BE208,ISNUMBER(BH208)),(BF208-BH208)^2,"")</f>
        <v/>
      </c>
      <c r="BJ208" s="5">
        <f>IF(BE208,1+SUMPRODUCT(--(calc!$BE$3:$BE$306=TRUE),--(calc!$BF$3:$BF$306&gt;BF208))+(SUMPRODUCT(--(calc!$BE$3:$BE$306=TRUE),--(calc!$BF$3:$BF$306=BF208))-1)/2,"")</f>
        <v/>
      </c>
      <c r="BK208" s="5">
        <f>IF(BE208,1+SUMPRODUCT(--(calc!$BE$3:$BE$306=TRUE),--(calc!$BG$3:$BG$306&gt;BG208))+(SUMPRODUCT(--(calc!$BE$3:$BE$306=TRUE),--(calc!$BG$3:$BG$306=BG208))-1)/2,"")</f>
        <v/>
      </c>
      <c r="BL208" s="5">
        <f>IF(BE208,SUMPRODUCT(--(calc!$BE$3:$BE$306=TRUE),--(ROW(calc!$BE$3:$BE$306)&gt;ROW(BE208)),--(((calc!$BJ$3:$BJ$306&gt;BJ208)*(calc!$BK$3:$BK$306&gt;BK208)+(calc!$BJ$3:$BJ$306&lt;BJ208)*(calc!$BK$3:$BK$306&lt;BK208))&gt;0))-SUMPRODUCT(--(calc!$BE$3:$BE$306=TRUE),--(ROW(calc!$BE$3:$BE$306)&gt;ROW(BE208)),--(((calc!$BJ$3:$BJ$306&gt;BJ208)*(calc!$BK$3:$BK$306&lt;BK208)+(calc!$BJ$3:$BJ$306&lt;BJ208)*(calc!$BK$3:$BK$306&gt;BK208))&gt;0)),0)</f>
        <v/>
      </c>
      <c r="BM208" s="5">
        <f>IF(mos_metrics!M207="","",mos_metrics!M207)</f>
        <v/>
      </c>
      <c r="BN208" s="2">
        <f>AND($J208,ISNUMBER(BM208),correlation!$I$32=1)</f>
        <v/>
      </c>
      <c r="BO208" s="5">
        <f>IF(BN208,$F208,"")</f>
        <v/>
      </c>
      <c r="BP208" s="5">
        <f>IF(BN208,BM208*correlation!$J$32,"")</f>
        <v/>
      </c>
      <c r="BQ208" s="5">
        <f>IF(AND(BN208,ISNUMBER(correlation!$F$32)),BP208*correlation!$F$32+correlation!$G$32,"")</f>
        <v/>
      </c>
      <c r="BR208" s="5">
        <f>IF(AND(BN208,ISNUMBER(BQ208)),(BO208-BQ208)^2,"")</f>
        <v/>
      </c>
      <c r="BS208" s="5">
        <f>IF(BN208,1+SUMPRODUCT(--(calc!$BN$3:$BN$306=TRUE),--(calc!$BO$3:$BO$306&gt;BO208))+(SUMPRODUCT(--(calc!$BN$3:$BN$306=TRUE),--(calc!$BO$3:$BO$306=BO208))-1)/2,"")</f>
        <v/>
      </c>
      <c r="BT208" s="5">
        <f>IF(BN208,1+SUMPRODUCT(--(calc!$BN$3:$BN$306=TRUE),--(calc!$BP$3:$BP$306&gt;BP208))+(SUMPRODUCT(--(calc!$BN$3:$BN$306=TRUE),--(calc!$BP$3:$BP$306=BP208))-1)/2,"")</f>
        <v/>
      </c>
      <c r="BU208" s="5">
        <f>IF(BN208,SUMPRODUCT(--(calc!$BN$3:$BN$306=TRUE),--(ROW(calc!$BN$3:$BN$306)&gt;ROW(BN208)),--(((calc!$BS$3:$BS$306&gt;BS208)*(calc!$BT$3:$BT$306&gt;BT208)+(calc!$BS$3:$BS$306&lt;BS208)*(calc!$BT$3:$BT$306&lt;BT208))&gt;0))-SUMPRODUCT(--(calc!$BN$3:$BN$306=TRUE),--(ROW(calc!$BN$3:$BN$306)&gt;ROW(BN208)),--(((calc!$BS$3:$BS$306&gt;BS208)*(calc!$BT$3:$BT$306&lt;BT208)+(calc!$BS$3:$BS$306&lt;BS208)*(calc!$BT$3:$BT$306&gt;BT208))&gt;0)),0)</f>
        <v/>
      </c>
    </row>
    <row r="209">
      <c r="A209" s="2">
        <f>mos_metrics!A208</f>
        <v/>
      </c>
      <c r="B209" s="2">
        <f>mos_metrics!B208</f>
        <v/>
      </c>
      <c r="C209" s="2">
        <f>mos_metrics!C208</f>
        <v/>
      </c>
      <c r="D209" s="2">
        <f>mos_metrics!D208</f>
        <v/>
      </c>
      <c r="E209" s="2">
        <f>mos_metrics!E208</f>
        <v/>
      </c>
      <c r="F209" s="2">
        <f>mos_metrics!F208</f>
        <v/>
      </c>
      <c r="G209" s="2">
        <f>IF($B209="","",IFERROR(VLOOKUP($B209,correlation!$A$2:$B$16,2,FALSE),1))</f>
        <v/>
      </c>
      <c r="H209" s="2">
        <f>IF($E209="","",IFERROR(VLOOKUP($E209,correlation!$D$2:$E$8,2,FALSE),1))</f>
        <v/>
      </c>
      <c r="I209" s="2">
        <f>ISNUMBER($F209)</f>
        <v/>
      </c>
      <c r="J209" s="2">
        <f>AND($G209=1,$H209=1,$I209)</f>
        <v/>
      </c>
      <c r="K209" s="5">
        <f>IF(mos_metrics!G208="","",mos_metrics!G208)</f>
        <v/>
      </c>
      <c r="L209" s="2">
        <f>AND($J209,ISNUMBER(K209),correlation!$I$26=1)</f>
        <v/>
      </c>
      <c r="M209" s="5">
        <f>IF(L209,$F209,"")</f>
        <v/>
      </c>
      <c r="N209" s="5">
        <f>IF(L209,K209*correlation!$J$26,"")</f>
        <v/>
      </c>
      <c r="O209" s="5">
        <f>IF(AND(L209,ISNUMBER(correlation!$F$26)),N209*correlation!$F$26+correlation!$G$26,"")</f>
        <v/>
      </c>
      <c r="P209" s="5">
        <f>IF(AND(L209,ISNUMBER(O209)),(M209-O209)^2,"")</f>
        <v/>
      </c>
      <c r="Q209" s="5">
        <f>IF(L209,1+SUMPRODUCT(--(calc!$L$3:$L$306=TRUE),--(calc!$M$3:$M$306&gt;M209))+(SUMPRODUCT(--(calc!$L$3:$L$306=TRUE),--(calc!$M$3:$M$306=M209))-1)/2,"")</f>
        <v/>
      </c>
      <c r="R209" s="5">
        <f>IF(L209,1+SUMPRODUCT(--(calc!$L$3:$L$306=TRUE),--(calc!$N$3:$N$306&gt;N209))+(SUMPRODUCT(--(calc!$L$3:$L$306=TRUE),--(calc!$N$3:$N$306=N209))-1)/2,"")</f>
        <v/>
      </c>
      <c r="S209" s="5">
        <f>IF(L209,SUMPRODUCT(--(calc!$L$3:$L$306=TRUE),--(ROW(calc!$L$3:$L$306)&gt;ROW(L209)),--(((calc!$Q$3:$Q$306&gt;Q209)*(calc!$R$3:$R$306&gt;R209)+(calc!$Q$3:$Q$306&lt;Q209)*(calc!$R$3:$R$306&lt;R209))&gt;0))-SUMPRODUCT(--(calc!$L$3:$L$306=TRUE),--(ROW(calc!$L$3:$L$306)&gt;ROW(L209)),--(((calc!$Q$3:$Q$306&gt;Q209)*(calc!$R$3:$R$306&lt;R209)+(calc!$Q$3:$Q$306&lt;Q209)*(calc!$R$3:$R$306&gt;R209))&gt;0)),0)</f>
        <v/>
      </c>
      <c r="T209" s="5">
        <f>IF(mos_metrics!H208="","",mos_metrics!H208)</f>
        <v/>
      </c>
      <c r="U209" s="2">
        <f>AND($J209,ISNUMBER(T209),correlation!$I$27=1)</f>
        <v/>
      </c>
      <c r="V209" s="5">
        <f>IF(U209,$F209,"")</f>
        <v/>
      </c>
      <c r="W209" s="5">
        <f>IF(U209,T209*correlation!$J$27,"")</f>
        <v/>
      </c>
      <c r="X209" s="5">
        <f>IF(AND(U209,ISNUMBER(correlation!$F$27)),W209*correlation!$F$27+correlation!$G$27,"")</f>
        <v/>
      </c>
      <c r="Y209" s="5">
        <f>IF(AND(U209,ISNUMBER(X209)),(V209-X209)^2,"")</f>
        <v/>
      </c>
      <c r="Z209" s="5">
        <f>IF(U209,1+SUMPRODUCT(--(calc!$U$3:$U$306=TRUE),--(calc!$V$3:$V$306&gt;V209))+(SUMPRODUCT(--(calc!$U$3:$U$306=TRUE),--(calc!$V$3:$V$306=V209))-1)/2,"")</f>
        <v/>
      </c>
      <c r="AA209" s="5">
        <f>IF(U209,1+SUMPRODUCT(--(calc!$U$3:$U$306=TRUE),--(calc!$W$3:$W$306&gt;W209))+(SUMPRODUCT(--(calc!$U$3:$U$306=TRUE),--(calc!$W$3:$W$306=W209))-1)/2,"")</f>
        <v/>
      </c>
      <c r="AB209" s="5">
        <f>IF(U209,SUMPRODUCT(--(calc!$U$3:$U$306=TRUE),--(ROW(calc!$U$3:$U$306)&gt;ROW(U209)),--(((calc!$Z$3:$Z$306&gt;Z209)*(calc!$AA$3:$AA$306&gt;AA209)+(calc!$Z$3:$Z$306&lt;Z209)*(calc!$AA$3:$AA$306&lt;AA209))&gt;0))-SUMPRODUCT(--(calc!$U$3:$U$306=TRUE),--(ROW(calc!$U$3:$U$306)&gt;ROW(U209)),--(((calc!$Z$3:$Z$306&gt;Z209)*(calc!$AA$3:$AA$306&lt;AA209)+(calc!$Z$3:$Z$306&lt;Z209)*(calc!$AA$3:$AA$306&gt;AA209))&gt;0)),0)</f>
        <v/>
      </c>
      <c r="AC209" s="5">
        <f>IF(mos_metrics!I208="","",mos_metrics!I208)</f>
        <v/>
      </c>
      <c r="AD209" s="2">
        <f>AND($J209,ISNUMBER(AC209),correlation!$I$28=1)</f>
        <v/>
      </c>
      <c r="AE209" s="5">
        <f>IF(AD209,$F209,"")</f>
        <v/>
      </c>
      <c r="AF209" s="5">
        <f>IF(AD209,AC209*correlation!$J$28,"")</f>
        <v/>
      </c>
      <c r="AG209" s="5">
        <f>IF(AND(AD209,ISNUMBER(correlation!$F$28)),AF209*correlation!$F$28+correlation!$G$28,"")</f>
        <v/>
      </c>
      <c r="AH209" s="5">
        <f>IF(AND(AD209,ISNUMBER(AG209)),(AE209-AG209)^2,"")</f>
        <v/>
      </c>
      <c r="AI209" s="5">
        <f>IF(AD209,1+SUMPRODUCT(--(calc!$AD$3:$AD$306=TRUE),--(calc!$AE$3:$AE$306&gt;AE209))+(SUMPRODUCT(--(calc!$AD$3:$AD$306=TRUE),--(calc!$AE$3:$AE$306=AE209))-1)/2,"")</f>
        <v/>
      </c>
      <c r="AJ209" s="5">
        <f>IF(AD209,1+SUMPRODUCT(--(calc!$AD$3:$AD$306=TRUE),--(calc!$AF$3:$AF$306&gt;AF209))+(SUMPRODUCT(--(calc!$AD$3:$AD$306=TRUE),--(calc!$AF$3:$AF$306=AF209))-1)/2,"")</f>
        <v/>
      </c>
      <c r="AK209" s="5">
        <f>IF(AD209,SUMPRODUCT(--(calc!$AD$3:$AD$306=TRUE),--(ROW(calc!$AD$3:$AD$306)&gt;ROW(AD209)),--(((calc!$AI$3:$AI$306&gt;AI209)*(calc!$AJ$3:$AJ$306&gt;AJ209)+(calc!$AI$3:$AI$306&lt;AI209)*(calc!$AJ$3:$AJ$306&lt;AJ209))&gt;0))-SUMPRODUCT(--(calc!$AD$3:$AD$306=TRUE),--(ROW(calc!$AD$3:$AD$306)&gt;ROW(AD209)),--(((calc!$AI$3:$AI$306&gt;AI209)*(calc!$AJ$3:$AJ$306&lt;AJ209)+(calc!$AI$3:$AI$306&lt;AI209)*(calc!$AJ$3:$AJ$306&gt;AJ209))&gt;0)),0)</f>
        <v/>
      </c>
      <c r="AL209" s="5">
        <f>IF(mos_metrics!J208="","",mos_metrics!J208)</f>
        <v/>
      </c>
      <c r="AM209" s="2">
        <f>AND($J209,ISNUMBER(AL209),correlation!$I$29=1)</f>
        <v/>
      </c>
      <c r="AN209" s="5">
        <f>IF(AM209,$F209,"")</f>
        <v/>
      </c>
      <c r="AO209" s="5">
        <f>IF(AM209,AL209*correlation!$J$29,"")</f>
        <v/>
      </c>
      <c r="AP209" s="5">
        <f>IF(AND(AM209,ISNUMBER(correlation!$F$29)),AO209*correlation!$F$29+correlation!$G$29,"")</f>
        <v/>
      </c>
      <c r="AQ209" s="5">
        <f>IF(AND(AM209,ISNUMBER(AP209)),(AN209-AP209)^2,"")</f>
        <v/>
      </c>
      <c r="AR209" s="5">
        <f>IF(AM209,1+SUMPRODUCT(--(calc!$AM$3:$AM$306=TRUE),--(calc!$AN$3:$AN$306&gt;AN209))+(SUMPRODUCT(--(calc!$AM$3:$AM$306=TRUE),--(calc!$AN$3:$AN$306=AN209))-1)/2,"")</f>
        <v/>
      </c>
      <c r="AS209" s="5">
        <f>IF(AM209,1+SUMPRODUCT(--(calc!$AM$3:$AM$306=TRUE),--(calc!$AO$3:$AO$306&gt;AO209))+(SUMPRODUCT(--(calc!$AM$3:$AM$306=TRUE),--(calc!$AO$3:$AO$306=AO209))-1)/2,"")</f>
        <v/>
      </c>
      <c r="AT209" s="5">
        <f>IF(AM209,SUMPRODUCT(--(calc!$AM$3:$AM$306=TRUE),--(ROW(calc!$AM$3:$AM$306)&gt;ROW(AM209)),--(((calc!$AR$3:$AR$306&gt;AR209)*(calc!$AS$3:$AS$306&gt;AS209)+(calc!$AR$3:$AR$306&lt;AR209)*(calc!$AS$3:$AS$306&lt;AS209))&gt;0))-SUMPRODUCT(--(calc!$AM$3:$AM$306=TRUE),--(ROW(calc!$AM$3:$AM$306)&gt;ROW(AM209)),--(((calc!$AR$3:$AR$306&gt;AR209)*(calc!$AS$3:$AS$306&lt;AS209)+(calc!$AR$3:$AR$306&lt;AR209)*(calc!$AS$3:$AS$306&gt;AS209))&gt;0)),0)</f>
        <v/>
      </c>
      <c r="AU209" s="5">
        <f>IF(mos_metrics!K208="","",mos_metrics!K208)</f>
        <v/>
      </c>
      <c r="AV209" s="2">
        <f>AND($J209,ISNUMBER(AU209),correlation!$I$30=1)</f>
        <v/>
      </c>
      <c r="AW209" s="5">
        <f>IF(AV209,$F209,"")</f>
        <v/>
      </c>
      <c r="AX209" s="5">
        <f>IF(AV209,AU209*correlation!$J$30,"")</f>
        <v/>
      </c>
      <c r="AY209" s="5">
        <f>IF(AND(AV209,ISNUMBER(correlation!$F$30)),AX209*correlation!$F$30+correlation!$G$30,"")</f>
        <v/>
      </c>
      <c r="AZ209" s="5">
        <f>IF(AND(AV209,ISNUMBER(AY209)),(AW209-AY209)^2,"")</f>
        <v/>
      </c>
      <c r="BA209" s="5">
        <f>IF(AV209,1+SUMPRODUCT(--(calc!$AV$3:$AV$306=TRUE),--(calc!$AW$3:$AW$306&gt;AW209))+(SUMPRODUCT(--(calc!$AV$3:$AV$306=TRUE),--(calc!$AW$3:$AW$306=AW209))-1)/2,"")</f>
        <v/>
      </c>
      <c r="BB209" s="5">
        <f>IF(AV209,1+SUMPRODUCT(--(calc!$AV$3:$AV$306=TRUE),--(calc!$AX$3:$AX$306&gt;AX209))+(SUMPRODUCT(--(calc!$AV$3:$AV$306=TRUE),--(calc!$AX$3:$AX$306=AX209))-1)/2,"")</f>
        <v/>
      </c>
      <c r="BC209" s="5">
        <f>IF(AV209,SUMPRODUCT(--(calc!$AV$3:$AV$306=TRUE),--(ROW(calc!$AV$3:$AV$306)&gt;ROW(AV209)),--(((calc!$BA$3:$BA$306&gt;BA209)*(calc!$BB$3:$BB$306&gt;BB209)+(calc!$BA$3:$BA$306&lt;BA209)*(calc!$BB$3:$BB$306&lt;BB209))&gt;0))-SUMPRODUCT(--(calc!$AV$3:$AV$306=TRUE),--(ROW(calc!$AV$3:$AV$306)&gt;ROW(AV209)),--(((calc!$BA$3:$BA$306&gt;BA209)*(calc!$BB$3:$BB$306&lt;BB209)+(calc!$BA$3:$BA$306&lt;BA209)*(calc!$BB$3:$BB$306&gt;BB209))&gt;0)),0)</f>
        <v/>
      </c>
      <c r="BD209" s="5">
        <f>IF(mos_metrics!L208="","",mos_metrics!L208)</f>
        <v/>
      </c>
      <c r="BE209" s="2">
        <f>AND($J209,ISNUMBER(BD209),correlation!$I$31=1)</f>
        <v/>
      </c>
      <c r="BF209" s="5">
        <f>IF(BE209,$F209,"")</f>
        <v/>
      </c>
      <c r="BG209" s="5">
        <f>IF(BE209,BD209*correlation!$J$31,"")</f>
        <v/>
      </c>
      <c r="BH209" s="5">
        <f>IF(AND(BE209,ISNUMBER(correlation!$F$31)),BG209*correlation!$F$31+correlation!$G$31,"")</f>
        <v/>
      </c>
      <c r="BI209" s="5">
        <f>IF(AND(BE209,ISNUMBER(BH209)),(BF209-BH209)^2,"")</f>
        <v/>
      </c>
      <c r="BJ209" s="5">
        <f>IF(BE209,1+SUMPRODUCT(--(calc!$BE$3:$BE$306=TRUE),--(calc!$BF$3:$BF$306&gt;BF209))+(SUMPRODUCT(--(calc!$BE$3:$BE$306=TRUE),--(calc!$BF$3:$BF$306=BF209))-1)/2,"")</f>
        <v/>
      </c>
      <c r="BK209" s="5">
        <f>IF(BE209,1+SUMPRODUCT(--(calc!$BE$3:$BE$306=TRUE),--(calc!$BG$3:$BG$306&gt;BG209))+(SUMPRODUCT(--(calc!$BE$3:$BE$306=TRUE),--(calc!$BG$3:$BG$306=BG209))-1)/2,"")</f>
        <v/>
      </c>
      <c r="BL209" s="5">
        <f>IF(BE209,SUMPRODUCT(--(calc!$BE$3:$BE$306=TRUE),--(ROW(calc!$BE$3:$BE$306)&gt;ROW(BE209)),--(((calc!$BJ$3:$BJ$306&gt;BJ209)*(calc!$BK$3:$BK$306&gt;BK209)+(calc!$BJ$3:$BJ$306&lt;BJ209)*(calc!$BK$3:$BK$306&lt;BK209))&gt;0))-SUMPRODUCT(--(calc!$BE$3:$BE$306=TRUE),--(ROW(calc!$BE$3:$BE$306)&gt;ROW(BE209)),--(((calc!$BJ$3:$BJ$306&gt;BJ209)*(calc!$BK$3:$BK$306&lt;BK209)+(calc!$BJ$3:$BJ$306&lt;BJ209)*(calc!$BK$3:$BK$306&gt;BK209))&gt;0)),0)</f>
        <v/>
      </c>
      <c r="BM209" s="5">
        <f>IF(mos_metrics!M208="","",mos_metrics!M208)</f>
        <v/>
      </c>
      <c r="BN209" s="2">
        <f>AND($J209,ISNUMBER(BM209),correlation!$I$32=1)</f>
        <v/>
      </c>
      <c r="BO209" s="5">
        <f>IF(BN209,$F209,"")</f>
        <v/>
      </c>
      <c r="BP209" s="5">
        <f>IF(BN209,BM209*correlation!$J$32,"")</f>
        <v/>
      </c>
      <c r="BQ209" s="5">
        <f>IF(AND(BN209,ISNUMBER(correlation!$F$32)),BP209*correlation!$F$32+correlation!$G$32,"")</f>
        <v/>
      </c>
      <c r="BR209" s="5">
        <f>IF(AND(BN209,ISNUMBER(BQ209)),(BO209-BQ209)^2,"")</f>
        <v/>
      </c>
      <c r="BS209" s="5">
        <f>IF(BN209,1+SUMPRODUCT(--(calc!$BN$3:$BN$306=TRUE),--(calc!$BO$3:$BO$306&gt;BO209))+(SUMPRODUCT(--(calc!$BN$3:$BN$306=TRUE),--(calc!$BO$3:$BO$306=BO209))-1)/2,"")</f>
        <v/>
      </c>
      <c r="BT209" s="5">
        <f>IF(BN209,1+SUMPRODUCT(--(calc!$BN$3:$BN$306=TRUE),--(calc!$BP$3:$BP$306&gt;BP209))+(SUMPRODUCT(--(calc!$BN$3:$BN$306=TRUE),--(calc!$BP$3:$BP$306=BP209))-1)/2,"")</f>
        <v/>
      </c>
      <c r="BU209" s="5">
        <f>IF(BN209,SUMPRODUCT(--(calc!$BN$3:$BN$306=TRUE),--(ROW(calc!$BN$3:$BN$306)&gt;ROW(BN209)),--(((calc!$BS$3:$BS$306&gt;BS209)*(calc!$BT$3:$BT$306&gt;BT209)+(calc!$BS$3:$BS$306&lt;BS209)*(calc!$BT$3:$BT$306&lt;BT209))&gt;0))-SUMPRODUCT(--(calc!$BN$3:$BN$306=TRUE),--(ROW(calc!$BN$3:$BN$306)&gt;ROW(BN209)),--(((calc!$BS$3:$BS$306&gt;BS209)*(calc!$BT$3:$BT$306&lt;BT209)+(calc!$BS$3:$BS$306&lt;BS209)*(calc!$BT$3:$BT$306&gt;BT209))&gt;0)),0)</f>
        <v/>
      </c>
    </row>
    <row r="210">
      <c r="A210" s="2">
        <f>mos_metrics!A209</f>
        <v/>
      </c>
      <c r="B210" s="2">
        <f>mos_metrics!B209</f>
        <v/>
      </c>
      <c r="C210" s="2">
        <f>mos_metrics!C209</f>
        <v/>
      </c>
      <c r="D210" s="2">
        <f>mos_metrics!D209</f>
        <v/>
      </c>
      <c r="E210" s="2">
        <f>mos_metrics!E209</f>
        <v/>
      </c>
      <c r="F210" s="2">
        <f>mos_metrics!F209</f>
        <v/>
      </c>
      <c r="G210" s="2">
        <f>IF($B210="","",IFERROR(VLOOKUP($B210,correlation!$A$2:$B$16,2,FALSE),1))</f>
        <v/>
      </c>
      <c r="H210" s="2">
        <f>IF($E210="","",IFERROR(VLOOKUP($E210,correlation!$D$2:$E$8,2,FALSE),1))</f>
        <v/>
      </c>
      <c r="I210" s="2">
        <f>ISNUMBER($F210)</f>
        <v/>
      </c>
      <c r="J210" s="2">
        <f>AND($G210=1,$H210=1,$I210)</f>
        <v/>
      </c>
      <c r="K210" s="5">
        <f>IF(mos_metrics!G209="","",mos_metrics!G209)</f>
        <v/>
      </c>
      <c r="L210" s="2">
        <f>AND($J210,ISNUMBER(K210),correlation!$I$26=1)</f>
        <v/>
      </c>
      <c r="M210" s="5">
        <f>IF(L210,$F210,"")</f>
        <v/>
      </c>
      <c r="N210" s="5">
        <f>IF(L210,K210*correlation!$J$26,"")</f>
        <v/>
      </c>
      <c r="O210" s="5">
        <f>IF(AND(L210,ISNUMBER(correlation!$F$26)),N210*correlation!$F$26+correlation!$G$26,"")</f>
        <v/>
      </c>
      <c r="P210" s="5">
        <f>IF(AND(L210,ISNUMBER(O210)),(M210-O210)^2,"")</f>
        <v/>
      </c>
      <c r="Q210" s="5">
        <f>IF(L210,1+SUMPRODUCT(--(calc!$L$3:$L$306=TRUE),--(calc!$M$3:$M$306&gt;M210))+(SUMPRODUCT(--(calc!$L$3:$L$306=TRUE),--(calc!$M$3:$M$306=M210))-1)/2,"")</f>
        <v/>
      </c>
      <c r="R210" s="5">
        <f>IF(L210,1+SUMPRODUCT(--(calc!$L$3:$L$306=TRUE),--(calc!$N$3:$N$306&gt;N210))+(SUMPRODUCT(--(calc!$L$3:$L$306=TRUE),--(calc!$N$3:$N$306=N210))-1)/2,"")</f>
        <v/>
      </c>
      <c r="S210" s="5">
        <f>IF(L210,SUMPRODUCT(--(calc!$L$3:$L$306=TRUE),--(ROW(calc!$L$3:$L$306)&gt;ROW(L210)),--(((calc!$Q$3:$Q$306&gt;Q210)*(calc!$R$3:$R$306&gt;R210)+(calc!$Q$3:$Q$306&lt;Q210)*(calc!$R$3:$R$306&lt;R210))&gt;0))-SUMPRODUCT(--(calc!$L$3:$L$306=TRUE),--(ROW(calc!$L$3:$L$306)&gt;ROW(L210)),--(((calc!$Q$3:$Q$306&gt;Q210)*(calc!$R$3:$R$306&lt;R210)+(calc!$Q$3:$Q$306&lt;Q210)*(calc!$R$3:$R$306&gt;R210))&gt;0)),0)</f>
        <v/>
      </c>
      <c r="T210" s="5">
        <f>IF(mos_metrics!H209="","",mos_metrics!H209)</f>
        <v/>
      </c>
      <c r="U210" s="2">
        <f>AND($J210,ISNUMBER(T210),correlation!$I$27=1)</f>
        <v/>
      </c>
      <c r="V210" s="5">
        <f>IF(U210,$F210,"")</f>
        <v/>
      </c>
      <c r="W210" s="5">
        <f>IF(U210,T210*correlation!$J$27,"")</f>
        <v/>
      </c>
      <c r="X210" s="5">
        <f>IF(AND(U210,ISNUMBER(correlation!$F$27)),W210*correlation!$F$27+correlation!$G$27,"")</f>
        <v/>
      </c>
      <c r="Y210" s="5">
        <f>IF(AND(U210,ISNUMBER(X210)),(V210-X210)^2,"")</f>
        <v/>
      </c>
      <c r="Z210" s="5">
        <f>IF(U210,1+SUMPRODUCT(--(calc!$U$3:$U$306=TRUE),--(calc!$V$3:$V$306&gt;V210))+(SUMPRODUCT(--(calc!$U$3:$U$306=TRUE),--(calc!$V$3:$V$306=V210))-1)/2,"")</f>
        <v/>
      </c>
      <c r="AA210" s="5">
        <f>IF(U210,1+SUMPRODUCT(--(calc!$U$3:$U$306=TRUE),--(calc!$W$3:$W$306&gt;W210))+(SUMPRODUCT(--(calc!$U$3:$U$306=TRUE),--(calc!$W$3:$W$306=W210))-1)/2,"")</f>
        <v/>
      </c>
      <c r="AB210" s="5">
        <f>IF(U210,SUMPRODUCT(--(calc!$U$3:$U$306=TRUE),--(ROW(calc!$U$3:$U$306)&gt;ROW(U210)),--(((calc!$Z$3:$Z$306&gt;Z210)*(calc!$AA$3:$AA$306&gt;AA210)+(calc!$Z$3:$Z$306&lt;Z210)*(calc!$AA$3:$AA$306&lt;AA210))&gt;0))-SUMPRODUCT(--(calc!$U$3:$U$306=TRUE),--(ROW(calc!$U$3:$U$306)&gt;ROW(U210)),--(((calc!$Z$3:$Z$306&gt;Z210)*(calc!$AA$3:$AA$306&lt;AA210)+(calc!$Z$3:$Z$306&lt;Z210)*(calc!$AA$3:$AA$306&gt;AA210))&gt;0)),0)</f>
        <v/>
      </c>
      <c r="AC210" s="5">
        <f>IF(mos_metrics!I209="","",mos_metrics!I209)</f>
        <v/>
      </c>
      <c r="AD210" s="2">
        <f>AND($J210,ISNUMBER(AC210),correlation!$I$28=1)</f>
        <v/>
      </c>
      <c r="AE210" s="5">
        <f>IF(AD210,$F210,"")</f>
        <v/>
      </c>
      <c r="AF210" s="5">
        <f>IF(AD210,AC210*correlation!$J$28,"")</f>
        <v/>
      </c>
      <c r="AG210" s="5">
        <f>IF(AND(AD210,ISNUMBER(correlation!$F$28)),AF210*correlation!$F$28+correlation!$G$28,"")</f>
        <v/>
      </c>
      <c r="AH210" s="5">
        <f>IF(AND(AD210,ISNUMBER(AG210)),(AE210-AG210)^2,"")</f>
        <v/>
      </c>
      <c r="AI210" s="5">
        <f>IF(AD210,1+SUMPRODUCT(--(calc!$AD$3:$AD$306=TRUE),--(calc!$AE$3:$AE$306&gt;AE210))+(SUMPRODUCT(--(calc!$AD$3:$AD$306=TRUE),--(calc!$AE$3:$AE$306=AE210))-1)/2,"")</f>
        <v/>
      </c>
      <c r="AJ210" s="5">
        <f>IF(AD210,1+SUMPRODUCT(--(calc!$AD$3:$AD$306=TRUE),--(calc!$AF$3:$AF$306&gt;AF210))+(SUMPRODUCT(--(calc!$AD$3:$AD$306=TRUE),--(calc!$AF$3:$AF$306=AF210))-1)/2,"")</f>
        <v/>
      </c>
      <c r="AK210" s="5">
        <f>IF(AD210,SUMPRODUCT(--(calc!$AD$3:$AD$306=TRUE),--(ROW(calc!$AD$3:$AD$306)&gt;ROW(AD210)),--(((calc!$AI$3:$AI$306&gt;AI210)*(calc!$AJ$3:$AJ$306&gt;AJ210)+(calc!$AI$3:$AI$306&lt;AI210)*(calc!$AJ$3:$AJ$306&lt;AJ210))&gt;0))-SUMPRODUCT(--(calc!$AD$3:$AD$306=TRUE),--(ROW(calc!$AD$3:$AD$306)&gt;ROW(AD210)),--(((calc!$AI$3:$AI$306&gt;AI210)*(calc!$AJ$3:$AJ$306&lt;AJ210)+(calc!$AI$3:$AI$306&lt;AI210)*(calc!$AJ$3:$AJ$306&gt;AJ210))&gt;0)),0)</f>
        <v/>
      </c>
      <c r="AL210" s="5">
        <f>IF(mos_metrics!J209="","",mos_metrics!J209)</f>
        <v/>
      </c>
      <c r="AM210" s="2">
        <f>AND($J210,ISNUMBER(AL210),correlation!$I$29=1)</f>
        <v/>
      </c>
      <c r="AN210" s="5">
        <f>IF(AM210,$F210,"")</f>
        <v/>
      </c>
      <c r="AO210" s="5">
        <f>IF(AM210,AL210*correlation!$J$29,"")</f>
        <v/>
      </c>
      <c r="AP210" s="5">
        <f>IF(AND(AM210,ISNUMBER(correlation!$F$29)),AO210*correlation!$F$29+correlation!$G$29,"")</f>
        <v/>
      </c>
      <c r="AQ210" s="5">
        <f>IF(AND(AM210,ISNUMBER(AP210)),(AN210-AP210)^2,"")</f>
        <v/>
      </c>
      <c r="AR210" s="5">
        <f>IF(AM210,1+SUMPRODUCT(--(calc!$AM$3:$AM$306=TRUE),--(calc!$AN$3:$AN$306&gt;AN210))+(SUMPRODUCT(--(calc!$AM$3:$AM$306=TRUE),--(calc!$AN$3:$AN$306=AN210))-1)/2,"")</f>
        <v/>
      </c>
      <c r="AS210" s="5">
        <f>IF(AM210,1+SUMPRODUCT(--(calc!$AM$3:$AM$306=TRUE),--(calc!$AO$3:$AO$306&gt;AO210))+(SUMPRODUCT(--(calc!$AM$3:$AM$306=TRUE),--(calc!$AO$3:$AO$306=AO210))-1)/2,"")</f>
        <v/>
      </c>
      <c r="AT210" s="5">
        <f>IF(AM210,SUMPRODUCT(--(calc!$AM$3:$AM$306=TRUE),--(ROW(calc!$AM$3:$AM$306)&gt;ROW(AM210)),--(((calc!$AR$3:$AR$306&gt;AR210)*(calc!$AS$3:$AS$306&gt;AS210)+(calc!$AR$3:$AR$306&lt;AR210)*(calc!$AS$3:$AS$306&lt;AS210))&gt;0))-SUMPRODUCT(--(calc!$AM$3:$AM$306=TRUE),--(ROW(calc!$AM$3:$AM$306)&gt;ROW(AM210)),--(((calc!$AR$3:$AR$306&gt;AR210)*(calc!$AS$3:$AS$306&lt;AS210)+(calc!$AR$3:$AR$306&lt;AR210)*(calc!$AS$3:$AS$306&gt;AS210))&gt;0)),0)</f>
        <v/>
      </c>
      <c r="AU210" s="5">
        <f>IF(mos_metrics!K209="","",mos_metrics!K209)</f>
        <v/>
      </c>
      <c r="AV210" s="2">
        <f>AND($J210,ISNUMBER(AU210),correlation!$I$30=1)</f>
        <v/>
      </c>
      <c r="AW210" s="5">
        <f>IF(AV210,$F210,"")</f>
        <v/>
      </c>
      <c r="AX210" s="5">
        <f>IF(AV210,AU210*correlation!$J$30,"")</f>
        <v/>
      </c>
      <c r="AY210" s="5">
        <f>IF(AND(AV210,ISNUMBER(correlation!$F$30)),AX210*correlation!$F$30+correlation!$G$30,"")</f>
        <v/>
      </c>
      <c r="AZ210" s="5">
        <f>IF(AND(AV210,ISNUMBER(AY210)),(AW210-AY210)^2,"")</f>
        <v/>
      </c>
      <c r="BA210" s="5">
        <f>IF(AV210,1+SUMPRODUCT(--(calc!$AV$3:$AV$306=TRUE),--(calc!$AW$3:$AW$306&gt;AW210))+(SUMPRODUCT(--(calc!$AV$3:$AV$306=TRUE),--(calc!$AW$3:$AW$306=AW210))-1)/2,"")</f>
        <v/>
      </c>
      <c r="BB210" s="5">
        <f>IF(AV210,1+SUMPRODUCT(--(calc!$AV$3:$AV$306=TRUE),--(calc!$AX$3:$AX$306&gt;AX210))+(SUMPRODUCT(--(calc!$AV$3:$AV$306=TRUE),--(calc!$AX$3:$AX$306=AX210))-1)/2,"")</f>
        <v/>
      </c>
      <c r="BC210" s="5">
        <f>IF(AV210,SUMPRODUCT(--(calc!$AV$3:$AV$306=TRUE),--(ROW(calc!$AV$3:$AV$306)&gt;ROW(AV210)),--(((calc!$BA$3:$BA$306&gt;BA210)*(calc!$BB$3:$BB$306&gt;BB210)+(calc!$BA$3:$BA$306&lt;BA210)*(calc!$BB$3:$BB$306&lt;BB210))&gt;0))-SUMPRODUCT(--(calc!$AV$3:$AV$306=TRUE),--(ROW(calc!$AV$3:$AV$306)&gt;ROW(AV210)),--(((calc!$BA$3:$BA$306&gt;BA210)*(calc!$BB$3:$BB$306&lt;BB210)+(calc!$BA$3:$BA$306&lt;BA210)*(calc!$BB$3:$BB$306&gt;BB210))&gt;0)),0)</f>
        <v/>
      </c>
      <c r="BD210" s="5">
        <f>IF(mos_metrics!L209="","",mos_metrics!L209)</f>
        <v/>
      </c>
      <c r="BE210" s="2">
        <f>AND($J210,ISNUMBER(BD210),correlation!$I$31=1)</f>
        <v/>
      </c>
      <c r="BF210" s="5">
        <f>IF(BE210,$F210,"")</f>
        <v/>
      </c>
      <c r="BG210" s="5">
        <f>IF(BE210,BD210*correlation!$J$31,"")</f>
        <v/>
      </c>
      <c r="BH210" s="5">
        <f>IF(AND(BE210,ISNUMBER(correlation!$F$31)),BG210*correlation!$F$31+correlation!$G$31,"")</f>
        <v/>
      </c>
      <c r="BI210" s="5">
        <f>IF(AND(BE210,ISNUMBER(BH210)),(BF210-BH210)^2,"")</f>
        <v/>
      </c>
      <c r="BJ210" s="5">
        <f>IF(BE210,1+SUMPRODUCT(--(calc!$BE$3:$BE$306=TRUE),--(calc!$BF$3:$BF$306&gt;BF210))+(SUMPRODUCT(--(calc!$BE$3:$BE$306=TRUE),--(calc!$BF$3:$BF$306=BF210))-1)/2,"")</f>
        <v/>
      </c>
      <c r="BK210" s="5">
        <f>IF(BE210,1+SUMPRODUCT(--(calc!$BE$3:$BE$306=TRUE),--(calc!$BG$3:$BG$306&gt;BG210))+(SUMPRODUCT(--(calc!$BE$3:$BE$306=TRUE),--(calc!$BG$3:$BG$306=BG210))-1)/2,"")</f>
        <v/>
      </c>
      <c r="BL210" s="5">
        <f>IF(BE210,SUMPRODUCT(--(calc!$BE$3:$BE$306=TRUE),--(ROW(calc!$BE$3:$BE$306)&gt;ROW(BE210)),--(((calc!$BJ$3:$BJ$306&gt;BJ210)*(calc!$BK$3:$BK$306&gt;BK210)+(calc!$BJ$3:$BJ$306&lt;BJ210)*(calc!$BK$3:$BK$306&lt;BK210))&gt;0))-SUMPRODUCT(--(calc!$BE$3:$BE$306=TRUE),--(ROW(calc!$BE$3:$BE$306)&gt;ROW(BE210)),--(((calc!$BJ$3:$BJ$306&gt;BJ210)*(calc!$BK$3:$BK$306&lt;BK210)+(calc!$BJ$3:$BJ$306&lt;BJ210)*(calc!$BK$3:$BK$306&gt;BK210))&gt;0)),0)</f>
        <v/>
      </c>
      <c r="BM210" s="5">
        <f>IF(mos_metrics!M209="","",mos_metrics!M209)</f>
        <v/>
      </c>
      <c r="BN210" s="2">
        <f>AND($J210,ISNUMBER(BM210),correlation!$I$32=1)</f>
        <v/>
      </c>
      <c r="BO210" s="5">
        <f>IF(BN210,$F210,"")</f>
        <v/>
      </c>
      <c r="BP210" s="5">
        <f>IF(BN210,BM210*correlation!$J$32,"")</f>
        <v/>
      </c>
      <c r="BQ210" s="5">
        <f>IF(AND(BN210,ISNUMBER(correlation!$F$32)),BP210*correlation!$F$32+correlation!$G$32,"")</f>
        <v/>
      </c>
      <c r="BR210" s="5">
        <f>IF(AND(BN210,ISNUMBER(BQ210)),(BO210-BQ210)^2,"")</f>
        <v/>
      </c>
      <c r="BS210" s="5">
        <f>IF(BN210,1+SUMPRODUCT(--(calc!$BN$3:$BN$306=TRUE),--(calc!$BO$3:$BO$306&gt;BO210))+(SUMPRODUCT(--(calc!$BN$3:$BN$306=TRUE),--(calc!$BO$3:$BO$306=BO210))-1)/2,"")</f>
        <v/>
      </c>
      <c r="BT210" s="5">
        <f>IF(BN210,1+SUMPRODUCT(--(calc!$BN$3:$BN$306=TRUE),--(calc!$BP$3:$BP$306&gt;BP210))+(SUMPRODUCT(--(calc!$BN$3:$BN$306=TRUE),--(calc!$BP$3:$BP$306=BP210))-1)/2,"")</f>
        <v/>
      </c>
      <c r="BU210" s="5">
        <f>IF(BN210,SUMPRODUCT(--(calc!$BN$3:$BN$306=TRUE),--(ROW(calc!$BN$3:$BN$306)&gt;ROW(BN210)),--(((calc!$BS$3:$BS$306&gt;BS210)*(calc!$BT$3:$BT$306&gt;BT210)+(calc!$BS$3:$BS$306&lt;BS210)*(calc!$BT$3:$BT$306&lt;BT210))&gt;0))-SUMPRODUCT(--(calc!$BN$3:$BN$306=TRUE),--(ROW(calc!$BN$3:$BN$306)&gt;ROW(BN210)),--(((calc!$BS$3:$BS$306&gt;BS210)*(calc!$BT$3:$BT$306&lt;BT210)+(calc!$BS$3:$BS$306&lt;BS210)*(calc!$BT$3:$BT$306&gt;BT210))&gt;0)),0)</f>
        <v/>
      </c>
    </row>
    <row r="211">
      <c r="A211" s="2">
        <f>mos_metrics!A210</f>
        <v/>
      </c>
      <c r="B211" s="2">
        <f>mos_metrics!B210</f>
        <v/>
      </c>
      <c r="C211" s="2">
        <f>mos_metrics!C210</f>
        <v/>
      </c>
      <c r="D211" s="2">
        <f>mos_metrics!D210</f>
        <v/>
      </c>
      <c r="E211" s="2">
        <f>mos_metrics!E210</f>
        <v/>
      </c>
      <c r="F211" s="2">
        <f>mos_metrics!F210</f>
        <v/>
      </c>
      <c r="G211" s="2">
        <f>IF($B211="","",IFERROR(VLOOKUP($B211,correlation!$A$2:$B$16,2,FALSE),1))</f>
        <v/>
      </c>
      <c r="H211" s="2">
        <f>IF($E211="","",IFERROR(VLOOKUP($E211,correlation!$D$2:$E$8,2,FALSE),1))</f>
        <v/>
      </c>
      <c r="I211" s="2">
        <f>ISNUMBER($F211)</f>
        <v/>
      </c>
      <c r="J211" s="2">
        <f>AND($G211=1,$H211=1,$I211)</f>
        <v/>
      </c>
      <c r="K211" s="5">
        <f>IF(mos_metrics!G210="","",mos_metrics!G210)</f>
        <v/>
      </c>
      <c r="L211" s="2">
        <f>AND($J211,ISNUMBER(K211),correlation!$I$26=1)</f>
        <v/>
      </c>
      <c r="M211" s="5">
        <f>IF(L211,$F211,"")</f>
        <v/>
      </c>
      <c r="N211" s="5">
        <f>IF(L211,K211*correlation!$J$26,"")</f>
        <v/>
      </c>
      <c r="O211" s="5">
        <f>IF(AND(L211,ISNUMBER(correlation!$F$26)),N211*correlation!$F$26+correlation!$G$26,"")</f>
        <v/>
      </c>
      <c r="P211" s="5">
        <f>IF(AND(L211,ISNUMBER(O211)),(M211-O211)^2,"")</f>
        <v/>
      </c>
      <c r="Q211" s="5">
        <f>IF(L211,1+SUMPRODUCT(--(calc!$L$3:$L$306=TRUE),--(calc!$M$3:$M$306&gt;M211))+(SUMPRODUCT(--(calc!$L$3:$L$306=TRUE),--(calc!$M$3:$M$306=M211))-1)/2,"")</f>
        <v/>
      </c>
      <c r="R211" s="5">
        <f>IF(L211,1+SUMPRODUCT(--(calc!$L$3:$L$306=TRUE),--(calc!$N$3:$N$306&gt;N211))+(SUMPRODUCT(--(calc!$L$3:$L$306=TRUE),--(calc!$N$3:$N$306=N211))-1)/2,"")</f>
        <v/>
      </c>
      <c r="S211" s="5">
        <f>IF(L211,SUMPRODUCT(--(calc!$L$3:$L$306=TRUE),--(ROW(calc!$L$3:$L$306)&gt;ROW(L211)),--(((calc!$Q$3:$Q$306&gt;Q211)*(calc!$R$3:$R$306&gt;R211)+(calc!$Q$3:$Q$306&lt;Q211)*(calc!$R$3:$R$306&lt;R211))&gt;0))-SUMPRODUCT(--(calc!$L$3:$L$306=TRUE),--(ROW(calc!$L$3:$L$306)&gt;ROW(L211)),--(((calc!$Q$3:$Q$306&gt;Q211)*(calc!$R$3:$R$306&lt;R211)+(calc!$Q$3:$Q$306&lt;Q211)*(calc!$R$3:$R$306&gt;R211))&gt;0)),0)</f>
        <v/>
      </c>
      <c r="T211" s="5">
        <f>IF(mos_metrics!H210="","",mos_metrics!H210)</f>
        <v/>
      </c>
      <c r="U211" s="2">
        <f>AND($J211,ISNUMBER(T211),correlation!$I$27=1)</f>
        <v/>
      </c>
      <c r="V211" s="5">
        <f>IF(U211,$F211,"")</f>
        <v/>
      </c>
      <c r="W211" s="5">
        <f>IF(U211,T211*correlation!$J$27,"")</f>
        <v/>
      </c>
      <c r="X211" s="5">
        <f>IF(AND(U211,ISNUMBER(correlation!$F$27)),W211*correlation!$F$27+correlation!$G$27,"")</f>
        <v/>
      </c>
      <c r="Y211" s="5">
        <f>IF(AND(U211,ISNUMBER(X211)),(V211-X211)^2,"")</f>
        <v/>
      </c>
      <c r="Z211" s="5">
        <f>IF(U211,1+SUMPRODUCT(--(calc!$U$3:$U$306=TRUE),--(calc!$V$3:$V$306&gt;V211))+(SUMPRODUCT(--(calc!$U$3:$U$306=TRUE),--(calc!$V$3:$V$306=V211))-1)/2,"")</f>
        <v/>
      </c>
      <c r="AA211" s="5">
        <f>IF(U211,1+SUMPRODUCT(--(calc!$U$3:$U$306=TRUE),--(calc!$W$3:$W$306&gt;W211))+(SUMPRODUCT(--(calc!$U$3:$U$306=TRUE),--(calc!$W$3:$W$306=W211))-1)/2,"")</f>
        <v/>
      </c>
      <c r="AB211" s="5">
        <f>IF(U211,SUMPRODUCT(--(calc!$U$3:$U$306=TRUE),--(ROW(calc!$U$3:$U$306)&gt;ROW(U211)),--(((calc!$Z$3:$Z$306&gt;Z211)*(calc!$AA$3:$AA$306&gt;AA211)+(calc!$Z$3:$Z$306&lt;Z211)*(calc!$AA$3:$AA$306&lt;AA211))&gt;0))-SUMPRODUCT(--(calc!$U$3:$U$306=TRUE),--(ROW(calc!$U$3:$U$306)&gt;ROW(U211)),--(((calc!$Z$3:$Z$306&gt;Z211)*(calc!$AA$3:$AA$306&lt;AA211)+(calc!$Z$3:$Z$306&lt;Z211)*(calc!$AA$3:$AA$306&gt;AA211))&gt;0)),0)</f>
        <v/>
      </c>
      <c r="AC211" s="5">
        <f>IF(mos_metrics!I210="","",mos_metrics!I210)</f>
        <v/>
      </c>
      <c r="AD211" s="2">
        <f>AND($J211,ISNUMBER(AC211),correlation!$I$28=1)</f>
        <v/>
      </c>
      <c r="AE211" s="5">
        <f>IF(AD211,$F211,"")</f>
        <v/>
      </c>
      <c r="AF211" s="5">
        <f>IF(AD211,AC211*correlation!$J$28,"")</f>
        <v/>
      </c>
      <c r="AG211" s="5">
        <f>IF(AND(AD211,ISNUMBER(correlation!$F$28)),AF211*correlation!$F$28+correlation!$G$28,"")</f>
        <v/>
      </c>
      <c r="AH211" s="5">
        <f>IF(AND(AD211,ISNUMBER(AG211)),(AE211-AG211)^2,"")</f>
        <v/>
      </c>
      <c r="AI211" s="5">
        <f>IF(AD211,1+SUMPRODUCT(--(calc!$AD$3:$AD$306=TRUE),--(calc!$AE$3:$AE$306&gt;AE211))+(SUMPRODUCT(--(calc!$AD$3:$AD$306=TRUE),--(calc!$AE$3:$AE$306=AE211))-1)/2,"")</f>
        <v/>
      </c>
      <c r="AJ211" s="5">
        <f>IF(AD211,1+SUMPRODUCT(--(calc!$AD$3:$AD$306=TRUE),--(calc!$AF$3:$AF$306&gt;AF211))+(SUMPRODUCT(--(calc!$AD$3:$AD$306=TRUE),--(calc!$AF$3:$AF$306=AF211))-1)/2,"")</f>
        <v/>
      </c>
      <c r="AK211" s="5">
        <f>IF(AD211,SUMPRODUCT(--(calc!$AD$3:$AD$306=TRUE),--(ROW(calc!$AD$3:$AD$306)&gt;ROW(AD211)),--(((calc!$AI$3:$AI$306&gt;AI211)*(calc!$AJ$3:$AJ$306&gt;AJ211)+(calc!$AI$3:$AI$306&lt;AI211)*(calc!$AJ$3:$AJ$306&lt;AJ211))&gt;0))-SUMPRODUCT(--(calc!$AD$3:$AD$306=TRUE),--(ROW(calc!$AD$3:$AD$306)&gt;ROW(AD211)),--(((calc!$AI$3:$AI$306&gt;AI211)*(calc!$AJ$3:$AJ$306&lt;AJ211)+(calc!$AI$3:$AI$306&lt;AI211)*(calc!$AJ$3:$AJ$306&gt;AJ211))&gt;0)),0)</f>
        <v/>
      </c>
      <c r="AL211" s="5">
        <f>IF(mos_metrics!J210="","",mos_metrics!J210)</f>
        <v/>
      </c>
      <c r="AM211" s="2">
        <f>AND($J211,ISNUMBER(AL211),correlation!$I$29=1)</f>
        <v/>
      </c>
      <c r="AN211" s="5">
        <f>IF(AM211,$F211,"")</f>
        <v/>
      </c>
      <c r="AO211" s="5">
        <f>IF(AM211,AL211*correlation!$J$29,"")</f>
        <v/>
      </c>
      <c r="AP211" s="5">
        <f>IF(AND(AM211,ISNUMBER(correlation!$F$29)),AO211*correlation!$F$29+correlation!$G$29,"")</f>
        <v/>
      </c>
      <c r="AQ211" s="5">
        <f>IF(AND(AM211,ISNUMBER(AP211)),(AN211-AP211)^2,"")</f>
        <v/>
      </c>
      <c r="AR211" s="5">
        <f>IF(AM211,1+SUMPRODUCT(--(calc!$AM$3:$AM$306=TRUE),--(calc!$AN$3:$AN$306&gt;AN211))+(SUMPRODUCT(--(calc!$AM$3:$AM$306=TRUE),--(calc!$AN$3:$AN$306=AN211))-1)/2,"")</f>
        <v/>
      </c>
      <c r="AS211" s="5">
        <f>IF(AM211,1+SUMPRODUCT(--(calc!$AM$3:$AM$306=TRUE),--(calc!$AO$3:$AO$306&gt;AO211))+(SUMPRODUCT(--(calc!$AM$3:$AM$306=TRUE),--(calc!$AO$3:$AO$306=AO211))-1)/2,"")</f>
        <v/>
      </c>
      <c r="AT211" s="5">
        <f>IF(AM211,SUMPRODUCT(--(calc!$AM$3:$AM$306=TRUE),--(ROW(calc!$AM$3:$AM$306)&gt;ROW(AM211)),--(((calc!$AR$3:$AR$306&gt;AR211)*(calc!$AS$3:$AS$306&gt;AS211)+(calc!$AR$3:$AR$306&lt;AR211)*(calc!$AS$3:$AS$306&lt;AS211))&gt;0))-SUMPRODUCT(--(calc!$AM$3:$AM$306=TRUE),--(ROW(calc!$AM$3:$AM$306)&gt;ROW(AM211)),--(((calc!$AR$3:$AR$306&gt;AR211)*(calc!$AS$3:$AS$306&lt;AS211)+(calc!$AR$3:$AR$306&lt;AR211)*(calc!$AS$3:$AS$306&gt;AS211))&gt;0)),0)</f>
        <v/>
      </c>
      <c r="AU211" s="5">
        <f>IF(mos_metrics!K210="","",mos_metrics!K210)</f>
        <v/>
      </c>
      <c r="AV211" s="2">
        <f>AND($J211,ISNUMBER(AU211),correlation!$I$30=1)</f>
        <v/>
      </c>
      <c r="AW211" s="5">
        <f>IF(AV211,$F211,"")</f>
        <v/>
      </c>
      <c r="AX211" s="5">
        <f>IF(AV211,AU211*correlation!$J$30,"")</f>
        <v/>
      </c>
      <c r="AY211" s="5">
        <f>IF(AND(AV211,ISNUMBER(correlation!$F$30)),AX211*correlation!$F$30+correlation!$G$30,"")</f>
        <v/>
      </c>
      <c r="AZ211" s="5">
        <f>IF(AND(AV211,ISNUMBER(AY211)),(AW211-AY211)^2,"")</f>
        <v/>
      </c>
      <c r="BA211" s="5">
        <f>IF(AV211,1+SUMPRODUCT(--(calc!$AV$3:$AV$306=TRUE),--(calc!$AW$3:$AW$306&gt;AW211))+(SUMPRODUCT(--(calc!$AV$3:$AV$306=TRUE),--(calc!$AW$3:$AW$306=AW211))-1)/2,"")</f>
        <v/>
      </c>
      <c r="BB211" s="5">
        <f>IF(AV211,1+SUMPRODUCT(--(calc!$AV$3:$AV$306=TRUE),--(calc!$AX$3:$AX$306&gt;AX211))+(SUMPRODUCT(--(calc!$AV$3:$AV$306=TRUE),--(calc!$AX$3:$AX$306=AX211))-1)/2,"")</f>
        <v/>
      </c>
      <c r="BC211" s="5">
        <f>IF(AV211,SUMPRODUCT(--(calc!$AV$3:$AV$306=TRUE),--(ROW(calc!$AV$3:$AV$306)&gt;ROW(AV211)),--(((calc!$BA$3:$BA$306&gt;BA211)*(calc!$BB$3:$BB$306&gt;BB211)+(calc!$BA$3:$BA$306&lt;BA211)*(calc!$BB$3:$BB$306&lt;BB211))&gt;0))-SUMPRODUCT(--(calc!$AV$3:$AV$306=TRUE),--(ROW(calc!$AV$3:$AV$306)&gt;ROW(AV211)),--(((calc!$BA$3:$BA$306&gt;BA211)*(calc!$BB$3:$BB$306&lt;BB211)+(calc!$BA$3:$BA$306&lt;BA211)*(calc!$BB$3:$BB$306&gt;BB211))&gt;0)),0)</f>
        <v/>
      </c>
      <c r="BD211" s="5">
        <f>IF(mos_metrics!L210="","",mos_metrics!L210)</f>
        <v/>
      </c>
      <c r="BE211" s="2">
        <f>AND($J211,ISNUMBER(BD211),correlation!$I$31=1)</f>
        <v/>
      </c>
      <c r="BF211" s="5">
        <f>IF(BE211,$F211,"")</f>
        <v/>
      </c>
      <c r="BG211" s="5">
        <f>IF(BE211,BD211*correlation!$J$31,"")</f>
        <v/>
      </c>
      <c r="BH211" s="5">
        <f>IF(AND(BE211,ISNUMBER(correlation!$F$31)),BG211*correlation!$F$31+correlation!$G$31,"")</f>
        <v/>
      </c>
      <c r="BI211" s="5">
        <f>IF(AND(BE211,ISNUMBER(BH211)),(BF211-BH211)^2,"")</f>
        <v/>
      </c>
      <c r="BJ211" s="5">
        <f>IF(BE211,1+SUMPRODUCT(--(calc!$BE$3:$BE$306=TRUE),--(calc!$BF$3:$BF$306&gt;BF211))+(SUMPRODUCT(--(calc!$BE$3:$BE$306=TRUE),--(calc!$BF$3:$BF$306=BF211))-1)/2,"")</f>
        <v/>
      </c>
      <c r="BK211" s="5">
        <f>IF(BE211,1+SUMPRODUCT(--(calc!$BE$3:$BE$306=TRUE),--(calc!$BG$3:$BG$306&gt;BG211))+(SUMPRODUCT(--(calc!$BE$3:$BE$306=TRUE),--(calc!$BG$3:$BG$306=BG211))-1)/2,"")</f>
        <v/>
      </c>
      <c r="BL211" s="5">
        <f>IF(BE211,SUMPRODUCT(--(calc!$BE$3:$BE$306=TRUE),--(ROW(calc!$BE$3:$BE$306)&gt;ROW(BE211)),--(((calc!$BJ$3:$BJ$306&gt;BJ211)*(calc!$BK$3:$BK$306&gt;BK211)+(calc!$BJ$3:$BJ$306&lt;BJ211)*(calc!$BK$3:$BK$306&lt;BK211))&gt;0))-SUMPRODUCT(--(calc!$BE$3:$BE$306=TRUE),--(ROW(calc!$BE$3:$BE$306)&gt;ROW(BE211)),--(((calc!$BJ$3:$BJ$306&gt;BJ211)*(calc!$BK$3:$BK$306&lt;BK211)+(calc!$BJ$3:$BJ$306&lt;BJ211)*(calc!$BK$3:$BK$306&gt;BK211))&gt;0)),0)</f>
        <v/>
      </c>
      <c r="BM211" s="5">
        <f>IF(mos_metrics!M210="","",mos_metrics!M210)</f>
        <v/>
      </c>
      <c r="BN211" s="2">
        <f>AND($J211,ISNUMBER(BM211),correlation!$I$32=1)</f>
        <v/>
      </c>
      <c r="BO211" s="5">
        <f>IF(BN211,$F211,"")</f>
        <v/>
      </c>
      <c r="BP211" s="5">
        <f>IF(BN211,BM211*correlation!$J$32,"")</f>
        <v/>
      </c>
      <c r="BQ211" s="5">
        <f>IF(AND(BN211,ISNUMBER(correlation!$F$32)),BP211*correlation!$F$32+correlation!$G$32,"")</f>
        <v/>
      </c>
      <c r="BR211" s="5">
        <f>IF(AND(BN211,ISNUMBER(BQ211)),(BO211-BQ211)^2,"")</f>
        <v/>
      </c>
      <c r="BS211" s="5">
        <f>IF(BN211,1+SUMPRODUCT(--(calc!$BN$3:$BN$306=TRUE),--(calc!$BO$3:$BO$306&gt;BO211))+(SUMPRODUCT(--(calc!$BN$3:$BN$306=TRUE),--(calc!$BO$3:$BO$306=BO211))-1)/2,"")</f>
        <v/>
      </c>
      <c r="BT211" s="5">
        <f>IF(BN211,1+SUMPRODUCT(--(calc!$BN$3:$BN$306=TRUE),--(calc!$BP$3:$BP$306&gt;BP211))+(SUMPRODUCT(--(calc!$BN$3:$BN$306=TRUE),--(calc!$BP$3:$BP$306=BP211))-1)/2,"")</f>
        <v/>
      </c>
      <c r="BU211" s="5">
        <f>IF(BN211,SUMPRODUCT(--(calc!$BN$3:$BN$306=TRUE),--(ROW(calc!$BN$3:$BN$306)&gt;ROW(BN211)),--(((calc!$BS$3:$BS$306&gt;BS211)*(calc!$BT$3:$BT$306&gt;BT211)+(calc!$BS$3:$BS$306&lt;BS211)*(calc!$BT$3:$BT$306&lt;BT211))&gt;0))-SUMPRODUCT(--(calc!$BN$3:$BN$306=TRUE),--(ROW(calc!$BN$3:$BN$306)&gt;ROW(BN211)),--(((calc!$BS$3:$BS$306&gt;BS211)*(calc!$BT$3:$BT$306&lt;BT211)+(calc!$BS$3:$BS$306&lt;BS211)*(calc!$BT$3:$BT$306&gt;BT211))&gt;0)),0)</f>
        <v/>
      </c>
    </row>
    <row r="212">
      <c r="A212" s="2">
        <f>mos_metrics!A211</f>
        <v/>
      </c>
      <c r="B212" s="2">
        <f>mos_metrics!B211</f>
        <v/>
      </c>
      <c r="C212" s="2">
        <f>mos_metrics!C211</f>
        <v/>
      </c>
      <c r="D212" s="2">
        <f>mos_metrics!D211</f>
        <v/>
      </c>
      <c r="E212" s="2">
        <f>mos_metrics!E211</f>
        <v/>
      </c>
      <c r="F212" s="2">
        <f>mos_metrics!F211</f>
        <v/>
      </c>
      <c r="G212" s="2">
        <f>IF($B212="","",IFERROR(VLOOKUP($B212,correlation!$A$2:$B$16,2,FALSE),1))</f>
        <v/>
      </c>
      <c r="H212" s="2">
        <f>IF($E212="","",IFERROR(VLOOKUP($E212,correlation!$D$2:$E$8,2,FALSE),1))</f>
        <v/>
      </c>
      <c r="I212" s="2">
        <f>ISNUMBER($F212)</f>
        <v/>
      </c>
      <c r="J212" s="2">
        <f>AND($G212=1,$H212=1,$I212)</f>
        <v/>
      </c>
      <c r="K212" s="5">
        <f>IF(mos_metrics!G211="","",mos_metrics!G211)</f>
        <v/>
      </c>
      <c r="L212" s="2">
        <f>AND($J212,ISNUMBER(K212),correlation!$I$26=1)</f>
        <v/>
      </c>
      <c r="M212" s="5">
        <f>IF(L212,$F212,"")</f>
        <v/>
      </c>
      <c r="N212" s="5">
        <f>IF(L212,K212*correlation!$J$26,"")</f>
        <v/>
      </c>
      <c r="O212" s="5">
        <f>IF(AND(L212,ISNUMBER(correlation!$F$26)),N212*correlation!$F$26+correlation!$G$26,"")</f>
        <v/>
      </c>
      <c r="P212" s="5">
        <f>IF(AND(L212,ISNUMBER(O212)),(M212-O212)^2,"")</f>
        <v/>
      </c>
      <c r="Q212" s="5">
        <f>IF(L212,1+SUMPRODUCT(--(calc!$L$3:$L$306=TRUE),--(calc!$M$3:$M$306&gt;M212))+(SUMPRODUCT(--(calc!$L$3:$L$306=TRUE),--(calc!$M$3:$M$306=M212))-1)/2,"")</f>
        <v/>
      </c>
      <c r="R212" s="5">
        <f>IF(L212,1+SUMPRODUCT(--(calc!$L$3:$L$306=TRUE),--(calc!$N$3:$N$306&gt;N212))+(SUMPRODUCT(--(calc!$L$3:$L$306=TRUE),--(calc!$N$3:$N$306=N212))-1)/2,"")</f>
        <v/>
      </c>
      <c r="S212" s="5">
        <f>IF(L212,SUMPRODUCT(--(calc!$L$3:$L$306=TRUE),--(ROW(calc!$L$3:$L$306)&gt;ROW(L212)),--(((calc!$Q$3:$Q$306&gt;Q212)*(calc!$R$3:$R$306&gt;R212)+(calc!$Q$3:$Q$306&lt;Q212)*(calc!$R$3:$R$306&lt;R212))&gt;0))-SUMPRODUCT(--(calc!$L$3:$L$306=TRUE),--(ROW(calc!$L$3:$L$306)&gt;ROW(L212)),--(((calc!$Q$3:$Q$306&gt;Q212)*(calc!$R$3:$R$306&lt;R212)+(calc!$Q$3:$Q$306&lt;Q212)*(calc!$R$3:$R$306&gt;R212))&gt;0)),0)</f>
        <v/>
      </c>
      <c r="T212" s="5">
        <f>IF(mos_metrics!H211="","",mos_metrics!H211)</f>
        <v/>
      </c>
      <c r="U212" s="2">
        <f>AND($J212,ISNUMBER(T212),correlation!$I$27=1)</f>
        <v/>
      </c>
      <c r="V212" s="5">
        <f>IF(U212,$F212,"")</f>
        <v/>
      </c>
      <c r="W212" s="5">
        <f>IF(U212,T212*correlation!$J$27,"")</f>
        <v/>
      </c>
      <c r="X212" s="5">
        <f>IF(AND(U212,ISNUMBER(correlation!$F$27)),W212*correlation!$F$27+correlation!$G$27,"")</f>
        <v/>
      </c>
      <c r="Y212" s="5">
        <f>IF(AND(U212,ISNUMBER(X212)),(V212-X212)^2,"")</f>
        <v/>
      </c>
      <c r="Z212" s="5">
        <f>IF(U212,1+SUMPRODUCT(--(calc!$U$3:$U$306=TRUE),--(calc!$V$3:$V$306&gt;V212))+(SUMPRODUCT(--(calc!$U$3:$U$306=TRUE),--(calc!$V$3:$V$306=V212))-1)/2,"")</f>
        <v/>
      </c>
      <c r="AA212" s="5">
        <f>IF(U212,1+SUMPRODUCT(--(calc!$U$3:$U$306=TRUE),--(calc!$W$3:$W$306&gt;W212))+(SUMPRODUCT(--(calc!$U$3:$U$306=TRUE),--(calc!$W$3:$W$306=W212))-1)/2,"")</f>
        <v/>
      </c>
      <c r="AB212" s="5">
        <f>IF(U212,SUMPRODUCT(--(calc!$U$3:$U$306=TRUE),--(ROW(calc!$U$3:$U$306)&gt;ROW(U212)),--(((calc!$Z$3:$Z$306&gt;Z212)*(calc!$AA$3:$AA$306&gt;AA212)+(calc!$Z$3:$Z$306&lt;Z212)*(calc!$AA$3:$AA$306&lt;AA212))&gt;0))-SUMPRODUCT(--(calc!$U$3:$U$306=TRUE),--(ROW(calc!$U$3:$U$306)&gt;ROW(U212)),--(((calc!$Z$3:$Z$306&gt;Z212)*(calc!$AA$3:$AA$306&lt;AA212)+(calc!$Z$3:$Z$306&lt;Z212)*(calc!$AA$3:$AA$306&gt;AA212))&gt;0)),0)</f>
        <v/>
      </c>
      <c r="AC212" s="5">
        <f>IF(mos_metrics!I211="","",mos_metrics!I211)</f>
        <v/>
      </c>
      <c r="AD212" s="2">
        <f>AND($J212,ISNUMBER(AC212),correlation!$I$28=1)</f>
        <v/>
      </c>
      <c r="AE212" s="5">
        <f>IF(AD212,$F212,"")</f>
        <v/>
      </c>
      <c r="AF212" s="5">
        <f>IF(AD212,AC212*correlation!$J$28,"")</f>
        <v/>
      </c>
      <c r="AG212" s="5">
        <f>IF(AND(AD212,ISNUMBER(correlation!$F$28)),AF212*correlation!$F$28+correlation!$G$28,"")</f>
        <v/>
      </c>
      <c r="AH212" s="5">
        <f>IF(AND(AD212,ISNUMBER(AG212)),(AE212-AG212)^2,"")</f>
        <v/>
      </c>
      <c r="AI212" s="5">
        <f>IF(AD212,1+SUMPRODUCT(--(calc!$AD$3:$AD$306=TRUE),--(calc!$AE$3:$AE$306&gt;AE212))+(SUMPRODUCT(--(calc!$AD$3:$AD$306=TRUE),--(calc!$AE$3:$AE$306=AE212))-1)/2,"")</f>
        <v/>
      </c>
      <c r="AJ212" s="5">
        <f>IF(AD212,1+SUMPRODUCT(--(calc!$AD$3:$AD$306=TRUE),--(calc!$AF$3:$AF$306&gt;AF212))+(SUMPRODUCT(--(calc!$AD$3:$AD$306=TRUE),--(calc!$AF$3:$AF$306=AF212))-1)/2,"")</f>
        <v/>
      </c>
      <c r="AK212" s="5">
        <f>IF(AD212,SUMPRODUCT(--(calc!$AD$3:$AD$306=TRUE),--(ROW(calc!$AD$3:$AD$306)&gt;ROW(AD212)),--(((calc!$AI$3:$AI$306&gt;AI212)*(calc!$AJ$3:$AJ$306&gt;AJ212)+(calc!$AI$3:$AI$306&lt;AI212)*(calc!$AJ$3:$AJ$306&lt;AJ212))&gt;0))-SUMPRODUCT(--(calc!$AD$3:$AD$306=TRUE),--(ROW(calc!$AD$3:$AD$306)&gt;ROW(AD212)),--(((calc!$AI$3:$AI$306&gt;AI212)*(calc!$AJ$3:$AJ$306&lt;AJ212)+(calc!$AI$3:$AI$306&lt;AI212)*(calc!$AJ$3:$AJ$306&gt;AJ212))&gt;0)),0)</f>
        <v/>
      </c>
      <c r="AL212" s="5">
        <f>IF(mos_metrics!J211="","",mos_metrics!J211)</f>
        <v/>
      </c>
      <c r="AM212" s="2">
        <f>AND($J212,ISNUMBER(AL212),correlation!$I$29=1)</f>
        <v/>
      </c>
      <c r="AN212" s="5">
        <f>IF(AM212,$F212,"")</f>
        <v/>
      </c>
      <c r="AO212" s="5">
        <f>IF(AM212,AL212*correlation!$J$29,"")</f>
        <v/>
      </c>
      <c r="AP212" s="5">
        <f>IF(AND(AM212,ISNUMBER(correlation!$F$29)),AO212*correlation!$F$29+correlation!$G$29,"")</f>
        <v/>
      </c>
      <c r="AQ212" s="5">
        <f>IF(AND(AM212,ISNUMBER(AP212)),(AN212-AP212)^2,"")</f>
        <v/>
      </c>
      <c r="AR212" s="5">
        <f>IF(AM212,1+SUMPRODUCT(--(calc!$AM$3:$AM$306=TRUE),--(calc!$AN$3:$AN$306&gt;AN212))+(SUMPRODUCT(--(calc!$AM$3:$AM$306=TRUE),--(calc!$AN$3:$AN$306=AN212))-1)/2,"")</f>
        <v/>
      </c>
      <c r="AS212" s="5">
        <f>IF(AM212,1+SUMPRODUCT(--(calc!$AM$3:$AM$306=TRUE),--(calc!$AO$3:$AO$306&gt;AO212))+(SUMPRODUCT(--(calc!$AM$3:$AM$306=TRUE),--(calc!$AO$3:$AO$306=AO212))-1)/2,"")</f>
        <v/>
      </c>
      <c r="AT212" s="5">
        <f>IF(AM212,SUMPRODUCT(--(calc!$AM$3:$AM$306=TRUE),--(ROW(calc!$AM$3:$AM$306)&gt;ROW(AM212)),--(((calc!$AR$3:$AR$306&gt;AR212)*(calc!$AS$3:$AS$306&gt;AS212)+(calc!$AR$3:$AR$306&lt;AR212)*(calc!$AS$3:$AS$306&lt;AS212))&gt;0))-SUMPRODUCT(--(calc!$AM$3:$AM$306=TRUE),--(ROW(calc!$AM$3:$AM$306)&gt;ROW(AM212)),--(((calc!$AR$3:$AR$306&gt;AR212)*(calc!$AS$3:$AS$306&lt;AS212)+(calc!$AR$3:$AR$306&lt;AR212)*(calc!$AS$3:$AS$306&gt;AS212))&gt;0)),0)</f>
        <v/>
      </c>
      <c r="AU212" s="5">
        <f>IF(mos_metrics!K211="","",mos_metrics!K211)</f>
        <v/>
      </c>
      <c r="AV212" s="2">
        <f>AND($J212,ISNUMBER(AU212),correlation!$I$30=1)</f>
        <v/>
      </c>
      <c r="AW212" s="5">
        <f>IF(AV212,$F212,"")</f>
        <v/>
      </c>
      <c r="AX212" s="5">
        <f>IF(AV212,AU212*correlation!$J$30,"")</f>
        <v/>
      </c>
      <c r="AY212" s="5">
        <f>IF(AND(AV212,ISNUMBER(correlation!$F$30)),AX212*correlation!$F$30+correlation!$G$30,"")</f>
        <v/>
      </c>
      <c r="AZ212" s="5">
        <f>IF(AND(AV212,ISNUMBER(AY212)),(AW212-AY212)^2,"")</f>
        <v/>
      </c>
      <c r="BA212" s="5">
        <f>IF(AV212,1+SUMPRODUCT(--(calc!$AV$3:$AV$306=TRUE),--(calc!$AW$3:$AW$306&gt;AW212))+(SUMPRODUCT(--(calc!$AV$3:$AV$306=TRUE),--(calc!$AW$3:$AW$306=AW212))-1)/2,"")</f>
        <v/>
      </c>
      <c r="BB212" s="5">
        <f>IF(AV212,1+SUMPRODUCT(--(calc!$AV$3:$AV$306=TRUE),--(calc!$AX$3:$AX$306&gt;AX212))+(SUMPRODUCT(--(calc!$AV$3:$AV$306=TRUE),--(calc!$AX$3:$AX$306=AX212))-1)/2,"")</f>
        <v/>
      </c>
      <c r="BC212" s="5">
        <f>IF(AV212,SUMPRODUCT(--(calc!$AV$3:$AV$306=TRUE),--(ROW(calc!$AV$3:$AV$306)&gt;ROW(AV212)),--(((calc!$BA$3:$BA$306&gt;BA212)*(calc!$BB$3:$BB$306&gt;BB212)+(calc!$BA$3:$BA$306&lt;BA212)*(calc!$BB$3:$BB$306&lt;BB212))&gt;0))-SUMPRODUCT(--(calc!$AV$3:$AV$306=TRUE),--(ROW(calc!$AV$3:$AV$306)&gt;ROW(AV212)),--(((calc!$BA$3:$BA$306&gt;BA212)*(calc!$BB$3:$BB$306&lt;BB212)+(calc!$BA$3:$BA$306&lt;BA212)*(calc!$BB$3:$BB$306&gt;BB212))&gt;0)),0)</f>
        <v/>
      </c>
      <c r="BD212" s="5">
        <f>IF(mos_metrics!L211="","",mos_metrics!L211)</f>
        <v/>
      </c>
      <c r="BE212" s="2">
        <f>AND($J212,ISNUMBER(BD212),correlation!$I$31=1)</f>
        <v/>
      </c>
      <c r="BF212" s="5">
        <f>IF(BE212,$F212,"")</f>
        <v/>
      </c>
      <c r="BG212" s="5">
        <f>IF(BE212,BD212*correlation!$J$31,"")</f>
        <v/>
      </c>
      <c r="BH212" s="5">
        <f>IF(AND(BE212,ISNUMBER(correlation!$F$31)),BG212*correlation!$F$31+correlation!$G$31,"")</f>
        <v/>
      </c>
      <c r="BI212" s="5">
        <f>IF(AND(BE212,ISNUMBER(BH212)),(BF212-BH212)^2,"")</f>
        <v/>
      </c>
      <c r="BJ212" s="5">
        <f>IF(BE212,1+SUMPRODUCT(--(calc!$BE$3:$BE$306=TRUE),--(calc!$BF$3:$BF$306&gt;BF212))+(SUMPRODUCT(--(calc!$BE$3:$BE$306=TRUE),--(calc!$BF$3:$BF$306=BF212))-1)/2,"")</f>
        <v/>
      </c>
      <c r="BK212" s="5">
        <f>IF(BE212,1+SUMPRODUCT(--(calc!$BE$3:$BE$306=TRUE),--(calc!$BG$3:$BG$306&gt;BG212))+(SUMPRODUCT(--(calc!$BE$3:$BE$306=TRUE),--(calc!$BG$3:$BG$306=BG212))-1)/2,"")</f>
        <v/>
      </c>
      <c r="BL212" s="5">
        <f>IF(BE212,SUMPRODUCT(--(calc!$BE$3:$BE$306=TRUE),--(ROW(calc!$BE$3:$BE$306)&gt;ROW(BE212)),--(((calc!$BJ$3:$BJ$306&gt;BJ212)*(calc!$BK$3:$BK$306&gt;BK212)+(calc!$BJ$3:$BJ$306&lt;BJ212)*(calc!$BK$3:$BK$306&lt;BK212))&gt;0))-SUMPRODUCT(--(calc!$BE$3:$BE$306=TRUE),--(ROW(calc!$BE$3:$BE$306)&gt;ROW(BE212)),--(((calc!$BJ$3:$BJ$306&gt;BJ212)*(calc!$BK$3:$BK$306&lt;BK212)+(calc!$BJ$3:$BJ$306&lt;BJ212)*(calc!$BK$3:$BK$306&gt;BK212))&gt;0)),0)</f>
        <v/>
      </c>
      <c r="BM212" s="5">
        <f>IF(mos_metrics!M211="","",mos_metrics!M211)</f>
        <v/>
      </c>
      <c r="BN212" s="2">
        <f>AND($J212,ISNUMBER(BM212),correlation!$I$32=1)</f>
        <v/>
      </c>
      <c r="BO212" s="5">
        <f>IF(BN212,$F212,"")</f>
        <v/>
      </c>
      <c r="BP212" s="5">
        <f>IF(BN212,BM212*correlation!$J$32,"")</f>
        <v/>
      </c>
      <c r="BQ212" s="5">
        <f>IF(AND(BN212,ISNUMBER(correlation!$F$32)),BP212*correlation!$F$32+correlation!$G$32,"")</f>
        <v/>
      </c>
      <c r="BR212" s="5">
        <f>IF(AND(BN212,ISNUMBER(BQ212)),(BO212-BQ212)^2,"")</f>
        <v/>
      </c>
      <c r="BS212" s="5">
        <f>IF(BN212,1+SUMPRODUCT(--(calc!$BN$3:$BN$306=TRUE),--(calc!$BO$3:$BO$306&gt;BO212))+(SUMPRODUCT(--(calc!$BN$3:$BN$306=TRUE),--(calc!$BO$3:$BO$306=BO212))-1)/2,"")</f>
        <v/>
      </c>
      <c r="BT212" s="5">
        <f>IF(BN212,1+SUMPRODUCT(--(calc!$BN$3:$BN$306=TRUE),--(calc!$BP$3:$BP$306&gt;BP212))+(SUMPRODUCT(--(calc!$BN$3:$BN$306=TRUE),--(calc!$BP$3:$BP$306=BP212))-1)/2,"")</f>
        <v/>
      </c>
      <c r="BU212" s="5">
        <f>IF(BN212,SUMPRODUCT(--(calc!$BN$3:$BN$306=TRUE),--(ROW(calc!$BN$3:$BN$306)&gt;ROW(BN212)),--(((calc!$BS$3:$BS$306&gt;BS212)*(calc!$BT$3:$BT$306&gt;BT212)+(calc!$BS$3:$BS$306&lt;BS212)*(calc!$BT$3:$BT$306&lt;BT212))&gt;0))-SUMPRODUCT(--(calc!$BN$3:$BN$306=TRUE),--(ROW(calc!$BN$3:$BN$306)&gt;ROW(BN212)),--(((calc!$BS$3:$BS$306&gt;BS212)*(calc!$BT$3:$BT$306&lt;BT212)+(calc!$BS$3:$BS$306&lt;BS212)*(calc!$BT$3:$BT$306&gt;BT212))&gt;0)),0)</f>
        <v/>
      </c>
    </row>
    <row r="213">
      <c r="A213" s="2">
        <f>mos_metrics!A212</f>
        <v/>
      </c>
      <c r="B213" s="2">
        <f>mos_metrics!B212</f>
        <v/>
      </c>
      <c r="C213" s="2">
        <f>mos_metrics!C212</f>
        <v/>
      </c>
      <c r="D213" s="2">
        <f>mos_metrics!D212</f>
        <v/>
      </c>
      <c r="E213" s="2">
        <f>mos_metrics!E212</f>
        <v/>
      </c>
      <c r="F213" s="2">
        <f>mos_metrics!F212</f>
        <v/>
      </c>
      <c r="G213" s="2">
        <f>IF($B213="","",IFERROR(VLOOKUP($B213,correlation!$A$2:$B$16,2,FALSE),1))</f>
        <v/>
      </c>
      <c r="H213" s="2">
        <f>IF($E213="","",IFERROR(VLOOKUP($E213,correlation!$D$2:$E$8,2,FALSE),1))</f>
        <v/>
      </c>
      <c r="I213" s="2">
        <f>ISNUMBER($F213)</f>
        <v/>
      </c>
      <c r="J213" s="2">
        <f>AND($G213=1,$H213=1,$I213)</f>
        <v/>
      </c>
      <c r="K213" s="5">
        <f>IF(mos_metrics!G212="","",mos_metrics!G212)</f>
        <v/>
      </c>
      <c r="L213" s="2">
        <f>AND($J213,ISNUMBER(K213),correlation!$I$26=1)</f>
        <v/>
      </c>
      <c r="M213" s="5">
        <f>IF(L213,$F213,"")</f>
        <v/>
      </c>
      <c r="N213" s="5">
        <f>IF(L213,K213*correlation!$J$26,"")</f>
        <v/>
      </c>
      <c r="O213" s="5">
        <f>IF(AND(L213,ISNUMBER(correlation!$F$26)),N213*correlation!$F$26+correlation!$G$26,"")</f>
        <v/>
      </c>
      <c r="P213" s="5">
        <f>IF(AND(L213,ISNUMBER(O213)),(M213-O213)^2,"")</f>
        <v/>
      </c>
      <c r="Q213" s="5">
        <f>IF(L213,1+SUMPRODUCT(--(calc!$L$3:$L$306=TRUE),--(calc!$M$3:$M$306&gt;M213))+(SUMPRODUCT(--(calc!$L$3:$L$306=TRUE),--(calc!$M$3:$M$306=M213))-1)/2,"")</f>
        <v/>
      </c>
      <c r="R213" s="5">
        <f>IF(L213,1+SUMPRODUCT(--(calc!$L$3:$L$306=TRUE),--(calc!$N$3:$N$306&gt;N213))+(SUMPRODUCT(--(calc!$L$3:$L$306=TRUE),--(calc!$N$3:$N$306=N213))-1)/2,"")</f>
        <v/>
      </c>
      <c r="S213" s="5">
        <f>IF(L213,SUMPRODUCT(--(calc!$L$3:$L$306=TRUE),--(ROW(calc!$L$3:$L$306)&gt;ROW(L213)),--(((calc!$Q$3:$Q$306&gt;Q213)*(calc!$R$3:$R$306&gt;R213)+(calc!$Q$3:$Q$306&lt;Q213)*(calc!$R$3:$R$306&lt;R213))&gt;0))-SUMPRODUCT(--(calc!$L$3:$L$306=TRUE),--(ROW(calc!$L$3:$L$306)&gt;ROW(L213)),--(((calc!$Q$3:$Q$306&gt;Q213)*(calc!$R$3:$R$306&lt;R213)+(calc!$Q$3:$Q$306&lt;Q213)*(calc!$R$3:$R$306&gt;R213))&gt;0)),0)</f>
        <v/>
      </c>
      <c r="T213" s="5">
        <f>IF(mos_metrics!H212="","",mos_metrics!H212)</f>
        <v/>
      </c>
      <c r="U213" s="2">
        <f>AND($J213,ISNUMBER(T213),correlation!$I$27=1)</f>
        <v/>
      </c>
      <c r="V213" s="5">
        <f>IF(U213,$F213,"")</f>
        <v/>
      </c>
      <c r="W213" s="5">
        <f>IF(U213,T213*correlation!$J$27,"")</f>
        <v/>
      </c>
      <c r="X213" s="5">
        <f>IF(AND(U213,ISNUMBER(correlation!$F$27)),W213*correlation!$F$27+correlation!$G$27,"")</f>
        <v/>
      </c>
      <c r="Y213" s="5">
        <f>IF(AND(U213,ISNUMBER(X213)),(V213-X213)^2,"")</f>
        <v/>
      </c>
      <c r="Z213" s="5">
        <f>IF(U213,1+SUMPRODUCT(--(calc!$U$3:$U$306=TRUE),--(calc!$V$3:$V$306&gt;V213))+(SUMPRODUCT(--(calc!$U$3:$U$306=TRUE),--(calc!$V$3:$V$306=V213))-1)/2,"")</f>
        <v/>
      </c>
      <c r="AA213" s="5">
        <f>IF(U213,1+SUMPRODUCT(--(calc!$U$3:$U$306=TRUE),--(calc!$W$3:$W$306&gt;W213))+(SUMPRODUCT(--(calc!$U$3:$U$306=TRUE),--(calc!$W$3:$W$306=W213))-1)/2,"")</f>
        <v/>
      </c>
      <c r="AB213" s="5">
        <f>IF(U213,SUMPRODUCT(--(calc!$U$3:$U$306=TRUE),--(ROW(calc!$U$3:$U$306)&gt;ROW(U213)),--(((calc!$Z$3:$Z$306&gt;Z213)*(calc!$AA$3:$AA$306&gt;AA213)+(calc!$Z$3:$Z$306&lt;Z213)*(calc!$AA$3:$AA$306&lt;AA213))&gt;0))-SUMPRODUCT(--(calc!$U$3:$U$306=TRUE),--(ROW(calc!$U$3:$U$306)&gt;ROW(U213)),--(((calc!$Z$3:$Z$306&gt;Z213)*(calc!$AA$3:$AA$306&lt;AA213)+(calc!$Z$3:$Z$306&lt;Z213)*(calc!$AA$3:$AA$306&gt;AA213))&gt;0)),0)</f>
        <v/>
      </c>
      <c r="AC213" s="5">
        <f>IF(mos_metrics!I212="","",mos_metrics!I212)</f>
        <v/>
      </c>
      <c r="AD213" s="2">
        <f>AND($J213,ISNUMBER(AC213),correlation!$I$28=1)</f>
        <v/>
      </c>
      <c r="AE213" s="5">
        <f>IF(AD213,$F213,"")</f>
        <v/>
      </c>
      <c r="AF213" s="5">
        <f>IF(AD213,AC213*correlation!$J$28,"")</f>
        <v/>
      </c>
      <c r="AG213" s="5">
        <f>IF(AND(AD213,ISNUMBER(correlation!$F$28)),AF213*correlation!$F$28+correlation!$G$28,"")</f>
        <v/>
      </c>
      <c r="AH213" s="5">
        <f>IF(AND(AD213,ISNUMBER(AG213)),(AE213-AG213)^2,"")</f>
        <v/>
      </c>
      <c r="AI213" s="5">
        <f>IF(AD213,1+SUMPRODUCT(--(calc!$AD$3:$AD$306=TRUE),--(calc!$AE$3:$AE$306&gt;AE213))+(SUMPRODUCT(--(calc!$AD$3:$AD$306=TRUE),--(calc!$AE$3:$AE$306=AE213))-1)/2,"")</f>
        <v/>
      </c>
      <c r="AJ213" s="5">
        <f>IF(AD213,1+SUMPRODUCT(--(calc!$AD$3:$AD$306=TRUE),--(calc!$AF$3:$AF$306&gt;AF213))+(SUMPRODUCT(--(calc!$AD$3:$AD$306=TRUE),--(calc!$AF$3:$AF$306=AF213))-1)/2,"")</f>
        <v/>
      </c>
      <c r="AK213" s="5">
        <f>IF(AD213,SUMPRODUCT(--(calc!$AD$3:$AD$306=TRUE),--(ROW(calc!$AD$3:$AD$306)&gt;ROW(AD213)),--(((calc!$AI$3:$AI$306&gt;AI213)*(calc!$AJ$3:$AJ$306&gt;AJ213)+(calc!$AI$3:$AI$306&lt;AI213)*(calc!$AJ$3:$AJ$306&lt;AJ213))&gt;0))-SUMPRODUCT(--(calc!$AD$3:$AD$306=TRUE),--(ROW(calc!$AD$3:$AD$306)&gt;ROW(AD213)),--(((calc!$AI$3:$AI$306&gt;AI213)*(calc!$AJ$3:$AJ$306&lt;AJ213)+(calc!$AI$3:$AI$306&lt;AI213)*(calc!$AJ$3:$AJ$306&gt;AJ213))&gt;0)),0)</f>
        <v/>
      </c>
      <c r="AL213" s="5">
        <f>IF(mos_metrics!J212="","",mos_metrics!J212)</f>
        <v/>
      </c>
      <c r="AM213" s="2">
        <f>AND($J213,ISNUMBER(AL213),correlation!$I$29=1)</f>
        <v/>
      </c>
      <c r="AN213" s="5">
        <f>IF(AM213,$F213,"")</f>
        <v/>
      </c>
      <c r="AO213" s="5">
        <f>IF(AM213,AL213*correlation!$J$29,"")</f>
        <v/>
      </c>
      <c r="AP213" s="5">
        <f>IF(AND(AM213,ISNUMBER(correlation!$F$29)),AO213*correlation!$F$29+correlation!$G$29,"")</f>
        <v/>
      </c>
      <c r="AQ213" s="5">
        <f>IF(AND(AM213,ISNUMBER(AP213)),(AN213-AP213)^2,"")</f>
        <v/>
      </c>
      <c r="AR213" s="5">
        <f>IF(AM213,1+SUMPRODUCT(--(calc!$AM$3:$AM$306=TRUE),--(calc!$AN$3:$AN$306&gt;AN213))+(SUMPRODUCT(--(calc!$AM$3:$AM$306=TRUE),--(calc!$AN$3:$AN$306=AN213))-1)/2,"")</f>
        <v/>
      </c>
      <c r="AS213" s="5">
        <f>IF(AM213,1+SUMPRODUCT(--(calc!$AM$3:$AM$306=TRUE),--(calc!$AO$3:$AO$306&gt;AO213))+(SUMPRODUCT(--(calc!$AM$3:$AM$306=TRUE),--(calc!$AO$3:$AO$306=AO213))-1)/2,"")</f>
        <v/>
      </c>
      <c r="AT213" s="5">
        <f>IF(AM213,SUMPRODUCT(--(calc!$AM$3:$AM$306=TRUE),--(ROW(calc!$AM$3:$AM$306)&gt;ROW(AM213)),--(((calc!$AR$3:$AR$306&gt;AR213)*(calc!$AS$3:$AS$306&gt;AS213)+(calc!$AR$3:$AR$306&lt;AR213)*(calc!$AS$3:$AS$306&lt;AS213))&gt;0))-SUMPRODUCT(--(calc!$AM$3:$AM$306=TRUE),--(ROW(calc!$AM$3:$AM$306)&gt;ROW(AM213)),--(((calc!$AR$3:$AR$306&gt;AR213)*(calc!$AS$3:$AS$306&lt;AS213)+(calc!$AR$3:$AR$306&lt;AR213)*(calc!$AS$3:$AS$306&gt;AS213))&gt;0)),0)</f>
        <v/>
      </c>
      <c r="AU213" s="5">
        <f>IF(mos_metrics!K212="","",mos_metrics!K212)</f>
        <v/>
      </c>
      <c r="AV213" s="2">
        <f>AND($J213,ISNUMBER(AU213),correlation!$I$30=1)</f>
        <v/>
      </c>
      <c r="AW213" s="5">
        <f>IF(AV213,$F213,"")</f>
        <v/>
      </c>
      <c r="AX213" s="5">
        <f>IF(AV213,AU213*correlation!$J$30,"")</f>
        <v/>
      </c>
      <c r="AY213" s="5">
        <f>IF(AND(AV213,ISNUMBER(correlation!$F$30)),AX213*correlation!$F$30+correlation!$G$30,"")</f>
        <v/>
      </c>
      <c r="AZ213" s="5">
        <f>IF(AND(AV213,ISNUMBER(AY213)),(AW213-AY213)^2,"")</f>
        <v/>
      </c>
      <c r="BA213" s="5">
        <f>IF(AV213,1+SUMPRODUCT(--(calc!$AV$3:$AV$306=TRUE),--(calc!$AW$3:$AW$306&gt;AW213))+(SUMPRODUCT(--(calc!$AV$3:$AV$306=TRUE),--(calc!$AW$3:$AW$306=AW213))-1)/2,"")</f>
        <v/>
      </c>
      <c r="BB213" s="5">
        <f>IF(AV213,1+SUMPRODUCT(--(calc!$AV$3:$AV$306=TRUE),--(calc!$AX$3:$AX$306&gt;AX213))+(SUMPRODUCT(--(calc!$AV$3:$AV$306=TRUE),--(calc!$AX$3:$AX$306=AX213))-1)/2,"")</f>
        <v/>
      </c>
      <c r="BC213" s="5">
        <f>IF(AV213,SUMPRODUCT(--(calc!$AV$3:$AV$306=TRUE),--(ROW(calc!$AV$3:$AV$306)&gt;ROW(AV213)),--(((calc!$BA$3:$BA$306&gt;BA213)*(calc!$BB$3:$BB$306&gt;BB213)+(calc!$BA$3:$BA$306&lt;BA213)*(calc!$BB$3:$BB$306&lt;BB213))&gt;0))-SUMPRODUCT(--(calc!$AV$3:$AV$306=TRUE),--(ROW(calc!$AV$3:$AV$306)&gt;ROW(AV213)),--(((calc!$BA$3:$BA$306&gt;BA213)*(calc!$BB$3:$BB$306&lt;BB213)+(calc!$BA$3:$BA$306&lt;BA213)*(calc!$BB$3:$BB$306&gt;BB213))&gt;0)),0)</f>
        <v/>
      </c>
      <c r="BD213" s="5">
        <f>IF(mos_metrics!L212="","",mos_metrics!L212)</f>
        <v/>
      </c>
      <c r="BE213" s="2">
        <f>AND($J213,ISNUMBER(BD213),correlation!$I$31=1)</f>
        <v/>
      </c>
      <c r="BF213" s="5">
        <f>IF(BE213,$F213,"")</f>
        <v/>
      </c>
      <c r="BG213" s="5">
        <f>IF(BE213,BD213*correlation!$J$31,"")</f>
        <v/>
      </c>
      <c r="BH213" s="5">
        <f>IF(AND(BE213,ISNUMBER(correlation!$F$31)),BG213*correlation!$F$31+correlation!$G$31,"")</f>
        <v/>
      </c>
      <c r="BI213" s="5">
        <f>IF(AND(BE213,ISNUMBER(BH213)),(BF213-BH213)^2,"")</f>
        <v/>
      </c>
      <c r="BJ213" s="5">
        <f>IF(BE213,1+SUMPRODUCT(--(calc!$BE$3:$BE$306=TRUE),--(calc!$BF$3:$BF$306&gt;BF213))+(SUMPRODUCT(--(calc!$BE$3:$BE$306=TRUE),--(calc!$BF$3:$BF$306=BF213))-1)/2,"")</f>
        <v/>
      </c>
      <c r="BK213" s="5">
        <f>IF(BE213,1+SUMPRODUCT(--(calc!$BE$3:$BE$306=TRUE),--(calc!$BG$3:$BG$306&gt;BG213))+(SUMPRODUCT(--(calc!$BE$3:$BE$306=TRUE),--(calc!$BG$3:$BG$306=BG213))-1)/2,"")</f>
        <v/>
      </c>
      <c r="BL213" s="5">
        <f>IF(BE213,SUMPRODUCT(--(calc!$BE$3:$BE$306=TRUE),--(ROW(calc!$BE$3:$BE$306)&gt;ROW(BE213)),--(((calc!$BJ$3:$BJ$306&gt;BJ213)*(calc!$BK$3:$BK$306&gt;BK213)+(calc!$BJ$3:$BJ$306&lt;BJ213)*(calc!$BK$3:$BK$306&lt;BK213))&gt;0))-SUMPRODUCT(--(calc!$BE$3:$BE$306=TRUE),--(ROW(calc!$BE$3:$BE$306)&gt;ROW(BE213)),--(((calc!$BJ$3:$BJ$306&gt;BJ213)*(calc!$BK$3:$BK$306&lt;BK213)+(calc!$BJ$3:$BJ$306&lt;BJ213)*(calc!$BK$3:$BK$306&gt;BK213))&gt;0)),0)</f>
        <v/>
      </c>
      <c r="BM213" s="5">
        <f>IF(mos_metrics!M212="","",mos_metrics!M212)</f>
        <v/>
      </c>
      <c r="BN213" s="2">
        <f>AND($J213,ISNUMBER(BM213),correlation!$I$32=1)</f>
        <v/>
      </c>
      <c r="BO213" s="5">
        <f>IF(BN213,$F213,"")</f>
        <v/>
      </c>
      <c r="BP213" s="5">
        <f>IF(BN213,BM213*correlation!$J$32,"")</f>
        <v/>
      </c>
      <c r="BQ213" s="5">
        <f>IF(AND(BN213,ISNUMBER(correlation!$F$32)),BP213*correlation!$F$32+correlation!$G$32,"")</f>
        <v/>
      </c>
      <c r="BR213" s="5">
        <f>IF(AND(BN213,ISNUMBER(BQ213)),(BO213-BQ213)^2,"")</f>
        <v/>
      </c>
      <c r="BS213" s="5">
        <f>IF(BN213,1+SUMPRODUCT(--(calc!$BN$3:$BN$306=TRUE),--(calc!$BO$3:$BO$306&gt;BO213))+(SUMPRODUCT(--(calc!$BN$3:$BN$306=TRUE),--(calc!$BO$3:$BO$306=BO213))-1)/2,"")</f>
        <v/>
      </c>
      <c r="BT213" s="5">
        <f>IF(BN213,1+SUMPRODUCT(--(calc!$BN$3:$BN$306=TRUE),--(calc!$BP$3:$BP$306&gt;BP213))+(SUMPRODUCT(--(calc!$BN$3:$BN$306=TRUE),--(calc!$BP$3:$BP$306=BP213))-1)/2,"")</f>
        <v/>
      </c>
      <c r="BU213" s="5">
        <f>IF(BN213,SUMPRODUCT(--(calc!$BN$3:$BN$306=TRUE),--(ROW(calc!$BN$3:$BN$306)&gt;ROW(BN213)),--(((calc!$BS$3:$BS$306&gt;BS213)*(calc!$BT$3:$BT$306&gt;BT213)+(calc!$BS$3:$BS$306&lt;BS213)*(calc!$BT$3:$BT$306&lt;BT213))&gt;0))-SUMPRODUCT(--(calc!$BN$3:$BN$306=TRUE),--(ROW(calc!$BN$3:$BN$306)&gt;ROW(BN213)),--(((calc!$BS$3:$BS$306&gt;BS213)*(calc!$BT$3:$BT$306&lt;BT213)+(calc!$BS$3:$BS$306&lt;BS213)*(calc!$BT$3:$BT$306&gt;BT213))&gt;0)),0)</f>
        <v/>
      </c>
    </row>
    <row r="214">
      <c r="A214" s="2">
        <f>mos_metrics!A213</f>
        <v/>
      </c>
      <c r="B214" s="2">
        <f>mos_metrics!B213</f>
        <v/>
      </c>
      <c r="C214" s="2">
        <f>mos_metrics!C213</f>
        <v/>
      </c>
      <c r="D214" s="2">
        <f>mos_metrics!D213</f>
        <v/>
      </c>
      <c r="E214" s="2">
        <f>mos_metrics!E213</f>
        <v/>
      </c>
      <c r="F214" s="2">
        <f>mos_metrics!F213</f>
        <v/>
      </c>
      <c r="G214" s="2">
        <f>IF($B214="","",IFERROR(VLOOKUP($B214,correlation!$A$2:$B$16,2,FALSE),1))</f>
        <v/>
      </c>
      <c r="H214" s="2">
        <f>IF($E214="","",IFERROR(VLOOKUP($E214,correlation!$D$2:$E$8,2,FALSE),1))</f>
        <v/>
      </c>
      <c r="I214" s="2">
        <f>ISNUMBER($F214)</f>
        <v/>
      </c>
      <c r="J214" s="2">
        <f>AND($G214=1,$H214=1,$I214)</f>
        <v/>
      </c>
      <c r="K214" s="5">
        <f>IF(mos_metrics!G213="","",mos_metrics!G213)</f>
        <v/>
      </c>
      <c r="L214" s="2">
        <f>AND($J214,ISNUMBER(K214),correlation!$I$26=1)</f>
        <v/>
      </c>
      <c r="M214" s="5">
        <f>IF(L214,$F214,"")</f>
        <v/>
      </c>
      <c r="N214" s="5">
        <f>IF(L214,K214*correlation!$J$26,"")</f>
        <v/>
      </c>
      <c r="O214" s="5">
        <f>IF(AND(L214,ISNUMBER(correlation!$F$26)),N214*correlation!$F$26+correlation!$G$26,"")</f>
        <v/>
      </c>
      <c r="P214" s="5">
        <f>IF(AND(L214,ISNUMBER(O214)),(M214-O214)^2,"")</f>
        <v/>
      </c>
      <c r="Q214" s="5">
        <f>IF(L214,1+SUMPRODUCT(--(calc!$L$3:$L$306=TRUE),--(calc!$M$3:$M$306&gt;M214))+(SUMPRODUCT(--(calc!$L$3:$L$306=TRUE),--(calc!$M$3:$M$306=M214))-1)/2,"")</f>
        <v/>
      </c>
      <c r="R214" s="5">
        <f>IF(L214,1+SUMPRODUCT(--(calc!$L$3:$L$306=TRUE),--(calc!$N$3:$N$306&gt;N214))+(SUMPRODUCT(--(calc!$L$3:$L$306=TRUE),--(calc!$N$3:$N$306=N214))-1)/2,"")</f>
        <v/>
      </c>
      <c r="S214" s="5">
        <f>IF(L214,SUMPRODUCT(--(calc!$L$3:$L$306=TRUE),--(ROW(calc!$L$3:$L$306)&gt;ROW(L214)),--(((calc!$Q$3:$Q$306&gt;Q214)*(calc!$R$3:$R$306&gt;R214)+(calc!$Q$3:$Q$306&lt;Q214)*(calc!$R$3:$R$306&lt;R214))&gt;0))-SUMPRODUCT(--(calc!$L$3:$L$306=TRUE),--(ROW(calc!$L$3:$L$306)&gt;ROW(L214)),--(((calc!$Q$3:$Q$306&gt;Q214)*(calc!$R$3:$R$306&lt;R214)+(calc!$Q$3:$Q$306&lt;Q214)*(calc!$R$3:$R$306&gt;R214))&gt;0)),0)</f>
        <v/>
      </c>
      <c r="T214" s="5">
        <f>IF(mos_metrics!H213="","",mos_metrics!H213)</f>
        <v/>
      </c>
      <c r="U214" s="2">
        <f>AND($J214,ISNUMBER(T214),correlation!$I$27=1)</f>
        <v/>
      </c>
      <c r="V214" s="5">
        <f>IF(U214,$F214,"")</f>
        <v/>
      </c>
      <c r="W214" s="5">
        <f>IF(U214,T214*correlation!$J$27,"")</f>
        <v/>
      </c>
      <c r="X214" s="5">
        <f>IF(AND(U214,ISNUMBER(correlation!$F$27)),W214*correlation!$F$27+correlation!$G$27,"")</f>
        <v/>
      </c>
      <c r="Y214" s="5">
        <f>IF(AND(U214,ISNUMBER(X214)),(V214-X214)^2,"")</f>
        <v/>
      </c>
      <c r="Z214" s="5">
        <f>IF(U214,1+SUMPRODUCT(--(calc!$U$3:$U$306=TRUE),--(calc!$V$3:$V$306&gt;V214))+(SUMPRODUCT(--(calc!$U$3:$U$306=TRUE),--(calc!$V$3:$V$306=V214))-1)/2,"")</f>
        <v/>
      </c>
      <c r="AA214" s="5">
        <f>IF(U214,1+SUMPRODUCT(--(calc!$U$3:$U$306=TRUE),--(calc!$W$3:$W$306&gt;W214))+(SUMPRODUCT(--(calc!$U$3:$U$306=TRUE),--(calc!$W$3:$W$306=W214))-1)/2,"")</f>
        <v/>
      </c>
      <c r="AB214" s="5">
        <f>IF(U214,SUMPRODUCT(--(calc!$U$3:$U$306=TRUE),--(ROW(calc!$U$3:$U$306)&gt;ROW(U214)),--(((calc!$Z$3:$Z$306&gt;Z214)*(calc!$AA$3:$AA$306&gt;AA214)+(calc!$Z$3:$Z$306&lt;Z214)*(calc!$AA$3:$AA$306&lt;AA214))&gt;0))-SUMPRODUCT(--(calc!$U$3:$U$306=TRUE),--(ROW(calc!$U$3:$U$306)&gt;ROW(U214)),--(((calc!$Z$3:$Z$306&gt;Z214)*(calc!$AA$3:$AA$306&lt;AA214)+(calc!$Z$3:$Z$306&lt;Z214)*(calc!$AA$3:$AA$306&gt;AA214))&gt;0)),0)</f>
        <v/>
      </c>
      <c r="AC214" s="5">
        <f>IF(mos_metrics!I213="","",mos_metrics!I213)</f>
        <v/>
      </c>
      <c r="AD214" s="2">
        <f>AND($J214,ISNUMBER(AC214),correlation!$I$28=1)</f>
        <v/>
      </c>
      <c r="AE214" s="5">
        <f>IF(AD214,$F214,"")</f>
        <v/>
      </c>
      <c r="AF214" s="5">
        <f>IF(AD214,AC214*correlation!$J$28,"")</f>
        <v/>
      </c>
      <c r="AG214" s="5">
        <f>IF(AND(AD214,ISNUMBER(correlation!$F$28)),AF214*correlation!$F$28+correlation!$G$28,"")</f>
        <v/>
      </c>
      <c r="AH214" s="5">
        <f>IF(AND(AD214,ISNUMBER(AG214)),(AE214-AG214)^2,"")</f>
        <v/>
      </c>
      <c r="AI214" s="5">
        <f>IF(AD214,1+SUMPRODUCT(--(calc!$AD$3:$AD$306=TRUE),--(calc!$AE$3:$AE$306&gt;AE214))+(SUMPRODUCT(--(calc!$AD$3:$AD$306=TRUE),--(calc!$AE$3:$AE$306=AE214))-1)/2,"")</f>
        <v/>
      </c>
      <c r="AJ214" s="5">
        <f>IF(AD214,1+SUMPRODUCT(--(calc!$AD$3:$AD$306=TRUE),--(calc!$AF$3:$AF$306&gt;AF214))+(SUMPRODUCT(--(calc!$AD$3:$AD$306=TRUE),--(calc!$AF$3:$AF$306=AF214))-1)/2,"")</f>
        <v/>
      </c>
      <c r="AK214" s="5">
        <f>IF(AD214,SUMPRODUCT(--(calc!$AD$3:$AD$306=TRUE),--(ROW(calc!$AD$3:$AD$306)&gt;ROW(AD214)),--(((calc!$AI$3:$AI$306&gt;AI214)*(calc!$AJ$3:$AJ$306&gt;AJ214)+(calc!$AI$3:$AI$306&lt;AI214)*(calc!$AJ$3:$AJ$306&lt;AJ214))&gt;0))-SUMPRODUCT(--(calc!$AD$3:$AD$306=TRUE),--(ROW(calc!$AD$3:$AD$306)&gt;ROW(AD214)),--(((calc!$AI$3:$AI$306&gt;AI214)*(calc!$AJ$3:$AJ$306&lt;AJ214)+(calc!$AI$3:$AI$306&lt;AI214)*(calc!$AJ$3:$AJ$306&gt;AJ214))&gt;0)),0)</f>
        <v/>
      </c>
      <c r="AL214" s="5">
        <f>IF(mos_metrics!J213="","",mos_metrics!J213)</f>
        <v/>
      </c>
      <c r="AM214" s="2">
        <f>AND($J214,ISNUMBER(AL214),correlation!$I$29=1)</f>
        <v/>
      </c>
      <c r="AN214" s="5">
        <f>IF(AM214,$F214,"")</f>
        <v/>
      </c>
      <c r="AO214" s="5">
        <f>IF(AM214,AL214*correlation!$J$29,"")</f>
        <v/>
      </c>
      <c r="AP214" s="5">
        <f>IF(AND(AM214,ISNUMBER(correlation!$F$29)),AO214*correlation!$F$29+correlation!$G$29,"")</f>
        <v/>
      </c>
      <c r="AQ214" s="5">
        <f>IF(AND(AM214,ISNUMBER(AP214)),(AN214-AP214)^2,"")</f>
        <v/>
      </c>
      <c r="AR214" s="5">
        <f>IF(AM214,1+SUMPRODUCT(--(calc!$AM$3:$AM$306=TRUE),--(calc!$AN$3:$AN$306&gt;AN214))+(SUMPRODUCT(--(calc!$AM$3:$AM$306=TRUE),--(calc!$AN$3:$AN$306=AN214))-1)/2,"")</f>
        <v/>
      </c>
      <c r="AS214" s="5">
        <f>IF(AM214,1+SUMPRODUCT(--(calc!$AM$3:$AM$306=TRUE),--(calc!$AO$3:$AO$306&gt;AO214))+(SUMPRODUCT(--(calc!$AM$3:$AM$306=TRUE),--(calc!$AO$3:$AO$306=AO214))-1)/2,"")</f>
        <v/>
      </c>
      <c r="AT214" s="5">
        <f>IF(AM214,SUMPRODUCT(--(calc!$AM$3:$AM$306=TRUE),--(ROW(calc!$AM$3:$AM$306)&gt;ROW(AM214)),--(((calc!$AR$3:$AR$306&gt;AR214)*(calc!$AS$3:$AS$306&gt;AS214)+(calc!$AR$3:$AR$306&lt;AR214)*(calc!$AS$3:$AS$306&lt;AS214))&gt;0))-SUMPRODUCT(--(calc!$AM$3:$AM$306=TRUE),--(ROW(calc!$AM$3:$AM$306)&gt;ROW(AM214)),--(((calc!$AR$3:$AR$306&gt;AR214)*(calc!$AS$3:$AS$306&lt;AS214)+(calc!$AR$3:$AR$306&lt;AR214)*(calc!$AS$3:$AS$306&gt;AS214))&gt;0)),0)</f>
        <v/>
      </c>
      <c r="AU214" s="5">
        <f>IF(mos_metrics!K213="","",mos_metrics!K213)</f>
        <v/>
      </c>
      <c r="AV214" s="2">
        <f>AND($J214,ISNUMBER(AU214),correlation!$I$30=1)</f>
        <v/>
      </c>
      <c r="AW214" s="5">
        <f>IF(AV214,$F214,"")</f>
        <v/>
      </c>
      <c r="AX214" s="5">
        <f>IF(AV214,AU214*correlation!$J$30,"")</f>
        <v/>
      </c>
      <c r="AY214" s="5">
        <f>IF(AND(AV214,ISNUMBER(correlation!$F$30)),AX214*correlation!$F$30+correlation!$G$30,"")</f>
        <v/>
      </c>
      <c r="AZ214" s="5">
        <f>IF(AND(AV214,ISNUMBER(AY214)),(AW214-AY214)^2,"")</f>
        <v/>
      </c>
      <c r="BA214" s="5">
        <f>IF(AV214,1+SUMPRODUCT(--(calc!$AV$3:$AV$306=TRUE),--(calc!$AW$3:$AW$306&gt;AW214))+(SUMPRODUCT(--(calc!$AV$3:$AV$306=TRUE),--(calc!$AW$3:$AW$306=AW214))-1)/2,"")</f>
        <v/>
      </c>
      <c r="BB214" s="5">
        <f>IF(AV214,1+SUMPRODUCT(--(calc!$AV$3:$AV$306=TRUE),--(calc!$AX$3:$AX$306&gt;AX214))+(SUMPRODUCT(--(calc!$AV$3:$AV$306=TRUE),--(calc!$AX$3:$AX$306=AX214))-1)/2,"")</f>
        <v/>
      </c>
      <c r="BC214" s="5">
        <f>IF(AV214,SUMPRODUCT(--(calc!$AV$3:$AV$306=TRUE),--(ROW(calc!$AV$3:$AV$306)&gt;ROW(AV214)),--(((calc!$BA$3:$BA$306&gt;BA214)*(calc!$BB$3:$BB$306&gt;BB214)+(calc!$BA$3:$BA$306&lt;BA214)*(calc!$BB$3:$BB$306&lt;BB214))&gt;0))-SUMPRODUCT(--(calc!$AV$3:$AV$306=TRUE),--(ROW(calc!$AV$3:$AV$306)&gt;ROW(AV214)),--(((calc!$BA$3:$BA$306&gt;BA214)*(calc!$BB$3:$BB$306&lt;BB214)+(calc!$BA$3:$BA$306&lt;BA214)*(calc!$BB$3:$BB$306&gt;BB214))&gt;0)),0)</f>
        <v/>
      </c>
      <c r="BD214" s="5">
        <f>IF(mos_metrics!L213="","",mos_metrics!L213)</f>
        <v/>
      </c>
      <c r="BE214" s="2">
        <f>AND($J214,ISNUMBER(BD214),correlation!$I$31=1)</f>
        <v/>
      </c>
      <c r="BF214" s="5">
        <f>IF(BE214,$F214,"")</f>
        <v/>
      </c>
      <c r="BG214" s="5">
        <f>IF(BE214,BD214*correlation!$J$31,"")</f>
        <v/>
      </c>
      <c r="BH214" s="5">
        <f>IF(AND(BE214,ISNUMBER(correlation!$F$31)),BG214*correlation!$F$31+correlation!$G$31,"")</f>
        <v/>
      </c>
      <c r="BI214" s="5">
        <f>IF(AND(BE214,ISNUMBER(BH214)),(BF214-BH214)^2,"")</f>
        <v/>
      </c>
      <c r="BJ214" s="5">
        <f>IF(BE214,1+SUMPRODUCT(--(calc!$BE$3:$BE$306=TRUE),--(calc!$BF$3:$BF$306&gt;BF214))+(SUMPRODUCT(--(calc!$BE$3:$BE$306=TRUE),--(calc!$BF$3:$BF$306=BF214))-1)/2,"")</f>
        <v/>
      </c>
      <c r="BK214" s="5">
        <f>IF(BE214,1+SUMPRODUCT(--(calc!$BE$3:$BE$306=TRUE),--(calc!$BG$3:$BG$306&gt;BG214))+(SUMPRODUCT(--(calc!$BE$3:$BE$306=TRUE),--(calc!$BG$3:$BG$306=BG214))-1)/2,"")</f>
        <v/>
      </c>
      <c r="BL214" s="5">
        <f>IF(BE214,SUMPRODUCT(--(calc!$BE$3:$BE$306=TRUE),--(ROW(calc!$BE$3:$BE$306)&gt;ROW(BE214)),--(((calc!$BJ$3:$BJ$306&gt;BJ214)*(calc!$BK$3:$BK$306&gt;BK214)+(calc!$BJ$3:$BJ$306&lt;BJ214)*(calc!$BK$3:$BK$306&lt;BK214))&gt;0))-SUMPRODUCT(--(calc!$BE$3:$BE$306=TRUE),--(ROW(calc!$BE$3:$BE$306)&gt;ROW(BE214)),--(((calc!$BJ$3:$BJ$306&gt;BJ214)*(calc!$BK$3:$BK$306&lt;BK214)+(calc!$BJ$3:$BJ$306&lt;BJ214)*(calc!$BK$3:$BK$306&gt;BK214))&gt;0)),0)</f>
        <v/>
      </c>
      <c r="BM214" s="5">
        <f>IF(mos_metrics!M213="","",mos_metrics!M213)</f>
        <v/>
      </c>
      <c r="BN214" s="2">
        <f>AND($J214,ISNUMBER(BM214),correlation!$I$32=1)</f>
        <v/>
      </c>
      <c r="BO214" s="5">
        <f>IF(BN214,$F214,"")</f>
        <v/>
      </c>
      <c r="BP214" s="5">
        <f>IF(BN214,BM214*correlation!$J$32,"")</f>
        <v/>
      </c>
      <c r="BQ214" s="5">
        <f>IF(AND(BN214,ISNUMBER(correlation!$F$32)),BP214*correlation!$F$32+correlation!$G$32,"")</f>
        <v/>
      </c>
      <c r="BR214" s="5">
        <f>IF(AND(BN214,ISNUMBER(BQ214)),(BO214-BQ214)^2,"")</f>
        <v/>
      </c>
      <c r="BS214" s="5">
        <f>IF(BN214,1+SUMPRODUCT(--(calc!$BN$3:$BN$306=TRUE),--(calc!$BO$3:$BO$306&gt;BO214))+(SUMPRODUCT(--(calc!$BN$3:$BN$306=TRUE),--(calc!$BO$3:$BO$306=BO214))-1)/2,"")</f>
        <v/>
      </c>
      <c r="BT214" s="5">
        <f>IF(BN214,1+SUMPRODUCT(--(calc!$BN$3:$BN$306=TRUE),--(calc!$BP$3:$BP$306&gt;BP214))+(SUMPRODUCT(--(calc!$BN$3:$BN$306=TRUE),--(calc!$BP$3:$BP$306=BP214))-1)/2,"")</f>
        <v/>
      </c>
      <c r="BU214" s="5">
        <f>IF(BN214,SUMPRODUCT(--(calc!$BN$3:$BN$306=TRUE),--(ROW(calc!$BN$3:$BN$306)&gt;ROW(BN214)),--(((calc!$BS$3:$BS$306&gt;BS214)*(calc!$BT$3:$BT$306&gt;BT214)+(calc!$BS$3:$BS$306&lt;BS214)*(calc!$BT$3:$BT$306&lt;BT214))&gt;0))-SUMPRODUCT(--(calc!$BN$3:$BN$306=TRUE),--(ROW(calc!$BN$3:$BN$306)&gt;ROW(BN214)),--(((calc!$BS$3:$BS$306&gt;BS214)*(calc!$BT$3:$BT$306&lt;BT214)+(calc!$BS$3:$BS$306&lt;BS214)*(calc!$BT$3:$BT$306&gt;BT214))&gt;0)),0)</f>
        <v/>
      </c>
    </row>
    <row r="215">
      <c r="A215" s="2">
        <f>mos_metrics!A214</f>
        <v/>
      </c>
      <c r="B215" s="2">
        <f>mos_metrics!B214</f>
        <v/>
      </c>
      <c r="C215" s="2">
        <f>mos_metrics!C214</f>
        <v/>
      </c>
      <c r="D215" s="2">
        <f>mos_metrics!D214</f>
        <v/>
      </c>
      <c r="E215" s="2">
        <f>mos_metrics!E214</f>
        <v/>
      </c>
      <c r="F215" s="2">
        <f>mos_metrics!F214</f>
        <v/>
      </c>
      <c r="G215" s="2">
        <f>IF($B215="","",IFERROR(VLOOKUP($B215,correlation!$A$2:$B$16,2,FALSE),1))</f>
        <v/>
      </c>
      <c r="H215" s="2">
        <f>IF($E215="","",IFERROR(VLOOKUP($E215,correlation!$D$2:$E$8,2,FALSE),1))</f>
        <v/>
      </c>
      <c r="I215" s="2">
        <f>ISNUMBER($F215)</f>
        <v/>
      </c>
      <c r="J215" s="2">
        <f>AND($G215=1,$H215=1,$I215)</f>
        <v/>
      </c>
      <c r="K215" s="5">
        <f>IF(mos_metrics!G214="","",mos_metrics!G214)</f>
        <v/>
      </c>
      <c r="L215" s="2">
        <f>AND($J215,ISNUMBER(K215),correlation!$I$26=1)</f>
        <v/>
      </c>
      <c r="M215" s="5">
        <f>IF(L215,$F215,"")</f>
        <v/>
      </c>
      <c r="N215" s="5">
        <f>IF(L215,K215*correlation!$J$26,"")</f>
        <v/>
      </c>
      <c r="O215" s="5">
        <f>IF(AND(L215,ISNUMBER(correlation!$F$26)),N215*correlation!$F$26+correlation!$G$26,"")</f>
        <v/>
      </c>
      <c r="P215" s="5">
        <f>IF(AND(L215,ISNUMBER(O215)),(M215-O215)^2,"")</f>
        <v/>
      </c>
      <c r="Q215" s="5">
        <f>IF(L215,1+SUMPRODUCT(--(calc!$L$3:$L$306=TRUE),--(calc!$M$3:$M$306&gt;M215))+(SUMPRODUCT(--(calc!$L$3:$L$306=TRUE),--(calc!$M$3:$M$306=M215))-1)/2,"")</f>
        <v/>
      </c>
      <c r="R215" s="5">
        <f>IF(L215,1+SUMPRODUCT(--(calc!$L$3:$L$306=TRUE),--(calc!$N$3:$N$306&gt;N215))+(SUMPRODUCT(--(calc!$L$3:$L$306=TRUE),--(calc!$N$3:$N$306=N215))-1)/2,"")</f>
        <v/>
      </c>
      <c r="S215" s="5">
        <f>IF(L215,SUMPRODUCT(--(calc!$L$3:$L$306=TRUE),--(ROW(calc!$L$3:$L$306)&gt;ROW(L215)),--(((calc!$Q$3:$Q$306&gt;Q215)*(calc!$R$3:$R$306&gt;R215)+(calc!$Q$3:$Q$306&lt;Q215)*(calc!$R$3:$R$306&lt;R215))&gt;0))-SUMPRODUCT(--(calc!$L$3:$L$306=TRUE),--(ROW(calc!$L$3:$L$306)&gt;ROW(L215)),--(((calc!$Q$3:$Q$306&gt;Q215)*(calc!$R$3:$R$306&lt;R215)+(calc!$Q$3:$Q$306&lt;Q215)*(calc!$R$3:$R$306&gt;R215))&gt;0)),0)</f>
        <v/>
      </c>
      <c r="T215" s="5">
        <f>IF(mos_metrics!H214="","",mos_metrics!H214)</f>
        <v/>
      </c>
      <c r="U215" s="2">
        <f>AND($J215,ISNUMBER(T215),correlation!$I$27=1)</f>
        <v/>
      </c>
      <c r="V215" s="5">
        <f>IF(U215,$F215,"")</f>
        <v/>
      </c>
      <c r="W215" s="5">
        <f>IF(U215,T215*correlation!$J$27,"")</f>
        <v/>
      </c>
      <c r="X215" s="5">
        <f>IF(AND(U215,ISNUMBER(correlation!$F$27)),W215*correlation!$F$27+correlation!$G$27,"")</f>
        <v/>
      </c>
      <c r="Y215" s="5">
        <f>IF(AND(U215,ISNUMBER(X215)),(V215-X215)^2,"")</f>
        <v/>
      </c>
      <c r="Z215" s="5">
        <f>IF(U215,1+SUMPRODUCT(--(calc!$U$3:$U$306=TRUE),--(calc!$V$3:$V$306&gt;V215))+(SUMPRODUCT(--(calc!$U$3:$U$306=TRUE),--(calc!$V$3:$V$306=V215))-1)/2,"")</f>
        <v/>
      </c>
      <c r="AA215" s="5">
        <f>IF(U215,1+SUMPRODUCT(--(calc!$U$3:$U$306=TRUE),--(calc!$W$3:$W$306&gt;W215))+(SUMPRODUCT(--(calc!$U$3:$U$306=TRUE),--(calc!$W$3:$W$306=W215))-1)/2,"")</f>
        <v/>
      </c>
      <c r="AB215" s="5">
        <f>IF(U215,SUMPRODUCT(--(calc!$U$3:$U$306=TRUE),--(ROW(calc!$U$3:$U$306)&gt;ROW(U215)),--(((calc!$Z$3:$Z$306&gt;Z215)*(calc!$AA$3:$AA$306&gt;AA215)+(calc!$Z$3:$Z$306&lt;Z215)*(calc!$AA$3:$AA$306&lt;AA215))&gt;0))-SUMPRODUCT(--(calc!$U$3:$U$306=TRUE),--(ROW(calc!$U$3:$U$306)&gt;ROW(U215)),--(((calc!$Z$3:$Z$306&gt;Z215)*(calc!$AA$3:$AA$306&lt;AA215)+(calc!$Z$3:$Z$306&lt;Z215)*(calc!$AA$3:$AA$306&gt;AA215))&gt;0)),0)</f>
        <v/>
      </c>
      <c r="AC215" s="5">
        <f>IF(mos_metrics!I214="","",mos_metrics!I214)</f>
        <v/>
      </c>
      <c r="AD215" s="2">
        <f>AND($J215,ISNUMBER(AC215),correlation!$I$28=1)</f>
        <v/>
      </c>
      <c r="AE215" s="5">
        <f>IF(AD215,$F215,"")</f>
        <v/>
      </c>
      <c r="AF215" s="5">
        <f>IF(AD215,AC215*correlation!$J$28,"")</f>
        <v/>
      </c>
      <c r="AG215" s="5">
        <f>IF(AND(AD215,ISNUMBER(correlation!$F$28)),AF215*correlation!$F$28+correlation!$G$28,"")</f>
        <v/>
      </c>
      <c r="AH215" s="5">
        <f>IF(AND(AD215,ISNUMBER(AG215)),(AE215-AG215)^2,"")</f>
        <v/>
      </c>
      <c r="AI215" s="5">
        <f>IF(AD215,1+SUMPRODUCT(--(calc!$AD$3:$AD$306=TRUE),--(calc!$AE$3:$AE$306&gt;AE215))+(SUMPRODUCT(--(calc!$AD$3:$AD$306=TRUE),--(calc!$AE$3:$AE$306=AE215))-1)/2,"")</f>
        <v/>
      </c>
      <c r="AJ215" s="5">
        <f>IF(AD215,1+SUMPRODUCT(--(calc!$AD$3:$AD$306=TRUE),--(calc!$AF$3:$AF$306&gt;AF215))+(SUMPRODUCT(--(calc!$AD$3:$AD$306=TRUE),--(calc!$AF$3:$AF$306=AF215))-1)/2,"")</f>
        <v/>
      </c>
      <c r="AK215" s="5">
        <f>IF(AD215,SUMPRODUCT(--(calc!$AD$3:$AD$306=TRUE),--(ROW(calc!$AD$3:$AD$306)&gt;ROW(AD215)),--(((calc!$AI$3:$AI$306&gt;AI215)*(calc!$AJ$3:$AJ$306&gt;AJ215)+(calc!$AI$3:$AI$306&lt;AI215)*(calc!$AJ$3:$AJ$306&lt;AJ215))&gt;0))-SUMPRODUCT(--(calc!$AD$3:$AD$306=TRUE),--(ROW(calc!$AD$3:$AD$306)&gt;ROW(AD215)),--(((calc!$AI$3:$AI$306&gt;AI215)*(calc!$AJ$3:$AJ$306&lt;AJ215)+(calc!$AI$3:$AI$306&lt;AI215)*(calc!$AJ$3:$AJ$306&gt;AJ215))&gt;0)),0)</f>
        <v/>
      </c>
      <c r="AL215" s="5">
        <f>IF(mos_metrics!J214="","",mos_metrics!J214)</f>
        <v/>
      </c>
      <c r="AM215" s="2">
        <f>AND($J215,ISNUMBER(AL215),correlation!$I$29=1)</f>
        <v/>
      </c>
      <c r="AN215" s="5">
        <f>IF(AM215,$F215,"")</f>
        <v/>
      </c>
      <c r="AO215" s="5">
        <f>IF(AM215,AL215*correlation!$J$29,"")</f>
        <v/>
      </c>
      <c r="AP215" s="5">
        <f>IF(AND(AM215,ISNUMBER(correlation!$F$29)),AO215*correlation!$F$29+correlation!$G$29,"")</f>
        <v/>
      </c>
      <c r="AQ215" s="5">
        <f>IF(AND(AM215,ISNUMBER(AP215)),(AN215-AP215)^2,"")</f>
        <v/>
      </c>
      <c r="AR215" s="5">
        <f>IF(AM215,1+SUMPRODUCT(--(calc!$AM$3:$AM$306=TRUE),--(calc!$AN$3:$AN$306&gt;AN215))+(SUMPRODUCT(--(calc!$AM$3:$AM$306=TRUE),--(calc!$AN$3:$AN$306=AN215))-1)/2,"")</f>
        <v/>
      </c>
      <c r="AS215" s="5">
        <f>IF(AM215,1+SUMPRODUCT(--(calc!$AM$3:$AM$306=TRUE),--(calc!$AO$3:$AO$306&gt;AO215))+(SUMPRODUCT(--(calc!$AM$3:$AM$306=TRUE),--(calc!$AO$3:$AO$306=AO215))-1)/2,"")</f>
        <v/>
      </c>
      <c r="AT215" s="5">
        <f>IF(AM215,SUMPRODUCT(--(calc!$AM$3:$AM$306=TRUE),--(ROW(calc!$AM$3:$AM$306)&gt;ROW(AM215)),--(((calc!$AR$3:$AR$306&gt;AR215)*(calc!$AS$3:$AS$306&gt;AS215)+(calc!$AR$3:$AR$306&lt;AR215)*(calc!$AS$3:$AS$306&lt;AS215))&gt;0))-SUMPRODUCT(--(calc!$AM$3:$AM$306=TRUE),--(ROW(calc!$AM$3:$AM$306)&gt;ROW(AM215)),--(((calc!$AR$3:$AR$306&gt;AR215)*(calc!$AS$3:$AS$306&lt;AS215)+(calc!$AR$3:$AR$306&lt;AR215)*(calc!$AS$3:$AS$306&gt;AS215))&gt;0)),0)</f>
        <v/>
      </c>
      <c r="AU215" s="5">
        <f>IF(mos_metrics!K214="","",mos_metrics!K214)</f>
        <v/>
      </c>
      <c r="AV215" s="2">
        <f>AND($J215,ISNUMBER(AU215),correlation!$I$30=1)</f>
        <v/>
      </c>
      <c r="AW215" s="5">
        <f>IF(AV215,$F215,"")</f>
        <v/>
      </c>
      <c r="AX215" s="5">
        <f>IF(AV215,AU215*correlation!$J$30,"")</f>
        <v/>
      </c>
      <c r="AY215" s="5">
        <f>IF(AND(AV215,ISNUMBER(correlation!$F$30)),AX215*correlation!$F$30+correlation!$G$30,"")</f>
        <v/>
      </c>
      <c r="AZ215" s="5">
        <f>IF(AND(AV215,ISNUMBER(AY215)),(AW215-AY215)^2,"")</f>
        <v/>
      </c>
      <c r="BA215" s="5">
        <f>IF(AV215,1+SUMPRODUCT(--(calc!$AV$3:$AV$306=TRUE),--(calc!$AW$3:$AW$306&gt;AW215))+(SUMPRODUCT(--(calc!$AV$3:$AV$306=TRUE),--(calc!$AW$3:$AW$306=AW215))-1)/2,"")</f>
        <v/>
      </c>
      <c r="BB215" s="5">
        <f>IF(AV215,1+SUMPRODUCT(--(calc!$AV$3:$AV$306=TRUE),--(calc!$AX$3:$AX$306&gt;AX215))+(SUMPRODUCT(--(calc!$AV$3:$AV$306=TRUE),--(calc!$AX$3:$AX$306=AX215))-1)/2,"")</f>
        <v/>
      </c>
      <c r="BC215" s="5">
        <f>IF(AV215,SUMPRODUCT(--(calc!$AV$3:$AV$306=TRUE),--(ROW(calc!$AV$3:$AV$306)&gt;ROW(AV215)),--(((calc!$BA$3:$BA$306&gt;BA215)*(calc!$BB$3:$BB$306&gt;BB215)+(calc!$BA$3:$BA$306&lt;BA215)*(calc!$BB$3:$BB$306&lt;BB215))&gt;0))-SUMPRODUCT(--(calc!$AV$3:$AV$306=TRUE),--(ROW(calc!$AV$3:$AV$306)&gt;ROW(AV215)),--(((calc!$BA$3:$BA$306&gt;BA215)*(calc!$BB$3:$BB$306&lt;BB215)+(calc!$BA$3:$BA$306&lt;BA215)*(calc!$BB$3:$BB$306&gt;BB215))&gt;0)),0)</f>
        <v/>
      </c>
      <c r="BD215" s="5">
        <f>IF(mos_metrics!L214="","",mos_metrics!L214)</f>
        <v/>
      </c>
      <c r="BE215" s="2">
        <f>AND($J215,ISNUMBER(BD215),correlation!$I$31=1)</f>
        <v/>
      </c>
      <c r="BF215" s="5">
        <f>IF(BE215,$F215,"")</f>
        <v/>
      </c>
      <c r="BG215" s="5">
        <f>IF(BE215,BD215*correlation!$J$31,"")</f>
        <v/>
      </c>
      <c r="BH215" s="5">
        <f>IF(AND(BE215,ISNUMBER(correlation!$F$31)),BG215*correlation!$F$31+correlation!$G$31,"")</f>
        <v/>
      </c>
      <c r="BI215" s="5">
        <f>IF(AND(BE215,ISNUMBER(BH215)),(BF215-BH215)^2,"")</f>
        <v/>
      </c>
      <c r="BJ215" s="5">
        <f>IF(BE215,1+SUMPRODUCT(--(calc!$BE$3:$BE$306=TRUE),--(calc!$BF$3:$BF$306&gt;BF215))+(SUMPRODUCT(--(calc!$BE$3:$BE$306=TRUE),--(calc!$BF$3:$BF$306=BF215))-1)/2,"")</f>
        <v/>
      </c>
      <c r="BK215" s="5">
        <f>IF(BE215,1+SUMPRODUCT(--(calc!$BE$3:$BE$306=TRUE),--(calc!$BG$3:$BG$306&gt;BG215))+(SUMPRODUCT(--(calc!$BE$3:$BE$306=TRUE),--(calc!$BG$3:$BG$306=BG215))-1)/2,"")</f>
        <v/>
      </c>
      <c r="BL215" s="5">
        <f>IF(BE215,SUMPRODUCT(--(calc!$BE$3:$BE$306=TRUE),--(ROW(calc!$BE$3:$BE$306)&gt;ROW(BE215)),--(((calc!$BJ$3:$BJ$306&gt;BJ215)*(calc!$BK$3:$BK$306&gt;BK215)+(calc!$BJ$3:$BJ$306&lt;BJ215)*(calc!$BK$3:$BK$306&lt;BK215))&gt;0))-SUMPRODUCT(--(calc!$BE$3:$BE$306=TRUE),--(ROW(calc!$BE$3:$BE$306)&gt;ROW(BE215)),--(((calc!$BJ$3:$BJ$306&gt;BJ215)*(calc!$BK$3:$BK$306&lt;BK215)+(calc!$BJ$3:$BJ$306&lt;BJ215)*(calc!$BK$3:$BK$306&gt;BK215))&gt;0)),0)</f>
        <v/>
      </c>
      <c r="BM215" s="5">
        <f>IF(mos_metrics!M214="","",mos_metrics!M214)</f>
        <v/>
      </c>
      <c r="BN215" s="2">
        <f>AND($J215,ISNUMBER(BM215),correlation!$I$32=1)</f>
        <v/>
      </c>
      <c r="BO215" s="5">
        <f>IF(BN215,$F215,"")</f>
        <v/>
      </c>
      <c r="BP215" s="5">
        <f>IF(BN215,BM215*correlation!$J$32,"")</f>
        <v/>
      </c>
      <c r="BQ215" s="5">
        <f>IF(AND(BN215,ISNUMBER(correlation!$F$32)),BP215*correlation!$F$32+correlation!$G$32,"")</f>
        <v/>
      </c>
      <c r="BR215" s="5">
        <f>IF(AND(BN215,ISNUMBER(BQ215)),(BO215-BQ215)^2,"")</f>
        <v/>
      </c>
      <c r="BS215" s="5">
        <f>IF(BN215,1+SUMPRODUCT(--(calc!$BN$3:$BN$306=TRUE),--(calc!$BO$3:$BO$306&gt;BO215))+(SUMPRODUCT(--(calc!$BN$3:$BN$306=TRUE),--(calc!$BO$3:$BO$306=BO215))-1)/2,"")</f>
        <v/>
      </c>
      <c r="BT215" s="5">
        <f>IF(BN215,1+SUMPRODUCT(--(calc!$BN$3:$BN$306=TRUE),--(calc!$BP$3:$BP$306&gt;BP215))+(SUMPRODUCT(--(calc!$BN$3:$BN$306=TRUE),--(calc!$BP$3:$BP$306=BP215))-1)/2,"")</f>
        <v/>
      </c>
      <c r="BU215" s="5">
        <f>IF(BN215,SUMPRODUCT(--(calc!$BN$3:$BN$306=TRUE),--(ROW(calc!$BN$3:$BN$306)&gt;ROW(BN215)),--(((calc!$BS$3:$BS$306&gt;BS215)*(calc!$BT$3:$BT$306&gt;BT215)+(calc!$BS$3:$BS$306&lt;BS215)*(calc!$BT$3:$BT$306&lt;BT215))&gt;0))-SUMPRODUCT(--(calc!$BN$3:$BN$306=TRUE),--(ROW(calc!$BN$3:$BN$306)&gt;ROW(BN215)),--(((calc!$BS$3:$BS$306&gt;BS215)*(calc!$BT$3:$BT$306&lt;BT215)+(calc!$BS$3:$BS$306&lt;BS215)*(calc!$BT$3:$BT$306&gt;BT215))&gt;0)),0)</f>
        <v/>
      </c>
    </row>
    <row r="216">
      <c r="A216" s="2">
        <f>mos_metrics!A215</f>
        <v/>
      </c>
      <c r="B216" s="2">
        <f>mos_metrics!B215</f>
        <v/>
      </c>
      <c r="C216" s="2">
        <f>mos_metrics!C215</f>
        <v/>
      </c>
      <c r="D216" s="2">
        <f>mos_metrics!D215</f>
        <v/>
      </c>
      <c r="E216" s="2">
        <f>mos_metrics!E215</f>
        <v/>
      </c>
      <c r="F216" s="2">
        <f>mos_metrics!F215</f>
        <v/>
      </c>
      <c r="G216" s="2">
        <f>IF($B216="","",IFERROR(VLOOKUP($B216,correlation!$A$2:$B$16,2,FALSE),1))</f>
        <v/>
      </c>
      <c r="H216" s="2">
        <f>IF($E216="","",IFERROR(VLOOKUP($E216,correlation!$D$2:$E$8,2,FALSE),1))</f>
        <v/>
      </c>
      <c r="I216" s="2">
        <f>ISNUMBER($F216)</f>
        <v/>
      </c>
      <c r="J216" s="2">
        <f>AND($G216=1,$H216=1,$I216)</f>
        <v/>
      </c>
      <c r="K216" s="5">
        <f>IF(mos_metrics!G215="","",mos_metrics!G215)</f>
        <v/>
      </c>
      <c r="L216" s="2">
        <f>AND($J216,ISNUMBER(K216),correlation!$I$26=1)</f>
        <v/>
      </c>
      <c r="M216" s="5">
        <f>IF(L216,$F216,"")</f>
        <v/>
      </c>
      <c r="N216" s="5">
        <f>IF(L216,K216*correlation!$J$26,"")</f>
        <v/>
      </c>
      <c r="O216" s="5">
        <f>IF(AND(L216,ISNUMBER(correlation!$F$26)),N216*correlation!$F$26+correlation!$G$26,"")</f>
        <v/>
      </c>
      <c r="P216" s="5">
        <f>IF(AND(L216,ISNUMBER(O216)),(M216-O216)^2,"")</f>
        <v/>
      </c>
      <c r="Q216" s="5">
        <f>IF(L216,1+SUMPRODUCT(--(calc!$L$3:$L$306=TRUE),--(calc!$M$3:$M$306&gt;M216))+(SUMPRODUCT(--(calc!$L$3:$L$306=TRUE),--(calc!$M$3:$M$306=M216))-1)/2,"")</f>
        <v/>
      </c>
      <c r="R216" s="5">
        <f>IF(L216,1+SUMPRODUCT(--(calc!$L$3:$L$306=TRUE),--(calc!$N$3:$N$306&gt;N216))+(SUMPRODUCT(--(calc!$L$3:$L$306=TRUE),--(calc!$N$3:$N$306=N216))-1)/2,"")</f>
        <v/>
      </c>
      <c r="S216" s="5">
        <f>IF(L216,SUMPRODUCT(--(calc!$L$3:$L$306=TRUE),--(ROW(calc!$L$3:$L$306)&gt;ROW(L216)),--(((calc!$Q$3:$Q$306&gt;Q216)*(calc!$R$3:$R$306&gt;R216)+(calc!$Q$3:$Q$306&lt;Q216)*(calc!$R$3:$R$306&lt;R216))&gt;0))-SUMPRODUCT(--(calc!$L$3:$L$306=TRUE),--(ROW(calc!$L$3:$L$306)&gt;ROW(L216)),--(((calc!$Q$3:$Q$306&gt;Q216)*(calc!$R$3:$R$306&lt;R216)+(calc!$Q$3:$Q$306&lt;Q216)*(calc!$R$3:$R$306&gt;R216))&gt;0)),0)</f>
        <v/>
      </c>
      <c r="T216" s="5">
        <f>IF(mos_metrics!H215="","",mos_metrics!H215)</f>
        <v/>
      </c>
      <c r="U216" s="2">
        <f>AND($J216,ISNUMBER(T216),correlation!$I$27=1)</f>
        <v/>
      </c>
      <c r="V216" s="5">
        <f>IF(U216,$F216,"")</f>
        <v/>
      </c>
      <c r="W216" s="5">
        <f>IF(U216,T216*correlation!$J$27,"")</f>
        <v/>
      </c>
      <c r="X216" s="5">
        <f>IF(AND(U216,ISNUMBER(correlation!$F$27)),W216*correlation!$F$27+correlation!$G$27,"")</f>
        <v/>
      </c>
      <c r="Y216" s="5">
        <f>IF(AND(U216,ISNUMBER(X216)),(V216-X216)^2,"")</f>
        <v/>
      </c>
      <c r="Z216" s="5">
        <f>IF(U216,1+SUMPRODUCT(--(calc!$U$3:$U$306=TRUE),--(calc!$V$3:$V$306&gt;V216))+(SUMPRODUCT(--(calc!$U$3:$U$306=TRUE),--(calc!$V$3:$V$306=V216))-1)/2,"")</f>
        <v/>
      </c>
      <c r="AA216" s="5">
        <f>IF(U216,1+SUMPRODUCT(--(calc!$U$3:$U$306=TRUE),--(calc!$W$3:$W$306&gt;W216))+(SUMPRODUCT(--(calc!$U$3:$U$306=TRUE),--(calc!$W$3:$W$306=W216))-1)/2,"")</f>
        <v/>
      </c>
      <c r="AB216" s="5">
        <f>IF(U216,SUMPRODUCT(--(calc!$U$3:$U$306=TRUE),--(ROW(calc!$U$3:$U$306)&gt;ROW(U216)),--(((calc!$Z$3:$Z$306&gt;Z216)*(calc!$AA$3:$AA$306&gt;AA216)+(calc!$Z$3:$Z$306&lt;Z216)*(calc!$AA$3:$AA$306&lt;AA216))&gt;0))-SUMPRODUCT(--(calc!$U$3:$U$306=TRUE),--(ROW(calc!$U$3:$U$306)&gt;ROW(U216)),--(((calc!$Z$3:$Z$306&gt;Z216)*(calc!$AA$3:$AA$306&lt;AA216)+(calc!$Z$3:$Z$306&lt;Z216)*(calc!$AA$3:$AA$306&gt;AA216))&gt;0)),0)</f>
        <v/>
      </c>
      <c r="AC216" s="5">
        <f>IF(mos_metrics!I215="","",mos_metrics!I215)</f>
        <v/>
      </c>
      <c r="AD216" s="2">
        <f>AND($J216,ISNUMBER(AC216),correlation!$I$28=1)</f>
        <v/>
      </c>
      <c r="AE216" s="5">
        <f>IF(AD216,$F216,"")</f>
        <v/>
      </c>
      <c r="AF216" s="5">
        <f>IF(AD216,AC216*correlation!$J$28,"")</f>
        <v/>
      </c>
      <c r="AG216" s="5">
        <f>IF(AND(AD216,ISNUMBER(correlation!$F$28)),AF216*correlation!$F$28+correlation!$G$28,"")</f>
        <v/>
      </c>
      <c r="AH216" s="5">
        <f>IF(AND(AD216,ISNUMBER(AG216)),(AE216-AG216)^2,"")</f>
        <v/>
      </c>
      <c r="AI216" s="5">
        <f>IF(AD216,1+SUMPRODUCT(--(calc!$AD$3:$AD$306=TRUE),--(calc!$AE$3:$AE$306&gt;AE216))+(SUMPRODUCT(--(calc!$AD$3:$AD$306=TRUE),--(calc!$AE$3:$AE$306=AE216))-1)/2,"")</f>
        <v/>
      </c>
      <c r="AJ216" s="5">
        <f>IF(AD216,1+SUMPRODUCT(--(calc!$AD$3:$AD$306=TRUE),--(calc!$AF$3:$AF$306&gt;AF216))+(SUMPRODUCT(--(calc!$AD$3:$AD$306=TRUE),--(calc!$AF$3:$AF$306=AF216))-1)/2,"")</f>
        <v/>
      </c>
      <c r="AK216" s="5">
        <f>IF(AD216,SUMPRODUCT(--(calc!$AD$3:$AD$306=TRUE),--(ROW(calc!$AD$3:$AD$306)&gt;ROW(AD216)),--(((calc!$AI$3:$AI$306&gt;AI216)*(calc!$AJ$3:$AJ$306&gt;AJ216)+(calc!$AI$3:$AI$306&lt;AI216)*(calc!$AJ$3:$AJ$306&lt;AJ216))&gt;0))-SUMPRODUCT(--(calc!$AD$3:$AD$306=TRUE),--(ROW(calc!$AD$3:$AD$306)&gt;ROW(AD216)),--(((calc!$AI$3:$AI$306&gt;AI216)*(calc!$AJ$3:$AJ$306&lt;AJ216)+(calc!$AI$3:$AI$306&lt;AI216)*(calc!$AJ$3:$AJ$306&gt;AJ216))&gt;0)),0)</f>
        <v/>
      </c>
      <c r="AL216" s="5">
        <f>IF(mos_metrics!J215="","",mos_metrics!J215)</f>
        <v/>
      </c>
      <c r="AM216" s="2">
        <f>AND($J216,ISNUMBER(AL216),correlation!$I$29=1)</f>
        <v/>
      </c>
      <c r="AN216" s="5">
        <f>IF(AM216,$F216,"")</f>
        <v/>
      </c>
      <c r="AO216" s="5">
        <f>IF(AM216,AL216*correlation!$J$29,"")</f>
        <v/>
      </c>
      <c r="AP216" s="5">
        <f>IF(AND(AM216,ISNUMBER(correlation!$F$29)),AO216*correlation!$F$29+correlation!$G$29,"")</f>
        <v/>
      </c>
      <c r="AQ216" s="5">
        <f>IF(AND(AM216,ISNUMBER(AP216)),(AN216-AP216)^2,"")</f>
        <v/>
      </c>
      <c r="AR216" s="5">
        <f>IF(AM216,1+SUMPRODUCT(--(calc!$AM$3:$AM$306=TRUE),--(calc!$AN$3:$AN$306&gt;AN216))+(SUMPRODUCT(--(calc!$AM$3:$AM$306=TRUE),--(calc!$AN$3:$AN$306=AN216))-1)/2,"")</f>
        <v/>
      </c>
      <c r="AS216" s="5">
        <f>IF(AM216,1+SUMPRODUCT(--(calc!$AM$3:$AM$306=TRUE),--(calc!$AO$3:$AO$306&gt;AO216))+(SUMPRODUCT(--(calc!$AM$3:$AM$306=TRUE),--(calc!$AO$3:$AO$306=AO216))-1)/2,"")</f>
        <v/>
      </c>
      <c r="AT216" s="5">
        <f>IF(AM216,SUMPRODUCT(--(calc!$AM$3:$AM$306=TRUE),--(ROW(calc!$AM$3:$AM$306)&gt;ROW(AM216)),--(((calc!$AR$3:$AR$306&gt;AR216)*(calc!$AS$3:$AS$306&gt;AS216)+(calc!$AR$3:$AR$306&lt;AR216)*(calc!$AS$3:$AS$306&lt;AS216))&gt;0))-SUMPRODUCT(--(calc!$AM$3:$AM$306=TRUE),--(ROW(calc!$AM$3:$AM$306)&gt;ROW(AM216)),--(((calc!$AR$3:$AR$306&gt;AR216)*(calc!$AS$3:$AS$306&lt;AS216)+(calc!$AR$3:$AR$306&lt;AR216)*(calc!$AS$3:$AS$306&gt;AS216))&gt;0)),0)</f>
        <v/>
      </c>
      <c r="AU216" s="5">
        <f>IF(mos_metrics!K215="","",mos_metrics!K215)</f>
        <v/>
      </c>
      <c r="AV216" s="2">
        <f>AND($J216,ISNUMBER(AU216),correlation!$I$30=1)</f>
        <v/>
      </c>
      <c r="AW216" s="5">
        <f>IF(AV216,$F216,"")</f>
        <v/>
      </c>
      <c r="AX216" s="5">
        <f>IF(AV216,AU216*correlation!$J$30,"")</f>
        <v/>
      </c>
      <c r="AY216" s="5">
        <f>IF(AND(AV216,ISNUMBER(correlation!$F$30)),AX216*correlation!$F$30+correlation!$G$30,"")</f>
        <v/>
      </c>
      <c r="AZ216" s="5">
        <f>IF(AND(AV216,ISNUMBER(AY216)),(AW216-AY216)^2,"")</f>
        <v/>
      </c>
      <c r="BA216" s="5">
        <f>IF(AV216,1+SUMPRODUCT(--(calc!$AV$3:$AV$306=TRUE),--(calc!$AW$3:$AW$306&gt;AW216))+(SUMPRODUCT(--(calc!$AV$3:$AV$306=TRUE),--(calc!$AW$3:$AW$306=AW216))-1)/2,"")</f>
        <v/>
      </c>
      <c r="BB216" s="5">
        <f>IF(AV216,1+SUMPRODUCT(--(calc!$AV$3:$AV$306=TRUE),--(calc!$AX$3:$AX$306&gt;AX216))+(SUMPRODUCT(--(calc!$AV$3:$AV$306=TRUE),--(calc!$AX$3:$AX$306=AX216))-1)/2,"")</f>
        <v/>
      </c>
      <c r="BC216" s="5">
        <f>IF(AV216,SUMPRODUCT(--(calc!$AV$3:$AV$306=TRUE),--(ROW(calc!$AV$3:$AV$306)&gt;ROW(AV216)),--(((calc!$BA$3:$BA$306&gt;BA216)*(calc!$BB$3:$BB$306&gt;BB216)+(calc!$BA$3:$BA$306&lt;BA216)*(calc!$BB$3:$BB$306&lt;BB216))&gt;0))-SUMPRODUCT(--(calc!$AV$3:$AV$306=TRUE),--(ROW(calc!$AV$3:$AV$306)&gt;ROW(AV216)),--(((calc!$BA$3:$BA$306&gt;BA216)*(calc!$BB$3:$BB$306&lt;BB216)+(calc!$BA$3:$BA$306&lt;BA216)*(calc!$BB$3:$BB$306&gt;BB216))&gt;0)),0)</f>
        <v/>
      </c>
      <c r="BD216" s="5">
        <f>IF(mos_metrics!L215="","",mos_metrics!L215)</f>
        <v/>
      </c>
      <c r="BE216" s="2">
        <f>AND($J216,ISNUMBER(BD216),correlation!$I$31=1)</f>
        <v/>
      </c>
      <c r="BF216" s="5">
        <f>IF(BE216,$F216,"")</f>
        <v/>
      </c>
      <c r="BG216" s="5">
        <f>IF(BE216,BD216*correlation!$J$31,"")</f>
        <v/>
      </c>
      <c r="BH216" s="5">
        <f>IF(AND(BE216,ISNUMBER(correlation!$F$31)),BG216*correlation!$F$31+correlation!$G$31,"")</f>
        <v/>
      </c>
      <c r="BI216" s="5">
        <f>IF(AND(BE216,ISNUMBER(BH216)),(BF216-BH216)^2,"")</f>
        <v/>
      </c>
      <c r="BJ216" s="5">
        <f>IF(BE216,1+SUMPRODUCT(--(calc!$BE$3:$BE$306=TRUE),--(calc!$BF$3:$BF$306&gt;BF216))+(SUMPRODUCT(--(calc!$BE$3:$BE$306=TRUE),--(calc!$BF$3:$BF$306=BF216))-1)/2,"")</f>
        <v/>
      </c>
      <c r="BK216" s="5">
        <f>IF(BE216,1+SUMPRODUCT(--(calc!$BE$3:$BE$306=TRUE),--(calc!$BG$3:$BG$306&gt;BG216))+(SUMPRODUCT(--(calc!$BE$3:$BE$306=TRUE),--(calc!$BG$3:$BG$306=BG216))-1)/2,"")</f>
        <v/>
      </c>
      <c r="BL216" s="5">
        <f>IF(BE216,SUMPRODUCT(--(calc!$BE$3:$BE$306=TRUE),--(ROW(calc!$BE$3:$BE$306)&gt;ROW(BE216)),--(((calc!$BJ$3:$BJ$306&gt;BJ216)*(calc!$BK$3:$BK$306&gt;BK216)+(calc!$BJ$3:$BJ$306&lt;BJ216)*(calc!$BK$3:$BK$306&lt;BK216))&gt;0))-SUMPRODUCT(--(calc!$BE$3:$BE$306=TRUE),--(ROW(calc!$BE$3:$BE$306)&gt;ROW(BE216)),--(((calc!$BJ$3:$BJ$306&gt;BJ216)*(calc!$BK$3:$BK$306&lt;BK216)+(calc!$BJ$3:$BJ$306&lt;BJ216)*(calc!$BK$3:$BK$306&gt;BK216))&gt;0)),0)</f>
        <v/>
      </c>
      <c r="BM216" s="5">
        <f>IF(mos_metrics!M215="","",mos_metrics!M215)</f>
        <v/>
      </c>
      <c r="BN216" s="2">
        <f>AND($J216,ISNUMBER(BM216),correlation!$I$32=1)</f>
        <v/>
      </c>
      <c r="BO216" s="5">
        <f>IF(BN216,$F216,"")</f>
        <v/>
      </c>
      <c r="BP216" s="5">
        <f>IF(BN216,BM216*correlation!$J$32,"")</f>
        <v/>
      </c>
      <c r="BQ216" s="5">
        <f>IF(AND(BN216,ISNUMBER(correlation!$F$32)),BP216*correlation!$F$32+correlation!$G$32,"")</f>
        <v/>
      </c>
      <c r="BR216" s="5">
        <f>IF(AND(BN216,ISNUMBER(BQ216)),(BO216-BQ216)^2,"")</f>
        <v/>
      </c>
      <c r="BS216" s="5">
        <f>IF(BN216,1+SUMPRODUCT(--(calc!$BN$3:$BN$306=TRUE),--(calc!$BO$3:$BO$306&gt;BO216))+(SUMPRODUCT(--(calc!$BN$3:$BN$306=TRUE),--(calc!$BO$3:$BO$306=BO216))-1)/2,"")</f>
        <v/>
      </c>
      <c r="BT216" s="5">
        <f>IF(BN216,1+SUMPRODUCT(--(calc!$BN$3:$BN$306=TRUE),--(calc!$BP$3:$BP$306&gt;BP216))+(SUMPRODUCT(--(calc!$BN$3:$BN$306=TRUE),--(calc!$BP$3:$BP$306=BP216))-1)/2,"")</f>
        <v/>
      </c>
      <c r="BU216" s="5">
        <f>IF(BN216,SUMPRODUCT(--(calc!$BN$3:$BN$306=TRUE),--(ROW(calc!$BN$3:$BN$306)&gt;ROW(BN216)),--(((calc!$BS$3:$BS$306&gt;BS216)*(calc!$BT$3:$BT$306&gt;BT216)+(calc!$BS$3:$BS$306&lt;BS216)*(calc!$BT$3:$BT$306&lt;BT216))&gt;0))-SUMPRODUCT(--(calc!$BN$3:$BN$306=TRUE),--(ROW(calc!$BN$3:$BN$306)&gt;ROW(BN216)),--(((calc!$BS$3:$BS$306&gt;BS216)*(calc!$BT$3:$BT$306&lt;BT216)+(calc!$BS$3:$BS$306&lt;BS216)*(calc!$BT$3:$BT$306&gt;BT216))&gt;0)),0)</f>
        <v/>
      </c>
    </row>
    <row r="217">
      <c r="A217" s="2">
        <f>mos_metrics!A216</f>
        <v/>
      </c>
      <c r="B217" s="2">
        <f>mos_metrics!B216</f>
        <v/>
      </c>
      <c r="C217" s="2">
        <f>mos_metrics!C216</f>
        <v/>
      </c>
      <c r="D217" s="2">
        <f>mos_metrics!D216</f>
        <v/>
      </c>
      <c r="E217" s="2">
        <f>mos_metrics!E216</f>
        <v/>
      </c>
      <c r="F217" s="2">
        <f>mos_metrics!F216</f>
        <v/>
      </c>
      <c r="G217" s="2">
        <f>IF($B217="","",IFERROR(VLOOKUP($B217,correlation!$A$2:$B$16,2,FALSE),1))</f>
        <v/>
      </c>
      <c r="H217" s="2">
        <f>IF($E217="","",IFERROR(VLOOKUP($E217,correlation!$D$2:$E$8,2,FALSE),1))</f>
        <v/>
      </c>
      <c r="I217" s="2">
        <f>ISNUMBER($F217)</f>
        <v/>
      </c>
      <c r="J217" s="2">
        <f>AND($G217=1,$H217=1,$I217)</f>
        <v/>
      </c>
      <c r="K217" s="5">
        <f>IF(mos_metrics!G216="","",mos_metrics!G216)</f>
        <v/>
      </c>
      <c r="L217" s="2">
        <f>AND($J217,ISNUMBER(K217),correlation!$I$26=1)</f>
        <v/>
      </c>
      <c r="M217" s="5">
        <f>IF(L217,$F217,"")</f>
        <v/>
      </c>
      <c r="N217" s="5">
        <f>IF(L217,K217*correlation!$J$26,"")</f>
        <v/>
      </c>
      <c r="O217" s="5">
        <f>IF(AND(L217,ISNUMBER(correlation!$F$26)),N217*correlation!$F$26+correlation!$G$26,"")</f>
        <v/>
      </c>
      <c r="P217" s="5">
        <f>IF(AND(L217,ISNUMBER(O217)),(M217-O217)^2,"")</f>
        <v/>
      </c>
      <c r="Q217" s="5">
        <f>IF(L217,1+SUMPRODUCT(--(calc!$L$3:$L$306=TRUE),--(calc!$M$3:$M$306&gt;M217))+(SUMPRODUCT(--(calc!$L$3:$L$306=TRUE),--(calc!$M$3:$M$306=M217))-1)/2,"")</f>
        <v/>
      </c>
      <c r="R217" s="5">
        <f>IF(L217,1+SUMPRODUCT(--(calc!$L$3:$L$306=TRUE),--(calc!$N$3:$N$306&gt;N217))+(SUMPRODUCT(--(calc!$L$3:$L$306=TRUE),--(calc!$N$3:$N$306=N217))-1)/2,"")</f>
        <v/>
      </c>
      <c r="S217" s="5">
        <f>IF(L217,SUMPRODUCT(--(calc!$L$3:$L$306=TRUE),--(ROW(calc!$L$3:$L$306)&gt;ROW(L217)),--(((calc!$Q$3:$Q$306&gt;Q217)*(calc!$R$3:$R$306&gt;R217)+(calc!$Q$3:$Q$306&lt;Q217)*(calc!$R$3:$R$306&lt;R217))&gt;0))-SUMPRODUCT(--(calc!$L$3:$L$306=TRUE),--(ROW(calc!$L$3:$L$306)&gt;ROW(L217)),--(((calc!$Q$3:$Q$306&gt;Q217)*(calc!$R$3:$R$306&lt;R217)+(calc!$Q$3:$Q$306&lt;Q217)*(calc!$R$3:$R$306&gt;R217))&gt;0)),0)</f>
        <v/>
      </c>
      <c r="T217" s="5">
        <f>IF(mos_metrics!H216="","",mos_metrics!H216)</f>
        <v/>
      </c>
      <c r="U217" s="2">
        <f>AND($J217,ISNUMBER(T217),correlation!$I$27=1)</f>
        <v/>
      </c>
      <c r="V217" s="5">
        <f>IF(U217,$F217,"")</f>
        <v/>
      </c>
      <c r="W217" s="5">
        <f>IF(U217,T217*correlation!$J$27,"")</f>
        <v/>
      </c>
      <c r="X217" s="5">
        <f>IF(AND(U217,ISNUMBER(correlation!$F$27)),W217*correlation!$F$27+correlation!$G$27,"")</f>
        <v/>
      </c>
      <c r="Y217" s="5">
        <f>IF(AND(U217,ISNUMBER(X217)),(V217-X217)^2,"")</f>
        <v/>
      </c>
      <c r="Z217" s="5">
        <f>IF(U217,1+SUMPRODUCT(--(calc!$U$3:$U$306=TRUE),--(calc!$V$3:$V$306&gt;V217))+(SUMPRODUCT(--(calc!$U$3:$U$306=TRUE),--(calc!$V$3:$V$306=V217))-1)/2,"")</f>
        <v/>
      </c>
      <c r="AA217" s="5">
        <f>IF(U217,1+SUMPRODUCT(--(calc!$U$3:$U$306=TRUE),--(calc!$W$3:$W$306&gt;W217))+(SUMPRODUCT(--(calc!$U$3:$U$306=TRUE),--(calc!$W$3:$W$306=W217))-1)/2,"")</f>
        <v/>
      </c>
      <c r="AB217" s="5">
        <f>IF(U217,SUMPRODUCT(--(calc!$U$3:$U$306=TRUE),--(ROW(calc!$U$3:$U$306)&gt;ROW(U217)),--(((calc!$Z$3:$Z$306&gt;Z217)*(calc!$AA$3:$AA$306&gt;AA217)+(calc!$Z$3:$Z$306&lt;Z217)*(calc!$AA$3:$AA$306&lt;AA217))&gt;0))-SUMPRODUCT(--(calc!$U$3:$U$306=TRUE),--(ROW(calc!$U$3:$U$306)&gt;ROW(U217)),--(((calc!$Z$3:$Z$306&gt;Z217)*(calc!$AA$3:$AA$306&lt;AA217)+(calc!$Z$3:$Z$306&lt;Z217)*(calc!$AA$3:$AA$306&gt;AA217))&gt;0)),0)</f>
        <v/>
      </c>
      <c r="AC217" s="5">
        <f>IF(mos_metrics!I216="","",mos_metrics!I216)</f>
        <v/>
      </c>
      <c r="AD217" s="2">
        <f>AND($J217,ISNUMBER(AC217),correlation!$I$28=1)</f>
        <v/>
      </c>
      <c r="AE217" s="5">
        <f>IF(AD217,$F217,"")</f>
        <v/>
      </c>
      <c r="AF217" s="5">
        <f>IF(AD217,AC217*correlation!$J$28,"")</f>
        <v/>
      </c>
      <c r="AG217" s="5">
        <f>IF(AND(AD217,ISNUMBER(correlation!$F$28)),AF217*correlation!$F$28+correlation!$G$28,"")</f>
        <v/>
      </c>
      <c r="AH217" s="5">
        <f>IF(AND(AD217,ISNUMBER(AG217)),(AE217-AG217)^2,"")</f>
        <v/>
      </c>
      <c r="AI217" s="5">
        <f>IF(AD217,1+SUMPRODUCT(--(calc!$AD$3:$AD$306=TRUE),--(calc!$AE$3:$AE$306&gt;AE217))+(SUMPRODUCT(--(calc!$AD$3:$AD$306=TRUE),--(calc!$AE$3:$AE$306=AE217))-1)/2,"")</f>
        <v/>
      </c>
      <c r="AJ217" s="5">
        <f>IF(AD217,1+SUMPRODUCT(--(calc!$AD$3:$AD$306=TRUE),--(calc!$AF$3:$AF$306&gt;AF217))+(SUMPRODUCT(--(calc!$AD$3:$AD$306=TRUE),--(calc!$AF$3:$AF$306=AF217))-1)/2,"")</f>
        <v/>
      </c>
      <c r="AK217" s="5">
        <f>IF(AD217,SUMPRODUCT(--(calc!$AD$3:$AD$306=TRUE),--(ROW(calc!$AD$3:$AD$306)&gt;ROW(AD217)),--(((calc!$AI$3:$AI$306&gt;AI217)*(calc!$AJ$3:$AJ$306&gt;AJ217)+(calc!$AI$3:$AI$306&lt;AI217)*(calc!$AJ$3:$AJ$306&lt;AJ217))&gt;0))-SUMPRODUCT(--(calc!$AD$3:$AD$306=TRUE),--(ROW(calc!$AD$3:$AD$306)&gt;ROW(AD217)),--(((calc!$AI$3:$AI$306&gt;AI217)*(calc!$AJ$3:$AJ$306&lt;AJ217)+(calc!$AI$3:$AI$306&lt;AI217)*(calc!$AJ$3:$AJ$306&gt;AJ217))&gt;0)),0)</f>
        <v/>
      </c>
      <c r="AL217" s="5">
        <f>IF(mos_metrics!J216="","",mos_metrics!J216)</f>
        <v/>
      </c>
      <c r="AM217" s="2">
        <f>AND($J217,ISNUMBER(AL217),correlation!$I$29=1)</f>
        <v/>
      </c>
      <c r="AN217" s="5">
        <f>IF(AM217,$F217,"")</f>
        <v/>
      </c>
      <c r="AO217" s="5">
        <f>IF(AM217,AL217*correlation!$J$29,"")</f>
        <v/>
      </c>
      <c r="AP217" s="5">
        <f>IF(AND(AM217,ISNUMBER(correlation!$F$29)),AO217*correlation!$F$29+correlation!$G$29,"")</f>
        <v/>
      </c>
      <c r="AQ217" s="5">
        <f>IF(AND(AM217,ISNUMBER(AP217)),(AN217-AP217)^2,"")</f>
        <v/>
      </c>
      <c r="AR217" s="5">
        <f>IF(AM217,1+SUMPRODUCT(--(calc!$AM$3:$AM$306=TRUE),--(calc!$AN$3:$AN$306&gt;AN217))+(SUMPRODUCT(--(calc!$AM$3:$AM$306=TRUE),--(calc!$AN$3:$AN$306=AN217))-1)/2,"")</f>
        <v/>
      </c>
      <c r="AS217" s="5">
        <f>IF(AM217,1+SUMPRODUCT(--(calc!$AM$3:$AM$306=TRUE),--(calc!$AO$3:$AO$306&gt;AO217))+(SUMPRODUCT(--(calc!$AM$3:$AM$306=TRUE),--(calc!$AO$3:$AO$306=AO217))-1)/2,"")</f>
        <v/>
      </c>
      <c r="AT217" s="5">
        <f>IF(AM217,SUMPRODUCT(--(calc!$AM$3:$AM$306=TRUE),--(ROW(calc!$AM$3:$AM$306)&gt;ROW(AM217)),--(((calc!$AR$3:$AR$306&gt;AR217)*(calc!$AS$3:$AS$306&gt;AS217)+(calc!$AR$3:$AR$306&lt;AR217)*(calc!$AS$3:$AS$306&lt;AS217))&gt;0))-SUMPRODUCT(--(calc!$AM$3:$AM$306=TRUE),--(ROW(calc!$AM$3:$AM$306)&gt;ROW(AM217)),--(((calc!$AR$3:$AR$306&gt;AR217)*(calc!$AS$3:$AS$306&lt;AS217)+(calc!$AR$3:$AR$306&lt;AR217)*(calc!$AS$3:$AS$306&gt;AS217))&gt;0)),0)</f>
        <v/>
      </c>
      <c r="AU217" s="5">
        <f>IF(mos_metrics!K216="","",mos_metrics!K216)</f>
        <v/>
      </c>
      <c r="AV217" s="2">
        <f>AND($J217,ISNUMBER(AU217),correlation!$I$30=1)</f>
        <v/>
      </c>
      <c r="AW217" s="5">
        <f>IF(AV217,$F217,"")</f>
        <v/>
      </c>
      <c r="AX217" s="5">
        <f>IF(AV217,AU217*correlation!$J$30,"")</f>
        <v/>
      </c>
      <c r="AY217" s="5">
        <f>IF(AND(AV217,ISNUMBER(correlation!$F$30)),AX217*correlation!$F$30+correlation!$G$30,"")</f>
        <v/>
      </c>
      <c r="AZ217" s="5">
        <f>IF(AND(AV217,ISNUMBER(AY217)),(AW217-AY217)^2,"")</f>
        <v/>
      </c>
      <c r="BA217" s="5">
        <f>IF(AV217,1+SUMPRODUCT(--(calc!$AV$3:$AV$306=TRUE),--(calc!$AW$3:$AW$306&gt;AW217))+(SUMPRODUCT(--(calc!$AV$3:$AV$306=TRUE),--(calc!$AW$3:$AW$306=AW217))-1)/2,"")</f>
        <v/>
      </c>
      <c r="BB217" s="5">
        <f>IF(AV217,1+SUMPRODUCT(--(calc!$AV$3:$AV$306=TRUE),--(calc!$AX$3:$AX$306&gt;AX217))+(SUMPRODUCT(--(calc!$AV$3:$AV$306=TRUE),--(calc!$AX$3:$AX$306=AX217))-1)/2,"")</f>
        <v/>
      </c>
      <c r="BC217" s="5">
        <f>IF(AV217,SUMPRODUCT(--(calc!$AV$3:$AV$306=TRUE),--(ROW(calc!$AV$3:$AV$306)&gt;ROW(AV217)),--(((calc!$BA$3:$BA$306&gt;BA217)*(calc!$BB$3:$BB$306&gt;BB217)+(calc!$BA$3:$BA$306&lt;BA217)*(calc!$BB$3:$BB$306&lt;BB217))&gt;0))-SUMPRODUCT(--(calc!$AV$3:$AV$306=TRUE),--(ROW(calc!$AV$3:$AV$306)&gt;ROW(AV217)),--(((calc!$BA$3:$BA$306&gt;BA217)*(calc!$BB$3:$BB$306&lt;BB217)+(calc!$BA$3:$BA$306&lt;BA217)*(calc!$BB$3:$BB$306&gt;BB217))&gt;0)),0)</f>
        <v/>
      </c>
      <c r="BD217" s="5">
        <f>IF(mos_metrics!L216="","",mos_metrics!L216)</f>
        <v/>
      </c>
      <c r="BE217" s="2">
        <f>AND($J217,ISNUMBER(BD217),correlation!$I$31=1)</f>
        <v/>
      </c>
      <c r="BF217" s="5">
        <f>IF(BE217,$F217,"")</f>
        <v/>
      </c>
      <c r="BG217" s="5">
        <f>IF(BE217,BD217*correlation!$J$31,"")</f>
        <v/>
      </c>
      <c r="BH217" s="5">
        <f>IF(AND(BE217,ISNUMBER(correlation!$F$31)),BG217*correlation!$F$31+correlation!$G$31,"")</f>
        <v/>
      </c>
      <c r="BI217" s="5">
        <f>IF(AND(BE217,ISNUMBER(BH217)),(BF217-BH217)^2,"")</f>
        <v/>
      </c>
      <c r="BJ217" s="5">
        <f>IF(BE217,1+SUMPRODUCT(--(calc!$BE$3:$BE$306=TRUE),--(calc!$BF$3:$BF$306&gt;BF217))+(SUMPRODUCT(--(calc!$BE$3:$BE$306=TRUE),--(calc!$BF$3:$BF$306=BF217))-1)/2,"")</f>
        <v/>
      </c>
      <c r="BK217" s="5">
        <f>IF(BE217,1+SUMPRODUCT(--(calc!$BE$3:$BE$306=TRUE),--(calc!$BG$3:$BG$306&gt;BG217))+(SUMPRODUCT(--(calc!$BE$3:$BE$306=TRUE),--(calc!$BG$3:$BG$306=BG217))-1)/2,"")</f>
        <v/>
      </c>
      <c r="BL217" s="5">
        <f>IF(BE217,SUMPRODUCT(--(calc!$BE$3:$BE$306=TRUE),--(ROW(calc!$BE$3:$BE$306)&gt;ROW(BE217)),--(((calc!$BJ$3:$BJ$306&gt;BJ217)*(calc!$BK$3:$BK$306&gt;BK217)+(calc!$BJ$3:$BJ$306&lt;BJ217)*(calc!$BK$3:$BK$306&lt;BK217))&gt;0))-SUMPRODUCT(--(calc!$BE$3:$BE$306=TRUE),--(ROW(calc!$BE$3:$BE$306)&gt;ROW(BE217)),--(((calc!$BJ$3:$BJ$306&gt;BJ217)*(calc!$BK$3:$BK$306&lt;BK217)+(calc!$BJ$3:$BJ$306&lt;BJ217)*(calc!$BK$3:$BK$306&gt;BK217))&gt;0)),0)</f>
        <v/>
      </c>
      <c r="BM217" s="5">
        <f>IF(mos_metrics!M216="","",mos_metrics!M216)</f>
        <v/>
      </c>
      <c r="BN217" s="2">
        <f>AND($J217,ISNUMBER(BM217),correlation!$I$32=1)</f>
        <v/>
      </c>
      <c r="BO217" s="5">
        <f>IF(BN217,$F217,"")</f>
        <v/>
      </c>
      <c r="BP217" s="5">
        <f>IF(BN217,BM217*correlation!$J$32,"")</f>
        <v/>
      </c>
      <c r="BQ217" s="5">
        <f>IF(AND(BN217,ISNUMBER(correlation!$F$32)),BP217*correlation!$F$32+correlation!$G$32,"")</f>
        <v/>
      </c>
      <c r="BR217" s="5">
        <f>IF(AND(BN217,ISNUMBER(BQ217)),(BO217-BQ217)^2,"")</f>
        <v/>
      </c>
      <c r="BS217" s="5">
        <f>IF(BN217,1+SUMPRODUCT(--(calc!$BN$3:$BN$306=TRUE),--(calc!$BO$3:$BO$306&gt;BO217))+(SUMPRODUCT(--(calc!$BN$3:$BN$306=TRUE),--(calc!$BO$3:$BO$306=BO217))-1)/2,"")</f>
        <v/>
      </c>
      <c r="BT217" s="5">
        <f>IF(BN217,1+SUMPRODUCT(--(calc!$BN$3:$BN$306=TRUE),--(calc!$BP$3:$BP$306&gt;BP217))+(SUMPRODUCT(--(calc!$BN$3:$BN$306=TRUE),--(calc!$BP$3:$BP$306=BP217))-1)/2,"")</f>
        <v/>
      </c>
      <c r="BU217" s="5">
        <f>IF(BN217,SUMPRODUCT(--(calc!$BN$3:$BN$306=TRUE),--(ROW(calc!$BN$3:$BN$306)&gt;ROW(BN217)),--(((calc!$BS$3:$BS$306&gt;BS217)*(calc!$BT$3:$BT$306&gt;BT217)+(calc!$BS$3:$BS$306&lt;BS217)*(calc!$BT$3:$BT$306&lt;BT217))&gt;0))-SUMPRODUCT(--(calc!$BN$3:$BN$306=TRUE),--(ROW(calc!$BN$3:$BN$306)&gt;ROW(BN217)),--(((calc!$BS$3:$BS$306&gt;BS217)*(calc!$BT$3:$BT$306&lt;BT217)+(calc!$BS$3:$BS$306&lt;BS217)*(calc!$BT$3:$BT$306&gt;BT217))&gt;0)),0)</f>
        <v/>
      </c>
    </row>
    <row r="218">
      <c r="A218" s="2">
        <f>mos_metrics!A217</f>
        <v/>
      </c>
      <c r="B218" s="2">
        <f>mos_metrics!B217</f>
        <v/>
      </c>
      <c r="C218" s="2">
        <f>mos_metrics!C217</f>
        <v/>
      </c>
      <c r="D218" s="2">
        <f>mos_metrics!D217</f>
        <v/>
      </c>
      <c r="E218" s="2">
        <f>mos_metrics!E217</f>
        <v/>
      </c>
      <c r="F218" s="2">
        <f>mos_metrics!F217</f>
        <v/>
      </c>
      <c r="G218" s="2">
        <f>IF($B218="","",IFERROR(VLOOKUP($B218,correlation!$A$2:$B$16,2,FALSE),1))</f>
        <v/>
      </c>
      <c r="H218" s="2">
        <f>IF($E218="","",IFERROR(VLOOKUP($E218,correlation!$D$2:$E$8,2,FALSE),1))</f>
        <v/>
      </c>
      <c r="I218" s="2">
        <f>ISNUMBER($F218)</f>
        <v/>
      </c>
      <c r="J218" s="2">
        <f>AND($G218=1,$H218=1,$I218)</f>
        <v/>
      </c>
      <c r="K218" s="5">
        <f>IF(mos_metrics!G217="","",mos_metrics!G217)</f>
        <v/>
      </c>
      <c r="L218" s="2">
        <f>AND($J218,ISNUMBER(K218),correlation!$I$26=1)</f>
        <v/>
      </c>
      <c r="M218" s="5">
        <f>IF(L218,$F218,"")</f>
        <v/>
      </c>
      <c r="N218" s="5">
        <f>IF(L218,K218*correlation!$J$26,"")</f>
        <v/>
      </c>
      <c r="O218" s="5">
        <f>IF(AND(L218,ISNUMBER(correlation!$F$26)),N218*correlation!$F$26+correlation!$G$26,"")</f>
        <v/>
      </c>
      <c r="P218" s="5">
        <f>IF(AND(L218,ISNUMBER(O218)),(M218-O218)^2,"")</f>
        <v/>
      </c>
      <c r="Q218" s="5">
        <f>IF(L218,1+SUMPRODUCT(--(calc!$L$3:$L$306=TRUE),--(calc!$M$3:$M$306&gt;M218))+(SUMPRODUCT(--(calc!$L$3:$L$306=TRUE),--(calc!$M$3:$M$306=M218))-1)/2,"")</f>
        <v/>
      </c>
      <c r="R218" s="5">
        <f>IF(L218,1+SUMPRODUCT(--(calc!$L$3:$L$306=TRUE),--(calc!$N$3:$N$306&gt;N218))+(SUMPRODUCT(--(calc!$L$3:$L$306=TRUE),--(calc!$N$3:$N$306=N218))-1)/2,"")</f>
        <v/>
      </c>
      <c r="S218" s="5">
        <f>IF(L218,SUMPRODUCT(--(calc!$L$3:$L$306=TRUE),--(ROW(calc!$L$3:$L$306)&gt;ROW(L218)),--(((calc!$Q$3:$Q$306&gt;Q218)*(calc!$R$3:$R$306&gt;R218)+(calc!$Q$3:$Q$306&lt;Q218)*(calc!$R$3:$R$306&lt;R218))&gt;0))-SUMPRODUCT(--(calc!$L$3:$L$306=TRUE),--(ROW(calc!$L$3:$L$306)&gt;ROW(L218)),--(((calc!$Q$3:$Q$306&gt;Q218)*(calc!$R$3:$R$306&lt;R218)+(calc!$Q$3:$Q$306&lt;Q218)*(calc!$R$3:$R$306&gt;R218))&gt;0)),0)</f>
        <v/>
      </c>
      <c r="T218" s="5">
        <f>IF(mos_metrics!H217="","",mos_metrics!H217)</f>
        <v/>
      </c>
      <c r="U218" s="2">
        <f>AND($J218,ISNUMBER(T218),correlation!$I$27=1)</f>
        <v/>
      </c>
      <c r="V218" s="5">
        <f>IF(U218,$F218,"")</f>
        <v/>
      </c>
      <c r="W218" s="5">
        <f>IF(U218,T218*correlation!$J$27,"")</f>
        <v/>
      </c>
      <c r="X218" s="5">
        <f>IF(AND(U218,ISNUMBER(correlation!$F$27)),W218*correlation!$F$27+correlation!$G$27,"")</f>
        <v/>
      </c>
      <c r="Y218" s="5">
        <f>IF(AND(U218,ISNUMBER(X218)),(V218-X218)^2,"")</f>
        <v/>
      </c>
      <c r="Z218" s="5">
        <f>IF(U218,1+SUMPRODUCT(--(calc!$U$3:$U$306=TRUE),--(calc!$V$3:$V$306&gt;V218))+(SUMPRODUCT(--(calc!$U$3:$U$306=TRUE),--(calc!$V$3:$V$306=V218))-1)/2,"")</f>
        <v/>
      </c>
      <c r="AA218" s="5">
        <f>IF(U218,1+SUMPRODUCT(--(calc!$U$3:$U$306=TRUE),--(calc!$W$3:$W$306&gt;W218))+(SUMPRODUCT(--(calc!$U$3:$U$306=TRUE),--(calc!$W$3:$W$306=W218))-1)/2,"")</f>
        <v/>
      </c>
      <c r="AB218" s="5">
        <f>IF(U218,SUMPRODUCT(--(calc!$U$3:$U$306=TRUE),--(ROW(calc!$U$3:$U$306)&gt;ROW(U218)),--(((calc!$Z$3:$Z$306&gt;Z218)*(calc!$AA$3:$AA$306&gt;AA218)+(calc!$Z$3:$Z$306&lt;Z218)*(calc!$AA$3:$AA$306&lt;AA218))&gt;0))-SUMPRODUCT(--(calc!$U$3:$U$306=TRUE),--(ROW(calc!$U$3:$U$306)&gt;ROW(U218)),--(((calc!$Z$3:$Z$306&gt;Z218)*(calc!$AA$3:$AA$306&lt;AA218)+(calc!$Z$3:$Z$306&lt;Z218)*(calc!$AA$3:$AA$306&gt;AA218))&gt;0)),0)</f>
        <v/>
      </c>
      <c r="AC218" s="5">
        <f>IF(mos_metrics!I217="","",mos_metrics!I217)</f>
        <v/>
      </c>
      <c r="AD218" s="2">
        <f>AND($J218,ISNUMBER(AC218),correlation!$I$28=1)</f>
        <v/>
      </c>
      <c r="AE218" s="5">
        <f>IF(AD218,$F218,"")</f>
        <v/>
      </c>
      <c r="AF218" s="5">
        <f>IF(AD218,AC218*correlation!$J$28,"")</f>
        <v/>
      </c>
      <c r="AG218" s="5">
        <f>IF(AND(AD218,ISNUMBER(correlation!$F$28)),AF218*correlation!$F$28+correlation!$G$28,"")</f>
        <v/>
      </c>
      <c r="AH218" s="5">
        <f>IF(AND(AD218,ISNUMBER(AG218)),(AE218-AG218)^2,"")</f>
        <v/>
      </c>
      <c r="AI218" s="5">
        <f>IF(AD218,1+SUMPRODUCT(--(calc!$AD$3:$AD$306=TRUE),--(calc!$AE$3:$AE$306&gt;AE218))+(SUMPRODUCT(--(calc!$AD$3:$AD$306=TRUE),--(calc!$AE$3:$AE$306=AE218))-1)/2,"")</f>
        <v/>
      </c>
      <c r="AJ218" s="5">
        <f>IF(AD218,1+SUMPRODUCT(--(calc!$AD$3:$AD$306=TRUE),--(calc!$AF$3:$AF$306&gt;AF218))+(SUMPRODUCT(--(calc!$AD$3:$AD$306=TRUE),--(calc!$AF$3:$AF$306=AF218))-1)/2,"")</f>
        <v/>
      </c>
      <c r="AK218" s="5">
        <f>IF(AD218,SUMPRODUCT(--(calc!$AD$3:$AD$306=TRUE),--(ROW(calc!$AD$3:$AD$306)&gt;ROW(AD218)),--(((calc!$AI$3:$AI$306&gt;AI218)*(calc!$AJ$3:$AJ$306&gt;AJ218)+(calc!$AI$3:$AI$306&lt;AI218)*(calc!$AJ$3:$AJ$306&lt;AJ218))&gt;0))-SUMPRODUCT(--(calc!$AD$3:$AD$306=TRUE),--(ROW(calc!$AD$3:$AD$306)&gt;ROW(AD218)),--(((calc!$AI$3:$AI$306&gt;AI218)*(calc!$AJ$3:$AJ$306&lt;AJ218)+(calc!$AI$3:$AI$306&lt;AI218)*(calc!$AJ$3:$AJ$306&gt;AJ218))&gt;0)),0)</f>
        <v/>
      </c>
      <c r="AL218" s="5">
        <f>IF(mos_metrics!J217="","",mos_metrics!J217)</f>
        <v/>
      </c>
      <c r="AM218" s="2">
        <f>AND($J218,ISNUMBER(AL218),correlation!$I$29=1)</f>
        <v/>
      </c>
      <c r="AN218" s="5">
        <f>IF(AM218,$F218,"")</f>
        <v/>
      </c>
      <c r="AO218" s="5">
        <f>IF(AM218,AL218*correlation!$J$29,"")</f>
        <v/>
      </c>
      <c r="AP218" s="5">
        <f>IF(AND(AM218,ISNUMBER(correlation!$F$29)),AO218*correlation!$F$29+correlation!$G$29,"")</f>
        <v/>
      </c>
      <c r="AQ218" s="5">
        <f>IF(AND(AM218,ISNUMBER(AP218)),(AN218-AP218)^2,"")</f>
        <v/>
      </c>
      <c r="AR218" s="5">
        <f>IF(AM218,1+SUMPRODUCT(--(calc!$AM$3:$AM$306=TRUE),--(calc!$AN$3:$AN$306&gt;AN218))+(SUMPRODUCT(--(calc!$AM$3:$AM$306=TRUE),--(calc!$AN$3:$AN$306=AN218))-1)/2,"")</f>
        <v/>
      </c>
      <c r="AS218" s="5">
        <f>IF(AM218,1+SUMPRODUCT(--(calc!$AM$3:$AM$306=TRUE),--(calc!$AO$3:$AO$306&gt;AO218))+(SUMPRODUCT(--(calc!$AM$3:$AM$306=TRUE),--(calc!$AO$3:$AO$306=AO218))-1)/2,"")</f>
        <v/>
      </c>
      <c r="AT218" s="5">
        <f>IF(AM218,SUMPRODUCT(--(calc!$AM$3:$AM$306=TRUE),--(ROW(calc!$AM$3:$AM$306)&gt;ROW(AM218)),--(((calc!$AR$3:$AR$306&gt;AR218)*(calc!$AS$3:$AS$306&gt;AS218)+(calc!$AR$3:$AR$306&lt;AR218)*(calc!$AS$3:$AS$306&lt;AS218))&gt;0))-SUMPRODUCT(--(calc!$AM$3:$AM$306=TRUE),--(ROW(calc!$AM$3:$AM$306)&gt;ROW(AM218)),--(((calc!$AR$3:$AR$306&gt;AR218)*(calc!$AS$3:$AS$306&lt;AS218)+(calc!$AR$3:$AR$306&lt;AR218)*(calc!$AS$3:$AS$306&gt;AS218))&gt;0)),0)</f>
        <v/>
      </c>
      <c r="AU218" s="5">
        <f>IF(mos_metrics!K217="","",mos_metrics!K217)</f>
        <v/>
      </c>
      <c r="AV218" s="2">
        <f>AND($J218,ISNUMBER(AU218),correlation!$I$30=1)</f>
        <v/>
      </c>
      <c r="AW218" s="5">
        <f>IF(AV218,$F218,"")</f>
        <v/>
      </c>
      <c r="AX218" s="5">
        <f>IF(AV218,AU218*correlation!$J$30,"")</f>
        <v/>
      </c>
      <c r="AY218" s="5">
        <f>IF(AND(AV218,ISNUMBER(correlation!$F$30)),AX218*correlation!$F$30+correlation!$G$30,"")</f>
        <v/>
      </c>
      <c r="AZ218" s="5">
        <f>IF(AND(AV218,ISNUMBER(AY218)),(AW218-AY218)^2,"")</f>
        <v/>
      </c>
      <c r="BA218" s="5">
        <f>IF(AV218,1+SUMPRODUCT(--(calc!$AV$3:$AV$306=TRUE),--(calc!$AW$3:$AW$306&gt;AW218))+(SUMPRODUCT(--(calc!$AV$3:$AV$306=TRUE),--(calc!$AW$3:$AW$306=AW218))-1)/2,"")</f>
        <v/>
      </c>
      <c r="BB218" s="5">
        <f>IF(AV218,1+SUMPRODUCT(--(calc!$AV$3:$AV$306=TRUE),--(calc!$AX$3:$AX$306&gt;AX218))+(SUMPRODUCT(--(calc!$AV$3:$AV$306=TRUE),--(calc!$AX$3:$AX$306=AX218))-1)/2,"")</f>
        <v/>
      </c>
      <c r="BC218" s="5">
        <f>IF(AV218,SUMPRODUCT(--(calc!$AV$3:$AV$306=TRUE),--(ROW(calc!$AV$3:$AV$306)&gt;ROW(AV218)),--(((calc!$BA$3:$BA$306&gt;BA218)*(calc!$BB$3:$BB$306&gt;BB218)+(calc!$BA$3:$BA$306&lt;BA218)*(calc!$BB$3:$BB$306&lt;BB218))&gt;0))-SUMPRODUCT(--(calc!$AV$3:$AV$306=TRUE),--(ROW(calc!$AV$3:$AV$306)&gt;ROW(AV218)),--(((calc!$BA$3:$BA$306&gt;BA218)*(calc!$BB$3:$BB$306&lt;BB218)+(calc!$BA$3:$BA$306&lt;BA218)*(calc!$BB$3:$BB$306&gt;BB218))&gt;0)),0)</f>
        <v/>
      </c>
      <c r="BD218" s="5">
        <f>IF(mos_metrics!L217="","",mos_metrics!L217)</f>
        <v/>
      </c>
      <c r="BE218" s="2">
        <f>AND($J218,ISNUMBER(BD218),correlation!$I$31=1)</f>
        <v/>
      </c>
      <c r="BF218" s="5">
        <f>IF(BE218,$F218,"")</f>
        <v/>
      </c>
      <c r="BG218" s="5">
        <f>IF(BE218,BD218*correlation!$J$31,"")</f>
        <v/>
      </c>
      <c r="BH218" s="5">
        <f>IF(AND(BE218,ISNUMBER(correlation!$F$31)),BG218*correlation!$F$31+correlation!$G$31,"")</f>
        <v/>
      </c>
      <c r="BI218" s="5">
        <f>IF(AND(BE218,ISNUMBER(BH218)),(BF218-BH218)^2,"")</f>
        <v/>
      </c>
      <c r="BJ218" s="5">
        <f>IF(BE218,1+SUMPRODUCT(--(calc!$BE$3:$BE$306=TRUE),--(calc!$BF$3:$BF$306&gt;BF218))+(SUMPRODUCT(--(calc!$BE$3:$BE$306=TRUE),--(calc!$BF$3:$BF$306=BF218))-1)/2,"")</f>
        <v/>
      </c>
      <c r="BK218" s="5">
        <f>IF(BE218,1+SUMPRODUCT(--(calc!$BE$3:$BE$306=TRUE),--(calc!$BG$3:$BG$306&gt;BG218))+(SUMPRODUCT(--(calc!$BE$3:$BE$306=TRUE),--(calc!$BG$3:$BG$306=BG218))-1)/2,"")</f>
        <v/>
      </c>
      <c r="BL218" s="5">
        <f>IF(BE218,SUMPRODUCT(--(calc!$BE$3:$BE$306=TRUE),--(ROW(calc!$BE$3:$BE$306)&gt;ROW(BE218)),--(((calc!$BJ$3:$BJ$306&gt;BJ218)*(calc!$BK$3:$BK$306&gt;BK218)+(calc!$BJ$3:$BJ$306&lt;BJ218)*(calc!$BK$3:$BK$306&lt;BK218))&gt;0))-SUMPRODUCT(--(calc!$BE$3:$BE$306=TRUE),--(ROW(calc!$BE$3:$BE$306)&gt;ROW(BE218)),--(((calc!$BJ$3:$BJ$306&gt;BJ218)*(calc!$BK$3:$BK$306&lt;BK218)+(calc!$BJ$3:$BJ$306&lt;BJ218)*(calc!$BK$3:$BK$306&gt;BK218))&gt;0)),0)</f>
        <v/>
      </c>
      <c r="BM218" s="5">
        <f>IF(mos_metrics!M217="","",mos_metrics!M217)</f>
        <v/>
      </c>
      <c r="BN218" s="2">
        <f>AND($J218,ISNUMBER(BM218),correlation!$I$32=1)</f>
        <v/>
      </c>
      <c r="BO218" s="5">
        <f>IF(BN218,$F218,"")</f>
        <v/>
      </c>
      <c r="BP218" s="5">
        <f>IF(BN218,BM218*correlation!$J$32,"")</f>
        <v/>
      </c>
      <c r="BQ218" s="5">
        <f>IF(AND(BN218,ISNUMBER(correlation!$F$32)),BP218*correlation!$F$32+correlation!$G$32,"")</f>
        <v/>
      </c>
      <c r="BR218" s="5">
        <f>IF(AND(BN218,ISNUMBER(BQ218)),(BO218-BQ218)^2,"")</f>
        <v/>
      </c>
      <c r="BS218" s="5">
        <f>IF(BN218,1+SUMPRODUCT(--(calc!$BN$3:$BN$306=TRUE),--(calc!$BO$3:$BO$306&gt;BO218))+(SUMPRODUCT(--(calc!$BN$3:$BN$306=TRUE),--(calc!$BO$3:$BO$306=BO218))-1)/2,"")</f>
        <v/>
      </c>
      <c r="BT218" s="5">
        <f>IF(BN218,1+SUMPRODUCT(--(calc!$BN$3:$BN$306=TRUE),--(calc!$BP$3:$BP$306&gt;BP218))+(SUMPRODUCT(--(calc!$BN$3:$BN$306=TRUE),--(calc!$BP$3:$BP$306=BP218))-1)/2,"")</f>
        <v/>
      </c>
      <c r="BU218" s="5">
        <f>IF(BN218,SUMPRODUCT(--(calc!$BN$3:$BN$306=TRUE),--(ROW(calc!$BN$3:$BN$306)&gt;ROW(BN218)),--(((calc!$BS$3:$BS$306&gt;BS218)*(calc!$BT$3:$BT$306&gt;BT218)+(calc!$BS$3:$BS$306&lt;BS218)*(calc!$BT$3:$BT$306&lt;BT218))&gt;0))-SUMPRODUCT(--(calc!$BN$3:$BN$306=TRUE),--(ROW(calc!$BN$3:$BN$306)&gt;ROW(BN218)),--(((calc!$BS$3:$BS$306&gt;BS218)*(calc!$BT$3:$BT$306&lt;BT218)+(calc!$BS$3:$BS$306&lt;BS218)*(calc!$BT$3:$BT$306&gt;BT218))&gt;0)),0)</f>
        <v/>
      </c>
    </row>
    <row r="219">
      <c r="A219" s="2">
        <f>mos_metrics!A218</f>
        <v/>
      </c>
      <c r="B219" s="2">
        <f>mos_metrics!B218</f>
        <v/>
      </c>
      <c r="C219" s="2">
        <f>mos_metrics!C218</f>
        <v/>
      </c>
      <c r="D219" s="2">
        <f>mos_metrics!D218</f>
        <v/>
      </c>
      <c r="E219" s="2">
        <f>mos_metrics!E218</f>
        <v/>
      </c>
      <c r="F219" s="2">
        <f>mos_metrics!F218</f>
        <v/>
      </c>
      <c r="G219" s="2">
        <f>IF($B219="","",IFERROR(VLOOKUP($B219,correlation!$A$2:$B$16,2,FALSE),1))</f>
        <v/>
      </c>
      <c r="H219" s="2">
        <f>IF($E219="","",IFERROR(VLOOKUP($E219,correlation!$D$2:$E$8,2,FALSE),1))</f>
        <v/>
      </c>
      <c r="I219" s="2">
        <f>ISNUMBER($F219)</f>
        <v/>
      </c>
      <c r="J219" s="2">
        <f>AND($G219=1,$H219=1,$I219)</f>
        <v/>
      </c>
      <c r="K219" s="5">
        <f>IF(mos_metrics!G218="","",mos_metrics!G218)</f>
        <v/>
      </c>
      <c r="L219" s="2">
        <f>AND($J219,ISNUMBER(K219),correlation!$I$26=1)</f>
        <v/>
      </c>
      <c r="M219" s="5">
        <f>IF(L219,$F219,"")</f>
        <v/>
      </c>
      <c r="N219" s="5">
        <f>IF(L219,K219*correlation!$J$26,"")</f>
        <v/>
      </c>
      <c r="O219" s="5">
        <f>IF(AND(L219,ISNUMBER(correlation!$F$26)),N219*correlation!$F$26+correlation!$G$26,"")</f>
        <v/>
      </c>
      <c r="P219" s="5">
        <f>IF(AND(L219,ISNUMBER(O219)),(M219-O219)^2,"")</f>
        <v/>
      </c>
      <c r="Q219" s="5">
        <f>IF(L219,1+SUMPRODUCT(--(calc!$L$3:$L$306=TRUE),--(calc!$M$3:$M$306&gt;M219))+(SUMPRODUCT(--(calc!$L$3:$L$306=TRUE),--(calc!$M$3:$M$306=M219))-1)/2,"")</f>
        <v/>
      </c>
      <c r="R219" s="5">
        <f>IF(L219,1+SUMPRODUCT(--(calc!$L$3:$L$306=TRUE),--(calc!$N$3:$N$306&gt;N219))+(SUMPRODUCT(--(calc!$L$3:$L$306=TRUE),--(calc!$N$3:$N$306=N219))-1)/2,"")</f>
        <v/>
      </c>
      <c r="S219" s="5">
        <f>IF(L219,SUMPRODUCT(--(calc!$L$3:$L$306=TRUE),--(ROW(calc!$L$3:$L$306)&gt;ROW(L219)),--(((calc!$Q$3:$Q$306&gt;Q219)*(calc!$R$3:$R$306&gt;R219)+(calc!$Q$3:$Q$306&lt;Q219)*(calc!$R$3:$R$306&lt;R219))&gt;0))-SUMPRODUCT(--(calc!$L$3:$L$306=TRUE),--(ROW(calc!$L$3:$L$306)&gt;ROW(L219)),--(((calc!$Q$3:$Q$306&gt;Q219)*(calc!$R$3:$R$306&lt;R219)+(calc!$Q$3:$Q$306&lt;Q219)*(calc!$R$3:$R$306&gt;R219))&gt;0)),0)</f>
        <v/>
      </c>
      <c r="T219" s="5">
        <f>IF(mos_metrics!H218="","",mos_metrics!H218)</f>
        <v/>
      </c>
      <c r="U219" s="2">
        <f>AND($J219,ISNUMBER(T219),correlation!$I$27=1)</f>
        <v/>
      </c>
      <c r="V219" s="5">
        <f>IF(U219,$F219,"")</f>
        <v/>
      </c>
      <c r="W219" s="5">
        <f>IF(U219,T219*correlation!$J$27,"")</f>
        <v/>
      </c>
      <c r="X219" s="5">
        <f>IF(AND(U219,ISNUMBER(correlation!$F$27)),W219*correlation!$F$27+correlation!$G$27,"")</f>
        <v/>
      </c>
      <c r="Y219" s="5">
        <f>IF(AND(U219,ISNUMBER(X219)),(V219-X219)^2,"")</f>
        <v/>
      </c>
      <c r="Z219" s="5">
        <f>IF(U219,1+SUMPRODUCT(--(calc!$U$3:$U$306=TRUE),--(calc!$V$3:$V$306&gt;V219))+(SUMPRODUCT(--(calc!$U$3:$U$306=TRUE),--(calc!$V$3:$V$306=V219))-1)/2,"")</f>
        <v/>
      </c>
      <c r="AA219" s="5">
        <f>IF(U219,1+SUMPRODUCT(--(calc!$U$3:$U$306=TRUE),--(calc!$W$3:$W$306&gt;W219))+(SUMPRODUCT(--(calc!$U$3:$U$306=TRUE),--(calc!$W$3:$W$306=W219))-1)/2,"")</f>
        <v/>
      </c>
      <c r="AB219" s="5">
        <f>IF(U219,SUMPRODUCT(--(calc!$U$3:$U$306=TRUE),--(ROW(calc!$U$3:$U$306)&gt;ROW(U219)),--(((calc!$Z$3:$Z$306&gt;Z219)*(calc!$AA$3:$AA$306&gt;AA219)+(calc!$Z$3:$Z$306&lt;Z219)*(calc!$AA$3:$AA$306&lt;AA219))&gt;0))-SUMPRODUCT(--(calc!$U$3:$U$306=TRUE),--(ROW(calc!$U$3:$U$306)&gt;ROW(U219)),--(((calc!$Z$3:$Z$306&gt;Z219)*(calc!$AA$3:$AA$306&lt;AA219)+(calc!$Z$3:$Z$306&lt;Z219)*(calc!$AA$3:$AA$306&gt;AA219))&gt;0)),0)</f>
        <v/>
      </c>
      <c r="AC219" s="5">
        <f>IF(mos_metrics!I218="","",mos_metrics!I218)</f>
        <v/>
      </c>
      <c r="AD219" s="2">
        <f>AND($J219,ISNUMBER(AC219),correlation!$I$28=1)</f>
        <v/>
      </c>
      <c r="AE219" s="5">
        <f>IF(AD219,$F219,"")</f>
        <v/>
      </c>
      <c r="AF219" s="5">
        <f>IF(AD219,AC219*correlation!$J$28,"")</f>
        <v/>
      </c>
      <c r="AG219" s="5">
        <f>IF(AND(AD219,ISNUMBER(correlation!$F$28)),AF219*correlation!$F$28+correlation!$G$28,"")</f>
        <v/>
      </c>
      <c r="AH219" s="5">
        <f>IF(AND(AD219,ISNUMBER(AG219)),(AE219-AG219)^2,"")</f>
        <v/>
      </c>
      <c r="AI219" s="5">
        <f>IF(AD219,1+SUMPRODUCT(--(calc!$AD$3:$AD$306=TRUE),--(calc!$AE$3:$AE$306&gt;AE219))+(SUMPRODUCT(--(calc!$AD$3:$AD$306=TRUE),--(calc!$AE$3:$AE$306=AE219))-1)/2,"")</f>
        <v/>
      </c>
      <c r="AJ219" s="5">
        <f>IF(AD219,1+SUMPRODUCT(--(calc!$AD$3:$AD$306=TRUE),--(calc!$AF$3:$AF$306&gt;AF219))+(SUMPRODUCT(--(calc!$AD$3:$AD$306=TRUE),--(calc!$AF$3:$AF$306=AF219))-1)/2,"")</f>
        <v/>
      </c>
      <c r="AK219" s="5">
        <f>IF(AD219,SUMPRODUCT(--(calc!$AD$3:$AD$306=TRUE),--(ROW(calc!$AD$3:$AD$306)&gt;ROW(AD219)),--(((calc!$AI$3:$AI$306&gt;AI219)*(calc!$AJ$3:$AJ$306&gt;AJ219)+(calc!$AI$3:$AI$306&lt;AI219)*(calc!$AJ$3:$AJ$306&lt;AJ219))&gt;0))-SUMPRODUCT(--(calc!$AD$3:$AD$306=TRUE),--(ROW(calc!$AD$3:$AD$306)&gt;ROW(AD219)),--(((calc!$AI$3:$AI$306&gt;AI219)*(calc!$AJ$3:$AJ$306&lt;AJ219)+(calc!$AI$3:$AI$306&lt;AI219)*(calc!$AJ$3:$AJ$306&gt;AJ219))&gt;0)),0)</f>
        <v/>
      </c>
      <c r="AL219" s="5">
        <f>IF(mos_metrics!J218="","",mos_metrics!J218)</f>
        <v/>
      </c>
      <c r="AM219" s="2">
        <f>AND($J219,ISNUMBER(AL219),correlation!$I$29=1)</f>
        <v/>
      </c>
      <c r="AN219" s="5">
        <f>IF(AM219,$F219,"")</f>
        <v/>
      </c>
      <c r="AO219" s="5">
        <f>IF(AM219,AL219*correlation!$J$29,"")</f>
        <v/>
      </c>
      <c r="AP219" s="5">
        <f>IF(AND(AM219,ISNUMBER(correlation!$F$29)),AO219*correlation!$F$29+correlation!$G$29,"")</f>
        <v/>
      </c>
      <c r="AQ219" s="5">
        <f>IF(AND(AM219,ISNUMBER(AP219)),(AN219-AP219)^2,"")</f>
        <v/>
      </c>
      <c r="AR219" s="5">
        <f>IF(AM219,1+SUMPRODUCT(--(calc!$AM$3:$AM$306=TRUE),--(calc!$AN$3:$AN$306&gt;AN219))+(SUMPRODUCT(--(calc!$AM$3:$AM$306=TRUE),--(calc!$AN$3:$AN$306=AN219))-1)/2,"")</f>
        <v/>
      </c>
      <c r="AS219" s="5">
        <f>IF(AM219,1+SUMPRODUCT(--(calc!$AM$3:$AM$306=TRUE),--(calc!$AO$3:$AO$306&gt;AO219))+(SUMPRODUCT(--(calc!$AM$3:$AM$306=TRUE),--(calc!$AO$3:$AO$306=AO219))-1)/2,"")</f>
        <v/>
      </c>
      <c r="AT219" s="5">
        <f>IF(AM219,SUMPRODUCT(--(calc!$AM$3:$AM$306=TRUE),--(ROW(calc!$AM$3:$AM$306)&gt;ROW(AM219)),--(((calc!$AR$3:$AR$306&gt;AR219)*(calc!$AS$3:$AS$306&gt;AS219)+(calc!$AR$3:$AR$306&lt;AR219)*(calc!$AS$3:$AS$306&lt;AS219))&gt;0))-SUMPRODUCT(--(calc!$AM$3:$AM$306=TRUE),--(ROW(calc!$AM$3:$AM$306)&gt;ROW(AM219)),--(((calc!$AR$3:$AR$306&gt;AR219)*(calc!$AS$3:$AS$306&lt;AS219)+(calc!$AR$3:$AR$306&lt;AR219)*(calc!$AS$3:$AS$306&gt;AS219))&gt;0)),0)</f>
        <v/>
      </c>
      <c r="AU219" s="5">
        <f>IF(mos_metrics!K218="","",mos_metrics!K218)</f>
        <v/>
      </c>
      <c r="AV219" s="2">
        <f>AND($J219,ISNUMBER(AU219),correlation!$I$30=1)</f>
        <v/>
      </c>
      <c r="AW219" s="5">
        <f>IF(AV219,$F219,"")</f>
        <v/>
      </c>
      <c r="AX219" s="5">
        <f>IF(AV219,AU219*correlation!$J$30,"")</f>
        <v/>
      </c>
      <c r="AY219" s="5">
        <f>IF(AND(AV219,ISNUMBER(correlation!$F$30)),AX219*correlation!$F$30+correlation!$G$30,"")</f>
        <v/>
      </c>
      <c r="AZ219" s="5">
        <f>IF(AND(AV219,ISNUMBER(AY219)),(AW219-AY219)^2,"")</f>
        <v/>
      </c>
      <c r="BA219" s="5">
        <f>IF(AV219,1+SUMPRODUCT(--(calc!$AV$3:$AV$306=TRUE),--(calc!$AW$3:$AW$306&gt;AW219))+(SUMPRODUCT(--(calc!$AV$3:$AV$306=TRUE),--(calc!$AW$3:$AW$306=AW219))-1)/2,"")</f>
        <v/>
      </c>
      <c r="BB219" s="5">
        <f>IF(AV219,1+SUMPRODUCT(--(calc!$AV$3:$AV$306=TRUE),--(calc!$AX$3:$AX$306&gt;AX219))+(SUMPRODUCT(--(calc!$AV$3:$AV$306=TRUE),--(calc!$AX$3:$AX$306=AX219))-1)/2,"")</f>
        <v/>
      </c>
      <c r="BC219" s="5">
        <f>IF(AV219,SUMPRODUCT(--(calc!$AV$3:$AV$306=TRUE),--(ROW(calc!$AV$3:$AV$306)&gt;ROW(AV219)),--(((calc!$BA$3:$BA$306&gt;BA219)*(calc!$BB$3:$BB$306&gt;BB219)+(calc!$BA$3:$BA$306&lt;BA219)*(calc!$BB$3:$BB$306&lt;BB219))&gt;0))-SUMPRODUCT(--(calc!$AV$3:$AV$306=TRUE),--(ROW(calc!$AV$3:$AV$306)&gt;ROW(AV219)),--(((calc!$BA$3:$BA$306&gt;BA219)*(calc!$BB$3:$BB$306&lt;BB219)+(calc!$BA$3:$BA$306&lt;BA219)*(calc!$BB$3:$BB$306&gt;BB219))&gt;0)),0)</f>
        <v/>
      </c>
      <c r="BD219" s="5">
        <f>IF(mos_metrics!L218="","",mos_metrics!L218)</f>
        <v/>
      </c>
      <c r="BE219" s="2">
        <f>AND($J219,ISNUMBER(BD219),correlation!$I$31=1)</f>
        <v/>
      </c>
      <c r="BF219" s="5">
        <f>IF(BE219,$F219,"")</f>
        <v/>
      </c>
      <c r="BG219" s="5">
        <f>IF(BE219,BD219*correlation!$J$31,"")</f>
        <v/>
      </c>
      <c r="BH219" s="5">
        <f>IF(AND(BE219,ISNUMBER(correlation!$F$31)),BG219*correlation!$F$31+correlation!$G$31,"")</f>
        <v/>
      </c>
      <c r="BI219" s="5">
        <f>IF(AND(BE219,ISNUMBER(BH219)),(BF219-BH219)^2,"")</f>
        <v/>
      </c>
      <c r="BJ219" s="5">
        <f>IF(BE219,1+SUMPRODUCT(--(calc!$BE$3:$BE$306=TRUE),--(calc!$BF$3:$BF$306&gt;BF219))+(SUMPRODUCT(--(calc!$BE$3:$BE$306=TRUE),--(calc!$BF$3:$BF$306=BF219))-1)/2,"")</f>
        <v/>
      </c>
      <c r="BK219" s="5">
        <f>IF(BE219,1+SUMPRODUCT(--(calc!$BE$3:$BE$306=TRUE),--(calc!$BG$3:$BG$306&gt;BG219))+(SUMPRODUCT(--(calc!$BE$3:$BE$306=TRUE),--(calc!$BG$3:$BG$306=BG219))-1)/2,"")</f>
        <v/>
      </c>
      <c r="BL219" s="5">
        <f>IF(BE219,SUMPRODUCT(--(calc!$BE$3:$BE$306=TRUE),--(ROW(calc!$BE$3:$BE$306)&gt;ROW(BE219)),--(((calc!$BJ$3:$BJ$306&gt;BJ219)*(calc!$BK$3:$BK$306&gt;BK219)+(calc!$BJ$3:$BJ$306&lt;BJ219)*(calc!$BK$3:$BK$306&lt;BK219))&gt;0))-SUMPRODUCT(--(calc!$BE$3:$BE$306=TRUE),--(ROW(calc!$BE$3:$BE$306)&gt;ROW(BE219)),--(((calc!$BJ$3:$BJ$306&gt;BJ219)*(calc!$BK$3:$BK$306&lt;BK219)+(calc!$BJ$3:$BJ$306&lt;BJ219)*(calc!$BK$3:$BK$306&gt;BK219))&gt;0)),0)</f>
        <v/>
      </c>
      <c r="BM219" s="5">
        <f>IF(mos_metrics!M218="","",mos_metrics!M218)</f>
        <v/>
      </c>
      <c r="BN219" s="2">
        <f>AND($J219,ISNUMBER(BM219),correlation!$I$32=1)</f>
        <v/>
      </c>
      <c r="BO219" s="5">
        <f>IF(BN219,$F219,"")</f>
        <v/>
      </c>
      <c r="BP219" s="5">
        <f>IF(BN219,BM219*correlation!$J$32,"")</f>
        <v/>
      </c>
      <c r="BQ219" s="5">
        <f>IF(AND(BN219,ISNUMBER(correlation!$F$32)),BP219*correlation!$F$32+correlation!$G$32,"")</f>
        <v/>
      </c>
      <c r="BR219" s="5">
        <f>IF(AND(BN219,ISNUMBER(BQ219)),(BO219-BQ219)^2,"")</f>
        <v/>
      </c>
      <c r="BS219" s="5">
        <f>IF(BN219,1+SUMPRODUCT(--(calc!$BN$3:$BN$306=TRUE),--(calc!$BO$3:$BO$306&gt;BO219))+(SUMPRODUCT(--(calc!$BN$3:$BN$306=TRUE),--(calc!$BO$3:$BO$306=BO219))-1)/2,"")</f>
        <v/>
      </c>
      <c r="BT219" s="5">
        <f>IF(BN219,1+SUMPRODUCT(--(calc!$BN$3:$BN$306=TRUE),--(calc!$BP$3:$BP$306&gt;BP219))+(SUMPRODUCT(--(calc!$BN$3:$BN$306=TRUE),--(calc!$BP$3:$BP$306=BP219))-1)/2,"")</f>
        <v/>
      </c>
      <c r="BU219" s="5">
        <f>IF(BN219,SUMPRODUCT(--(calc!$BN$3:$BN$306=TRUE),--(ROW(calc!$BN$3:$BN$306)&gt;ROW(BN219)),--(((calc!$BS$3:$BS$306&gt;BS219)*(calc!$BT$3:$BT$306&gt;BT219)+(calc!$BS$3:$BS$306&lt;BS219)*(calc!$BT$3:$BT$306&lt;BT219))&gt;0))-SUMPRODUCT(--(calc!$BN$3:$BN$306=TRUE),--(ROW(calc!$BN$3:$BN$306)&gt;ROW(BN219)),--(((calc!$BS$3:$BS$306&gt;BS219)*(calc!$BT$3:$BT$306&lt;BT219)+(calc!$BS$3:$BS$306&lt;BS219)*(calc!$BT$3:$BT$306&gt;BT219))&gt;0)),0)</f>
        <v/>
      </c>
    </row>
    <row r="220">
      <c r="A220" s="2">
        <f>mos_metrics!A219</f>
        <v/>
      </c>
      <c r="B220" s="2">
        <f>mos_metrics!B219</f>
        <v/>
      </c>
      <c r="C220" s="2">
        <f>mos_metrics!C219</f>
        <v/>
      </c>
      <c r="D220" s="2">
        <f>mos_metrics!D219</f>
        <v/>
      </c>
      <c r="E220" s="2">
        <f>mos_metrics!E219</f>
        <v/>
      </c>
      <c r="F220" s="2">
        <f>mos_metrics!F219</f>
        <v/>
      </c>
      <c r="G220" s="2">
        <f>IF($B220="","",IFERROR(VLOOKUP($B220,correlation!$A$2:$B$16,2,FALSE),1))</f>
        <v/>
      </c>
      <c r="H220" s="2">
        <f>IF($E220="","",IFERROR(VLOOKUP($E220,correlation!$D$2:$E$8,2,FALSE),1))</f>
        <v/>
      </c>
      <c r="I220" s="2">
        <f>ISNUMBER($F220)</f>
        <v/>
      </c>
      <c r="J220" s="2">
        <f>AND($G220=1,$H220=1,$I220)</f>
        <v/>
      </c>
      <c r="K220" s="5">
        <f>IF(mos_metrics!G219="","",mos_metrics!G219)</f>
        <v/>
      </c>
      <c r="L220" s="2">
        <f>AND($J220,ISNUMBER(K220),correlation!$I$26=1)</f>
        <v/>
      </c>
      <c r="M220" s="5">
        <f>IF(L220,$F220,"")</f>
        <v/>
      </c>
      <c r="N220" s="5">
        <f>IF(L220,K220*correlation!$J$26,"")</f>
        <v/>
      </c>
      <c r="O220" s="5">
        <f>IF(AND(L220,ISNUMBER(correlation!$F$26)),N220*correlation!$F$26+correlation!$G$26,"")</f>
        <v/>
      </c>
      <c r="P220" s="5">
        <f>IF(AND(L220,ISNUMBER(O220)),(M220-O220)^2,"")</f>
        <v/>
      </c>
      <c r="Q220" s="5">
        <f>IF(L220,1+SUMPRODUCT(--(calc!$L$3:$L$306=TRUE),--(calc!$M$3:$M$306&gt;M220))+(SUMPRODUCT(--(calc!$L$3:$L$306=TRUE),--(calc!$M$3:$M$306=M220))-1)/2,"")</f>
        <v/>
      </c>
      <c r="R220" s="5">
        <f>IF(L220,1+SUMPRODUCT(--(calc!$L$3:$L$306=TRUE),--(calc!$N$3:$N$306&gt;N220))+(SUMPRODUCT(--(calc!$L$3:$L$306=TRUE),--(calc!$N$3:$N$306=N220))-1)/2,"")</f>
        <v/>
      </c>
      <c r="S220" s="5">
        <f>IF(L220,SUMPRODUCT(--(calc!$L$3:$L$306=TRUE),--(ROW(calc!$L$3:$L$306)&gt;ROW(L220)),--(((calc!$Q$3:$Q$306&gt;Q220)*(calc!$R$3:$R$306&gt;R220)+(calc!$Q$3:$Q$306&lt;Q220)*(calc!$R$3:$R$306&lt;R220))&gt;0))-SUMPRODUCT(--(calc!$L$3:$L$306=TRUE),--(ROW(calc!$L$3:$L$306)&gt;ROW(L220)),--(((calc!$Q$3:$Q$306&gt;Q220)*(calc!$R$3:$R$306&lt;R220)+(calc!$Q$3:$Q$306&lt;Q220)*(calc!$R$3:$R$306&gt;R220))&gt;0)),0)</f>
        <v/>
      </c>
      <c r="T220" s="5">
        <f>IF(mos_metrics!H219="","",mos_metrics!H219)</f>
        <v/>
      </c>
      <c r="U220" s="2">
        <f>AND($J220,ISNUMBER(T220),correlation!$I$27=1)</f>
        <v/>
      </c>
      <c r="V220" s="5">
        <f>IF(U220,$F220,"")</f>
        <v/>
      </c>
      <c r="W220" s="5">
        <f>IF(U220,T220*correlation!$J$27,"")</f>
        <v/>
      </c>
      <c r="X220" s="5">
        <f>IF(AND(U220,ISNUMBER(correlation!$F$27)),W220*correlation!$F$27+correlation!$G$27,"")</f>
        <v/>
      </c>
      <c r="Y220" s="5">
        <f>IF(AND(U220,ISNUMBER(X220)),(V220-X220)^2,"")</f>
        <v/>
      </c>
      <c r="Z220" s="5">
        <f>IF(U220,1+SUMPRODUCT(--(calc!$U$3:$U$306=TRUE),--(calc!$V$3:$V$306&gt;V220))+(SUMPRODUCT(--(calc!$U$3:$U$306=TRUE),--(calc!$V$3:$V$306=V220))-1)/2,"")</f>
        <v/>
      </c>
      <c r="AA220" s="5">
        <f>IF(U220,1+SUMPRODUCT(--(calc!$U$3:$U$306=TRUE),--(calc!$W$3:$W$306&gt;W220))+(SUMPRODUCT(--(calc!$U$3:$U$306=TRUE),--(calc!$W$3:$W$306=W220))-1)/2,"")</f>
        <v/>
      </c>
      <c r="AB220" s="5">
        <f>IF(U220,SUMPRODUCT(--(calc!$U$3:$U$306=TRUE),--(ROW(calc!$U$3:$U$306)&gt;ROW(U220)),--(((calc!$Z$3:$Z$306&gt;Z220)*(calc!$AA$3:$AA$306&gt;AA220)+(calc!$Z$3:$Z$306&lt;Z220)*(calc!$AA$3:$AA$306&lt;AA220))&gt;0))-SUMPRODUCT(--(calc!$U$3:$U$306=TRUE),--(ROW(calc!$U$3:$U$306)&gt;ROW(U220)),--(((calc!$Z$3:$Z$306&gt;Z220)*(calc!$AA$3:$AA$306&lt;AA220)+(calc!$Z$3:$Z$306&lt;Z220)*(calc!$AA$3:$AA$306&gt;AA220))&gt;0)),0)</f>
        <v/>
      </c>
      <c r="AC220" s="5">
        <f>IF(mos_metrics!I219="","",mos_metrics!I219)</f>
        <v/>
      </c>
      <c r="AD220" s="2">
        <f>AND($J220,ISNUMBER(AC220),correlation!$I$28=1)</f>
        <v/>
      </c>
      <c r="AE220" s="5">
        <f>IF(AD220,$F220,"")</f>
        <v/>
      </c>
      <c r="AF220" s="5">
        <f>IF(AD220,AC220*correlation!$J$28,"")</f>
        <v/>
      </c>
      <c r="AG220" s="5">
        <f>IF(AND(AD220,ISNUMBER(correlation!$F$28)),AF220*correlation!$F$28+correlation!$G$28,"")</f>
        <v/>
      </c>
      <c r="AH220" s="5">
        <f>IF(AND(AD220,ISNUMBER(AG220)),(AE220-AG220)^2,"")</f>
        <v/>
      </c>
      <c r="AI220" s="5">
        <f>IF(AD220,1+SUMPRODUCT(--(calc!$AD$3:$AD$306=TRUE),--(calc!$AE$3:$AE$306&gt;AE220))+(SUMPRODUCT(--(calc!$AD$3:$AD$306=TRUE),--(calc!$AE$3:$AE$306=AE220))-1)/2,"")</f>
        <v/>
      </c>
      <c r="AJ220" s="5">
        <f>IF(AD220,1+SUMPRODUCT(--(calc!$AD$3:$AD$306=TRUE),--(calc!$AF$3:$AF$306&gt;AF220))+(SUMPRODUCT(--(calc!$AD$3:$AD$306=TRUE),--(calc!$AF$3:$AF$306=AF220))-1)/2,"")</f>
        <v/>
      </c>
      <c r="AK220" s="5">
        <f>IF(AD220,SUMPRODUCT(--(calc!$AD$3:$AD$306=TRUE),--(ROW(calc!$AD$3:$AD$306)&gt;ROW(AD220)),--(((calc!$AI$3:$AI$306&gt;AI220)*(calc!$AJ$3:$AJ$306&gt;AJ220)+(calc!$AI$3:$AI$306&lt;AI220)*(calc!$AJ$3:$AJ$306&lt;AJ220))&gt;0))-SUMPRODUCT(--(calc!$AD$3:$AD$306=TRUE),--(ROW(calc!$AD$3:$AD$306)&gt;ROW(AD220)),--(((calc!$AI$3:$AI$306&gt;AI220)*(calc!$AJ$3:$AJ$306&lt;AJ220)+(calc!$AI$3:$AI$306&lt;AI220)*(calc!$AJ$3:$AJ$306&gt;AJ220))&gt;0)),0)</f>
        <v/>
      </c>
      <c r="AL220" s="5">
        <f>IF(mos_metrics!J219="","",mos_metrics!J219)</f>
        <v/>
      </c>
      <c r="AM220" s="2">
        <f>AND($J220,ISNUMBER(AL220),correlation!$I$29=1)</f>
        <v/>
      </c>
      <c r="AN220" s="5">
        <f>IF(AM220,$F220,"")</f>
        <v/>
      </c>
      <c r="AO220" s="5">
        <f>IF(AM220,AL220*correlation!$J$29,"")</f>
        <v/>
      </c>
      <c r="AP220" s="5">
        <f>IF(AND(AM220,ISNUMBER(correlation!$F$29)),AO220*correlation!$F$29+correlation!$G$29,"")</f>
        <v/>
      </c>
      <c r="AQ220" s="5">
        <f>IF(AND(AM220,ISNUMBER(AP220)),(AN220-AP220)^2,"")</f>
        <v/>
      </c>
      <c r="AR220" s="5">
        <f>IF(AM220,1+SUMPRODUCT(--(calc!$AM$3:$AM$306=TRUE),--(calc!$AN$3:$AN$306&gt;AN220))+(SUMPRODUCT(--(calc!$AM$3:$AM$306=TRUE),--(calc!$AN$3:$AN$306=AN220))-1)/2,"")</f>
        <v/>
      </c>
      <c r="AS220" s="5">
        <f>IF(AM220,1+SUMPRODUCT(--(calc!$AM$3:$AM$306=TRUE),--(calc!$AO$3:$AO$306&gt;AO220))+(SUMPRODUCT(--(calc!$AM$3:$AM$306=TRUE),--(calc!$AO$3:$AO$306=AO220))-1)/2,"")</f>
        <v/>
      </c>
      <c r="AT220" s="5">
        <f>IF(AM220,SUMPRODUCT(--(calc!$AM$3:$AM$306=TRUE),--(ROW(calc!$AM$3:$AM$306)&gt;ROW(AM220)),--(((calc!$AR$3:$AR$306&gt;AR220)*(calc!$AS$3:$AS$306&gt;AS220)+(calc!$AR$3:$AR$306&lt;AR220)*(calc!$AS$3:$AS$306&lt;AS220))&gt;0))-SUMPRODUCT(--(calc!$AM$3:$AM$306=TRUE),--(ROW(calc!$AM$3:$AM$306)&gt;ROW(AM220)),--(((calc!$AR$3:$AR$306&gt;AR220)*(calc!$AS$3:$AS$306&lt;AS220)+(calc!$AR$3:$AR$306&lt;AR220)*(calc!$AS$3:$AS$306&gt;AS220))&gt;0)),0)</f>
        <v/>
      </c>
      <c r="AU220" s="5">
        <f>IF(mos_metrics!K219="","",mos_metrics!K219)</f>
        <v/>
      </c>
      <c r="AV220" s="2">
        <f>AND($J220,ISNUMBER(AU220),correlation!$I$30=1)</f>
        <v/>
      </c>
      <c r="AW220" s="5">
        <f>IF(AV220,$F220,"")</f>
        <v/>
      </c>
      <c r="AX220" s="5">
        <f>IF(AV220,AU220*correlation!$J$30,"")</f>
        <v/>
      </c>
      <c r="AY220" s="5">
        <f>IF(AND(AV220,ISNUMBER(correlation!$F$30)),AX220*correlation!$F$30+correlation!$G$30,"")</f>
        <v/>
      </c>
      <c r="AZ220" s="5">
        <f>IF(AND(AV220,ISNUMBER(AY220)),(AW220-AY220)^2,"")</f>
        <v/>
      </c>
      <c r="BA220" s="5">
        <f>IF(AV220,1+SUMPRODUCT(--(calc!$AV$3:$AV$306=TRUE),--(calc!$AW$3:$AW$306&gt;AW220))+(SUMPRODUCT(--(calc!$AV$3:$AV$306=TRUE),--(calc!$AW$3:$AW$306=AW220))-1)/2,"")</f>
        <v/>
      </c>
      <c r="BB220" s="5">
        <f>IF(AV220,1+SUMPRODUCT(--(calc!$AV$3:$AV$306=TRUE),--(calc!$AX$3:$AX$306&gt;AX220))+(SUMPRODUCT(--(calc!$AV$3:$AV$306=TRUE),--(calc!$AX$3:$AX$306=AX220))-1)/2,"")</f>
        <v/>
      </c>
      <c r="BC220" s="5">
        <f>IF(AV220,SUMPRODUCT(--(calc!$AV$3:$AV$306=TRUE),--(ROW(calc!$AV$3:$AV$306)&gt;ROW(AV220)),--(((calc!$BA$3:$BA$306&gt;BA220)*(calc!$BB$3:$BB$306&gt;BB220)+(calc!$BA$3:$BA$306&lt;BA220)*(calc!$BB$3:$BB$306&lt;BB220))&gt;0))-SUMPRODUCT(--(calc!$AV$3:$AV$306=TRUE),--(ROW(calc!$AV$3:$AV$306)&gt;ROW(AV220)),--(((calc!$BA$3:$BA$306&gt;BA220)*(calc!$BB$3:$BB$306&lt;BB220)+(calc!$BA$3:$BA$306&lt;BA220)*(calc!$BB$3:$BB$306&gt;BB220))&gt;0)),0)</f>
        <v/>
      </c>
      <c r="BD220" s="5">
        <f>IF(mos_metrics!L219="","",mos_metrics!L219)</f>
        <v/>
      </c>
      <c r="BE220" s="2">
        <f>AND($J220,ISNUMBER(BD220),correlation!$I$31=1)</f>
        <v/>
      </c>
      <c r="BF220" s="5">
        <f>IF(BE220,$F220,"")</f>
        <v/>
      </c>
      <c r="BG220" s="5">
        <f>IF(BE220,BD220*correlation!$J$31,"")</f>
        <v/>
      </c>
      <c r="BH220" s="5">
        <f>IF(AND(BE220,ISNUMBER(correlation!$F$31)),BG220*correlation!$F$31+correlation!$G$31,"")</f>
        <v/>
      </c>
      <c r="BI220" s="5">
        <f>IF(AND(BE220,ISNUMBER(BH220)),(BF220-BH220)^2,"")</f>
        <v/>
      </c>
      <c r="BJ220" s="5">
        <f>IF(BE220,1+SUMPRODUCT(--(calc!$BE$3:$BE$306=TRUE),--(calc!$BF$3:$BF$306&gt;BF220))+(SUMPRODUCT(--(calc!$BE$3:$BE$306=TRUE),--(calc!$BF$3:$BF$306=BF220))-1)/2,"")</f>
        <v/>
      </c>
      <c r="BK220" s="5">
        <f>IF(BE220,1+SUMPRODUCT(--(calc!$BE$3:$BE$306=TRUE),--(calc!$BG$3:$BG$306&gt;BG220))+(SUMPRODUCT(--(calc!$BE$3:$BE$306=TRUE),--(calc!$BG$3:$BG$306=BG220))-1)/2,"")</f>
        <v/>
      </c>
      <c r="BL220" s="5">
        <f>IF(BE220,SUMPRODUCT(--(calc!$BE$3:$BE$306=TRUE),--(ROW(calc!$BE$3:$BE$306)&gt;ROW(BE220)),--(((calc!$BJ$3:$BJ$306&gt;BJ220)*(calc!$BK$3:$BK$306&gt;BK220)+(calc!$BJ$3:$BJ$306&lt;BJ220)*(calc!$BK$3:$BK$306&lt;BK220))&gt;0))-SUMPRODUCT(--(calc!$BE$3:$BE$306=TRUE),--(ROW(calc!$BE$3:$BE$306)&gt;ROW(BE220)),--(((calc!$BJ$3:$BJ$306&gt;BJ220)*(calc!$BK$3:$BK$306&lt;BK220)+(calc!$BJ$3:$BJ$306&lt;BJ220)*(calc!$BK$3:$BK$306&gt;BK220))&gt;0)),0)</f>
        <v/>
      </c>
      <c r="BM220" s="5">
        <f>IF(mos_metrics!M219="","",mos_metrics!M219)</f>
        <v/>
      </c>
      <c r="BN220" s="2">
        <f>AND($J220,ISNUMBER(BM220),correlation!$I$32=1)</f>
        <v/>
      </c>
      <c r="BO220" s="5">
        <f>IF(BN220,$F220,"")</f>
        <v/>
      </c>
      <c r="BP220" s="5">
        <f>IF(BN220,BM220*correlation!$J$32,"")</f>
        <v/>
      </c>
      <c r="BQ220" s="5">
        <f>IF(AND(BN220,ISNUMBER(correlation!$F$32)),BP220*correlation!$F$32+correlation!$G$32,"")</f>
        <v/>
      </c>
      <c r="BR220" s="5">
        <f>IF(AND(BN220,ISNUMBER(BQ220)),(BO220-BQ220)^2,"")</f>
        <v/>
      </c>
      <c r="BS220" s="5">
        <f>IF(BN220,1+SUMPRODUCT(--(calc!$BN$3:$BN$306=TRUE),--(calc!$BO$3:$BO$306&gt;BO220))+(SUMPRODUCT(--(calc!$BN$3:$BN$306=TRUE),--(calc!$BO$3:$BO$306=BO220))-1)/2,"")</f>
        <v/>
      </c>
      <c r="BT220" s="5">
        <f>IF(BN220,1+SUMPRODUCT(--(calc!$BN$3:$BN$306=TRUE),--(calc!$BP$3:$BP$306&gt;BP220))+(SUMPRODUCT(--(calc!$BN$3:$BN$306=TRUE),--(calc!$BP$3:$BP$306=BP220))-1)/2,"")</f>
        <v/>
      </c>
      <c r="BU220" s="5">
        <f>IF(BN220,SUMPRODUCT(--(calc!$BN$3:$BN$306=TRUE),--(ROW(calc!$BN$3:$BN$306)&gt;ROW(BN220)),--(((calc!$BS$3:$BS$306&gt;BS220)*(calc!$BT$3:$BT$306&gt;BT220)+(calc!$BS$3:$BS$306&lt;BS220)*(calc!$BT$3:$BT$306&lt;BT220))&gt;0))-SUMPRODUCT(--(calc!$BN$3:$BN$306=TRUE),--(ROW(calc!$BN$3:$BN$306)&gt;ROW(BN220)),--(((calc!$BS$3:$BS$306&gt;BS220)*(calc!$BT$3:$BT$306&lt;BT220)+(calc!$BS$3:$BS$306&lt;BS220)*(calc!$BT$3:$BT$306&gt;BT220))&gt;0)),0)</f>
        <v/>
      </c>
    </row>
    <row r="221">
      <c r="A221" s="2">
        <f>mos_metrics!A220</f>
        <v/>
      </c>
      <c r="B221" s="2">
        <f>mos_metrics!B220</f>
        <v/>
      </c>
      <c r="C221" s="2">
        <f>mos_metrics!C220</f>
        <v/>
      </c>
      <c r="D221" s="2">
        <f>mos_metrics!D220</f>
        <v/>
      </c>
      <c r="E221" s="2">
        <f>mos_metrics!E220</f>
        <v/>
      </c>
      <c r="F221" s="2">
        <f>mos_metrics!F220</f>
        <v/>
      </c>
      <c r="G221" s="2">
        <f>IF($B221="","",IFERROR(VLOOKUP($B221,correlation!$A$2:$B$16,2,FALSE),1))</f>
        <v/>
      </c>
      <c r="H221" s="2">
        <f>IF($E221="","",IFERROR(VLOOKUP($E221,correlation!$D$2:$E$8,2,FALSE),1))</f>
        <v/>
      </c>
      <c r="I221" s="2">
        <f>ISNUMBER($F221)</f>
        <v/>
      </c>
      <c r="J221" s="2">
        <f>AND($G221=1,$H221=1,$I221)</f>
        <v/>
      </c>
      <c r="K221" s="5">
        <f>IF(mos_metrics!G220="","",mos_metrics!G220)</f>
        <v/>
      </c>
      <c r="L221" s="2">
        <f>AND($J221,ISNUMBER(K221),correlation!$I$26=1)</f>
        <v/>
      </c>
      <c r="M221" s="5">
        <f>IF(L221,$F221,"")</f>
        <v/>
      </c>
      <c r="N221" s="5">
        <f>IF(L221,K221*correlation!$J$26,"")</f>
        <v/>
      </c>
      <c r="O221" s="5">
        <f>IF(AND(L221,ISNUMBER(correlation!$F$26)),N221*correlation!$F$26+correlation!$G$26,"")</f>
        <v/>
      </c>
      <c r="P221" s="5">
        <f>IF(AND(L221,ISNUMBER(O221)),(M221-O221)^2,"")</f>
        <v/>
      </c>
      <c r="Q221" s="5">
        <f>IF(L221,1+SUMPRODUCT(--(calc!$L$3:$L$306=TRUE),--(calc!$M$3:$M$306&gt;M221))+(SUMPRODUCT(--(calc!$L$3:$L$306=TRUE),--(calc!$M$3:$M$306=M221))-1)/2,"")</f>
        <v/>
      </c>
      <c r="R221" s="5">
        <f>IF(L221,1+SUMPRODUCT(--(calc!$L$3:$L$306=TRUE),--(calc!$N$3:$N$306&gt;N221))+(SUMPRODUCT(--(calc!$L$3:$L$306=TRUE),--(calc!$N$3:$N$306=N221))-1)/2,"")</f>
        <v/>
      </c>
      <c r="S221" s="5">
        <f>IF(L221,SUMPRODUCT(--(calc!$L$3:$L$306=TRUE),--(ROW(calc!$L$3:$L$306)&gt;ROW(L221)),--(((calc!$Q$3:$Q$306&gt;Q221)*(calc!$R$3:$R$306&gt;R221)+(calc!$Q$3:$Q$306&lt;Q221)*(calc!$R$3:$R$306&lt;R221))&gt;0))-SUMPRODUCT(--(calc!$L$3:$L$306=TRUE),--(ROW(calc!$L$3:$L$306)&gt;ROW(L221)),--(((calc!$Q$3:$Q$306&gt;Q221)*(calc!$R$3:$R$306&lt;R221)+(calc!$Q$3:$Q$306&lt;Q221)*(calc!$R$3:$R$306&gt;R221))&gt;0)),0)</f>
        <v/>
      </c>
      <c r="T221" s="5">
        <f>IF(mos_metrics!H220="","",mos_metrics!H220)</f>
        <v/>
      </c>
      <c r="U221" s="2">
        <f>AND($J221,ISNUMBER(T221),correlation!$I$27=1)</f>
        <v/>
      </c>
      <c r="V221" s="5">
        <f>IF(U221,$F221,"")</f>
        <v/>
      </c>
      <c r="W221" s="5">
        <f>IF(U221,T221*correlation!$J$27,"")</f>
        <v/>
      </c>
      <c r="X221" s="5">
        <f>IF(AND(U221,ISNUMBER(correlation!$F$27)),W221*correlation!$F$27+correlation!$G$27,"")</f>
        <v/>
      </c>
      <c r="Y221" s="5">
        <f>IF(AND(U221,ISNUMBER(X221)),(V221-X221)^2,"")</f>
        <v/>
      </c>
      <c r="Z221" s="5">
        <f>IF(U221,1+SUMPRODUCT(--(calc!$U$3:$U$306=TRUE),--(calc!$V$3:$V$306&gt;V221))+(SUMPRODUCT(--(calc!$U$3:$U$306=TRUE),--(calc!$V$3:$V$306=V221))-1)/2,"")</f>
        <v/>
      </c>
      <c r="AA221" s="5">
        <f>IF(U221,1+SUMPRODUCT(--(calc!$U$3:$U$306=TRUE),--(calc!$W$3:$W$306&gt;W221))+(SUMPRODUCT(--(calc!$U$3:$U$306=TRUE),--(calc!$W$3:$W$306=W221))-1)/2,"")</f>
        <v/>
      </c>
      <c r="AB221" s="5">
        <f>IF(U221,SUMPRODUCT(--(calc!$U$3:$U$306=TRUE),--(ROW(calc!$U$3:$U$306)&gt;ROW(U221)),--(((calc!$Z$3:$Z$306&gt;Z221)*(calc!$AA$3:$AA$306&gt;AA221)+(calc!$Z$3:$Z$306&lt;Z221)*(calc!$AA$3:$AA$306&lt;AA221))&gt;0))-SUMPRODUCT(--(calc!$U$3:$U$306=TRUE),--(ROW(calc!$U$3:$U$306)&gt;ROW(U221)),--(((calc!$Z$3:$Z$306&gt;Z221)*(calc!$AA$3:$AA$306&lt;AA221)+(calc!$Z$3:$Z$306&lt;Z221)*(calc!$AA$3:$AA$306&gt;AA221))&gt;0)),0)</f>
        <v/>
      </c>
      <c r="AC221" s="5">
        <f>IF(mos_metrics!I220="","",mos_metrics!I220)</f>
        <v/>
      </c>
      <c r="AD221" s="2">
        <f>AND($J221,ISNUMBER(AC221),correlation!$I$28=1)</f>
        <v/>
      </c>
      <c r="AE221" s="5">
        <f>IF(AD221,$F221,"")</f>
        <v/>
      </c>
      <c r="AF221" s="5">
        <f>IF(AD221,AC221*correlation!$J$28,"")</f>
        <v/>
      </c>
      <c r="AG221" s="5">
        <f>IF(AND(AD221,ISNUMBER(correlation!$F$28)),AF221*correlation!$F$28+correlation!$G$28,"")</f>
        <v/>
      </c>
      <c r="AH221" s="5">
        <f>IF(AND(AD221,ISNUMBER(AG221)),(AE221-AG221)^2,"")</f>
        <v/>
      </c>
      <c r="AI221" s="5">
        <f>IF(AD221,1+SUMPRODUCT(--(calc!$AD$3:$AD$306=TRUE),--(calc!$AE$3:$AE$306&gt;AE221))+(SUMPRODUCT(--(calc!$AD$3:$AD$306=TRUE),--(calc!$AE$3:$AE$306=AE221))-1)/2,"")</f>
        <v/>
      </c>
      <c r="AJ221" s="5">
        <f>IF(AD221,1+SUMPRODUCT(--(calc!$AD$3:$AD$306=TRUE),--(calc!$AF$3:$AF$306&gt;AF221))+(SUMPRODUCT(--(calc!$AD$3:$AD$306=TRUE),--(calc!$AF$3:$AF$306=AF221))-1)/2,"")</f>
        <v/>
      </c>
      <c r="AK221" s="5">
        <f>IF(AD221,SUMPRODUCT(--(calc!$AD$3:$AD$306=TRUE),--(ROW(calc!$AD$3:$AD$306)&gt;ROW(AD221)),--(((calc!$AI$3:$AI$306&gt;AI221)*(calc!$AJ$3:$AJ$306&gt;AJ221)+(calc!$AI$3:$AI$306&lt;AI221)*(calc!$AJ$3:$AJ$306&lt;AJ221))&gt;0))-SUMPRODUCT(--(calc!$AD$3:$AD$306=TRUE),--(ROW(calc!$AD$3:$AD$306)&gt;ROW(AD221)),--(((calc!$AI$3:$AI$306&gt;AI221)*(calc!$AJ$3:$AJ$306&lt;AJ221)+(calc!$AI$3:$AI$306&lt;AI221)*(calc!$AJ$3:$AJ$306&gt;AJ221))&gt;0)),0)</f>
        <v/>
      </c>
      <c r="AL221" s="5">
        <f>IF(mos_metrics!J220="","",mos_metrics!J220)</f>
        <v/>
      </c>
      <c r="AM221" s="2">
        <f>AND($J221,ISNUMBER(AL221),correlation!$I$29=1)</f>
        <v/>
      </c>
      <c r="AN221" s="5">
        <f>IF(AM221,$F221,"")</f>
        <v/>
      </c>
      <c r="AO221" s="5">
        <f>IF(AM221,AL221*correlation!$J$29,"")</f>
        <v/>
      </c>
      <c r="AP221" s="5">
        <f>IF(AND(AM221,ISNUMBER(correlation!$F$29)),AO221*correlation!$F$29+correlation!$G$29,"")</f>
        <v/>
      </c>
      <c r="AQ221" s="5">
        <f>IF(AND(AM221,ISNUMBER(AP221)),(AN221-AP221)^2,"")</f>
        <v/>
      </c>
      <c r="AR221" s="5">
        <f>IF(AM221,1+SUMPRODUCT(--(calc!$AM$3:$AM$306=TRUE),--(calc!$AN$3:$AN$306&gt;AN221))+(SUMPRODUCT(--(calc!$AM$3:$AM$306=TRUE),--(calc!$AN$3:$AN$306=AN221))-1)/2,"")</f>
        <v/>
      </c>
      <c r="AS221" s="5">
        <f>IF(AM221,1+SUMPRODUCT(--(calc!$AM$3:$AM$306=TRUE),--(calc!$AO$3:$AO$306&gt;AO221))+(SUMPRODUCT(--(calc!$AM$3:$AM$306=TRUE),--(calc!$AO$3:$AO$306=AO221))-1)/2,"")</f>
        <v/>
      </c>
      <c r="AT221" s="5">
        <f>IF(AM221,SUMPRODUCT(--(calc!$AM$3:$AM$306=TRUE),--(ROW(calc!$AM$3:$AM$306)&gt;ROW(AM221)),--(((calc!$AR$3:$AR$306&gt;AR221)*(calc!$AS$3:$AS$306&gt;AS221)+(calc!$AR$3:$AR$306&lt;AR221)*(calc!$AS$3:$AS$306&lt;AS221))&gt;0))-SUMPRODUCT(--(calc!$AM$3:$AM$306=TRUE),--(ROW(calc!$AM$3:$AM$306)&gt;ROW(AM221)),--(((calc!$AR$3:$AR$306&gt;AR221)*(calc!$AS$3:$AS$306&lt;AS221)+(calc!$AR$3:$AR$306&lt;AR221)*(calc!$AS$3:$AS$306&gt;AS221))&gt;0)),0)</f>
        <v/>
      </c>
      <c r="AU221" s="5">
        <f>IF(mos_metrics!K220="","",mos_metrics!K220)</f>
        <v/>
      </c>
      <c r="AV221" s="2">
        <f>AND($J221,ISNUMBER(AU221),correlation!$I$30=1)</f>
        <v/>
      </c>
      <c r="AW221" s="5">
        <f>IF(AV221,$F221,"")</f>
        <v/>
      </c>
      <c r="AX221" s="5">
        <f>IF(AV221,AU221*correlation!$J$30,"")</f>
        <v/>
      </c>
      <c r="AY221" s="5">
        <f>IF(AND(AV221,ISNUMBER(correlation!$F$30)),AX221*correlation!$F$30+correlation!$G$30,"")</f>
        <v/>
      </c>
      <c r="AZ221" s="5">
        <f>IF(AND(AV221,ISNUMBER(AY221)),(AW221-AY221)^2,"")</f>
        <v/>
      </c>
      <c r="BA221" s="5">
        <f>IF(AV221,1+SUMPRODUCT(--(calc!$AV$3:$AV$306=TRUE),--(calc!$AW$3:$AW$306&gt;AW221))+(SUMPRODUCT(--(calc!$AV$3:$AV$306=TRUE),--(calc!$AW$3:$AW$306=AW221))-1)/2,"")</f>
        <v/>
      </c>
      <c r="BB221" s="5">
        <f>IF(AV221,1+SUMPRODUCT(--(calc!$AV$3:$AV$306=TRUE),--(calc!$AX$3:$AX$306&gt;AX221))+(SUMPRODUCT(--(calc!$AV$3:$AV$306=TRUE),--(calc!$AX$3:$AX$306=AX221))-1)/2,"")</f>
        <v/>
      </c>
      <c r="BC221" s="5">
        <f>IF(AV221,SUMPRODUCT(--(calc!$AV$3:$AV$306=TRUE),--(ROW(calc!$AV$3:$AV$306)&gt;ROW(AV221)),--(((calc!$BA$3:$BA$306&gt;BA221)*(calc!$BB$3:$BB$306&gt;BB221)+(calc!$BA$3:$BA$306&lt;BA221)*(calc!$BB$3:$BB$306&lt;BB221))&gt;0))-SUMPRODUCT(--(calc!$AV$3:$AV$306=TRUE),--(ROW(calc!$AV$3:$AV$306)&gt;ROW(AV221)),--(((calc!$BA$3:$BA$306&gt;BA221)*(calc!$BB$3:$BB$306&lt;BB221)+(calc!$BA$3:$BA$306&lt;BA221)*(calc!$BB$3:$BB$306&gt;BB221))&gt;0)),0)</f>
        <v/>
      </c>
      <c r="BD221" s="5">
        <f>IF(mos_metrics!L220="","",mos_metrics!L220)</f>
        <v/>
      </c>
      <c r="BE221" s="2">
        <f>AND($J221,ISNUMBER(BD221),correlation!$I$31=1)</f>
        <v/>
      </c>
      <c r="BF221" s="5">
        <f>IF(BE221,$F221,"")</f>
        <v/>
      </c>
      <c r="BG221" s="5">
        <f>IF(BE221,BD221*correlation!$J$31,"")</f>
        <v/>
      </c>
      <c r="BH221" s="5">
        <f>IF(AND(BE221,ISNUMBER(correlation!$F$31)),BG221*correlation!$F$31+correlation!$G$31,"")</f>
        <v/>
      </c>
      <c r="BI221" s="5">
        <f>IF(AND(BE221,ISNUMBER(BH221)),(BF221-BH221)^2,"")</f>
        <v/>
      </c>
      <c r="BJ221" s="5">
        <f>IF(BE221,1+SUMPRODUCT(--(calc!$BE$3:$BE$306=TRUE),--(calc!$BF$3:$BF$306&gt;BF221))+(SUMPRODUCT(--(calc!$BE$3:$BE$306=TRUE),--(calc!$BF$3:$BF$306=BF221))-1)/2,"")</f>
        <v/>
      </c>
      <c r="BK221" s="5">
        <f>IF(BE221,1+SUMPRODUCT(--(calc!$BE$3:$BE$306=TRUE),--(calc!$BG$3:$BG$306&gt;BG221))+(SUMPRODUCT(--(calc!$BE$3:$BE$306=TRUE),--(calc!$BG$3:$BG$306=BG221))-1)/2,"")</f>
        <v/>
      </c>
      <c r="BL221" s="5">
        <f>IF(BE221,SUMPRODUCT(--(calc!$BE$3:$BE$306=TRUE),--(ROW(calc!$BE$3:$BE$306)&gt;ROW(BE221)),--(((calc!$BJ$3:$BJ$306&gt;BJ221)*(calc!$BK$3:$BK$306&gt;BK221)+(calc!$BJ$3:$BJ$306&lt;BJ221)*(calc!$BK$3:$BK$306&lt;BK221))&gt;0))-SUMPRODUCT(--(calc!$BE$3:$BE$306=TRUE),--(ROW(calc!$BE$3:$BE$306)&gt;ROW(BE221)),--(((calc!$BJ$3:$BJ$306&gt;BJ221)*(calc!$BK$3:$BK$306&lt;BK221)+(calc!$BJ$3:$BJ$306&lt;BJ221)*(calc!$BK$3:$BK$306&gt;BK221))&gt;0)),0)</f>
        <v/>
      </c>
      <c r="BM221" s="5">
        <f>IF(mos_metrics!M220="","",mos_metrics!M220)</f>
        <v/>
      </c>
      <c r="BN221" s="2">
        <f>AND($J221,ISNUMBER(BM221),correlation!$I$32=1)</f>
        <v/>
      </c>
      <c r="BO221" s="5">
        <f>IF(BN221,$F221,"")</f>
        <v/>
      </c>
      <c r="BP221" s="5">
        <f>IF(BN221,BM221*correlation!$J$32,"")</f>
        <v/>
      </c>
      <c r="BQ221" s="5">
        <f>IF(AND(BN221,ISNUMBER(correlation!$F$32)),BP221*correlation!$F$32+correlation!$G$32,"")</f>
        <v/>
      </c>
      <c r="BR221" s="5">
        <f>IF(AND(BN221,ISNUMBER(BQ221)),(BO221-BQ221)^2,"")</f>
        <v/>
      </c>
      <c r="BS221" s="5">
        <f>IF(BN221,1+SUMPRODUCT(--(calc!$BN$3:$BN$306=TRUE),--(calc!$BO$3:$BO$306&gt;BO221))+(SUMPRODUCT(--(calc!$BN$3:$BN$306=TRUE),--(calc!$BO$3:$BO$306=BO221))-1)/2,"")</f>
        <v/>
      </c>
      <c r="BT221" s="5">
        <f>IF(BN221,1+SUMPRODUCT(--(calc!$BN$3:$BN$306=TRUE),--(calc!$BP$3:$BP$306&gt;BP221))+(SUMPRODUCT(--(calc!$BN$3:$BN$306=TRUE),--(calc!$BP$3:$BP$306=BP221))-1)/2,"")</f>
        <v/>
      </c>
      <c r="BU221" s="5">
        <f>IF(BN221,SUMPRODUCT(--(calc!$BN$3:$BN$306=TRUE),--(ROW(calc!$BN$3:$BN$306)&gt;ROW(BN221)),--(((calc!$BS$3:$BS$306&gt;BS221)*(calc!$BT$3:$BT$306&gt;BT221)+(calc!$BS$3:$BS$306&lt;BS221)*(calc!$BT$3:$BT$306&lt;BT221))&gt;0))-SUMPRODUCT(--(calc!$BN$3:$BN$306=TRUE),--(ROW(calc!$BN$3:$BN$306)&gt;ROW(BN221)),--(((calc!$BS$3:$BS$306&gt;BS221)*(calc!$BT$3:$BT$306&lt;BT221)+(calc!$BS$3:$BS$306&lt;BS221)*(calc!$BT$3:$BT$306&gt;BT221))&gt;0)),0)</f>
        <v/>
      </c>
    </row>
    <row r="222">
      <c r="A222" s="2">
        <f>mos_metrics!A221</f>
        <v/>
      </c>
      <c r="B222" s="2">
        <f>mos_metrics!B221</f>
        <v/>
      </c>
      <c r="C222" s="2">
        <f>mos_metrics!C221</f>
        <v/>
      </c>
      <c r="D222" s="2">
        <f>mos_metrics!D221</f>
        <v/>
      </c>
      <c r="E222" s="2">
        <f>mos_metrics!E221</f>
        <v/>
      </c>
      <c r="F222" s="2">
        <f>mos_metrics!F221</f>
        <v/>
      </c>
      <c r="G222" s="2">
        <f>IF($B222="","",IFERROR(VLOOKUP($B222,correlation!$A$2:$B$16,2,FALSE),1))</f>
        <v/>
      </c>
      <c r="H222" s="2">
        <f>IF($E222="","",IFERROR(VLOOKUP($E222,correlation!$D$2:$E$8,2,FALSE),1))</f>
        <v/>
      </c>
      <c r="I222" s="2">
        <f>ISNUMBER($F222)</f>
        <v/>
      </c>
      <c r="J222" s="2">
        <f>AND($G222=1,$H222=1,$I222)</f>
        <v/>
      </c>
      <c r="K222" s="5">
        <f>IF(mos_metrics!G221="","",mos_metrics!G221)</f>
        <v/>
      </c>
      <c r="L222" s="2">
        <f>AND($J222,ISNUMBER(K222),correlation!$I$26=1)</f>
        <v/>
      </c>
      <c r="M222" s="5">
        <f>IF(L222,$F222,"")</f>
        <v/>
      </c>
      <c r="N222" s="5">
        <f>IF(L222,K222*correlation!$J$26,"")</f>
        <v/>
      </c>
      <c r="O222" s="5">
        <f>IF(AND(L222,ISNUMBER(correlation!$F$26)),N222*correlation!$F$26+correlation!$G$26,"")</f>
        <v/>
      </c>
      <c r="P222" s="5">
        <f>IF(AND(L222,ISNUMBER(O222)),(M222-O222)^2,"")</f>
        <v/>
      </c>
      <c r="Q222" s="5">
        <f>IF(L222,1+SUMPRODUCT(--(calc!$L$3:$L$306=TRUE),--(calc!$M$3:$M$306&gt;M222))+(SUMPRODUCT(--(calc!$L$3:$L$306=TRUE),--(calc!$M$3:$M$306=M222))-1)/2,"")</f>
        <v/>
      </c>
      <c r="R222" s="5">
        <f>IF(L222,1+SUMPRODUCT(--(calc!$L$3:$L$306=TRUE),--(calc!$N$3:$N$306&gt;N222))+(SUMPRODUCT(--(calc!$L$3:$L$306=TRUE),--(calc!$N$3:$N$306=N222))-1)/2,"")</f>
        <v/>
      </c>
      <c r="S222" s="5">
        <f>IF(L222,SUMPRODUCT(--(calc!$L$3:$L$306=TRUE),--(ROW(calc!$L$3:$L$306)&gt;ROW(L222)),--(((calc!$Q$3:$Q$306&gt;Q222)*(calc!$R$3:$R$306&gt;R222)+(calc!$Q$3:$Q$306&lt;Q222)*(calc!$R$3:$R$306&lt;R222))&gt;0))-SUMPRODUCT(--(calc!$L$3:$L$306=TRUE),--(ROW(calc!$L$3:$L$306)&gt;ROW(L222)),--(((calc!$Q$3:$Q$306&gt;Q222)*(calc!$R$3:$R$306&lt;R222)+(calc!$Q$3:$Q$306&lt;Q222)*(calc!$R$3:$R$306&gt;R222))&gt;0)),0)</f>
        <v/>
      </c>
      <c r="T222" s="5">
        <f>IF(mos_metrics!H221="","",mos_metrics!H221)</f>
        <v/>
      </c>
      <c r="U222" s="2">
        <f>AND($J222,ISNUMBER(T222),correlation!$I$27=1)</f>
        <v/>
      </c>
      <c r="V222" s="5">
        <f>IF(U222,$F222,"")</f>
        <v/>
      </c>
      <c r="W222" s="5">
        <f>IF(U222,T222*correlation!$J$27,"")</f>
        <v/>
      </c>
      <c r="X222" s="5">
        <f>IF(AND(U222,ISNUMBER(correlation!$F$27)),W222*correlation!$F$27+correlation!$G$27,"")</f>
        <v/>
      </c>
      <c r="Y222" s="5">
        <f>IF(AND(U222,ISNUMBER(X222)),(V222-X222)^2,"")</f>
        <v/>
      </c>
      <c r="Z222" s="5">
        <f>IF(U222,1+SUMPRODUCT(--(calc!$U$3:$U$306=TRUE),--(calc!$V$3:$V$306&gt;V222))+(SUMPRODUCT(--(calc!$U$3:$U$306=TRUE),--(calc!$V$3:$V$306=V222))-1)/2,"")</f>
        <v/>
      </c>
      <c r="AA222" s="5">
        <f>IF(U222,1+SUMPRODUCT(--(calc!$U$3:$U$306=TRUE),--(calc!$W$3:$W$306&gt;W222))+(SUMPRODUCT(--(calc!$U$3:$U$306=TRUE),--(calc!$W$3:$W$306=W222))-1)/2,"")</f>
        <v/>
      </c>
      <c r="AB222" s="5">
        <f>IF(U222,SUMPRODUCT(--(calc!$U$3:$U$306=TRUE),--(ROW(calc!$U$3:$U$306)&gt;ROW(U222)),--(((calc!$Z$3:$Z$306&gt;Z222)*(calc!$AA$3:$AA$306&gt;AA222)+(calc!$Z$3:$Z$306&lt;Z222)*(calc!$AA$3:$AA$306&lt;AA222))&gt;0))-SUMPRODUCT(--(calc!$U$3:$U$306=TRUE),--(ROW(calc!$U$3:$U$306)&gt;ROW(U222)),--(((calc!$Z$3:$Z$306&gt;Z222)*(calc!$AA$3:$AA$306&lt;AA222)+(calc!$Z$3:$Z$306&lt;Z222)*(calc!$AA$3:$AA$306&gt;AA222))&gt;0)),0)</f>
        <v/>
      </c>
      <c r="AC222" s="5">
        <f>IF(mos_metrics!I221="","",mos_metrics!I221)</f>
        <v/>
      </c>
      <c r="AD222" s="2">
        <f>AND($J222,ISNUMBER(AC222),correlation!$I$28=1)</f>
        <v/>
      </c>
      <c r="AE222" s="5">
        <f>IF(AD222,$F222,"")</f>
        <v/>
      </c>
      <c r="AF222" s="5">
        <f>IF(AD222,AC222*correlation!$J$28,"")</f>
        <v/>
      </c>
      <c r="AG222" s="5">
        <f>IF(AND(AD222,ISNUMBER(correlation!$F$28)),AF222*correlation!$F$28+correlation!$G$28,"")</f>
        <v/>
      </c>
      <c r="AH222" s="5">
        <f>IF(AND(AD222,ISNUMBER(AG222)),(AE222-AG222)^2,"")</f>
        <v/>
      </c>
      <c r="AI222" s="5">
        <f>IF(AD222,1+SUMPRODUCT(--(calc!$AD$3:$AD$306=TRUE),--(calc!$AE$3:$AE$306&gt;AE222))+(SUMPRODUCT(--(calc!$AD$3:$AD$306=TRUE),--(calc!$AE$3:$AE$306=AE222))-1)/2,"")</f>
        <v/>
      </c>
      <c r="AJ222" s="5">
        <f>IF(AD222,1+SUMPRODUCT(--(calc!$AD$3:$AD$306=TRUE),--(calc!$AF$3:$AF$306&gt;AF222))+(SUMPRODUCT(--(calc!$AD$3:$AD$306=TRUE),--(calc!$AF$3:$AF$306=AF222))-1)/2,"")</f>
        <v/>
      </c>
      <c r="AK222" s="5">
        <f>IF(AD222,SUMPRODUCT(--(calc!$AD$3:$AD$306=TRUE),--(ROW(calc!$AD$3:$AD$306)&gt;ROW(AD222)),--(((calc!$AI$3:$AI$306&gt;AI222)*(calc!$AJ$3:$AJ$306&gt;AJ222)+(calc!$AI$3:$AI$306&lt;AI222)*(calc!$AJ$3:$AJ$306&lt;AJ222))&gt;0))-SUMPRODUCT(--(calc!$AD$3:$AD$306=TRUE),--(ROW(calc!$AD$3:$AD$306)&gt;ROW(AD222)),--(((calc!$AI$3:$AI$306&gt;AI222)*(calc!$AJ$3:$AJ$306&lt;AJ222)+(calc!$AI$3:$AI$306&lt;AI222)*(calc!$AJ$3:$AJ$306&gt;AJ222))&gt;0)),0)</f>
        <v/>
      </c>
      <c r="AL222" s="5">
        <f>IF(mos_metrics!J221="","",mos_metrics!J221)</f>
        <v/>
      </c>
      <c r="AM222" s="2">
        <f>AND($J222,ISNUMBER(AL222),correlation!$I$29=1)</f>
        <v/>
      </c>
      <c r="AN222" s="5">
        <f>IF(AM222,$F222,"")</f>
        <v/>
      </c>
      <c r="AO222" s="5">
        <f>IF(AM222,AL222*correlation!$J$29,"")</f>
        <v/>
      </c>
      <c r="AP222" s="5">
        <f>IF(AND(AM222,ISNUMBER(correlation!$F$29)),AO222*correlation!$F$29+correlation!$G$29,"")</f>
        <v/>
      </c>
      <c r="AQ222" s="5">
        <f>IF(AND(AM222,ISNUMBER(AP222)),(AN222-AP222)^2,"")</f>
        <v/>
      </c>
      <c r="AR222" s="5">
        <f>IF(AM222,1+SUMPRODUCT(--(calc!$AM$3:$AM$306=TRUE),--(calc!$AN$3:$AN$306&gt;AN222))+(SUMPRODUCT(--(calc!$AM$3:$AM$306=TRUE),--(calc!$AN$3:$AN$306=AN222))-1)/2,"")</f>
        <v/>
      </c>
      <c r="AS222" s="5">
        <f>IF(AM222,1+SUMPRODUCT(--(calc!$AM$3:$AM$306=TRUE),--(calc!$AO$3:$AO$306&gt;AO222))+(SUMPRODUCT(--(calc!$AM$3:$AM$306=TRUE),--(calc!$AO$3:$AO$306=AO222))-1)/2,"")</f>
        <v/>
      </c>
      <c r="AT222" s="5">
        <f>IF(AM222,SUMPRODUCT(--(calc!$AM$3:$AM$306=TRUE),--(ROW(calc!$AM$3:$AM$306)&gt;ROW(AM222)),--(((calc!$AR$3:$AR$306&gt;AR222)*(calc!$AS$3:$AS$306&gt;AS222)+(calc!$AR$3:$AR$306&lt;AR222)*(calc!$AS$3:$AS$306&lt;AS222))&gt;0))-SUMPRODUCT(--(calc!$AM$3:$AM$306=TRUE),--(ROW(calc!$AM$3:$AM$306)&gt;ROW(AM222)),--(((calc!$AR$3:$AR$306&gt;AR222)*(calc!$AS$3:$AS$306&lt;AS222)+(calc!$AR$3:$AR$306&lt;AR222)*(calc!$AS$3:$AS$306&gt;AS222))&gt;0)),0)</f>
        <v/>
      </c>
      <c r="AU222" s="5">
        <f>IF(mos_metrics!K221="","",mos_metrics!K221)</f>
        <v/>
      </c>
      <c r="AV222" s="2">
        <f>AND($J222,ISNUMBER(AU222),correlation!$I$30=1)</f>
        <v/>
      </c>
      <c r="AW222" s="5">
        <f>IF(AV222,$F222,"")</f>
        <v/>
      </c>
      <c r="AX222" s="5">
        <f>IF(AV222,AU222*correlation!$J$30,"")</f>
        <v/>
      </c>
      <c r="AY222" s="5">
        <f>IF(AND(AV222,ISNUMBER(correlation!$F$30)),AX222*correlation!$F$30+correlation!$G$30,"")</f>
        <v/>
      </c>
      <c r="AZ222" s="5">
        <f>IF(AND(AV222,ISNUMBER(AY222)),(AW222-AY222)^2,"")</f>
        <v/>
      </c>
      <c r="BA222" s="5">
        <f>IF(AV222,1+SUMPRODUCT(--(calc!$AV$3:$AV$306=TRUE),--(calc!$AW$3:$AW$306&gt;AW222))+(SUMPRODUCT(--(calc!$AV$3:$AV$306=TRUE),--(calc!$AW$3:$AW$306=AW222))-1)/2,"")</f>
        <v/>
      </c>
      <c r="BB222" s="5">
        <f>IF(AV222,1+SUMPRODUCT(--(calc!$AV$3:$AV$306=TRUE),--(calc!$AX$3:$AX$306&gt;AX222))+(SUMPRODUCT(--(calc!$AV$3:$AV$306=TRUE),--(calc!$AX$3:$AX$306=AX222))-1)/2,"")</f>
        <v/>
      </c>
      <c r="BC222" s="5">
        <f>IF(AV222,SUMPRODUCT(--(calc!$AV$3:$AV$306=TRUE),--(ROW(calc!$AV$3:$AV$306)&gt;ROW(AV222)),--(((calc!$BA$3:$BA$306&gt;BA222)*(calc!$BB$3:$BB$306&gt;BB222)+(calc!$BA$3:$BA$306&lt;BA222)*(calc!$BB$3:$BB$306&lt;BB222))&gt;0))-SUMPRODUCT(--(calc!$AV$3:$AV$306=TRUE),--(ROW(calc!$AV$3:$AV$306)&gt;ROW(AV222)),--(((calc!$BA$3:$BA$306&gt;BA222)*(calc!$BB$3:$BB$306&lt;BB222)+(calc!$BA$3:$BA$306&lt;BA222)*(calc!$BB$3:$BB$306&gt;BB222))&gt;0)),0)</f>
        <v/>
      </c>
      <c r="BD222" s="5">
        <f>IF(mos_metrics!L221="","",mos_metrics!L221)</f>
        <v/>
      </c>
      <c r="BE222" s="2">
        <f>AND($J222,ISNUMBER(BD222),correlation!$I$31=1)</f>
        <v/>
      </c>
      <c r="BF222" s="5">
        <f>IF(BE222,$F222,"")</f>
        <v/>
      </c>
      <c r="BG222" s="5">
        <f>IF(BE222,BD222*correlation!$J$31,"")</f>
        <v/>
      </c>
      <c r="BH222" s="5">
        <f>IF(AND(BE222,ISNUMBER(correlation!$F$31)),BG222*correlation!$F$31+correlation!$G$31,"")</f>
        <v/>
      </c>
      <c r="BI222" s="5">
        <f>IF(AND(BE222,ISNUMBER(BH222)),(BF222-BH222)^2,"")</f>
        <v/>
      </c>
      <c r="BJ222" s="5">
        <f>IF(BE222,1+SUMPRODUCT(--(calc!$BE$3:$BE$306=TRUE),--(calc!$BF$3:$BF$306&gt;BF222))+(SUMPRODUCT(--(calc!$BE$3:$BE$306=TRUE),--(calc!$BF$3:$BF$306=BF222))-1)/2,"")</f>
        <v/>
      </c>
      <c r="BK222" s="5">
        <f>IF(BE222,1+SUMPRODUCT(--(calc!$BE$3:$BE$306=TRUE),--(calc!$BG$3:$BG$306&gt;BG222))+(SUMPRODUCT(--(calc!$BE$3:$BE$306=TRUE),--(calc!$BG$3:$BG$306=BG222))-1)/2,"")</f>
        <v/>
      </c>
      <c r="BL222" s="5">
        <f>IF(BE222,SUMPRODUCT(--(calc!$BE$3:$BE$306=TRUE),--(ROW(calc!$BE$3:$BE$306)&gt;ROW(BE222)),--(((calc!$BJ$3:$BJ$306&gt;BJ222)*(calc!$BK$3:$BK$306&gt;BK222)+(calc!$BJ$3:$BJ$306&lt;BJ222)*(calc!$BK$3:$BK$306&lt;BK222))&gt;0))-SUMPRODUCT(--(calc!$BE$3:$BE$306=TRUE),--(ROW(calc!$BE$3:$BE$306)&gt;ROW(BE222)),--(((calc!$BJ$3:$BJ$306&gt;BJ222)*(calc!$BK$3:$BK$306&lt;BK222)+(calc!$BJ$3:$BJ$306&lt;BJ222)*(calc!$BK$3:$BK$306&gt;BK222))&gt;0)),0)</f>
        <v/>
      </c>
      <c r="BM222" s="5">
        <f>IF(mos_metrics!M221="","",mos_metrics!M221)</f>
        <v/>
      </c>
      <c r="BN222" s="2">
        <f>AND($J222,ISNUMBER(BM222),correlation!$I$32=1)</f>
        <v/>
      </c>
      <c r="BO222" s="5">
        <f>IF(BN222,$F222,"")</f>
        <v/>
      </c>
      <c r="BP222" s="5">
        <f>IF(BN222,BM222*correlation!$J$32,"")</f>
        <v/>
      </c>
      <c r="BQ222" s="5">
        <f>IF(AND(BN222,ISNUMBER(correlation!$F$32)),BP222*correlation!$F$32+correlation!$G$32,"")</f>
        <v/>
      </c>
      <c r="BR222" s="5">
        <f>IF(AND(BN222,ISNUMBER(BQ222)),(BO222-BQ222)^2,"")</f>
        <v/>
      </c>
      <c r="BS222" s="5">
        <f>IF(BN222,1+SUMPRODUCT(--(calc!$BN$3:$BN$306=TRUE),--(calc!$BO$3:$BO$306&gt;BO222))+(SUMPRODUCT(--(calc!$BN$3:$BN$306=TRUE),--(calc!$BO$3:$BO$306=BO222))-1)/2,"")</f>
        <v/>
      </c>
      <c r="BT222" s="5">
        <f>IF(BN222,1+SUMPRODUCT(--(calc!$BN$3:$BN$306=TRUE),--(calc!$BP$3:$BP$306&gt;BP222))+(SUMPRODUCT(--(calc!$BN$3:$BN$306=TRUE),--(calc!$BP$3:$BP$306=BP222))-1)/2,"")</f>
        <v/>
      </c>
      <c r="BU222" s="5">
        <f>IF(BN222,SUMPRODUCT(--(calc!$BN$3:$BN$306=TRUE),--(ROW(calc!$BN$3:$BN$306)&gt;ROW(BN222)),--(((calc!$BS$3:$BS$306&gt;BS222)*(calc!$BT$3:$BT$306&gt;BT222)+(calc!$BS$3:$BS$306&lt;BS222)*(calc!$BT$3:$BT$306&lt;BT222))&gt;0))-SUMPRODUCT(--(calc!$BN$3:$BN$306=TRUE),--(ROW(calc!$BN$3:$BN$306)&gt;ROW(BN222)),--(((calc!$BS$3:$BS$306&gt;BS222)*(calc!$BT$3:$BT$306&lt;BT222)+(calc!$BS$3:$BS$306&lt;BS222)*(calc!$BT$3:$BT$306&gt;BT222))&gt;0)),0)</f>
        <v/>
      </c>
    </row>
    <row r="223">
      <c r="A223" s="2">
        <f>mos_metrics!A222</f>
        <v/>
      </c>
      <c r="B223" s="2">
        <f>mos_metrics!B222</f>
        <v/>
      </c>
      <c r="C223" s="2">
        <f>mos_metrics!C222</f>
        <v/>
      </c>
      <c r="D223" s="2">
        <f>mos_metrics!D222</f>
        <v/>
      </c>
      <c r="E223" s="2">
        <f>mos_metrics!E222</f>
        <v/>
      </c>
      <c r="F223" s="2">
        <f>mos_metrics!F222</f>
        <v/>
      </c>
      <c r="G223" s="2">
        <f>IF($B223="","",IFERROR(VLOOKUP($B223,correlation!$A$2:$B$16,2,FALSE),1))</f>
        <v/>
      </c>
      <c r="H223" s="2">
        <f>IF($E223="","",IFERROR(VLOOKUP($E223,correlation!$D$2:$E$8,2,FALSE),1))</f>
        <v/>
      </c>
      <c r="I223" s="2">
        <f>ISNUMBER($F223)</f>
        <v/>
      </c>
      <c r="J223" s="2">
        <f>AND($G223=1,$H223=1,$I223)</f>
        <v/>
      </c>
      <c r="K223" s="5">
        <f>IF(mos_metrics!G222="","",mos_metrics!G222)</f>
        <v/>
      </c>
      <c r="L223" s="2">
        <f>AND($J223,ISNUMBER(K223),correlation!$I$26=1)</f>
        <v/>
      </c>
      <c r="M223" s="5">
        <f>IF(L223,$F223,"")</f>
        <v/>
      </c>
      <c r="N223" s="5">
        <f>IF(L223,K223*correlation!$J$26,"")</f>
        <v/>
      </c>
      <c r="O223" s="5">
        <f>IF(AND(L223,ISNUMBER(correlation!$F$26)),N223*correlation!$F$26+correlation!$G$26,"")</f>
        <v/>
      </c>
      <c r="P223" s="5">
        <f>IF(AND(L223,ISNUMBER(O223)),(M223-O223)^2,"")</f>
        <v/>
      </c>
      <c r="Q223" s="5">
        <f>IF(L223,1+SUMPRODUCT(--(calc!$L$3:$L$306=TRUE),--(calc!$M$3:$M$306&gt;M223))+(SUMPRODUCT(--(calc!$L$3:$L$306=TRUE),--(calc!$M$3:$M$306=M223))-1)/2,"")</f>
        <v/>
      </c>
      <c r="R223" s="5">
        <f>IF(L223,1+SUMPRODUCT(--(calc!$L$3:$L$306=TRUE),--(calc!$N$3:$N$306&gt;N223))+(SUMPRODUCT(--(calc!$L$3:$L$306=TRUE),--(calc!$N$3:$N$306=N223))-1)/2,"")</f>
        <v/>
      </c>
      <c r="S223" s="5">
        <f>IF(L223,SUMPRODUCT(--(calc!$L$3:$L$306=TRUE),--(ROW(calc!$L$3:$L$306)&gt;ROW(L223)),--(((calc!$Q$3:$Q$306&gt;Q223)*(calc!$R$3:$R$306&gt;R223)+(calc!$Q$3:$Q$306&lt;Q223)*(calc!$R$3:$R$306&lt;R223))&gt;0))-SUMPRODUCT(--(calc!$L$3:$L$306=TRUE),--(ROW(calc!$L$3:$L$306)&gt;ROW(L223)),--(((calc!$Q$3:$Q$306&gt;Q223)*(calc!$R$3:$R$306&lt;R223)+(calc!$Q$3:$Q$306&lt;Q223)*(calc!$R$3:$R$306&gt;R223))&gt;0)),0)</f>
        <v/>
      </c>
      <c r="T223" s="5">
        <f>IF(mos_metrics!H222="","",mos_metrics!H222)</f>
        <v/>
      </c>
      <c r="U223" s="2">
        <f>AND($J223,ISNUMBER(T223),correlation!$I$27=1)</f>
        <v/>
      </c>
      <c r="V223" s="5">
        <f>IF(U223,$F223,"")</f>
        <v/>
      </c>
      <c r="W223" s="5">
        <f>IF(U223,T223*correlation!$J$27,"")</f>
        <v/>
      </c>
      <c r="X223" s="5">
        <f>IF(AND(U223,ISNUMBER(correlation!$F$27)),W223*correlation!$F$27+correlation!$G$27,"")</f>
        <v/>
      </c>
      <c r="Y223" s="5">
        <f>IF(AND(U223,ISNUMBER(X223)),(V223-X223)^2,"")</f>
        <v/>
      </c>
      <c r="Z223" s="5">
        <f>IF(U223,1+SUMPRODUCT(--(calc!$U$3:$U$306=TRUE),--(calc!$V$3:$V$306&gt;V223))+(SUMPRODUCT(--(calc!$U$3:$U$306=TRUE),--(calc!$V$3:$V$306=V223))-1)/2,"")</f>
        <v/>
      </c>
      <c r="AA223" s="5">
        <f>IF(U223,1+SUMPRODUCT(--(calc!$U$3:$U$306=TRUE),--(calc!$W$3:$W$306&gt;W223))+(SUMPRODUCT(--(calc!$U$3:$U$306=TRUE),--(calc!$W$3:$W$306=W223))-1)/2,"")</f>
        <v/>
      </c>
      <c r="AB223" s="5">
        <f>IF(U223,SUMPRODUCT(--(calc!$U$3:$U$306=TRUE),--(ROW(calc!$U$3:$U$306)&gt;ROW(U223)),--(((calc!$Z$3:$Z$306&gt;Z223)*(calc!$AA$3:$AA$306&gt;AA223)+(calc!$Z$3:$Z$306&lt;Z223)*(calc!$AA$3:$AA$306&lt;AA223))&gt;0))-SUMPRODUCT(--(calc!$U$3:$U$306=TRUE),--(ROW(calc!$U$3:$U$306)&gt;ROW(U223)),--(((calc!$Z$3:$Z$306&gt;Z223)*(calc!$AA$3:$AA$306&lt;AA223)+(calc!$Z$3:$Z$306&lt;Z223)*(calc!$AA$3:$AA$306&gt;AA223))&gt;0)),0)</f>
        <v/>
      </c>
      <c r="AC223" s="5">
        <f>IF(mos_metrics!I222="","",mos_metrics!I222)</f>
        <v/>
      </c>
      <c r="AD223" s="2">
        <f>AND($J223,ISNUMBER(AC223),correlation!$I$28=1)</f>
        <v/>
      </c>
      <c r="AE223" s="5">
        <f>IF(AD223,$F223,"")</f>
        <v/>
      </c>
      <c r="AF223" s="5">
        <f>IF(AD223,AC223*correlation!$J$28,"")</f>
        <v/>
      </c>
      <c r="AG223" s="5">
        <f>IF(AND(AD223,ISNUMBER(correlation!$F$28)),AF223*correlation!$F$28+correlation!$G$28,"")</f>
        <v/>
      </c>
      <c r="AH223" s="5">
        <f>IF(AND(AD223,ISNUMBER(AG223)),(AE223-AG223)^2,"")</f>
        <v/>
      </c>
      <c r="AI223" s="5">
        <f>IF(AD223,1+SUMPRODUCT(--(calc!$AD$3:$AD$306=TRUE),--(calc!$AE$3:$AE$306&gt;AE223))+(SUMPRODUCT(--(calc!$AD$3:$AD$306=TRUE),--(calc!$AE$3:$AE$306=AE223))-1)/2,"")</f>
        <v/>
      </c>
      <c r="AJ223" s="5">
        <f>IF(AD223,1+SUMPRODUCT(--(calc!$AD$3:$AD$306=TRUE),--(calc!$AF$3:$AF$306&gt;AF223))+(SUMPRODUCT(--(calc!$AD$3:$AD$306=TRUE),--(calc!$AF$3:$AF$306=AF223))-1)/2,"")</f>
        <v/>
      </c>
      <c r="AK223" s="5">
        <f>IF(AD223,SUMPRODUCT(--(calc!$AD$3:$AD$306=TRUE),--(ROW(calc!$AD$3:$AD$306)&gt;ROW(AD223)),--(((calc!$AI$3:$AI$306&gt;AI223)*(calc!$AJ$3:$AJ$306&gt;AJ223)+(calc!$AI$3:$AI$306&lt;AI223)*(calc!$AJ$3:$AJ$306&lt;AJ223))&gt;0))-SUMPRODUCT(--(calc!$AD$3:$AD$306=TRUE),--(ROW(calc!$AD$3:$AD$306)&gt;ROW(AD223)),--(((calc!$AI$3:$AI$306&gt;AI223)*(calc!$AJ$3:$AJ$306&lt;AJ223)+(calc!$AI$3:$AI$306&lt;AI223)*(calc!$AJ$3:$AJ$306&gt;AJ223))&gt;0)),0)</f>
        <v/>
      </c>
      <c r="AL223" s="5">
        <f>IF(mos_metrics!J222="","",mos_metrics!J222)</f>
        <v/>
      </c>
      <c r="AM223" s="2">
        <f>AND($J223,ISNUMBER(AL223),correlation!$I$29=1)</f>
        <v/>
      </c>
      <c r="AN223" s="5">
        <f>IF(AM223,$F223,"")</f>
        <v/>
      </c>
      <c r="AO223" s="5">
        <f>IF(AM223,AL223*correlation!$J$29,"")</f>
        <v/>
      </c>
      <c r="AP223" s="5">
        <f>IF(AND(AM223,ISNUMBER(correlation!$F$29)),AO223*correlation!$F$29+correlation!$G$29,"")</f>
        <v/>
      </c>
      <c r="AQ223" s="5">
        <f>IF(AND(AM223,ISNUMBER(AP223)),(AN223-AP223)^2,"")</f>
        <v/>
      </c>
      <c r="AR223" s="5">
        <f>IF(AM223,1+SUMPRODUCT(--(calc!$AM$3:$AM$306=TRUE),--(calc!$AN$3:$AN$306&gt;AN223))+(SUMPRODUCT(--(calc!$AM$3:$AM$306=TRUE),--(calc!$AN$3:$AN$306=AN223))-1)/2,"")</f>
        <v/>
      </c>
      <c r="AS223" s="5">
        <f>IF(AM223,1+SUMPRODUCT(--(calc!$AM$3:$AM$306=TRUE),--(calc!$AO$3:$AO$306&gt;AO223))+(SUMPRODUCT(--(calc!$AM$3:$AM$306=TRUE),--(calc!$AO$3:$AO$306=AO223))-1)/2,"")</f>
        <v/>
      </c>
      <c r="AT223" s="5">
        <f>IF(AM223,SUMPRODUCT(--(calc!$AM$3:$AM$306=TRUE),--(ROW(calc!$AM$3:$AM$306)&gt;ROW(AM223)),--(((calc!$AR$3:$AR$306&gt;AR223)*(calc!$AS$3:$AS$306&gt;AS223)+(calc!$AR$3:$AR$306&lt;AR223)*(calc!$AS$3:$AS$306&lt;AS223))&gt;0))-SUMPRODUCT(--(calc!$AM$3:$AM$306=TRUE),--(ROW(calc!$AM$3:$AM$306)&gt;ROW(AM223)),--(((calc!$AR$3:$AR$306&gt;AR223)*(calc!$AS$3:$AS$306&lt;AS223)+(calc!$AR$3:$AR$306&lt;AR223)*(calc!$AS$3:$AS$306&gt;AS223))&gt;0)),0)</f>
        <v/>
      </c>
      <c r="AU223" s="5">
        <f>IF(mos_metrics!K222="","",mos_metrics!K222)</f>
        <v/>
      </c>
      <c r="AV223" s="2">
        <f>AND($J223,ISNUMBER(AU223),correlation!$I$30=1)</f>
        <v/>
      </c>
      <c r="AW223" s="5">
        <f>IF(AV223,$F223,"")</f>
        <v/>
      </c>
      <c r="AX223" s="5">
        <f>IF(AV223,AU223*correlation!$J$30,"")</f>
        <v/>
      </c>
      <c r="AY223" s="5">
        <f>IF(AND(AV223,ISNUMBER(correlation!$F$30)),AX223*correlation!$F$30+correlation!$G$30,"")</f>
        <v/>
      </c>
      <c r="AZ223" s="5">
        <f>IF(AND(AV223,ISNUMBER(AY223)),(AW223-AY223)^2,"")</f>
        <v/>
      </c>
      <c r="BA223" s="5">
        <f>IF(AV223,1+SUMPRODUCT(--(calc!$AV$3:$AV$306=TRUE),--(calc!$AW$3:$AW$306&gt;AW223))+(SUMPRODUCT(--(calc!$AV$3:$AV$306=TRUE),--(calc!$AW$3:$AW$306=AW223))-1)/2,"")</f>
        <v/>
      </c>
      <c r="BB223" s="5">
        <f>IF(AV223,1+SUMPRODUCT(--(calc!$AV$3:$AV$306=TRUE),--(calc!$AX$3:$AX$306&gt;AX223))+(SUMPRODUCT(--(calc!$AV$3:$AV$306=TRUE),--(calc!$AX$3:$AX$306=AX223))-1)/2,"")</f>
        <v/>
      </c>
      <c r="BC223" s="5">
        <f>IF(AV223,SUMPRODUCT(--(calc!$AV$3:$AV$306=TRUE),--(ROW(calc!$AV$3:$AV$306)&gt;ROW(AV223)),--(((calc!$BA$3:$BA$306&gt;BA223)*(calc!$BB$3:$BB$306&gt;BB223)+(calc!$BA$3:$BA$306&lt;BA223)*(calc!$BB$3:$BB$306&lt;BB223))&gt;0))-SUMPRODUCT(--(calc!$AV$3:$AV$306=TRUE),--(ROW(calc!$AV$3:$AV$306)&gt;ROW(AV223)),--(((calc!$BA$3:$BA$306&gt;BA223)*(calc!$BB$3:$BB$306&lt;BB223)+(calc!$BA$3:$BA$306&lt;BA223)*(calc!$BB$3:$BB$306&gt;BB223))&gt;0)),0)</f>
        <v/>
      </c>
      <c r="BD223" s="5">
        <f>IF(mos_metrics!L222="","",mos_metrics!L222)</f>
        <v/>
      </c>
      <c r="BE223" s="2">
        <f>AND($J223,ISNUMBER(BD223),correlation!$I$31=1)</f>
        <v/>
      </c>
      <c r="BF223" s="5">
        <f>IF(BE223,$F223,"")</f>
        <v/>
      </c>
      <c r="BG223" s="5">
        <f>IF(BE223,BD223*correlation!$J$31,"")</f>
        <v/>
      </c>
      <c r="BH223" s="5">
        <f>IF(AND(BE223,ISNUMBER(correlation!$F$31)),BG223*correlation!$F$31+correlation!$G$31,"")</f>
        <v/>
      </c>
      <c r="BI223" s="5">
        <f>IF(AND(BE223,ISNUMBER(BH223)),(BF223-BH223)^2,"")</f>
        <v/>
      </c>
      <c r="BJ223" s="5">
        <f>IF(BE223,1+SUMPRODUCT(--(calc!$BE$3:$BE$306=TRUE),--(calc!$BF$3:$BF$306&gt;BF223))+(SUMPRODUCT(--(calc!$BE$3:$BE$306=TRUE),--(calc!$BF$3:$BF$306=BF223))-1)/2,"")</f>
        <v/>
      </c>
      <c r="BK223" s="5">
        <f>IF(BE223,1+SUMPRODUCT(--(calc!$BE$3:$BE$306=TRUE),--(calc!$BG$3:$BG$306&gt;BG223))+(SUMPRODUCT(--(calc!$BE$3:$BE$306=TRUE),--(calc!$BG$3:$BG$306=BG223))-1)/2,"")</f>
        <v/>
      </c>
      <c r="BL223" s="5">
        <f>IF(BE223,SUMPRODUCT(--(calc!$BE$3:$BE$306=TRUE),--(ROW(calc!$BE$3:$BE$306)&gt;ROW(BE223)),--(((calc!$BJ$3:$BJ$306&gt;BJ223)*(calc!$BK$3:$BK$306&gt;BK223)+(calc!$BJ$3:$BJ$306&lt;BJ223)*(calc!$BK$3:$BK$306&lt;BK223))&gt;0))-SUMPRODUCT(--(calc!$BE$3:$BE$306=TRUE),--(ROW(calc!$BE$3:$BE$306)&gt;ROW(BE223)),--(((calc!$BJ$3:$BJ$306&gt;BJ223)*(calc!$BK$3:$BK$306&lt;BK223)+(calc!$BJ$3:$BJ$306&lt;BJ223)*(calc!$BK$3:$BK$306&gt;BK223))&gt;0)),0)</f>
        <v/>
      </c>
      <c r="BM223" s="5">
        <f>IF(mos_metrics!M222="","",mos_metrics!M222)</f>
        <v/>
      </c>
      <c r="BN223" s="2">
        <f>AND($J223,ISNUMBER(BM223),correlation!$I$32=1)</f>
        <v/>
      </c>
      <c r="BO223" s="5">
        <f>IF(BN223,$F223,"")</f>
        <v/>
      </c>
      <c r="BP223" s="5">
        <f>IF(BN223,BM223*correlation!$J$32,"")</f>
        <v/>
      </c>
      <c r="BQ223" s="5">
        <f>IF(AND(BN223,ISNUMBER(correlation!$F$32)),BP223*correlation!$F$32+correlation!$G$32,"")</f>
        <v/>
      </c>
      <c r="BR223" s="5">
        <f>IF(AND(BN223,ISNUMBER(BQ223)),(BO223-BQ223)^2,"")</f>
        <v/>
      </c>
      <c r="BS223" s="5">
        <f>IF(BN223,1+SUMPRODUCT(--(calc!$BN$3:$BN$306=TRUE),--(calc!$BO$3:$BO$306&gt;BO223))+(SUMPRODUCT(--(calc!$BN$3:$BN$306=TRUE),--(calc!$BO$3:$BO$306=BO223))-1)/2,"")</f>
        <v/>
      </c>
      <c r="BT223" s="5">
        <f>IF(BN223,1+SUMPRODUCT(--(calc!$BN$3:$BN$306=TRUE),--(calc!$BP$3:$BP$306&gt;BP223))+(SUMPRODUCT(--(calc!$BN$3:$BN$306=TRUE),--(calc!$BP$3:$BP$306=BP223))-1)/2,"")</f>
        <v/>
      </c>
      <c r="BU223" s="5">
        <f>IF(BN223,SUMPRODUCT(--(calc!$BN$3:$BN$306=TRUE),--(ROW(calc!$BN$3:$BN$306)&gt;ROW(BN223)),--(((calc!$BS$3:$BS$306&gt;BS223)*(calc!$BT$3:$BT$306&gt;BT223)+(calc!$BS$3:$BS$306&lt;BS223)*(calc!$BT$3:$BT$306&lt;BT223))&gt;0))-SUMPRODUCT(--(calc!$BN$3:$BN$306=TRUE),--(ROW(calc!$BN$3:$BN$306)&gt;ROW(BN223)),--(((calc!$BS$3:$BS$306&gt;BS223)*(calc!$BT$3:$BT$306&lt;BT223)+(calc!$BS$3:$BS$306&lt;BS223)*(calc!$BT$3:$BT$306&gt;BT223))&gt;0)),0)</f>
        <v/>
      </c>
    </row>
    <row r="224">
      <c r="A224" s="2">
        <f>mos_metrics!A223</f>
        <v/>
      </c>
      <c r="B224" s="2">
        <f>mos_metrics!B223</f>
        <v/>
      </c>
      <c r="C224" s="2">
        <f>mos_metrics!C223</f>
        <v/>
      </c>
      <c r="D224" s="2">
        <f>mos_metrics!D223</f>
        <v/>
      </c>
      <c r="E224" s="2">
        <f>mos_metrics!E223</f>
        <v/>
      </c>
      <c r="F224" s="2">
        <f>mos_metrics!F223</f>
        <v/>
      </c>
      <c r="G224" s="2">
        <f>IF($B224="","",IFERROR(VLOOKUP($B224,correlation!$A$2:$B$16,2,FALSE),1))</f>
        <v/>
      </c>
      <c r="H224" s="2">
        <f>IF($E224="","",IFERROR(VLOOKUP($E224,correlation!$D$2:$E$8,2,FALSE),1))</f>
        <v/>
      </c>
      <c r="I224" s="2">
        <f>ISNUMBER($F224)</f>
        <v/>
      </c>
      <c r="J224" s="2">
        <f>AND($G224=1,$H224=1,$I224)</f>
        <v/>
      </c>
      <c r="K224" s="5">
        <f>IF(mos_metrics!G223="","",mos_metrics!G223)</f>
        <v/>
      </c>
      <c r="L224" s="2">
        <f>AND($J224,ISNUMBER(K224),correlation!$I$26=1)</f>
        <v/>
      </c>
      <c r="M224" s="5">
        <f>IF(L224,$F224,"")</f>
        <v/>
      </c>
      <c r="N224" s="5">
        <f>IF(L224,K224*correlation!$J$26,"")</f>
        <v/>
      </c>
      <c r="O224" s="5">
        <f>IF(AND(L224,ISNUMBER(correlation!$F$26)),N224*correlation!$F$26+correlation!$G$26,"")</f>
        <v/>
      </c>
      <c r="P224" s="5">
        <f>IF(AND(L224,ISNUMBER(O224)),(M224-O224)^2,"")</f>
        <v/>
      </c>
      <c r="Q224" s="5">
        <f>IF(L224,1+SUMPRODUCT(--(calc!$L$3:$L$306=TRUE),--(calc!$M$3:$M$306&gt;M224))+(SUMPRODUCT(--(calc!$L$3:$L$306=TRUE),--(calc!$M$3:$M$306=M224))-1)/2,"")</f>
        <v/>
      </c>
      <c r="R224" s="5">
        <f>IF(L224,1+SUMPRODUCT(--(calc!$L$3:$L$306=TRUE),--(calc!$N$3:$N$306&gt;N224))+(SUMPRODUCT(--(calc!$L$3:$L$306=TRUE),--(calc!$N$3:$N$306=N224))-1)/2,"")</f>
        <v/>
      </c>
      <c r="S224" s="5">
        <f>IF(L224,SUMPRODUCT(--(calc!$L$3:$L$306=TRUE),--(ROW(calc!$L$3:$L$306)&gt;ROW(L224)),--(((calc!$Q$3:$Q$306&gt;Q224)*(calc!$R$3:$R$306&gt;R224)+(calc!$Q$3:$Q$306&lt;Q224)*(calc!$R$3:$R$306&lt;R224))&gt;0))-SUMPRODUCT(--(calc!$L$3:$L$306=TRUE),--(ROW(calc!$L$3:$L$306)&gt;ROW(L224)),--(((calc!$Q$3:$Q$306&gt;Q224)*(calc!$R$3:$R$306&lt;R224)+(calc!$Q$3:$Q$306&lt;Q224)*(calc!$R$3:$R$306&gt;R224))&gt;0)),0)</f>
        <v/>
      </c>
      <c r="T224" s="5">
        <f>IF(mos_metrics!H223="","",mos_metrics!H223)</f>
        <v/>
      </c>
      <c r="U224" s="2">
        <f>AND($J224,ISNUMBER(T224),correlation!$I$27=1)</f>
        <v/>
      </c>
      <c r="V224" s="5">
        <f>IF(U224,$F224,"")</f>
        <v/>
      </c>
      <c r="W224" s="5">
        <f>IF(U224,T224*correlation!$J$27,"")</f>
        <v/>
      </c>
      <c r="X224" s="5">
        <f>IF(AND(U224,ISNUMBER(correlation!$F$27)),W224*correlation!$F$27+correlation!$G$27,"")</f>
        <v/>
      </c>
      <c r="Y224" s="5">
        <f>IF(AND(U224,ISNUMBER(X224)),(V224-X224)^2,"")</f>
        <v/>
      </c>
      <c r="Z224" s="5">
        <f>IF(U224,1+SUMPRODUCT(--(calc!$U$3:$U$306=TRUE),--(calc!$V$3:$V$306&gt;V224))+(SUMPRODUCT(--(calc!$U$3:$U$306=TRUE),--(calc!$V$3:$V$306=V224))-1)/2,"")</f>
        <v/>
      </c>
      <c r="AA224" s="5">
        <f>IF(U224,1+SUMPRODUCT(--(calc!$U$3:$U$306=TRUE),--(calc!$W$3:$W$306&gt;W224))+(SUMPRODUCT(--(calc!$U$3:$U$306=TRUE),--(calc!$W$3:$W$306=W224))-1)/2,"")</f>
        <v/>
      </c>
      <c r="AB224" s="5">
        <f>IF(U224,SUMPRODUCT(--(calc!$U$3:$U$306=TRUE),--(ROW(calc!$U$3:$U$306)&gt;ROW(U224)),--(((calc!$Z$3:$Z$306&gt;Z224)*(calc!$AA$3:$AA$306&gt;AA224)+(calc!$Z$3:$Z$306&lt;Z224)*(calc!$AA$3:$AA$306&lt;AA224))&gt;0))-SUMPRODUCT(--(calc!$U$3:$U$306=TRUE),--(ROW(calc!$U$3:$U$306)&gt;ROW(U224)),--(((calc!$Z$3:$Z$306&gt;Z224)*(calc!$AA$3:$AA$306&lt;AA224)+(calc!$Z$3:$Z$306&lt;Z224)*(calc!$AA$3:$AA$306&gt;AA224))&gt;0)),0)</f>
        <v/>
      </c>
      <c r="AC224" s="5">
        <f>IF(mos_metrics!I223="","",mos_metrics!I223)</f>
        <v/>
      </c>
      <c r="AD224" s="2">
        <f>AND($J224,ISNUMBER(AC224),correlation!$I$28=1)</f>
        <v/>
      </c>
      <c r="AE224" s="5">
        <f>IF(AD224,$F224,"")</f>
        <v/>
      </c>
      <c r="AF224" s="5">
        <f>IF(AD224,AC224*correlation!$J$28,"")</f>
        <v/>
      </c>
      <c r="AG224" s="5">
        <f>IF(AND(AD224,ISNUMBER(correlation!$F$28)),AF224*correlation!$F$28+correlation!$G$28,"")</f>
        <v/>
      </c>
      <c r="AH224" s="5">
        <f>IF(AND(AD224,ISNUMBER(AG224)),(AE224-AG224)^2,"")</f>
        <v/>
      </c>
      <c r="AI224" s="5">
        <f>IF(AD224,1+SUMPRODUCT(--(calc!$AD$3:$AD$306=TRUE),--(calc!$AE$3:$AE$306&gt;AE224))+(SUMPRODUCT(--(calc!$AD$3:$AD$306=TRUE),--(calc!$AE$3:$AE$306=AE224))-1)/2,"")</f>
        <v/>
      </c>
      <c r="AJ224" s="5">
        <f>IF(AD224,1+SUMPRODUCT(--(calc!$AD$3:$AD$306=TRUE),--(calc!$AF$3:$AF$306&gt;AF224))+(SUMPRODUCT(--(calc!$AD$3:$AD$306=TRUE),--(calc!$AF$3:$AF$306=AF224))-1)/2,"")</f>
        <v/>
      </c>
      <c r="AK224" s="5">
        <f>IF(AD224,SUMPRODUCT(--(calc!$AD$3:$AD$306=TRUE),--(ROW(calc!$AD$3:$AD$306)&gt;ROW(AD224)),--(((calc!$AI$3:$AI$306&gt;AI224)*(calc!$AJ$3:$AJ$306&gt;AJ224)+(calc!$AI$3:$AI$306&lt;AI224)*(calc!$AJ$3:$AJ$306&lt;AJ224))&gt;0))-SUMPRODUCT(--(calc!$AD$3:$AD$306=TRUE),--(ROW(calc!$AD$3:$AD$306)&gt;ROW(AD224)),--(((calc!$AI$3:$AI$306&gt;AI224)*(calc!$AJ$3:$AJ$306&lt;AJ224)+(calc!$AI$3:$AI$306&lt;AI224)*(calc!$AJ$3:$AJ$306&gt;AJ224))&gt;0)),0)</f>
        <v/>
      </c>
      <c r="AL224" s="5">
        <f>IF(mos_metrics!J223="","",mos_metrics!J223)</f>
        <v/>
      </c>
      <c r="AM224" s="2">
        <f>AND($J224,ISNUMBER(AL224),correlation!$I$29=1)</f>
        <v/>
      </c>
      <c r="AN224" s="5">
        <f>IF(AM224,$F224,"")</f>
        <v/>
      </c>
      <c r="AO224" s="5">
        <f>IF(AM224,AL224*correlation!$J$29,"")</f>
        <v/>
      </c>
      <c r="AP224" s="5">
        <f>IF(AND(AM224,ISNUMBER(correlation!$F$29)),AO224*correlation!$F$29+correlation!$G$29,"")</f>
        <v/>
      </c>
      <c r="AQ224" s="5">
        <f>IF(AND(AM224,ISNUMBER(AP224)),(AN224-AP224)^2,"")</f>
        <v/>
      </c>
      <c r="AR224" s="5">
        <f>IF(AM224,1+SUMPRODUCT(--(calc!$AM$3:$AM$306=TRUE),--(calc!$AN$3:$AN$306&gt;AN224))+(SUMPRODUCT(--(calc!$AM$3:$AM$306=TRUE),--(calc!$AN$3:$AN$306=AN224))-1)/2,"")</f>
        <v/>
      </c>
      <c r="AS224" s="5">
        <f>IF(AM224,1+SUMPRODUCT(--(calc!$AM$3:$AM$306=TRUE),--(calc!$AO$3:$AO$306&gt;AO224))+(SUMPRODUCT(--(calc!$AM$3:$AM$306=TRUE),--(calc!$AO$3:$AO$306=AO224))-1)/2,"")</f>
        <v/>
      </c>
      <c r="AT224" s="5">
        <f>IF(AM224,SUMPRODUCT(--(calc!$AM$3:$AM$306=TRUE),--(ROW(calc!$AM$3:$AM$306)&gt;ROW(AM224)),--(((calc!$AR$3:$AR$306&gt;AR224)*(calc!$AS$3:$AS$306&gt;AS224)+(calc!$AR$3:$AR$306&lt;AR224)*(calc!$AS$3:$AS$306&lt;AS224))&gt;0))-SUMPRODUCT(--(calc!$AM$3:$AM$306=TRUE),--(ROW(calc!$AM$3:$AM$306)&gt;ROW(AM224)),--(((calc!$AR$3:$AR$306&gt;AR224)*(calc!$AS$3:$AS$306&lt;AS224)+(calc!$AR$3:$AR$306&lt;AR224)*(calc!$AS$3:$AS$306&gt;AS224))&gt;0)),0)</f>
        <v/>
      </c>
      <c r="AU224" s="5">
        <f>IF(mos_metrics!K223="","",mos_metrics!K223)</f>
        <v/>
      </c>
      <c r="AV224" s="2">
        <f>AND($J224,ISNUMBER(AU224),correlation!$I$30=1)</f>
        <v/>
      </c>
      <c r="AW224" s="5">
        <f>IF(AV224,$F224,"")</f>
        <v/>
      </c>
      <c r="AX224" s="5">
        <f>IF(AV224,AU224*correlation!$J$30,"")</f>
        <v/>
      </c>
      <c r="AY224" s="5">
        <f>IF(AND(AV224,ISNUMBER(correlation!$F$30)),AX224*correlation!$F$30+correlation!$G$30,"")</f>
        <v/>
      </c>
      <c r="AZ224" s="5">
        <f>IF(AND(AV224,ISNUMBER(AY224)),(AW224-AY224)^2,"")</f>
        <v/>
      </c>
      <c r="BA224" s="5">
        <f>IF(AV224,1+SUMPRODUCT(--(calc!$AV$3:$AV$306=TRUE),--(calc!$AW$3:$AW$306&gt;AW224))+(SUMPRODUCT(--(calc!$AV$3:$AV$306=TRUE),--(calc!$AW$3:$AW$306=AW224))-1)/2,"")</f>
        <v/>
      </c>
      <c r="BB224" s="5">
        <f>IF(AV224,1+SUMPRODUCT(--(calc!$AV$3:$AV$306=TRUE),--(calc!$AX$3:$AX$306&gt;AX224))+(SUMPRODUCT(--(calc!$AV$3:$AV$306=TRUE),--(calc!$AX$3:$AX$306=AX224))-1)/2,"")</f>
        <v/>
      </c>
      <c r="BC224" s="5">
        <f>IF(AV224,SUMPRODUCT(--(calc!$AV$3:$AV$306=TRUE),--(ROW(calc!$AV$3:$AV$306)&gt;ROW(AV224)),--(((calc!$BA$3:$BA$306&gt;BA224)*(calc!$BB$3:$BB$306&gt;BB224)+(calc!$BA$3:$BA$306&lt;BA224)*(calc!$BB$3:$BB$306&lt;BB224))&gt;0))-SUMPRODUCT(--(calc!$AV$3:$AV$306=TRUE),--(ROW(calc!$AV$3:$AV$306)&gt;ROW(AV224)),--(((calc!$BA$3:$BA$306&gt;BA224)*(calc!$BB$3:$BB$306&lt;BB224)+(calc!$BA$3:$BA$306&lt;BA224)*(calc!$BB$3:$BB$306&gt;BB224))&gt;0)),0)</f>
        <v/>
      </c>
      <c r="BD224" s="5">
        <f>IF(mos_metrics!L223="","",mos_metrics!L223)</f>
        <v/>
      </c>
      <c r="BE224" s="2">
        <f>AND($J224,ISNUMBER(BD224),correlation!$I$31=1)</f>
        <v/>
      </c>
      <c r="BF224" s="5">
        <f>IF(BE224,$F224,"")</f>
        <v/>
      </c>
      <c r="BG224" s="5">
        <f>IF(BE224,BD224*correlation!$J$31,"")</f>
        <v/>
      </c>
      <c r="BH224" s="5">
        <f>IF(AND(BE224,ISNUMBER(correlation!$F$31)),BG224*correlation!$F$31+correlation!$G$31,"")</f>
        <v/>
      </c>
      <c r="BI224" s="5">
        <f>IF(AND(BE224,ISNUMBER(BH224)),(BF224-BH224)^2,"")</f>
        <v/>
      </c>
      <c r="BJ224" s="5">
        <f>IF(BE224,1+SUMPRODUCT(--(calc!$BE$3:$BE$306=TRUE),--(calc!$BF$3:$BF$306&gt;BF224))+(SUMPRODUCT(--(calc!$BE$3:$BE$306=TRUE),--(calc!$BF$3:$BF$306=BF224))-1)/2,"")</f>
        <v/>
      </c>
      <c r="BK224" s="5">
        <f>IF(BE224,1+SUMPRODUCT(--(calc!$BE$3:$BE$306=TRUE),--(calc!$BG$3:$BG$306&gt;BG224))+(SUMPRODUCT(--(calc!$BE$3:$BE$306=TRUE),--(calc!$BG$3:$BG$306=BG224))-1)/2,"")</f>
        <v/>
      </c>
      <c r="BL224" s="5">
        <f>IF(BE224,SUMPRODUCT(--(calc!$BE$3:$BE$306=TRUE),--(ROW(calc!$BE$3:$BE$306)&gt;ROW(BE224)),--(((calc!$BJ$3:$BJ$306&gt;BJ224)*(calc!$BK$3:$BK$306&gt;BK224)+(calc!$BJ$3:$BJ$306&lt;BJ224)*(calc!$BK$3:$BK$306&lt;BK224))&gt;0))-SUMPRODUCT(--(calc!$BE$3:$BE$306=TRUE),--(ROW(calc!$BE$3:$BE$306)&gt;ROW(BE224)),--(((calc!$BJ$3:$BJ$306&gt;BJ224)*(calc!$BK$3:$BK$306&lt;BK224)+(calc!$BJ$3:$BJ$306&lt;BJ224)*(calc!$BK$3:$BK$306&gt;BK224))&gt;0)),0)</f>
        <v/>
      </c>
      <c r="BM224" s="5">
        <f>IF(mos_metrics!M223="","",mos_metrics!M223)</f>
        <v/>
      </c>
      <c r="BN224" s="2">
        <f>AND($J224,ISNUMBER(BM224),correlation!$I$32=1)</f>
        <v/>
      </c>
      <c r="BO224" s="5">
        <f>IF(BN224,$F224,"")</f>
        <v/>
      </c>
      <c r="BP224" s="5">
        <f>IF(BN224,BM224*correlation!$J$32,"")</f>
        <v/>
      </c>
      <c r="BQ224" s="5">
        <f>IF(AND(BN224,ISNUMBER(correlation!$F$32)),BP224*correlation!$F$32+correlation!$G$32,"")</f>
        <v/>
      </c>
      <c r="BR224" s="5">
        <f>IF(AND(BN224,ISNUMBER(BQ224)),(BO224-BQ224)^2,"")</f>
        <v/>
      </c>
      <c r="BS224" s="5">
        <f>IF(BN224,1+SUMPRODUCT(--(calc!$BN$3:$BN$306=TRUE),--(calc!$BO$3:$BO$306&gt;BO224))+(SUMPRODUCT(--(calc!$BN$3:$BN$306=TRUE),--(calc!$BO$3:$BO$306=BO224))-1)/2,"")</f>
        <v/>
      </c>
      <c r="BT224" s="5">
        <f>IF(BN224,1+SUMPRODUCT(--(calc!$BN$3:$BN$306=TRUE),--(calc!$BP$3:$BP$306&gt;BP224))+(SUMPRODUCT(--(calc!$BN$3:$BN$306=TRUE),--(calc!$BP$3:$BP$306=BP224))-1)/2,"")</f>
        <v/>
      </c>
      <c r="BU224" s="5">
        <f>IF(BN224,SUMPRODUCT(--(calc!$BN$3:$BN$306=TRUE),--(ROW(calc!$BN$3:$BN$306)&gt;ROW(BN224)),--(((calc!$BS$3:$BS$306&gt;BS224)*(calc!$BT$3:$BT$306&gt;BT224)+(calc!$BS$3:$BS$306&lt;BS224)*(calc!$BT$3:$BT$306&lt;BT224))&gt;0))-SUMPRODUCT(--(calc!$BN$3:$BN$306=TRUE),--(ROW(calc!$BN$3:$BN$306)&gt;ROW(BN224)),--(((calc!$BS$3:$BS$306&gt;BS224)*(calc!$BT$3:$BT$306&lt;BT224)+(calc!$BS$3:$BS$306&lt;BS224)*(calc!$BT$3:$BT$306&gt;BT224))&gt;0)),0)</f>
        <v/>
      </c>
    </row>
    <row r="225">
      <c r="A225" s="2">
        <f>mos_metrics!A224</f>
        <v/>
      </c>
      <c r="B225" s="2">
        <f>mos_metrics!B224</f>
        <v/>
      </c>
      <c r="C225" s="2">
        <f>mos_metrics!C224</f>
        <v/>
      </c>
      <c r="D225" s="2">
        <f>mos_metrics!D224</f>
        <v/>
      </c>
      <c r="E225" s="2">
        <f>mos_metrics!E224</f>
        <v/>
      </c>
      <c r="F225" s="2">
        <f>mos_metrics!F224</f>
        <v/>
      </c>
      <c r="G225" s="2">
        <f>IF($B225="","",IFERROR(VLOOKUP($B225,correlation!$A$2:$B$16,2,FALSE),1))</f>
        <v/>
      </c>
      <c r="H225" s="2">
        <f>IF($E225="","",IFERROR(VLOOKUP($E225,correlation!$D$2:$E$8,2,FALSE),1))</f>
        <v/>
      </c>
      <c r="I225" s="2">
        <f>ISNUMBER($F225)</f>
        <v/>
      </c>
      <c r="J225" s="2">
        <f>AND($G225=1,$H225=1,$I225)</f>
        <v/>
      </c>
      <c r="K225" s="5">
        <f>IF(mos_metrics!G224="","",mos_metrics!G224)</f>
        <v/>
      </c>
      <c r="L225" s="2">
        <f>AND($J225,ISNUMBER(K225),correlation!$I$26=1)</f>
        <v/>
      </c>
      <c r="M225" s="5">
        <f>IF(L225,$F225,"")</f>
        <v/>
      </c>
      <c r="N225" s="5">
        <f>IF(L225,K225*correlation!$J$26,"")</f>
        <v/>
      </c>
      <c r="O225" s="5">
        <f>IF(AND(L225,ISNUMBER(correlation!$F$26)),N225*correlation!$F$26+correlation!$G$26,"")</f>
        <v/>
      </c>
      <c r="P225" s="5">
        <f>IF(AND(L225,ISNUMBER(O225)),(M225-O225)^2,"")</f>
        <v/>
      </c>
      <c r="Q225" s="5">
        <f>IF(L225,1+SUMPRODUCT(--(calc!$L$3:$L$306=TRUE),--(calc!$M$3:$M$306&gt;M225))+(SUMPRODUCT(--(calc!$L$3:$L$306=TRUE),--(calc!$M$3:$M$306=M225))-1)/2,"")</f>
        <v/>
      </c>
      <c r="R225" s="5">
        <f>IF(L225,1+SUMPRODUCT(--(calc!$L$3:$L$306=TRUE),--(calc!$N$3:$N$306&gt;N225))+(SUMPRODUCT(--(calc!$L$3:$L$306=TRUE),--(calc!$N$3:$N$306=N225))-1)/2,"")</f>
        <v/>
      </c>
      <c r="S225" s="5">
        <f>IF(L225,SUMPRODUCT(--(calc!$L$3:$L$306=TRUE),--(ROW(calc!$L$3:$L$306)&gt;ROW(L225)),--(((calc!$Q$3:$Q$306&gt;Q225)*(calc!$R$3:$R$306&gt;R225)+(calc!$Q$3:$Q$306&lt;Q225)*(calc!$R$3:$R$306&lt;R225))&gt;0))-SUMPRODUCT(--(calc!$L$3:$L$306=TRUE),--(ROW(calc!$L$3:$L$306)&gt;ROW(L225)),--(((calc!$Q$3:$Q$306&gt;Q225)*(calc!$R$3:$R$306&lt;R225)+(calc!$Q$3:$Q$306&lt;Q225)*(calc!$R$3:$R$306&gt;R225))&gt;0)),0)</f>
        <v/>
      </c>
      <c r="T225" s="5">
        <f>IF(mos_metrics!H224="","",mos_metrics!H224)</f>
        <v/>
      </c>
      <c r="U225" s="2">
        <f>AND($J225,ISNUMBER(T225),correlation!$I$27=1)</f>
        <v/>
      </c>
      <c r="V225" s="5">
        <f>IF(U225,$F225,"")</f>
        <v/>
      </c>
      <c r="W225" s="5">
        <f>IF(U225,T225*correlation!$J$27,"")</f>
        <v/>
      </c>
      <c r="X225" s="5">
        <f>IF(AND(U225,ISNUMBER(correlation!$F$27)),W225*correlation!$F$27+correlation!$G$27,"")</f>
        <v/>
      </c>
      <c r="Y225" s="5">
        <f>IF(AND(U225,ISNUMBER(X225)),(V225-X225)^2,"")</f>
        <v/>
      </c>
      <c r="Z225" s="5">
        <f>IF(U225,1+SUMPRODUCT(--(calc!$U$3:$U$306=TRUE),--(calc!$V$3:$V$306&gt;V225))+(SUMPRODUCT(--(calc!$U$3:$U$306=TRUE),--(calc!$V$3:$V$306=V225))-1)/2,"")</f>
        <v/>
      </c>
      <c r="AA225" s="5">
        <f>IF(U225,1+SUMPRODUCT(--(calc!$U$3:$U$306=TRUE),--(calc!$W$3:$W$306&gt;W225))+(SUMPRODUCT(--(calc!$U$3:$U$306=TRUE),--(calc!$W$3:$W$306=W225))-1)/2,"")</f>
        <v/>
      </c>
      <c r="AB225" s="5">
        <f>IF(U225,SUMPRODUCT(--(calc!$U$3:$U$306=TRUE),--(ROW(calc!$U$3:$U$306)&gt;ROW(U225)),--(((calc!$Z$3:$Z$306&gt;Z225)*(calc!$AA$3:$AA$306&gt;AA225)+(calc!$Z$3:$Z$306&lt;Z225)*(calc!$AA$3:$AA$306&lt;AA225))&gt;0))-SUMPRODUCT(--(calc!$U$3:$U$306=TRUE),--(ROW(calc!$U$3:$U$306)&gt;ROW(U225)),--(((calc!$Z$3:$Z$306&gt;Z225)*(calc!$AA$3:$AA$306&lt;AA225)+(calc!$Z$3:$Z$306&lt;Z225)*(calc!$AA$3:$AA$306&gt;AA225))&gt;0)),0)</f>
        <v/>
      </c>
      <c r="AC225" s="5">
        <f>IF(mos_metrics!I224="","",mos_metrics!I224)</f>
        <v/>
      </c>
      <c r="AD225" s="2">
        <f>AND($J225,ISNUMBER(AC225),correlation!$I$28=1)</f>
        <v/>
      </c>
      <c r="AE225" s="5">
        <f>IF(AD225,$F225,"")</f>
        <v/>
      </c>
      <c r="AF225" s="5">
        <f>IF(AD225,AC225*correlation!$J$28,"")</f>
        <v/>
      </c>
      <c r="AG225" s="5">
        <f>IF(AND(AD225,ISNUMBER(correlation!$F$28)),AF225*correlation!$F$28+correlation!$G$28,"")</f>
        <v/>
      </c>
      <c r="AH225" s="5">
        <f>IF(AND(AD225,ISNUMBER(AG225)),(AE225-AG225)^2,"")</f>
        <v/>
      </c>
      <c r="AI225" s="5">
        <f>IF(AD225,1+SUMPRODUCT(--(calc!$AD$3:$AD$306=TRUE),--(calc!$AE$3:$AE$306&gt;AE225))+(SUMPRODUCT(--(calc!$AD$3:$AD$306=TRUE),--(calc!$AE$3:$AE$306=AE225))-1)/2,"")</f>
        <v/>
      </c>
      <c r="AJ225" s="5">
        <f>IF(AD225,1+SUMPRODUCT(--(calc!$AD$3:$AD$306=TRUE),--(calc!$AF$3:$AF$306&gt;AF225))+(SUMPRODUCT(--(calc!$AD$3:$AD$306=TRUE),--(calc!$AF$3:$AF$306=AF225))-1)/2,"")</f>
        <v/>
      </c>
      <c r="AK225" s="5">
        <f>IF(AD225,SUMPRODUCT(--(calc!$AD$3:$AD$306=TRUE),--(ROW(calc!$AD$3:$AD$306)&gt;ROW(AD225)),--(((calc!$AI$3:$AI$306&gt;AI225)*(calc!$AJ$3:$AJ$306&gt;AJ225)+(calc!$AI$3:$AI$306&lt;AI225)*(calc!$AJ$3:$AJ$306&lt;AJ225))&gt;0))-SUMPRODUCT(--(calc!$AD$3:$AD$306=TRUE),--(ROW(calc!$AD$3:$AD$306)&gt;ROW(AD225)),--(((calc!$AI$3:$AI$306&gt;AI225)*(calc!$AJ$3:$AJ$306&lt;AJ225)+(calc!$AI$3:$AI$306&lt;AI225)*(calc!$AJ$3:$AJ$306&gt;AJ225))&gt;0)),0)</f>
        <v/>
      </c>
      <c r="AL225" s="5">
        <f>IF(mos_metrics!J224="","",mos_metrics!J224)</f>
        <v/>
      </c>
      <c r="AM225" s="2">
        <f>AND($J225,ISNUMBER(AL225),correlation!$I$29=1)</f>
        <v/>
      </c>
      <c r="AN225" s="5">
        <f>IF(AM225,$F225,"")</f>
        <v/>
      </c>
      <c r="AO225" s="5">
        <f>IF(AM225,AL225*correlation!$J$29,"")</f>
        <v/>
      </c>
      <c r="AP225" s="5">
        <f>IF(AND(AM225,ISNUMBER(correlation!$F$29)),AO225*correlation!$F$29+correlation!$G$29,"")</f>
        <v/>
      </c>
      <c r="AQ225" s="5">
        <f>IF(AND(AM225,ISNUMBER(AP225)),(AN225-AP225)^2,"")</f>
        <v/>
      </c>
      <c r="AR225" s="5">
        <f>IF(AM225,1+SUMPRODUCT(--(calc!$AM$3:$AM$306=TRUE),--(calc!$AN$3:$AN$306&gt;AN225))+(SUMPRODUCT(--(calc!$AM$3:$AM$306=TRUE),--(calc!$AN$3:$AN$306=AN225))-1)/2,"")</f>
        <v/>
      </c>
      <c r="AS225" s="5">
        <f>IF(AM225,1+SUMPRODUCT(--(calc!$AM$3:$AM$306=TRUE),--(calc!$AO$3:$AO$306&gt;AO225))+(SUMPRODUCT(--(calc!$AM$3:$AM$306=TRUE),--(calc!$AO$3:$AO$306=AO225))-1)/2,"")</f>
        <v/>
      </c>
      <c r="AT225" s="5">
        <f>IF(AM225,SUMPRODUCT(--(calc!$AM$3:$AM$306=TRUE),--(ROW(calc!$AM$3:$AM$306)&gt;ROW(AM225)),--(((calc!$AR$3:$AR$306&gt;AR225)*(calc!$AS$3:$AS$306&gt;AS225)+(calc!$AR$3:$AR$306&lt;AR225)*(calc!$AS$3:$AS$306&lt;AS225))&gt;0))-SUMPRODUCT(--(calc!$AM$3:$AM$306=TRUE),--(ROW(calc!$AM$3:$AM$306)&gt;ROW(AM225)),--(((calc!$AR$3:$AR$306&gt;AR225)*(calc!$AS$3:$AS$306&lt;AS225)+(calc!$AR$3:$AR$306&lt;AR225)*(calc!$AS$3:$AS$306&gt;AS225))&gt;0)),0)</f>
        <v/>
      </c>
      <c r="AU225" s="5">
        <f>IF(mos_metrics!K224="","",mos_metrics!K224)</f>
        <v/>
      </c>
      <c r="AV225" s="2">
        <f>AND($J225,ISNUMBER(AU225),correlation!$I$30=1)</f>
        <v/>
      </c>
      <c r="AW225" s="5">
        <f>IF(AV225,$F225,"")</f>
        <v/>
      </c>
      <c r="AX225" s="5">
        <f>IF(AV225,AU225*correlation!$J$30,"")</f>
        <v/>
      </c>
      <c r="AY225" s="5">
        <f>IF(AND(AV225,ISNUMBER(correlation!$F$30)),AX225*correlation!$F$30+correlation!$G$30,"")</f>
        <v/>
      </c>
      <c r="AZ225" s="5">
        <f>IF(AND(AV225,ISNUMBER(AY225)),(AW225-AY225)^2,"")</f>
        <v/>
      </c>
      <c r="BA225" s="5">
        <f>IF(AV225,1+SUMPRODUCT(--(calc!$AV$3:$AV$306=TRUE),--(calc!$AW$3:$AW$306&gt;AW225))+(SUMPRODUCT(--(calc!$AV$3:$AV$306=TRUE),--(calc!$AW$3:$AW$306=AW225))-1)/2,"")</f>
        <v/>
      </c>
      <c r="BB225" s="5">
        <f>IF(AV225,1+SUMPRODUCT(--(calc!$AV$3:$AV$306=TRUE),--(calc!$AX$3:$AX$306&gt;AX225))+(SUMPRODUCT(--(calc!$AV$3:$AV$306=TRUE),--(calc!$AX$3:$AX$306=AX225))-1)/2,"")</f>
        <v/>
      </c>
      <c r="BC225" s="5">
        <f>IF(AV225,SUMPRODUCT(--(calc!$AV$3:$AV$306=TRUE),--(ROW(calc!$AV$3:$AV$306)&gt;ROW(AV225)),--(((calc!$BA$3:$BA$306&gt;BA225)*(calc!$BB$3:$BB$306&gt;BB225)+(calc!$BA$3:$BA$306&lt;BA225)*(calc!$BB$3:$BB$306&lt;BB225))&gt;0))-SUMPRODUCT(--(calc!$AV$3:$AV$306=TRUE),--(ROW(calc!$AV$3:$AV$306)&gt;ROW(AV225)),--(((calc!$BA$3:$BA$306&gt;BA225)*(calc!$BB$3:$BB$306&lt;BB225)+(calc!$BA$3:$BA$306&lt;BA225)*(calc!$BB$3:$BB$306&gt;BB225))&gt;0)),0)</f>
        <v/>
      </c>
      <c r="BD225" s="5">
        <f>IF(mos_metrics!L224="","",mos_metrics!L224)</f>
        <v/>
      </c>
      <c r="BE225" s="2">
        <f>AND($J225,ISNUMBER(BD225),correlation!$I$31=1)</f>
        <v/>
      </c>
      <c r="BF225" s="5">
        <f>IF(BE225,$F225,"")</f>
        <v/>
      </c>
      <c r="BG225" s="5">
        <f>IF(BE225,BD225*correlation!$J$31,"")</f>
        <v/>
      </c>
      <c r="BH225" s="5">
        <f>IF(AND(BE225,ISNUMBER(correlation!$F$31)),BG225*correlation!$F$31+correlation!$G$31,"")</f>
        <v/>
      </c>
      <c r="BI225" s="5">
        <f>IF(AND(BE225,ISNUMBER(BH225)),(BF225-BH225)^2,"")</f>
        <v/>
      </c>
      <c r="BJ225" s="5">
        <f>IF(BE225,1+SUMPRODUCT(--(calc!$BE$3:$BE$306=TRUE),--(calc!$BF$3:$BF$306&gt;BF225))+(SUMPRODUCT(--(calc!$BE$3:$BE$306=TRUE),--(calc!$BF$3:$BF$306=BF225))-1)/2,"")</f>
        <v/>
      </c>
      <c r="BK225" s="5">
        <f>IF(BE225,1+SUMPRODUCT(--(calc!$BE$3:$BE$306=TRUE),--(calc!$BG$3:$BG$306&gt;BG225))+(SUMPRODUCT(--(calc!$BE$3:$BE$306=TRUE),--(calc!$BG$3:$BG$306=BG225))-1)/2,"")</f>
        <v/>
      </c>
      <c r="BL225" s="5">
        <f>IF(BE225,SUMPRODUCT(--(calc!$BE$3:$BE$306=TRUE),--(ROW(calc!$BE$3:$BE$306)&gt;ROW(BE225)),--(((calc!$BJ$3:$BJ$306&gt;BJ225)*(calc!$BK$3:$BK$306&gt;BK225)+(calc!$BJ$3:$BJ$306&lt;BJ225)*(calc!$BK$3:$BK$306&lt;BK225))&gt;0))-SUMPRODUCT(--(calc!$BE$3:$BE$306=TRUE),--(ROW(calc!$BE$3:$BE$306)&gt;ROW(BE225)),--(((calc!$BJ$3:$BJ$306&gt;BJ225)*(calc!$BK$3:$BK$306&lt;BK225)+(calc!$BJ$3:$BJ$306&lt;BJ225)*(calc!$BK$3:$BK$306&gt;BK225))&gt;0)),0)</f>
        <v/>
      </c>
      <c r="BM225" s="5">
        <f>IF(mos_metrics!M224="","",mos_metrics!M224)</f>
        <v/>
      </c>
      <c r="BN225" s="2">
        <f>AND($J225,ISNUMBER(BM225),correlation!$I$32=1)</f>
        <v/>
      </c>
      <c r="BO225" s="5">
        <f>IF(BN225,$F225,"")</f>
        <v/>
      </c>
      <c r="BP225" s="5">
        <f>IF(BN225,BM225*correlation!$J$32,"")</f>
        <v/>
      </c>
      <c r="BQ225" s="5">
        <f>IF(AND(BN225,ISNUMBER(correlation!$F$32)),BP225*correlation!$F$32+correlation!$G$32,"")</f>
        <v/>
      </c>
      <c r="BR225" s="5">
        <f>IF(AND(BN225,ISNUMBER(BQ225)),(BO225-BQ225)^2,"")</f>
        <v/>
      </c>
      <c r="BS225" s="5">
        <f>IF(BN225,1+SUMPRODUCT(--(calc!$BN$3:$BN$306=TRUE),--(calc!$BO$3:$BO$306&gt;BO225))+(SUMPRODUCT(--(calc!$BN$3:$BN$306=TRUE),--(calc!$BO$3:$BO$306=BO225))-1)/2,"")</f>
        <v/>
      </c>
      <c r="BT225" s="5">
        <f>IF(BN225,1+SUMPRODUCT(--(calc!$BN$3:$BN$306=TRUE),--(calc!$BP$3:$BP$306&gt;BP225))+(SUMPRODUCT(--(calc!$BN$3:$BN$306=TRUE),--(calc!$BP$3:$BP$306=BP225))-1)/2,"")</f>
        <v/>
      </c>
      <c r="BU225" s="5">
        <f>IF(BN225,SUMPRODUCT(--(calc!$BN$3:$BN$306=TRUE),--(ROW(calc!$BN$3:$BN$306)&gt;ROW(BN225)),--(((calc!$BS$3:$BS$306&gt;BS225)*(calc!$BT$3:$BT$306&gt;BT225)+(calc!$BS$3:$BS$306&lt;BS225)*(calc!$BT$3:$BT$306&lt;BT225))&gt;0))-SUMPRODUCT(--(calc!$BN$3:$BN$306=TRUE),--(ROW(calc!$BN$3:$BN$306)&gt;ROW(BN225)),--(((calc!$BS$3:$BS$306&gt;BS225)*(calc!$BT$3:$BT$306&lt;BT225)+(calc!$BS$3:$BS$306&lt;BS225)*(calc!$BT$3:$BT$306&gt;BT225))&gt;0)),0)</f>
        <v/>
      </c>
    </row>
    <row r="226">
      <c r="A226" s="2">
        <f>mos_metrics!A225</f>
        <v/>
      </c>
      <c r="B226" s="2">
        <f>mos_metrics!B225</f>
        <v/>
      </c>
      <c r="C226" s="2">
        <f>mos_metrics!C225</f>
        <v/>
      </c>
      <c r="D226" s="2">
        <f>mos_metrics!D225</f>
        <v/>
      </c>
      <c r="E226" s="2">
        <f>mos_metrics!E225</f>
        <v/>
      </c>
      <c r="F226" s="2">
        <f>mos_metrics!F225</f>
        <v/>
      </c>
      <c r="G226" s="2">
        <f>IF($B226="","",IFERROR(VLOOKUP($B226,correlation!$A$2:$B$16,2,FALSE),1))</f>
        <v/>
      </c>
      <c r="H226" s="2">
        <f>IF($E226="","",IFERROR(VLOOKUP($E226,correlation!$D$2:$E$8,2,FALSE),1))</f>
        <v/>
      </c>
      <c r="I226" s="2">
        <f>ISNUMBER($F226)</f>
        <v/>
      </c>
      <c r="J226" s="2">
        <f>AND($G226=1,$H226=1,$I226)</f>
        <v/>
      </c>
      <c r="K226" s="5">
        <f>IF(mos_metrics!G225="","",mos_metrics!G225)</f>
        <v/>
      </c>
      <c r="L226" s="2">
        <f>AND($J226,ISNUMBER(K226),correlation!$I$26=1)</f>
        <v/>
      </c>
      <c r="M226" s="5">
        <f>IF(L226,$F226,"")</f>
        <v/>
      </c>
      <c r="N226" s="5">
        <f>IF(L226,K226*correlation!$J$26,"")</f>
        <v/>
      </c>
      <c r="O226" s="5">
        <f>IF(AND(L226,ISNUMBER(correlation!$F$26)),N226*correlation!$F$26+correlation!$G$26,"")</f>
        <v/>
      </c>
      <c r="P226" s="5">
        <f>IF(AND(L226,ISNUMBER(O226)),(M226-O226)^2,"")</f>
        <v/>
      </c>
      <c r="Q226" s="5">
        <f>IF(L226,1+SUMPRODUCT(--(calc!$L$3:$L$306=TRUE),--(calc!$M$3:$M$306&gt;M226))+(SUMPRODUCT(--(calc!$L$3:$L$306=TRUE),--(calc!$M$3:$M$306=M226))-1)/2,"")</f>
        <v/>
      </c>
      <c r="R226" s="5">
        <f>IF(L226,1+SUMPRODUCT(--(calc!$L$3:$L$306=TRUE),--(calc!$N$3:$N$306&gt;N226))+(SUMPRODUCT(--(calc!$L$3:$L$306=TRUE),--(calc!$N$3:$N$306=N226))-1)/2,"")</f>
        <v/>
      </c>
      <c r="S226" s="5">
        <f>IF(L226,SUMPRODUCT(--(calc!$L$3:$L$306=TRUE),--(ROW(calc!$L$3:$L$306)&gt;ROW(L226)),--(((calc!$Q$3:$Q$306&gt;Q226)*(calc!$R$3:$R$306&gt;R226)+(calc!$Q$3:$Q$306&lt;Q226)*(calc!$R$3:$R$306&lt;R226))&gt;0))-SUMPRODUCT(--(calc!$L$3:$L$306=TRUE),--(ROW(calc!$L$3:$L$306)&gt;ROW(L226)),--(((calc!$Q$3:$Q$306&gt;Q226)*(calc!$R$3:$R$306&lt;R226)+(calc!$Q$3:$Q$306&lt;Q226)*(calc!$R$3:$R$306&gt;R226))&gt;0)),0)</f>
        <v/>
      </c>
      <c r="T226" s="5">
        <f>IF(mos_metrics!H225="","",mos_metrics!H225)</f>
        <v/>
      </c>
      <c r="U226" s="2">
        <f>AND($J226,ISNUMBER(T226),correlation!$I$27=1)</f>
        <v/>
      </c>
      <c r="V226" s="5">
        <f>IF(U226,$F226,"")</f>
        <v/>
      </c>
      <c r="W226" s="5">
        <f>IF(U226,T226*correlation!$J$27,"")</f>
        <v/>
      </c>
      <c r="X226" s="5">
        <f>IF(AND(U226,ISNUMBER(correlation!$F$27)),W226*correlation!$F$27+correlation!$G$27,"")</f>
        <v/>
      </c>
      <c r="Y226" s="5">
        <f>IF(AND(U226,ISNUMBER(X226)),(V226-X226)^2,"")</f>
        <v/>
      </c>
      <c r="Z226" s="5">
        <f>IF(U226,1+SUMPRODUCT(--(calc!$U$3:$U$306=TRUE),--(calc!$V$3:$V$306&gt;V226))+(SUMPRODUCT(--(calc!$U$3:$U$306=TRUE),--(calc!$V$3:$V$306=V226))-1)/2,"")</f>
        <v/>
      </c>
      <c r="AA226" s="5">
        <f>IF(U226,1+SUMPRODUCT(--(calc!$U$3:$U$306=TRUE),--(calc!$W$3:$W$306&gt;W226))+(SUMPRODUCT(--(calc!$U$3:$U$306=TRUE),--(calc!$W$3:$W$306=W226))-1)/2,"")</f>
        <v/>
      </c>
      <c r="AB226" s="5">
        <f>IF(U226,SUMPRODUCT(--(calc!$U$3:$U$306=TRUE),--(ROW(calc!$U$3:$U$306)&gt;ROW(U226)),--(((calc!$Z$3:$Z$306&gt;Z226)*(calc!$AA$3:$AA$306&gt;AA226)+(calc!$Z$3:$Z$306&lt;Z226)*(calc!$AA$3:$AA$306&lt;AA226))&gt;0))-SUMPRODUCT(--(calc!$U$3:$U$306=TRUE),--(ROW(calc!$U$3:$U$306)&gt;ROW(U226)),--(((calc!$Z$3:$Z$306&gt;Z226)*(calc!$AA$3:$AA$306&lt;AA226)+(calc!$Z$3:$Z$306&lt;Z226)*(calc!$AA$3:$AA$306&gt;AA226))&gt;0)),0)</f>
        <v/>
      </c>
      <c r="AC226" s="5">
        <f>IF(mos_metrics!I225="","",mos_metrics!I225)</f>
        <v/>
      </c>
      <c r="AD226" s="2">
        <f>AND($J226,ISNUMBER(AC226),correlation!$I$28=1)</f>
        <v/>
      </c>
      <c r="AE226" s="5">
        <f>IF(AD226,$F226,"")</f>
        <v/>
      </c>
      <c r="AF226" s="5">
        <f>IF(AD226,AC226*correlation!$J$28,"")</f>
        <v/>
      </c>
      <c r="AG226" s="5">
        <f>IF(AND(AD226,ISNUMBER(correlation!$F$28)),AF226*correlation!$F$28+correlation!$G$28,"")</f>
        <v/>
      </c>
      <c r="AH226" s="5">
        <f>IF(AND(AD226,ISNUMBER(AG226)),(AE226-AG226)^2,"")</f>
        <v/>
      </c>
      <c r="AI226" s="5">
        <f>IF(AD226,1+SUMPRODUCT(--(calc!$AD$3:$AD$306=TRUE),--(calc!$AE$3:$AE$306&gt;AE226))+(SUMPRODUCT(--(calc!$AD$3:$AD$306=TRUE),--(calc!$AE$3:$AE$306=AE226))-1)/2,"")</f>
        <v/>
      </c>
      <c r="AJ226" s="5">
        <f>IF(AD226,1+SUMPRODUCT(--(calc!$AD$3:$AD$306=TRUE),--(calc!$AF$3:$AF$306&gt;AF226))+(SUMPRODUCT(--(calc!$AD$3:$AD$306=TRUE),--(calc!$AF$3:$AF$306=AF226))-1)/2,"")</f>
        <v/>
      </c>
      <c r="AK226" s="5">
        <f>IF(AD226,SUMPRODUCT(--(calc!$AD$3:$AD$306=TRUE),--(ROW(calc!$AD$3:$AD$306)&gt;ROW(AD226)),--(((calc!$AI$3:$AI$306&gt;AI226)*(calc!$AJ$3:$AJ$306&gt;AJ226)+(calc!$AI$3:$AI$306&lt;AI226)*(calc!$AJ$3:$AJ$306&lt;AJ226))&gt;0))-SUMPRODUCT(--(calc!$AD$3:$AD$306=TRUE),--(ROW(calc!$AD$3:$AD$306)&gt;ROW(AD226)),--(((calc!$AI$3:$AI$306&gt;AI226)*(calc!$AJ$3:$AJ$306&lt;AJ226)+(calc!$AI$3:$AI$306&lt;AI226)*(calc!$AJ$3:$AJ$306&gt;AJ226))&gt;0)),0)</f>
        <v/>
      </c>
      <c r="AL226" s="5">
        <f>IF(mos_metrics!J225="","",mos_metrics!J225)</f>
        <v/>
      </c>
      <c r="AM226" s="2">
        <f>AND($J226,ISNUMBER(AL226),correlation!$I$29=1)</f>
        <v/>
      </c>
      <c r="AN226" s="5">
        <f>IF(AM226,$F226,"")</f>
        <v/>
      </c>
      <c r="AO226" s="5">
        <f>IF(AM226,AL226*correlation!$J$29,"")</f>
        <v/>
      </c>
      <c r="AP226" s="5">
        <f>IF(AND(AM226,ISNUMBER(correlation!$F$29)),AO226*correlation!$F$29+correlation!$G$29,"")</f>
        <v/>
      </c>
      <c r="AQ226" s="5">
        <f>IF(AND(AM226,ISNUMBER(AP226)),(AN226-AP226)^2,"")</f>
        <v/>
      </c>
      <c r="AR226" s="5">
        <f>IF(AM226,1+SUMPRODUCT(--(calc!$AM$3:$AM$306=TRUE),--(calc!$AN$3:$AN$306&gt;AN226))+(SUMPRODUCT(--(calc!$AM$3:$AM$306=TRUE),--(calc!$AN$3:$AN$306=AN226))-1)/2,"")</f>
        <v/>
      </c>
      <c r="AS226" s="5">
        <f>IF(AM226,1+SUMPRODUCT(--(calc!$AM$3:$AM$306=TRUE),--(calc!$AO$3:$AO$306&gt;AO226))+(SUMPRODUCT(--(calc!$AM$3:$AM$306=TRUE),--(calc!$AO$3:$AO$306=AO226))-1)/2,"")</f>
        <v/>
      </c>
      <c r="AT226" s="5">
        <f>IF(AM226,SUMPRODUCT(--(calc!$AM$3:$AM$306=TRUE),--(ROW(calc!$AM$3:$AM$306)&gt;ROW(AM226)),--(((calc!$AR$3:$AR$306&gt;AR226)*(calc!$AS$3:$AS$306&gt;AS226)+(calc!$AR$3:$AR$306&lt;AR226)*(calc!$AS$3:$AS$306&lt;AS226))&gt;0))-SUMPRODUCT(--(calc!$AM$3:$AM$306=TRUE),--(ROW(calc!$AM$3:$AM$306)&gt;ROW(AM226)),--(((calc!$AR$3:$AR$306&gt;AR226)*(calc!$AS$3:$AS$306&lt;AS226)+(calc!$AR$3:$AR$306&lt;AR226)*(calc!$AS$3:$AS$306&gt;AS226))&gt;0)),0)</f>
        <v/>
      </c>
      <c r="AU226" s="5">
        <f>IF(mos_metrics!K225="","",mos_metrics!K225)</f>
        <v/>
      </c>
      <c r="AV226" s="2">
        <f>AND($J226,ISNUMBER(AU226),correlation!$I$30=1)</f>
        <v/>
      </c>
      <c r="AW226" s="5">
        <f>IF(AV226,$F226,"")</f>
        <v/>
      </c>
      <c r="AX226" s="5">
        <f>IF(AV226,AU226*correlation!$J$30,"")</f>
        <v/>
      </c>
      <c r="AY226" s="5">
        <f>IF(AND(AV226,ISNUMBER(correlation!$F$30)),AX226*correlation!$F$30+correlation!$G$30,"")</f>
        <v/>
      </c>
      <c r="AZ226" s="5">
        <f>IF(AND(AV226,ISNUMBER(AY226)),(AW226-AY226)^2,"")</f>
        <v/>
      </c>
      <c r="BA226" s="5">
        <f>IF(AV226,1+SUMPRODUCT(--(calc!$AV$3:$AV$306=TRUE),--(calc!$AW$3:$AW$306&gt;AW226))+(SUMPRODUCT(--(calc!$AV$3:$AV$306=TRUE),--(calc!$AW$3:$AW$306=AW226))-1)/2,"")</f>
        <v/>
      </c>
      <c r="BB226" s="5">
        <f>IF(AV226,1+SUMPRODUCT(--(calc!$AV$3:$AV$306=TRUE),--(calc!$AX$3:$AX$306&gt;AX226))+(SUMPRODUCT(--(calc!$AV$3:$AV$306=TRUE),--(calc!$AX$3:$AX$306=AX226))-1)/2,"")</f>
        <v/>
      </c>
      <c r="BC226" s="5">
        <f>IF(AV226,SUMPRODUCT(--(calc!$AV$3:$AV$306=TRUE),--(ROW(calc!$AV$3:$AV$306)&gt;ROW(AV226)),--(((calc!$BA$3:$BA$306&gt;BA226)*(calc!$BB$3:$BB$306&gt;BB226)+(calc!$BA$3:$BA$306&lt;BA226)*(calc!$BB$3:$BB$306&lt;BB226))&gt;0))-SUMPRODUCT(--(calc!$AV$3:$AV$306=TRUE),--(ROW(calc!$AV$3:$AV$306)&gt;ROW(AV226)),--(((calc!$BA$3:$BA$306&gt;BA226)*(calc!$BB$3:$BB$306&lt;BB226)+(calc!$BA$3:$BA$306&lt;BA226)*(calc!$BB$3:$BB$306&gt;BB226))&gt;0)),0)</f>
        <v/>
      </c>
      <c r="BD226" s="5">
        <f>IF(mos_metrics!L225="","",mos_metrics!L225)</f>
        <v/>
      </c>
      <c r="BE226" s="2">
        <f>AND($J226,ISNUMBER(BD226),correlation!$I$31=1)</f>
        <v/>
      </c>
      <c r="BF226" s="5">
        <f>IF(BE226,$F226,"")</f>
        <v/>
      </c>
      <c r="BG226" s="5">
        <f>IF(BE226,BD226*correlation!$J$31,"")</f>
        <v/>
      </c>
      <c r="BH226" s="5">
        <f>IF(AND(BE226,ISNUMBER(correlation!$F$31)),BG226*correlation!$F$31+correlation!$G$31,"")</f>
        <v/>
      </c>
      <c r="BI226" s="5">
        <f>IF(AND(BE226,ISNUMBER(BH226)),(BF226-BH226)^2,"")</f>
        <v/>
      </c>
      <c r="BJ226" s="5">
        <f>IF(BE226,1+SUMPRODUCT(--(calc!$BE$3:$BE$306=TRUE),--(calc!$BF$3:$BF$306&gt;BF226))+(SUMPRODUCT(--(calc!$BE$3:$BE$306=TRUE),--(calc!$BF$3:$BF$306=BF226))-1)/2,"")</f>
        <v/>
      </c>
      <c r="BK226" s="5">
        <f>IF(BE226,1+SUMPRODUCT(--(calc!$BE$3:$BE$306=TRUE),--(calc!$BG$3:$BG$306&gt;BG226))+(SUMPRODUCT(--(calc!$BE$3:$BE$306=TRUE),--(calc!$BG$3:$BG$306=BG226))-1)/2,"")</f>
        <v/>
      </c>
      <c r="BL226" s="5">
        <f>IF(BE226,SUMPRODUCT(--(calc!$BE$3:$BE$306=TRUE),--(ROW(calc!$BE$3:$BE$306)&gt;ROW(BE226)),--(((calc!$BJ$3:$BJ$306&gt;BJ226)*(calc!$BK$3:$BK$306&gt;BK226)+(calc!$BJ$3:$BJ$306&lt;BJ226)*(calc!$BK$3:$BK$306&lt;BK226))&gt;0))-SUMPRODUCT(--(calc!$BE$3:$BE$306=TRUE),--(ROW(calc!$BE$3:$BE$306)&gt;ROW(BE226)),--(((calc!$BJ$3:$BJ$306&gt;BJ226)*(calc!$BK$3:$BK$306&lt;BK226)+(calc!$BJ$3:$BJ$306&lt;BJ226)*(calc!$BK$3:$BK$306&gt;BK226))&gt;0)),0)</f>
        <v/>
      </c>
      <c r="BM226" s="5">
        <f>IF(mos_metrics!M225="","",mos_metrics!M225)</f>
        <v/>
      </c>
      <c r="BN226" s="2">
        <f>AND($J226,ISNUMBER(BM226),correlation!$I$32=1)</f>
        <v/>
      </c>
      <c r="BO226" s="5">
        <f>IF(BN226,$F226,"")</f>
        <v/>
      </c>
      <c r="BP226" s="5">
        <f>IF(BN226,BM226*correlation!$J$32,"")</f>
        <v/>
      </c>
      <c r="BQ226" s="5">
        <f>IF(AND(BN226,ISNUMBER(correlation!$F$32)),BP226*correlation!$F$32+correlation!$G$32,"")</f>
        <v/>
      </c>
      <c r="BR226" s="5">
        <f>IF(AND(BN226,ISNUMBER(BQ226)),(BO226-BQ226)^2,"")</f>
        <v/>
      </c>
      <c r="BS226" s="5">
        <f>IF(BN226,1+SUMPRODUCT(--(calc!$BN$3:$BN$306=TRUE),--(calc!$BO$3:$BO$306&gt;BO226))+(SUMPRODUCT(--(calc!$BN$3:$BN$306=TRUE),--(calc!$BO$3:$BO$306=BO226))-1)/2,"")</f>
        <v/>
      </c>
      <c r="BT226" s="5">
        <f>IF(BN226,1+SUMPRODUCT(--(calc!$BN$3:$BN$306=TRUE),--(calc!$BP$3:$BP$306&gt;BP226))+(SUMPRODUCT(--(calc!$BN$3:$BN$306=TRUE),--(calc!$BP$3:$BP$306=BP226))-1)/2,"")</f>
        <v/>
      </c>
      <c r="BU226" s="5">
        <f>IF(BN226,SUMPRODUCT(--(calc!$BN$3:$BN$306=TRUE),--(ROW(calc!$BN$3:$BN$306)&gt;ROW(BN226)),--(((calc!$BS$3:$BS$306&gt;BS226)*(calc!$BT$3:$BT$306&gt;BT226)+(calc!$BS$3:$BS$306&lt;BS226)*(calc!$BT$3:$BT$306&lt;BT226))&gt;0))-SUMPRODUCT(--(calc!$BN$3:$BN$306=TRUE),--(ROW(calc!$BN$3:$BN$306)&gt;ROW(BN226)),--(((calc!$BS$3:$BS$306&gt;BS226)*(calc!$BT$3:$BT$306&lt;BT226)+(calc!$BS$3:$BS$306&lt;BS226)*(calc!$BT$3:$BT$306&gt;BT226))&gt;0)),0)</f>
        <v/>
      </c>
    </row>
    <row r="227">
      <c r="A227" s="2">
        <f>mos_metrics!A226</f>
        <v/>
      </c>
      <c r="B227" s="2">
        <f>mos_metrics!B226</f>
        <v/>
      </c>
      <c r="C227" s="2">
        <f>mos_metrics!C226</f>
        <v/>
      </c>
      <c r="D227" s="2">
        <f>mos_metrics!D226</f>
        <v/>
      </c>
      <c r="E227" s="2">
        <f>mos_metrics!E226</f>
        <v/>
      </c>
      <c r="F227" s="2">
        <f>mos_metrics!F226</f>
        <v/>
      </c>
      <c r="G227" s="2">
        <f>IF($B227="","",IFERROR(VLOOKUP($B227,correlation!$A$2:$B$16,2,FALSE),1))</f>
        <v/>
      </c>
      <c r="H227" s="2">
        <f>IF($E227="","",IFERROR(VLOOKUP($E227,correlation!$D$2:$E$8,2,FALSE),1))</f>
        <v/>
      </c>
      <c r="I227" s="2">
        <f>ISNUMBER($F227)</f>
        <v/>
      </c>
      <c r="J227" s="2">
        <f>AND($G227=1,$H227=1,$I227)</f>
        <v/>
      </c>
      <c r="K227" s="5">
        <f>IF(mos_metrics!G226="","",mos_metrics!G226)</f>
        <v/>
      </c>
      <c r="L227" s="2">
        <f>AND($J227,ISNUMBER(K227),correlation!$I$26=1)</f>
        <v/>
      </c>
      <c r="M227" s="5">
        <f>IF(L227,$F227,"")</f>
        <v/>
      </c>
      <c r="N227" s="5">
        <f>IF(L227,K227*correlation!$J$26,"")</f>
        <v/>
      </c>
      <c r="O227" s="5">
        <f>IF(AND(L227,ISNUMBER(correlation!$F$26)),N227*correlation!$F$26+correlation!$G$26,"")</f>
        <v/>
      </c>
      <c r="P227" s="5">
        <f>IF(AND(L227,ISNUMBER(O227)),(M227-O227)^2,"")</f>
        <v/>
      </c>
      <c r="Q227" s="5">
        <f>IF(L227,1+SUMPRODUCT(--(calc!$L$3:$L$306=TRUE),--(calc!$M$3:$M$306&gt;M227))+(SUMPRODUCT(--(calc!$L$3:$L$306=TRUE),--(calc!$M$3:$M$306=M227))-1)/2,"")</f>
        <v/>
      </c>
      <c r="R227" s="5">
        <f>IF(L227,1+SUMPRODUCT(--(calc!$L$3:$L$306=TRUE),--(calc!$N$3:$N$306&gt;N227))+(SUMPRODUCT(--(calc!$L$3:$L$306=TRUE),--(calc!$N$3:$N$306=N227))-1)/2,"")</f>
        <v/>
      </c>
      <c r="S227" s="5">
        <f>IF(L227,SUMPRODUCT(--(calc!$L$3:$L$306=TRUE),--(ROW(calc!$L$3:$L$306)&gt;ROW(L227)),--(((calc!$Q$3:$Q$306&gt;Q227)*(calc!$R$3:$R$306&gt;R227)+(calc!$Q$3:$Q$306&lt;Q227)*(calc!$R$3:$R$306&lt;R227))&gt;0))-SUMPRODUCT(--(calc!$L$3:$L$306=TRUE),--(ROW(calc!$L$3:$L$306)&gt;ROW(L227)),--(((calc!$Q$3:$Q$306&gt;Q227)*(calc!$R$3:$R$306&lt;R227)+(calc!$Q$3:$Q$306&lt;Q227)*(calc!$R$3:$R$306&gt;R227))&gt;0)),0)</f>
        <v/>
      </c>
      <c r="T227" s="5">
        <f>IF(mos_metrics!H226="","",mos_metrics!H226)</f>
        <v/>
      </c>
      <c r="U227" s="2">
        <f>AND($J227,ISNUMBER(T227),correlation!$I$27=1)</f>
        <v/>
      </c>
      <c r="V227" s="5">
        <f>IF(U227,$F227,"")</f>
        <v/>
      </c>
      <c r="W227" s="5">
        <f>IF(U227,T227*correlation!$J$27,"")</f>
        <v/>
      </c>
      <c r="X227" s="5">
        <f>IF(AND(U227,ISNUMBER(correlation!$F$27)),W227*correlation!$F$27+correlation!$G$27,"")</f>
        <v/>
      </c>
      <c r="Y227" s="5">
        <f>IF(AND(U227,ISNUMBER(X227)),(V227-X227)^2,"")</f>
        <v/>
      </c>
      <c r="Z227" s="5">
        <f>IF(U227,1+SUMPRODUCT(--(calc!$U$3:$U$306=TRUE),--(calc!$V$3:$V$306&gt;V227))+(SUMPRODUCT(--(calc!$U$3:$U$306=TRUE),--(calc!$V$3:$V$306=V227))-1)/2,"")</f>
        <v/>
      </c>
      <c r="AA227" s="5">
        <f>IF(U227,1+SUMPRODUCT(--(calc!$U$3:$U$306=TRUE),--(calc!$W$3:$W$306&gt;W227))+(SUMPRODUCT(--(calc!$U$3:$U$306=TRUE),--(calc!$W$3:$W$306=W227))-1)/2,"")</f>
        <v/>
      </c>
      <c r="AB227" s="5">
        <f>IF(U227,SUMPRODUCT(--(calc!$U$3:$U$306=TRUE),--(ROW(calc!$U$3:$U$306)&gt;ROW(U227)),--(((calc!$Z$3:$Z$306&gt;Z227)*(calc!$AA$3:$AA$306&gt;AA227)+(calc!$Z$3:$Z$306&lt;Z227)*(calc!$AA$3:$AA$306&lt;AA227))&gt;0))-SUMPRODUCT(--(calc!$U$3:$U$306=TRUE),--(ROW(calc!$U$3:$U$306)&gt;ROW(U227)),--(((calc!$Z$3:$Z$306&gt;Z227)*(calc!$AA$3:$AA$306&lt;AA227)+(calc!$Z$3:$Z$306&lt;Z227)*(calc!$AA$3:$AA$306&gt;AA227))&gt;0)),0)</f>
        <v/>
      </c>
      <c r="AC227" s="5">
        <f>IF(mos_metrics!I226="","",mos_metrics!I226)</f>
        <v/>
      </c>
      <c r="AD227" s="2">
        <f>AND($J227,ISNUMBER(AC227),correlation!$I$28=1)</f>
        <v/>
      </c>
      <c r="AE227" s="5">
        <f>IF(AD227,$F227,"")</f>
        <v/>
      </c>
      <c r="AF227" s="5">
        <f>IF(AD227,AC227*correlation!$J$28,"")</f>
        <v/>
      </c>
      <c r="AG227" s="5">
        <f>IF(AND(AD227,ISNUMBER(correlation!$F$28)),AF227*correlation!$F$28+correlation!$G$28,"")</f>
        <v/>
      </c>
      <c r="AH227" s="5">
        <f>IF(AND(AD227,ISNUMBER(AG227)),(AE227-AG227)^2,"")</f>
        <v/>
      </c>
      <c r="AI227" s="5">
        <f>IF(AD227,1+SUMPRODUCT(--(calc!$AD$3:$AD$306=TRUE),--(calc!$AE$3:$AE$306&gt;AE227))+(SUMPRODUCT(--(calc!$AD$3:$AD$306=TRUE),--(calc!$AE$3:$AE$306=AE227))-1)/2,"")</f>
        <v/>
      </c>
      <c r="AJ227" s="5">
        <f>IF(AD227,1+SUMPRODUCT(--(calc!$AD$3:$AD$306=TRUE),--(calc!$AF$3:$AF$306&gt;AF227))+(SUMPRODUCT(--(calc!$AD$3:$AD$306=TRUE),--(calc!$AF$3:$AF$306=AF227))-1)/2,"")</f>
        <v/>
      </c>
      <c r="AK227" s="5">
        <f>IF(AD227,SUMPRODUCT(--(calc!$AD$3:$AD$306=TRUE),--(ROW(calc!$AD$3:$AD$306)&gt;ROW(AD227)),--(((calc!$AI$3:$AI$306&gt;AI227)*(calc!$AJ$3:$AJ$306&gt;AJ227)+(calc!$AI$3:$AI$306&lt;AI227)*(calc!$AJ$3:$AJ$306&lt;AJ227))&gt;0))-SUMPRODUCT(--(calc!$AD$3:$AD$306=TRUE),--(ROW(calc!$AD$3:$AD$306)&gt;ROW(AD227)),--(((calc!$AI$3:$AI$306&gt;AI227)*(calc!$AJ$3:$AJ$306&lt;AJ227)+(calc!$AI$3:$AI$306&lt;AI227)*(calc!$AJ$3:$AJ$306&gt;AJ227))&gt;0)),0)</f>
        <v/>
      </c>
      <c r="AL227" s="5">
        <f>IF(mos_metrics!J226="","",mos_metrics!J226)</f>
        <v/>
      </c>
      <c r="AM227" s="2">
        <f>AND($J227,ISNUMBER(AL227),correlation!$I$29=1)</f>
        <v/>
      </c>
      <c r="AN227" s="5">
        <f>IF(AM227,$F227,"")</f>
        <v/>
      </c>
      <c r="AO227" s="5">
        <f>IF(AM227,AL227*correlation!$J$29,"")</f>
        <v/>
      </c>
      <c r="AP227" s="5">
        <f>IF(AND(AM227,ISNUMBER(correlation!$F$29)),AO227*correlation!$F$29+correlation!$G$29,"")</f>
        <v/>
      </c>
      <c r="AQ227" s="5">
        <f>IF(AND(AM227,ISNUMBER(AP227)),(AN227-AP227)^2,"")</f>
        <v/>
      </c>
      <c r="AR227" s="5">
        <f>IF(AM227,1+SUMPRODUCT(--(calc!$AM$3:$AM$306=TRUE),--(calc!$AN$3:$AN$306&gt;AN227))+(SUMPRODUCT(--(calc!$AM$3:$AM$306=TRUE),--(calc!$AN$3:$AN$306=AN227))-1)/2,"")</f>
        <v/>
      </c>
      <c r="AS227" s="5">
        <f>IF(AM227,1+SUMPRODUCT(--(calc!$AM$3:$AM$306=TRUE),--(calc!$AO$3:$AO$306&gt;AO227))+(SUMPRODUCT(--(calc!$AM$3:$AM$306=TRUE),--(calc!$AO$3:$AO$306=AO227))-1)/2,"")</f>
        <v/>
      </c>
      <c r="AT227" s="5">
        <f>IF(AM227,SUMPRODUCT(--(calc!$AM$3:$AM$306=TRUE),--(ROW(calc!$AM$3:$AM$306)&gt;ROW(AM227)),--(((calc!$AR$3:$AR$306&gt;AR227)*(calc!$AS$3:$AS$306&gt;AS227)+(calc!$AR$3:$AR$306&lt;AR227)*(calc!$AS$3:$AS$306&lt;AS227))&gt;0))-SUMPRODUCT(--(calc!$AM$3:$AM$306=TRUE),--(ROW(calc!$AM$3:$AM$306)&gt;ROW(AM227)),--(((calc!$AR$3:$AR$306&gt;AR227)*(calc!$AS$3:$AS$306&lt;AS227)+(calc!$AR$3:$AR$306&lt;AR227)*(calc!$AS$3:$AS$306&gt;AS227))&gt;0)),0)</f>
        <v/>
      </c>
      <c r="AU227" s="5">
        <f>IF(mos_metrics!K226="","",mos_metrics!K226)</f>
        <v/>
      </c>
      <c r="AV227" s="2">
        <f>AND($J227,ISNUMBER(AU227),correlation!$I$30=1)</f>
        <v/>
      </c>
      <c r="AW227" s="5">
        <f>IF(AV227,$F227,"")</f>
        <v/>
      </c>
      <c r="AX227" s="5">
        <f>IF(AV227,AU227*correlation!$J$30,"")</f>
        <v/>
      </c>
      <c r="AY227" s="5">
        <f>IF(AND(AV227,ISNUMBER(correlation!$F$30)),AX227*correlation!$F$30+correlation!$G$30,"")</f>
        <v/>
      </c>
      <c r="AZ227" s="5">
        <f>IF(AND(AV227,ISNUMBER(AY227)),(AW227-AY227)^2,"")</f>
        <v/>
      </c>
      <c r="BA227" s="5">
        <f>IF(AV227,1+SUMPRODUCT(--(calc!$AV$3:$AV$306=TRUE),--(calc!$AW$3:$AW$306&gt;AW227))+(SUMPRODUCT(--(calc!$AV$3:$AV$306=TRUE),--(calc!$AW$3:$AW$306=AW227))-1)/2,"")</f>
        <v/>
      </c>
      <c r="BB227" s="5">
        <f>IF(AV227,1+SUMPRODUCT(--(calc!$AV$3:$AV$306=TRUE),--(calc!$AX$3:$AX$306&gt;AX227))+(SUMPRODUCT(--(calc!$AV$3:$AV$306=TRUE),--(calc!$AX$3:$AX$306=AX227))-1)/2,"")</f>
        <v/>
      </c>
      <c r="BC227" s="5">
        <f>IF(AV227,SUMPRODUCT(--(calc!$AV$3:$AV$306=TRUE),--(ROW(calc!$AV$3:$AV$306)&gt;ROW(AV227)),--(((calc!$BA$3:$BA$306&gt;BA227)*(calc!$BB$3:$BB$306&gt;BB227)+(calc!$BA$3:$BA$306&lt;BA227)*(calc!$BB$3:$BB$306&lt;BB227))&gt;0))-SUMPRODUCT(--(calc!$AV$3:$AV$306=TRUE),--(ROW(calc!$AV$3:$AV$306)&gt;ROW(AV227)),--(((calc!$BA$3:$BA$306&gt;BA227)*(calc!$BB$3:$BB$306&lt;BB227)+(calc!$BA$3:$BA$306&lt;BA227)*(calc!$BB$3:$BB$306&gt;BB227))&gt;0)),0)</f>
        <v/>
      </c>
      <c r="BD227" s="5">
        <f>IF(mos_metrics!L226="","",mos_metrics!L226)</f>
        <v/>
      </c>
      <c r="BE227" s="2">
        <f>AND($J227,ISNUMBER(BD227),correlation!$I$31=1)</f>
        <v/>
      </c>
      <c r="BF227" s="5">
        <f>IF(BE227,$F227,"")</f>
        <v/>
      </c>
      <c r="BG227" s="5">
        <f>IF(BE227,BD227*correlation!$J$31,"")</f>
        <v/>
      </c>
      <c r="BH227" s="5">
        <f>IF(AND(BE227,ISNUMBER(correlation!$F$31)),BG227*correlation!$F$31+correlation!$G$31,"")</f>
        <v/>
      </c>
      <c r="BI227" s="5">
        <f>IF(AND(BE227,ISNUMBER(BH227)),(BF227-BH227)^2,"")</f>
        <v/>
      </c>
      <c r="BJ227" s="5">
        <f>IF(BE227,1+SUMPRODUCT(--(calc!$BE$3:$BE$306=TRUE),--(calc!$BF$3:$BF$306&gt;BF227))+(SUMPRODUCT(--(calc!$BE$3:$BE$306=TRUE),--(calc!$BF$3:$BF$306=BF227))-1)/2,"")</f>
        <v/>
      </c>
      <c r="BK227" s="5">
        <f>IF(BE227,1+SUMPRODUCT(--(calc!$BE$3:$BE$306=TRUE),--(calc!$BG$3:$BG$306&gt;BG227))+(SUMPRODUCT(--(calc!$BE$3:$BE$306=TRUE),--(calc!$BG$3:$BG$306=BG227))-1)/2,"")</f>
        <v/>
      </c>
      <c r="BL227" s="5">
        <f>IF(BE227,SUMPRODUCT(--(calc!$BE$3:$BE$306=TRUE),--(ROW(calc!$BE$3:$BE$306)&gt;ROW(BE227)),--(((calc!$BJ$3:$BJ$306&gt;BJ227)*(calc!$BK$3:$BK$306&gt;BK227)+(calc!$BJ$3:$BJ$306&lt;BJ227)*(calc!$BK$3:$BK$306&lt;BK227))&gt;0))-SUMPRODUCT(--(calc!$BE$3:$BE$306=TRUE),--(ROW(calc!$BE$3:$BE$306)&gt;ROW(BE227)),--(((calc!$BJ$3:$BJ$306&gt;BJ227)*(calc!$BK$3:$BK$306&lt;BK227)+(calc!$BJ$3:$BJ$306&lt;BJ227)*(calc!$BK$3:$BK$306&gt;BK227))&gt;0)),0)</f>
        <v/>
      </c>
      <c r="BM227" s="5">
        <f>IF(mos_metrics!M226="","",mos_metrics!M226)</f>
        <v/>
      </c>
      <c r="BN227" s="2">
        <f>AND($J227,ISNUMBER(BM227),correlation!$I$32=1)</f>
        <v/>
      </c>
      <c r="BO227" s="5">
        <f>IF(BN227,$F227,"")</f>
        <v/>
      </c>
      <c r="BP227" s="5">
        <f>IF(BN227,BM227*correlation!$J$32,"")</f>
        <v/>
      </c>
      <c r="BQ227" s="5">
        <f>IF(AND(BN227,ISNUMBER(correlation!$F$32)),BP227*correlation!$F$32+correlation!$G$32,"")</f>
        <v/>
      </c>
      <c r="BR227" s="5">
        <f>IF(AND(BN227,ISNUMBER(BQ227)),(BO227-BQ227)^2,"")</f>
        <v/>
      </c>
      <c r="BS227" s="5">
        <f>IF(BN227,1+SUMPRODUCT(--(calc!$BN$3:$BN$306=TRUE),--(calc!$BO$3:$BO$306&gt;BO227))+(SUMPRODUCT(--(calc!$BN$3:$BN$306=TRUE),--(calc!$BO$3:$BO$306=BO227))-1)/2,"")</f>
        <v/>
      </c>
      <c r="BT227" s="5">
        <f>IF(BN227,1+SUMPRODUCT(--(calc!$BN$3:$BN$306=TRUE),--(calc!$BP$3:$BP$306&gt;BP227))+(SUMPRODUCT(--(calc!$BN$3:$BN$306=TRUE),--(calc!$BP$3:$BP$306=BP227))-1)/2,"")</f>
        <v/>
      </c>
      <c r="BU227" s="5">
        <f>IF(BN227,SUMPRODUCT(--(calc!$BN$3:$BN$306=TRUE),--(ROW(calc!$BN$3:$BN$306)&gt;ROW(BN227)),--(((calc!$BS$3:$BS$306&gt;BS227)*(calc!$BT$3:$BT$306&gt;BT227)+(calc!$BS$3:$BS$306&lt;BS227)*(calc!$BT$3:$BT$306&lt;BT227))&gt;0))-SUMPRODUCT(--(calc!$BN$3:$BN$306=TRUE),--(ROW(calc!$BN$3:$BN$306)&gt;ROW(BN227)),--(((calc!$BS$3:$BS$306&gt;BS227)*(calc!$BT$3:$BT$306&lt;BT227)+(calc!$BS$3:$BS$306&lt;BS227)*(calc!$BT$3:$BT$306&gt;BT227))&gt;0)),0)</f>
        <v/>
      </c>
    </row>
    <row r="228">
      <c r="A228" s="2">
        <f>mos_metrics!A227</f>
        <v/>
      </c>
      <c r="B228" s="2">
        <f>mos_metrics!B227</f>
        <v/>
      </c>
      <c r="C228" s="2">
        <f>mos_metrics!C227</f>
        <v/>
      </c>
      <c r="D228" s="2">
        <f>mos_metrics!D227</f>
        <v/>
      </c>
      <c r="E228" s="2">
        <f>mos_metrics!E227</f>
        <v/>
      </c>
      <c r="F228" s="2">
        <f>mos_metrics!F227</f>
        <v/>
      </c>
      <c r="G228" s="2">
        <f>IF($B228="","",IFERROR(VLOOKUP($B228,correlation!$A$2:$B$16,2,FALSE),1))</f>
        <v/>
      </c>
      <c r="H228" s="2">
        <f>IF($E228="","",IFERROR(VLOOKUP($E228,correlation!$D$2:$E$8,2,FALSE),1))</f>
        <v/>
      </c>
      <c r="I228" s="2">
        <f>ISNUMBER($F228)</f>
        <v/>
      </c>
      <c r="J228" s="2">
        <f>AND($G228=1,$H228=1,$I228)</f>
        <v/>
      </c>
      <c r="K228" s="5">
        <f>IF(mos_metrics!G227="","",mos_metrics!G227)</f>
        <v/>
      </c>
      <c r="L228" s="2">
        <f>AND($J228,ISNUMBER(K228),correlation!$I$26=1)</f>
        <v/>
      </c>
      <c r="M228" s="5">
        <f>IF(L228,$F228,"")</f>
        <v/>
      </c>
      <c r="N228" s="5">
        <f>IF(L228,K228*correlation!$J$26,"")</f>
        <v/>
      </c>
      <c r="O228" s="5">
        <f>IF(AND(L228,ISNUMBER(correlation!$F$26)),N228*correlation!$F$26+correlation!$G$26,"")</f>
        <v/>
      </c>
      <c r="P228" s="5">
        <f>IF(AND(L228,ISNUMBER(O228)),(M228-O228)^2,"")</f>
        <v/>
      </c>
      <c r="Q228" s="5">
        <f>IF(L228,1+SUMPRODUCT(--(calc!$L$3:$L$306=TRUE),--(calc!$M$3:$M$306&gt;M228))+(SUMPRODUCT(--(calc!$L$3:$L$306=TRUE),--(calc!$M$3:$M$306=M228))-1)/2,"")</f>
        <v/>
      </c>
      <c r="R228" s="5">
        <f>IF(L228,1+SUMPRODUCT(--(calc!$L$3:$L$306=TRUE),--(calc!$N$3:$N$306&gt;N228))+(SUMPRODUCT(--(calc!$L$3:$L$306=TRUE),--(calc!$N$3:$N$306=N228))-1)/2,"")</f>
        <v/>
      </c>
      <c r="S228" s="5">
        <f>IF(L228,SUMPRODUCT(--(calc!$L$3:$L$306=TRUE),--(ROW(calc!$L$3:$L$306)&gt;ROW(L228)),--(((calc!$Q$3:$Q$306&gt;Q228)*(calc!$R$3:$R$306&gt;R228)+(calc!$Q$3:$Q$306&lt;Q228)*(calc!$R$3:$R$306&lt;R228))&gt;0))-SUMPRODUCT(--(calc!$L$3:$L$306=TRUE),--(ROW(calc!$L$3:$L$306)&gt;ROW(L228)),--(((calc!$Q$3:$Q$306&gt;Q228)*(calc!$R$3:$R$306&lt;R228)+(calc!$Q$3:$Q$306&lt;Q228)*(calc!$R$3:$R$306&gt;R228))&gt;0)),0)</f>
        <v/>
      </c>
      <c r="T228" s="5">
        <f>IF(mos_metrics!H227="","",mos_metrics!H227)</f>
        <v/>
      </c>
      <c r="U228" s="2">
        <f>AND($J228,ISNUMBER(T228),correlation!$I$27=1)</f>
        <v/>
      </c>
      <c r="V228" s="5">
        <f>IF(U228,$F228,"")</f>
        <v/>
      </c>
      <c r="W228" s="5">
        <f>IF(U228,T228*correlation!$J$27,"")</f>
        <v/>
      </c>
      <c r="X228" s="5">
        <f>IF(AND(U228,ISNUMBER(correlation!$F$27)),W228*correlation!$F$27+correlation!$G$27,"")</f>
        <v/>
      </c>
      <c r="Y228" s="5">
        <f>IF(AND(U228,ISNUMBER(X228)),(V228-X228)^2,"")</f>
        <v/>
      </c>
      <c r="Z228" s="5">
        <f>IF(U228,1+SUMPRODUCT(--(calc!$U$3:$U$306=TRUE),--(calc!$V$3:$V$306&gt;V228))+(SUMPRODUCT(--(calc!$U$3:$U$306=TRUE),--(calc!$V$3:$V$306=V228))-1)/2,"")</f>
        <v/>
      </c>
      <c r="AA228" s="5">
        <f>IF(U228,1+SUMPRODUCT(--(calc!$U$3:$U$306=TRUE),--(calc!$W$3:$W$306&gt;W228))+(SUMPRODUCT(--(calc!$U$3:$U$306=TRUE),--(calc!$W$3:$W$306=W228))-1)/2,"")</f>
        <v/>
      </c>
      <c r="AB228" s="5">
        <f>IF(U228,SUMPRODUCT(--(calc!$U$3:$U$306=TRUE),--(ROW(calc!$U$3:$U$306)&gt;ROW(U228)),--(((calc!$Z$3:$Z$306&gt;Z228)*(calc!$AA$3:$AA$306&gt;AA228)+(calc!$Z$3:$Z$306&lt;Z228)*(calc!$AA$3:$AA$306&lt;AA228))&gt;0))-SUMPRODUCT(--(calc!$U$3:$U$306=TRUE),--(ROW(calc!$U$3:$U$306)&gt;ROW(U228)),--(((calc!$Z$3:$Z$306&gt;Z228)*(calc!$AA$3:$AA$306&lt;AA228)+(calc!$Z$3:$Z$306&lt;Z228)*(calc!$AA$3:$AA$306&gt;AA228))&gt;0)),0)</f>
        <v/>
      </c>
      <c r="AC228" s="5">
        <f>IF(mos_metrics!I227="","",mos_metrics!I227)</f>
        <v/>
      </c>
      <c r="AD228" s="2">
        <f>AND($J228,ISNUMBER(AC228),correlation!$I$28=1)</f>
        <v/>
      </c>
      <c r="AE228" s="5">
        <f>IF(AD228,$F228,"")</f>
        <v/>
      </c>
      <c r="AF228" s="5">
        <f>IF(AD228,AC228*correlation!$J$28,"")</f>
        <v/>
      </c>
      <c r="AG228" s="5">
        <f>IF(AND(AD228,ISNUMBER(correlation!$F$28)),AF228*correlation!$F$28+correlation!$G$28,"")</f>
        <v/>
      </c>
      <c r="AH228" s="5">
        <f>IF(AND(AD228,ISNUMBER(AG228)),(AE228-AG228)^2,"")</f>
        <v/>
      </c>
      <c r="AI228" s="5">
        <f>IF(AD228,1+SUMPRODUCT(--(calc!$AD$3:$AD$306=TRUE),--(calc!$AE$3:$AE$306&gt;AE228))+(SUMPRODUCT(--(calc!$AD$3:$AD$306=TRUE),--(calc!$AE$3:$AE$306=AE228))-1)/2,"")</f>
        <v/>
      </c>
      <c r="AJ228" s="5">
        <f>IF(AD228,1+SUMPRODUCT(--(calc!$AD$3:$AD$306=TRUE),--(calc!$AF$3:$AF$306&gt;AF228))+(SUMPRODUCT(--(calc!$AD$3:$AD$306=TRUE),--(calc!$AF$3:$AF$306=AF228))-1)/2,"")</f>
        <v/>
      </c>
      <c r="AK228" s="5">
        <f>IF(AD228,SUMPRODUCT(--(calc!$AD$3:$AD$306=TRUE),--(ROW(calc!$AD$3:$AD$306)&gt;ROW(AD228)),--(((calc!$AI$3:$AI$306&gt;AI228)*(calc!$AJ$3:$AJ$306&gt;AJ228)+(calc!$AI$3:$AI$306&lt;AI228)*(calc!$AJ$3:$AJ$306&lt;AJ228))&gt;0))-SUMPRODUCT(--(calc!$AD$3:$AD$306=TRUE),--(ROW(calc!$AD$3:$AD$306)&gt;ROW(AD228)),--(((calc!$AI$3:$AI$306&gt;AI228)*(calc!$AJ$3:$AJ$306&lt;AJ228)+(calc!$AI$3:$AI$306&lt;AI228)*(calc!$AJ$3:$AJ$306&gt;AJ228))&gt;0)),0)</f>
        <v/>
      </c>
      <c r="AL228" s="5">
        <f>IF(mos_metrics!J227="","",mos_metrics!J227)</f>
        <v/>
      </c>
      <c r="AM228" s="2">
        <f>AND($J228,ISNUMBER(AL228),correlation!$I$29=1)</f>
        <v/>
      </c>
      <c r="AN228" s="5">
        <f>IF(AM228,$F228,"")</f>
        <v/>
      </c>
      <c r="AO228" s="5">
        <f>IF(AM228,AL228*correlation!$J$29,"")</f>
        <v/>
      </c>
      <c r="AP228" s="5">
        <f>IF(AND(AM228,ISNUMBER(correlation!$F$29)),AO228*correlation!$F$29+correlation!$G$29,"")</f>
        <v/>
      </c>
      <c r="AQ228" s="5">
        <f>IF(AND(AM228,ISNUMBER(AP228)),(AN228-AP228)^2,"")</f>
        <v/>
      </c>
      <c r="AR228" s="5">
        <f>IF(AM228,1+SUMPRODUCT(--(calc!$AM$3:$AM$306=TRUE),--(calc!$AN$3:$AN$306&gt;AN228))+(SUMPRODUCT(--(calc!$AM$3:$AM$306=TRUE),--(calc!$AN$3:$AN$306=AN228))-1)/2,"")</f>
        <v/>
      </c>
      <c r="AS228" s="5">
        <f>IF(AM228,1+SUMPRODUCT(--(calc!$AM$3:$AM$306=TRUE),--(calc!$AO$3:$AO$306&gt;AO228))+(SUMPRODUCT(--(calc!$AM$3:$AM$306=TRUE),--(calc!$AO$3:$AO$306=AO228))-1)/2,"")</f>
        <v/>
      </c>
      <c r="AT228" s="5">
        <f>IF(AM228,SUMPRODUCT(--(calc!$AM$3:$AM$306=TRUE),--(ROW(calc!$AM$3:$AM$306)&gt;ROW(AM228)),--(((calc!$AR$3:$AR$306&gt;AR228)*(calc!$AS$3:$AS$306&gt;AS228)+(calc!$AR$3:$AR$306&lt;AR228)*(calc!$AS$3:$AS$306&lt;AS228))&gt;0))-SUMPRODUCT(--(calc!$AM$3:$AM$306=TRUE),--(ROW(calc!$AM$3:$AM$306)&gt;ROW(AM228)),--(((calc!$AR$3:$AR$306&gt;AR228)*(calc!$AS$3:$AS$306&lt;AS228)+(calc!$AR$3:$AR$306&lt;AR228)*(calc!$AS$3:$AS$306&gt;AS228))&gt;0)),0)</f>
        <v/>
      </c>
      <c r="AU228" s="5">
        <f>IF(mos_metrics!K227="","",mos_metrics!K227)</f>
        <v/>
      </c>
      <c r="AV228" s="2">
        <f>AND($J228,ISNUMBER(AU228),correlation!$I$30=1)</f>
        <v/>
      </c>
      <c r="AW228" s="5">
        <f>IF(AV228,$F228,"")</f>
        <v/>
      </c>
      <c r="AX228" s="5">
        <f>IF(AV228,AU228*correlation!$J$30,"")</f>
        <v/>
      </c>
      <c r="AY228" s="5">
        <f>IF(AND(AV228,ISNUMBER(correlation!$F$30)),AX228*correlation!$F$30+correlation!$G$30,"")</f>
        <v/>
      </c>
      <c r="AZ228" s="5">
        <f>IF(AND(AV228,ISNUMBER(AY228)),(AW228-AY228)^2,"")</f>
        <v/>
      </c>
      <c r="BA228" s="5">
        <f>IF(AV228,1+SUMPRODUCT(--(calc!$AV$3:$AV$306=TRUE),--(calc!$AW$3:$AW$306&gt;AW228))+(SUMPRODUCT(--(calc!$AV$3:$AV$306=TRUE),--(calc!$AW$3:$AW$306=AW228))-1)/2,"")</f>
        <v/>
      </c>
      <c r="BB228" s="5">
        <f>IF(AV228,1+SUMPRODUCT(--(calc!$AV$3:$AV$306=TRUE),--(calc!$AX$3:$AX$306&gt;AX228))+(SUMPRODUCT(--(calc!$AV$3:$AV$306=TRUE),--(calc!$AX$3:$AX$306=AX228))-1)/2,"")</f>
        <v/>
      </c>
      <c r="BC228" s="5">
        <f>IF(AV228,SUMPRODUCT(--(calc!$AV$3:$AV$306=TRUE),--(ROW(calc!$AV$3:$AV$306)&gt;ROW(AV228)),--(((calc!$BA$3:$BA$306&gt;BA228)*(calc!$BB$3:$BB$306&gt;BB228)+(calc!$BA$3:$BA$306&lt;BA228)*(calc!$BB$3:$BB$306&lt;BB228))&gt;0))-SUMPRODUCT(--(calc!$AV$3:$AV$306=TRUE),--(ROW(calc!$AV$3:$AV$306)&gt;ROW(AV228)),--(((calc!$BA$3:$BA$306&gt;BA228)*(calc!$BB$3:$BB$306&lt;BB228)+(calc!$BA$3:$BA$306&lt;BA228)*(calc!$BB$3:$BB$306&gt;BB228))&gt;0)),0)</f>
        <v/>
      </c>
      <c r="BD228" s="5">
        <f>IF(mos_metrics!L227="","",mos_metrics!L227)</f>
        <v/>
      </c>
      <c r="BE228" s="2">
        <f>AND($J228,ISNUMBER(BD228),correlation!$I$31=1)</f>
        <v/>
      </c>
      <c r="BF228" s="5">
        <f>IF(BE228,$F228,"")</f>
        <v/>
      </c>
      <c r="BG228" s="5">
        <f>IF(BE228,BD228*correlation!$J$31,"")</f>
        <v/>
      </c>
      <c r="BH228" s="5">
        <f>IF(AND(BE228,ISNUMBER(correlation!$F$31)),BG228*correlation!$F$31+correlation!$G$31,"")</f>
        <v/>
      </c>
      <c r="BI228" s="5">
        <f>IF(AND(BE228,ISNUMBER(BH228)),(BF228-BH228)^2,"")</f>
        <v/>
      </c>
      <c r="BJ228" s="5">
        <f>IF(BE228,1+SUMPRODUCT(--(calc!$BE$3:$BE$306=TRUE),--(calc!$BF$3:$BF$306&gt;BF228))+(SUMPRODUCT(--(calc!$BE$3:$BE$306=TRUE),--(calc!$BF$3:$BF$306=BF228))-1)/2,"")</f>
        <v/>
      </c>
      <c r="BK228" s="5">
        <f>IF(BE228,1+SUMPRODUCT(--(calc!$BE$3:$BE$306=TRUE),--(calc!$BG$3:$BG$306&gt;BG228))+(SUMPRODUCT(--(calc!$BE$3:$BE$306=TRUE),--(calc!$BG$3:$BG$306=BG228))-1)/2,"")</f>
        <v/>
      </c>
      <c r="BL228" s="5">
        <f>IF(BE228,SUMPRODUCT(--(calc!$BE$3:$BE$306=TRUE),--(ROW(calc!$BE$3:$BE$306)&gt;ROW(BE228)),--(((calc!$BJ$3:$BJ$306&gt;BJ228)*(calc!$BK$3:$BK$306&gt;BK228)+(calc!$BJ$3:$BJ$306&lt;BJ228)*(calc!$BK$3:$BK$306&lt;BK228))&gt;0))-SUMPRODUCT(--(calc!$BE$3:$BE$306=TRUE),--(ROW(calc!$BE$3:$BE$306)&gt;ROW(BE228)),--(((calc!$BJ$3:$BJ$306&gt;BJ228)*(calc!$BK$3:$BK$306&lt;BK228)+(calc!$BJ$3:$BJ$306&lt;BJ228)*(calc!$BK$3:$BK$306&gt;BK228))&gt;0)),0)</f>
        <v/>
      </c>
      <c r="BM228" s="5">
        <f>IF(mos_metrics!M227="","",mos_metrics!M227)</f>
        <v/>
      </c>
      <c r="BN228" s="2">
        <f>AND($J228,ISNUMBER(BM228),correlation!$I$32=1)</f>
        <v/>
      </c>
      <c r="BO228" s="5">
        <f>IF(BN228,$F228,"")</f>
        <v/>
      </c>
      <c r="BP228" s="5">
        <f>IF(BN228,BM228*correlation!$J$32,"")</f>
        <v/>
      </c>
      <c r="BQ228" s="5">
        <f>IF(AND(BN228,ISNUMBER(correlation!$F$32)),BP228*correlation!$F$32+correlation!$G$32,"")</f>
        <v/>
      </c>
      <c r="BR228" s="5">
        <f>IF(AND(BN228,ISNUMBER(BQ228)),(BO228-BQ228)^2,"")</f>
        <v/>
      </c>
      <c r="BS228" s="5">
        <f>IF(BN228,1+SUMPRODUCT(--(calc!$BN$3:$BN$306=TRUE),--(calc!$BO$3:$BO$306&gt;BO228))+(SUMPRODUCT(--(calc!$BN$3:$BN$306=TRUE),--(calc!$BO$3:$BO$306=BO228))-1)/2,"")</f>
        <v/>
      </c>
      <c r="BT228" s="5">
        <f>IF(BN228,1+SUMPRODUCT(--(calc!$BN$3:$BN$306=TRUE),--(calc!$BP$3:$BP$306&gt;BP228))+(SUMPRODUCT(--(calc!$BN$3:$BN$306=TRUE),--(calc!$BP$3:$BP$306=BP228))-1)/2,"")</f>
        <v/>
      </c>
      <c r="BU228" s="5">
        <f>IF(BN228,SUMPRODUCT(--(calc!$BN$3:$BN$306=TRUE),--(ROW(calc!$BN$3:$BN$306)&gt;ROW(BN228)),--(((calc!$BS$3:$BS$306&gt;BS228)*(calc!$BT$3:$BT$306&gt;BT228)+(calc!$BS$3:$BS$306&lt;BS228)*(calc!$BT$3:$BT$306&lt;BT228))&gt;0))-SUMPRODUCT(--(calc!$BN$3:$BN$306=TRUE),--(ROW(calc!$BN$3:$BN$306)&gt;ROW(BN228)),--(((calc!$BS$3:$BS$306&gt;BS228)*(calc!$BT$3:$BT$306&lt;BT228)+(calc!$BS$3:$BS$306&lt;BS228)*(calc!$BT$3:$BT$306&gt;BT228))&gt;0)),0)</f>
        <v/>
      </c>
    </row>
    <row r="229">
      <c r="A229" s="2">
        <f>mos_metrics!A228</f>
        <v/>
      </c>
      <c r="B229" s="2">
        <f>mos_metrics!B228</f>
        <v/>
      </c>
      <c r="C229" s="2">
        <f>mos_metrics!C228</f>
        <v/>
      </c>
      <c r="D229" s="2">
        <f>mos_metrics!D228</f>
        <v/>
      </c>
      <c r="E229" s="2">
        <f>mos_metrics!E228</f>
        <v/>
      </c>
      <c r="F229" s="2">
        <f>mos_metrics!F228</f>
        <v/>
      </c>
      <c r="G229" s="2">
        <f>IF($B229="","",IFERROR(VLOOKUP($B229,correlation!$A$2:$B$16,2,FALSE),1))</f>
        <v/>
      </c>
      <c r="H229" s="2">
        <f>IF($E229="","",IFERROR(VLOOKUP($E229,correlation!$D$2:$E$8,2,FALSE),1))</f>
        <v/>
      </c>
      <c r="I229" s="2">
        <f>ISNUMBER($F229)</f>
        <v/>
      </c>
      <c r="J229" s="2">
        <f>AND($G229=1,$H229=1,$I229)</f>
        <v/>
      </c>
      <c r="K229" s="5">
        <f>IF(mos_metrics!G228="","",mos_metrics!G228)</f>
        <v/>
      </c>
      <c r="L229" s="2">
        <f>AND($J229,ISNUMBER(K229),correlation!$I$26=1)</f>
        <v/>
      </c>
      <c r="M229" s="5">
        <f>IF(L229,$F229,"")</f>
        <v/>
      </c>
      <c r="N229" s="5">
        <f>IF(L229,K229*correlation!$J$26,"")</f>
        <v/>
      </c>
      <c r="O229" s="5">
        <f>IF(AND(L229,ISNUMBER(correlation!$F$26)),N229*correlation!$F$26+correlation!$G$26,"")</f>
        <v/>
      </c>
      <c r="P229" s="5">
        <f>IF(AND(L229,ISNUMBER(O229)),(M229-O229)^2,"")</f>
        <v/>
      </c>
      <c r="Q229" s="5">
        <f>IF(L229,1+SUMPRODUCT(--(calc!$L$3:$L$306=TRUE),--(calc!$M$3:$M$306&gt;M229))+(SUMPRODUCT(--(calc!$L$3:$L$306=TRUE),--(calc!$M$3:$M$306=M229))-1)/2,"")</f>
        <v/>
      </c>
      <c r="R229" s="5">
        <f>IF(L229,1+SUMPRODUCT(--(calc!$L$3:$L$306=TRUE),--(calc!$N$3:$N$306&gt;N229))+(SUMPRODUCT(--(calc!$L$3:$L$306=TRUE),--(calc!$N$3:$N$306=N229))-1)/2,"")</f>
        <v/>
      </c>
      <c r="S229" s="5">
        <f>IF(L229,SUMPRODUCT(--(calc!$L$3:$L$306=TRUE),--(ROW(calc!$L$3:$L$306)&gt;ROW(L229)),--(((calc!$Q$3:$Q$306&gt;Q229)*(calc!$R$3:$R$306&gt;R229)+(calc!$Q$3:$Q$306&lt;Q229)*(calc!$R$3:$R$306&lt;R229))&gt;0))-SUMPRODUCT(--(calc!$L$3:$L$306=TRUE),--(ROW(calc!$L$3:$L$306)&gt;ROW(L229)),--(((calc!$Q$3:$Q$306&gt;Q229)*(calc!$R$3:$R$306&lt;R229)+(calc!$Q$3:$Q$306&lt;Q229)*(calc!$R$3:$R$306&gt;R229))&gt;0)),0)</f>
        <v/>
      </c>
      <c r="T229" s="5">
        <f>IF(mos_metrics!H228="","",mos_metrics!H228)</f>
        <v/>
      </c>
      <c r="U229" s="2">
        <f>AND($J229,ISNUMBER(T229),correlation!$I$27=1)</f>
        <v/>
      </c>
      <c r="V229" s="5">
        <f>IF(U229,$F229,"")</f>
        <v/>
      </c>
      <c r="W229" s="5">
        <f>IF(U229,T229*correlation!$J$27,"")</f>
        <v/>
      </c>
      <c r="X229" s="5">
        <f>IF(AND(U229,ISNUMBER(correlation!$F$27)),W229*correlation!$F$27+correlation!$G$27,"")</f>
        <v/>
      </c>
      <c r="Y229" s="5">
        <f>IF(AND(U229,ISNUMBER(X229)),(V229-X229)^2,"")</f>
        <v/>
      </c>
      <c r="Z229" s="5">
        <f>IF(U229,1+SUMPRODUCT(--(calc!$U$3:$U$306=TRUE),--(calc!$V$3:$V$306&gt;V229))+(SUMPRODUCT(--(calc!$U$3:$U$306=TRUE),--(calc!$V$3:$V$306=V229))-1)/2,"")</f>
        <v/>
      </c>
      <c r="AA229" s="5">
        <f>IF(U229,1+SUMPRODUCT(--(calc!$U$3:$U$306=TRUE),--(calc!$W$3:$W$306&gt;W229))+(SUMPRODUCT(--(calc!$U$3:$U$306=TRUE),--(calc!$W$3:$W$306=W229))-1)/2,"")</f>
        <v/>
      </c>
      <c r="AB229" s="5">
        <f>IF(U229,SUMPRODUCT(--(calc!$U$3:$U$306=TRUE),--(ROW(calc!$U$3:$U$306)&gt;ROW(U229)),--(((calc!$Z$3:$Z$306&gt;Z229)*(calc!$AA$3:$AA$306&gt;AA229)+(calc!$Z$3:$Z$306&lt;Z229)*(calc!$AA$3:$AA$306&lt;AA229))&gt;0))-SUMPRODUCT(--(calc!$U$3:$U$306=TRUE),--(ROW(calc!$U$3:$U$306)&gt;ROW(U229)),--(((calc!$Z$3:$Z$306&gt;Z229)*(calc!$AA$3:$AA$306&lt;AA229)+(calc!$Z$3:$Z$306&lt;Z229)*(calc!$AA$3:$AA$306&gt;AA229))&gt;0)),0)</f>
        <v/>
      </c>
      <c r="AC229" s="5">
        <f>IF(mos_metrics!I228="","",mos_metrics!I228)</f>
        <v/>
      </c>
      <c r="AD229" s="2">
        <f>AND($J229,ISNUMBER(AC229),correlation!$I$28=1)</f>
        <v/>
      </c>
      <c r="AE229" s="5">
        <f>IF(AD229,$F229,"")</f>
        <v/>
      </c>
      <c r="AF229" s="5">
        <f>IF(AD229,AC229*correlation!$J$28,"")</f>
        <v/>
      </c>
      <c r="AG229" s="5">
        <f>IF(AND(AD229,ISNUMBER(correlation!$F$28)),AF229*correlation!$F$28+correlation!$G$28,"")</f>
        <v/>
      </c>
      <c r="AH229" s="5">
        <f>IF(AND(AD229,ISNUMBER(AG229)),(AE229-AG229)^2,"")</f>
        <v/>
      </c>
      <c r="AI229" s="5">
        <f>IF(AD229,1+SUMPRODUCT(--(calc!$AD$3:$AD$306=TRUE),--(calc!$AE$3:$AE$306&gt;AE229))+(SUMPRODUCT(--(calc!$AD$3:$AD$306=TRUE),--(calc!$AE$3:$AE$306=AE229))-1)/2,"")</f>
        <v/>
      </c>
      <c r="AJ229" s="5">
        <f>IF(AD229,1+SUMPRODUCT(--(calc!$AD$3:$AD$306=TRUE),--(calc!$AF$3:$AF$306&gt;AF229))+(SUMPRODUCT(--(calc!$AD$3:$AD$306=TRUE),--(calc!$AF$3:$AF$306=AF229))-1)/2,"")</f>
        <v/>
      </c>
      <c r="AK229" s="5">
        <f>IF(AD229,SUMPRODUCT(--(calc!$AD$3:$AD$306=TRUE),--(ROW(calc!$AD$3:$AD$306)&gt;ROW(AD229)),--(((calc!$AI$3:$AI$306&gt;AI229)*(calc!$AJ$3:$AJ$306&gt;AJ229)+(calc!$AI$3:$AI$306&lt;AI229)*(calc!$AJ$3:$AJ$306&lt;AJ229))&gt;0))-SUMPRODUCT(--(calc!$AD$3:$AD$306=TRUE),--(ROW(calc!$AD$3:$AD$306)&gt;ROW(AD229)),--(((calc!$AI$3:$AI$306&gt;AI229)*(calc!$AJ$3:$AJ$306&lt;AJ229)+(calc!$AI$3:$AI$306&lt;AI229)*(calc!$AJ$3:$AJ$306&gt;AJ229))&gt;0)),0)</f>
        <v/>
      </c>
      <c r="AL229" s="5">
        <f>IF(mos_metrics!J228="","",mos_metrics!J228)</f>
        <v/>
      </c>
      <c r="AM229" s="2">
        <f>AND($J229,ISNUMBER(AL229),correlation!$I$29=1)</f>
        <v/>
      </c>
      <c r="AN229" s="5">
        <f>IF(AM229,$F229,"")</f>
        <v/>
      </c>
      <c r="AO229" s="5">
        <f>IF(AM229,AL229*correlation!$J$29,"")</f>
        <v/>
      </c>
      <c r="AP229" s="5">
        <f>IF(AND(AM229,ISNUMBER(correlation!$F$29)),AO229*correlation!$F$29+correlation!$G$29,"")</f>
        <v/>
      </c>
      <c r="AQ229" s="5">
        <f>IF(AND(AM229,ISNUMBER(AP229)),(AN229-AP229)^2,"")</f>
        <v/>
      </c>
      <c r="AR229" s="5">
        <f>IF(AM229,1+SUMPRODUCT(--(calc!$AM$3:$AM$306=TRUE),--(calc!$AN$3:$AN$306&gt;AN229))+(SUMPRODUCT(--(calc!$AM$3:$AM$306=TRUE),--(calc!$AN$3:$AN$306=AN229))-1)/2,"")</f>
        <v/>
      </c>
      <c r="AS229" s="5">
        <f>IF(AM229,1+SUMPRODUCT(--(calc!$AM$3:$AM$306=TRUE),--(calc!$AO$3:$AO$306&gt;AO229))+(SUMPRODUCT(--(calc!$AM$3:$AM$306=TRUE),--(calc!$AO$3:$AO$306=AO229))-1)/2,"")</f>
        <v/>
      </c>
      <c r="AT229" s="5">
        <f>IF(AM229,SUMPRODUCT(--(calc!$AM$3:$AM$306=TRUE),--(ROW(calc!$AM$3:$AM$306)&gt;ROW(AM229)),--(((calc!$AR$3:$AR$306&gt;AR229)*(calc!$AS$3:$AS$306&gt;AS229)+(calc!$AR$3:$AR$306&lt;AR229)*(calc!$AS$3:$AS$306&lt;AS229))&gt;0))-SUMPRODUCT(--(calc!$AM$3:$AM$306=TRUE),--(ROW(calc!$AM$3:$AM$306)&gt;ROW(AM229)),--(((calc!$AR$3:$AR$306&gt;AR229)*(calc!$AS$3:$AS$306&lt;AS229)+(calc!$AR$3:$AR$306&lt;AR229)*(calc!$AS$3:$AS$306&gt;AS229))&gt;0)),0)</f>
        <v/>
      </c>
      <c r="AU229" s="5">
        <f>IF(mos_metrics!K228="","",mos_metrics!K228)</f>
        <v/>
      </c>
      <c r="AV229" s="2">
        <f>AND($J229,ISNUMBER(AU229),correlation!$I$30=1)</f>
        <v/>
      </c>
      <c r="AW229" s="5">
        <f>IF(AV229,$F229,"")</f>
        <v/>
      </c>
      <c r="AX229" s="5">
        <f>IF(AV229,AU229*correlation!$J$30,"")</f>
        <v/>
      </c>
      <c r="AY229" s="5">
        <f>IF(AND(AV229,ISNUMBER(correlation!$F$30)),AX229*correlation!$F$30+correlation!$G$30,"")</f>
        <v/>
      </c>
      <c r="AZ229" s="5">
        <f>IF(AND(AV229,ISNUMBER(AY229)),(AW229-AY229)^2,"")</f>
        <v/>
      </c>
      <c r="BA229" s="5">
        <f>IF(AV229,1+SUMPRODUCT(--(calc!$AV$3:$AV$306=TRUE),--(calc!$AW$3:$AW$306&gt;AW229))+(SUMPRODUCT(--(calc!$AV$3:$AV$306=TRUE),--(calc!$AW$3:$AW$306=AW229))-1)/2,"")</f>
        <v/>
      </c>
      <c r="BB229" s="5">
        <f>IF(AV229,1+SUMPRODUCT(--(calc!$AV$3:$AV$306=TRUE),--(calc!$AX$3:$AX$306&gt;AX229))+(SUMPRODUCT(--(calc!$AV$3:$AV$306=TRUE),--(calc!$AX$3:$AX$306=AX229))-1)/2,"")</f>
        <v/>
      </c>
      <c r="BC229" s="5">
        <f>IF(AV229,SUMPRODUCT(--(calc!$AV$3:$AV$306=TRUE),--(ROW(calc!$AV$3:$AV$306)&gt;ROW(AV229)),--(((calc!$BA$3:$BA$306&gt;BA229)*(calc!$BB$3:$BB$306&gt;BB229)+(calc!$BA$3:$BA$306&lt;BA229)*(calc!$BB$3:$BB$306&lt;BB229))&gt;0))-SUMPRODUCT(--(calc!$AV$3:$AV$306=TRUE),--(ROW(calc!$AV$3:$AV$306)&gt;ROW(AV229)),--(((calc!$BA$3:$BA$306&gt;BA229)*(calc!$BB$3:$BB$306&lt;BB229)+(calc!$BA$3:$BA$306&lt;BA229)*(calc!$BB$3:$BB$306&gt;BB229))&gt;0)),0)</f>
        <v/>
      </c>
      <c r="BD229" s="5">
        <f>IF(mos_metrics!L228="","",mos_metrics!L228)</f>
        <v/>
      </c>
      <c r="BE229" s="2">
        <f>AND($J229,ISNUMBER(BD229),correlation!$I$31=1)</f>
        <v/>
      </c>
      <c r="BF229" s="5">
        <f>IF(BE229,$F229,"")</f>
        <v/>
      </c>
      <c r="BG229" s="5">
        <f>IF(BE229,BD229*correlation!$J$31,"")</f>
        <v/>
      </c>
      <c r="BH229" s="5">
        <f>IF(AND(BE229,ISNUMBER(correlation!$F$31)),BG229*correlation!$F$31+correlation!$G$31,"")</f>
        <v/>
      </c>
      <c r="BI229" s="5">
        <f>IF(AND(BE229,ISNUMBER(BH229)),(BF229-BH229)^2,"")</f>
        <v/>
      </c>
      <c r="BJ229" s="5">
        <f>IF(BE229,1+SUMPRODUCT(--(calc!$BE$3:$BE$306=TRUE),--(calc!$BF$3:$BF$306&gt;BF229))+(SUMPRODUCT(--(calc!$BE$3:$BE$306=TRUE),--(calc!$BF$3:$BF$306=BF229))-1)/2,"")</f>
        <v/>
      </c>
      <c r="BK229" s="5">
        <f>IF(BE229,1+SUMPRODUCT(--(calc!$BE$3:$BE$306=TRUE),--(calc!$BG$3:$BG$306&gt;BG229))+(SUMPRODUCT(--(calc!$BE$3:$BE$306=TRUE),--(calc!$BG$3:$BG$306=BG229))-1)/2,"")</f>
        <v/>
      </c>
      <c r="BL229" s="5">
        <f>IF(BE229,SUMPRODUCT(--(calc!$BE$3:$BE$306=TRUE),--(ROW(calc!$BE$3:$BE$306)&gt;ROW(BE229)),--(((calc!$BJ$3:$BJ$306&gt;BJ229)*(calc!$BK$3:$BK$306&gt;BK229)+(calc!$BJ$3:$BJ$306&lt;BJ229)*(calc!$BK$3:$BK$306&lt;BK229))&gt;0))-SUMPRODUCT(--(calc!$BE$3:$BE$306=TRUE),--(ROW(calc!$BE$3:$BE$306)&gt;ROW(BE229)),--(((calc!$BJ$3:$BJ$306&gt;BJ229)*(calc!$BK$3:$BK$306&lt;BK229)+(calc!$BJ$3:$BJ$306&lt;BJ229)*(calc!$BK$3:$BK$306&gt;BK229))&gt;0)),0)</f>
        <v/>
      </c>
      <c r="BM229" s="5">
        <f>IF(mos_metrics!M228="","",mos_metrics!M228)</f>
        <v/>
      </c>
      <c r="BN229" s="2">
        <f>AND($J229,ISNUMBER(BM229),correlation!$I$32=1)</f>
        <v/>
      </c>
      <c r="BO229" s="5">
        <f>IF(BN229,$F229,"")</f>
        <v/>
      </c>
      <c r="BP229" s="5">
        <f>IF(BN229,BM229*correlation!$J$32,"")</f>
        <v/>
      </c>
      <c r="BQ229" s="5">
        <f>IF(AND(BN229,ISNUMBER(correlation!$F$32)),BP229*correlation!$F$32+correlation!$G$32,"")</f>
        <v/>
      </c>
      <c r="BR229" s="5">
        <f>IF(AND(BN229,ISNUMBER(BQ229)),(BO229-BQ229)^2,"")</f>
        <v/>
      </c>
      <c r="BS229" s="5">
        <f>IF(BN229,1+SUMPRODUCT(--(calc!$BN$3:$BN$306=TRUE),--(calc!$BO$3:$BO$306&gt;BO229))+(SUMPRODUCT(--(calc!$BN$3:$BN$306=TRUE),--(calc!$BO$3:$BO$306=BO229))-1)/2,"")</f>
        <v/>
      </c>
      <c r="BT229" s="5">
        <f>IF(BN229,1+SUMPRODUCT(--(calc!$BN$3:$BN$306=TRUE),--(calc!$BP$3:$BP$306&gt;BP229))+(SUMPRODUCT(--(calc!$BN$3:$BN$306=TRUE),--(calc!$BP$3:$BP$306=BP229))-1)/2,"")</f>
        <v/>
      </c>
      <c r="BU229" s="5">
        <f>IF(BN229,SUMPRODUCT(--(calc!$BN$3:$BN$306=TRUE),--(ROW(calc!$BN$3:$BN$306)&gt;ROW(BN229)),--(((calc!$BS$3:$BS$306&gt;BS229)*(calc!$BT$3:$BT$306&gt;BT229)+(calc!$BS$3:$BS$306&lt;BS229)*(calc!$BT$3:$BT$306&lt;BT229))&gt;0))-SUMPRODUCT(--(calc!$BN$3:$BN$306=TRUE),--(ROW(calc!$BN$3:$BN$306)&gt;ROW(BN229)),--(((calc!$BS$3:$BS$306&gt;BS229)*(calc!$BT$3:$BT$306&lt;BT229)+(calc!$BS$3:$BS$306&lt;BS229)*(calc!$BT$3:$BT$306&gt;BT229))&gt;0)),0)</f>
        <v/>
      </c>
    </row>
    <row r="230">
      <c r="A230" s="2">
        <f>mos_metrics!A229</f>
        <v/>
      </c>
      <c r="B230" s="2">
        <f>mos_metrics!B229</f>
        <v/>
      </c>
      <c r="C230" s="2">
        <f>mos_metrics!C229</f>
        <v/>
      </c>
      <c r="D230" s="2">
        <f>mos_metrics!D229</f>
        <v/>
      </c>
      <c r="E230" s="2">
        <f>mos_metrics!E229</f>
        <v/>
      </c>
      <c r="F230" s="2">
        <f>mos_metrics!F229</f>
        <v/>
      </c>
      <c r="G230" s="2">
        <f>IF($B230="","",IFERROR(VLOOKUP($B230,correlation!$A$2:$B$16,2,FALSE),1))</f>
        <v/>
      </c>
      <c r="H230" s="2">
        <f>IF($E230="","",IFERROR(VLOOKUP($E230,correlation!$D$2:$E$8,2,FALSE),1))</f>
        <v/>
      </c>
      <c r="I230" s="2">
        <f>ISNUMBER($F230)</f>
        <v/>
      </c>
      <c r="J230" s="2">
        <f>AND($G230=1,$H230=1,$I230)</f>
        <v/>
      </c>
      <c r="K230" s="5">
        <f>IF(mos_metrics!G229="","",mos_metrics!G229)</f>
        <v/>
      </c>
      <c r="L230" s="2">
        <f>AND($J230,ISNUMBER(K230),correlation!$I$26=1)</f>
        <v/>
      </c>
      <c r="M230" s="5">
        <f>IF(L230,$F230,"")</f>
        <v/>
      </c>
      <c r="N230" s="5">
        <f>IF(L230,K230*correlation!$J$26,"")</f>
        <v/>
      </c>
      <c r="O230" s="5">
        <f>IF(AND(L230,ISNUMBER(correlation!$F$26)),N230*correlation!$F$26+correlation!$G$26,"")</f>
        <v/>
      </c>
      <c r="P230" s="5">
        <f>IF(AND(L230,ISNUMBER(O230)),(M230-O230)^2,"")</f>
        <v/>
      </c>
      <c r="Q230" s="5">
        <f>IF(L230,1+SUMPRODUCT(--(calc!$L$3:$L$306=TRUE),--(calc!$M$3:$M$306&gt;M230))+(SUMPRODUCT(--(calc!$L$3:$L$306=TRUE),--(calc!$M$3:$M$306=M230))-1)/2,"")</f>
        <v/>
      </c>
      <c r="R230" s="5">
        <f>IF(L230,1+SUMPRODUCT(--(calc!$L$3:$L$306=TRUE),--(calc!$N$3:$N$306&gt;N230))+(SUMPRODUCT(--(calc!$L$3:$L$306=TRUE),--(calc!$N$3:$N$306=N230))-1)/2,"")</f>
        <v/>
      </c>
      <c r="S230" s="5">
        <f>IF(L230,SUMPRODUCT(--(calc!$L$3:$L$306=TRUE),--(ROW(calc!$L$3:$L$306)&gt;ROW(L230)),--(((calc!$Q$3:$Q$306&gt;Q230)*(calc!$R$3:$R$306&gt;R230)+(calc!$Q$3:$Q$306&lt;Q230)*(calc!$R$3:$R$306&lt;R230))&gt;0))-SUMPRODUCT(--(calc!$L$3:$L$306=TRUE),--(ROW(calc!$L$3:$L$306)&gt;ROW(L230)),--(((calc!$Q$3:$Q$306&gt;Q230)*(calc!$R$3:$R$306&lt;R230)+(calc!$Q$3:$Q$306&lt;Q230)*(calc!$R$3:$R$306&gt;R230))&gt;0)),0)</f>
        <v/>
      </c>
      <c r="T230" s="5">
        <f>IF(mos_metrics!H229="","",mos_metrics!H229)</f>
        <v/>
      </c>
      <c r="U230" s="2">
        <f>AND($J230,ISNUMBER(T230),correlation!$I$27=1)</f>
        <v/>
      </c>
      <c r="V230" s="5">
        <f>IF(U230,$F230,"")</f>
        <v/>
      </c>
      <c r="W230" s="5">
        <f>IF(U230,T230*correlation!$J$27,"")</f>
        <v/>
      </c>
      <c r="X230" s="5">
        <f>IF(AND(U230,ISNUMBER(correlation!$F$27)),W230*correlation!$F$27+correlation!$G$27,"")</f>
        <v/>
      </c>
      <c r="Y230" s="5">
        <f>IF(AND(U230,ISNUMBER(X230)),(V230-X230)^2,"")</f>
        <v/>
      </c>
      <c r="Z230" s="5">
        <f>IF(U230,1+SUMPRODUCT(--(calc!$U$3:$U$306=TRUE),--(calc!$V$3:$V$306&gt;V230))+(SUMPRODUCT(--(calc!$U$3:$U$306=TRUE),--(calc!$V$3:$V$306=V230))-1)/2,"")</f>
        <v/>
      </c>
      <c r="AA230" s="5">
        <f>IF(U230,1+SUMPRODUCT(--(calc!$U$3:$U$306=TRUE),--(calc!$W$3:$W$306&gt;W230))+(SUMPRODUCT(--(calc!$U$3:$U$306=TRUE),--(calc!$W$3:$W$306=W230))-1)/2,"")</f>
        <v/>
      </c>
      <c r="AB230" s="5">
        <f>IF(U230,SUMPRODUCT(--(calc!$U$3:$U$306=TRUE),--(ROW(calc!$U$3:$U$306)&gt;ROW(U230)),--(((calc!$Z$3:$Z$306&gt;Z230)*(calc!$AA$3:$AA$306&gt;AA230)+(calc!$Z$3:$Z$306&lt;Z230)*(calc!$AA$3:$AA$306&lt;AA230))&gt;0))-SUMPRODUCT(--(calc!$U$3:$U$306=TRUE),--(ROW(calc!$U$3:$U$306)&gt;ROW(U230)),--(((calc!$Z$3:$Z$306&gt;Z230)*(calc!$AA$3:$AA$306&lt;AA230)+(calc!$Z$3:$Z$306&lt;Z230)*(calc!$AA$3:$AA$306&gt;AA230))&gt;0)),0)</f>
        <v/>
      </c>
      <c r="AC230" s="5">
        <f>IF(mos_metrics!I229="","",mos_metrics!I229)</f>
        <v/>
      </c>
      <c r="AD230" s="2">
        <f>AND($J230,ISNUMBER(AC230),correlation!$I$28=1)</f>
        <v/>
      </c>
      <c r="AE230" s="5">
        <f>IF(AD230,$F230,"")</f>
        <v/>
      </c>
      <c r="AF230" s="5">
        <f>IF(AD230,AC230*correlation!$J$28,"")</f>
        <v/>
      </c>
      <c r="AG230" s="5">
        <f>IF(AND(AD230,ISNUMBER(correlation!$F$28)),AF230*correlation!$F$28+correlation!$G$28,"")</f>
        <v/>
      </c>
      <c r="AH230" s="5">
        <f>IF(AND(AD230,ISNUMBER(AG230)),(AE230-AG230)^2,"")</f>
        <v/>
      </c>
      <c r="AI230" s="5">
        <f>IF(AD230,1+SUMPRODUCT(--(calc!$AD$3:$AD$306=TRUE),--(calc!$AE$3:$AE$306&gt;AE230))+(SUMPRODUCT(--(calc!$AD$3:$AD$306=TRUE),--(calc!$AE$3:$AE$306=AE230))-1)/2,"")</f>
        <v/>
      </c>
      <c r="AJ230" s="5">
        <f>IF(AD230,1+SUMPRODUCT(--(calc!$AD$3:$AD$306=TRUE),--(calc!$AF$3:$AF$306&gt;AF230))+(SUMPRODUCT(--(calc!$AD$3:$AD$306=TRUE),--(calc!$AF$3:$AF$306=AF230))-1)/2,"")</f>
        <v/>
      </c>
      <c r="AK230" s="5">
        <f>IF(AD230,SUMPRODUCT(--(calc!$AD$3:$AD$306=TRUE),--(ROW(calc!$AD$3:$AD$306)&gt;ROW(AD230)),--(((calc!$AI$3:$AI$306&gt;AI230)*(calc!$AJ$3:$AJ$306&gt;AJ230)+(calc!$AI$3:$AI$306&lt;AI230)*(calc!$AJ$3:$AJ$306&lt;AJ230))&gt;0))-SUMPRODUCT(--(calc!$AD$3:$AD$306=TRUE),--(ROW(calc!$AD$3:$AD$306)&gt;ROW(AD230)),--(((calc!$AI$3:$AI$306&gt;AI230)*(calc!$AJ$3:$AJ$306&lt;AJ230)+(calc!$AI$3:$AI$306&lt;AI230)*(calc!$AJ$3:$AJ$306&gt;AJ230))&gt;0)),0)</f>
        <v/>
      </c>
      <c r="AL230" s="5">
        <f>IF(mos_metrics!J229="","",mos_metrics!J229)</f>
        <v/>
      </c>
      <c r="AM230" s="2">
        <f>AND($J230,ISNUMBER(AL230),correlation!$I$29=1)</f>
        <v/>
      </c>
      <c r="AN230" s="5">
        <f>IF(AM230,$F230,"")</f>
        <v/>
      </c>
      <c r="AO230" s="5">
        <f>IF(AM230,AL230*correlation!$J$29,"")</f>
        <v/>
      </c>
      <c r="AP230" s="5">
        <f>IF(AND(AM230,ISNUMBER(correlation!$F$29)),AO230*correlation!$F$29+correlation!$G$29,"")</f>
        <v/>
      </c>
      <c r="AQ230" s="5">
        <f>IF(AND(AM230,ISNUMBER(AP230)),(AN230-AP230)^2,"")</f>
        <v/>
      </c>
      <c r="AR230" s="5">
        <f>IF(AM230,1+SUMPRODUCT(--(calc!$AM$3:$AM$306=TRUE),--(calc!$AN$3:$AN$306&gt;AN230))+(SUMPRODUCT(--(calc!$AM$3:$AM$306=TRUE),--(calc!$AN$3:$AN$306=AN230))-1)/2,"")</f>
        <v/>
      </c>
      <c r="AS230" s="5">
        <f>IF(AM230,1+SUMPRODUCT(--(calc!$AM$3:$AM$306=TRUE),--(calc!$AO$3:$AO$306&gt;AO230))+(SUMPRODUCT(--(calc!$AM$3:$AM$306=TRUE),--(calc!$AO$3:$AO$306=AO230))-1)/2,"")</f>
        <v/>
      </c>
      <c r="AT230" s="5">
        <f>IF(AM230,SUMPRODUCT(--(calc!$AM$3:$AM$306=TRUE),--(ROW(calc!$AM$3:$AM$306)&gt;ROW(AM230)),--(((calc!$AR$3:$AR$306&gt;AR230)*(calc!$AS$3:$AS$306&gt;AS230)+(calc!$AR$3:$AR$306&lt;AR230)*(calc!$AS$3:$AS$306&lt;AS230))&gt;0))-SUMPRODUCT(--(calc!$AM$3:$AM$306=TRUE),--(ROW(calc!$AM$3:$AM$306)&gt;ROW(AM230)),--(((calc!$AR$3:$AR$306&gt;AR230)*(calc!$AS$3:$AS$306&lt;AS230)+(calc!$AR$3:$AR$306&lt;AR230)*(calc!$AS$3:$AS$306&gt;AS230))&gt;0)),0)</f>
        <v/>
      </c>
      <c r="AU230" s="5">
        <f>IF(mos_metrics!K229="","",mos_metrics!K229)</f>
        <v/>
      </c>
      <c r="AV230" s="2">
        <f>AND($J230,ISNUMBER(AU230),correlation!$I$30=1)</f>
        <v/>
      </c>
      <c r="AW230" s="5">
        <f>IF(AV230,$F230,"")</f>
        <v/>
      </c>
      <c r="AX230" s="5">
        <f>IF(AV230,AU230*correlation!$J$30,"")</f>
        <v/>
      </c>
      <c r="AY230" s="5">
        <f>IF(AND(AV230,ISNUMBER(correlation!$F$30)),AX230*correlation!$F$30+correlation!$G$30,"")</f>
        <v/>
      </c>
      <c r="AZ230" s="5">
        <f>IF(AND(AV230,ISNUMBER(AY230)),(AW230-AY230)^2,"")</f>
        <v/>
      </c>
      <c r="BA230" s="5">
        <f>IF(AV230,1+SUMPRODUCT(--(calc!$AV$3:$AV$306=TRUE),--(calc!$AW$3:$AW$306&gt;AW230))+(SUMPRODUCT(--(calc!$AV$3:$AV$306=TRUE),--(calc!$AW$3:$AW$306=AW230))-1)/2,"")</f>
        <v/>
      </c>
      <c r="BB230" s="5">
        <f>IF(AV230,1+SUMPRODUCT(--(calc!$AV$3:$AV$306=TRUE),--(calc!$AX$3:$AX$306&gt;AX230))+(SUMPRODUCT(--(calc!$AV$3:$AV$306=TRUE),--(calc!$AX$3:$AX$306=AX230))-1)/2,"")</f>
        <v/>
      </c>
      <c r="BC230" s="5">
        <f>IF(AV230,SUMPRODUCT(--(calc!$AV$3:$AV$306=TRUE),--(ROW(calc!$AV$3:$AV$306)&gt;ROW(AV230)),--(((calc!$BA$3:$BA$306&gt;BA230)*(calc!$BB$3:$BB$306&gt;BB230)+(calc!$BA$3:$BA$306&lt;BA230)*(calc!$BB$3:$BB$306&lt;BB230))&gt;0))-SUMPRODUCT(--(calc!$AV$3:$AV$306=TRUE),--(ROW(calc!$AV$3:$AV$306)&gt;ROW(AV230)),--(((calc!$BA$3:$BA$306&gt;BA230)*(calc!$BB$3:$BB$306&lt;BB230)+(calc!$BA$3:$BA$306&lt;BA230)*(calc!$BB$3:$BB$306&gt;BB230))&gt;0)),0)</f>
        <v/>
      </c>
      <c r="BD230" s="5">
        <f>IF(mos_metrics!L229="","",mos_metrics!L229)</f>
        <v/>
      </c>
      <c r="BE230" s="2">
        <f>AND($J230,ISNUMBER(BD230),correlation!$I$31=1)</f>
        <v/>
      </c>
      <c r="BF230" s="5">
        <f>IF(BE230,$F230,"")</f>
        <v/>
      </c>
      <c r="BG230" s="5">
        <f>IF(BE230,BD230*correlation!$J$31,"")</f>
        <v/>
      </c>
      <c r="BH230" s="5">
        <f>IF(AND(BE230,ISNUMBER(correlation!$F$31)),BG230*correlation!$F$31+correlation!$G$31,"")</f>
        <v/>
      </c>
      <c r="BI230" s="5">
        <f>IF(AND(BE230,ISNUMBER(BH230)),(BF230-BH230)^2,"")</f>
        <v/>
      </c>
      <c r="BJ230" s="5">
        <f>IF(BE230,1+SUMPRODUCT(--(calc!$BE$3:$BE$306=TRUE),--(calc!$BF$3:$BF$306&gt;BF230))+(SUMPRODUCT(--(calc!$BE$3:$BE$306=TRUE),--(calc!$BF$3:$BF$306=BF230))-1)/2,"")</f>
        <v/>
      </c>
      <c r="BK230" s="5">
        <f>IF(BE230,1+SUMPRODUCT(--(calc!$BE$3:$BE$306=TRUE),--(calc!$BG$3:$BG$306&gt;BG230))+(SUMPRODUCT(--(calc!$BE$3:$BE$306=TRUE),--(calc!$BG$3:$BG$306=BG230))-1)/2,"")</f>
        <v/>
      </c>
      <c r="BL230" s="5">
        <f>IF(BE230,SUMPRODUCT(--(calc!$BE$3:$BE$306=TRUE),--(ROW(calc!$BE$3:$BE$306)&gt;ROW(BE230)),--(((calc!$BJ$3:$BJ$306&gt;BJ230)*(calc!$BK$3:$BK$306&gt;BK230)+(calc!$BJ$3:$BJ$306&lt;BJ230)*(calc!$BK$3:$BK$306&lt;BK230))&gt;0))-SUMPRODUCT(--(calc!$BE$3:$BE$306=TRUE),--(ROW(calc!$BE$3:$BE$306)&gt;ROW(BE230)),--(((calc!$BJ$3:$BJ$306&gt;BJ230)*(calc!$BK$3:$BK$306&lt;BK230)+(calc!$BJ$3:$BJ$306&lt;BJ230)*(calc!$BK$3:$BK$306&gt;BK230))&gt;0)),0)</f>
        <v/>
      </c>
      <c r="BM230" s="5">
        <f>IF(mos_metrics!M229="","",mos_metrics!M229)</f>
        <v/>
      </c>
      <c r="BN230" s="2">
        <f>AND($J230,ISNUMBER(BM230),correlation!$I$32=1)</f>
        <v/>
      </c>
      <c r="BO230" s="5">
        <f>IF(BN230,$F230,"")</f>
        <v/>
      </c>
      <c r="BP230" s="5">
        <f>IF(BN230,BM230*correlation!$J$32,"")</f>
        <v/>
      </c>
      <c r="BQ230" s="5">
        <f>IF(AND(BN230,ISNUMBER(correlation!$F$32)),BP230*correlation!$F$32+correlation!$G$32,"")</f>
        <v/>
      </c>
      <c r="BR230" s="5">
        <f>IF(AND(BN230,ISNUMBER(BQ230)),(BO230-BQ230)^2,"")</f>
        <v/>
      </c>
      <c r="BS230" s="5">
        <f>IF(BN230,1+SUMPRODUCT(--(calc!$BN$3:$BN$306=TRUE),--(calc!$BO$3:$BO$306&gt;BO230))+(SUMPRODUCT(--(calc!$BN$3:$BN$306=TRUE),--(calc!$BO$3:$BO$306=BO230))-1)/2,"")</f>
        <v/>
      </c>
      <c r="BT230" s="5">
        <f>IF(BN230,1+SUMPRODUCT(--(calc!$BN$3:$BN$306=TRUE),--(calc!$BP$3:$BP$306&gt;BP230))+(SUMPRODUCT(--(calc!$BN$3:$BN$306=TRUE),--(calc!$BP$3:$BP$306=BP230))-1)/2,"")</f>
        <v/>
      </c>
      <c r="BU230" s="5">
        <f>IF(BN230,SUMPRODUCT(--(calc!$BN$3:$BN$306=TRUE),--(ROW(calc!$BN$3:$BN$306)&gt;ROW(BN230)),--(((calc!$BS$3:$BS$306&gt;BS230)*(calc!$BT$3:$BT$306&gt;BT230)+(calc!$BS$3:$BS$306&lt;BS230)*(calc!$BT$3:$BT$306&lt;BT230))&gt;0))-SUMPRODUCT(--(calc!$BN$3:$BN$306=TRUE),--(ROW(calc!$BN$3:$BN$306)&gt;ROW(BN230)),--(((calc!$BS$3:$BS$306&gt;BS230)*(calc!$BT$3:$BT$306&lt;BT230)+(calc!$BS$3:$BS$306&lt;BS230)*(calc!$BT$3:$BT$306&gt;BT230))&gt;0)),0)</f>
        <v/>
      </c>
    </row>
    <row r="231">
      <c r="A231" s="2">
        <f>mos_metrics!A230</f>
        <v/>
      </c>
      <c r="B231" s="2">
        <f>mos_metrics!B230</f>
        <v/>
      </c>
      <c r="C231" s="2">
        <f>mos_metrics!C230</f>
        <v/>
      </c>
      <c r="D231" s="2">
        <f>mos_metrics!D230</f>
        <v/>
      </c>
      <c r="E231" s="2">
        <f>mos_metrics!E230</f>
        <v/>
      </c>
      <c r="F231" s="2">
        <f>mos_metrics!F230</f>
        <v/>
      </c>
      <c r="G231" s="2">
        <f>IF($B231="","",IFERROR(VLOOKUP($B231,correlation!$A$2:$B$16,2,FALSE),1))</f>
        <v/>
      </c>
      <c r="H231" s="2">
        <f>IF($E231="","",IFERROR(VLOOKUP($E231,correlation!$D$2:$E$8,2,FALSE),1))</f>
        <v/>
      </c>
      <c r="I231" s="2">
        <f>ISNUMBER($F231)</f>
        <v/>
      </c>
      <c r="J231" s="2">
        <f>AND($G231=1,$H231=1,$I231)</f>
        <v/>
      </c>
      <c r="K231" s="5">
        <f>IF(mos_metrics!G230="","",mos_metrics!G230)</f>
        <v/>
      </c>
      <c r="L231" s="2">
        <f>AND($J231,ISNUMBER(K231),correlation!$I$26=1)</f>
        <v/>
      </c>
      <c r="M231" s="5">
        <f>IF(L231,$F231,"")</f>
        <v/>
      </c>
      <c r="N231" s="5">
        <f>IF(L231,K231*correlation!$J$26,"")</f>
        <v/>
      </c>
      <c r="O231" s="5">
        <f>IF(AND(L231,ISNUMBER(correlation!$F$26)),N231*correlation!$F$26+correlation!$G$26,"")</f>
        <v/>
      </c>
      <c r="P231" s="5">
        <f>IF(AND(L231,ISNUMBER(O231)),(M231-O231)^2,"")</f>
        <v/>
      </c>
      <c r="Q231" s="5">
        <f>IF(L231,1+SUMPRODUCT(--(calc!$L$3:$L$306=TRUE),--(calc!$M$3:$M$306&gt;M231))+(SUMPRODUCT(--(calc!$L$3:$L$306=TRUE),--(calc!$M$3:$M$306=M231))-1)/2,"")</f>
        <v/>
      </c>
      <c r="R231" s="5">
        <f>IF(L231,1+SUMPRODUCT(--(calc!$L$3:$L$306=TRUE),--(calc!$N$3:$N$306&gt;N231))+(SUMPRODUCT(--(calc!$L$3:$L$306=TRUE),--(calc!$N$3:$N$306=N231))-1)/2,"")</f>
        <v/>
      </c>
      <c r="S231" s="5">
        <f>IF(L231,SUMPRODUCT(--(calc!$L$3:$L$306=TRUE),--(ROW(calc!$L$3:$L$306)&gt;ROW(L231)),--(((calc!$Q$3:$Q$306&gt;Q231)*(calc!$R$3:$R$306&gt;R231)+(calc!$Q$3:$Q$306&lt;Q231)*(calc!$R$3:$R$306&lt;R231))&gt;0))-SUMPRODUCT(--(calc!$L$3:$L$306=TRUE),--(ROW(calc!$L$3:$L$306)&gt;ROW(L231)),--(((calc!$Q$3:$Q$306&gt;Q231)*(calc!$R$3:$R$306&lt;R231)+(calc!$Q$3:$Q$306&lt;Q231)*(calc!$R$3:$R$306&gt;R231))&gt;0)),0)</f>
        <v/>
      </c>
      <c r="T231" s="5">
        <f>IF(mos_metrics!H230="","",mos_metrics!H230)</f>
        <v/>
      </c>
      <c r="U231" s="2">
        <f>AND($J231,ISNUMBER(T231),correlation!$I$27=1)</f>
        <v/>
      </c>
      <c r="V231" s="5">
        <f>IF(U231,$F231,"")</f>
        <v/>
      </c>
      <c r="W231" s="5">
        <f>IF(U231,T231*correlation!$J$27,"")</f>
        <v/>
      </c>
      <c r="X231" s="5">
        <f>IF(AND(U231,ISNUMBER(correlation!$F$27)),W231*correlation!$F$27+correlation!$G$27,"")</f>
        <v/>
      </c>
      <c r="Y231" s="5">
        <f>IF(AND(U231,ISNUMBER(X231)),(V231-X231)^2,"")</f>
        <v/>
      </c>
      <c r="Z231" s="5">
        <f>IF(U231,1+SUMPRODUCT(--(calc!$U$3:$U$306=TRUE),--(calc!$V$3:$V$306&gt;V231))+(SUMPRODUCT(--(calc!$U$3:$U$306=TRUE),--(calc!$V$3:$V$306=V231))-1)/2,"")</f>
        <v/>
      </c>
      <c r="AA231" s="5">
        <f>IF(U231,1+SUMPRODUCT(--(calc!$U$3:$U$306=TRUE),--(calc!$W$3:$W$306&gt;W231))+(SUMPRODUCT(--(calc!$U$3:$U$306=TRUE),--(calc!$W$3:$W$306=W231))-1)/2,"")</f>
        <v/>
      </c>
      <c r="AB231" s="5">
        <f>IF(U231,SUMPRODUCT(--(calc!$U$3:$U$306=TRUE),--(ROW(calc!$U$3:$U$306)&gt;ROW(U231)),--(((calc!$Z$3:$Z$306&gt;Z231)*(calc!$AA$3:$AA$306&gt;AA231)+(calc!$Z$3:$Z$306&lt;Z231)*(calc!$AA$3:$AA$306&lt;AA231))&gt;0))-SUMPRODUCT(--(calc!$U$3:$U$306=TRUE),--(ROW(calc!$U$3:$U$306)&gt;ROW(U231)),--(((calc!$Z$3:$Z$306&gt;Z231)*(calc!$AA$3:$AA$306&lt;AA231)+(calc!$Z$3:$Z$306&lt;Z231)*(calc!$AA$3:$AA$306&gt;AA231))&gt;0)),0)</f>
        <v/>
      </c>
      <c r="AC231" s="5">
        <f>IF(mos_metrics!I230="","",mos_metrics!I230)</f>
        <v/>
      </c>
      <c r="AD231" s="2">
        <f>AND($J231,ISNUMBER(AC231),correlation!$I$28=1)</f>
        <v/>
      </c>
      <c r="AE231" s="5">
        <f>IF(AD231,$F231,"")</f>
        <v/>
      </c>
      <c r="AF231" s="5">
        <f>IF(AD231,AC231*correlation!$J$28,"")</f>
        <v/>
      </c>
      <c r="AG231" s="5">
        <f>IF(AND(AD231,ISNUMBER(correlation!$F$28)),AF231*correlation!$F$28+correlation!$G$28,"")</f>
        <v/>
      </c>
      <c r="AH231" s="5">
        <f>IF(AND(AD231,ISNUMBER(AG231)),(AE231-AG231)^2,"")</f>
        <v/>
      </c>
      <c r="AI231" s="5">
        <f>IF(AD231,1+SUMPRODUCT(--(calc!$AD$3:$AD$306=TRUE),--(calc!$AE$3:$AE$306&gt;AE231))+(SUMPRODUCT(--(calc!$AD$3:$AD$306=TRUE),--(calc!$AE$3:$AE$306=AE231))-1)/2,"")</f>
        <v/>
      </c>
      <c r="AJ231" s="5">
        <f>IF(AD231,1+SUMPRODUCT(--(calc!$AD$3:$AD$306=TRUE),--(calc!$AF$3:$AF$306&gt;AF231))+(SUMPRODUCT(--(calc!$AD$3:$AD$306=TRUE),--(calc!$AF$3:$AF$306=AF231))-1)/2,"")</f>
        <v/>
      </c>
      <c r="AK231" s="5">
        <f>IF(AD231,SUMPRODUCT(--(calc!$AD$3:$AD$306=TRUE),--(ROW(calc!$AD$3:$AD$306)&gt;ROW(AD231)),--(((calc!$AI$3:$AI$306&gt;AI231)*(calc!$AJ$3:$AJ$306&gt;AJ231)+(calc!$AI$3:$AI$306&lt;AI231)*(calc!$AJ$3:$AJ$306&lt;AJ231))&gt;0))-SUMPRODUCT(--(calc!$AD$3:$AD$306=TRUE),--(ROW(calc!$AD$3:$AD$306)&gt;ROW(AD231)),--(((calc!$AI$3:$AI$306&gt;AI231)*(calc!$AJ$3:$AJ$306&lt;AJ231)+(calc!$AI$3:$AI$306&lt;AI231)*(calc!$AJ$3:$AJ$306&gt;AJ231))&gt;0)),0)</f>
        <v/>
      </c>
      <c r="AL231" s="5">
        <f>IF(mos_metrics!J230="","",mos_metrics!J230)</f>
        <v/>
      </c>
      <c r="AM231" s="2">
        <f>AND($J231,ISNUMBER(AL231),correlation!$I$29=1)</f>
        <v/>
      </c>
      <c r="AN231" s="5">
        <f>IF(AM231,$F231,"")</f>
        <v/>
      </c>
      <c r="AO231" s="5">
        <f>IF(AM231,AL231*correlation!$J$29,"")</f>
        <v/>
      </c>
      <c r="AP231" s="5">
        <f>IF(AND(AM231,ISNUMBER(correlation!$F$29)),AO231*correlation!$F$29+correlation!$G$29,"")</f>
        <v/>
      </c>
      <c r="AQ231" s="5">
        <f>IF(AND(AM231,ISNUMBER(AP231)),(AN231-AP231)^2,"")</f>
        <v/>
      </c>
      <c r="AR231" s="5">
        <f>IF(AM231,1+SUMPRODUCT(--(calc!$AM$3:$AM$306=TRUE),--(calc!$AN$3:$AN$306&gt;AN231))+(SUMPRODUCT(--(calc!$AM$3:$AM$306=TRUE),--(calc!$AN$3:$AN$306=AN231))-1)/2,"")</f>
        <v/>
      </c>
      <c r="AS231" s="5">
        <f>IF(AM231,1+SUMPRODUCT(--(calc!$AM$3:$AM$306=TRUE),--(calc!$AO$3:$AO$306&gt;AO231))+(SUMPRODUCT(--(calc!$AM$3:$AM$306=TRUE),--(calc!$AO$3:$AO$306=AO231))-1)/2,"")</f>
        <v/>
      </c>
      <c r="AT231" s="5">
        <f>IF(AM231,SUMPRODUCT(--(calc!$AM$3:$AM$306=TRUE),--(ROW(calc!$AM$3:$AM$306)&gt;ROW(AM231)),--(((calc!$AR$3:$AR$306&gt;AR231)*(calc!$AS$3:$AS$306&gt;AS231)+(calc!$AR$3:$AR$306&lt;AR231)*(calc!$AS$3:$AS$306&lt;AS231))&gt;0))-SUMPRODUCT(--(calc!$AM$3:$AM$306=TRUE),--(ROW(calc!$AM$3:$AM$306)&gt;ROW(AM231)),--(((calc!$AR$3:$AR$306&gt;AR231)*(calc!$AS$3:$AS$306&lt;AS231)+(calc!$AR$3:$AR$306&lt;AR231)*(calc!$AS$3:$AS$306&gt;AS231))&gt;0)),0)</f>
        <v/>
      </c>
      <c r="AU231" s="5">
        <f>IF(mos_metrics!K230="","",mos_metrics!K230)</f>
        <v/>
      </c>
      <c r="AV231" s="2">
        <f>AND($J231,ISNUMBER(AU231),correlation!$I$30=1)</f>
        <v/>
      </c>
      <c r="AW231" s="5">
        <f>IF(AV231,$F231,"")</f>
        <v/>
      </c>
      <c r="AX231" s="5">
        <f>IF(AV231,AU231*correlation!$J$30,"")</f>
        <v/>
      </c>
      <c r="AY231" s="5">
        <f>IF(AND(AV231,ISNUMBER(correlation!$F$30)),AX231*correlation!$F$30+correlation!$G$30,"")</f>
        <v/>
      </c>
      <c r="AZ231" s="5">
        <f>IF(AND(AV231,ISNUMBER(AY231)),(AW231-AY231)^2,"")</f>
        <v/>
      </c>
      <c r="BA231" s="5">
        <f>IF(AV231,1+SUMPRODUCT(--(calc!$AV$3:$AV$306=TRUE),--(calc!$AW$3:$AW$306&gt;AW231))+(SUMPRODUCT(--(calc!$AV$3:$AV$306=TRUE),--(calc!$AW$3:$AW$306=AW231))-1)/2,"")</f>
        <v/>
      </c>
      <c r="BB231" s="5">
        <f>IF(AV231,1+SUMPRODUCT(--(calc!$AV$3:$AV$306=TRUE),--(calc!$AX$3:$AX$306&gt;AX231))+(SUMPRODUCT(--(calc!$AV$3:$AV$306=TRUE),--(calc!$AX$3:$AX$306=AX231))-1)/2,"")</f>
        <v/>
      </c>
      <c r="BC231" s="5">
        <f>IF(AV231,SUMPRODUCT(--(calc!$AV$3:$AV$306=TRUE),--(ROW(calc!$AV$3:$AV$306)&gt;ROW(AV231)),--(((calc!$BA$3:$BA$306&gt;BA231)*(calc!$BB$3:$BB$306&gt;BB231)+(calc!$BA$3:$BA$306&lt;BA231)*(calc!$BB$3:$BB$306&lt;BB231))&gt;0))-SUMPRODUCT(--(calc!$AV$3:$AV$306=TRUE),--(ROW(calc!$AV$3:$AV$306)&gt;ROW(AV231)),--(((calc!$BA$3:$BA$306&gt;BA231)*(calc!$BB$3:$BB$306&lt;BB231)+(calc!$BA$3:$BA$306&lt;BA231)*(calc!$BB$3:$BB$306&gt;BB231))&gt;0)),0)</f>
        <v/>
      </c>
      <c r="BD231" s="5">
        <f>IF(mos_metrics!L230="","",mos_metrics!L230)</f>
        <v/>
      </c>
      <c r="BE231" s="2">
        <f>AND($J231,ISNUMBER(BD231),correlation!$I$31=1)</f>
        <v/>
      </c>
      <c r="BF231" s="5">
        <f>IF(BE231,$F231,"")</f>
        <v/>
      </c>
      <c r="BG231" s="5">
        <f>IF(BE231,BD231*correlation!$J$31,"")</f>
        <v/>
      </c>
      <c r="BH231" s="5">
        <f>IF(AND(BE231,ISNUMBER(correlation!$F$31)),BG231*correlation!$F$31+correlation!$G$31,"")</f>
        <v/>
      </c>
      <c r="BI231" s="5">
        <f>IF(AND(BE231,ISNUMBER(BH231)),(BF231-BH231)^2,"")</f>
        <v/>
      </c>
      <c r="BJ231" s="5">
        <f>IF(BE231,1+SUMPRODUCT(--(calc!$BE$3:$BE$306=TRUE),--(calc!$BF$3:$BF$306&gt;BF231))+(SUMPRODUCT(--(calc!$BE$3:$BE$306=TRUE),--(calc!$BF$3:$BF$306=BF231))-1)/2,"")</f>
        <v/>
      </c>
      <c r="BK231" s="5">
        <f>IF(BE231,1+SUMPRODUCT(--(calc!$BE$3:$BE$306=TRUE),--(calc!$BG$3:$BG$306&gt;BG231))+(SUMPRODUCT(--(calc!$BE$3:$BE$306=TRUE),--(calc!$BG$3:$BG$306=BG231))-1)/2,"")</f>
        <v/>
      </c>
      <c r="BL231" s="5">
        <f>IF(BE231,SUMPRODUCT(--(calc!$BE$3:$BE$306=TRUE),--(ROW(calc!$BE$3:$BE$306)&gt;ROW(BE231)),--(((calc!$BJ$3:$BJ$306&gt;BJ231)*(calc!$BK$3:$BK$306&gt;BK231)+(calc!$BJ$3:$BJ$306&lt;BJ231)*(calc!$BK$3:$BK$306&lt;BK231))&gt;0))-SUMPRODUCT(--(calc!$BE$3:$BE$306=TRUE),--(ROW(calc!$BE$3:$BE$306)&gt;ROW(BE231)),--(((calc!$BJ$3:$BJ$306&gt;BJ231)*(calc!$BK$3:$BK$306&lt;BK231)+(calc!$BJ$3:$BJ$306&lt;BJ231)*(calc!$BK$3:$BK$306&gt;BK231))&gt;0)),0)</f>
        <v/>
      </c>
      <c r="BM231" s="5">
        <f>IF(mos_metrics!M230="","",mos_metrics!M230)</f>
        <v/>
      </c>
      <c r="BN231" s="2">
        <f>AND($J231,ISNUMBER(BM231),correlation!$I$32=1)</f>
        <v/>
      </c>
      <c r="BO231" s="5">
        <f>IF(BN231,$F231,"")</f>
        <v/>
      </c>
      <c r="BP231" s="5">
        <f>IF(BN231,BM231*correlation!$J$32,"")</f>
        <v/>
      </c>
      <c r="BQ231" s="5">
        <f>IF(AND(BN231,ISNUMBER(correlation!$F$32)),BP231*correlation!$F$32+correlation!$G$32,"")</f>
        <v/>
      </c>
      <c r="BR231" s="5">
        <f>IF(AND(BN231,ISNUMBER(BQ231)),(BO231-BQ231)^2,"")</f>
        <v/>
      </c>
      <c r="BS231" s="5">
        <f>IF(BN231,1+SUMPRODUCT(--(calc!$BN$3:$BN$306=TRUE),--(calc!$BO$3:$BO$306&gt;BO231))+(SUMPRODUCT(--(calc!$BN$3:$BN$306=TRUE),--(calc!$BO$3:$BO$306=BO231))-1)/2,"")</f>
        <v/>
      </c>
      <c r="BT231" s="5">
        <f>IF(BN231,1+SUMPRODUCT(--(calc!$BN$3:$BN$306=TRUE),--(calc!$BP$3:$BP$306&gt;BP231))+(SUMPRODUCT(--(calc!$BN$3:$BN$306=TRUE),--(calc!$BP$3:$BP$306=BP231))-1)/2,"")</f>
        <v/>
      </c>
      <c r="BU231" s="5">
        <f>IF(BN231,SUMPRODUCT(--(calc!$BN$3:$BN$306=TRUE),--(ROW(calc!$BN$3:$BN$306)&gt;ROW(BN231)),--(((calc!$BS$3:$BS$306&gt;BS231)*(calc!$BT$3:$BT$306&gt;BT231)+(calc!$BS$3:$BS$306&lt;BS231)*(calc!$BT$3:$BT$306&lt;BT231))&gt;0))-SUMPRODUCT(--(calc!$BN$3:$BN$306=TRUE),--(ROW(calc!$BN$3:$BN$306)&gt;ROW(BN231)),--(((calc!$BS$3:$BS$306&gt;BS231)*(calc!$BT$3:$BT$306&lt;BT231)+(calc!$BS$3:$BS$306&lt;BS231)*(calc!$BT$3:$BT$306&gt;BT231))&gt;0)),0)</f>
        <v/>
      </c>
    </row>
    <row r="232">
      <c r="A232" s="2">
        <f>mos_metrics!A231</f>
        <v/>
      </c>
      <c r="B232" s="2">
        <f>mos_metrics!B231</f>
        <v/>
      </c>
      <c r="C232" s="2">
        <f>mos_metrics!C231</f>
        <v/>
      </c>
      <c r="D232" s="2">
        <f>mos_metrics!D231</f>
        <v/>
      </c>
      <c r="E232" s="2">
        <f>mos_metrics!E231</f>
        <v/>
      </c>
      <c r="F232" s="2">
        <f>mos_metrics!F231</f>
        <v/>
      </c>
      <c r="G232" s="2">
        <f>IF($B232="","",IFERROR(VLOOKUP($B232,correlation!$A$2:$B$16,2,FALSE),1))</f>
        <v/>
      </c>
      <c r="H232" s="2">
        <f>IF($E232="","",IFERROR(VLOOKUP($E232,correlation!$D$2:$E$8,2,FALSE),1))</f>
        <v/>
      </c>
      <c r="I232" s="2">
        <f>ISNUMBER($F232)</f>
        <v/>
      </c>
      <c r="J232" s="2">
        <f>AND($G232=1,$H232=1,$I232)</f>
        <v/>
      </c>
      <c r="K232" s="5">
        <f>IF(mos_metrics!G231="","",mos_metrics!G231)</f>
        <v/>
      </c>
      <c r="L232" s="2">
        <f>AND($J232,ISNUMBER(K232),correlation!$I$26=1)</f>
        <v/>
      </c>
      <c r="M232" s="5">
        <f>IF(L232,$F232,"")</f>
        <v/>
      </c>
      <c r="N232" s="5">
        <f>IF(L232,K232*correlation!$J$26,"")</f>
        <v/>
      </c>
      <c r="O232" s="5">
        <f>IF(AND(L232,ISNUMBER(correlation!$F$26)),N232*correlation!$F$26+correlation!$G$26,"")</f>
        <v/>
      </c>
      <c r="P232" s="5">
        <f>IF(AND(L232,ISNUMBER(O232)),(M232-O232)^2,"")</f>
        <v/>
      </c>
      <c r="Q232" s="5">
        <f>IF(L232,1+SUMPRODUCT(--(calc!$L$3:$L$306=TRUE),--(calc!$M$3:$M$306&gt;M232))+(SUMPRODUCT(--(calc!$L$3:$L$306=TRUE),--(calc!$M$3:$M$306=M232))-1)/2,"")</f>
        <v/>
      </c>
      <c r="R232" s="5">
        <f>IF(L232,1+SUMPRODUCT(--(calc!$L$3:$L$306=TRUE),--(calc!$N$3:$N$306&gt;N232))+(SUMPRODUCT(--(calc!$L$3:$L$306=TRUE),--(calc!$N$3:$N$306=N232))-1)/2,"")</f>
        <v/>
      </c>
      <c r="S232" s="5">
        <f>IF(L232,SUMPRODUCT(--(calc!$L$3:$L$306=TRUE),--(ROW(calc!$L$3:$L$306)&gt;ROW(L232)),--(((calc!$Q$3:$Q$306&gt;Q232)*(calc!$R$3:$R$306&gt;R232)+(calc!$Q$3:$Q$306&lt;Q232)*(calc!$R$3:$R$306&lt;R232))&gt;0))-SUMPRODUCT(--(calc!$L$3:$L$306=TRUE),--(ROW(calc!$L$3:$L$306)&gt;ROW(L232)),--(((calc!$Q$3:$Q$306&gt;Q232)*(calc!$R$3:$R$306&lt;R232)+(calc!$Q$3:$Q$306&lt;Q232)*(calc!$R$3:$R$306&gt;R232))&gt;0)),0)</f>
        <v/>
      </c>
      <c r="T232" s="5">
        <f>IF(mos_metrics!H231="","",mos_metrics!H231)</f>
        <v/>
      </c>
      <c r="U232" s="2">
        <f>AND($J232,ISNUMBER(T232),correlation!$I$27=1)</f>
        <v/>
      </c>
      <c r="V232" s="5">
        <f>IF(U232,$F232,"")</f>
        <v/>
      </c>
      <c r="W232" s="5">
        <f>IF(U232,T232*correlation!$J$27,"")</f>
        <v/>
      </c>
      <c r="X232" s="5">
        <f>IF(AND(U232,ISNUMBER(correlation!$F$27)),W232*correlation!$F$27+correlation!$G$27,"")</f>
        <v/>
      </c>
      <c r="Y232" s="5">
        <f>IF(AND(U232,ISNUMBER(X232)),(V232-X232)^2,"")</f>
        <v/>
      </c>
      <c r="Z232" s="5">
        <f>IF(U232,1+SUMPRODUCT(--(calc!$U$3:$U$306=TRUE),--(calc!$V$3:$V$306&gt;V232))+(SUMPRODUCT(--(calc!$U$3:$U$306=TRUE),--(calc!$V$3:$V$306=V232))-1)/2,"")</f>
        <v/>
      </c>
      <c r="AA232" s="5">
        <f>IF(U232,1+SUMPRODUCT(--(calc!$U$3:$U$306=TRUE),--(calc!$W$3:$W$306&gt;W232))+(SUMPRODUCT(--(calc!$U$3:$U$306=TRUE),--(calc!$W$3:$W$306=W232))-1)/2,"")</f>
        <v/>
      </c>
      <c r="AB232" s="5">
        <f>IF(U232,SUMPRODUCT(--(calc!$U$3:$U$306=TRUE),--(ROW(calc!$U$3:$U$306)&gt;ROW(U232)),--(((calc!$Z$3:$Z$306&gt;Z232)*(calc!$AA$3:$AA$306&gt;AA232)+(calc!$Z$3:$Z$306&lt;Z232)*(calc!$AA$3:$AA$306&lt;AA232))&gt;0))-SUMPRODUCT(--(calc!$U$3:$U$306=TRUE),--(ROW(calc!$U$3:$U$306)&gt;ROW(U232)),--(((calc!$Z$3:$Z$306&gt;Z232)*(calc!$AA$3:$AA$306&lt;AA232)+(calc!$Z$3:$Z$306&lt;Z232)*(calc!$AA$3:$AA$306&gt;AA232))&gt;0)),0)</f>
        <v/>
      </c>
      <c r="AC232" s="5">
        <f>IF(mos_metrics!I231="","",mos_metrics!I231)</f>
        <v/>
      </c>
      <c r="AD232" s="2">
        <f>AND($J232,ISNUMBER(AC232),correlation!$I$28=1)</f>
        <v/>
      </c>
      <c r="AE232" s="5">
        <f>IF(AD232,$F232,"")</f>
        <v/>
      </c>
      <c r="AF232" s="5">
        <f>IF(AD232,AC232*correlation!$J$28,"")</f>
        <v/>
      </c>
      <c r="AG232" s="5">
        <f>IF(AND(AD232,ISNUMBER(correlation!$F$28)),AF232*correlation!$F$28+correlation!$G$28,"")</f>
        <v/>
      </c>
      <c r="AH232" s="5">
        <f>IF(AND(AD232,ISNUMBER(AG232)),(AE232-AG232)^2,"")</f>
        <v/>
      </c>
      <c r="AI232" s="5">
        <f>IF(AD232,1+SUMPRODUCT(--(calc!$AD$3:$AD$306=TRUE),--(calc!$AE$3:$AE$306&gt;AE232))+(SUMPRODUCT(--(calc!$AD$3:$AD$306=TRUE),--(calc!$AE$3:$AE$306=AE232))-1)/2,"")</f>
        <v/>
      </c>
      <c r="AJ232" s="5">
        <f>IF(AD232,1+SUMPRODUCT(--(calc!$AD$3:$AD$306=TRUE),--(calc!$AF$3:$AF$306&gt;AF232))+(SUMPRODUCT(--(calc!$AD$3:$AD$306=TRUE),--(calc!$AF$3:$AF$306=AF232))-1)/2,"")</f>
        <v/>
      </c>
      <c r="AK232" s="5">
        <f>IF(AD232,SUMPRODUCT(--(calc!$AD$3:$AD$306=TRUE),--(ROW(calc!$AD$3:$AD$306)&gt;ROW(AD232)),--(((calc!$AI$3:$AI$306&gt;AI232)*(calc!$AJ$3:$AJ$306&gt;AJ232)+(calc!$AI$3:$AI$306&lt;AI232)*(calc!$AJ$3:$AJ$306&lt;AJ232))&gt;0))-SUMPRODUCT(--(calc!$AD$3:$AD$306=TRUE),--(ROW(calc!$AD$3:$AD$306)&gt;ROW(AD232)),--(((calc!$AI$3:$AI$306&gt;AI232)*(calc!$AJ$3:$AJ$306&lt;AJ232)+(calc!$AI$3:$AI$306&lt;AI232)*(calc!$AJ$3:$AJ$306&gt;AJ232))&gt;0)),0)</f>
        <v/>
      </c>
      <c r="AL232" s="5">
        <f>IF(mos_metrics!J231="","",mos_metrics!J231)</f>
        <v/>
      </c>
      <c r="AM232" s="2">
        <f>AND($J232,ISNUMBER(AL232),correlation!$I$29=1)</f>
        <v/>
      </c>
      <c r="AN232" s="5">
        <f>IF(AM232,$F232,"")</f>
        <v/>
      </c>
      <c r="AO232" s="5">
        <f>IF(AM232,AL232*correlation!$J$29,"")</f>
        <v/>
      </c>
      <c r="AP232" s="5">
        <f>IF(AND(AM232,ISNUMBER(correlation!$F$29)),AO232*correlation!$F$29+correlation!$G$29,"")</f>
        <v/>
      </c>
      <c r="AQ232" s="5">
        <f>IF(AND(AM232,ISNUMBER(AP232)),(AN232-AP232)^2,"")</f>
        <v/>
      </c>
      <c r="AR232" s="5">
        <f>IF(AM232,1+SUMPRODUCT(--(calc!$AM$3:$AM$306=TRUE),--(calc!$AN$3:$AN$306&gt;AN232))+(SUMPRODUCT(--(calc!$AM$3:$AM$306=TRUE),--(calc!$AN$3:$AN$306=AN232))-1)/2,"")</f>
        <v/>
      </c>
      <c r="AS232" s="5">
        <f>IF(AM232,1+SUMPRODUCT(--(calc!$AM$3:$AM$306=TRUE),--(calc!$AO$3:$AO$306&gt;AO232))+(SUMPRODUCT(--(calc!$AM$3:$AM$306=TRUE),--(calc!$AO$3:$AO$306=AO232))-1)/2,"")</f>
        <v/>
      </c>
      <c r="AT232" s="5">
        <f>IF(AM232,SUMPRODUCT(--(calc!$AM$3:$AM$306=TRUE),--(ROW(calc!$AM$3:$AM$306)&gt;ROW(AM232)),--(((calc!$AR$3:$AR$306&gt;AR232)*(calc!$AS$3:$AS$306&gt;AS232)+(calc!$AR$3:$AR$306&lt;AR232)*(calc!$AS$3:$AS$306&lt;AS232))&gt;0))-SUMPRODUCT(--(calc!$AM$3:$AM$306=TRUE),--(ROW(calc!$AM$3:$AM$306)&gt;ROW(AM232)),--(((calc!$AR$3:$AR$306&gt;AR232)*(calc!$AS$3:$AS$306&lt;AS232)+(calc!$AR$3:$AR$306&lt;AR232)*(calc!$AS$3:$AS$306&gt;AS232))&gt;0)),0)</f>
        <v/>
      </c>
      <c r="AU232" s="5">
        <f>IF(mos_metrics!K231="","",mos_metrics!K231)</f>
        <v/>
      </c>
      <c r="AV232" s="2">
        <f>AND($J232,ISNUMBER(AU232),correlation!$I$30=1)</f>
        <v/>
      </c>
      <c r="AW232" s="5">
        <f>IF(AV232,$F232,"")</f>
        <v/>
      </c>
      <c r="AX232" s="5">
        <f>IF(AV232,AU232*correlation!$J$30,"")</f>
        <v/>
      </c>
      <c r="AY232" s="5">
        <f>IF(AND(AV232,ISNUMBER(correlation!$F$30)),AX232*correlation!$F$30+correlation!$G$30,"")</f>
        <v/>
      </c>
      <c r="AZ232" s="5">
        <f>IF(AND(AV232,ISNUMBER(AY232)),(AW232-AY232)^2,"")</f>
        <v/>
      </c>
      <c r="BA232" s="5">
        <f>IF(AV232,1+SUMPRODUCT(--(calc!$AV$3:$AV$306=TRUE),--(calc!$AW$3:$AW$306&gt;AW232))+(SUMPRODUCT(--(calc!$AV$3:$AV$306=TRUE),--(calc!$AW$3:$AW$306=AW232))-1)/2,"")</f>
        <v/>
      </c>
      <c r="BB232" s="5">
        <f>IF(AV232,1+SUMPRODUCT(--(calc!$AV$3:$AV$306=TRUE),--(calc!$AX$3:$AX$306&gt;AX232))+(SUMPRODUCT(--(calc!$AV$3:$AV$306=TRUE),--(calc!$AX$3:$AX$306=AX232))-1)/2,"")</f>
        <v/>
      </c>
      <c r="BC232" s="5">
        <f>IF(AV232,SUMPRODUCT(--(calc!$AV$3:$AV$306=TRUE),--(ROW(calc!$AV$3:$AV$306)&gt;ROW(AV232)),--(((calc!$BA$3:$BA$306&gt;BA232)*(calc!$BB$3:$BB$306&gt;BB232)+(calc!$BA$3:$BA$306&lt;BA232)*(calc!$BB$3:$BB$306&lt;BB232))&gt;0))-SUMPRODUCT(--(calc!$AV$3:$AV$306=TRUE),--(ROW(calc!$AV$3:$AV$306)&gt;ROW(AV232)),--(((calc!$BA$3:$BA$306&gt;BA232)*(calc!$BB$3:$BB$306&lt;BB232)+(calc!$BA$3:$BA$306&lt;BA232)*(calc!$BB$3:$BB$306&gt;BB232))&gt;0)),0)</f>
        <v/>
      </c>
      <c r="BD232" s="5">
        <f>IF(mos_metrics!L231="","",mos_metrics!L231)</f>
        <v/>
      </c>
      <c r="BE232" s="2">
        <f>AND($J232,ISNUMBER(BD232),correlation!$I$31=1)</f>
        <v/>
      </c>
      <c r="BF232" s="5">
        <f>IF(BE232,$F232,"")</f>
        <v/>
      </c>
      <c r="BG232" s="5">
        <f>IF(BE232,BD232*correlation!$J$31,"")</f>
        <v/>
      </c>
      <c r="BH232" s="5">
        <f>IF(AND(BE232,ISNUMBER(correlation!$F$31)),BG232*correlation!$F$31+correlation!$G$31,"")</f>
        <v/>
      </c>
      <c r="BI232" s="5">
        <f>IF(AND(BE232,ISNUMBER(BH232)),(BF232-BH232)^2,"")</f>
        <v/>
      </c>
      <c r="BJ232" s="5">
        <f>IF(BE232,1+SUMPRODUCT(--(calc!$BE$3:$BE$306=TRUE),--(calc!$BF$3:$BF$306&gt;BF232))+(SUMPRODUCT(--(calc!$BE$3:$BE$306=TRUE),--(calc!$BF$3:$BF$306=BF232))-1)/2,"")</f>
        <v/>
      </c>
      <c r="BK232" s="5">
        <f>IF(BE232,1+SUMPRODUCT(--(calc!$BE$3:$BE$306=TRUE),--(calc!$BG$3:$BG$306&gt;BG232))+(SUMPRODUCT(--(calc!$BE$3:$BE$306=TRUE),--(calc!$BG$3:$BG$306=BG232))-1)/2,"")</f>
        <v/>
      </c>
      <c r="BL232" s="5">
        <f>IF(BE232,SUMPRODUCT(--(calc!$BE$3:$BE$306=TRUE),--(ROW(calc!$BE$3:$BE$306)&gt;ROW(BE232)),--(((calc!$BJ$3:$BJ$306&gt;BJ232)*(calc!$BK$3:$BK$306&gt;BK232)+(calc!$BJ$3:$BJ$306&lt;BJ232)*(calc!$BK$3:$BK$306&lt;BK232))&gt;0))-SUMPRODUCT(--(calc!$BE$3:$BE$306=TRUE),--(ROW(calc!$BE$3:$BE$306)&gt;ROW(BE232)),--(((calc!$BJ$3:$BJ$306&gt;BJ232)*(calc!$BK$3:$BK$306&lt;BK232)+(calc!$BJ$3:$BJ$306&lt;BJ232)*(calc!$BK$3:$BK$306&gt;BK232))&gt;0)),0)</f>
        <v/>
      </c>
      <c r="BM232" s="5">
        <f>IF(mos_metrics!M231="","",mos_metrics!M231)</f>
        <v/>
      </c>
      <c r="BN232" s="2">
        <f>AND($J232,ISNUMBER(BM232),correlation!$I$32=1)</f>
        <v/>
      </c>
      <c r="BO232" s="5">
        <f>IF(BN232,$F232,"")</f>
        <v/>
      </c>
      <c r="BP232" s="5">
        <f>IF(BN232,BM232*correlation!$J$32,"")</f>
        <v/>
      </c>
      <c r="BQ232" s="5">
        <f>IF(AND(BN232,ISNUMBER(correlation!$F$32)),BP232*correlation!$F$32+correlation!$G$32,"")</f>
        <v/>
      </c>
      <c r="BR232" s="5">
        <f>IF(AND(BN232,ISNUMBER(BQ232)),(BO232-BQ232)^2,"")</f>
        <v/>
      </c>
      <c r="BS232" s="5">
        <f>IF(BN232,1+SUMPRODUCT(--(calc!$BN$3:$BN$306=TRUE),--(calc!$BO$3:$BO$306&gt;BO232))+(SUMPRODUCT(--(calc!$BN$3:$BN$306=TRUE),--(calc!$BO$3:$BO$306=BO232))-1)/2,"")</f>
        <v/>
      </c>
      <c r="BT232" s="5">
        <f>IF(BN232,1+SUMPRODUCT(--(calc!$BN$3:$BN$306=TRUE),--(calc!$BP$3:$BP$306&gt;BP232))+(SUMPRODUCT(--(calc!$BN$3:$BN$306=TRUE),--(calc!$BP$3:$BP$306=BP232))-1)/2,"")</f>
        <v/>
      </c>
      <c r="BU232" s="5">
        <f>IF(BN232,SUMPRODUCT(--(calc!$BN$3:$BN$306=TRUE),--(ROW(calc!$BN$3:$BN$306)&gt;ROW(BN232)),--(((calc!$BS$3:$BS$306&gt;BS232)*(calc!$BT$3:$BT$306&gt;BT232)+(calc!$BS$3:$BS$306&lt;BS232)*(calc!$BT$3:$BT$306&lt;BT232))&gt;0))-SUMPRODUCT(--(calc!$BN$3:$BN$306=TRUE),--(ROW(calc!$BN$3:$BN$306)&gt;ROW(BN232)),--(((calc!$BS$3:$BS$306&gt;BS232)*(calc!$BT$3:$BT$306&lt;BT232)+(calc!$BS$3:$BS$306&lt;BS232)*(calc!$BT$3:$BT$306&gt;BT232))&gt;0)),0)</f>
        <v/>
      </c>
    </row>
    <row r="233">
      <c r="A233" s="2">
        <f>mos_metrics!A232</f>
        <v/>
      </c>
      <c r="B233" s="2">
        <f>mos_metrics!B232</f>
        <v/>
      </c>
      <c r="C233" s="2">
        <f>mos_metrics!C232</f>
        <v/>
      </c>
      <c r="D233" s="2">
        <f>mos_metrics!D232</f>
        <v/>
      </c>
      <c r="E233" s="2">
        <f>mos_metrics!E232</f>
        <v/>
      </c>
      <c r="F233" s="2">
        <f>mos_metrics!F232</f>
        <v/>
      </c>
      <c r="G233" s="2">
        <f>IF($B233="","",IFERROR(VLOOKUP($B233,correlation!$A$2:$B$16,2,FALSE),1))</f>
        <v/>
      </c>
      <c r="H233" s="2">
        <f>IF($E233="","",IFERROR(VLOOKUP($E233,correlation!$D$2:$E$8,2,FALSE),1))</f>
        <v/>
      </c>
      <c r="I233" s="2">
        <f>ISNUMBER($F233)</f>
        <v/>
      </c>
      <c r="J233" s="2">
        <f>AND($G233=1,$H233=1,$I233)</f>
        <v/>
      </c>
      <c r="K233" s="5">
        <f>IF(mos_metrics!G232="","",mos_metrics!G232)</f>
        <v/>
      </c>
      <c r="L233" s="2">
        <f>AND($J233,ISNUMBER(K233),correlation!$I$26=1)</f>
        <v/>
      </c>
      <c r="M233" s="5">
        <f>IF(L233,$F233,"")</f>
        <v/>
      </c>
      <c r="N233" s="5">
        <f>IF(L233,K233*correlation!$J$26,"")</f>
        <v/>
      </c>
      <c r="O233" s="5">
        <f>IF(AND(L233,ISNUMBER(correlation!$F$26)),N233*correlation!$F$26+correlation!$G$26,"")</f>
        <v/>
      </c>
      <c r="P233" s="5">
        <f>IF(AND(L233,ISNUMBER(O233)),(M233-O233)^2,"")</f>
        <v/>
      </c>
      <c r="Q233" s="5">
        <f>IF(L233,1+SUMPRODUCT(--(calc!$L$3:$L$306=TRUE),--(calc!$M$3:$M$306&gt;M233))+(SUMPRODUCT(--(calc!$L$3:$L$306=TRUE),--(calc!$M$3:$M$306=M233))-1)/2,"")</f>
        <v/>
      </c>
      <c r="R233" s="5">
        <f>IF(L233,1+SUMPRODUCT(--(calc!$L$3:$L$306=TRUE),--(calc!$N$3:$N$306&gt;N233))+(SUMPRODUCT(--(calc!$L$3:$L$306=TRUE),--(calc!$N$3:$N$306=N233))-1)/2,"")</f>
        <v/>
      </c>
      <c r="S233" s="5">
        <f>IF(L233,SUMPRODUCT(--(calc!$L$3:$L$306=TRUE),--(ROW(calc!$L$3:$L$306)&gt;ROW(L233)),--(((calc!$Q$3:$Q$306&gt;Q233)*(calc!$R$3:$R$306&gt;R233)+(calc!$Q$3:$Q$306&lt;Q233)*(calc!$R$3:$R$306&lt;R233))&gt;0))-SUMPRODUCT(--(calc!$L$3:$L$306=TRUE),--(ROW(calc!$L$3:$L$306)&gt;ROW(L233)),--(((calc!$Q$3:$Q$306&gt;Q233)*(calc!$R$3:$R$306&lt;R233)+(calc!$Q$3:$Q$306&lt;Q233)*(calc!$R$3:$R$306&gt;R233))&gt;0)),0)</f>
        <v/>
      </c>
      <c r="T233" s="5">
        <f>IF(mos_metrics!H232="","",mos_metrics!H232)</f>
        <v/>
      </c>
      <c r="U233" s="2">
        <f>AND($J233,ISNUMBER(T233),correlation!$I$27=1)</f>
        <v/>
      </c>
      <c r="V233" s="5">
        <f>IF(U233,$F233,"")</f>
        <v/>
      </c>
      <c r="W233" s="5">
        <f>IF(U233,T233*correlation!$J$27,"")</f>
        <v/>
      </c>
      <c r="X233" s="5">
        <f>IF(AND(U233,ISNUMBER(correlation!$F$27)),W233*correlation!$F$27+correlation!$G$27,"")</f>
        <v/>
      </c>
      <c r="Y233" s="5">
        <f>IF(AND(U233,ISNUMBER(X233)),(V233-X233)^2,"")</f>
        <v/>
      </c>
      <c r="Z233" s="5">
        <f>IF(U233,1+SUMPRODUCT(--(calc!$U$3:$U$306=TRUE),--(calc!$V$3:$V$306&gt;V233))+(SUMPRODUCT(--(calc!$U$3:$U$306=TRUE),--(calc!$V$3:$V$306=V233))-1)/2,"")</f>
        <v/>
      </c>
      <c r="AA233" s="5">
        <f>IF(U233,1+SUMPRODUCT(--(calc!$U$3:$U$306=TRUE),--(calc!$W$3:$W$306&gt;W233))+(SUMPRODUCT(--(calc!$U$3:$U$306=TRUE),--(calc!$W$3:$W$306=W233))-1)/2,"")</f>
        <v/>
      </c>
      <c r="AB233" s="5">
        <f>IF(U233,SUMPRODUCT(--(calc!$U$3:$U$306=TRUE),--(ROW(calc!$U$3:$U$306)&gt;ROW(U233)),--(((calc!$Z$3:$Z$306&gt;Z233)*(calc!$AA$3:$AA$306&gt;AA233)+(calc!$Z$3:$Z$306&lt;Z233)*(calc!$AA$3:$AA$306&lt;AA233))&gt;0))-SUMPRODUCT(--(calc!$U$3:$U$306=TRUE),--(ROW(calc!$U$3:$U$306)&gt;ROW(U233)),--(((calc!$Z$3:$Z$306&gt;Z233)*(calc!$AA$3:$AA$306&lt;AA233)+(calc!$Z$3:$Z$306&lt;Z233)*(calc!$AA$3:$AA$306&gt;AA233))&gt;0)),0)</f>
        <v/>
      </c>
      <c r="AC233" s="5">
        <f>IF(mos_metrics!I232="","",mos_metrics!I232)</f>
        <v/>
      </c>
      <c r="AD233" s="2">
        <f>AND($J233,ISNUMBER(AC233),correlation!$I$28=1)</f>
        <v/>
      </c>
      <c r="AE233" s="5">
        <f>IF(AD233,$F233,"")</f>
        <v/>
      </c>
      <c r="AF233" s="5">
        <f>IF(AD233,AC233*correlation!$J$28,"")</f>
        <v/>
      </c>
      <c r="AG233" s="5">
        <f>IF(AND(AD233,ISNUMBER(correlation!$F$28)),AF233*correlation!$F$28+correlation!$G$28,"")</f>
        <v/>
      </c>
      <c r="AH233" s="5">
        <f>IF(AND(AD233,ISNUMBER(AG233)),(AE233-AG233)^2,"")</f>
        <v/>
      </c>
      <c r="AI233" s="5">
        <f>IF(AD233,1+SUMPRODUCT(--(calc!$AD$3:$AD$306=TRUE),--(calc!$AE$3:$AE$306&gt;AE233))+(SUMPRODUCT(--(calc!$AD$3:$AD$306=TRUE),--(calc!$AE$3:$AE$306=AE233))-1)/2,"")</f>
        <v/>
      </c>
      <c r="AJ233" s="5">
        <f>IF(AD233,1+SUMPRODUCT(--(calc!$AD$3:$AD$306=TRUE),--(calc!$AF$3:$AF$306&gt;AF233))+(SUMPRODUCT(--(calc!$AD$3:$AD$306=TRUE),--(calc!$AF$3:$AF$306=AF233))-1)/2,"")</f>
        <v/>
      </c>
      <c r="AK233" s="5">
        <f>IF(AD233,SUMPRODUCT(--(calc!$AD$3:$AD$306=TRUE),--(ROW(calc!$AD$3:$AD$306)&gt;ROW(AD233)),--(((calc!$AI$3:$AI$306&gt;AI233)*(calc!$AJ$3:$AJ$306&gt;AJ233)+(calc!$AI$3:$AI$306&lt;AI233)*(calc!$AJ$3:$AJ$306&lt;AJ233))&gt;0))-SUMPRODUCT(--(calc!$AD$3:$AD$306=TRUE),--(ROW(calc!$AD$3:$AD$306)&gt;ROW(AD233)),--(((calc!$AI$3:$AI$306&gt;AI233)*(calc!$AJ$3:$AJ$306&lt;AJ233)+(calc!$AI$3:$AI$306&lt;AI233)*(calc!$AJ$3:$AJ$306&gt;AJ233))&gt;0)),0)</f>
        <v/>
      </c>
      <c r="AL233" s="5">
        <f>IF(mos_metrics!J232="","",mos_metrics!J232)</f>
        <v/>
      </c>
      <c r="AM233" s="2">
        <f>AND($J233,ISNUMBER(AL233),correlation!$I$29=1)</f>
        <v/>
      </c>
      <c r="AN233" s="5">
        <f>IF(AM233,$F233,"")</f>
        <v/>
      </c>
      <c r="AO233" s="5">
        <f>IF(AM233,AL233*correlation!$J$29,"")</f>
        <v/>
      </c>
      <c r="AP233" s="5">
        <f>IF(AND(AM233,ISNUMBER(correlation!$F$29)),AO233*correlation!$F$29+correlation!$G$29,"")</f>
        <v/>
      </c>
      <c r="AQ233" s="5">
        <f>IF(AND(AM233,ISNUMBER(AP233)),(AN233-AP233)^2,"")</f>
        <v/>
      </c>
      <c r="AR233" s="5">
        <f>IF(AM233,1+SUMPRODUCT(--(calc!$AM$3:$AM$306=TRUE),--(calc!$AN$3:$AN$306&gt;AN233))+(SUMPRODUCT(--(calc!$AM$3:$AM$306=TRUE),--(calc!$AN$3:$AN$306=AN233))-1)/2,"")</f>
        <v/>
      </c>
      <c r="AS233" s="5">
        <f>IF(AM233,1+SUMPRODUCT(--(calc!$AM$3:$AM$306=TRUE),--(calc!$AO$3:$AO$306&gt;AO233))+(SUMPRODUCT(--(calc!$AM$3:$AM$306=TRUE),--(calc!$AO$3:$AO$306=AO233))-1)/2,"")</f>
        <v/>
      </c>
      <c r="AT233" s="5">
        <f>IF(AM233,SUMPRODUCT(--(calc!$AM$3:$AM$306=TRUE),--(ROW(calc!$AM$3:$AM$306)&gt;ROW(AM233)),--(((calc!$AR$3:$AR$306&gt;AR233)*(calc!$AS$3:$AS$306&gt;AS233)+(calc!$AR$3:$AR$306&lt;AR233)*(calc!$AS$3:$AS$306&lt;AS233))&gt;0))-SUMPRODUCT(--(calc!$AM$3:$AM$306=TRUE),--(ROW(calc!$AM$3:$AM$306)&gt;ROW(AM233)),--(((calc!$AR$3:$AR$306&gt;AR233)*(calc!$AS$3:$AS$306&lt;AS233)+(calc!$AR$3:$AR$306&lt;AR233)*(calc!$AS$3:$AS$306&gt;AS233))&gt;0)),0)</f>
        <v/>
      </c>
      <c r="AU233" s="5">
        <f>IF(mos_metrics!K232="","",mos_metrics!K232)</f>
        <v/>
      </c>
      <c r="AV233" s="2">
        <f>AND($J233,ISNUMBER(AU233),correlation!$I$30=1)</f>
        <v/>
      </c>
      <c r="AW233" s="5">
        <f>IF(AV233,$F233,"")</f>
        <v/>
      </c>
      <c r="AX233" s="5">
        <f>IF(AV233,AU233*correlation!$J$30,"")</f>
        <v/>
      </c>
      <c r="AY233" s="5">
        <f>IF(AND(AV233,ISNUMBER(correlation!$F$30)),AX233*correlation!$F$30+correlation!$G$30,"")</f>
        <v/>
      </c>
      <c r="AZ233" s="5">
        <f>IF(AND(AV233,ISNUMBER(AY233)),(AW233-AY233)^2,"")</f>
        <v/>
      </c>
      <c r="BA233" s="5">
        <f>IF(AV233,1+SUMPRODUCT(--(calc!$AV$3:$AV$306=TRUE),--(calc!$AW$3:$AW$306&gt;AW233))+(SUMPRODUCT(--(calc!$AV$3:$AV$306=TRUE),--(calc!$AW$3:$AW$306=AW233))-1)/2,"")</f>
        <v/>
      </c>
      <c r="BB233" s="5">
        <f>IF(AV233,1+SUMPRODUCT(--(calc!$AV$3:$AV$306=TRUE),--(calc!$AX$3:$AX$306&gt;AX233))+(SUMPRODUCT(--(calc!$AV$3:$AV$306=TRUE),--(calc!$AX$3:$AX$306=AX233))-1)/2,"")</f>
        <v/>
      </c>
      <c r="BC233" s="5">
        <f>IF(AV233,SUMPRODUCT(--(calc!$AV$3:$AV$306=TRUE),--(ROW(calc!$AV$3:$AV$306)&gt;ROW(AV233)),--(((calc!$BA$3:$BA$306&gt;BA233)*(calc!$BB$3:$BB$306&gt;BB233)+(calc!$BA$3:$BA$306&lt;BA233)*(calc!$BB$3:$BB$306&lt;BB233))&gt;0))-SUMPRODUCT(--(calc!$AV$3:$AV$306=TRUE),--(ROW(calc!$AV$3:$AV$306)&gt;ROW(AV233)),--(((calc!$BA$3:$BA$306&gt;BA233)*(calc!$BB$3:$BB$306&lt;BB233)+(calc!$BA$3:$BA$306&lt;BA233)*(calc!$BB$3:$BB$306&gt;BB233))&gt;0)),0)</f>
        <v/>
      </c>
      <c r="BD233" s="5">
        <f>IF(mos_metrics!L232="","",mos_metrics!L232)</f>
        <v/>
      </c>
      <c r="BE233" s="2">
        <f>AND($J233,ISNUMBER(BD233),correlation!$I$31=1)</f>
        <v/>
      </c>
      <c r="BF233" s="5">
        <f>IF(BE233,$F233,"")</f>
        <v/>
      </c>
      <c r="BG233" s="5">
        <f>IF(BE233,BD233*correlation!$J$31,"")</f>
        <v/>
      </c>
      <c r="BH233" s="5">
        <f>IF(AND(BE233,ISNUMBER(correlation!$F$31)),BG233*correlation!$F$31+correlation!$G$31,"")</f>
        <v/>
      </c>
      <c r="BI233" s="5">
        <f>IF(AND(BE233,ISNUMBER(BH233)),(BF233-BH233)^2,"")</f>
        <v/>
      </c>
      <c r="BJ233" s="5">
        <f>IF(BE233,1+SUMPRODUCT(--(calc!$BE$3:$BE$306=TRUE),--(calc!$BF$3:$BF$306&gt;BF233))+(SUMPRODUCT(--(calc!$BE$3:$BE$306=TRUE),--(calc!$BF$3:$BF$306=BF233))-1)/2,"")</f>
        <v/>
      </c>
      <c r="BK233" s="5">
        <f>IF(BE233,1+SUMPRODUCT(--(calc!$BE$3:$BE$306=TRUE),--(calc!$BG$3:$BG$306&gt;BG233))+(SUMPRODUCT(--(calc!$BE$3:$BE$306=TRUE),--(calc!$BG$3:$BG$306=BG233))-1)/2,"")</f>
        <v/>
      </c>
      <c r="BL233" s="5">
        <f>IF(BE233,SUMPRODUCT(--(calc!$BE$3:$BE$306=TRUE),--(ROW(calc!$BE$3:$BE$306)&gt;ROW(BE233)),--(((calc!$BJ$3:$BJ$306&gt;BJ233)*(calc!$BK$3:$BK$306&gt;BK233)+(calc!$BJ$3:$BJ$306&lt;BJ233)*(calc!$BK$3:$BK$306&lt;BK233))&gt;0))-SUMPRODUCT(--(calc!$BE$3:$BE$306=TRUE),--(ROW(calc!$BE$3:$BE$306)&gt;ROW(BE233)),--(((calc!$BJ$3:$BJ$306&gt;BJ233)*(calc!$BK$3:$BK$306&lt;BK233)+(calc!$BJ$3:$BJ$306&lt;BJ233)*(calc!$BK$3:$BK$306&gt;BK233))&gt;0)),0)</f>
        <v/>
      </c>
      <c r="BM233" s="5">
        <f>IF(mos_metrics!M232="","",mos_metrics!M232)</f>
        <v/>
      </c>
      <c r="BN233" s="2">
        <f>AND($J233,ISNUMBER(BM233),correlation!$I$32=1)</f>
        <v/>
      </c>
      <c r="BO233" s="5">
        <f>IF(BN233,$F233,"")</f>
        <v/>
      </c>
      <c r="BP233" s="5">
        <f>IF(BN233,BM233*correlation!$J$32,"")</f>
        <v/>
      </c>
      <c r="BQ233" s="5">
        <f>IF(AND(BN233,ISNUMBER(correlation!$F$32)),BP233*correlation!$F$32+correlation!$G$32,"")</f>
        <v/>
      </c>
      <c r="BR233" s="5">
        <f>IF(AND(BN233,ISNUMBER(BQ233)),(BO233-BQ233)^2,"")</f>
        <v/>
      </c>
      <c r="BS233" s="5">
        <f>IF(BN233,1+SUMPRODUCT(--(calc!$BN$3:$BN$306=TRUE),--(calc!$BO$3:$BO$306&gt;BO233))+(SUMPRODUCT(--(calc!$BN$3:$BN$306=TRUE),--(calc!$BO$3:$BO$306=BO233))-1)/2,"")</f>
        <v/>
      </c>
      <c r="BT233" s="5">
        <f>IF(BN233,1+SUMPRODUCT(--(calc!$BN$3:$BN$306=TRUE),--(calc!$BP$3:$BP$306&gt;BP233))+(SUMPRODUCT(--(calc!$BN$3:$BN$306=TRUE),--(calc!$BP$3:$BP$306=BP233))-1)/2,"")</f>
        <v/>
      </c>
      <c r="BU233" s="5">
        <f>IF(BN233,SUMPRODUCT(--(calc!$BN$3:$BN$306=TRUE),--(ROW(calc!$BN$3:$BN$306)&gt;ROW(BN233)),--(((calc!$BS$3:$BS$306&gt;BS233)*(calc!$BT$3:$BT$306&gt;BT233)+(calc!$BS$3:$BS$306&lt;BS233)*(calc!$BT$3:$BT$306&lt;BT233))&gt;0))-SUMPRODUCT(--(calc!$BN$3:$BN$306=TRUE),--(ROW(calc!$BN$3:$BN$306)&gt;ROW(BN233)),--(((calc!$BS$3:$BS$306&gt;BS233)*(calc!$BT$3:$BT$306&lt;BT233)+(calc!$BS$3:$BS$306&lt;BS233)*(calc!$BT$3:$BT$306&gt;BT233))&gt;0)),0)</f>
        <v/>
      </c>
    </row>
    <row r="234">
      <c r="A234" s="2">
        <f>mos_metrics!A233</f>
        <v/>
      </c>
      <c r="B234" s="2">
        <f>mos_metrics!B233</f>
        <v/>
      </c>
      <c r="C234" s="2">
        <f>mos_metrics!C233</f>
        <v/>
      </c>
      <c r="D234" s="2">
        <f>mos_metrics!D233</f>
        <v/>
      </c>
      <c r="E234" s="2">
        <f>mos_metrics!E233</f>
        <v/>
      </c>
      <c r="F234" s="2">
        <f>mos_metrics!F233</f>
        <v/>
      </c>
      <c r="G234" s="2">
        <f>IF($B234="","",IFERROR(VLOOKUP($B234,correlation!$A$2:$B$16,2,FALSE),1))</f>
        <v/>
      </c>
      <c r="H234" s="2">
        <f>IF($E234="","",IFERROR(VLOOKUP($E234,correlation!$D$2:$E$8,2,FALSE),1))</f>
        <v/>
      </c>
      <c r="I234" s="2">
        <f>ISNUMBER($F234)</f>
        <v/>
      </c>
      <c r="J234" s="2">
        <f>AND($G234=1,$H234=1,$I234)</f>
        <v/>
      </c>
      <c r="K234" s="5">
        <f>IF(mos_metrics!G233="","",mos_metrics!G233)</f>
        <v/>
      </c>
      <c r="L234" s="2">
        <f>AND($J234,ISNUMBER(K234),correlation!$I$26=1)</f>
        <v/>
      </c>
      <c r="M234" s="5">
        <f>IF(L234,$F234,"")</f>
        <v/>
      </c>
      <c r="N234" s="5">
        <f>IF(L234,K234*correlation!$J$26,"")</f>
        <v/>
      </c>
      <c r="O234" s="5">
        <f>IF(AND(L234,ISNUMBER(correlation!$F$26)),N234*correlation!$F$26+correlation!$G$26,"")</f>
        <v/>
      </c>
      <c r="P234" s="5">
        <f>IF(AND(L234,ISNUMBER(O234)),(M234-O234)^2,"")</f>
        <v/>
      </c>
      <c r="Q234" s="5">
        <f>IF(L234,1+SUMPRODUCT(--(calc!$L$3:$L$306=TRUE),--(calc!$M$3:$M$306&gt;M234))+(SUMPRODUCT(--(calc!$L$3:$L$306=TRUE),--(calc!$M$3:$M$306=M234))-1)/2,"")</f>
        <v/>
      </c>
      <c r="R234" s="5">
        <f>IF(L234,1+SUMPRODUCT(--(calc!$L$3:$L$306=TRUE),--(calc!$N$3:$N$306&gt;N234))+(SUMPRODUCT(--(calc!$L$3:$L$306=TRUE),--(calc!$N$3:$N$306=N234))-1)/2,"")</f>
        <v/>
      </c>
      <c r="S234" s="5">
        <f>IF(L234,SUMPRODUCT(--(calc!$L$3:$L$306=TRUE),--(ROW(calc!$L$3:$L$306)&gt;ROW(L234)),--(((calc!$Q$3:$Q$306&gt;Q234)*(calc!$R$3:$R$306&gt;R234)+(calc!$Q$3:$Q$306&lt;Q234)*(calc!$R$3:$R$306&lt;R234))&gt;0))-SUMPRODUCT(--(calc!$L$3:$L$306=TRUE),--(ROW(calc!$L$3:$L$306)&gt;ROW(L234)),--(((calc!$Q$3:$Q$306&gt;Q234)*(calc!$R$3:$R$306&lt;R234)+(calc!$Q$3:$Q$306&lt;Q234)*(calc!$R$3:$R$306&gt;R234))&gt;0)),0)</f>
        <v/>
      </c>
      <c r="T234" s="5">
        <f>IF(mos_metrics!H233="","",mos_metrics!H233)</f>
        <v/>
      </c>
      <c r="U234" s="2">
        <f>AND($J234,ISNUMBER(T234),correlation!$I$27=1)</f>
        <v/>
      </c>
      <c r="V234" s="5">
        <f>IF(U234,$F234,"")</f>
        <v/>
      </c>
      <c r="W234" s="5">
        <f>IF(U234,T234*correlation!$J$27,"")</f>
        <v/>
      </c>
      <c r="X234" s="5">
        <f>IF(AND(U234,ISNUMBER(correlation!$F$27)),W234*correlation!$F$27+correlation!$G$27,"")</f>
        <v/>
      </c>
      <c r="Y234" s="5">
        <f>IF(AND(U234,ISNUMBER(X234)),(V234-X234)^2,"")</f>
        <v/>
      </c>
      <c r="Z234" s="5">
        <f>IF(U234,1+SUMPRODUCT(--(calc!$U$3:$U$306=TRUE),--(calc!$V$3:$V$306&gt;V234))+(SUMPRODUCT(--(calc!$U$3:$U$306=TRUE),--(calc!$V$3:$V$306=V234))-1)/2,"")</f>
        <v/>
      </c>
      <c r="AA234" s="5">
        <f>IF(U234,1+SUMPRODUCT(--(calc!$U$3:$U$306=TRUE),--(calc!$W$3:$W$306&gt;W234))+(SUMPRODUCT(--(calc!$U$3:$U$306=TRUE),--(calc!$W$3:$W$306=W234))-1)/2,"")</f>
        <v/>
      </c>
      <c r="AB234" s="5">
        <f>IF(U234,SUMPRODUCT(--(calc!$U$3:$U$306=TRUE),--(ROW(calc!$U$3:$U$306)&gt;ROW(U234)),--(((calc!$Z$3:$Z$306&gt;Z234)*(calc!$AA$3:$AA$306&gt;AA234)+(calc!$Z$3:$Z$306&lt;Z234)*(calc!$AA$3:$AA$306&lt;AA234))&gt;0))-SUMPRODUCT(--(calc!$U$3:$U$306=TRUE),--(ROW(calc!$U$3:$U$306)&gt;ROW(U234)),--(((calc!$Z$3:$Z$306&gt;Z234)*(calc!$AA$3:$AA$306&lt;AA234)+(calc!$Z$3:$Z$306&lt;Z234)*(calc!$AA$3:$AA$306&gt;AA234))&gt;0)),0)</f>
        <v/>
      </c>
      <c r="AC234" s="5">
        <f>IF(mos_metrics!I233="","",mos_metrics!I233)</f>
        <v/>
      </c>
      <c r="AD234" s="2">
        <f>AND($J234,ISNUMBER(AC234),correlation!$I$28=1)</f>
        <v/>
      </c>
      <c r="AE234" s="5">
        <f>IF(AD234,$F234,"")</f>
        <v/>
      </c>
      <c r="AF234" s="5">
        <f>IF(AD234,AC234*correlation!$J$28,"")</f>
        <v/>
      </c>
      <c r="AG234" s="5">
        <f>IF(AND(AD234,ISNUMBER(correlation!$F$28)),AF234*correlation!$F$28+correlation!$G$28,"")</f>
        <v/>
      </c>
      <c r="AH234" s="5">
        <f>IF(AND(AD234,ISNUMBER(AG234)),(AE234-AG234)^2,"")</f>
        <v/>
      </c>
      <c r="AI234" s="5">
        <f>IF(AD234,1+SUMPRODUCT(--(calc!$AD$3:$AD$306=TRUE),--(calc!$AE$3:$AE$306&gt;AE234))+(SUMPRODUCT(--(calc!$AD$3:$AD$306=TRUE),--(calc!$AE$3:$AE$306=AE234))-1)/2,"")</f>
        <v/>
      </c>
      <c r="AJ234" s="5">
        <f>IF(AD234,1+SUMPRODUCT(--(calc!$AD$3:$AD$306=TRUE),--(calc!$AF$3:$AF$306&gt;AF234))+(SUMPRODUCT(--(calc!$AD$3:$AD$306=TRUE),--(calc!$AF$3:$AF$306=AF234))-1)/2,"")</f>
        <v/>
      </c>
      <c r="AK234" s="5">
        <f>IF(AD234,SUMPRODUCT(--(calc!$AD$3:$AD$306=TRUE),--(ROW(calc!$AD$3:$AD$306)&gt;ROW(AD234)),--(((calc!$AI$3:$AI$306&gt;AI234)*(calc!$AJ$3:$AJ$306&gt;AJ234)+(calc!$AI$3:$AI$306&lt;AI234)*(calc!$AJ$3:$AJ$306&lt;AJ234))&gt;0))-SUMPRODUCT(--(calc!$AD$3:$AD$306=TRUE),--(ROW(calc!$AD$3:$AD$306)&gt;ROW(AD234)),--(((calc!$AI$3:$AI$306&gt;AI234)*(calc!$AJ$3:$AJ$306&lt;AJ234)+(calc!$AI$3:$AI$306&lt;AI234)*(calc!$AJ$3:$AJ$306&gt;AJ234))&gt;0)),0)</f>
        <v/>
      </c>
      <c r="AL234" s="5">
        <f>IF(mos_metrics!J233="","",mos_metrics!J233)</f>
        <v/>
      </c>
      <c r="AM234" s="2">
        <f>AND($J234,ISNUMBER(AL234),correlation!$I$29=1)</f>
        <v/>
      </c>
      <c r="AN234" s="5">
        <f>IF(AM234,$F234,"")</f>
        <v/>
      </c>
      <c r="AO234" s="5">
        <f>IF(AM234,AL234*correlation!$J$29,"")</f>
        <v/>
      </c>
      <c r="AP234" s="5">
        <f>IF(AND(AM234,ISNUMBER(correlation!$F$29)),AO234*correlation!$F$29+correlation!$G$29,"")</f>
        <v/>
      </c>
      <c r="AQ234" s="5">
        <f>IF(AND(AM234,ISNUMBER(AP234)),(AN234-AP234)^2,"")</f>
        <v/>
      </c>
      <c r="AR234" s="5">
        <f>IF(AM234,1+SUMPRODUCT(--(calc!$AM$3:$AM$306=TRUE),--(calc!$AN$3:$AN$306&gt;AN234))+(SUMPRODUCT(--(calc!$AM$3:$AM$306=TRUE),--(calc!$AN$3:$AN$306=AN234))-1)/2,"")</f>
        <v/>
      </c>
      <c r="AS234" s="5">
        <f>IF(AM234,1+SUMPRODUCT(--(calc!$AM$3:$AM$306=TRUE),--(calc!$AO$3:$AO$306&gt;AO234))+(SUMPRODUCT(--(calc!$AM$3:$AM$306=TRUE),--(calc!$AO$3:$AO$306=AO234))-1)/2,"")</f>
        <v/>
      </c>
      <c r="AT234" s="5">
        <f>IF(AM234,SUMPRODUCT(--(calc!$AM$3:$AM$306=TRUE),--(ROW(calc!$AM$3:$AM$306)&gt;ROW(AM234)),--(((calc!$AR$3:$AR$306&gt;AR234)*(calc!$AS$3:$AS$306&gt;AS234)+(calc!$AR$3:$AR$306&lt;AR234)*(calc!$AS$3:$AS$306&lt;AS234))&gt;0))-SUMPRODUCT(--(calc!$AM$3:$AM$306=TRUE),--(ROW(calc!$AM$3:$AM$306)&gt;ROW(AM234)),--(((calc!$AR$3:$AR$306&gt;AR234)*(calc!$AS$3:$AS$306&lt;AS234)+(calc!$AR$3:$AR$306&lt;AR234)*(calc!$AS$3:$AS$306&gt;AS234))&gt;0)),0)</f>
        <v/>
      </c>
      <c r="AU234" s="5">
        <f>IF(mos_metrics!K233="","",mos_metrics!K233)</f>
        <v/>
      </c>
      <c r="AV234" s="2">
        <f>AND($J234,ISNUMBER(AU234),correlation!$I$30=1)</f>
        <v/>
      </c>
      <c r="AW234" s="5">
        <f>IF(AV234,$F234,"")</f>
        <v/>
      </c>
      <c r="AX234" s="5">
        <f>IF(AV234,AU234*correlation!$J$30,"")</f>
        <v/>
      </c>
      <c r="AY234" s="5">
        <f>IF(AND(AV234,ISNUMBER(correlation!$F$30)),AX234*correlation!$F$30+correlation!$G$30,"")</f>
        <v/>
      </c>
      <c r="AZ234" s="5">
        <f>IF(AND(AV234,ISNUMBER(AY234)),(AW234-AY234)^2,"")</f>
        <v/>
      </c>
      <c r="BA234" s="5">
        <f>IF(AV234,1+SUMPRODUCT(--(calc!$AV$3:$AV$306=TRUE),--(calc!$AW$3:$AW$306&gt;AW234))+(SUMPRODUCT(--(calc!$AV$3:$AV$306=TRUE),--(calc!$AW$3:$AW$306=AW234))-1)/2,"")</f>
        <v/>
      </c>
      <c r="BB234" s="5">
        <f>IF(AV234,1+SUMPRODUCT(--(calc!$AV$3:$AV$306=TRUE),--(calc!$AX$3:$AX$306&gt;AX234))+(SUMPRODUCT(--(calc!$AV$3:$AV$306=TRUE),--(calc!$AX$3:$AX$306=AX234))-1)/2,"")</f>
        <v/>
      </c>
      <c r="BC234" s="5">
        <f>IF(AV234,SUMPRODUCT(--(calc!$AV$3:$AV$306=TRUE),--(ROW(calc!$AV$3:$AV$306)&gt;ROW(AV234)),--(((calc!$BA$3:$BA$306&gt;BA234)*(calc!$BB$3:$BB$306&gt;BB234)+(calc!$BA$3:$BA$306&lt;BA234)*(calc!$BB$3:$BB$306&lt;BB234))&gt;0))-SUMPRODUCT(--(calc!$AV$3:$AV$306=TRUE),--(ROW(calc!$AV$3:$AV$306)&gt;ROW(AV234)),--(((calc!$BA$3:$BA$306&gt;BA234)*(calc!$BB$3:$BB$306&lt;BB234)+(calc!$BA$3:$BA$306&lt;BA234)*(calc!$BB$3:$BB$306&gt;BB234))&gt;0)),0)</f>
        <v/>
      </c>
      <c r="BD234" s="5">
        <f>IF(mos_metrics!L233="","",mos_metrics!L233)</f>
        <v/>
      </c>
      <c r="BE234" s="2">
        <f>AND($J234,ISNUMBER(BD234),correlation!$I$31=1)</f>
        <v/>
      </c>
      <c r="BF234" s="5">
        <f>IF(BE234,$F234,"")</f>
        <v/>
      </c>
      <c r="BG234" s="5">
        <f>IF(BE234,BD234*correlation!$J$31,"")</f>
        <v/>
      </c>
      <c r="BH234" s="5">
        <f>IF(AND(BE234,ISNUMBER(correlation!$F$31)),BG234*correlation!$F$31+correlation!$G$31,"")</f>
        <v/>
      </c>
      <c r="BI234" s="5">
        <f>IF(AND(BE234,ISNUMBER(BH234)),(BF234-BH234)^2,"")</f>
        <v/>
      </c>
      <c r="BJ234" s="5">
        <f>IF(BE234,1+SUMPRODUCT(--(calc!$BE$3:$BE$306=TRUE),--(calc!$BF$3:$BF$306&gt;BF234))+(SUMPRODUCT(--(calc!$BE$3:$BE$306=TRUE),--(calc!$BF$3:$BF$306=BF234))-1)/2,"")</f>
        <v/>
      </c>
      <c r="BK234" s="5">
        <f>IF(BE234,1+SUMPRODUCT(--(calc!$BE$3:$BE$306=TRUE),--(calc!$BG$3:$BG$306&gt;BG234))+(SUMPRODUCT(--(calc!$BE$3:$BE$306=TRUE),--(calc!$BG$3:$BG$306=BG234))-1)/2,"")</f>
        <v/>
      </c>
      <c r="BL234" s="5">
        <f>IF(BE234,SUMPRODUCT(--(calc!$BE$3:$BE$306=TRUE),--(ROW(calc!$BE$3:$BE$306)&gt;ROW(BE234)),--(((calc!$BJ$3:$BJ$306&gt;BJ234)*(calc!$BK$3:$BK$306&gt;BK234)+(calc!$BJ$3:$BJ$306&lt;BJ234)*(calc!$BK$3:$BK$306&lt;BK234))&gt;0))-SUMPRODUCT(--(calc!$BE$3:$BE$306=TRUE),--(ROW(calc!$BE$3:$BE$306)&gt;ROW(BE234)),--(((calc!$BJ$3:$BJ$306&gt;BJ234)*(calc!$BK$3:$BK$306&lt;BK234)+(calc!$BJ$3:$BJ$306&lt;BJ234)*(calc!$BK$3:$BK$306&gt;BK234))&gt;0)),0)</f>
        <v/>
      </c>
      <c r="BM234" s="5">
        <f>IF(mos_metrics!M233="","",mos_metrics!M233)</f>
        <v/>
      </c>
      <c r="BN234" s="2">
        <f>AND($J234,ISNUMBER(BM234),correlation!$I$32=1)</f>
        <v/>
      </c>
      <c r="BO234" s="5">
        <f>IF(BN234,$F234,"")</f>
        <v/>
      </c>
      <c r="BP234" s="5">
        <f>IF(BN234,BM234*correlation!$J$32,"")</f>
        <v/>
      </c>
      <c r="BQ234" s="5">
        <f>IF(AND(BN234,ISNUMBER(correlation!$F$32)),BP234*correlation!$F$32+correlation!$G$32,"")</f>
        <v/>
      </c>
      <c r="BR234" s="5">
        <f>IF(AND(BN234,ISNUMBER(BQ234)),(BO234-BQ234)^2,"")</f>
        <v/>
      </c>
      <c r="BS234" s="5">
        <f>IF(BN234,1+SUMPRODUCT(--(calc!$BN$3:$BN$306=TRUE),--(calc!$BO$3:$BO$306&gt;BO234))+(SUMPRODUCT(--(calc!$BN$3:$BN$306=TRUE),--(calc!$BO$3:$BO$306=BO234))-1)/2,"")</f>
        <v/>
      </c>
      <c r="BT234" s="5">
        <f>IF(BN234,1+SUMPRODUCT(--(calc!$BN$3:$BN$306=TRUE),--(calc!$BP$3:$BP$306&gt;BP234))+(SUMPRODUCT(--(calc!$BN$3:$BN$306=TRUE),--(calc!$BP$3:$BP$306=BP234))-1)/2,"")</f>
        <v/>
      </c>
      <c r="BU234" s="5">
        <f>IF(BN234,SUMPRODUCT(--(calc!$BN$3:$BN$306=TRUE),--(ROW(calc!$BN$3:$BN$306)&gt;ROW(BN234)),--(((calc!$BS$3:$BS$306&gt;BS234)*(calc!$BT$3:$BT$306&gt;BT234)+(calc!$BS$3:$BS$306&lt;BS234)*(calc!$BT$3:$BT$306&lt;BT234))&gt;0))-SUMPRODUCT(--(calc!$BN$3:$BN$306=TRUE),--(ROW(calc!$BN$3:$BN$306)&gt;ROW(BN234)),--(((calc!$BS$3:$BS$306&gt;BS234)*(calc!$BT$3:$BT$306&lt;BT234)+(calc!$BS$3:$BS$306&lt;BS234)*(calc!$BT$3:$BT$306&gt;BT234))&gt;0)),0)</f>
        <v/>
      </c>
    </row>
    <row r="235">
      <c r="A235" s="2">
        <f>mos_metrics!A234</f>
        <v/>
      </c>
      <c r="B235" s="2">
        <f>mos_metrics!B234</f>
        <v/>
      </c>
      <c r="C235" s="2">
        <f>mos_metrics!C234</f>
        <v/>
      </c>
      <c r="D235" s="2">
        <f>mos_metrics!D234</f>
        <v/>
      </c>
      <c r="E235" s="2">
        <f>mos_metrics!E234</f>
        <v/>
      </c>
      <c r="F235" s="2">
        <f>mos_metrics!F234</f>
        <v/>
      </c>
      <c r="G235" s="2">
        <f>IF($B235="","",IFERROR(VLOOKUP($B235,correlation!$A$2:$B$16,2,FALSE),1))</f>
        <v/>
      </c>
      <c r="H235" s="2">
        <f>IF($E235="","",IFERROR(VLOOKUP($E235,correlation!$D$2:$E$8,2,FALSE),1))</f>
        <v/>
      </c>
      <c r="I235" s="2">
        <f>ISNUMBER($F235)</f>
        <v/>
      </c>
      <c r="J235" s="2">
        <f>AND($G235=1,$H235=1,$I235)</f>
        <v/>
      </c>
      <c r="K235" s="5">
        <f>IF(mos_metrics!G234="","",mos_metrics!G234)</f>
        <v/>
      </c>
      <c r="L235" s="2">
        <f>AND($J235,ISNUMBER(K235),correlation!$I$26=1)</f>
        <v/>
      </c>
      <c r="M235" s="5">
        <f>IF(L235,$F235,"")</f>
        <v/>
      </c>
      <c r="N235" s="5">
        <f>IF(L235,K235*correlation!$J$26,"")</f>
        <v/>
      </c>
      <c r="O235" s="5">
        <f>IF(AND(L235,ISNUMBER(correlation!$F$26)),N235*correlation!$F$26+correlation!$G$26,"")</f>
        <v/>
      </c>
      <c r="P235" s="5">
        <f>IF(AND(L235,ISNUMBER(O235)),(M235-O235)^2,"")</f>
        <v/>
      </c>
      <c r="Q235" s="5">
        <f>IF(L235,1+SUMPRODUCT(--(calc!$L$3:$L$306=TRUE),--(calc!$M$3:$M$306&gt;M235))+(SUMPRODUCT(--(calc!$L$3:$L$306=TRUE),--(calc!$M$3:$M$306=M235))-1)/2,"")</f>
        <v/>
      </c>
      <c r="R235" s="5">
        <f>IF(L235,1+SUMPRODUCT(--(calc!$L$3:$L$306=TRUE),--(calc!$N$3:$N$306&gt;N235))+(SUMPRODUCT(--(calc!$L$3:$L$306=TRUE),--(calc!$N$3:$N$306=N235))-1)/2,"")</f>
        <v/>
      </c>
      <c r="S235" s="5">
        <f>IF(L235,SUMPRODUCT(--(calc!$L$3:$L$306=TRUE),--(ROW(calc!$L$3:$L$306)&gt;ROW(L235)),--(((calc!$Q$3:$Q$306&gt;Q235)*(calc!$R$3:$R$306&gt;R235)+(calc!$Q$3:$Q$306&lt;Q235)*(calc!$R$3:$R$306&lt;R235))&gt;0))-SUMPRODUCT(--(calc!$L$3:$L$306=TRUE),--(ROW(calc!$L$3:$L$306)&gt;ROW(L235)),--(((calc!$Q$3:$Q$306&gt;Q235)*(calc!$R$3:$R$306&lt;R235)+(calc!$Q$3:$Q$306&lt;Q235)*(calc!$R$3:$R$306&gt;R235))&gt;0)),0)</f>
        <v/>
      </c>
      <c r="T235" s="5">
        <f>IF(mos_metrics!H234="","",mos_metrics!H234)</f>
        <v/>
      </c>
      <c r="U235" s="2">
        <f>AND($J235,ISNUMBER(T235),correlation!$I$27=1)</f>
        <v/>
      </c>
      <c r="V235" s="5">
        <f>IF(U235,$F235,"")</f>
        <v/>
      </c>
      <c r="W235" s="5">
        <f>IF(U235,T235*correlation!$J$27,"")</f>
        <v/>
      </c>
      <c r="X235" s="5">
        <f>IF(AND(U235,ISNUMBER(correlation!$F$27)),W235*correlation!$F$27+correlation!$G$27,"")</f>
        <v/>
      </c>
      <c r="Y235" s="5">
        <f>IF(AND(U235,ISNUMBER(X235)),(V235-X235)^2,"")</f>
        <v/>
      </c>
      <c r="Z235" s="5">
        <f>IF(U235,1+SUMPRODUCT(--(calc!$U$3:$U$306=TRUE),--(calc!$V$3:$V$306&gt;V235))+(SUMPRODUCT(--(calc!$U$3:$U$306=TRUE),--(calc!$V$3:$V$306=V235))-1)/2,"")</f>
        <v/>
      </c>
      <c r="AA235" s="5">
        <f>IF(U235,1+SUMPRODUCT(--(calc!$U$3:$U$306=TRUE),--(calc!$W$3:$W$306&gt;W235))+(SUMPRODUCT(--(calc!$U$3:$U$306=TRUE),--(calc!$W$3:$W$306=W235))-1)/2,"")</f>
        <v/>
      </c>
      <c r="AB235" s="5">
        <f>IF(U235,SUMPRODUCT(--(calc!$U$3:$U$306=TRUE),--(ROW(calc!$U$3:$U$306)&gt;ROW(U235)),--(((calc!$Z$3:$Z$306&gt;Z235)*(calc!$AA$3:$AA$306&gt;AA235)+(calc!$Z$3:$Z$306&lt;Z235)*(calc!$AA$3:$AA$306&lt;AA235))&gt;0))-SUMPRODUCT(--(calc!$U$3:$U$306=TRUE),--(ROW(calc!$U$3:$U$306)&gt;ROW(U235)),--(((calc!$Z$3:$Z$306&gt;Z235)*(calc!$AA$3:$AA$306&lt;AA235)+(calc!$Z$3:$Z$306&lt;Z235)*(calc!$AA$3:$AA$306&gt;AA235))&gt;0)),0)</f>
        <v/>
      </c>
      <c r="AC235" s="5">
        <f>IF(mos_metrics!I234="","",mos_metrics!I234)</f>
        <v/>
      </c>
      <c r="AD235" s="2">
        <f>AND($J235,ISNUMBER(AC235),correlation!$I$28=1)</f>
        <v/>
      </c>
      <c r="AE235" s="5">
        <f>IF(AD235,$F235,"")</f>
        <v/>
      </c>
      <c r="AF235" s="5">
        <f>IF(AD235,AC235*correlation!$J$28,"")</f>
        <v/>
      </c>
      <c r="AG235" s="5">
        <f>IF(AND(AD235,ISNUMBER(correlation!$F$28)),AF235*correlation!$F$28+correlation!$G$28,"")</f>
        <v/>
      </c>
      <c r="AH235" s="5">
        <f>IF(AND(AD235,ISNUMBER(AG235)),(AE235-AG235)^2,"")</f>
        <v/>
      </c>
      <c r="AI235" s="5">
        <f>IF(AD235,1+SUMPRODUCT(--(calc!$AD$3:$AD$306=TRUE),--(calc!$AE$3:$AE$306&gt;AE235))+(SUMPRODUCT(--(calc!$AD$3:$AD$306=TRUE),--(calc!$AE$3:$AE$306=AE235))-1)/2,"")</f>
        <v/>
      </c>
      <c r="AJ235" s="5">
        <f>IF(AD235,1+SUMPRODUCT(--(calc!$AD$3:$AD$306=TRUE),--(calc!$AF$3:$AF$306&gt;AF235))+(SUMPRODUCT(--(calc!$AD$3:$AD$306=TRUE),--(calc!$AF$3:$AF$306=AF235))-1)/2,"")</f>
        <v/>
      </c>
      <c r="AK235" s="5">
        <f>IF(AD235,SUMPRODUCT(--(calc!$AD$3:$AD$306=TRUE),--(ROW(calc!$AD$3:$AD$306)&gt;ROW(AD235)),--(((calc!$AI$3:$AI$306&gt;AI235)*(calc!$AJ$3:$AJ$306&gt;AJ235)+(calc!$AI$3:$AI$306&lt;AI235)*(calc!$AJ$3:$AJ$306&lt;AJ235))&gt;0))-SUMPRODUCT(--(calc!$AD$3:$AD$306=TRUE),--(ROW(calc!$AD$3:$AD$306)&gt;ROW(AD235)),--(((calc!$AI$3:$AI$306&gt;AI235)*(calc!$AJ$3:$AJ$306&lt;AJ235)+(calc!$AI$3:$AI$306&lt;AI235)*(calc!$AJ$3:$AJ$306&gt;AJ235))&gt;0)),0)</f>
        <v/>
      </c>
      <c r="AL235" s="5">
        <f>IF(mos_metrics!J234="","",mos_metrics!J234)</f>
        <v/>
      </c>
      <c r="AM235" s="2">
        <f>AND($J235,ISNUMBER(AL235),correlation!$I$29=1)</f>
        <v/>
      </c>
      <c r="AN235" s="5">
        <f>IF(AM235,$F235,"")</f>
        <v/>
      </c>
      <c r="AO235" s="5">
        <f>IF(AM235,AL235*correlation!$J$29,"")</f>
        <v/>
      </c>
      <c r="AP235" s="5">
        <f>IF(AND(AM235,ISNUMBER(correlation!$F$29)),AO235*correlation!$F$29+correlation!$G$29,"")</f>
        <v/>
      </c>
      <c r="AQ235" s="5">
        <f>IF(AND(AM235,ISNUMBER(AP235)),(AN235-AP235)^2,"")</f>
        <v/>
      </c>
      <c r="AR235" s="5">
        <f>IF(AM235,1+SUMPRODUCT(--(calc!$AM$3:$AM$306=TRUE),--(calc!$AN$3:$AN$306&gt;AN235))+(SUMPRODUCT(--(calc!$AM$3:$AM$306=TRUE),--(calc!$AN$3:$AN$306=AN235))-1)/2,"")</f>
        <v/>
      </c>
      <c r="AS235" s="5">
        <f>IF(AM235,1+SUMPRODUCT(--(calc!$AM$3:$AM$306=TRUE),--(calc!$AO$3:$AO$306&gt;AO235))+(SUMPRODUCT(--(calc!$AM$3:$AM$306=TRUE),--(calc!$AO$3:$AO$306=AO235))-1)/2,"")</f>
        <v/>
      </c>
      <c r="AT235" s="5">
        <f>IF(AM235,SUMPRODUCT(--(calc!$AM$3:$AM$306=TRUE),--(ROW(calc!$AM$3:$AM$306)&gt;ROW(AM235)),--(((calc!$AR$3:$AR$306&gt;AR235)*(calc!$AS$3:$AS$306&gt;AS235)+(calc!$AR$3:$AR$306&lt;AR235)*(calc!$AS$3:$AS$306&lt;AS235))&gt;0))-SUMPRODUCT(--(calc!$AM$3:$AM$306=TRUE),--(ROW(calc!$AM$3:$AM$306)&gt;ROW(AM235)),--(((calc!$AR$3:$AR$306&gt;AR235)*(calc!$AS$3:$AS$306&lt;AS235)+(calc!$AR$3:$AR$306&lt;AR235)*(calc!$AS$3:$AS$306&gt;AS235))&gt;0)),0)</f>
        <v/>
      </c>
      <c r="AU235" s="5">
        <f>IF(mos_metrics!K234="","",mos_metrics!K234)</f>
        <v/>
      </c>
      <c r="AV235" s="2">
        <f>AND($J235,ISNUMBER(AU235),correlation!$I$30=1)</f>
        <v/>
      </c>
      <c r="AW235" s="5">
        <f>IF(AV235,$F235,"")</f>
        <v/>
      </c>
      <c r="AX235" s="5">
        <f>IF(AV235,AU235*correlation!$J$30,"")</f>
        <v/>
      </c>
      <c r="AY235" s="5">
        <f>IF(AND(AV235,ISNUMBER(correlation!$F$30)),AX235*correlation!$F$30+correlation!$G$30,"")</f>
        <v/>
      </c>
      <c r="AZ235" s="5">
        <f>IF(AND(AV235,ISNUMBER(AY235)),(AW235-AY235)^2,"")</f>
        <v/>
      </c>
      <c r="BA235" s="5">
        <f>IF(AV235,1+SUMPRODUCT(--(calc!$AV$3:$AV$306=TRUE),--(calc!$AW$3:$AW$306&gt;AW235))+(SUMPRODUCT(--(calc!$AV$3:$AV$306=TRUE),--(calc!$AW$3:$AW$306=AW235))-1)/2,"")</f>
        <v/>
      </c>
      <c r="BB235" s="5">
        <f>IF(AV235,1+SUMPRODUCT(--(calc!$AV$3:$AV$306=TRUE),--(calc!$AX$3:$AX$306&gt;AX235))+(SUMPRODUCT(--(calc!$AV$3:$AV$306=TRUE),--(calc!$AX$3:$AX$306=AX235))-1)/2,"")</f>
        <v/>
      </c>
      <c r="BC235" s="5">
        <f>IF(AV235,SUMPRODUCT(--(calc!$AV$3:$AV$306=TRUE),--(ROW(calc!$AV$3:$AV$306)&gt;ROW(AV235)),--(((calc!$BA$3:$BA$306&gt;BA235)*(calc!$BB$3:$BB$306&gt;BB235)+(calc!$BA$3:$BA$306&lt;BA235)*(calc!$BB$3:$BB$306&lt;BB235))&gt;0))-SUMPRODUCT(--(calc!$AV$3:$AV$306=TRUE),--(ROW(calc!$AV$3:$AV$306)&gt;ROW(AV235)),--(((calc!$BA$3:$BA$306&gt;BA235)*(calc!$BB$3:$BB$306&lt;BB235)+(calc!$BA$3:$BA$306&lt;BA235)*(calc!$BB$3:$BB$306&gt;BB235))&gt;0)),0)</f>
        <v/>
      </c>
      <c r="BD235" s="5">
        <f>IF(mos_metrics!L234="","",mos_metrics!L234)</f>
        <v/>
      </c>
      <c r="BE235" s="2">
        <f>AND($J235,ISNUMBER(BD235),correlation!$I$31=1)</f>
        <v/>
      </c>
      <c r="BF235" s="5">
        <f>IF(BE235,$F235,"")</f>
        <v/>
      </c>
      <c r="BG235" s="5">
        <f>IF(BE235,BD235*correlation!$J$31,"")</f>
        <v/>
      </c>
      <c r="BH235" s="5">
        <f>IF(AND(BE235,ISNUMBER(correlation!$F$31)),BG235*correlation!$F$31+correlation!$G$31,"")</f>
        <v/>
      </c>
      <c r="BI235" s="5">
        <f>IF(AND(BE235,ISNUMBER(BH235)),(BF235-BH235)^2,"")</f>
        <v/>
      </c>
      <c r="BJ235" s="5">
        <f>IF(BE235,1+SUMPRODUCT(--(calc!$BE$3:$BE$306=TRUE),--(calc!$BF$3:$BF$306&gt;BF235))+(SUMPRODUCT(--(calc!$BE$3:$BE$306=TRUE),--(calc!$BF$3:$BF$306=BF235))-1)/2,"")</f>
        <v/>
      </c>
      <c r="BK235" s="5">
        <f>IF(BE235,1+SUMPRODUCT(--(calc!$BE$3:$BE$306=TRUE),--(calc!$BG$3:$BG$306&gt;BG235))+(SUMPRODUCT(--(calc!$BE$3:$BE$306=TRUE),--(calc!$BG$3:$BG$306=BG235))-1)/2,"")</f>
        <v/>
      </c>
      <c r="BL235" s="5">
        <f>IF(BE235,SUMPRODUCT(--(calc!$BE$3:$BE$306=TRUE),--(ROW(calc!$BE$3:$BE$306)&gt;ROW(BE235)),--(((calc!$BJ$3:$BJ$306&gt;BJ235)*(calc!$BK$3:$BK$306&gt;BK235)+(calc!$BJ$3:$BJ$306&lt;BJ235)*(calc!$BK$3:$BK$306&lt;BK235))&gt;0))-SUMPRODUCT(--(calc!$BE$3:$BE$306=TRUE),--(ROW(calc!$BE$3:$BE$306)&gt;ROW(BE235)),--(((calc!$BJ$3:$BJ$306&gt;BJ235)*(calc!$BK$3:$BK$306&lt;BK235)+(calc!$BJ$3:$BJ$306&lt;BJ235)*(calc!$BK$3:$BK$306&gt;BK235))&gt;0)),0)</f>
        <v/>
      </c>
      <c r="BM235" s="5">
        <f>IF(mos_metrics!M234="","",mos_metrics!M234)</f>
        <v/>
      </c>
      <c r="BN235" s="2">
        <f>AND($J235,ISNUMBER(BM235),correlation!$I$32=1)</f>
        <v/>
      </c>
      <c r="BO235" s="5">
        <f>IF(BN235,$F235,"")</f>
        <v/>
      </c>
      <c r="BP235" s="5">
        <f>IF(BN235,BM235*correlation!$J$32,"")</f>
        <v/>
      </c>
      <c r="BQ235" s="5">
        <f>IF(AND(BN235,ISNUMBER(correlation!$F$32)),BP235*correlation!$F$32+correlation!$G$32,"")</f>
        <v/>
      </c>
      <c r="BR235" s="5">
        <f>IF(AND(BN235,ISNUMBER(BQ235)),(BO235-BQ235)^2,"")</f>
        <v/>
      </c>
      <c r="BS235" s="5">
        <f>IF(BN235,1+SUMPRODUCT(--(calc!$BN$3:$BN$306=TRUE),--(calc!$BO$3:$BO$306&gt;BO235))+(SUMPRODUCT(--(calc!$BN$3:$BN$306=TRUE),--(calc!$BO$3:$BO$306=BO235))-1)/2,"")</f>
        <v/>
      </c>
      <c r="BT235" s="5">
        <f>IF(BN235,1+SUMPRODUCT(--(calc!$BN$3:$BN$306=TRUE),--(calc!$BP$3:$BP$306&gt;BP235))+(SUMPRODUCT(--(calc!$BN$3:$BN$306=TRUE),--(calc!$BP$3:$BP$306=BP235))-1)/2,"")</f>
        <v/>
      </c>
      <c r="BU235" s="5">
        <f>IF(BN235,SUMPRODUCT(--(calc!$BN$3:$BN$306=TRUE),--(ROW(calc!$BN$3:$BN$306)&gt;ROW(BN235)),--(((calc!$BS$3:$BS$306&gt;BS235)*(calc!$BT$3:$BT$306&gt;BT235)+(calc!$BS$3:$BS$306&lt;BS235)*(calc!$BT$3:$BT$306&lt;BT235))&gt;0))-SUMPRODUCT(--(calc!$BN$3:$BN$306=TRUE),--(ROW(calc!$BN$3:$BN$306)&gt;ROW(BN235)),--(((calc!$BS$3:$BS$306&gt;BS235)*(calc!$BT$3:$BT$306&lt;BT235)+(calc!$BS$3:$BS$306&lt;BS235)*(calc!$BT$3:$BT$306&gt;BT235))&gt;0)),0)</f>
        <v/>
      </c>
    </row>
    <row r="236">
      <c r="A236" s="2">
        <f>mos_metrics!A235</f>
        <v/>
      </c>
      <c r="B236" s="2">
        <f>mos_metrics!B235</f>
        <v/>
      </c>
      <c r="C236" s="2">
        <f>mos_metrics!C235</f>
        <v/>
      </c>
      <c r="D236" s="2">
        <f>mos_metrics!D235</f>
        <v/>
      </c>
      <c r="E236" s="2">
        <f>mos_metrics!E235</f>
        <v/>
      </c>
      <c r="F236" s="2">
        <f>mos_metrics!F235</f>
        <v/>
      </c>
      <c r="G236" s="2">
        <f>IF($B236="","",IFERROR(VLOOKUP($B236,correlation!$A$2:$B$16,2,FALSE),1))</f>
        <v/>
      </c>
      <c r="H236" s="2">
        <f>IF($E236="","",IFERROR(VLOOKUP($E236,correlation!$D$2:$E$8,2,FALSE),1))</f>
        <v/>
      </c>
      <c r="I236" s="2">
        <f>ISNUMBER($F236)</f>
        <v/>
      </c>
      <c r="J236" s="2">
        <f>AND($G236=1,$H236=1,$I236)</f>
        <v/>
      </c>
      <c r="K236" s="5">
        <f>IF(mos_metrics!G235="","",mos_metrics!G235)</f>
        <v/>
      </c>
      <c r="L236" s="2">
        <f>AND($J236,ISNUMBER(K236),correlation!$I$26=1)</f>
        <v/>
      </c>
      <c r="M236" s="5">
        <f>IF(L236,$F236,"")</f>
        <v/>
      </c>
      <c r="N236" s="5">
        <f>IF(L236,K236*correlation!$J$26,"")</f>
        <v/>
      </c>
      <c r="O236" s="5">
        <f>IF(AND(L236,ISNUMBER(correlation!$F$26)),N236*correlation!$F$26+correlation!$G$26,"")</f>
        <v/>
      </c>
      <c r="P236" s="5">
        <f>IF(AND(L236,ISNUMBER(O236)),(M236-O236)^2,"")</f>
        <v/>
      </c>
      <c r="Q236" s="5">
        <f>IF(L236,1+SUMPRODUCT(--(calc!$L$3:$L$306=TRUE),--(calc!$M$3:$M$306&gt;M236))+(SUMPRODUCT(--(calc!$L$3:$L$306=TRUE),--(calc!$M$3:$M$306=M236))-1)/2,"")</f>
        <v/>
      </c>
      <c r="R236" s="5">
        <f>IF(L236,1+SUMPRODUCT(--(calc!$L$3:$L$306=TRUE),--(calc!$N$3:$N$306&gt;N236))+(SUMPRODUCT(--(calc!$L$3:$L$306=TRUE),--(calc!$N$3:$N$306=N236))-1)/2,"")</f>
        <v/>
      </c>
      <c r="S236" s="5">
        <f>IF(L236,SUMPRODUCT(--(calc!$L$3:$L$306=TRUE),--(ROW(calc!$L$3:$L$306)&gt;ROW(L236)),--(((calc!$Q$3:$Q$306&gt;Q236)*(calc!$R$3:$R$306&gt;R236)+(calc!$Q$3:$Q$306&lt;Q236)*(calc!$R$3:$R$306&lt;R236))&gt;0))-SUMPRODUCT(--(calc!$L$3:$L$306=TRUE),--(ROW(calc!$L$3:$L$306)&gt;ROW(L236)),--(((calc!$Q$3:$Q$306&gt;Q236)*(calc!$R$3:$R$306&lt;R236)+(calc!$Q$3:$Q$306&lt;Q236)*(calc!$R$3:$R$306&gt;R236))&gt;0)),0)</f>
        <v/>
      </c>
      <c r="T236" s="5">
        <f>IF(mos_metrics!H235="","",mos_metrics!H235)</f>
        <v/>
      </c>
      <c r="U236" s="2">
        <f>AND($J236,ISNUMBER(T236),correlation!$I$27=1)</f>
        <v/>
      </c>
      <c r="V236" s="5">
        <f>IF(U236,$F236,"")</f>
        <v/>
      </c>
      <c r="W236" s="5">
        <f>IF(U236,T236*correlation!$J$27,"")</f>
        <v/>
      </c>
      <c r="X236" s="5">
        <f>IF(AND(U236,ISNUMBER(correlation!$F$27)),W236*correlation!$F$27+correlation!$G$27,"")</f>
        <v/>
      </c>
      <c r="Y236" s="5">
        <f>IF(AND(U236,ISNUMBER(X236)),(V236-X236)^2,"")</f>
        <v/>
      </c>
      <c r="Z236" s="5">
        <f>IF(U236,1+SUMPRODUCT(--(calc!$U$3:$U$306=TRUE),--(calc!$V$3:$V$306&gt;V236))+(SUMPRODUCT(--(calc!$U$3:$U$306=TRUE),--(calc!$V$3:$V$306=V236))-1)/2,"")</f>
        <v/>
      </c>
      <c r="AA236" s="5">
        <f>IF(U236,1+SUMPRODUCT(--(calc!$U$3:$U$306=TRUE),--(calc!$W$3:$W$306&gt;W236))+(SUMPRODUCT(--(calc!$U$3:$U$306=TRUE),--(calc!$W$3:$W$306=W236))-1)/2,"")</f>
        <v/>
      </c>
      <c r="AB236" s="5">
        <f>IF(U236,SUMPRODUCT(--(calc!$U$3:$U$306=TRUE),--(ROW(calc!$U$3:$U$306)&gt;ROW(U236)),--(((calc!$Z$3:$Z$306&gt;Z236)*(calc!$AA$3:$AA$306&gt;AA236)+(calc!$Z$3:$Z$306&lt;Z236)*(calc!$AA$3:$AA$306&lt;AA236))&gt;0))-SUMPRODUCT(--(calc!$U$3:$U$306=TRUE),--(ROW(calc!$U$3:$U$306)&gt;ROW(U236)),--(((calc!$Z$3:$Z$306&gt;Z236)*(calc!$AA$3:$AA$306&lt;AA236)+(calc!$Z$3:$Z$306&lt;Z236)*(calc!$AA$3:$AA$306&gt;AA236))&gt;0)),0)</f>
        <v/>
      </c>
      <c r="AC236" s="5">
        <f>IF(mos_metrics!I235="","",mos_metrics!I235)</f>
        <v/>
      </c>
      <c r="AD236" s="2">
        <f>AND($J236,ISNUMBER(AC236),correlation!$I$28=1)</f>
        <v/>
      </c>
      <c r="AE236" s="5">
        <f>IF(AD236,$F236,"")</f>
        <v/>
      </c>
      <c r="AF236" s="5">
        <f>IF(AD236,AC236*correlation!$J$28,"")</f>
        <v/>
      </c>
      <c r="AG236" s="5">
        <f>IF(AND(AD236,ISNUMBER(correlation!$F$28)),AF236*correlation!$F$28+correlation!$G$28,"")</f>
        <v/>
      </c>
      <c r="AH236" s="5">
        <f>IF(AND(AD236,ISNUMBER(AG236)),(AE236-AG236)^2,"")</f>
        <v/>
      </c>
      <c r="AI236" s="5">
        <f>IF(AD236,1+SUMPRODUCT(--(calc!$AD$3:$AD$306=TRUE),--(calc!$AE$3:$AE$306&gt;AE236))+(SUMPRODUCT(--(calc!$AD$3:$AD$306=TRUE),--(calc!$AE$3:$AE$306=AE236))-1)/2,"")</f>
        <v/>
      </c>
      <c r="AJ236" s="5">
        <f>IF(AD236,1+SUMPRODUCT(--(calc!$AD$3:$AD$306=TRUE),--(calc!$AF$3:$AF$306&gt;AF236))+(SUMPRODUCT(--(calc!$AD$3:$AD$306=TRUE),--(calc!$AF$3:$AF$306=AF236))-1)/2,"")</f>
        <v/>
      </c>
      <c r="AK236" s="5">
        <f>IF(AD236,SUMPRODUCT(--(calc!$AD$3:$AD$306=TRUE),--(ROW(calc!$AD$3:$AD$306)&gt;ROW(AD236)),--(((calc!$AI$3:$AI$306&gt;AI236)*(calc!$AJ$3:$AJ$306&gt;AJ236)+(calc!$AI$3:$AI$306&lt;AI236)*(calc!$AJ$3:$AJ$306&lt;AJ236))&gt;0))-SUMPRODUCT(--(calc!$AD$3:$AD$306=TRUE),--(ROW(calc!$AD$3:$AD$306)&gt;ROW(AD236)),--(((calc!$AI$3:$AI$306&gt;AI236)*(calc!$AJ$3:$AJ$306&lt;AJ236)+(calc!$AI$3:$AI$306&lt;AI236)*(calc!$AJ$3:$AJ$306&gt;AJ236))&gt;0)),0)</f>
        <v/>
      </c>
      <c r="AL236" s="5">
        <f>IF(mos_metrics!J235="","",mos_metrics!J235)</f>
        <v/>
      </c>
      <c r="AM236" s="2">
        <f>AND($J236,ISNUMBER(AL236),correlation!$I$29=1)</f>
        <v/>
      </c>
      <c r="AN236" s="5">
        <f>IF(AM236,$F236,"")</f>
        <v/>
      </c>
      <c r="AO236" s="5">
        <f>IF(AM236,AL236*correlation!$J$29,"")</f>
        <v/>
      </c>
      <c r="AP236" s="5">
        <f>IF(AND(AM236,ISNUMBER(correlation!$F$29)),AO236*correlation!$F$29+correlation!$G$29,"")</f>
        <v/>
      </c>
      <c r="AQ236" s="5">
        <f>IF(AND(AM236,ISNUMBER(AP236)),(AN236-AP236)^2,"")</f>
        <v/>
      </c>
      <c r="AR236" s="5">
        <f>IF(AM236,1+SUMPRODUCT(--(calc!$AM$3:$AM$306=TRUE),--(calc!$AN$3:$AN$306&gt;AN236))+(SUMPRODUCT(--(calc!$AM$3:$AM$306=TRUE),--(calc!$AN$3:$AN$306=AN236))-1)/2,"")</f>
        <v/>
      </c>
      <c r="AS236" s="5">
        <f>IF(AM236,1+SUMPRODUCT(--(calc!$AM$3:$AM$306=TRUE),--(calc!$AO$3:$AO$306&gt;AO236))+(SUMPRODUCT(--(calc!$AM$3:$AM$306=TRUE),--(calc!$AO$3:$AO$306=AO236))-1)/2,"")</f>
        <v/>
      </c>
      <c r="AT236" s="5">
        <f>IF(AM236,SUMPRODUCT(--(calc!$AM$3:$AM$306=TRUE),--(ROW(calc!$AM$3:$AM$306)&gt;ROW(AM236)),--(((calc!$AR$3:$AR$306&gt;AR236)*(calc!$AS$3:$AS$306&gt;AS236)+(calc!$AR$3:$AR$306&lt;AR236)*(calc!$AS$3:$AS$306&lt;AS236))&gt;0))-SUMPRODUCT(--(calc!$AM$3:$AM$306=TRUE),--(ROW(calc!$AM$3:$AM$306)&gt;ROW(AM236)),--(((calc!$AR$3:$AR$306&gt;AR236)*(calc!$AS$3:$AS$306&lt;AS236)+(calc!$AR$3:$AR$306&lt;AR236)*(calc!$AS$3:$AS$306&gt;AS236))&gt;0)),0)</f>
        <v/>
      </c>
      <c r="AU236" s="5">
        <f>IF(mos_metrics!K235="","",mos_metrics!K235)</f>
        <v/>
      </c>
      <c r="AV236" s="2">
        <f>AND($J236,ISNUMBER(AU236),correlation!$I$30=1)</f>
        <v/>
      </c>
      <c r="AW236" s="5">
        <f>IF(AV236,$F236,"")</f>
        <v/>
      </c>
      <c r="AX236" s="5">
        <f>IF(AV236,AU236*correlation!$J$30,"")</f>
        <v/>
      </c>
      <c r="AY236" s="5">
        <f>IF(AND(AV236,ISNUMBER(correlation!$F$30)),AX236*correlation!$F$30+correlation!$G$30,"")</f>
        <v/>
      </c>
      <c r="AZ236" s="5">
        <f>IF(AND(AV236,ISNUMBER(AY236)),(AW236-AY236)^2,"")</f>
        <v/>
      </c>
      <c r="BA236" s="5">
        <f>IF(AV236,1+SUMPRODUCT(--(calc!$AV$3:$AV$306=TRUE),--(calc!$AW$3:$AW$306&gt;AW236))+(SUMPRODUCT(--(calc!$AV$3:$AV$306=TRUE),--(calc!$AW$3:$AW$306=AW236))-1)/2,"")</f>
        <v/>
      </c>
      <c r="BB236" s="5">
        <f>IF(AV236,1+SUMPRODUCT(--(calc!$AV$3:$AV$306=TRUE),--(calc!$AX$3:$AX$306&gt;AX236))+(SUMPRODUCT(--(calc!$AV$3:$AV$306=TRUE),--(calc!$AX$3:$AX$306=AX236))-1)/2,"")</f>
        <v/>
      </c>
      <c r="BC236" s="5">
        <f>IF(AV236,SUMPRODUCT(--(calc!$AV$3:$AV$306=TRUE),--(ROW(calc!$AV$3:$AV$306)&gt;ROW(AV236)),--(((calc!$BA$3:$BA$306&gt;BA236)*(calc!$BB$3:$BB$306&gt;BB236)+(calc!$BA$3:$BA$306&lt;BA236)*(calc!$BB$3:$BB$306&lt;BB236))&gt;0))-SUMPRODUCT(--(calc!$AV$3:$AV$306=TRUE),--(ROW(calc!$AV$3:$AV$306)&gt;ROW(AV236)),--(((calc!$BA$3:$BA$306&gt;BA236)*(calc!$BB$3:$BB$306&lt;BB236)+(calc!$BA$3:$BA$306&lt;BA236)*(calc!$BB$3:$BB$306&gt;BB236))&gt;0)),0)</f>
        <v/>
      </c>
      <c r="BD236" s="5">
        <f>IF(mos_metrics!L235="","",mos_metrics!L235)</f>
        <v/>
      </c>
      <c r="BE236" s="2">
        <f>AND($J236,ISNUMBER(BD236),correlation!$I$31=1)</f>
        <v/>
      </c>
      <c r="BF236" s="5">
        <f>IF(BE236,$F236,"")</f>
        <v/>
      </c>
      <c r="BG236" s="5">
        <f>IF(BE236,BD236*correlation!$J$31,"")</f>
        <v/>
      </c>
      <c r="BH236" s="5">
        <f>IF(AND(BE236,ISNUMBER(correlation!$F$31)),BG236*correlation!$F$31+correlation!$G$31,"")</f>
        <v/>
      </c>
      <c r="BI236" s="5">
        <f>IF(AND(BE236,ISNUMBER(BH236)),(BF236-BH236)^2,"")</f>
        <v/>
      </c>
      <c r="BJ236" s="5">
        <f>IF(BE236,1+SUMPRODUCT(--(calc!$BE$3:$BE$306=TRUE),--(calc!$BF$3:$BF$306&gt;BF236))+(SUMPRODUCT(--(calc!$BE$3:$BE$306=TRUE),--(calc!$BF$3:$BF$306=BF236))-1)/2,"")</f>
        <v/>
      </c>
      <c r="BK236" s="5">
        <f>IF(BE236,1+SUMPRODUCT(--(calc!$BE$3:$BE$306=TRUE),--(calc!$BG$3:$BG$306&gt;BG236))+(SUMPRODUCT(--(calc!$BE$3:$BE$306=TRUE),--(calc!$BG$3:$BG$306=BG236))-1)/2,"")</f>
        <v/>
      </c>
      <c r="BL236" s="5">
        <f>IF(BE236,SUMPRODUCT(--(calc!$BE$3:$BE$306=TRUE),--(ROW(calc!$BE$3:$BE$306)&gt;ROW(BE236)),--(((calc!$BJ$3:$BJ$306&gt;BJ236)*(calc!$BK$3:$BK$306&gt;BK236)+(calc!$BJ$3:$BJ$306&lt;BJ236)*(calc!$BK$3:$BK$306&lt;BK236))&gt;0))-SUMPRODUCT(--(calc!$BE$3:$BE$306=TRUE),--(ROW(calc!$BE$3:$BE$306)&gt;ROW(BE236)),--(((calc!$BJ$3:$BJ$306&gt;BJ236)*(calc!$BK$3:$BK$306&lt;BK236)+(calc!$BJ$3:$BJ$306&lt;BJ236)*(calc!$BK$3:$BK$306&gt;BK236))&gt;0)),0)</f>
        <v/>
      </c>
      <c r="BM236" s="5">
        <f>IF(mos_metrics!M235="","",mos_metrics!M235)</f>
        <v/>
      </c>
      <c r="BN236" s="2">
        <f>AND($J236,ISNUMBER(BM236),correlation!$I$32=1)</f>
        <v/>
      </c>
      <c r="BO236" s="5">
        <f>IF(BN236,$F236,"")</f>
        <v/>
      </c>
      <c r="BP236" s="5">
        <f>IF(BN236,BM236*correlation!$J$32,"")</f>
        <v/>
      </c>
      <c r="BQ236" s="5">
        <f>IF(AND(BN236,ISNUMBER(correlation!$F$32)),BP236*correlation!$F$32+correlation!$G$32,"")</f>
        <v/>
      </c>
      <c r="BR236" s="5">
        <f>IF(AND(BN236,ISNUMBER(BQ236)),(BO236-BQ236)^2,"")</f>
        <v/>
      </c>
      <c r="BS236" s="5">
        <f>IF(BN236,1+SUMPRODUCT(--(calc!$BN$3:$BN$306=TRUE),--(calc!$BO$3:$BO$306&gt;BO236))+(SUMPRODUCT(--(calc!$BN$3:$BN$306=TRUE),--(calc!$BO$3:$BO$306=BO236))-1)/2,"")</f>
        <v/>
      </c>
      <c r="BT236" s="5">
        <f>IF(BN236,1+SUMPRODUCT(--(calc!$BN$3:$BN$306=TRUE),--(calc!$BP$3:$BP$306&gt;BP236))+(SUMPRODUCT(--(calc!$BN$3:$BN$306=TRUE),--(calc!$BP$3:$BP$306=BP236))-1)/2,"")</f>
        <v/>
      </c>
      <c r="BU236" s="5">
        <f>IF(BN236,SUMPRODUCT(--(calc!$BN$3:$BN$306=TRUE),--(ROW(calc!$BN$3:$BN$306)&gt;ROW(BN236)),--(((calc!$BS$3:$BS$306&gt;BS236)*(calc!$BT$3:$BT$306&gt;BT236)+(calc!$BS$3:$BS$306&lt;BS236)*(calc!$BT$3:$BT$306&lt;BT236))&gt;0))-SUMPRODUCT(--(calc!$BN$3:$BN$306=TRUE),--(ROW(calc!$BN$3:$BN$306)&gt;ROW(BN236)),--(((calc!$BS$3:$BS$306&gt;BS236)*(calc!$BT$3:$BT$306&lt;BT236)+(calc!$BS$3:$BS$306&lt;BS236)*(calc!$BT$3:$BT$306&gt;BT236))&gt;0)),0)</f>
        <v/>
      </c>
    </row>
    <row r="237">
      <c r="A237" s="2">
        <f>mos_metrics!A236</f>
        <v/>
      </c>
      <c r="B237" s="2">
        <f>mos_metrics!B236</f>
        <v/>
      </c>
      <c r="C237" s="2">
        <f>mos_metrics!C236</f>
        <v/>
      </c>
      <c r="D237" s="2">
        <f>mos_metrics!D236</f>
        <v/>
      </c>
      <c r="E237" s="2">
        <f>mos_metrics!E236</f>
        <v/>
      </c>
      <c r="F237" s="2">
        <f>mos_metrics!F236</f>
        <v/>
      </c>
      <c r="G237" s="2">
        <f>IF($B237="","",IFERROR(VLOOKUP($B237,correlation!$A$2:$B$16,2,FALSE),1))</f>
        <v/>
      </c>
      <c r="H237" s="2">
        <f>IF($E237="","",IFERROR(VLOOKUP($E237,correlation!$D$2:$E$8,2,FALSE),1))</f>
        <v/>
      </c>
      <c r="I237" s="2">
        <f>ISNUMBER($F237)</f>
        <v/>
      </c>
      <c r="J237" s="2">
        <f>AND($G237=1,$H237=1,$I237)</f>
        <v/>
      </c>
      <c r="K237" s="5">
        <f>IF(mos_metrics!G236="","",mos_metrics!G236)</f>
        <v/>
      </c>
      <c r="L237" s="2">
        <f>AND($J237,ISNUMBER(K237),correlation!$I$26=1)</f>
        <v/>
      </c>
      <c r="M237" s="5">
        <f>IF(L237,$F237,"")</f>
        <v/>
      </c>
      <c r="N237" s="5">
        <f>IF(L237,K237*correlation!$J$26,"")</f>
        <v/>
      </c>
      <c r="O237" s="5">
        <f>IF(AND(L237,ISNUMBER(correlation!$F$26)),N237*correlation!$F$26+correlation!$G$26,"")</f>
        <v/>
      </c>
      <c r="P237" s="5">
        <f>IF(AND(L237,ISNUMBER(O237)),(M237-O237)^2,"")</f>
        <v/>
      </c>
      <c r="Q237" s="5">
        <f>IF(L237,1+SUMPRODUCT(--(calc!$L$3:$L$306=TRUE),--(calc!$M$3:$M$306&gt;M237))+(SUMPRODUCT(--(calc!$L$3:$L$306=TRUE),--(calc!$M$3:$M$306=M237))-1)/2,"")</f>
        <v/>
      </c>
      <c r="R237" s="5">
        <f>IF(L237,1+SUMPRODUCT(--(calc!$L$3:$L$306=TRUE),--(calc!$N$3:$N$306&gt;N237))+(SUMPRODUCT(--(calc!$L$3:$L$306=TRUE),--(calc!$N$3:$N$306=N237))-1)/2,"")</f>
        <v/>
      </c>
      <c r="S237" s="5">
        <f>IF(L237,SUMPRODUCT(--(calc!$L$3:$L$306=TRUE),--(ROW(calc!$L$3:$L$306)&gt;ROW(L237)),--(((calc!$Q$3:$Q$306&gt;Q237)*(calc!$R$3:$R$306&gt;R237)+(calc!$Q$3:$Q$306&lt;Q237)*(calc!$R$3:$R$306&lt;R237))&gt;0))-SUMPRODUCT(--(calc!$L$3:$L$306=TRUE),--(ROW(calc!$L$3:$L$306)&gt;ROW(L237)),--(((calc!$Q$3:$Q$306&gt;Q237)*(calc!$R$3:$R$306&lt;R237)+(calc!$Q$3:$Q$306&lt;Q237)*(calc!$R$3:$R$306&gt;R237))&gt;0)),0)</f>
        <v/>
      </c>
      <c r="T237" s="5">
        <f>IF(mos_metrics!H236="","",mos_metrics!H236)</f>
        <v/>
      </c>
      <c r="U237" s="2">
        <f>AND($J237,ISNUMBER(T237),correlation!$I$27=1)</f>
        <v/>
      </c>
      <c r="V237" s="5">
        <f>IF(U237,$F237,"")</f>
        <v/>
      </c>
      <c r="W237" s="5">
        <f>IF(U237,T237*correlation!$J$27,"")</f>
        <v/>
      </c>
      <c r="X237" s="5">
        <f>IF(AND(U237,ISNUMBER(correlation!$F$27)),W237*correlation!$F$27+correlation!$G$27,"")</f>
        <v/>
      </c>
      <c r="Y237" s="5">
        <f>IF(AND(U237,ISNUMBER(X237)),(V237-X237)^2,"")</f>
        <v/>
      </c>
      <c r="Z237" s="5">
        <f>IF(U237,1+SUMPRODUCT(--(calc!$U$3:$U$306=TRUE),--(calc!$V$3:$V$306&gt;V237))+(SUMPRODUCT(--(calc!$U$3:$U$306=TRUE),--(calc!$V$3:$V$306=V237))-1)/2,"")</f>
        <v/>
      </c>
      <c r="AA237" s="5">
        <f>IF(U237,1+SUMPRODUCT(--(calc!$U$3:$U$306=TRUE),--(calc!$W$3:$W$306&gt;W237))+(SUMPRODUCT(--(calc!$U$3:$U$306=TRUE),--(calc!$W$3:$W$306=W237))-1)/2,"")</f>
        <v/>
      </c>
      <c r="AB237" s="5">
        <f>IF(U237,SUMPRODUCT(--(calc!$U$3:$U$306=TRUE),--(ROW(calc!$U$3:$U$306)&gt;ROW(U237)),--(((calc!$Z$3:$Z$306&gt;Z237)*(calc!$AA$3:$AA$306&gt;AA237)+(calc!$Z$3:$Z$306&lt;Z237)*(calc!$AA$3:$AA$306&lt;AA237))&gt;0))-SUMPRODUCT(--(calc!$U$3:$U$306=TRUE),--(ROW(calc!$U$3:$U$306)&gt;ROW(U237)),--(((calc!$Z$3:$Z$306&gt;Z237)*(calc!$AA$3:$AA$306&lt;AA237)+(calc!$Z$3:$Z$306&lt;Z237)*(calc!$AA$3:$AA$306&gt;AA237))&gt;0)),0)</f>
        <v/>
      </c>
      <c r="AC237" s="5">
        <f>IF(mos_metrics!I236="","",mos_metrics!I236)</f>
        <v/>
      </c>
      <c r="AD237" s="2">
        <f>AND($J237,ISNUMBER(AC237),correlation!$I$28=1)</f>
        <v/>
      </c>
      <c r="AE237" s="5">
        <f>IF(AD237,$F237,"")</f>
        <v/>
      </c>
      <c r="AF237" s="5">
        <f>IF(AD237,AC237*correlation!$J$28,"")</f>
        <v/>
      </c>
      <c r="AG237" s="5">
        <f>IF(AND(AD237,ISNUMBER(correlation!$F$28)),AF237*correlation!$F$28+correlation!$G$28,"")</f>
        <v/>
      </c>
      <c r="AH237" s="5">
        <f>IF(AND(AD237,ISNUMBER(AG237)),(AE237-AG237)^2,"")</f>
        <v/>
      </c>
      <c r="AI237" s="5">
        <f>IF(AD237,1+SUMPRODUCT(--(calc!$AD$3:$AD$306=TRUE),--(calc!$AE$3:$AE$306&gt;AE237))+(SUMPRODUCT(--(calc!$AD$3:$AD$306=TRUE),--(calc!$AE$3:$AE$306=AE237))-1)/2,"")</f>
        <v/>
      </c>
      <c r="AJ237" s="5">
        <f>IF(AD237,1+SUMPRODUCT(--(calc!$AD$3:$AD$306=TRUE),--(calc!$AF$3:$AF$306&gt;AF237))+(SUMPRODUCT(--(calc!$AD$3:$AD$306=TRUE),--(calc!$AF$3:$AF$306=AF237))-1)/2,"")</f>
        <v/>
      </c>
      <c r="AK237" s="5">
        <f>IF(AD237,SUMPRODUCT(--(calc!$AD$3:$AD$306=TRUE),--(ROW(calc!$AD$3:$AD$306)&gt;ROW(AD237)),--(((calc!$AI$3:$AI$306&gt;AI237)*(calc!$AJ$3:$AJ$306&gt;AJ237)+(calc!$AI$3:$AI$306&lt;AI237)*(calc!$AJ$3:$AJ$306&lt;AJ237))&gt;0))-SUMPRODUCT(--(calc!$AD$3:$AD$306=TRUE),--(ROW(calc!$AD$3:$AD$306)&gt;ROW(AD237)),--(((calc!$AI$3:$AI$306&gt;AI237)*(calc!$AJ$3:$AJ$306&lt;AJ237)+(calc!$AI$3:$AI$306&lt;AI237)*(calc!$AJ$3:$AJ$306&gt;AJ237))&gt;0)),0)</f>
        <v/>
      </c>
      <c r="AL237" s="5">
        <f>IF(mos_metrics!J236="","",mos_metrics!J236)</f>
        <v/>
      </c>
      <c r="AM237" s="2">
        <f>AND($J237,ISNUMBER(AL237),correlation!$I$29=1)</f>
        <v/>
      </c>
      <c r="AN237" s="5">
        <f>IF(AM237,$F237,"")</f>
        <v/>
      </c>
      <c r="AO237" s="5">
        <f>IF(AM237,AL237*correlation!$J$29,"")</f>
        <v/>
      </c>
      <c r="AP237" s="5">
        <f>IF(AND(AM237,ISNUMBER(correlation!$F$29)),AO237*correlation!$F$29+correlation!$G$29,"")</f>
        <v/>
      </c>
      <c r="AQ237" s="5">
        <f>IF(AND(AM237,ISNUMBER(AP237)),(AN237-AP237)^2,"")</f>
        <v/>
      </c>
      <c r="AR237" s="5">
        <f>IF(AM237,1+SUMPRODUCT(--(calc!$AM$3:$AM$306=TRUE),--(calc!$AN$3:$AN$306&gt;AN237))+(SUMPRODUCT(--(calc!$AM$3:$AM$306=TRUE),--(calc!$AN$3:$AN$306=AN237))-1)/2,"")</f>
        <v/>
      </c>
      <c r="AS237" s="5">
        <f>IF(AM237,1+SUMPRODUCT(--(calc!$AM$3:$AM$306=TRUE),--(calc!$AO$3:$AO$306&gt;AO237))+(SUMPRODUCT(--(calc!$AM$3:$AM$306=TRUE),--(calc!$AO$3:$AO$306=AO237))-1)/2,"")</f>
        <v/>
      </c>
      <c r="AT237" s="5">
        <f>IF(AM237,SUMPRODUCT(--(calc!$AM$3:$AM$306=TRUE),--(ROW(calc!$AM$3:$AM$306)&gt;ROW(AM237)),--(((calc!$AR$3:$AR$306&gt;AR237)*(calc!$AS$3:$AS$306&gt;AS237)+(calc!$AR$3:$AR$306&lt;AR237)*(calc!$AS$3:$AS$306&lt;AS237))&gt;0))-SUMPRODUCT(--(calc!$AM$3:$AM$306=TRUE),--(ROW(calc!$AM$3:$AM$306)&gt;ROW(AM237)),--(((calc!$AR$3:$AR$306&gt;AR237)*(calc!$AS$3:$AS$306&lt;AS237)+(calc!$AR$3:$AR$306&lt;AR237)*(calc!$AS$3:$AS$306&gt;AS237))&gt;0)),0)</f>
        <v/>
      </c>
      <c r="AU237" s="5">
        <f>IF(mos_metrics!K236="","",mos_metrics!K236)</f>
        <v/>
      </c>
      <c r="AV237" s="2">
        <f>AND($J237,ISNUMBER(AU237),correlation!$I$30=1)</f>
        <v/>
      </c>
      <c r="AW237" s="5">
        <f>IF(AV237,$F237,"")</f>
        <v/>
      </c>
      <c r="AX237" s="5">
        <f>IF(AV237,AU237*correlation!$J$30,"")</f>
        <v/>
      </c>
      <c r="AY237" s="5">
        <f>IF(AND(AV237,ISNUMBER(correlation!$F$30)),AX237*correlation!$F$30+correlation!$G$30,"")</f>
        <v/>
      </c>
      <c r="AZ237" s="5">
        <f>IF(AND(AV237,ISNUMBER(AY237)),(AW237-AY237)^2,"")</f>
        <v/>
      </c>
      <c r="BA237" s="5">
        <f>IF(AV237,1+SUMPRODUCT(--(calc!$AV$3:$AV$306=TRUE),--(calc!$AW$3:$AW$306&gt;AW237))+(SUMPRODUCT(--(calc!$AV$3:$AV$306=TRUE),--(calc!$AW$3:$AW$306=AW237))-1)/2,"")</f>
        <v/>
      </c>
      <c r="BB237" s="5">
        <f>IF(AV237,1+SUMPRODUCT(--(calc!$AV$3:$AV$306=TRUE),--(calc!$AX$3:$AX$306&gt;AX237))+(SUMPRODUCT(--(calc!$AV$3:$AV$306=TRUE),--(calc!$AX$3:$AX$306=AX237))-1)/2,"")</f>
        <v/>
      </c>
      <c r="BC237" s="5">
        <f>IF(AV237,SUMPRODUCT(--(calc!$AV$3:$AV$306=TRUE),--(ROW(calc!$AV$3:$AV$306)&gt;ROW(AV237)),--(((calc!$BA$3:$BA$306&gt;BA237)*(calc!$BB$3:$BB$306&gt;BB237)+(calc!$BA$3:$BA$306&lt;BA237)*(calc!$BB$3:$BB$306&lt;BB237))&gt;0))-SUMPRODUCT(--(calc!$AV$3:$AV$306=TRUE),--(ROW(calc!$AV$3:$AV$306)&gt;ROW(AV237)),--(((calc!$BA$3:$BA$306&gt;BA237)*(calc!$BB$3:$BB$306&lt;BB237)+(calc!$BA$3:$BA$306&lt;BA237)*(calc!$BB$3:$BB$306&gt;BB237))&gt;0)),0)</f>
        <v/>
      </c>
      <c r="BD237" s="5">
        <f>IF(mos_metrics!L236="","",mos_metrics!L236)</f>
        <v/>
      </c>
      <c r="BE237" s="2">
        <f>AND($J237,ISNUMBER(BD237),correlation!$I$31=1)</f>
        <v/>
      </c>
      <c r="BF237" s="5">
        <f>IF(BE237,$F237,"")</f>
        <v/>
      </c>
      <c r="BG237" s="5">
        <f>IF(BE237,BD237*correlation!$J$31,"")</f>
        <v/>
      </c>
      <c r="BH237" s="5">
        <f>IF(AND(BE237,ISNUMBER(correlation!$F$31)),BG237*correlation!$F$31+correlation!$G$31,"")</f>
        <v/>
      </c>
      <c r="BI237" s="5">
        <f>IF(AND(BE237,ISNUMBER(BH237)),(BF237-BH237)^2,"")</f>
        <v/>
      </c>
      <c r="BJ237" s="5">
        <f>IF(BE237,1+SUMPRODUCT(--(calc!$BE$3:$BE$306=TRUE),--(calc!$BF$3:$BF$306&gt;BF237))+(SUMPRODUCT(--(calc!$BE$3:$BE$306=TRUE),--(calc!$BF$3:$BF$306=BF237))-1)/2,"")</f>
        <v/>
      </c>
      <c r="BK237" s="5">
        <f>IF(BE237,1+SUMPRODUCT(--(calc!$BE$3:$BE$306=TRUE),--(calc!$BG$3:$BG$306&gt;BG237))+(SUMPRODUCT(--(calc!$BE$3:$BE$306=TRUE),--(calc!$BG$3:$BG$306=BG237))-1)/2,"")</f>
        <v/>
      </c>
      <c r="BL237" s="5">
        <f>IF(BE237,SUMPRODUCT(--(calc!$BE$3:$BE$306=TRUE),--(ROW(calc!$BE$3:$BE$306)&gt;ROW(BE237)),--(((calc!$BJ$3:$BJ$306&gt;BJ237)*(calc!$BK$3:$BK$306&gt;BK237)+(calc!$BJ$3:$BJ$306&lt;BJ237)*(calc!$BK$3:$BK$306&lt;BK237))&gt;0))-SUMPRODUCT(--(calc!$BE$3:$BE$306=TRUE),--(ROW(calc!$BE$3:$BE$306)&gt;ROW(BE237)),--(((calc!$BJ$3:$BJ$306&gt;BJ237)*(calc!$BK$3:$BK$306&lt;BK237)+(calc!$BJ$3:$BJ$306&lt;BJ237)*(calc!$BK$3:$BK$306&gt;BK237))&gt;0)),0)</f>
        <v/>
      </c>
      <c r="BM237" s="5">
        <f>IF(mos_metrics!M236="","",mos_metrics!M236)</f>
        <v/>
      </c>
      <c r="BN237" s="2">
        <f>AND($J237,ISNUMBER(BM237),correlation!$I$32=1)</f>
        <v/>
      </c>
      <c r="BO237" s="5">
        <f>IF(BN237,$F237,"")</f>
        <v/>
      </c>
      <c r="BP237" s="5">
        <f>IF(BN237,BM237*correlation!$J$32,"")</f>
        <v/>
      </c>
      <c r="BQ237" s="5">
        <f>IF(AND(BN237,ISNUMBER(correlation!$F$32)),BP237*correlation!$F$32+correlation!$G$32,"")</f>
        <v/>
      </c>
      <c r="BR237" s="5">
        <f>IF(AND(BN237,ISNUMBER(BQ237)),(BO237-BQ237)^2,"")</f>
        <v/>
      </c>
      <c r="BS237" s="5">
        <f>IF(BN237,1+SUMPRODUCT(--(calc!$BN$3:$BN$306=TRUE),--(calc!$BO$3:$BO$306&gt;BO237))+(SUMPRODUCT(--(calc!$BN$3:$BN$306=TRUE),--(calc!$BO$3:$BO$306=BO237))-1)/2,"")</f>
        <v/>
      </c>
      <c r="BT237" s="5">
        <f>IF(BN237,1+SUMPRODUCT(--(calc!$BN$3:$BN$306=TRUE),--(calc!$BP$3:$BP$306&gt;BP237))+(SUMPRODUCT(--(calc!$BN$3:$BN$306=TRUE),--(calc!$BP$3:$BP$306=BP237))-1)/2,"")</f>
        <v/>
      </c>
      <c r="BU237" s="5">
        <f>IF(BN237,SUMPRODUCT(--(calc!$BN$3:$BN$306=TRUE),--(ROW(calc!$BN$3:$BN$306)&gt;ROW(BN237)),--(((calc!$BS$3:$BS$306&gt;BS237)*(calc!$BT$3:$BT$306&gt;BT237)+(calc!$BS$3:$BS$306&lt;BS237)*(calc!$BT$3:$BT$306&lt;BT237))&gt;0))-SUMPRODUCT(--(calc!$BN$3:$BN$306=TRUE),--(ROW(calc!$BN$3:$BN$306)&gt;ROW(BN237)),--(((calc!$BS$3:$BS$306&gt;BS237)*(calc!$BT$3:$BT$306&lt;BT237)+(calc!$BS$3:$BS$306&lt;BS237)*(calc!$BT$3:$BT$306&gt;BT237))&gt;0)),0)</f>
        <v/>
      </c>
    </row>
    <row r="238">
      <c r="A238" s="2">
        <f>mos_metrics!A237</f>
        <v/>
      </c>
      <c r="B238" s="2">
        <f>mos_metrics!B237</f>
        <v/>
      </c>
      <c r="C238" s="2">
        <f>mos_metrics!C237</f>
        <v/>
      </c>
      <c r="D238" s="2">
        <f>mos_metrics!D237</f>
        <v/>
      </c>
      <c r="E238" s="2">
        <f>mos_metrics!E237</f>
        <v/>
      </c>
      <c r="F238" s="2">
        <f>mos_metrics!F237</f>
        <v/>
      </c>
      <c r="G238" s="2">
        <f>IF($B238="","",IFERROR(VLOOKUP($B238,correlation!$A$2:$B$16,2,FALSE),1))</f>
        <v/>
      </c>
      <c r="H238" s="2">
        <f>IF($E238="","",IFERROR(VLOOKUP($E238,correlation!$D$2:$E$8,2,FALSE),1))</f>
        <v/>
      </c>
      <c r="I238" s="2">
        <f>ISNUMBER($F238)</f>
        <v/>
      </c>
      <c r="J238" s="2">
        <f>AND($G238=1,$H238=1,$I238)</f>
        <v/>
      </c>
      <c r="K238" s="5">
        <f>IF(mos_metrics!G237="","",mos_metrics!G237)</f>
        <v/>
      </c>
      <c r="L238" s="2">
        <f>AND($J238,ISNUMBER(K238),correlation!$I$26=1)</f>
        <v/>
      </c>
      <c r="M238" s="5">
        <f>IF(L238,$F238,"")</f>
        <v/>
      </c>
      <c r="N238" s="5">
        <f>IF(L238,K238*correlation!$J$26,"")</f>
        <v/>
      </c>
      <c r="O238" s="5">
        <f>IF(AND(L238,ISNUMBER(correlation!$F$26)),N238*correlation!$F$26+correlation!$G$26,"")</f>
        <v/>
      </c>
      <c r="P238" s="5">
        <f>IF(AND(L238,ISNUMBER(O238)),(M238-O238)^2,"")</f>
        <v/>
      </c>
      <c r="Q238" s="5">
        <f>IF(L238,1+SUMPRODUCT(--(calc!$L$3:$L$306=TRUE),--(calc!$M$3:$M$306&gt;M238))+(SUMPRODUCT(--(calc!$L$3:$L$306=TRUE),--(calc!$M$3:$M$306=M238))-1)/2,"")</f>
        <v/>
      </c>
      <c r="R238" s="5">
        <f>IF(L238,1+SUMPRODUCT(--(calc!$L$3:$L$306=TRUE),--(calc!$N$3:$N$306&gt;N238))+(SUMPRODUCT(--(calc!$L$3:$L$306=TRUE),--(calc!$N$3:$N$306=N238))-1)/2,"")</f>
        <v/>
      </c>
      <c r="S238" s="5">
        <f>IF(L238,SUMPRODUCT(--(calc!$L$3:$L$306=TRUE),--(ROW(calc!$L$3:$L$306)&gt;ROW(L238)),--(((calc!$Q$3:$Q$306&gt;Q238)*(calc!$R$3:$R$306&gt;R238)+(calc!$Q$3:$Q$306&lt;Q238)*(calc!$R$3:$R$306&lt;R238))&gt;0))-SUMPRODUCT(--(calc!$L$3:$L$306=TRUE),--(ROW(calc!$L$3:$L$306)&gt;ROW(L238)),--(((calc!$Q$3:$Q$306&gt;Q238)*(calc!$R$3:$R$306&lt;R238)+(calc!$Q$3:$Q$306&lt;Q238)*(calc!$R$3:$R$306&gt;R238))&gt;0)),0)</f>
        <v/>
      </c>
      <c r="T238" s="5">
        <f>IF(mos_metrics!H237="","",mos_metrics!H237)</f>
        <v/>
      </c>
      <c r="U238" s="2">
        <f>AND($J238,ISNUMBER(T238),correlation!$I$27=1)</f>
        <v/>
      </c>
      <c r="V238" s="5">
        <f>IF(U238,$F238,"")</f>
        <v/>
      </c>
      <c r="W238" s="5">
        <f>IF(U238,T238*correlation!$J$27,"")</f>
        <v/>
      </c>
      <c r="X238" s="5">
        <f>IF(AND(U238,ISNUMBER(correlation!$F$27)),W238*correlation!$F$27+correlation!$G$27,"")</f>
        <v/>
      </c>
      <c r="Y238" s="5">
        <f>IF(AND(U238,ISNUMBER(X238)),(V238-X238)^2,"")</f>
        <v/>
      </c>
      <c r="Z238" s="5">
        <f>IF(U238,1+SUMPRODUCT(--(calc!$U$3:$U$306=TRUE),--(calc!$V$3:$V$306&gt;V238))+(SUMPRODUCT(--(calc!$U$3:$U$306=TRUE),--(calc!$V$3:$V$306=V238))-1)/2,"")</f>
        <v/>
      </c>
      <c r="AA238" s="5">
        <f>IF(U238,1+SUMPRODUCT(--(calc!$U$3:$U$306=TRUE),--(calc!$W$3:$W$306&gt;W238))+(SUMPRODUCT(--(calc!$U$3:$U$306=TRUE),--(calc!$W$3:$W$306=W238))-1)/2,"")</f>
        <v/>
      </c>
      <c r="AB238" s="5">
        <f>IF(U238,SUMPRODUCT(--(calc!$U$3:$U$306=TRUE),--(ROW(calc!$U$3:$U$306)&gt;ROW(U238)),--(((calc!$Z$3:$Z$306&gt;Z238)*(calc!$AA$3:$AA$306&gt;AA238)+(calc!$Z$3:$Z$306&lt;Z238)*(calc!$AA$3:$AA$306&lt;AA238))&gt;0))-SUMPRODUCT(--(calc!$U$3:$U$306=TRUE),--(ROW(calc!$U$3:$U$306)&gt;ROW(U238)),--(((calc!$Z$3:$Z$306&gt;Z238)*(calc!$AA$3:$AA$306&lt;AA238)+(calc!$Z$3:$Z$306&lt;Z238)*(calc!$AA$3:$AA$306&gt;AA238))&gt;0)),0)</f>
        <v/>
      </c>
      <c r="AC238" s="5">
        <f>IF(mos_metrics!I237="","",mos_metrics!I237)</f>
        <v/>
      </c>
      <c r="AD238" s="2">
        <f>AND($J238,ISNUMBER(AC238),correlation!$I$28=1)</f>
        <v/>
      </c>
      <c r="AE238" s="5">
        <f>IF(AD238,$F238,"")</f>
        <v/>
      </c>
      <c r="AF238" s="5">
        <f>IF(AD238,AC238*correlation!$J$28,"")</f>
        <v/>
      </c>
      <c r="AG238" s="5">
        <f>IF(AND(AD238,ISNUMBER(correlation!$F$28)),AF238*correlation!$F$28+correlation!$G$28,"")</f>
        <v/>
      </c>
      <c r="AH238" s="5">
        <f>IF(AND(AD238,ISNUMBER(AG238)),(AE238-AG238)^2,"")</f>
        <v/>
      </c>
      <c r="AI238" s="5">
        <f>IF(AD238,1+SUMPRODUCT(--(calc!$AD$3:$AD$306=TRUE),--(calc!$AE$3:$AE$306&gt;AE238))+(SUMPRODUCT(--(calc!$AD$3:$AD$306=TRUE),--(calc!$AE$3:$AE$306=AE238))-1)/2,"")</f>
        <v/>
      </c>
      <c r="AJ238" s="5">
        <f>IF(AD238,1+SUMPRODUCT(--(calc!$AD$3:$AD$306=TRUE),--(calc!$AF$3:$AF$306&gt;AF238))+(SUMPRODUCT(--(calc!$AD$3:$AD$306=TRUE),--(calc!$AF$3:$AF$306=AF238))-1)/2,"")</f>
        <v/>
      </c>
      <c r="AK238" s="5">
        <f>IF(AD238,SUMPRODUCT(--(calc!$AD$3:$AD$306=TRUE),--(ROW(calc!$AD$3:$AD$306)&gt;ROW(AD238)),--(((calc!$AI$3:$AI$306&gt;AI238)*(calc!$AJ$3:$AJ$306&gt;AJ238)+(calc!$AI$3:$AI$306&lt;AI238)*(calc!$AJ$3:$AJ$306&lt;AJ238))&gt;0))-SUMPRODUCT(--(calc!$AD$3:$AD$306=TRUE),--(ROW(calc!$AD$3:$AD$306)&gt;ROW(AD238)),--(((calc!$AI$3:$AI$306&gt;AI238)*(calc!$AJ$3:$AJ$306&lt;AJ238)+(calc!$AI$3:$AI$306&lt;AI238)*(calc!$AJ$3:$AJ$306&gt;AJ238))&gt;0)),0)</f>
        <v/>
      </c>
      <c r="AL238" s="5">
        <f>IF(mos_metrics!J237="","",mos_metrics!J237)</f>
        <v/>
      </c>
      <c r="AM238" s="2">
        <f>AND($J238,ISNUMBER(AL238),correlation!$I$29=1)</f>
        <v/>
      </c>
      <c r="AN238" s="5">
        <f>IF(AM238,$F238,"")</f>
        <v/>
      </c>
      <c r="AO238" s="5">
        <f>IF(AM238,AL238*correlation!$J$29,"")</f>
        <v/>
      </c>
      <c r="AP238" s="5">
        <f>IF(AND(AM238,ISNUMBER(correlation!$F$29)),AO238*correlation!$F$29+correlation!$G$29,"")</f>
        <v/>
      </c>
      <c r="AQ238" s="5">
        <f>IF(AND(AM238,ISNUMBER(AP238)),(AN238-AP238)^2,"")</f>
        <v/>
      </c>
      <c r="AR238" s="5">
        <f>IF(AM238,1+SUMPRODUCT(--(calc!$AM$3:$AM$306=TRUE),--(calc!$AN$3:$AN$306&gt;AN238))+(SUMPRODUCT(--(calc!$AM$3:$AM$306=TRUE),--(calc!$AN$3:$AN$306=AN238))-1)/2,"")</f>
        <v/>
      </c>
      <c r="AS238" s="5">
        <f>IF(AM238,1+SUMPRODUCT(--(calc!$AM$3:$AM$306=TRUE),--(calc!$AO$3:$AO$306&gt;AO238))+(SUMPRODUCT(--(calc!$AM$3:$AM$306=TRUE),--(calc!$AO$3:$AO$306=AO238))-1)/2,"")</f>
        <v/>
      </c>
      <c r="AT238" s="5">
        <f>IF(AM238,SUMPRODUCT(--(calc!$AM$3:$AM$306=TRUE),--(ROW(calc!$AM$3:$AM$306)&gt;ROW(AM238)),--(((calc!$AR$3:$AR$306&gt;AR238)*(calc!$AS$3:$AS$306&gt;AS238)+(calc!$AR$3:$AR$306&lt;AR238)*(calc!$AS$3:$AS$306&lt;AS238))&gt;0))-SUMPRODUCT(--(calc!$AM$3:$AM$306=TRUE),--(ROW(calc!$AM$3:$AM$306)&gt;ROW(AM238)),--(((calc!$AR$3:$AR$306&gt;AR238)*(calc!$AS$3:$AS$306&lt;AS238)+(calc!$AR$3:$AR$306&lt;AR238)*(calc!$AS$3:$AS$306&gt;AS238))&gt;0)),0)</f>
        <v/>
      </c>
      <c r="AU238" s="5">
        <f>IF(mos_metrics!K237="","",mos_metrics!K237)</f>
        <v/>
      </c>
      <c r="AV238" s="2">
        <f>AND($J238,ISNUMBER(AU238),correlation!$I$30=1)</f>
        <v/>
      </c>
      <c r="AW238" s="5">
        <f>IF(AV238,$F238,"")</f>
        <v/>
      </c>
      <c r="AX238" s="5">
        <f>IF(AV238,AU238*correlation!$J$30,"")</f>
        <v/>
      </c>
      <c r="AY238" s="5">
        <f>IF(AND(AV238,ISNUMBER(correlation!$F$30)),AX238*correlation!$F$30+correlation!$G$30,"")</f>
        <v/>
      </c>
      <c r="AZ238" s="5">
        <f>IF(AND(AV238,ISNUMBER(AY238)),(AW238-AY238)^2,"")</f>
        <v/>
      </c>
      <c r="BA238" s="5">
        <f>IF(AV238,1+SUMPRODUCT(--(calc!$AV$3:$AV$306=TRUE),--(calc!$AW$3:$AW$306&gt;AW238))+(SUMPRODUCT(--(calc!$AV$3:$AV$306=TRUE),--(calc!$AW$3:$AW$306=AW238))-1)/2,"")</f>
        <v/>
      </c>
      <c r="BB238" s="5">
        <f>IF(AV238,1+SUMPRODUCT(--(calc!$AV$3:$AV$306=TRUE),--(calc!$AX$3:$AX$306&gt;AX238))+(SUMPRODUCT(--(calc!$AV$3:$AV$306=TRUE),--(calc!$AX$3:$AX$306=AX238))-1)/2,"")</f>
        <v/>
      </c>
      <c r="BC238" s="5">
        <f>IF(AV238,SUMPRODUCT(--(calc!$AV$3:$AV$306=TRUE),--(ROW(calc!$AV$3:$AV$306)&gt;ROW(AV238)),--(((calc!$BA$3:$BA$306&gt;BA238)*(calc!$BB$3:$BB$306&gt;BB238)+(calc!$BA$3:$BA$306&lt;BA238)*(calc!$BB$3:$BB$306&lt;BB238))&gt;0))-SUMPRODUCT(--(calc!$AV$3:$AV$306=TRUE),--(ROW(calc!$AV$3:$AV$306)&gt;ROW(AV238)),--(((calc!$BA$3:$BA$306&gt;BA238)*(calc!$BB$3:$BB$306&lt;BB238)+(calc!$BA$3:$BA$306&lt;BA238)*(calc!$BB$3:$BB$306&gt;BB238))&gt;0)),0)</f>
        <v/>
      </c>
      <c r="BD238" s="5">
        <f>IF(mos_metrics!L237="","",mos_metrics!L237)</f>
        <v/>
      </c>
      <c r="BE238" s="2">
        <f>AND($J238,ISNUMBER(BD238),correlation!$I$31=1)</f>
        <v/>
      </c>
      <c r="BF238" s="5">
        <f>IF(BE238,$F238,"")</f>
        <v/>
      </c>
      <c r="BG238" s="5">
        <f>IF(BE238,BD238*correlation!$J$31,"")</f>
        <v/>
      </c>
      <c r="BH238" s="5">
        <f>IF(AND(BE238,ISNUMBER(correlation!$F$31)),BG238*correlation!$F$31+correlation!$G$31,"")</f>
        <v/>
      </c>
      <c r="BI238" s="5">
        <f>IF(AND(BE238,ISNUMBER(BH238)),(BF238-BH238)^2,"")</f>
        <v/>
      </c>
      <c r="BJ238" s="5">
        <f>IF(BE238,1+SUMPRODUCT(--(calc!$BE$3:$BE$306=TRUE),--(calc!$BF$3:$BF$306&gt;BF238))+(SUMPRODUCT(--(calc!$BE$3:$BE$306=TRUE),--(calc!$BF$3:$BF$306=BF238))-1)/2,"")</f>
        <v/>
      </c>
      <c r="BK238" s="5">
        <f>IF(BE238,1+SUMPRODUCT(--(calc!$BE$3:$BE$306=TRUE),--(calc!$BG$3:$BG$306&gt;BG238))+(SUMPRODUCT(--(calc!$BE$3:$BE$306=TRUE),--(calc!$BG$3:$BG$306=BG238))-1)/2,"")</f>
        <v/>
      </c>
      <c r="BL238" s="5">
        <f>IF(BE238,SUMPRODUCT(--(calc!$BE$3:$BE$306=TRUE),--(ROW(calc!$BE$3:$BE$306)&gt;ROW(BE238)),--(((calc!$BJ$3:$BJ$306&gt;BJ238)*(calc!$BK$3:$BK$306&gt;BK238)+(calc!$BJ$3:$BJ$306&lt;BJ238)*(calc!$BK$3:$BK$306&lt;BK238))&gt;0))-SUMPRODUCT(--(calc!$BE$3:$BE$306=TRUE),--(ROW(calc!$BE$3:$BE$306)&gt;ROW(BE238)),--(((calc!$BJ$3:$BJ$306&gt;BJ238)*(calc!$BK$3:$BK$306&lt;BK238)+(calc!$BJ$3:$BJ$306&lt;BJ238)*(calc!$BK$3:$BK$306&gt;BK238))&gt;0)),0)</f>
        <v/>
      </c>
      <c r="BM238" s="5">
        <f>IF(mos_metrics!M237="","",mos_metrics!M237)</f>
        <v/>
      </c>
      <c r="BN238" s="2">
        <f>AND($J238,ISNUMBER(BM238),correlation!$I$32=1)</f>
        <v/>
      </c>
      <c r="BO238" s="5">
        <f>IF(BN238,$F238,"")</f>
        <v/>
      </c>
      <c r="BP238" s="5">
        <f>IF(BN238,BM238*correlation!$J$32,"")</f>
        <v/>
      </c>
      <c r="BQ238" s="5">
        <f>IF(AND(BN238,ISNUMBER(correlation!$F$32)),BP238*correlation!$F$32+correlation!$G$32,"")</f>
        <v/>
      </c>
      <c r="BR238" s="5">
        <f>IF(AND(BN238,ISNUMBER(BQ238)),(BO238-BQ238)^2,"")</f>
        <v/>
      </c>
      <c r="BS238" s="5">
        <f>IF(BN238,1+SUMPRODUCT(--(calc!$BN$3:$BN$306=TRUE),--(calc!$BO$3:$BO$306&gt;BO238))+(SUMPRODUCT(--(calc!$BN$3:$BN$306=TRUE),--(calc!$BO$3:$BO$306=BO238))-1)/2,"")</f>
        <v/>
      </c>
      <c r="BT238" s="5">
        <f>IF(BN238,1+SUMPRODUCT(--(calc!$BN$3:$BN$306=TRUE),--(calc!$BP$3:$BP$306&gt;BP238))+(SUMPRODUCT(--(calc!$BN$3:$BN$306=TRUE),--(calc!$BP$3:$BP$306=BP238))-1)/2,"")</f>
        <v/>
      </c>
      <c r="BU238" s="5">
        <f>IF(BN238,SUMPRODUCT(--(calc!$BN$3:$BN$306=TRUE),--(ROW(calc!$BN$3:$BN$306)&gt;ROW(BN238)),--(((calc!$BS$3:$BS$306&gt;BS238)*(calc!$BT$3:$BT$306&gt;BT238)+(calc!$BS$3:$BS$306&lt;BS238)*(calc!$BT$3:$BT$306&lt;BT238))&gt;0))-SUMPRODUCT(--(calc!$BN$3:$BN$306=TRUE),--(ROW(calc!$BN$3:$BN$306)&gt;ROW(BN238)),--(((calc!$BS$3:$BS$306&gt;BS238)*(calc!$BT$3:$BT$306&lt;BT238)+(calc!$BS$3:$BS$306&lt;BS238)*(calc!$BT$3:$BT$306&gt;BT238))&gt;0)),0)</f>
        <v/>
      </c>
    </row>
    <row r="239">
      <c r="A239" s="2">
        <f>mos_metrics!A238</f>
        <v/>
      </c>
      <c r="B239" s="2">
        <f>mos_metrics!B238</f>
        <v/>
      </c>
      <c r="C239" s="2">
        <f>mos_metrics!C238</f>
        <v/>
      </c>
      <c r="D239" s="2">
        <f>mos_metrics!D238</f>
        <v/>
      </c>
      <c r="E239" s="2">
        <f>mos_metrics!E238</f>
        <v/>
      </c>
      <c r="F239" s="2">
        <f>mos_metrics!F238</f>
        <v/>
      </c>
      <c r="G239" s="2">
        <f>IF($B239="","",IFERROR(VLOOKUP($B239,correlation!$A$2:$B$16,2,FALSE),1))</f>
        <v/>
      </c>
      <c r="H239" s="2">
        <f>IF($E239="","",IFERROR(VLOOKUP($E239,correlation!$D$2:$E$8,2,FALSE),1))</f>
        <v/>
      </c>
      <c r="I239" s="2">
        <f>ISNUMBER($F239)</f>
        <v/>
      </c>
      <c r="J239" s="2">
        <f>AND($G239=1,$H239=1,$I239)</f>
        <v/>
      </c>
      <c r="K239" s="5">
        <f>IF(mos_metrics!G238="","",mos_metrics!G238)</f>
        <v/>
      </c>
      <c r="L239" s="2">
        <f>AND($J239,ISNUMBER(K239),correlation!$I$26=1)</f>
        <v/>
      </c>
      <c r="M239" s="5">
        <f>IF(L239,$F239,"")</f>
        <v/>
      </c>
      <c r="N239" s="5">
        <f>IF(L239,K239*correlation!$J$26,"")</f>
        <v/>
      </c>
      <c r="O239" s="5">
        <f>IF(AND(L239,ISNUMBER(correlation!$F$26)),N239*correlation!$F$26+correlation!$G$26,"")</f>
        <v/>
      </c>
      <c r="P239" s="5">
        <f>IF(AND(L239,ISNUMBER(O239)),(M239-O239)^2,"")</f>
        <v/>
      </c>
      <c r="Q239" s="5">
        <f>IF(L239,1+SUMPRODUCT(--(calc!$L$3:$L$306=TRUE),--(calc!$M$3:$M$306&gt;M239))+(SUMPRODUCT(--(calc!$L$3:$L$306=TRUE),--(calc!$M$3:$M$306=M239))-1)/2,"")</f>
        <v/>
      </c>
      <c r="R239" s="5">
        <f>IF(L239,1+SUMPRODUCT(--(calc!$L$3:$L$306=TRUE),--(calc!$N$3:$N$306&gt;N239))+(SUMPRODUCT(--(calc!$L$3:$L$306=TRUE),--(calc!$N$3:$N$306=N239))-1)/2,"")</f>
        <v/>
      </c>
      <c r="S239" s="5">
        <f>IF(L239,SUMPRODUCT(--(calc!$L$3:$L$306=TRUE),--(ROW(calc!$L$3:$L$306)&gt;ROW(L239)),--(((calc!$Q$3:$Q$306&gt;Q239)*(calc!$R$3:$R$306&gt;R239)+(calc!$Q$3:$Q$306&lt;Q239)*(calc!$R$3:$R$306&lt;R239))&gt;0))-SUMPRODUCT(--(calc!$L$3:$L$306=TRUE),--(ROW(calc!$L$3:$L$306)&gt;ROW(L239)),--(((calc!$Q$3:$Q$306&gt;Q239)*(calc!$R$3:$R$306&lt;R239)+(calc!$Q$3:$Q$306&lt;Q239)*(calc!$R$3:$R$306&gt;R239))&gt;0)),0)</f>
        <v/>
      </c>
      <c r="T239" s="5">
        <f>IF(mos_metrics!H238="","",mos_metrics!H238)</f>
        <v/>
      </c>
      <c r="U239" s="2">
        <f>AND($J239,ISNUMBER(T239),correlation!$I$27=1)</f>
        <v/>
      </c>
      <c r="V239" s="5">
        <f>IF(U239,$F239,"")</f>
        <v/>
      </c>
      <c r="W239" s="5">
        <f>IF(U239,T239*correlation!$J$27,"")</f>
        <v/>
      </c>
      <c r="X239" s="5">
        <f>IF(AND(U239,ISNUMBER(correlation!$F$27)),W239*correlation!$F$27+correlation!$G$27,"")</f>
        <v/>
      </c>
      <c r="Y239" s="5">
        <f>IF(AND(U239,ISNUMBER(X239)),(V239-X239)^2,"")</f>
        <v/>
      </c>
      <c r="Z239" s="5">
        <f>IF(U239,1+SUMPRODUCT(--(calc!$U$3:$U$306=TRUE),--(calc!$V$3:$V$306&gt;V239))+(SUMPRODUCT(--(calc!$U$3:$U$306=TRUE),--(calc!$V$3:$V$306=V239))-1)/2,"")</f>
        <v/>
      </c>
      <c r="AA239" s="5">
        <f>IF(U239,1+SUMPRODUCT(--(calc!$U$3:$U$306=TRUE),--(calc!$W$3:$W$306&gt;W239))+(SUMPRODUCT(--(calc!$U$3:$U$306=TRUE),--(calc!$W$3:$W$306=W239))-1)/2,"")</f>
        <v/>
      </c>
      <c r="AB239" s="5">
        <f>IF(U239,SUMPRODUCT(--(calc!$U$3:$U$306=TRUE),--(ROW(calc!$U$3:$U$306)&gt;ROW(U239)),--(((calc!$Z$3:$Z$306&gt;Z239)*(calc!$AA$3:$AA$306&gt;AA239)+(calc!$Z$3:$Z$306&lt;Z239)*(calc!$AA$3:$AA$306&lt;AA239))&gt;0))-SUMPRODUCT(--(calc!$U$3:$U$306=TRUE),--(ROW(calc!$U$3:$U$306)&gt;ROW(U239)),--(((calc!$Z$3:$Z$306&gt;Z239)*(calc!$AA$3:$AA$306&lt;AA239)+(calc!$Z$3:$Z$306&lt;Z239)*(calc!$AA$3:$AA$306&gt;AA239))&gt;0)),0)</f>
        <v/>
      </c>
      <c r="AC239" s="5">
        <f>IF(mos_metrics!I238="","",mos_metrics!I238)</f>
        <v/>
      </c>
      <c r="AD239" s="2">
        <f>AND($J239,ISNUMBER(AC239),correlation!$I$28=1)</f>
        <v/>
      </c>
      <c r="AE239" s="5">
        <f>IF(AD239,$F239,"")</f>
        <v/>
      </c>
      <c r="AF239" s="5">
        <f>IF(AD239,AC239*correlation!$J$28,"")</f>
        <v/>
      </c>
      <c r="AG239" s="5">
        <f>IF(AND(AD239,ISNUMBER(correlation!$F$28)),AF239*correlation!$F$28+correlation!$G$28,"")</f>
        <v/>
      </c>
      <c r="AH239" s="5">
        <f>IF(AND(AD239,ISNUMBER(AG239)),(AE239-AG239)^2,"")</f>
        <v/>
      </c>
      <c r="AI239" s="5">
        <f>IF(AD239,1+SUMPRODUCT(--(calc!$AD$3:$AD$306=TRUE),--(calc!$AE$3:$AE$306&gt;AE239))+(SUMPRODUCT(--(calc!$AD$3:$AD$306=TRUE),--(calc!$AE$3:$AE$306=AE239))-1)/2,"")</f>
        <v/>
      </c>
      <c r="AJ239" s="5">
        <f>IF(AD239,1+SUMPRODUCT(--(calc!$AD$3:$AD$306=TRUE),--(calc!$AF$3:$AF$306&gt;AF239))+(SUMPRODUCT(--(calc!$AD$3:$AD$306=TRUE),--(calc!$AF$3:$AF$306=AF239))-1)/2,"")</f>
        <v/>
      </c>
      <c r="AK239" s="5">
        <f>IF(AD239,SUMPRODUCT(--(calc!$AD$3:$AD$306=TRUE),--(ROW(calc!$AD$3:$AD$306)&gt;ROW(AD239)),--(((calc!$AI$3:$AI$306&gt;AI239)*(calc!$AJ$3:$AJ$306&gt;AJ239)+(calc!$AI$3:$AI$306&lt;AI239)*(calc!$AJ$3:$AJ$306&lt;AJ239))&gt;0))-SUMPRODUCT(--(calc!$AD$3:$AD$306=TRUE),--(ROW(calc!$AD$3:$AD$306)&gt;ROW(AD239)),--(((calc!$AI$3:$AI$306&gt;AI239)*(calc!$AJ$3:$AJ$306&lt;AJ239)+(calc!$AI$3:$AI$306&lt;AI239)*(calc!$AJ$3:$AJ$306&gt;AJ239))&gt;0)),0)</f>
        <v/>
      </c>
      <c r="AL239" s="5">
        <f>IF(mos_metrics!J238="","",mos_metrics!J238)</f>
        <v/>
      </c>
      <c r="AM239" s="2">
        <f>AND($J239,ISNUMBER(AL239),correlation!$I$29=1)</f>
        <v/>
      </c>
      <c r="AN239" s="5">
        <f>IF(AM239,$F239,"")</f>
        <v/>
      </c>
      <c r="AO239" s="5">
        <f>IF(AM239,AL239*correlation!$J$29,"")</f>
        <v/>
      </c>
      <c r="AP239" s="5">
        <f>IF(AND(AM239,ISNUMBER(correlation!$F$29)),AO239*correlation!$F$29+correlation!$G$29,"")</f>
        <v/>
      </c>
      <c r="AQ239" s="5">
        <f>IF(AND(AM239,ISNUMBER(AP239)),(AN239-AP239)^2,"")</f>
        <v/>
      </c>
      <c r="AR239" s="5">
        <f>IF(AM239,1+SUMPRODUCT(--(calc!$AM$3:$AM$306=TRUE),--(calc!$AN$3:$AN$306&gt;AN239))+(SUMPRODUCT(--(calc!$AM$3:$AM$306=TRUE),--(calc!$AN$3:$AN$306=AN239))-1)/2,"")</f>
        <v/>
      </c>
      <c r="AS239" s="5">
        <f>IF(AM239,1+SUMPRODUCT(--(calc!$AM$3:$AM$306=TRUE),--(calc!$AO$3:$AO$306&gt;AO239))+(SUMPRODUCT(--(calc!$AM$3:$AM$306=TRUE),--(calc!$AO$3:$AO$306=AO239))-1)/2,"")</f>
        <v/>
      </c>
      <c r="AT239" s="5">
        <f>IF(AM239,SUMPRODUCT(--(calc!$AM$3:$AM$306=TRUE),--(ROW(calc!$AM$3:$AM$306)&gt;ROW(AM239)),--(((calc!$AR$3:$AR$306&gt;AR239)*(calc!$AS$3:$AS$306&gt;AS239)+(calc!$AR$3:$AR$306&lt;AR239)*(calc!$AS$3:$AS$306&lt;AS239))&gt;0))-SUMPRODUCT(--(calc!$AM$3:$AM$306=TRUE),--(ROW(calc!$AM$3:$AM$306)&gt;ROW(AM239)),--(((calc!$AR$3:$AR$306&gt;AR239)*(calc!$AS$3:$AS$306&lt;AS239)+(calc!$AR$3:$AR$306&lt;AR239)*(calc!$AS$3:$AS$306&gt;AS239))&gt;0)),0)</f>
        <v/>
      </c>
      <c r="AU239" s="5">
        <f>IF(mos_metrics!K238="","",mos_metrics!K238)</f>
        <v/>
      </c>
      <c r="AV239" s="2">
        <f>AND($J239,ISNUMBER(AU239),correlation!$I$30=1)</f>
        <v/>
      </c>
      <c r="AW239" s="5">
        <f>IF(AV239,$F239,"")</f>
        <v/>
      </c>
      <c r="AX239" s="5">
        <f>IF(AV239,AU239*correlation!$J$30,"")</f>
        <v/>
      </c>
      <c r="AY239" s="5">
        <f>IF(AND(AV239,ISNUMBER(correlation!$F$30)),AX239*correlation!$F$30+correlation!$G$30,"")</f>
        <v/>
      </c>
      <c r="AZ239" s="5">
        <f>IF(AND(AV239,ISNUMBER(AY239)),(AW239-AY239)^2,"")</f>
        <v/>
      </c>
      <c r="BA239" s="5">
        <f>IF(AV239,1+SUMPRODUCT(--(calc!$AV$3:$AV$306=TRUE),--(calc!$AW$3:$AW$306&gt;AW239))+(SUMPRODUCT(--(calc!$AV$3:$AV$306=TRUE),--(calc!$AW$3:$AW$306=AW239))-1)/2,"")</f>
        <v/>
      </c>
      <c r="BB239" s="5">
        <f>IF(AV239,1+SUMPRODUCT(--(calc!$AV$3:$AV$306=TRUE),--(calc!$AX$3:$AX$306&gt;AX239))+(SUMPRODUCT(--(calc!$AV$3:$AV$306=TRUE),--(calc!$AX$3:$AX$306=AX239))-1)/2,"")</f>
        <v/>
      </c>
      <c r="BC239" s="5">
        <f>IF(AV239,SUMPRODUCT(--(calc!$AV$3:$AV$306=TRUE),--(ROW(calc!$AV$3:$AV$306)&gt;ROW(AV239)),--(((calc!$BA$3:$BA$306&gt;BA239)*(calc!$BB$3:$BB$306&gt;BB239)+(calc!$BA$3:$BA$306&lt;BA239)*(calc!$BB$3:$BB$306&lt;BB239))&gt;0))-SUMPRODUCT(--(calc!$AV$3:$AV$306=TRUE),--(ROW(calc!$AV$3:$AV$306)&gt;ROW(AV239)),--(((calc!$BA$3:$BA$306&gt;BA239)*(calc!$BB$3:$BB$306&lt;BB239)+(calc!$BA$3:$BA$306&lt;BA239)*(calc!$BB$3:$BB$306&gt;BB239))&gt;0)),0)</f>
        <v/>
      </c>
      <c r="BD239" s="5">
        <f>IF(mos_metrics!L238="","",mos_metrics!L238)</f>
        <v/>
      </c>
      <c r="BE239" s="2">
        <f>AND($J239,ISNUMBER(BD239),correlation!$I$31=1)</f>
        <v/>
      </c>
      <c r="BF239" s="5">
        <f>IF(BE239,$F239,"")</f>
        <v/>
      </c>
      <c r="BG239" s="5">
        <f>IF(BE239,BD239*correlation!$J$31,"")</f>
        <v/>
      </c>
      <c r="BH239" s="5">
        <f>IF(AND(BE239,ISNUMBER(correlation!$F$31)),BG239*correlation!$F$31+correlation!$G$31,"")</f>
        <v/>
      </c>
      <c r="BI239" s="5">
        <f>IF(AND(BE239,ISNUMBER(BH239)),(BF239-BH239)^2,"")</f>
        <v/>
      </c>
      <c r="BJ239" s="5">
        <f>IF(BE239,1+SUMPRODUCT(--(calc!$BE$3:$BE$306=TRUE),--(calc!$BF$3:$BF$306&gt;BF239))+(SUMPRODUCT(--(calc!$BE$3:$BE$306=TRUE),--(calc!$BF$3:$BF$306=BF239))-1)/2,"")</f>
        <v/>
      </c>
      <c r="BK239" s="5">
        <f>IF(BE239,1+SUMPRODUCT(--(calc!$BE$3:$BE$306=TRUE),--(calc!$BG$3:$BG$306&gt;BG239))+(SUMPRODUCT(--(calc!$BE$3:$BE$306=TRUE),--(calc!$BG$3:$BG$306=BG239))-1)/2,"")</f>
        <v/>
      </c>
      <c r="BL239" s="5">
        <f>IF(BE239,SUMPRODUCT(--(calc!$BE$3:$BE$306=TRUE),--(ROW(calc!$BE$3:$BE$306)&gt;ROW(BE239)),--(((calc!$BJ$3:$BJ$306&gt;BJ239)*(calc!$BK$3:$BK$306&gt;BK239)+(calc!$BJ$3:$BJ$306&lt;BJ239)*(calc!$BK$3:$BK$306&lt;BK239))&gt;0))-SUMPRODUCT(--(calc!$BE$3:$BE$306=TRUE),--(ROW(calc!$BE$3:$BE$306)&gt;ROW(BE239)),--(((calc!$BJ$3:$BJ$306&gt;BJ239)*(calc!$BK$3:$BK$306&lt;BK239)+(calc!$BJ$3:$BJ$306&lt;BJ239)*(calc!$BK$3:$BK$306&gt;BK239))&gt;0)),0)</f>
        <v/>
      </c>
      <c r="BM239" s="5">
        <f>IF(mos_metrics!M238="","",mos_metrics!M238)</f>
        <v/>
      </c>
      <c r="BN239" s="2">
        <f>AND($J239,ISNUMBER(BM239),correlation!$I$32=1)</f>
        <v/>
      </c>
      <c r="BO239" s="5">
        <f>IF(BN239,$F239,"")</f>
        <v/>
      </c>
      <c r="BP239" s="5">
        <f>IF(BN239,BM239*correlation!$J$32,"")</f>
        <v/>
      </c>
      <c r="BQ239" s="5">
        <f>IF(AND(BN239,ISNUMBER(correlation!$F$32)),BP239*correlation!$F$32+correlation!$G$32,"")</f>
        <v/>
      </c>
      <c r="BR239" s="5">
        <f>IF(AND(BN239,ISNUMBER(BQ239)),(BO239-BQ239)^2,"")</f>
        <v/>
      </c>
      <c r="BS239" s="5">
        <f>IF(BN239,1+SUMPRODUCT(--(calc!$BN$3:$BN$306=TRUE),--(calc!$BO$3:$BO$306&gt;BO239))+(SUMPRODUCT(--(calc!$BN$3:$BN$306=TRUE),--(calc!$BO$3:$BO$306=BO239))-1)/2,"")</f>
        <v/>
      </c>
      <c r="BT239" s="5">
        <f>IF(BN239,1+SUMPRODUCT(--(calc!$BN$3:$BN$306=TRUE),--(calc!$BP$3:$BP$306&gt;BP239))+(SUMPRODUCT(--(calc!$BN$3:$BN$306=TRUE),--(calc!$BP$3:$BP$306=BP239))-1)/2,"")</f>
        <v/>
      </c>
      <c r="BU239" s="5">
        <f>IF(BN239,SUMPRODUCT(--(calc!$BN$3:$BN$306=TRUE),--(ROW(calc!$BN$3:$BN$306)&gt;ROW(BN239)),--(((calc!$BS$3:$BS$306&gt;BS239)*(calc!$BT$3:$BT$306&gt;BT239)+(calc!$BS$3:$BS$306&lt;BS239)*(calc!$BT$3:$BT$306&lt;BT239))&gt;0))-SUMPRODUCT(--(calc!$BN$3:$BN$306=TRUE),--(ROW(calc!$BN$3:$BN$306)&gt;ROW(BN239)),--(((calc!$BS$3:$BS$306&gt;BS239)*(calc!$BT$3:$BT$306&lt;BT239)+(calc!$BS$3:$BS$306&lt;BS239)*(calc!$BT$3:$BT$306&gt;BT239))&gt;0)),0)</f>
        <v/>
      </c>
    </row>
    <row r="240">
      <c r="A240" s="2">
        <f>mos_metrics!A239</f>
        <v/>
      </c>
      <c r="B240" s="2">
        <f>mos_metrics!B239</f>
        <v/>
      </c>
      <c r="C240" s="2">
        <f>mos_metrics!C239</f>
        <v/>
      </c>
      <c r="D240" s="2">
        <f>mos_metrics!D239</f>
        <v/>
      </c>
      <c r="E240" s="2">
        <f>mos_metrics!E239</f>
        <v/>
      </c>
      <c r="F240" s="2">
        <f>mos_metrics!F239</f>
        <v/>
      </c>
      <c r="G240" s="2">
        <f>IF($B240="","",IFERROR(VLOOKUP($B240,correlation!$A$2:$B$16,2,FALSE),1))</f>
        <v/>
      </c>
      <c r="H240" s="2">
        <f>IF($E240="","",IFERROR(VLOOKUP($E240,correlation!$D$2:$E$8,2,FALSE),1))</f>
        <v/>
      </c>
      <c r="I240" s="2">
        <f>ISNUMBER($F240)</f>
        <v/>
      </c>
      <c r="J240" s="2">
        <f>AND($G240=1,$H240=1,$I240)</f>
        <v/>
      </c>
      <c r="K240" s="5">
        <f>IF(mos_metrics!G239="","",mos_metrics!G239)</f>
        <v/>
      </c>
      <c r="L240" s="2">
        <f>AND($J240,ISNUMBER(K240),correlation!$I$26=1)</f>
        <v/>
      </c>
      <c r="M240" s="5">
        <f>IF(L240,$F240,"")</f>
        <v/>
      </c>
      <c r="N240" s="5">
        <f>IF(L240,K240*correlation!$J$26,"")</f>
        <v/>
      </c>
      <c r="O240" s="5">
        <f>IF(AND(L240,ISNUMBER(correlation!$F$26)),N240*correlation!$F$26+correlation!$G$26,"")</f>
        <v/>
      </c>
      <c r="P240" s="5">
        <f>IF(AND(L240,ISNUMBER(O240)),(M240-O240)^2,"")</f>
        <v/>
      </c>
      <c r="Q240" s="5">
        <f>IF(L240,1+SUMPRODUCT(--(calc!$L$3:$L$306=TRUE),--(calc!$M$3:$M$306&gt;M240))+(SUMPRODUCT(--(calc!$L$3:$L$306=TRUE),--(calc!$M$3:$M$306=M240))-1)/2,"")</f>
        <v/>
      </c>
      <c r="R240" s="5">
        <f>IF(L240,1+SUMPRODUCT(--(calc!$L$3:$L$306=TRUE),--(calc!$N$3:$N$306&gt;N240))+(SUMPRODUCT(--(calc!$L$3:$L$306=TRUE),--(calc!$N$3:$N$306=N240))-1)/2,"")</f>
        <v/>
      </c>
      <c r="S240" s="5">
        <f>IF(L240,SUMPRODUCT(--(calc!$L$3:$L$306=TRUE),--(ROW(calc!$L$3:$L$306)&gt;ROW(L240)),--(((calc!$Q$3:$Q$306&gt;Q240)*(calc!$R$3:$R$306&gt;R240)+(calc!$Q$3:$Q$306&lt;Q240)*(calc!$R$3:$R$306&lt;R240))&gt;0))-SUMPRODUCT(--(calc!$L$3:$L$306=TRUE),--(ROW(calc!$L$3:$L$306)&gt;ROW(L240)),--(((calc!$Q$3:$Q$306&gt;Q240)*(calc!$R$3:$R$306&lt;R240)+(calc!$Q$3:$Q$306&lt;Q240)*(calc!$R$3:$R$306&gt;R240))&gt;0)),0)</f>
        <v/>
      </c>
      <c r="T240" s="5">
        <f>IF(mos_metrics!H239="","",mos_metrics!H239)</f>
        <v/>
      </c>
      <c r="U240" s="2">
        <f>AND($J240,ISNUMBER(T240),correlation!$I$27=1)</f>
        <v/>
      </c>
      <c r="V240" s="5">
        <f>IF(U240,$F240,"")</f>
        <v/>
      </c>
      <c r="W240" s="5">
        <f>IF(U240,T240*correlation!$J$27,"")</f>
        <v/>
      </c>
      <c r="X240" s="5">
        <f>IF(AND(U240,ISNUMBER(correlation!$F$27)),W240*correlation!$F$27+correlation!$G$27,"")</f>
        <v/>
      </c>
      <c r="Y240" s="5">
        <f>IF(AND(U240,ISNUMBER(X240)),(V240-X240)^2,"")</f>
        <v/>
      </c>
      <c r="Z240" s="5">
        <f>IF(U240,1+SUMPRODUCT(--(calc!$U$3:$U$306=TRUE),--(calc!$V$3:$V$306&gt;V240))+(SUMPRODUCT(--(calc!$U$3:$U$306=TRUE),--(calc!$V$3:$V$306=V240))-1)/2,"")</f>
        <v/>
      </c>
      <c r="AA240" s="5">
        <f>IF(U240,1+SUMPRODUCT(--(calc!$U$3:$U$306=TRUE),--(calc!$W$3:$W$306&gt;W240))+(SUMPRODUCT(--(calc!$U$3:$U$306=TRUE),--(calc!$W$3:$W$306=W240))-1)/2,"")</f>
        <v/>
      </c>
      <c r="AB240" s="5">
        <f>IF(U240,SUMPRODUCT(--(calc!$U$3:$U$306=TRUE),--(ROW(calc!$U$3:$U$306)&gt;ROW(U240)),--(((calc!$Z$3:$Z$306&gt;Z240)*(calc!$AA$3:$AA$306&gt;AA240)+(calc!$Z$3:$Z$306&lt;Z240)*(calc!$AA$3:$AA$306&lt;AA240))&gt;0))-SUMPRODUCT(--(calc!$U$3:$U$306=TRUE),--(ROW(calc!$U$3:$U$306)&gt;ROW(U240)),--(((calc!$Z$3:$Z$306&gt;Z240)*(calc!$AA$3:$AA$306&lt;AA240)+(calc!$Z$3:$Z$306&lt;Z240)*(calc!$AA$3:$AA$306&gt;AA240))&gt;0)),0)</f>
        <v/>
      </c>
      <c r="AC240" s="5">
        <f>IF(mos_metrics!I239="","",mos_metrics!I239)</f>
        <v/>
      </c>
      <c r="AD240" s="2">
        <f>AND($J240,ISNUMBER(AC240),correlation!$I$28=1)</f>
        <v/>
      </c>
      <c r="AE240" s="5">
        <f>IF(AD240,$F240,"")</f>
        <v/>
      </c>
      <c r="AF240" s="5">
        <f>IF(AD240,AC240*correlation!$J$28,"")</f>
        <v/>
      </c>
      <c r="AG240" s="5">
        <f>IF(AND(AD240,ISNUMBER(correlation!$F$28)),AF240*correlation!$F$28+correlation!$G$28,"")</f>
        <v/>
      </c>
      <c r="AH240" s="5">
        <f>IF(AND(AD240,ISNUMBER(AG240)),(AE240-AG240)^2,"")</f>
        <v/>
      </c>
      <c r="AI240" s="5">
        <f>IF(AD240,1+SUMPRODUCT(--(calc!$AD$3:$AD$306=TRUE),--(calc!$AE$3:$AE$306&gt;AE240))+(SUMPRODUCT(--(calc!$AD$3:$AD$306=TRUE),--(calc!$AE$3:$AE$306=AE240))-1)/2,"")</f>
        <v/>
      </c>
      <c r="AJ240" s="5">
        <f>IF(AD240,1+SUMPRODUCT(--(calc!$AD$3:$AD$306=TRUE),--(calc!$AF$3:$AF$306&gt;AF240))+(SUMPRODUCT(--(calc!$AD$3:$AD$306=TRUE),--(calc!$AF$3:$AF$306=AF240))-1)/2,"")</f>
        <v/>
      </c>
      <c r="AK240" s="5">
        <f>IF(AD240,SUMPRODUCT(--(calc!$AD$3:$AD$306=TRUE),--(ROW(calc!$AD$3:$AD$306)&gt;ROW(AD240)),--(((calc!$AI$3:$AI$306&gt;AI240)*(calc!$AJ$3:$AJ$306&gt;AJ240)+(calc!$AI$3:$AI$306&lt;AI240)*(calc!$AJ$3:$AJ$306&lt;AJ240))&gt;0))-SUMPRODUCT(--(calc!$AD$3:$AD$306=TRUE),--(ROW(calc!$AD$3:$AD$306)&gt;ROW(AD240)),--(((calc!$AI$3:$AI$306&gt;AI240)*(calc!$AJ$3:$AJ$306&lt;AJ240)+(calc!$AI$3:$AI$306&lt;AI240)*(calc!$AJ$3:$AJ$306&gt;AJ240))&gt;0)),0)</f>
        <v/>
      </c>
      <c r="AL240" s="5">
        <f>IF(mos_metrics!J239="","",mos_metrics!J239)</f>
        <v/>
      </c>
      <c r="AM240" s="2">
        <f>AND($J240,ISNUMBER(AL240),correlation!$I$29=1)</f>
        <v/>
      </c>
      <c r="AN240" s="5">
        <f>IF(AM240,$F240,"")</f>
        <v/>
      </c>
      <c r="AO240" s="5">
        <f>IF(AM240,AL240*correlation!$J$29,"")</f>
        <v/>
      </c>
      <c r="AP240" s="5">
        <f>IF(AND(AM240,ISNUMBER(correlation!$F$29)),AO240*correlation!$F$29+correlation!$G$29,"")</f>
        <v/>
      </c>
      <c r="AQ240" s="5">
        <f>IF(AND(AM240,ISNUMBER(AP240)),(AN240-AP240)^2,"")</f>
        <v/>
      </c>
      <c r="AR240" s="5">
        <f>IF(AM240,1+SUMPRODUCT(--(calc!$AM$3:$AM$306=TRUE),--(calc!$AN$3:$AN$306&gt;AN240))+(SUMPRODUCT(--(calc!$AM$3:$AM$306=TRUE),--(calc!$AN$3:$AN$306=AN240))-1)/2,"")</f>
        <v/>
      </c>
      <c r="AS240" s="5">
        <f>IF(AM240,1+SUMPRODUCT(--(calc!$AM$3:$AM$306=TRUE),--(calc!$AO$3:$AO$306&gt;AO240))+(SUMPRODUCT(--(calc!$AM$3:$AM$306=TRUE),--(calc!$AO$3:$AO$306=AO240))-1)/2,"")</f>
        <v/>
      </c>
      <c r="AT240" s="5">
        <f>IF(AM240,SUMPRODUCT(--(calc!$AM$3:$AM$306=TRUE),--(ROW(calc!$AM$3:$AM$306)&gt;ROW(AM240)),--(((calc!$AR$3:$AR$306&gt;AR240)*(calc!$AS$3:$AS$306&gt;AS240)+(calc!$AR$3:$AR$306&lt;AR240)*(calc!$AS$3:$AS$306&lt;AS240))&gt;0))-SUMPRODUCT(--(calc!$AM$3:$AM$306=TRUE),--(ROW(calc!$AM$3:$AM$306)&gt;ROW(AM240)),--(((calc!$AR$3:$AR$306&gt;AR240)*(calc!$AS$3:$AS$306&lt;AS240)+(calc!$AR$3:$AR$306&lt;AR240)*(calc!$AS$3:$AS$306&gt;AS240))&gt;0)),0)</f>
        <v/>
      </c>
      <c r="AU240" s="5">
        <f>IF(mos_metrics!K239="","",mos_metrics!K239)</f>
        <v/>
      </c>
      <c r="AV240" s="2">
        <f>AND($J240,ISNUMBER(AU240),correlation!$I$30=1)</f>
        <v/>
      </c>
      <c r="AW240" s="5">
        <f>IF(AV240,$F240,"")</f>
        <v/>
      </c>
      <c r="AX240" s="5">
        <f>IF(AV240,AU240*correlation!$J$30,"")</f>
        <v/>
      </c>
      <c r="AY240" s="5">
        <f>IF(AND(AV240,ISNUMBER(correlation!$F$30)),AX240*correlation!$F$30+correlation!$G$30,"")</f>
        <v/>
      </c>
      <c r="AZ240" s="5">
        <f>IF(AND(AV240,ISNUMBER(AY240)),(AW240-AY240)^2,"")</f>
        <v/>
      </c>
      <c r="BA240" s="5">
        <f>IF(AV240,1+SUMPRODUCT(--(calc!$AV$3:$AV$306=TRUE),--(calc!$AW$3:$AW$306&gt;AW240))+(SUMPRODUCT(--(calc!$AV$3:$AV$306=TRUE),--(calc!$AW$3:$AW$306=AW240))-1)/2,"")</f>
        <v/>
      </c>
      <c r="BB240" s="5">
        <f>IF(AV240,1+SUMPRODUCT(--(calc!$AV$3:$AV$306=TRUE),--(calc!$AX$3:$AX$306&gt;AX240))+(SUMPRODUCT(--(calc!$AV$3:$AV$306=TRUE),--(calc!$AX$3:$AX$306=AX240))-1)/2,"")</f>
        <v/>
      </c>
      <c r="BC240" s="5">
        <f>IF(AV240,SUMPRODUCT(--(calc!$AV$3:$AV$306=TRUE),--(ROW(calc!$AV$3:$AV$306)&gt;ROW(AV240)),--(((calc!$BA$3:$BA$306&gt;BA240)*(calc!$BB$3:$BB$306&gt;BB240)+(calc!$BA$3:$BA$306&lt;BA240)*(calc!$BB$3:$BB$306&lt;BB240))&gt;0))-SUMPRODUCT(--(calc!$AV$3:$AV$306=TRUE),--(ROW(calc!$AV$3:$AV$306)&gt;ROW(AV240)),--(((calc!$BA$3:$BA$306&gt;BA240)*(calc!$BB$3:$BB$306&lt;BB240)+(calc!$BA$3:$BA$306&lt;BA240)*(calc!$BB$3:$BB$306&gt;BB240))&gt;0)),0)</f>
        <v/>
      </c>
      <c r="BD240" s="5">
        <f>IF(mos_metrics!L239="","",mos_metrics!L239)</f>
        <v/>
      </c>
      <c r="BE240" s="2">
        <f>AND($J240,ISNUMBER(BD240),correlation!$I$31=1)</f>
        <v/>
      </c>
      <c r="BF240" s="5">
        <f>IF(BE240,$F240,"")</f>
        <v/>
      </c>
      <c r="BG240" s="5">
        <f>IF(BE240,BD240*correlation!$J$31,"")</f>
        <v/>
      </c>
      <c r="BH240" s="5">
        <f>IF(AND(BE240,ISNUMBER(correlation!$F$31)),BG240*correlation!$F$31+correlation!$G$31,"")</f>
        <v/>
      </c>
      <c r="BI240" s="5">
        <f>IF(AND(BE240,ISNUMBER(BH240)),(BF240-BH240)^2,"")</f>
        <v/>
      </c>
      <c r="BJ240" s="5">
        <f>IF(BE240,1+SUMPRODUCT(--(calc!$BE$3:$BE$306=TRUE),--(calc!$BF$3:$BF$306&gt;BF240))+(SUMPRODUCT(--(calc!$BE$3:$BE$306=TRUE),--(calc!$BF$3:$BF$306=BF240))-1)/2,"")</f>
        <v/>
      </c>
      <c r="BK240" s="5">
        <f>IF(BE240,1+SUMPRODUCT(--(calc!$BE$3:$BE$306=TRUE),--(calc!$BG$3:$BG$306&gt;BG240))+(SUMPRODUCT(--(calc!$BE$3:$BE$306=TRUE),--(calc!$BG$3:$BG$306=BG240))-1)/2,"")</f>
        <v/>
      </c>
      <c r="BL240" s="5">
        <f>IF(BE240,SUMPRODUCT(--(calc!$BE$3:$BE$306=TRUE),--(ROW(calc!$BE$3:$BE$306)&gt;ROW(BE240)),--(((calc!$BJ$3:$BJ$306&gt;BJ240)*(calc!$BK$3:$BK$306&gt;BK240)+(calc!$BJ$3:$BJ$306&lt;BJ240)*(calc!$BK$3:$BK$306&lt;BK240))&gt;0))-SUMPRODUCT(--(calc!$BE$3:$BE$306=TRUE),--(ROW(calc!$BE$3:$BE$306)&gt;ROW(BE240)),--(((calc!$BJ$3:$BJ$306&gt;BJ240)*(calc!$BK$3:$BK$306&lt;BK240)+(calc!$BJ$3:$BJ$306&lt;BJ240)*(calc!$BK$3:$BK$306&gt;BK240))&gt;0)),0)</f>
        <v/>
      </c>
      <c r="BM240" s="5">
        <f>IF(mos_metrics!M239="","",mos_metrics!M239)</f>
        <v/>
      </c>
      <c r="BN240" s="2">
        <f>AND($J240,ISNUMBER(BM240),correlation!$I$32=1)</f>
        <v/>
      </c>
      <c r="BO240" s="5">
        <f>IF(BN240,$F240,"")</f>
        <v/>
      </c>
      <c r="BP240" s="5">
        <f>IF(BN240,BM240*correlation!$J$32,"")</f>
        <v/>
      </c>
      <c r="BQ240" s="5">
        <f>IF(AND(BN240,ISNUMBER(correlation!$F$32)),BP240*correlation!$F$32+correlation!$G$32,"")</f>
        <v/>
      </c>
      <c r="BR240" s="5">
        <f>IF(AND(BN240,ISNUMBER(BQ240)),(BO240-BQ240)^2,"")</f>
        <v/>
      </c>
      <c r="BS240" s="5">
        <f>IF(BN240,1+SUMPRODUCT(--(calc!$BN$3:$BN$306=TRUE),--(calc!$BO$3:$BO$306&gt;BO240))+(SUMPRODUCT(--(calc!$BN$3:$BN$306=TRUE),--(calc!$BO$3:$BO$306=BO240))-1)/2,"")</f>
        <v/>
      </c>
      <c r="BT240" s="5">
        <f>IF(BN240,1+SUMPRODUCT(--(calc!$BN$3:$BN$306=TRUE),--(calc!$BP$3:$BP$306&gt;BP240))+(SUMPRODUCT(--(calc!$BN$3:$BN$306=TRUE),--(calc!$BP$3:$BP$306=BP240))-1)/2,"")</f>
        <v/>
      </c>
      <c r="BU240" s="5">
        <f>IF(BN240,SUMPRODUCT(--(calc!$BN$3:$BN$306=TRUE),--(ROW(calc!$BN$3:$BN$306)&gt;ROW(BN240)),--(((calc!$BS$3:$BS$306&gt;BS240)*(calc!$BT$3:$BT$306&gt;BT240)+(calc!$BS$3:$BS$306&lt;BS240)*(calc!$BT$3:$BT$306&lt;BT240))&gt;0))-SUMPRODUCT(--(calc!$BN$3:$BN$306=TRUE),--(ROW(calc!$BN$3:$BN$306)&gt;ROW(BN240)),--(((calc!$BS$3:$BS$306&gt;BS240)*(calc!$BT$3:$BT$306&lt;BT240)+(calc!$BS$3:$BS$306&lt;BS240)*(calc!$BT$3:$BT$306&gt;BT240))&gt;0)),0)</f>
        <v/>
      </c>
    </row>
    <row r="241">
      <c r="A241" s="2">
        <f>mos_metrics!A240</f>
        <v/>
      </c>
      <c r="B241" s="2">
        <f>mos_metrics!B240</f>
        <v/>
      </c>
      <c r="C241" s="2">
        <f>mos_metrics!C240</f>
        <v/>
      </c>
      <c r="D241" s="2">
        <f>mos_metrics!D240</f>
        <v/>
      </c>
      <c r="E241" s="2">
        <f>mos_metrics!E240</f>
        <v/>
      </c>
      <c r="F241" s="2">
        <f>mos_metrics!F240</f>
        <v/>
      </c>
      <c r="G241" s="2">
        <f>IF($B241="","",IFERROR(VLOOKUP($B241,correlation!$A$2:$B$16,2,FALSE),1))</f>
        <v/>
      </c>
      <c r="H241" s="2">
        <f>IF($E241="","",IFERROR(VLOOKUP($E241,correlation!$D$2:$E$8,2,FALSE),1))</f>
        <v/>
      </c>
      <c r="I241" s="2">
        <f>ISNUMBER($F241)</f>
        <v/>
      </c>
      <c r="J241" s="2">
        <f>AND($G241=1,$H241=1,$I241)</f>
        <v/>
      </c>
      <c r="K241" s="5">
        <f>IF(mos_metrics!G240="","",mos_metrics!G240)</f>
        <v/>
      </c>
      <c r="L241" s="2">
        <f>AND($J241,ISNUMBER(K241),correlation!$I$26=1)</f>
        <v/>
      </c>
      <c r="M241" s="5">
        <f>IF(L241,$F241,"")</f>
        <v/>
      </c>
      <c r="N241" s="5">
        <f>IF(L241,K241*correlation!$J$26,"")</f>
        <v/>
      </c>
      <c r="O241" s="5">
        <f>IF(AND(L241,ISNUMBER(correlation!$F$26)),N241*correlation!$F$26+correlation!$G$26,"")</f>
        <v/>
      </c>
      <c r="P241" s="5">
        <f>IF(AND(L241,ISNUMBER(O241)),(M241-O241)^2,"")</f>
        <v/>
      </c>
      <c r="Q241" s="5">
        <f>IF(L241,1+SUMPRODUCT(--(calc!$L$3:$L$306=TRUE),--(calc!$M$3:$M$306&gt;M241))+(SUMPRODUCT(--(calc!$L$3:$L$306=TRUE),--(calc!$M$3:$M$306=M241))-1)/2,"")</f>
        <v/>
      </c>
      <c r="R241" s="5">
        <f>IF(L241,1+SUMPRODUCT(--(calc!$L$3:$L$306=TRUE),--(calc!$N$3:$N$306&gt;N241))+(SUMPRODUCT(--(calc!$L$3:$L$306=TRUE),--(calc!$N$3:$N$306=N241))-1)/2,"")</f>
        <v/>
      </c>
      <c r="S241" s="5">
        <f>IF(L241,SUMPRODUCT(--(calc!$L$3:$L$306=TRUE),--(ROW(calc!$L$3:$L$306)&gt;ROW(L241)),--(((calc!$Q$3:$Q$306&gt;Q241)*(calc!$R$3:$R$306&gt;R241)+(calc!$Q$3:$Q$306&lt;Q241)*(calc!$R$3:$R$306&lt;R241))&gt;0))-SUMPRODUCT(--(calc!$L$3:$L$306=TRUE),--(ROW(calc!$L$3:$L$306)&gt;ROW(L241)),--(((calc!$Q$3:$Q$306&gt;Q241)*(calc!$R$3:$R$306&lt;R241)+(calc!$Q$3:$Q$306&lt;Q241)*(calc!$R$3:$R$306&gt;R241))&gt;0)),0)</f>
        <v/>
      </c>
      <c r="T241" s="5">
        <f>IF(mos_metrics!H240="","",mos_metrics!H240)</f>
        <v/>
      </c>
      <c r="U241" s="2">
        <f>AND($J241,ISNUMBER(T241),correlation!$I$27=1)</f>
        <v/>
      </c>
      <c r="V241" s="5">
        <f>IF(U241,$F241,"")</f>
        <v/>
      </c>
      <c r="W241" s="5">
        <f>IF(U241,T241*correlation!$J$27,"")</f>
        <v/>
      </c>
      <c r="X241" s="5">
        <f>IF(AND(U241,ISNUMBER(correlation!$F$27)),W241*correlation!$F$27+correlation!$G$27,"")</f>
        <v/>
      </c>
      <c r="Y241" s="5">
        <f>IF(AND(U241,ISNUMBER(X241)),(V241-X241)^2,"")</f>
        <v/>
      </c>
      <c r="Z241" s="5">
        <f>IF(U241,1+SUMPRODUCT(--(calc!$U$3:$U$306=TRUE),--(calc!$V$3:$V$306&gt;V241))+(SUMPRODUCT(--(calc!$U$3:$U$306=TRUE),--(calc!$V$3:$V$306=V241))-1)/2,"")</f>
        <v/>
      </c>
      <c r="AA241" s="5">
        <f>IF(U241,1+SUMPRODUCT(--(calc!$U$3:$U$306=TRUE),--(calc!$W$3:$W$306&gt;W241))+(SUMPRODUCT(--(calc!$U$3:$U$306=TRUE),--(calc!$W$3:$W$306=W241))-1)/2,"")</f>
        <v/>
      </c>
      <c r="AB241" s="5">
        <f>IF(U241,SUMPRODUCT(--(calc!$U$3:$U$306=TRUE),--(ROW(calc!$U$3:$U$306)&gt;ROW(U241)),--(((calc!$Z$3:$Z$306&gt;Z241)*(calc!$AA$3:$AA$306&gt;AA241)+(calc!$Z$3:$Z$306&lt;Z241)*(calc!$AA$3:$AA$306&lt;AA241))&gt;0))-SUMPRODUCT(--(calc!$U$3:$U$306=TRUE),--(ROW(calc!$U$3:$U$306)&gt;ROW(U241)),--(((calc!$Z$3:$Z$306&gt;Z241)*(calc!$AA$3:$AA$306&lt;AA241)+(calc!$Z$3:$Z$306&lt;Z241)*(calc!$AA$3:$AA$306&gt;AA241))&gt;0)),0)</f>
        <v/>
      </c>
      <c r="AC241" s="5">
        <f>IF(mos_metrics!I240="","",mos_metrics!I240)</f>
        <v/>
      </c>
      <c r="AD241" s="2">
        <f>AND($J241,ISNUMBER(AC241),correlation!$I$28=1)</f>
        <v/>
      </c>
      <c r="AE241" s="5">
        <f>IF(AD241,$F241,"")</f>
        <v/>
      </c>
      <c r="AF241" s="5">
        <f>IF(AD241,AC241*correlation!$J$28,"")</f>
        <v/>
      </c>
      <c r="AG241" s="5">
        <f>IF(AND(AD241,ISNUMBER(correlation!$F$28)),AF241*correlation!$F$28+correlation!$G$28,"")</f>
        <v/>
      </c>
      <c r="AH241" s="5">
        <f>IF(AND(AD241,ISNUMBER(AG241)),(AE241-AG241)^2,"")</f>
        <v/>
      </c>
      <c r="AI241" s="5">
        <f>IF(AD241,1+SUMPRODUCT(--(calc!$AD$3:$AD$306=TRUE),--(calc!$AE$3:$AE$306&gt;AE241))+(SUMPRODUCT(--(calc!$AD$3:$AD$306=TRUE),--(calc!$AE$3:$AE$306=AE241))-1)/2,"")</f>
        <v/>
      </c>
      <c r="AJ241" s="5">
        <f>IF(AD241,1+SUMPRODUCT(--(calc!$AD$3:$AD$306=TRUE),--(calc!$AF$3:$AF$306&gt;AF241))+(SUMPRODUCT(--(calc!$AD$3:$AD$306=TRUE),--(calc!$AF$3:$AF$306=AF241))-1)/2,"")</f>
        <v/>
      </c>
      <c r="AK241" s="5">
        <f>IF(AD241,SUMPRODUCT(--(calc!$AD$3:$AD$306=TRUE),--(ROW(calc!$AD$3:$AD$306)&gt;ROW(AD241)),--(((calc!$AI$3:$AI$306&gt;AI241)*(calc!$AJ$3:$AJ$306&gt;AJ241)+(calc!$AI$3:$AI$306&lt;AI241)*(calc!$AJ$3:$AJ$306&lt;AJ241))&gt;0))-SUMPRODUCT(--(calc!$AD$3:$AD$306=TRUE),--(ROW(calc!$AD$3:$AD$306)&gt;ROW(AD241)),--(((calc!$AI$3:$AI$306&gt;AI241)*(calc!$AJ$3:$AJ$306&lt;AJ241)+(calc!$AI$3:$AI$306&lt;AI241)*(calc!$AJ$3:$AJ$306&gt;AJ241))&gt;0)),0)</f>
        <v/>
      </c>
      <c r="AL241" s="5">
        <f>IF(mos_metrics!J240="","",mos_metrics!J240)</f>
        <v/>
      </c>
      <c r="AM241" s="2">
        <f>AND($J241,ISNUMBER(AL241),correlation!$I$29=1)</f>
        <v/>
      </c>
      <c r="AN241" s="5">
        <f>IF(AM241,$F241,"")</f>
        <v/>
      </c>
      <c r="AO241" s="5">
        <f>IF(AM241,AL241*correlation!$J$29,"")</f>
        <v/>
      </c>
      <c r="AP241" s="5">
        <f>IF(AND(AM241,ISNUMBER(correlation!$F$29)),AO241*correlation!$F$29+correlation!$G$29,"")</f>
        <v/>
      </c>
      <c r="AQ241" s="5">
        <f>IF(AND(AM241,ISNUMBER(AP241)),(AN241-AP241)^2,"")</f>
        <v/>
      </c>
      <c r="AR241" s="5">
        <f>IF(AM241,1+SUMPRODUCT(--(calc!$AM$3:$AM$306=TRUE),--(calc!$AN$3:$AN$306&gt;AN241))+(SUMPRODUCT(--(calc!$AM$3:$AM$306=TRUE),--(calc!$AN$3:$AN$306=AN241))-1)/2,"")</f>
        <v/>
      </c>
      <c r="AS241" s="5">
        <f>IF(AM241,1+SUMPRODUCT(--(calc!$AM$3:$AM$306=TRUE),--(calc!$AO$3:$AO$306&gt;AO241))+(SUMPRODUCT(--(calc!$AM$3:$AM$306=TRUE),--(calc!$AO$3:$AO$306=AO241))-1)/2,"")</f>
        <v/>
      </c>
      <c r="AT241" s="5">
        <f>IF(AM241,SUMPRODUCT(--(calc!$AM$3:$AM$306=TRUE),--(ROW(calc!$AM$3:$AM$306)&gt;ROW(AM241)),--(((calc!$AR$3:$AR$306&gt;AR241)*(calc!$AS$3:$AS$306&gt;AS241)+(calc!$AR$3:$AR$306&lt;AR241)*(calc!$AS$3:$AS$306&lt;AS241))&gt;0))-SUMPRODUCT(--(calc!$AM$3:$AM$306=TRUE),--(ROW(calc!$AM$3:$AM$306)&gt;ROW(AM241)),--(((calc!$AR$3:$AR$306&gt;AR241)*(calc!$AS$3:$AS$306&lt;AS241)+(calc!$AR$3:$AR$306&lt;AR241)*(calc!$AS$3:$AS$306&gt;AS241))&gt;0)),0)</f>
        <v/>
      </c>
      <c r="AU241" s="5">
        <f>IF(mos_metrics!K240="","",mos_metrics!K240)</f>
        <v/>
      </c>
      <c r="AV241" s="2">
        <f>AND($J241,ISNUMBER(AU241),correlation!$I$30=1)</f>
        <v/>
      </c>
      <c r="AW241" s="5">
        <f>IF(AV241,$F241,"")</f>
        <v/>
      </c>
      <c r="AX241" s="5">
        <f>IF(AV241,AU241*correlation!$J$30,"")</f>
        <v/>
      </c>
      <c r="AY241" s="5">
        <f>IF(AND(AV241,ISNUMBER(correlation!$F$30)),AX241*correlation!$F$30+correlation!$G$30,"")</f>
        <v/>
      </c>
      <c r="AZ241" s="5">
        <f>IF(AND(AV241,ISNUMBER(AY241)),(AW241-AY241)^2,"")</f>
        <v/>
      </c>
      <c r="BA241" s="5">
        <f>IF(AV241,1+SUMPRODUCT(--(calc!$AV$3:$AV$306=TRUE),--(calc!$AW$3:$AW$306&gt;AW241))+(SUMPRODUCT(--(calc!$AV$3:$AV$306=TRUE),--(calc!$AW$3:$AW$306=AW241))-1)/2,"")</f>
        <v/>
      </c>
      <c r="BB241" s="5">
        <f>IF(AV241,1+SUMPRODUCT(--(calc!$AV$3:$AV$306=TRUE),--(calc!$AX$3:$AX$306&gt;AX241))+(SUMPRODUCT(--(calc!$AV$3:$AV$306=TRUE),--(calc!$AX$3:$AX$306=AX241))-1)/2,"")</f>
        <v/>
      </c>
      <c r="BC241" s="5">
        <f>IF(AV241,SUMPRODUCT(--(calc!$AV$3:$AV$306=TRUE),--(ROW(calc!$AV$3:$AV$306)&gt;ROW(AV241)),--(((calc!$BA$3:$BA$306&gt;BA241)*(calc!$BB$3:$BB$306&gt;BB241)+(calc!$BA$3:$BA$306&lt;BA241)*(calc!$BB$3:$BB$306&lt;BB241))&gt;0))-SUMPRODUCT(--(calc!$AV$3:$AV$306=TRUE),--(ROW(calc!$AV$3:$AV$306)&gt;ROW(AV241)),--(((calc!$BA$3:$BA$306&gt;BA241)*(calc!$BB$3:$BB$306&lt;BB241)+(calc!$BA$3:$BA$306&lt;BA241)*(calc!$BB$3:$BB$306&gt;BB241))&gt;0)),0)</f>
        <v/>
      </c>
      <c r="BD241" s="5">
        <f>IF(mos_metrics!L240="","",mos_metrics!L240)</f>
        <v/>
      </c>
      <c r="BE241" s="2">
        <f>AND($J241,ISNUMBER(BD241),correlation!$I$31=1)</f>
        <v/>
      </c>
      <c r="BF241" s="5">
        <f>IF(BE241,$F241,"")</f>
        <v/>
      </c>
      <c r="BG241" s="5">
        <f>IF(BE241,BD241*correlation!$J$31,"")</f>
        <v/>
      </c>
      <c r="BH241" s="5">
        <f>IF(AND(BE241,ISNUMBER(correlation!$F$31)),BG241*correlation!$F$31+correlation!$G$31,"")</f>
        <v/>
      </c>
      <c r="BI241" s="5">
        <f>IF(AND(BE241,ISNUMBER(BH241)),(BF241-BH241)^2,"")</f>
        <v/>
      </c>
      <c r="BJ241" s="5">
        <f>IF(BE241,1+SUMPRODUCT(--(calc!$BE$3:$BE$306=TRUE),--(calc!$BF$3:$BF$306&gt;BF241))+(SUMPRODUCT(--(calc!$BE$3:$BE$306=TRUE),--(calc!$BF$3:$BF$306=BF241))-1)/2,"")</f>
        <v/>
      </c>
      <c r="BK241" s="5">
        <f>IF(BE241,1+SUMPRODUCT(--(calc!$BE$3:$BE$306=TRUE),--(calc!$BG$3:$BG$306&gt;BG241))+(SUMPRODUCT(--(calc!$BE$3:$BE$306=TRUE),--(calc!$BG$3:$BG$306=BG241))-1)/2,"")</f>
        <v/>
      </c>
      <c r="BL241" s="5">
        <f>IF(BE241,SUMPRODUCT(--(calc!$BE$3:$BE$306=TRUE),--(ROW(calc!$BE$3:$BE$306)&gt;ROW(BE241)),--(((calc!$BJ$3:$BJ$306&gt;BJ241)*(calc!$BK$3:$BK$306&gt;BK241)+(calc!$BJ$3:$BJ$306&lt;BJ241)*(calc!$BK$3:$BK$306&lt;BK241))&gt;0))-SUMPRODUCT(--(calc!$BE$3:$BE$306=TRUE),--(ROW(calc!$BE$3:$BE$306)&gt;ROW(BE241)),--(((calc!$BJ$3:$BJ$306&gt;BJ241)*(calc!$BK$3:$BK$306&lt;BK241)+(calc!$BJ$3:$BJ$306&lt;BJ241)*(calc!$BK$3:$BK$306&gt;BK241))&gt;0)),0)</f>
        <v/>
      </c>
      <c r="BM241" s="5">
        <f>IF(mos_metrics!M240="","",mos_metrics!M240)</f>
        <v/>
      </c>
      <c r="BN241" s="2">
        <f>AND($J241,ISNUMBER(BM241),correlation!$I$32=1)</f>
        <v/>
      </c>
      <c r="BO241" s="5">
        <f>IF(BN241,$F241,"")</f>
        <v/>
      </c>
      <c r="BP241" s="5">
        <f>IF(BN241,BM241*correlation!$J$32,"")</f>
        <v/>
      </c>
      <c r="BQ241" s="5">
        <f>IF(AND(BN241,ISNUMBER(correlation!$F$32)),BP241*correlation!$F$32+correlation!$G$32,"")</f>
        <v/>
      </c>
      <c r="BR241" s="5">
        <f>IF(AND(BN241,ISNUMBER(BQ241)),(BO241-BQ241)^2,"")</f>
        <v/>
      </c>
      <c r="BS241" s="5">
        <f>IF(BN241,1+SUMPRODUCT(--(calc!$BN$3:$BN$306=TRUE),--(calc!$BO$3:$BO$306&gt;BO241))+(SUMPRODUCT(--(calc!$BN$3:$BN$306=TRUE),--(calc!$BO$3:$BO$306=BO241))-1)/2,"")</f>
        <v/>
      </c>
      <c r="BT241" s="5">
        <f>IF(BN241,1+SUMPRODUCT(--(calc!$BN$3:$BN$306=TRUE),--(calc!$BP$3:$BP$306&gt;BP241))+(SUMPRODUCT(--(calc!$BN$3:$BN$306=TRUE),--(calc!$BP$3:$BP$306=BP241))-1)/2,"")</f>
        <v/>
      </c>
      <c r="BU241" s="5">
        <f>IF(BN241,SUMPRODUCT(--(calc!$BN$3:$BN$306=TRUE),--(ROW(calc!$BN$3:$BN$306)&gt;ROW(BN241)),--(((calc!$BS$3:$BS$306&gt;BS241)*(calc!$BT$3:$BT$306&gt;BT241)+(calc!$BS$3:$BS$306&lt;BS241)*(calc!$BT$3:$BT$306&lt;BT241))&gt;0))-SUMPRODUCT(--(calc!$BN$3:$BN$306=TRUE),--(ROW(calc!$BN$3:$BN$306)&gt;ROW(BN241)),--(((calc!$BS$3:$BS$306&gt;BS241)*(calc!$BT$3:$BT$306&lt;BT241)+(calc!$BS$3:$BS$306&lt;BS241)*(calc!$BT$3:$BT$306&gt;BT241))&gt;0)),0)</f>
        <v/>
      </c>
    </row>
    <row r="242">
      <c r="A242" s="2">
        <f>mos_metrics!A241</f>
        <v/>
      </c>
      <c r="B242" s="2">
        <f>mos_metrics!B241</f>
        <v/>
      </c>
      <c r="C242" s="2">
        <f>mos_metrics!C241</f>
        <v/>
      </c>
      <c r="D242" s="2">
        <f>mos_metrics!D241</f>
        <v/>
      </c>
      <c r="E242" s="2">
        <f>mos_metrics!E241</f>
        <v/>
      </c>
      <c r="F242" s="2">
        <f>mos_metrics!F241</f>
        <v/>
      </c>
      <c r="G242" s="2">
        <f>IF($B242="","",IFERROR(VLOOKUP($B242,correlation!$A$2:$B$16,2,FALSE),1))</f>
        <v/>
      </c>
      <c r="H242" s="2">
        <f>IF($E242="","",IFERROR(VLOOKUP($E242,correlation!$D$2:$E$8,2,FALSE),1))</f>
        <v/>
      </c>
      <c r="I242" s="2">
        <f>ISNUMBER($F242)</f>
        <v/>
      </c>
      <c r="J242" s="2">
        <f>AND($G242=1,$H242=1,$I242)</f>
        <v/>
      </c>
      <c r="K242" s="5">
        <f>IF(mos_metrics!G241="","",mos_metrics!G241)</f>
        <v/>
      </c>
      <c r="L242" s="2">
        <f>AND($J242,ISNUMBER(K242),correlation!$I$26=1)</f>
        <v/>
      </c>
      <c r="M242" s="5">
        <f>IF(L242,$F242,"")</f>
        <v/>
      </c>
      <c r="N242" s="5">
        <f>IF(L242,K242*correlation!$J$26,"")</f>
        <v/>
      </c>
      <c r="O242" s="5">
        <f>IF(AND(L242,ISNUMBER(correlation!$F$26)),N242*correlation!$F$26+correlation!$G$26,"")</f>
        <v/>
      </c>
      <c r="P242" s="5">
        <f>IF(AND(L242,ISNUMBER(O242)),(M242-O242)^2,"")</f>
        <v/>
      </c>
      <c r="Q242" s="5">
        <f>IF(L242,1+SUMPRODUCT(--(calc!$L$3:$L$306=TRUE),--(calc!$M$3:$M$306&gt;M242))+(SUMPRODUCT(--(calc!$L$3:$L$306=TRUE),--(calc!$M$3:$M$306=M242))-1)/2,"")</f>
        <v/>
      </c>
      <c r="R242" s="5">
        <f>IF(L242,1+SUMPRODUCT(--(calc!$L$3:$L$306=TRUE),--(calc!$N$3:$N$306&gt;N242))+(SUMPRODUCT(--(calc!$L$3:$L$306=TRUE),--(calc!$N$3:$N$306=N242))-1)/2,"")</f>
        <v/>
      </c>
      <c r="S242" s="5">
        <f>IF(L242,SUMPRODUCT(--(calc!$L$3:$L$306=TRUE),--(ROW(calc!$L$3:$L$306)&gt;ROW(L242)),--(((calc!$Q$3:$Q$306&gt;Q242)*(calc!$R$3:$R$306&gt;R242)+(calc!$Q$3:$Q$306&lt;Q242)*(calc!$R$3:$R$306&lt;R242))&gt;0))-SUMPRODUCT(--(calc!$L$3:$L$306=TRUE),--(ROW(calc!$L$3:$L$306)&gt;ROW(L242)),--(((calc!$Q$3:$Q$306&gt;Q242)*(calc!$R$3:$R$306&lt;R242)+(calc!$Q$3:$Q$306&lt;Q242)*(calc!$R$3:$R$306&gt;R242))&gt;0)),0)</f>
        <v/>
      </c>
      <c r="T242" s="5">
        <f>IF(mos_metrics!H241="","",mos_metrics!H241)</f>
        <v/>
      </c>
      <c r="U242" s="2">
        <f>AND($J242,ISNUMBER(T242),correlation!$I$27=1)</f>
        <v/>
      </c>
      <c r="V242" s="5">
        <f>IF(U242,$F242,"")</f>
        <v/>
      </c>
      <c r="W242" s="5">
        <f>IF(U242,T242*correlation!$J$27,"")</f>
        <v/>
      </c>
      <c r="X242" s="5">
        <f>IF(AND(U242,ISNUMBER(correlation!$F$27)),W242*correlation!$F$27+correlation!$G$27,"")</f>
        <v/>
      </c>
      <c r="Y242" s="5">
        <f>IF(AND(U242,ISNUMBER(X242)),(V242-X242)^2,"")</f>
        <v/>
      </c>
      <c r="Z242" s="5">
        <f>IF(U242,1+SUMPRODUCT(--(calc!$U$3:$U$306=TRUE),--(calc!$V$3:$V$306&gt;V242))+(SUMPRODUCT(--(calc!$U$3:$U$306=TRUE),--(calc!$V$3:$V$306=V242))-1)/2,"")</f>
        <v/>
      </c>
      <c r="AA242" s="5">
        <f>IF(U242,1+SUMPRODUCT(--(calc!$U$3:$U$306=TRUE),--(calc!$W$3:$W$306&gt;W242))+(SUMPRODUCT(--(calc!$U$3:$U$306=TRUE),--(calc!$W$3:$W$306=W242))-1)/2,"")</f>
        <v/>
      </c>
      <c r="AB242" s="5">
        <f>IF(U242,SUMPRODUCT(--(calc!$U$3:$U$306=TRUE),--(ROW(calc!$U$3:$U$306)&gt;ROW(U242)),--(((calc!$Z$3:$Z$306&gt;Z242)*(calc!$AA$3:$AA$306&gt;AA242)+(calc!$Z$3:$Z$306&lt;Z242)*(calc!$AA$3:$AA$306&lt;AA242))&gt;0))-SUMPRODUCT(--(calc!$U$3:$U$306=TRUE),--(ROW(calc!$U$3:$U$306)&gt;ROW(U242)),--(((calc!$Z$3:$Z$306&gt;Z242)*(calc!$AA$3:$AA$306&lt;AA242)+(calc!$Z$3:$Z$306&lt;Z242)*(calc!$AA$3:$AA$306&gt;AA242))&gt;0)),0)</f>
        <v/>
      </c>
      <c r="AC242" s="5">
        <f>IF(mos_metrics!I241="","",mos_metrics!I241)</f>
        <v/>
      </c>
      <c r="AD242" s="2">
        <f>AND($J242,ISNUMBER(AC242),correlation!$I$28=1)</f>
        <v/>
      </c>
      <c r="AE242" s="5">
        <f>IF(AD242,$F242,"")</f>
        <v/>
      </c>
      <c r="AF242" s="5">
        <f>IF(AD242,AC242*correlation!$J$28,"")</f>
        <v/>
      </c>
      <c r="AG242" s="5">
        <f>IF(AND(AD242,ISNUMBER(correlation!$F$28)),AF242*correlation!$F$28+correlation!$G$28,"")</f>
        <v/>
      </c>
      <c r="AH242" s="5">
        <f>IF(AND(AD242,ISNUMBER(AG242)),(AE242-AG242)^2,"")</f>
        <v/>
      </c>
      <c r="AI242" s="5">
        <f>IF(AD242,1+SUMPRODUCT(--(calc!$AD$3:$AD$306=TRUE),--(calc!$AE$3:$AE$306&gt;AE242))+(SUMPRODUCT(--(calc!$AD$3:$AD$306=TRUE),--(calc!$AE$3:$AE$306=AE242))-1)/2,"")</f>
        <v/>
      </c>
      <c r="AJ242" s="5">
        <f>IF(AD242,1+SUMPRODUCT(--(calc!$AD$3:$AD$306=TRUE),--(calc!$AF$3:$AF$306&gt;AF242))+(SUMPRODUCT(--(calc!$AD$3:$AD$306=TRUE),--(calc!$AF$3:$AF$306=AF242))-1)/2,"")</f>
        <v/>
      </c>
      <c r="AK242" s="5">
        <f>IF(AD242,SUMPRODUCT(--(calc!$AD$3:$AD$306=TRUE),--(ROW(calc!$AD$3:$AD$306)&gt;ROW(AD242)),--(((calc!$AI$3:$AI$306&gt;AI242)*(calc!$AJ$3:$AJ$306&gt;AJ242)+(calc!$AI$3:$AI$306&lt;AI242)*(calc!$AJ$3:$AJ$306&lt;AJ242))&gt;0))-SUMPRODUCT(--(calc!$AD$3:$AD$306=TRUE),--(ROW(calc!$AD$3:$AD$306)&gt;ROW(AD242)),--(((calc!$AI$3:$AI$306&gt;AI242)*(calc!$AJ$3:$AJ$306&lt;AJ242)+(calc!$AI$3:$AI$306&lt;AI242)*(calc!$AJ$3:$AJ$306&gt;AJ242))&gt;0)),0)</f>
        <v/>
      </c>
      <c r="AL242" s="5">
        <f>IF(mos_metrics!J241="","",mos_metrics!J241)</f>
        <v/>
      </c>
      <c r="AM242" s="2">
        <f>AND($J242,ISNUMBER(AL242),correlation!$I$29=1)</f>
        <v/>
      </c>
      <c r="AN242" s="5">
        <f>IF(AM242,$F242,"")</f>
        <v/>
      </c>
      <c r="AO242" s="5">
        <f>IF(AM242,AL242*correlation!$J$29,"")</f>
        <v/>
      </c>
      <c r="AP242" s="5">
        <f>IF(AND(AM242,ISNUMBER(correlation!$F$29)),AO242*correlation!$F$29+correlation!$G$29,"")</f>
        <v/>
      </c>
      <c r="AQ242" s="5">
        <f>IF(AND(AM242,ISNUMBER(AP242)),(AN242-AP242)^2,"")</f>
        <v/>
      </c>
      <c r="AR242" s="5">
        <f>IF(AM242,1+SUMPRODUCT(--(calc!$AM$3:$AM$306=TRUE),--(calc!$AN$3:$AN$306&gt;AN242))+(SUMPRODUCT(--(calc!$AM$3:$AM$306=TRUE),--(calc!$AN$3:$AN$306=AN242))-1)/2,"")</f>
        <v/>
      </c>
      <c r="AS242" s="5">
        <f>IF(AM242,1+SUMPRODUCT(--(calc!$AM$3:$AM$306=TRUE),--(calc!$AO$3:$AO$306&gt;AO242))+(SUMPRODUCT(--(calc!$AM$3:$AM$306=TRUE),--(calc!$AO$3:$AO$306=AO242))-1)/2,"")</f>
        <v/>
      </c>
      <c r="AT242" s="5">
        <f>IF(AM242,SUMPRODUCT(--(calc!$AM$3:$AM$306=TRUE),--(ROW(calc!$AM$3:$AM$306)&gt;ROW(AM242)),--(((calc!$AR$3:$AR$306&gt;AR242)*(calc!$AS$3:$AS$306&gt;AS242)+(calc!$AR$3:$AR$306&lt;AR242)*(calc!$AS$3:$AS$306&lt;AS242))&gt;0))-SUMPRODUCT(--(calc!$AM$3:$AM$306=TRUE),--(ROW(calc!$AM$3:$AM$306)&gt;ROW(AM242)),--(((calc!$AR$3:$AR$306&gt;AR242)*(calc!$AS$3:$AS$306&lt;AS242)+(calc!$AR$3:$AR$306&lt;AR242)*(calc!$AS$3:$AS$306&gt;AS242))&gt;0)),0)</f>
        <v/>
      </c>
      <c r="AU242" s="5">
        <f>IF(mos_metrics!K241="","",mos_metrics!K241)</f>
        <v/>
      </c>
      <c r="AV242" s="2">
        <f>AND($J242,ISNUMBER(AU242),correlation!$I$30=1)</f>
        <v/>
      </c>
      <c r="AW242" s="5">
        <f>IF(AV242,$F242,"")</f>
        <v/>
      </c>
      <c r="AX242" s="5">
        <f>IF(AV242,AU242*correlation!$J$30,"")</f>
        <v/>
      </c>
      <c r="AY242" s="5">
        <f>IF(AND(AV242,ISNUMBER(correlation!$F$30)),AX242*correlation!$F$30+correlation!$G$30,"")</f>
        <v/>
      </c>
      <c r="AZ242" s="5">
        <f>IF(AND(AV242,ISNUMBER(AY242)),(AW242-AY242)^2,"")</f>
        <v/>
      </c>
      <c r="BA242" s="5">
        <f>IF(AV242,1+SUMPRODUCT(--(calc!$AV$3:$AV$306=TRUE),--(calc!$AW$3:$AW$306&gt;AW242))+(SUMPRODUCT(--(calc!$AV$3:$AV$306=TRUE),--(calc!$AW$3:$AW$306=AW242))-1)/2,"")</f>
        <v/>
      </c>
      <c r="BB242" s="5">
        <f>IF(AV242,1+SUMPRODUCT(--(calc!$AV$3:$AV$306=TRUE),--(calc!$AX$3:$AX$306&gt;AX242))+(SUMPRODUCT(--(calc!$AV$3:$AV$306=TRUE),--(calc!$AX$3:$AX$306=AX242))-1)/2,"")</f>
        <v/>
      </c>
      <c r="BC242" s="5">
        <f>IF(AV242,SUMPRODUCT(--(calc!$AV$3:$AV$306=TRUE),--(ROW(calc!$AV$3:$AV$306)&gt;ROW(AV242)),--(((calc!$BA$3:$BA$306&gt;BA242)*(calc!$BB$3:$BB$306&gt;BB242)+(calc!$BA$3:$BA$306&lt;BA242)*(calc!$BB$3:$BB$306&lt;BB242))&gt;0))-SUMPRODUCT(--(calc!$AV$3:$AV$306=TRUE),--(ROW(calc!$AV$3:$AV$306)&gt;ROW(AV242)),--(((calc!$BA$3:$BA$306&gt;BA242)*(calc!$BB$3:$BB$306&lt;BB242)+(calc!$BA$3:$BA$306&lt;BA242)*(calc!$BB$3:$BB$306&gt;BB242))&gt;0)),0)</f>
        <v/>
      </c>
      <c r="BD242" s="5">
        <f>IF(mos_metrics!L241="","",mos_metrics!L241)</f>
        <v/>
      </c>
      <c r="BE242" s="2">
        <f>AND($J242,ISNUMBER(BD242),correlation!$I$31=1)</f>
        <v/>
      </c>
      <c r="BF242" s="5">
        <f>IF(BE242,$F242,"")</f>
        <v/>
      </c>
      <c r="BG242" s="5">
        <f>IF(BE242,BD242*correlation!$J$31,"")</f>
        <v/>
      </c>
      <c r="BH242" s="5">
        <f>IF(AND(BE242,ISNUMBER(correlation!$F$31)),BG242*correlation!$F$31+correlation!$G$31,"")</f>
        <v/>
      </c>
      <c r="BI242" s="5">
        <f>IF(AND(BE242,ISNUMBER(BH242)),(BF242-BH242)^2,"")</f>
        <v/>
      </c>
      <c r="BJ242" s="5">
        <f>IF(BE242,1+SUMPRODUCT(--(calc!$BE$3:$BE$306=TRUE),--(calc!$BF$3:$BF$306&gt;BF242))+(SUMPRODUCT(--(calc!$BE$3:$BE$306=TRUE),--(calc!$BF$3:$BF$306=BF242))-1)/2,"")</f>
        <v/>
      </c>
      <c r="BK242" s="5">
        <f>IF(BE242,1+SUMPRODUCT(--(calc!$BE$3:$BE$306=TRUE),--(calc!$BG$3:$BG$306&gt;BG242))+(SUMPRODUCT(--(calc!$BE$3:$BE$306=TRUE),--(calc!$BG$3:$BG$306=BG242))-1)/2,"")</f>
        <v/>
      </c>
      <c r="BL242" s="5">
        <f>IF(BE242,SUMPRODUCT(--(calc!$BE$3:$BE$306=TRUE),--(ROW(calc!$BE$3:$BE$306)&gt;ROW(BE242)),--(((calc!$BJ$3:$BJ$306&gt;BJ242)*(calc!$BK$3:$BK$306&gt;BK242)+(calc!$BJ$3:$BJ$306&lt;BJ242)*(calc!$BK$3:$BK$306&lt;BK242))&gt;0))-SUMPRODUCT(--(calc!$BE$3:$BE$306=TRUE),--(ROW(calc!$BE$3:$BE$306)&gt;ROW(BE242)),--(((calc!$BJ$3:$BJ$306&gt;BJ242)*(calc!$BK$3:$BK$306&lt;BK242)+(calc!$BJ$3:$BJ$306&lt;BJ242)*(calc!$BK$3:$BK$306&gt;BK242))&gt;0)),0)</f>
        <v/>
      </c>
      <c r="BM242" s="5">
        <f>IF(mos_metrics!M241="","",mos_metrics!M241)</f>
        <v/>
      </c>
      <c r="BN242" s="2">
        <f>AND($J242,ISNUMBER(BM242),correlation!$I$32=1)</f>
        <v/>
      </c>
      <c r="BO242" s="5">
        <f>IF(BN242,$F242,"")</f>
        <v/>
      </c>
      <c r="BP242" s="5">
        <f>IF(BN242,BM242*correlation!$J$32,"")</f>
        <v/>
      </c>
      <c r="BQ242" s="5">
        <f>IF(AND(BN242,ISNUMBER(correlation!$F$32)),BP242*correlation!$F$32+correlation!$G$32,"")</f>
        <v/>
      </c>
      <c r="BR242" s="5">
        <f>IF(AND(BN242,ISNUMBER(BQ242)),(BO242-BQ242)^2,"")</f>
        <v/>
      </c>
      <c r="BS242" s="5">
        <f>IF(BN242,1+SUMPRODUCT(--(calc!$BN$3:$BN$306=TRUE),--(calc!$BO$3:$BO$306&gt;BO242))+(SUMPRODUCT(--(calc!$BN$3:$BN$306=TRUE),--(calc!$BO$3:$BO$306=BO242))-1)/2,"")</f>
        <v/>
      </c>
      <c r="BT242" s="5">
        <f>IF(BN242,1+SUMPRODUCT(--(calc!$BN$3:$BN$306=TRUE),--(calc!$BP$3:$BP$306&gt;BP242))+(SUMPRODUCT(--(calc!$BN$3:$BN$306=TRUE),--(calc!$BP$3:$BP$306=BP242))-1)/2,"")</f>
        <v/>
      </c>
      <c r="BU242" s="5">
        <f>IF(BN242,SUMPRODUCT(--(calc!$BN$3:$BN$306=TRUE),--(ROW(calc!$BN$3:$BN$306)&gt;ROW(BN242)),--(((calc!$BS$3:$BS$306&gt;BS242)*(calc!$BT$3:$BT$306&gt;BT242)+(calc!$BS$3:$BS$306&lt;BS242)*(calc!$BT$3:$BT$306&lt;BT242))&gt;0))-SUMPRODUCT(--(calc!$BN$3:$BN$306=TRUE),--(ROW(calc!$BN$3:$BN$306)&gt;ROW(BN242)),--(((calc!$BS$3:$BS$306&gt;BS242)*(calc!$BT$3:$BT$306&lt;BT242)+(calc!$BS$3:$BS$306&lt;BS242)*(calc!$BT$3:$BT$306&gt;BT242))&gt;0)),0)</f>
        <v/>
      </c>
    </row>
    <row r="243">
      <c r="A243" s="2">
        <f>mos_metrics!A242</f>
        <v/>
      </c>
      <c r="B243" s="2">
        <f>mos_metrics!B242</f>
        <v/>
      </c>
      <c r="C243" s="2">
        <f>mos_metrics!C242</f>
        <v/>
      </c>
      <c r="D243" s="2">
        <f>mos_metrics!D242</f>
        <v/>
      </c>
      <c r="E243" s="2">
        <f>mos_metrics!E242</f>
        <v/>
      </c>
      <c r="F243" s="2">
        <f>mos_metrics!F242</f>
        <v/>
      </c>
      <c r="G243" s="2">
        <f>IF($B243="","",IFERROR(VLOOKUP($B243,correlation!$A$2:$B$16,2,FALSE),1))</f>
        <v/>
      </c>
      <c r="H243" s="2">
        <f>IF($E243="","",IFERROR(VLOOKUP($E243,correlation!$D$2:$E$8,2,FALSE),1))</f>
        <v/>
      </c>
      <c r="I243" s="2">
        <f>ISNUMBER($F243)</f>
        <v/>
      </c>
      <c r="J243" s="2">
        <f>AND($G243=1,$H243=1,$I243)</f>
        <v/>
      </c>
      <c r="K243" s="5">
        <f>IF(mos_metrics!G242="","",mos_metrics!G242)</f>
        <v/>
      </c>
      <c r="L243" s="2">
        <f>AND($J243,ISNUMBER(K243),correlation!$I$26=1)</f>
        <v/>
      </c>
      <c r="M243" s="5">
        <f>IF(L243,$F243,"")</f>
        <v/>
      </c>
      <c r="N243" s="5">
        <f>IF(L243,K243*correlation!$J$26,"")</f>
        <v/>
      </c>
      <c r="O243" s="5">
        <f>IF(AND(L243,ISNUMBER(correlation!$F$26)),N243*correlation!$F$26+correlation!$G$26,"")</f>
        <v/>
      </c>
      <c r="P243" s="5">
        <f>IF(AND(L243,ISNUMBER(O243)),(M243-O243)^2,"")</f>
        <v/>
      </c>
      <c r="Q243" s="5">
        <f>IF(L243,1+SUMPRODUCT(--(calc!$L$3:$L$306=TRUE),--(calc!$M$3:$M$306&gt;M243))+(SUMPRODUCT(--(calc!$L$3:$L$306=TRUE),--(calc!$M$3:$M$306=M243))-1)/2,"")</f>
        <v/>
      </c>
      <c r="R243" s="5">
        <f>IF(L243,1+SUMPRODUCT(--(calc!$L$3:$L$306=TRUE),--(calc!$N$3:$N$306&gt;N243))+(SUMPRODUCT(--(calc!$L$3:$L$306=TRUE),--(calc!$N$3:$N$306=N243))-1)/2,"")</f>
        <v/>
      </c>
      <c r="S243" s="5">
        <f>IF(L243,SUMPRODUCT(--(calc!$L$3:$L$306=TRUE),--(ROW(calc!$L$3:$L$306)&gt;ROW(L243)),--(((calc!$Q$3:$Q$306&gt;Q243)*(calc!$R$3:$R$306&gt;R243)+(calc!$Q$3:$Q$306&lt;Q243)*(calc!$R$3:$R$306&lt;R243))&gt;0))-SUMPRODUCT(--(calc!$L$3:$L$306=TRUE),--(ROW(calc!$L$3:$L$306)&gt;ROW(L243)),--(((calc!$Q$3:$Q$306&gt;Q243)*(calc!$R$3:$R$306&lt;R243)+(calc!$Q$3:$Q$306&lt;Q243)*(calc!$R$3:$R$306&gt;R243))&gt;0)),0)</f>
        <v/>
      </c>
      <c r="T243" s="5">
        <f>IF(mos_metrics!H242="","",mos_metrics!H242)</f>
        <v/>
      </c>
      <c r="U243" s="2">
        <f>AND($J243,ISNUMBER(T243),correlation!$I$27=1)</f>
        <v/>
      </c>
      <c r="V243" s="5">
        <f>IF(U243,$F243,"")</f>
        <v/>
      </c>
      <c r="W243" s="5">
        <f>IF(U243,T243*correlation!$J$27,"")</f>
        <v/>
      </c>
      <c r="X243" s="5">
        <f>IF(AND(U243,ISNUMBER(correlation!$F$27)),W243*correlation!$F$27+correlation!$G$27,"")</f>
        <v/>
      </c>
      <c r="Y243" s="5">
        <f>IF(AND(U243,ISNUMBER(X243)),(V243-X243)^2,"")</f>
        <v/>
      </c>
      <c r="Z243" s="5">
        <f>IF(U243,1+SUMPRODUCT(--(calc!$U$3:$U$306=TRUE),--(calc!$V$3:$V$306&gt;V243))+(SUMPRODUCT(--(calc!$U$3:$U$306=TRUE),--(calc!$V$3:$V$306=V243))-1)/2,"")</f>
        <v/>
      </c>
      <c r="AA243" s="5">
        <f>IF(U243,1+SUMPRODUCT(--(calc!$U$3:$U$306=TRUE),--(calc!$W$3:$W$306&gt;W243))+(SUMPRODUCT(--(calc!$U$3:$U$306=TRUE),--(calc!$W$3:$W$306=W243))-1)/2,"")</f>
        <v/>
      </c>
      <c r="AB243" s="5">
        <f>IF(U243,SUMPRODUCT(--(calc!$U$3:$U$306=TRUE),--(ROW(calc!$U$3:$U$306)&gt;ROW(U243)),--(((calc!$Z$3:$Z$306&gt;Z243)*(calc!$AA$3:$AA$306&gt;AA243)+(calc!$Z$3:$Z$306&lt;Z243)*(calc!$AA$3:$AA$306&lt;AA243))&gt;0))-SUMPRODUCT(--(calc!$U$3:$U$306=TRUE),--(ROW(calc!$U$3:$U$306)&gt;ROW(U243)),--(((calc!$Z$3:$Z$306&gt;Z243)*(calc!$AA$3:$AA$306&lt;AA243)+(calc!$Z$3:$Z$306&lt;Z243)*(calc!$AA$3:$AA$306&gt;AA243))&gt;0)),0)</f>
        <v/>
      </c>
      <c r="AC243" s="5">
        <f>IF(mos_metrics!I242="","",mos_metrics!I242)</f>
        <v/>
      </c>
      <c r="AD243" s="2">
        <f>AND($J243,ISNUMBER(AC243),correlation!$I$28=1)</f>
        <v/>
      </c>
      <c r="AE243" s="5">
        <f>IF(AD243,$F243,"")</f>
        <v/>
      </c>
      <c r="AF243" s="5">
        <f>IF(AD243,AC243*correlation!$J$28,"")</f>
        <v/>
      </c>
      <c r="AG243" s="5">
        <f>IF(AND(AD243,ISNUMBER(correlation!$F$28)),AF243*correlation!$F$28+correlation!$G$28,"")</f>
        <v/>
      </c>
      <c r="AH243" s="5">
        <f>IF(AND(AD243,ISNUMBER(AG243)),(AE243-AG243)^2,"")</f>
        <v/>
      </c>
      <c r="AI243" s="5">
        <f>IF(AD243,1+SUMPRODUCT(--(calc!$AD$3:$AD$306=TRUE),--(calc!$AE$3:$AE$306&gt;AE243))+(SUMPRODUCT(--(calc!$AD$3:$AD$306=TRUE),--(calc!$AE$3:$AE$306=AE243))-1)/2,"")</f>
        <v/>
      </c>
      <c r="AJ243" s="5">
        <f>IF(AD243,1+SUMPRODUCT(--(calc!$AD$3:$AD$306=TRUE),--(calc!$AF$3:$AF$306&gt;AF243))+(SUMPRODUCT(--(calc!$AD$3:$AD$306=TRUE),--(calc!$AF$3:$AF$306=AF243))-1)/2,"")</f>
        <v/>
      </c>
      <c r="AK243" s="5">
        <f>IF(AD243,SUMPRODUCT(--(calc!$AD$3:$AD$306=TRUE),--(ROW(calc!$AD$3:$AD$306)&gt;ROW(AD243)),--(((calc!$AI$3:$AI$306&gt;AI243)*(calc!$AJ$3:$AJ$306&gt;AJ243)+(calc!$AI$3:$AI$306&lt;AI243)*(calc!$AJ$3:$AJ$306&lt;AJ243))&gt;0))-SUMPRODUCT(--(calc!$AD$3:$AD$306=TRUE),--(ROW(calc!$AD$3:$AD$306)&gt;ROW(AD243)),--(((calc!$AI$3:$AI$306&gt;AI243)*(calc!$AJ$3:$AJ$306&lt;AJ243)+(calc!$AI$3:$AI$306&lt;AI243)*(calc!$AJ$3:$AJ$306&gt;AJ243))&gt;0)),0)</f>
        <v/>
      </c>
      <c r="AL243" s="5">
        <f>IF(mos_metrics!J242="","",mos_metrics!J242)</f>
        <v/>
      </c>
      <c r="AM243" s="2">
        <f>AND($J243,ISNUMBER(AL243),correlation!$I$29=1)</f>
        <v/>
      </c>
      <c r="AN243" s="5">
        <f>IF(AM243,$F243,"")</f>
        <v/>
      </c>
      <c r="AO243" s="5">
        <f>IF(AM243,AL243*correlation!$J$29,"")</f>
        <v/>
      </c>
      <c r="AP243" s="5">
        <f>IF(AND(AM243,ISNUMBER(correlation!$F$29)),AO243*correlation!$F$29+correlation!$G$29,"")</f>
        <v/>
      </c>
      <c r="AQ243" s="5">
        <f>IF(AND(AM243,ISNUMBER(AP243)),(AN243-AP243)^2,"")</f>
        <v/>
      </c>
      <c r="AR243" s="5">
        <f>IF(AM243,1+SUMPRODUCT(--(calc!$AM$3:$AM$306=TRUE),--(calc!$AN$3:$AN$306&gt;AN243))+(SUMPRODUCT(--(calc!$AM$3:$AM$306=TRUE),--(calc!$AN$3:$AN$306=AN243))-1)/2,"")</f>
        <v/>
      </c>
      <c r="AS243" s="5">
        <f>IF(AM243,1+SUMPRODUCT(--(calc!$AM$3:$AM$306=TRUE),--(calc!$AO$3:$AO$306&gt;AO243))+(SUMPRODUCT(--(calc!$AM$3:$AM$306=TRUE),--(calc!$AO$3:$AO$306=AO243))-1)/2,"")</f>
        <v/>
      </c>
      <c r="AT243" s="5">
        <f>IF(AM243,SUMPRODUCT(--(calc!$AM$3:$AM$306=TRUE),--(ROW(calc!$AM$3:$AM$306)&gt;ROW(AM243)),--(((calc!$AR$3:$AR$306&gt;AR243)*(calc!$AS$3:$AS$306&gt;AS243)+(calc!$AR$3:$AR$306&lt;AR243)*(calc!$AS$3:$AS$306&lt;AS243))&gt;0))-SUMPRODUCT(--(calc!$AM$3:$AM$306=TRUE),--(ROW(calc!$AM$3:$AM$306)&gt;ROW(AM243)),--(((calc!$AR$3:$AR$306&gt;AR243)*(calc!$AS$3:$AS$306&lt;AS243)+(calc!$AR$3:$AR$306&lt;AR243)*(calc!$AS$3:$AS$306&gt;AS243))&gt;0)),0)</f>
        <v/>
      </c>
      <c r="AU243" s="5">
        <f>IF(mos_metrics!K242="","",mos_metrics!K242)</f>
        <v/>
      </c>
      <c r="AV243" s="2">
        <f>AND($J243,ISNUMBER(AU243),correlation!$I$30=1)</f>
        <v/>
      </c>
      <c r="AW243" s="5">
        <f>IF(AV243,$F243,"")</f>
        <v/>
      </c>
      <c r="AX243" s="5">
        <f>IF(AV243,AU243*correlation!$J$30,"")</f>
        <v/>
      </c>
      <c r="AY243" s="5">
        <f>IF(AND(AV243,ISNUMBER(correlation!$F$30)),AX243*correlation!$F$30+correlation!$G$30,"")</f>
        <v/>
      </c>
      <c r="AZ243" s="5">
        <f>IF(AND(AV243,ISNUMBER(AY243)),(AW243-AY243)^2,"")</f>
        <v/>
      </c>
      <c r="BA243" s="5">
        <f>IF(AV243,1+SUMPRODUCT(--(calc!$AV$3:$AV$306=TRUE),--(calc!$AW$3:$AW$306&gt;AW243))+(SUMPRODUCT(--(calc!$AV$3:$AV$306=TRUE),--(calc!$AW$3:$AW$306=AW243))-1)/2,"")</f>
        <v/>
      </c>
      <c r="BB243" s="5">
        <f>IF(AV243,1+SUMPRODUCT(--(calc!$AV$3:$AV$306=TRUE),--(calc!$AX$3:$AX$306&gt;AX243))+(SUMPRODUCT(--(calc!$AV$3:$AV$306=TRUE),--(calc!$AX$3:$AX$306=AX243))-1)/2,"")</f>
        <v/>
      </c>
      <c r="BC243" s="5">
        <f>IF(AV243,SUMPRODUCT(--(calc!$AV$3:$AV$306=TRUE),--(ROW(calc!$AV$3:$AV$306)&gt;ROW(AV243)),--(((calc!$BA$3:$BA$306&gt;BA243)*(calc!$BB$3:$BB$306&gt;BB243)+(calc!$BA$3:$BA$306&lt;BA243)*(calc!$BB$3:$BB$306&lt;BB243))&gt;0))-SUMPRODUCT(--(calc!$AV$3:$AV$306=TRUE),--(ROW(calc!$AV$3:$AV$306)&gt;ROW(AV243)),--(((calc!$BA$3:$BA$306&gt;BA243)*(calc!$BB$3:$BB$306&lt;BB243)+(calc!$BA$3:$BA$306&lt;BA243)*(calc!$BB$3:$BB$306&gt;BB243))&gt;0)),0)</f>
        <v/>
      </c>
      <c r="BD243" s="5">
        <f>IF(mos_metrics!L242="","",mos_metrics!L242)</f>
        <v/>
      </c>
      <c r="BE243" s="2">
        <f>AND($J243,ISNUMBER(BD243),correlation!$I$31=1)</f>
        <v/>
      </c>
      <c r="BF243" s="5">
        <f>IF(BE243,$F243,"")</f>
        <v/>
      </c>
      <c r="BG243" s="5">
        <f>IF(BE243,BD243*correlation!$J$31,"")</f>
        <v/>
      </c>
      <c r="BH243" s="5">
        <f>IF(AND(BE243,ISNUMBER(correlation!$F$31)),BG243*correlation!$F$31+correlation!$G$31,"")</f>
        <v/>
      </c>
      <c r="BI243" s="5">
        <f>IF(AND(BE243,ISNUMBER(BH243)),(BF243-BH243)^2,"")</f>
        <v/>
      </c>
      <c r="BJ243" s="5">
        <f>IF(BE243,1+SUMPRODUCT(--(calc!$BE$3:$BE$306=TRUE),--(calc!$BF$3:$BF$306&gt;BF243))+(SUMPRODUCT(--(calc!$BE$3:$BE$306=TRUE),--(calc!$BF$3:$BF$306=BF243))-1)/2,"")</f>
        <v/>
      </c>
      <c r="BK243" s="5">
        <f>IF(BE243,1+SUMPRODUCT(--(calc!$BE$3:$BE$306=TRUE),--(calc!$BG$3:$BG$306&gt;BG243))+(SUMPRODUCT(--(calc!$BE$3:$BE$306=TRUE),--(calc!$BG$3:$BG$306=BG243))-1)/2,"")</f>
        <v/>
      </c>
      <c r="BL243" s="5">
        <f>IF(BE243,SUMPRODUCT(--(calc!$BE$3:$BE$306=TRUE),--(ROW(calc!$BE$3:$BE$306)&gt;ROW(BE243)),--(((calc!$BJ$3:$BJ$306&gt;BJ243)*(calc!$BK$3:$BK$306&gt;BK243)+(calc!$BJ$3:$BJ$306&lt;BJ243)*(calc!$BK$3:$BK$306&lt;BK243))&gt;0))-SUMPRODUCT(--(calc!$BE$3:$BE$306=TRUE),--(ROW(calc!$BE$3:$BE$306)&gt;ROW(BE243)),--(((calc!$BJ$3:$BJ$306&gt;BJ243)*(calc!$BK$3:$BK$306&lt;BK243)+(calc!$BJ$3:$BJ$306&lt;BJ243)*(calc!$BK$3:$BK$306&gt;BK243))&gt;0)),0)</f>
        <v/>
      </c>
      <c r="BM243" s="5">
        <f>IF(mos_metrics!M242="","",mos_metrics!M242)</f>
        <v/>
      </c>
      <c r="BN243" s="2">
        <f>AND($J243,ISNUMBER(BM243),correlation!$I$32=1)</f>
        <v/>
      </c>
      <c r="BO243" s="5">
        <f>IF(BN243,$F243,"")</f>
        <v/>
      </c>
      <c r="BP243" s="5">
        <f>IF(BN243,BM243*correlation!$J$32,"")</f>
        <v/>
      </c>
      <c r="BQ243" s="5">
        <f>IF(AND(BN243,ISNUMBER(correlation!$F$32)),BP243*correlation!$F$32+correlation!$G$32,"")</f>
        <v/>
      </c>
      <c r="BR243" s="5">
        <f>IF(AND(BN243,ISNUMBER(BQ243)),(BO243-BQ243)^2,"")</f>
        <v/>
      </c>
      <c r="BS243" s="5">
        <f>IF(BN243,1+SUMPRODUCT(--(calc!$BN$3:$BN$306=TRUE),--(calc!$BO$3:$BO$306&gt;BO243))+(SUMPRODUCT(--(calc!$BN$3:$BN$306=TRUE),--(calc!$BO$3:$BO$306=BO243))-1)/2,"")</f>
        <v/>
      </c>
      <c r="BT243" s="5">
        <f>IF(BN243,1+SUMPRODUCT(--(calc!$BN$3:$BN$306=TRUE),--(calc!$BP$3:$BP$306&gt;BP243))+(SUMPRODUCT(--(calc!$BN$3:$BN$306=TRUE),--(calc!$BP$3:$BP$306=BP243))-1)/2,"")</f>
        <v/>
      </c>
      <c r="BU243" s="5">
        <f>IF(BN243,SUMPRODUCT(--(calc!$BN$3:$BN$306=TRUE),--(ROW(calc!$BN$3:$BN$306)&gt;ROW(BN243)),--(((calc!$BS$3:$BS$306&gt;BS243)*(calc!$BT$3:$BT$306&gt;BT243)+(calc!$BS$3:$BS$306&lt;BS243)*(calc!$BT$3:$BT$306&lt;BT243))&gt;0))-SUMPRODUCT(--(calc!$BN$3:$BN$306=TRUE),--(ROW(calc!$BN$3:$BN$306)&gt;ROW(BN243)),--(((calc!$BS$3:$BS$306&gt;BS243)*(calc!$BT$3:$BT$306&lt;BT243)+(calc!$BS$3:$BS$306&lt;BS243)*(calc!$BT$3:$BT$306&gt;BT243))&gt;0)),0)</f>
        <v/>
      </c>
    </row>
    <row r="244">
      <c r="A244" s="2">
        <f>mos_metrics!A243</f>
        <v/>
      </c>
      <c r="B244" s="2">
        <f>mos_metrics!B243</f>
        <v/>
      </c>
      <c r="C244" s="2">
        <f>mos_metrics!C243</f>
        <v/>
      </c>
      <c r="D244" s="2">
        <f>mos_metrics!D243</f>
        <v/>
      </c>
      <c r="E244" s="2">
        <f>mos_metrics!E243</f>
        <v/>
      </c>
      <c r="F244" s="2">
        <f>mos_metrics!F243</f>
        <v/>
      </c>
      <c r="G244" s="2">
        <f>IF($B244="","",IFERROR(VLOOKUP($B244,correlation!$A$2:$B$16,2,FALSE),1))</f>
        <v/>
      </c>
      <c r="H244" s="2">
        <f>IF($E244="","",IFERROR(VLOOKUP($E244,correlation!$D$2:$E$8,2,FALSE),1))</f>
        <v/>
      </c>
      <c r="I244" s="2">
        <f>ISNUMBER($F244)</f>
        <v/>
      </c>
      <c r="J244" s="2">
        <f>AND($G244=1,$H244=1,$I244)</f>
        <v/>
      </c>
      <c r="K244" s="5">
        <f>IF(mos_metrics!G243="","",mos_metrics!G243)</f>
        <v/>
      </c>
      <c r="L244" s="2">
        <f>AND($J244,ISNUMBER(K244),correlation!$I$26=1)</f>
        <v/>
      </c>
      <c r="M244" s="5">
        <f>IF(L244,$F244,"")</f>
        <v/>
      </c>
      <c r="N244" s="5">
        <f>IF(L244,K244*correlation!$J$26,"")</f>
        <v/>
      </c>
      <c r="O244" s="5">
        <f>IF(AND(L244,ISNUMBER(correlation!$F$26)),N244*correlation!$F$26+correlation!$G$26,"")</f>
        <v/>
      </c>
      <c r="P244" s="5">
        <f>IF(AND(L244,ISNUMBER(O244)),(M244-O244)^2,"")</f>
        <v/>
      </c>
      <c r="Q244" s="5">
        <f>IF(L244,1+SUMPRODUCT(--(calc!$L$3:$L$306=TRUE),--(calc!$M$3:$M$306&gt;M244))+(SUMPRODUCT(--(calc!$L$3:$L$306=TRUE),--(calc!$M$3:$M$306=M244))-1)/2,"")</f>
        <v/>
      </c>
      <c r="R244" s="5">
        <f>IF(L244,1+SUMPRODUCT(--(calc!$L$3:$L$306=TRUE),--(calc!$N$3:$N$306&gt;N244))+(SUMPRODUCT(--(calc!$L$3:$L$306=TRUE),--(calc!$N$3:$N$306=N244))-1)/2,"")</f>
        <v/>
      </c>
      <c r="S244" s="5">
        <f>IF(L244,SUMPRODUCT(--(calc!$L$3:$L$306=TRUE),--(ROW(calc!$L$3:$L$306)&gt;ROW(L244)),--(((calc!$Q$3:$Q$306&gt;Q244)*(calc!$R$3:$R$306&gt;R244)+(calc!$Q$3:$Q$306&lt;Q244)*(calc!$R$3:$R$306&lt;R244))&gt;0))-SUMPRODUCT(--(calc!$L$3:$L$306=TRUE),--(ROW(calc!$L$3:$L$306)&gt;ROW(L244)),--(((calc!$Q$3:$Q$306&gt;Q244)*(calc!$R$3:$R$306&lt;R244)+(calc!$Q$3:$Q$306&lt;Q244)*(calc!$R$3:$R$306&gt;R244))&gt;0)),0)</f>
        <v/>
      </c>
      <c r="T244" s="5">
        <f>IF(mos_metrics!H243="","",mos_metrics!H243)</f>
        <v/>
      </c>
      <c r="U244" s="2">
        <f>AND($J244,ISNUMBER(T244),correlation!$I$27=1)</f>
        <v/>
      </c>
      <c r="V244" s="5">
        <f>IF(U244,$F244,"")</f>
        <v/>
      </c>
      <c r="W244" s="5">
        <f>IF(U244,T244*correlation!$J$27,"")</f>
        <v/>
      </c>
      <c r="X244" s="5">
        <f>IF(AND(U244,ISNUMBER(correlation!$F$27)),W244*correlation!$F$27+correlation!$G$27,"")</f>
        <v/>
      </c>
      <c r="Y244" s="5">
        <f>IF(AND(U244,ISNUMBER(X244)),(V244-X244)^2,"")</f>
        <v/>
      </c>
      <c r="Z244" s="5">
        <f>IF(U244,1+SUMPRODUCT(--(calc!$U$3:$U$306=TRUE),--(calc!$V$3:$V$306&gt;V244))+(SUMPRODUCT(--(calc!$U$3:$U$306=TRUE),--(calc!$V$3:$V$306=V244))-1)/2,"")</f>
        <v/>
      </c>
      <c r="AA244" s="5">
        <f>IF(U244,1+SUMPRODUCT(--(calc!$U$3:$U$306=TRUE),--(calc!$W$3:$W$306&gt;W244))+(SUMPRODUCT(--(calc!$U$3:$U$306=TRUE),--(calc!$W$3:$W$306=W244))-1)/2,"")</f>
        <v/>
      </c>
      <c r="AB244" s="5">
        <f>IF(U244,SUMPRODUCT(--(calc!$U$3:$U$306=TRUE),--(ROW(calc!$U$3:$U$306)&gt;ROW(U244)),--(((calc!$Z$3:$Z$306&gt;Z244)*(calc!$AA$3:$AA$306&gt;AA244)+(calc!$Z$3:$Z$306&lt;Z244)*(calc!$AA$3:$AA$306&lt;AA244))&gt;0))-SUMPRODUCT(--(calc!$U$3:$U$306=TRUE),--(ROW(calc!$U$3:$U$306)&gt;ROW(U244)),--(((calc!$Z$3:$Z$306&gt;Z244)*(calc!$AA$3:$AA$306&lt;AA244)+(calc!$Z$3:$Z$306&lt;Z244)*(calc!$AA$3:$AA$306&gt;AA244))&gt;0)),0)</f>
        <v/>
      </c>
      <c r="AC244" s="5">
        <f>IF(mos_metrics!I243="","",mos_metrics!I243)</f>
        <v/>
      </c>
      <c r="AD244" s="2">
        <f>AND($J244,ISNUMBER(AC244),correlation!$I$28=1)</f>
        <v/>
      </c>
      <c r="AE244" s="5">
        <f>IF(AD244,$F244,"")</f>
        <v/>
      </c>
      <c r="AF244" s="5">
        <f>IF(AD244,AC244*correlation!$J$28,"")</f>
        <v/>
      </c>
      <c r="AG244" s="5">
        <f>IF(AND(AD244,ISNUMBER(correlation!$F$28)),AF244*correlation!$F$28+correlation!$G$28,"")</f>
        <v/>
      </c>
      <c r="AH244" s="5">
        <f>IF(AND(AD244,ISNUMBER(AG244)),(AE244-AG244)^2,"")</f>
        <v/>
      </c>
      <c r="AI244" s="5">
        <f>IF(AD244,1+SUMPRODUCT(--(calc!$AD$3:$AD$306=TRUE),--(calc!$AE$3:$AE$306&gt;AE244))+(SUMPRODUCT(--(calc!$AD$3:$AD$306=TRUE),--(calc!$AE$3:$AE$306=AE244))-1)/2,"")</f>
        <v/>
      </c>
      <c r="AJ244" s="5">
        <f>IF(AD244,1+SUMPRODUCT(--(calc!$AD$3:$AD$306=TRUE),--(calc!$AF$3:$AF$306&gt;AF244))+(SUMPRODUCT(--(calc!$AD$3:$AD$306=TRUE),--(calc!$AF$3:$AF$306=AF244))-1)/2,"")</f>
        <v/>
      </c>
      <c r="AK244" s="5">
        <f>IF(AD244,SUMPRODUCT(--(calc!$AD$3:$AD$306=TRUE),--(ROW(calc!$AD$3:$AD$306)&gt;ROW(AD244)),--(((calc!$AI$3:$AI$306&gt;AI244)*(calc!$AJ$3:$AJ$306&gt;AJ244)+(calc!$AI$3:$AI$306&lt;AI244)*(calc!$AJ$3:$AJ$306&lt;AJ244))&gt;0))-SUMPRODUCT(--(calc!$AD$3:$AD$306=TRUE),--(ROW(calc!$AD$3:$AD$306)&gt;ROW(AD244)),--(((calc!$AI$3:$AI$306&gt;AI244)*(calc!$AJ$3:$AJ$306&lt;AJ244)+(calc!$AI$3:$AI$306&lt;AI244)*(calc!$AJ$3:$AJ$306&gt;AJ244))&gt;0)),0)</f>
        <v/>
      </c>
      <c r="AL244" s="5">
        <f>IF(mos_metrics!J243="","",mos_metrics!J243)</f>
        <v/>
      </c>
      <c r="AM244" s="2">
        <f>AND($J244,ISNUMBER(AL244),correlation!$I$29=1)</f>
        <v/>
      </c>
      <c r="AN244" s="5">
        <f>IF(AM244,$F244,"")</f>
        <v/>
      </c>
      <c r="AO244" s="5">
        <f>IF(AM244,AL244*correlation!$J$29,"")</f>
        <v/>
      </c>
      <c r="AP244" s="5">
        <f>IF(AND(AM244,ISNUMBER(correlation!$F$29)),AO244*correlation!$F$29+correlation!$G$29,"")</f>
        <v/>
      </c>
      <c r="AQ244" s="5">
        <f>IF(AND(AM244,ISNUMBER(AP244)),(AN244-AP244)^2,"")</f>
        <v/>
      </c>
      <c r="AR244" s="5">
        <f>IF(AM244,1+SUMPRODUCT(--(calc!$AM$3:$AM$306=TRUE),--(calc!$AN$3:$AN$306&gt;AN244))+(SUMPRODUCT(--(calc!$AM$3:$AM$306=TRUE),--(calc!$AN$3:$AN$306=AN244))-1)/2,"")</f>
        <v/>
      </c>
      <c r="AS244" s="5">
        <f>IF(AM244,1+SUMPRODUCT(--(calc!$AM$3:$AM$306=TRUE),--(calc!$AO$3:$AO$306&gt;AO244))+(SUMPRODUCT(--(calc!$AM$3:$AM$306=TRUE),--(calc!$AO$3:$AO$306=AO244))-1)/2,"")</f>
        <v/>
      </c>
      <c r="AT244" s="5">
        <f>IF(AM244,SUMPRODUCT(--(calc!$AM$3:$AM$306=TRUE),--(ROW(calc!$AM$3:$AM$306)&gt;ROW(AM244)),--(((calc!$AR$3:$AR$306&gt;AR244)*(calc!$AS$3:$AS$306&gt;AS244)+(calc!$AR$3:$AR$306&lt;AR244)*(calc!$AS$3:$AS$306&lt;AS244))&gt;0))-SUMPRODUCT(--(calc!$AM$3:$AM$306=TRUE),--(ROW(calc!$AM$3:$AM$306)&gt;ROW(AM244)),--(((calc!$AR$3:$AR$306&gt;AR244)*(calc!$AS$3:$AS$306&lt;AS244)+(calc!$AR$3:$AR$306&lt;AR244)*(calc!$AS$3:$AS$306&gt;AS244))&gt;0)),0)</f>
        <v/>
      </c>
      <c r="AU244" s="5">
        <f>IF(mos_metrics!K243="","",mos_metrics!K243)</f>
        <v/>
      </c>
      <c r="AV244" s="2">
        <f>AND($J244,ISNUMBER(AU244),correlation!$I$30=1)</f>
        <v/>
      </c>
      <c r="AW244" s="5">
        <f>IF(AV244,$F244,"")</f>
        <v/>
      </c>
      <c r="AX244" s="5">
        <f>IF(AV244,AU244*correlation!$J$30,"")</f>
        <v/>
      </c>
      <c r="AY244" s="5">
        <f>IF(AND(AV244,ISNUMBER(correlation!$F$30)),AX244*correlation!$F$30+correlation!$G$30,"")</f>
        <v/>
      </c>
      <c r="AZ244" s="5">
        <f>IF(AND(AV244,ISNUMBER(AY244)),(AW244-AY244)^2,"")</f>
        <v/>
      </c>
      <c r="BA244" s="5">
        <f>IF(AV244,1+SUMPRODUCT(--(calc!$AV$3:$AV$306=TRUE),--(calc!$AW$3:$AW$306&gt;AW244))+(SUMPRODUCT(--(calc!$AV$3:$AV$306=TRUE),--(calc!$AW$3:$AW$306=AW244))-1)/2,"")</f>
        <v/>
      </c>
      <c r="BB244" s="5">
        <f>IF(AV244,1+SUMPRODUCT(--(calc!$AV$3:$AV$306=TRUE),--(calc!$AX$3:$AX$306&gt;AX244))+(SUMPRODUCT(--(calc!$AV$3:$AV$306=TRUE),--(calc!$AX$3:$AX$306=AX244))-1)/2,"")</f>
        <v/>
      </c>
      <c r="BC244" s="5">
        <f>IF(AV244,SUMPRODUCT(--(calc!$AV$3:$AV$306=TRUE),--(ROW(calc!$AV$3:$AV$306)&gt;ROW(AV244)),--(((calc!$BA$3:$BA$306&gt;BA244)*(calc!$BB$3:$BB$306&gt;BB244)+(calc!$BA$3:$BA$306&lt;BA244)*(calc!$BB$3:$BB$306&lt;BB244))&gt;0))-SUMPRODUCT(--(calc!$AV$3:$AV$306=TRUE),--(ROW(calc!$AV$3:$AV$306)&gt;ROW(AV244)),--(((calc!$BA$3:$BA$306&gt;BA244)*(calc!$BB$3:$BB$306&lt;BB244)+(calc!$BA$3:$BA$306&lt;BA244)*(calc!$BB$3:$BB$306&gt;BB244))&gt;0)),0)</f>
        <v/>
      </c>
      <c r="BD244" s="5">
        <f>IF(mos_metrics!L243="","",mos_metrics!L243)</f>
        <v/>
      </c>
      <c r="BE244" s="2">
        <f>AND($J244,ISNUMBER(BD244),correlation!$I$31=1)</f>
        <v/>
      </c>
      <c r="BF244" s="5">
        <f>IF(BE244,$F244,"")</f>
        <v/>
      </c>
      <c r="BG244" s="5">
        <f>IF(BE244,BD244*correlation!$J$31,"")</f>
        <v/>
      </c>
      <c r="BH244" s="5">
        <f>IF(AND(BE244,ISNUMBER(correlation!$F$31)),BG244*correlation!$F$31+correlation!$G$31,"")</f>
        <v/>
      </c>
      <c r="BI244" s="5">
        <f>IF(AND(BE244,ISNUMBER(BH244)),(BF244-BH244)^2,"")</f>
        <v/>
      </c>
      <c r="BJ244" s="5">
        <f>IF(BE244,1+SUMPRODUCT(--(calc!$BE$3:$BE$306=TRUE),--(calc!$BF$3:$BF$306&gt;BF244))+(SUMPRODUCT(--(calc!$BE$3:$BE$306=TRUE),--(calc!$BF$3:$BF$306=BF244))-1)/2,"")</f>
        <v/>
      </c>
      <c r="BK244" s="5">
        <f>IF(BE244,1+SUMPRODUCT(--(calc!$BE$3:$BE$306=TRUE),--(calc!$BG$3:$BG$306&gt;BG244))+(SUMPRODUCT(--(calc!$BE$3:$BE$306=TRUE),--(calc!$BG$3:$BG$306=BG244))-1)/2,"")</f>
        <v/>
      </c>
      <c r="BL244" s="5">
        <f>IF(BE244,SUMPRODUCT(--(calc!$BE$3:$BE$306=TRUE),--(ROW(calc!$BE$3:$BE$306)&gt;ROW(BE244)),--(((calc!$BJ$3:$BJ$306&gt;BJ244)*(calc!$BK$3:$BK$306&gt;BK244)+(calc!$BJ$3:$BJ$306&lt;BJ244)*(calc!$BK$3:$BK$306&lt;BK244))&gt;0))-SUMPRODUCT(--(calc!$BE$3:$BE$306=TRUE),--(ROW(calc!$BE$3:$BE$306)&gt;ROW(BE244)),--(((calc!$BJ$3:$BJ$306&gt;BJ244)*(calc!$BK$3:$BK$306&lt;BK244)+(calc!$BJ$3:$BJ$306&lt;BJ244)*(calc!$BK$3:$BK$306&gt;BK244))&gt;0)),0)</f>
        <v/>
      </c>
      <c r="BM244" s="5">
        <f>IF(mos_metrics!M243="","",mos_metrics!M243)</f>
        <v/>
      </c>
      <c r="BN244" s="2">
        <f>AND($J244,ISNUMBER(BM244),correlation!$I$32=1)</f>
        <v/>
      </c>
      <c r="BO244" s="5">
        <f>IF(BN244,$F244,"")</f>
        <v/>
      </c>
      <c r="BP244" s="5">
        <f>IF(BN244,BM244*correlation!$J$32,"")</f>
        <v/>
      </c>
      <c r="BQ244" s="5">
        <f>IF(AND(BN244,ISNUMBER(correlation!$F$32)),BP244*correlation!$F$32+correlation!$G$32,"")</f>
        <v/>
      </c>
      <c r="BR244" s="5">
        <f>IF(AND(BN244,ISNUMBER(BQ244)),(BO244-BQ244)^2,"")</f>
        <v/>
      </c>
      <c r="BS244" s="5">
        <f>IF(BN244,1+SUMPRODUCT(--(calc!$BN$3:$BN$306=TRUE),--(calc!$BO$3:$BO$306&gt;BO244))+(SUMPRODUCT(--(calc!$BN$3:$BN$306=TRUE),--(calc!$BO$3:$BO$306=BO244))-1)/2,"")</f>
        <v/>
      </c>
      <c r="BT244" s="5">
        <f>IF(BN244,1+SUMPRODUCT(--(calc!$BN$3:$BN$306=TRUE),--(calc!$BP$3:$BP$306&gt;BP244))+(SUMPRODUCT(--(calc!$BN$3:$BN$306=TRUE),--(calc!$BP$3:$BP$306=BP244))-1)/2,"")</f>
        <v/>
      </c>
      <c r="BU244" s="5">
        <f>IF(BN244,SUMPRODUCT(--(calc!$BN$3:$BN$306=TRUE),--(ROW(calc!$BN$3:$BN$306)&gt;ROW(BN244)),--(((calc!$BS$3:$BS$306&gt;BS244)*(calc!$BT$3:$BT$306&gt;BT244)+(calc!$BS$3:$BS$306&lt;BS244)*(calc!$BT$3:$BT$306&lt;BT244))&gt;0))-SUMPRODUCT(--(calc!$BN$3:$BN$306=TRUE),--(ROW(calc!$BN$3:$BN$306)&gt;ROW(BN244)),--(((calc!$BS$3:$BS$306&gt;BS244)*(calc!$BT$3:$BT$306&lt;BT244)+(calc!$BS$3:$BS$306&lt;BS244)*(calc!$BT$3:$BT$306&gt;BT244))&gt;0)),0)</f>
        <v/>
      </c>
    </row>
    <row r="245">
      <c r="A245" s="2">
        <f>mos_metrics!A244</f>
        <v/>
      </c>
      <c r="B245" s="2">
        <f>mos_metrics!B244</f>
        <v/>
      </c>
      <c r="C245" s="2">
        <f>mos_metrics!C244</f>
        <v/>
      </c>
      <c r="D245" s="2">
        <f>mos_metrics!D244</f>
        <v/>
      </c>
      <c r="E245" s="2">
        <f>mos_metrics!E244</f>
        <v/>
      </c>
      <c r="F245" s="2">
        <f>mos_metrics!F244</f>
        <v/>
      </c>
      <c r="G245" s="2">
        <f>IF($B245="","",IFERROR(VLOOKUP($B245,correlation!$A$2:$B$16,2,FALSE),1))</f>
        <v/>
      </c>
      <c r="H245" s="2">
        <f>IF($E245="","",IFERROR(VLOOKUP($E245,correlation!$D$2:$E$8,2,FALSE),1))</f>
        <v/>
      </c>
      <c r="I245" s="2">
        <f>ISNUMBER($F245)</f>
        <v/>
      </c>
      <c r="J245" s="2">
        <f>AND($G245=1,$H245=1,$I245)</f>
        <v/>
      </c>
      <c r="K245" s="5">
        <f>IF(mos_metrics!G244="","",mos_metrics!G244)</f>
        <v/>
      </c>
      <c r="L245" s="2">
        <f>AND($J245,ISNUMBER(K245),correlation!$I$26=1)</f>
        <v/>
      </c>
      <c r="M245" s="5">
        <f>IF(L245,$F245,"")</f>
        <v/>
      </c>
      <c r="N245" s="5">
        <f>IF(L245,K245*correlation!$J$26,"")</f>
        <v/>
      </c>
      <c r="O245" s="5">
        <f>IF(AND(L245,ISNUMBER(correlation!$F$26)),N245*correlation!$F$26+correlation!$G$26,"")</f>
        <v/>
      </c>
      <c r="P245" s="5">
        <f>IF(AND(L245,ISNUMBER(O245)),(M245-O245)^2,"")</f>
        <v/>
      </c>
      <c r="Q245" s="5">
        <f>IF(L245,1+SUMPRODUCT(--(calc!$L$3:$L$306=TRUE),--(calc!$M$3:$M$306&gt;M245))+(SUMPRODUCT(--(calc!$L$3:$L$306=TRUE),--(calc!$M$3:$M$306=M245))-1)/2,"")</f>
        <v/>
      </c>
      <c r="R245" s="5">
        <f>IF(L245,1+SUMPRODUCT(--(calc!$L$3:$L$306=TRUE),--(calc!$N$3:$N$306&gt;N245))+(SUMPRODUCT(--(calc!$L$3:$L$306=TRUE),--(calc!$N$3:$N$306=N245))-1)/2,"")</f>
        <v/>
      </c>
      <c r="S245" s="5">
        <f>IF(L245,SUMPRODUCT(--(calc!$L$3:$L$306=TRUE),--(ROW(calc!$L$3:$L$306)&gt;ROW(L245)),--(((calc!$Q$3:$Q$306&gt;Q245)*(calc!$R$3:$R$306&gt;R245)+(calc!$Q$3:$Q$306&lt;Q245)*(calc!$R$3:$R$306&lt;R245))&gt;0))-SUMPRODUCT(--(calc!$L$3:$L$306=TRUE),--(ROW(calc!$L$3:$L$306)&gt;ROW(L245)),--(((calc!$Q$3:$Q$306&gt;Q245)*(calc!$R$3:$R$306&lt;R245)+(calc!$Q$3:$Q$306&lt;Q245)*(calc!$R$3:$R$306&gt;R245))&gt;0)),0)</f>
        <v/>
      </c>
      <c r="T245" s="5">
        <f>IF(mos_metrics!H244="","",mos_metrics!H244)</f>
        <v/>
      </c>
      <c r="U245" s="2">
        <f>AND($J245,ISNUMBER(T245),correlation!$I$27=1)</f>
        <v/>
      </c>
      <c r="V245" s="5">
        <f>IF(U245,$F245,"")</f>
        <v/>
      </c>
      <c r="W245" s="5">
        <f>IF(U245,T245*correlation!$J$27,"")</f>
        <v/>
      </c>
      <c r="X245" s="5">
        <f>IF(AND(U245,ISNUMBER(correlation!$F$27)),W245*correlation!$F$27+correlation!$G$27,"")</f>
        <v/>
      </c>
      <c r="Y245" s="5">
        <f>IF(AND(U245,ISNUMBER(X245)),(V245-X245)^2,"")</f>
        <v/>
      </c>
      <c r="Z245" s="5">
        <f>IF(U245,1+SUMPRODUCT(--(calc!$U$3:$U$306=TRUE),--(calc!$V$3:$V$306&gt;V245))+(SUMPRODUCT(--(calc!$U$3:$U$306=TRUE),--(calc!$V$3:$V$306=V245))-1)/2,"")</f>
        <v/>
      </c>
      <c r="AA245" s="5">
        <f>IF(U245,1+SUMPRODUCT(--(calc!$U$3:$U$306=TRUE),--(calc!$W$3:$W$306&gt;W245))+(SUMPRODUCT(--(calc!$U$3:$U$306=TRUE),--(calc!$W$3:$W$306=W245))-1)/2,"")</f>
        <v/>
      </c>
      <c r="AB245" s="5">
        <f>IF(U245,SUMPRODUCT(--(calc!$U$3:$U$306=TRUE),--(ROW(calc!$U$3:$U$306)&gt;ROW(U245)),--(((calc!$Z$3:$Z$306&gt;Z245)*(calc!$AA$3:$AA$306&gt;AA245)+(calc!$Z$3:$Z$306&lt;Z245)*(calc!$AA$3:$AA$306&lt;AA245))&gt;0))-SUMPRODUCT(--(calc!$U$3:$U$306=TRUE),--(ROW(calc!$U$3:$U$306)&gt;ROW(U245)),--(((calc!$Z$3:$Z$306&gt;Z245)*(calc!$AA$3:$AA$306&lt;AA245)+(calc!$Z$3:$Z$306&lt;Z245)*(calc!$AA$3:$AA$306&gt;AA245))&gt;0)),0)</f>
        <v/>
      </c>
      <c r="AC245" s="5">
        <f>IF(mos_metrics!I244="","",mos_metrics!I244)</f>
        <v/>
      </c>
      <c r="AD245" s="2">
        <f>AND($J245,ISNUMBER(AC245),correlation!$I$28=1)</f>
        <v/>
      </c>
      <c r="AE245" s="5">
        <f>IF(AD245,$F245,"")</f>
        <v/>
      </c>
      <c r="AF245" s="5">
        <f>IF(AD245,AC245*correlation!$J$28,"")</f>
        <v/>
      </c>
      <c r="AG245" s="5">
        <f>IF(AND(AD245,ISNUMBER(correlation!$F$28)),AF245*correlation!$F$28+correlation!$G$28,"")</f>
        <v/>
      </c>
      <c r="AH245" s="5">
        <f>IF(AND(AD245,ISNUMBER(AG245)),(AE245-AG245)^2,"")</f>
        <v/>
      </c>
      <c r="AI245" s="5">
        <f>IF(AD245,1+SUMPRODUCT(--(calc!$AD$3:$AD$306=TRUE),--(calc!$AE$3:$AE$306&gt;AE245))+(SUMPRODUCT(--(calc!$AD$3:$AD$306=TRUE),--(calc!$AE$3:$AE$306=AE245))-1)/2,"")</f>
        <v/>
      </c>
      <c r="AJ245" s="5">
        <f>IF(AD245,1+SUMPRODUCT(--(calc!$AD$3:$AD$306=TRUE),--(calc!$AF$3:$AF$306&gt;AF245))+(SUMPRODUCT(--(calc!$AD$3:$AD$306=TRUE),--(calc!$AF$3:$AF$306=AF245))-1)/2,"")</f>
        <v/>
      </c>
      <c r="AK245" s="5">
        <f>IF(AD245,SUMPRODUCT(--(calc!$AD$3:$AD$306=TRUE),--(ROW(calc!$AD$3:$AD$306)&gt;ROW(AD245)),--(((calc!$AI$3:$AI$306&gt;AI245)*(calc!$AJ$3:$AJ$306&gt;AJ245)+(calc!$AI$3:$AI$306&lt;AI245)*(calc!$AJ$3:$AJ$306&lt;AJ245))&gt;0))-SUMPRODUCT(--(calc!$AD$3:$AD$306=TRUE),--(ROW(calc!$AD$3:$AD$306)&gt;ROW(AD245)),--(((calc!$AI$3:$AI$306&gt;AI245)*(calc!$AJ$3:$AJ$306&lt;AJ245)+(calc!$AI$3:$AI$306&lt;AI245)*(calc!$AJ$3:$AJ$306&gt;AJ245))&gt;0)),0)</f>
        <v/>
      </c>
      <c r="AL245" s="5">
        <f>IF(mos_metrics!J244="","",mos_metrics!J244)</f>
        <v/>
      </c>
      <c r="AM245" s="2">
        <f>AND($J245,ISNUMBER(AL245),correlation!$I$29=1)</f>
        <v/>
      </c>
      <c r="AN245" s="5">
        <f>IF(AM245,$F245,"")</f>
        <v/>
      </c>
      <c r="AO245" s="5">
        <f>IF(AM245,AL245*correlation!$J$29,"")</f>
        <v/>
      </c>
      <c r="AP245" s="5">
        <f>IF(AND(AM245,ISNUMBER(correlation!$F$29)),AO245*correlation!$F$29+correlation!$G$29,"")</f>
        <v/>
      </c>
      <c r="AQ245" s="5">
        <f>IF(AND(AM245,ISNUMBER(AP245)),(AN245-AP245)^2,"")</f>
        <v/>
      </c>
      <c r="AR245" s="5">
        <f>IF(AM245,1+SUMPRODUCT(--(calc!$AM$3:$AM$306=TRUE),--(calc!$AN$3:$AN$306&gt;AN245))+(SUMPRODUCT(--(calc!$AM$3:$AM$306=TRUE),--(calc!$AN$3:$AN$306=AN245))-1)/2,"")</f>
        <v/>
      </c>
      <c r="AS245" s="5">
        <f>IF(AM245,1+SUMPRODUCT(--(calc!$AM$3:$AM$306=TRUE),--(calc!$AO$3:$AO$306&gt;AO245))+(SUMPRODUCT(--(calc!$AM$3:$AM$306=TRUE),--(calc!$AO$3:$AO$306=AO245))-1)/2,"")</f>
        <v/>
      </c>
      <c r="AT245" s="5">
        <f>IF(AM245,SUMPRODUCT(--(calc!$AM$3:$AM$306=TRUE),--(ROW(calc!$AM$3:$AM$306)&gt;ROW(AM245)),--(((calc!$AR$3:$AR$306&gt;AR245)*(calc!$AS$3:$AS$306&gt;AS245)+(calc!$AR$3:$AR$306&lt;AR245)*(calc!$AS$3:$AS$306&lt;AS245))&gt;0))-SUMPRODUCT(--(calc!$AM$3:$AM$306=TRUE),--(ROW(calc!$AM$3:$AM$306)&gt;ROW(AM245)),--(((calc!$AR$3:$AR$306&gt;AR245)*(calc!$AS$3:$AS$306&lt;AS245)+(calc!$AR$3:$AR$306&lt;AR245)*(calc!$AS$3:$AS$306&gt;AS245))&gt;0)),0)</f>
        <v/>
      </c>
      <c r="AU245" s="5">
        <f>IF(mos_metrics!K244="","",mos_metrics!K244)</f>
        <v/>
      </c>
      <c r="AV245" s="2">
        <f>AND($J245,ISNUMBER(AU245),correlation!$I$30=1)</f>
        <v/>
      </c>
      <c r="AW245" s="5">
        <f>IF(AV245,$F245,"")</f>
        <v/>
      </c>
      <c r="AX245" s="5">
        <f>IF(AV245,AU245*correlation!$J$30,"")</f>
        <v/>
      </c>
      <c r="AY245" s="5">
        <f>IF(AND(AV245,ISNUMBER(correlation!$F$30)),AX245*correlation!$F$30+correlation!$G$30,"")</f>
        <v/>
      </c>
      <c r="AZ245" s="5">
        <f>IF(AND(AV245,ISNUMBER(AY245)),(AW245-AY245)^2,"")</f>
        <v/>
      </c>
      <c r="BA245" s="5">
        <f>IF(AV245,1+SUMPRODUCT(--(calc!$AV$3:$AV$306=TRUE),--(calc!$AW$3:$AW$306&gt;AW245))+(SUMPRODUCT(--(calc!$AV$3:$AV$306=TRUE),--(calc!$AW$3:$AW$306=AW245))-1)/2,"")</f>
        <v/>
      </c>
      <c r="BB245" s="5">
        <f>IF(AV245,1+SUMPRODUCT(--(calc!$AV$3:$AV$306=TRUE),--(calc!$AX$3:$AX$306&gt;AX245))+(SUMPRODUCT(--(calc!$AV$3:$AV$306=TRUE),--(calc!$AX$3:$AX$306=AX245))-1)/2,"")</f>
        <v/>
      </c>
      <c r="BC245" s="5">
        <f>IF(AV245,SUMPRODUCT(--(calc!$AV$3:$AV$306=TRUE),--(ROW(calc!$AV$3:$AV$306)&gt;ROW(AV245)),--(((calc!$BA$3:$BA$306&gt;BA245)*(calc!$BB$3:$BB$306&gt;BB245)+(calc!$BA$3:$BA$306&lt;BA245)*(calc!$BB$3:$BB$306&lt;BB245))&gt;0))-SUMPRODUCT(--(calc!$AV$3:$AV$306=TRUE),--(ROW(calc!$AV$3:$AV$306)&gt;ROW(AV245)),--(((calc!$BA$3:$BA$306&gt;BA245)*(calc!$BB$3:$BB$306&lt;BB245)+(calc!$BA$3:$BA$306&lt;BA245)*(calc!$BB$3:$BB$306&gt;BB245))&gt;0)),0)</f>
        <v/>
      </c>
      <c r="BD245" s="5">
        <f>IF(mos_metrics!L244="","",mos_metrics!L244)</f>
        <v/>
      </c>
      <c r="BE245" s="2">
        <f>AND($J245,ISNUMBER(BD245),correlation!$I$31=1)</f>
        <v/>
      </c>
      <c r="BF245" s="5">
        <f>IF(BE245,$F245,"")</f>
        <v/>
      </c>
      <c r="BG245" s="5">
        <f>IF(BE245,BD245*correlation!$J$31,"")</f>
        <v/>
      </c>
      <c r="BH245" s="5">
        <f>IF(AND(BE245,ISNUMBER(correlation!$F$31)),BG245*correlation!$F$31+correlation!$G$31,"")</f>
        <v/>
      </c>
      <c r="BI245" s="5">
        <f>IF(AND(BE245,ISNUMBER(BH245)),(BF245-BH245)^2,"")</f>
        <v/>
      </c>
      <c r="BJ245" s="5">
        <f>IF(BE245,1+SUMPRODUCT(--(calc!$BE$3:$BE$306=TRUE),--(calc!$BF$3:$BF$306&gt;BF245))+(SUMPRODUCT(--(calc!$BE$3:$BE$306=TRUE),--(calc!$BF$3:$BF$306=BF245))-1)/2,"")</f>
        <v/>
      </c>
      <c r="BK245" s="5">
        <f>IF(BE245,1+SUMPRODUCT(--(calc!$BE$3:$BE$306=TRUE),--(calc!$BG$3:$BG$306&gt;BG245))+(SUMPRODUCT(--(calc!$BE$3:$BE$306=TRUE),--(calc!$BG$3:$BG$306=BG245))-1)/2,"")</f>
        <v/>
      </c>
      <c r="BL245" s="5">
        <f>IF(BE245,SUMPRODUCT(--(calc!$BE$3:$BE$306=TRUE),--(ROW(calc!$BE$3:$BE$306)&gt;ROW(BE245)),--(((calc!$BJ$3:$BJ$306&gt;BJ245)*(calc!$BK$3:$BK$306&gt;BK245)+(calc!$BJ$3:$BJ$306&lt;BJ245)*(calc!$BK$3:$BK$306&lt;BK245))&gt;0))-SUMPRODUCT(--(calc!$BE$3:$BE$306=TRUE),--(ROW(calc!$BE$3:$BE$306)&gt;ROW(BE245)),--(((calc!$BJ$3:$BJ$306&gt;BJ245)*(calc!$BK$3:$BK$306&lt;BK245)+(calc!$BJ$3:$BJ$306&lt;BJ245)*(calc!$BK$3:$BK$306&gt;BK245))&gt;0)),0)</f>
        <v/>
      </c>
      <c r="BM245" s="5">
        <f>IF(mos_metrics!M244="","",mos_metrics!M244)</f>
        <v/>
      </c>
      <c r="BN245" s="2">
        <f>AND($J245,ISNUMBER(BM245),correlation!$I$32=1)</f>
        <v/>
      </c>
      <c r="BO245" s="5">
        <f>IF(BN245,$F245,"")</f>
        <v/>
      </c>
      <c r="BP245" s="5">
        <f>IF(BN245,BM245*correlation!$J$32,"")</f>
        <v/>
      </c>
      <c r="BQ245" s="5">
        <f>IF(AND(BN245,ISNUMBER(correlation!$F$32)),BP245*correlation!$F$32+correlation!$G$32,"")</f>
        <v/>
      </c>
      <c r="BR245" s="5">
        <f>IF(AND(BN245,ISNUMBER(BQ245)),(BO245-BQ245)^2,"")</f>
        <v/>
      </c>
      <c r="BS245" s="5">
        <f>IF(BN245,1+SUMPRODUCT(--(calc!$BN$3:$BN$306=TRUE),--(calc!$BO$3:$BO$306&gt;BO245))+(SUMPRODUCT(--(calc!$BN$3:$BN$306=TRUE),--(calc!$BO$3:$BO$306=BO245))-1)/2,"")</f>
        <v/>
      </c>
      <c r="BT245" s="5">
        <f>IF(BN245,1+SUMPRODUCT(--(calc!$BN$3:$BN$306=TRUE),--(calc!$BP$3:$BP$306&gt;BP245))+(SUMPRODUCT(--(calc!$BN$3:$BN$306=TRUE),--(calc!$BP$3:$BP$306=BP245))-1)/2,"")</f>
        <v/>
      </c>
      <c r="BU245" s="5">
        <f>IF(BN245,SUMPRODUCT(--(calc!$BN$3:$BN$306=TRUE),--(ROW(calc!$BN$3:$BN$306)&gt;ROW(BN245)),--(((calc!$BS$3:$BS$306&gt;BS245)*(calc!$BT$3:$BT$306&gt;BT245)+(calc!$BS$3:$BS$306&lt;BS245)*(calc!$BT$3:$BT$306&lt;BT245))&gt;0))-SUMPRODUCT(--(calc!$BN$3:$BN$306=TRUE),--(ROW(calc!$BN$3:$BN$306)&gt;ROW(BN245)),--(((calc!$BS$3:$BS$306&gt;BS245)*(calc!$BT$3:$BT$306&lt;BT245)+(calc!$BS$3:$BS$306&lt;BS245)*(calc!$BT$3:$BT$306&gt;BT245))&gt;0)),0)</f>
        <v/>
      </c>
    </row>
    <row r="246">
      <c r="A246" s="2">
        <f>mos_metrics!A245</f>
        <v/>
      </c>
      <c r="B246" s="2">
        <f>mos_metrics!B245</f>
        <v/>
      </c>
      <c r="C246" s="2">
        <f>mos_metrics!C245</f>
        <v/>
      </c>
      <c r="D246" s="2">
        <f>mos_metrics!D245</f>
        <v/>
      </c>
      <c r="E246" s="2">
        <f>mos_metrics!E245</f>
        <v/>
      </c>
      <c r="F246" s="2">
        <f>mos_metrics!F245</f>
        <v/>
      </c>
      <c r="G246" s="2">
        <f>IF($B246="","",IFERROR(VLOOKUP($B246,correlation!$A$2:$B$16,2,FALSE),1))</f>
        <v/>
      </c>
      <c r="H246" s="2">
        <f>IF($E246="","",IFERROR(VLOOKUP($E246,correlation!$D$2:$E$8,2,FALSE),1))</f>
        <v/>
      </c>
      <c r="I246" s="2">
        <f>ISNUMBER($F246)</f>
        <v/>
      </c>
      <c r="J246" s="2">
        <f>AND($G246=1,$H246=1,$I246)</f>
        <v/>
      </c>
      <c r="K246" s="5">
        <f>IF(mos_metrics!G245="","",mos_metrics!G245)</f>
        <v/>
      </c>
      <c r="L246" s="2">
        <f>AND($J246,ISNUMBER(K246),correlation!$I$26=1)</f>
        <v/>
      </c>
      <c r="M246" s="5">
        <f>IF(L246,$F246,"")</f>
        <v/>
      </c>
      <c r="N246" s="5">
        <f>IF(L246,K246*correlation!$J$26,"")</f>
        <v/>
      </c>
      <c r="O246" s="5">
        <f>IF(AND(L246,ISNUMBER(correlation!$F$26)),N246*correlation!$F$26+correlation!$G$26,"")</f>
        <v/>
      </c>
      <c r="P246" s="5">
        <f>IF(AND(L246,ISNUMBER(O246)),(M246-O246)^2,"")</f>
        <v/>
      </c>
      <c r="Q246" s="5">
        <f>IF(L246,1+SUMPRODUCT(--(calc!$L$3:$L$306=TRUE),--(calc!$M$3:$M$306&gt;M246))+(SUMPRODUCT(--(calc!$L$3:$L$306=TRUE),--(calc!$M$3:$M$306=M246))-1)/2,"")</f>
        <v/>
      </c>
      <c r="R246" s="5">
        <f>IF(L246,1+SUMPRODUCT(--(calc!$L$3:$L$306=TRUE),--(calc!$N$3:$N$306&gt;N246))+(SUMPRODUCT(--(calc!$L$3:$L$306=TRUE),--(calc!$N$3:$N$306=N246))-1)/2,"")</f>
        <v/>
      </c>
      <c r="S246" s="5">
        <f>IF(L246,SUMPRODUCT(--(calc!$L$3:$L$306=TRUE),--(ROW(calc!$L$3:$L$306)&gt;ROW(L246)),--(((calc!$Q$3:$Q$306&gt;Q246)*(calc!$R$3:$R$306&gt;R246)+(calc!$Q$3:$Q$306&lt;Q246)*(calc!$R$3:$R$306&lt;R246))&gt;0))-SUMPRODUCT(--(calc!$L$3:$L$306=TRUE),--(ROW(calc!$L$3:$L$306)&gt;ROW(L246)),--(((calc!$Q$3:$Q$306&gt;Q246)*(calc!$R$3:$R$306&lt;R246)+(calc!$Q$3:$Q$306&lt;Q246)*(calc!$R$3:$R$306&gt;R246))&gt;0)),0)</f>
        <v/>
      </c>
      <c r="T246" s="5">
        <f>IF(mos_metrics!H245="","",mos_metrics!H245)</f>
        <v/>
      </c>
      <c r="U246" s="2">
        <f>AND($J246,ISNUMBER(T246),correlation!$I$27=1)</f>
        <v/>
      </c>
      <c r="V246" s="5">
        <f>IF(U246,$F246,"")</f>
        <v/>
      </c>
      <c r="W246" s="5">
        <f>IF(U246,T246*correlation!$J$27,"")</f>
        <v/>
      </c>
      <c r="X246" s="5">
        <f>IF(AND(U246,ISNUMBER(correlation!$F$27)),W246*correlation!$F$27+correlation!$G$27,"")</f>
        <v/>
      </c>
      <c r="Y246" s="5">
        <f>IF(AND(U246,ISNUMBER(X246)),(V246-X246)^2,"")</f>
        <v/>
      </c>
      <c r="Z246" s="5">
        <f>IF(U246,1+SUMPRODUCT(--(calc!$U$3:$U$306=TRUE),--(calc!$V$3:$V$306&gt;V246))+(SUMPRODUCT(--(calc!$U$3:$U$306=TRUE),--(calc!$V$3:$V$306=V246))-1)/2,"")</f>
        <v/>
      </c>
      <c r="AA246" s="5">
        <f>IF(U246,1+SUMPRODUCT(--(calc!$U$3:$U$306=TRUE),--(calc!$W$3:$W$306&gt;W246))+(SUMPRODUCT(--(calc!$U$3:$U$306=TRUE),--(calc!$W$3:$W$306=W246))-1)/2,"")</f>
        <v/>
      </c>
      <c r="AB246" s="5">
        <f>IF(U246,SUMPRODUCT(--(calc!$U$3:$U$306=TRUE),--(ROW(calc!$U$3:$U$306)&gt;ROW(U246)),--(((calc!$Z$3:$Z$306&gt;Z246)*(calc!$AA$3:$AA$306&gt;AA246)+(calc!$Z$3:$Z$306&lt;Z246)*(calc!$AA$3:$AA$306&lt;AA246))&gt;0))-SUMPRODUCT(--(calc!$U$3:$U$306=TRUE),--(ROW(calc!$U$3:$U$306)&gt;ROW(U246)),--(((calc!$Z$3:$Z$306&gt;Z246)*(calc!$AA$3:$AA$306&lt;AA246)+(calc!$Z$3:$Z$306&lt;Z246)*(calc!$AA$3:$AA$306&gt;AA246))&gt;0)),0)</f>
        <v/>
      </c>
      <c r="AC246" s="5">
        <f>IF(mos_metrics!I245="","",mos_metrics!I245)</f>
        <v/>
      </c>
      <c r="AD246" s="2">
        <f>AND($J246,ISNUMBER(AC246),correlation!$I$28=1)</f>
        <v/>
      </c>
      <c r="AE246" s="5">
        <f>IF(AD246,$F246,"")</f>
        <v/>
      </c>
      <c r="AF246" s="5">
        <f>IF(AD246,AC246*correlation!$J$28,"")</f>
        <v/>
      </c>
      <c r="AG246" s="5">
        <f>IF(AND(AD246,ISNUMBER(correlation!$F$28)),AF246*correlation!$F$28+correlation!$G$28,"")</f>
        <v/>
      </c>
      <c r="AH246" s="5">
        <f>IF(AND(AD246,ISNUMBER(AG246)),(AE246-AG246)^2,"")</f>
        <v/>
      </c>
      <c r="AI246" s="5">
        <f>IF(AD246,1+SUMPRODUCT(--(calc!$AD$3:$AD$306=TRUE),--(calc!$AE$3:$AE$306&gt;AE246))+(SUMPRODUCT(--(calc!$AD$3:$AD$306=TRUE),--(calc!$AE$3:$AE$306=AE246))-1)/2,"")</f>
        <v/>
      </c>
      <c r="AJ246" s="5">
        <f>IF(AD246,1+SUMPRODUCT(--(calc!$AD$3:$AD$306=TRUE),--(calc!$AF$3:$AF$306&gt;AF246))+(SUMPRODUCT(--(calc!$AD$3:$AD$306=TRUE),--(calc!$AF$3:$AF$306=AF246))-1)/2,"")</f>
        <v/>
      </c>
      <c r="AK246" s="5">
        <f>IF(AD246,SUMPRODUCT(--(calc!$AD$3:$AD$306=TRUE),--(ROW(calc!$AD$3:$AD$306)&gt;ROW(AD246)),--(((calc!$AI$3:$AI$306&gt;AI246)*(calc!$AJ$3:$AJ$306&gt;AJ246)+(calc!$AI$3:$AI$306&lt;AI246)*(calc!$AJ$3:$AJ$306&lt;AJ246))&gt;0))-SUMPRODUCT(--(calc!$AD$3:$AD$306=TRUE),--(ROW(calc!$AD$3:$AD$306)&gt;ROW(AD246)),--(((calc!$AI$3:$AI$306&gt;AI246)*(calc!$AJ$3:$AJ$306&lt;AJ246)+(calc!$AI$3:$AI$306&lt;AI246)*(calc!$AJ$3:$AJ$306&gt;AJ246))&gt;0)),0)</f>
        <v/>
      </c>
      <c r="AL246" s="5">
        <f>IF(mos_metrics!J245="","",mos_metrics!J245)</f>
        <v/>
      </c>
      <c r="AM246" s="2">
        <f>AND($J246,ISNUMBER(AL246),correlation!$I$29=1)</f>
        <v/>
      </c>
      <c r="AN246" s="5">
        <f>IF(AM246,$F246,"")</f>
        <v/>
      </c>
      <c r="AO246" s="5">
        <f>IF(AM246,AL246*correlation!$J$29,"")</f>
        <v/>
      </c>
      <c r="AP246" s="5">
        <f>IF(AND(AM246,ISNUMBER(correlation!$F$29)),AO246*correlation!$F$29+correlation!$G$29,"")</f>
        <v/>
      </c>
      <c r="AQ246" s="5">
        <f>IF(AND(AM246,ISNUMBER(AP246)),(AN246-AP246)^2,"")</f>
        <v/>
      </c>
      <c r="AR246" s="5">
        <f>IF(AM246,1+SUMPRODUCT(--(calc!$AM$3:$AM$306=TRUE),--(calc!$AN$3:$AN$306&gt;AN246))+(SUMPRODUCT(--(calc!$AM$3:$AM$306=TRUE),--(calc!$AN$3:$AN$306=AN246))-1)/2,"")</f>
        <v/>
      </c>
      <c r="AS246" s="5">
        <f>IF(AM246,1+SUMPRODUCT(--(calc!$AM$3:$AM$306=TRUE),--(calc!$AO$3:$AO$306&gt;AO246))+(SUMPRODUCT(--(calc!$AM$3:$AM$306=TRUE),--(calc!$AO$3:$AO$306=AO246))-1)/2,"")</f>
        <v/>
      </c>
      <c r="AT246" s="5">
        <f>IF(AM246,SUMPRODUCT(--(calc!$AM$3:$AM$306=TRUE),--(ROW(calc!$AM$3:$AM$306)&gt;ROW(AM246)),--(((calc!$AR$3:$AR$306&gt;AR246)*(calc!$AS$3:$AS$306&gt;AS246)+(calc!$AR$3:$AR$306&lt;AR246)*(calc!$AS$3:$AS$306&lt;AS246))&gt;0))-SUMPRODUCT(--(calc!$AM$3:$AM$306=TRUE),--(ROW(calc!$AM$3:$AM$306)&gt;ROW(AM246)),--(((calc!$AR$3:$AR$306&gt;AR246)*(calc!$AS$3:$AS$306&lt;AS246)+(calc!$AR$3:$AR$306&lt;AR246)*(calc!$AS$3:$AS$306&gt;AS246))&gt;0)),0)</f>
        <v/>
      </c>
      <c r="AU246" s="5">
        <f>IF(mos_metrics!K245="","",mos_metrics!K245)</f>
        <v/>
      </c>
      <c r="AV246" s="2">
        <f>AND($J246,ISNUMBER(AU246),correlation!$I$30=1)</f>
        <v/>
      </c>
      <c r="AW246" s="5">
        <f>IF(AV246,$F246,"")</f>
        <v/>
      </c>
      <c r="AX246" s="5">
        <f>IF(AV246,AU246*correlation!$J$30,"")</f>
        <v/>
      </c>
      <c r="AY246" s="5">
        <f>IF(AND(AV246,ISNUMBER(correlation!$F$30)),AX246*correlation!$F$30+correlation!$G$30,"")</f>
        <v/>
      </c>
      <c r="AZ246" s="5">
        <f>IF(AND(AV246,ISNUMBER(AY246)),(AW246-AY246)^2,"")</f>
        <v/>
      </c>
      <c r="BA246" s="5">
        <f>IF(AV246,1+SUMPRODUCT(--(calc!$AV$3:$AV$306=TRUE),--(calc!$AW$3:$AW$306&gt;AW246))+(SUMPRODUCT(--(calc!$AV$3:$AV$306=TRUE),--(calc!$AW$3:$AW$306=AW246))-1)/2,"")</f>
        <v/>
      </c>
      <c r="BB246" s="5">
        <f>IF(AV246,1+SUMPRODUCT(--(calc!$AV$3:$AV$306=TRUE),--(calc!$AX$3:$AX$306&gt;AX246))+(SUMPRODUCT(--(calc!$AV$3:$AV$306=TRUE),--(calc!$AX$3:$AX$306=AX246))-1)/2,"")</f>
        <v/>
      </c>
      <c r="BC246" s="5">
        <f>IF(AV246,SUMPRODUCT(--(calc!$AV$3:$AV$306=TRUE),--(ROW(calc!$AV$3:$AV$306)&gt;ROW(AV246)),--(((calc!$BA$3:$BA$306&gt;BA246)*(calc!$BB$3:$BB$306&gt;BB246)+(calc!$BA$3:$BA$306&lt;BA246)*(calc!$BB$3:$BB$306&lt;BB246))&gt;0))-SUMPRODUCT(--(calc!$AV$3:$AV$306=TRUE),--(ROW(calc!$AV$3:$AV$306)&gt;ROW(AV246)),--(((calc!$BA$3:$BA$306&gt;BA246)*(calc!$BB$3:$BB$306&lt;BB246)+(calc!$BA$3:$BA$306&lt;BA246)*(calc!$BB$3:$BB$306&gt;BB246))&gt;0)),0)</f>
        <v/>
      </c>
      <c r="BD246" s="5">
        <f>IF(mos_metrics!L245="","",mos_metrics!L245)</f>
        <v/>
      </c>
      <c r="BE246" s="2">
        <f>AND($J246,ISNUMBER(BD246),correlation!$I$31=1)</f>
        <v/>
      </c>
      <c r="BF246" s="5">
        <f>IF(BE246,$F246,"")</f>
        <v/>
      </c>
      <c r="BG246" s="5">
        <f>IF(BE246,BD246*correlation!$J$31,"")</f>
        <v/>
      </c>
      <c r="BH246" s="5">
        <f>IF(AND(BE246,ISNUMBER(correlation!$F$31)),BG246*correlation!$F$31+correlation!$G$31,"")</f>
        <v/>
      </c>
      <c r="BI246" s="5">
        <f>IF(AND(BE246,ISNUMBER(BH246)),(BF246-BH246)^2,"")</f>
        <v/>
      </c>
      <c r="BJ246" s="5">
        <f>IF(BE246,1+SUMPRODUCT(--(calc!$BE$3:$BE$306=TRUE),--(calc!$BF$3:$BF$306&gt;BF246))+(SUMPRODUCT(--(calc!$BE$3:$BE$306=TRUE),--(calc!$BF$3:$BF$306=BF246))-1)/2,"")</f>
        <v/>
      </c>
      <c r="BK246" s="5">
        <f>IF(BE246,1+SUMPRODUCT(--(calc!$BE$3:$BE$306=TRUE),--(calc!$BG$3:$BG$306&gt;BG246))+(SUMPRODUCT(--(calc!$BE$3:$BE$306=TRUE),--(calc!$BG$3:$BG$306=BG246))-1)/2,"")</f>
        <v/>
      </c>
      <c r="BL246" s="5">
        <f>IF(BE246,SUMPRODUCT(--(calc!$BE$3:$BE$306=TRUE),--(ROW(calc!$BE$3:$BE$306)&gt;ROW(BE246)),--(((calc!$BJ$3:$BJ$306&gt;BJ246)*(calc!$BK$3:$BK$306&gt;BK246)+(calc!$BJ$3:$BJ$306&lt;BJ246)*(calc!$BK$3:$BK$306&lt;BK246))&gt;0))-SUMPRODUCT(--(calc!$BE$3:$BE$306=TRUE),--(ROW(calc!$BE$3:$BE$306)&gt;ROW(BE246)),--(((calc!$BJ$3:$BJ$306&gt;BJ246)*(calc!$BK$3:$BK$306&lt;BK246)+(calc!$BJ$3:$BJ$306&lt;BJ246)*(calc!$BK$3:$BK$306&gt;BK246))&gt;0)),0)</f>
        <v/>
      </c>
      <c r="BM246" s="5">
        <f>IF(mos_metrics!M245="","",mos_metrics!M245)</f>
        <v/>
      </c>
      <c r="BN246" s="2">
        <f>AND($J246,ISNUMBER(BM246),correlation!$I$32=1)</f>
        <v/>
      </c>
      <c r="BO246" s="5">
        <f>IF(BN246,$F246,"")</f>
        <v/>
      </c>
      <c r="BP246" s="5">
        <f>IF(BN246,BM246*correlation!$J$32,"")</f>
        <v/>
      </c>
      <c r="BQ246" s="5">
        <f>IF(AND(BN246,ISNUMBER(correlation!$F$32)),BP246*correlation!$F$32+correlation!$G$32,"")</f>
        <v/>
      </c>
      <c r="BR246" s="5">
        <f>IF(AND(BN246,ISNUMBER(BQ246)),(BO246-BQ246)^2,"")</f>
        <v/>
      </c>
      <c r="BS246" s="5">
        <f>IF(BN246,1+SUMPRODUCT(--(calc!$BN$3:$BN$306=TRUE),--(calc!$BO$3:$BO$306&gt;BO246))+(SUMPRODUCT(--(calc!$BN$3:$BN$306=TRUE),--(calc!$BO$3:$BO$306=BO246))-1)/2,"")</f>
        <v/>
      </c>
      <c r="BT246" s="5">
        <f>IF(BN246,1+SUMPRODUCT(--(calc!$BN$3:$BN$306=TRUE),--(calc!$BP$3:$BP$306&gt;BP246))+(SUMPRODUCT(--(calc!$BN$3:$BN$306=TRUE),--(calc!$BP$3:$BP$306=BP246))-1)/2,"")</f>
        <v/>
      </c>
      <c r="BU246" s="5">
        <f>IF(BN246,SUMPRODUCT(--(calc!$BN$3:$BN$306=TRUE),--(ROW(calc!$BN$3:$BN$306)&gt;ROW(BN246)),--(((calc!$BS$3:$BS$306&gt;BS246)*(calc!$BT$3:$BT$306&gt;BT246)+(calc!$BS$3:$BS$306&lt;BS246)*(calc!$BT$3:$BT$306&lt;BT246))&gt;0))-SUMPRODUCT(--(calc!$BN$3:$BN$306=TRUE),--(ROW(calc!$BN$3:$BN$306)&gt;ROW(BN246)),--(((calc!$BS$3:$BS$306&gt;BS246)*(calc!$BT$3:$BT$306&lt;BT246)+(calc!$BS$3:$BS$306&lt;BS246)*(calc!$BT$3:$BT$306&gt;BT246))&gt;0)),0)</f>
        <v/>
      </c>
    </row>
    <row r="247">
      <c r="A247" s="2">
        <f>mos_metrics!A246</f>
        <v/>
      </c>
      <c r="B247" s="2">
        <f>mos_metrics!B246</f>
        <v/>
      </c>
      <c r="C247" s="2">
        <f>mos_metrics!C246</f>
        <v/>
      </c>
      <c r="D247" s="2">
        <f>mos_metrics!D246</f>
        <v/>
      </c>
      <c r="E247" s="2">
        <f>mos_metrics!E246</f>
        <v/>
      </c>
      <c r="F247" s="2">
        <f>mos_metrics!F246</f>
        <v/>
      </c>
      <c r="G247" s="2">
        <f>IF($B247="","",IFERROR(VLOOKUP($B247,correlation!$A$2:$B$16,2,FALSE),1))</f>
        <v/>
      </c>
      <c r="H247" s="2">
        <f>IF($E247="","",IFERROR(VLOOKUP($E247,correlation!$D$2:$E$8,2,FALSE),1))</f>
        <v/>
      </c>
      <c r="I247" s="2">
        <f>ISNUMBER($F247)</f>
        <v/>
      </c>
      <c r="J247" s="2">
        <f>AND($G247=1,$H247=1,$I247)</f>
        <v/>
      </c>
      <c r="K247" s="5">
        <f>IF(mos_metrics!G246="","",mos_metrics!G246)</f>
        <v/>
      </c>
      <c r="L247" s="2">
        <f>AND($J247,ISNUMBER(K247),correlation!$I$26=1)</f>
        <v/>
      </c>
      <c r="M247" s="5">
        <f>IF(L247,$F247,"")</f>
        <v/>
      </c>
      <c r="N247" s="5">
        <f>IF(L247,K247*correlation!$J$26,"")</f>
        <v/>
      </c>
      <c r="O247" s="5">
        <f>IF(AND(L247,ISNUMBER(correlation!$F$26)),N247*correlation!$F$26+correlation!$G$26,"")</f>
        <v/>
      </c>
      <c r="P247" s="5">
        <f>IF(AND(L247,ISNUMBER(O247)),(M247-O247)^2,"")</f>
        <v/>
      </c>
      <c r="Q247" s="5">
        <f>IF(L247,1+SUMPRODUCT(--(calc!$L$3:$L$306=TRUE),--(calc!$M$3:$M$306&gt;M247))+(SUMPRODUCT(--(calc!$L$3:$L$306=TRUE),--(calc!$M$3:$M$306=M247))-1)/2,"")</f>
        <v/>
      </c>
      <c r="R247" s="5">
        <f>IF(L247,1+SUMPRODUCT(--(calc!$L$3:$L$306=TRUE),--(calc!$N$3:$N$306&gt;N247))+(SUMPRODUCT(--(calc!$L$3:$L$306=TRUE),--(calc!$N$3:$N$306=N247))-1)/2,"")</f>
        <v/>
      </c>
      <c r="S247" s="5">
        <f>IF(L247,SUMPRODUCT(--(calc!$L$3:$L$306=TRUE),--(ROW(calc!$L$3:$L$306)&gt;ROW(L247)),--(((calc!$Q$3:$Q$306&gt;Q247)*(calc!$R$3:$R$306&gt;R247)+(calc!$Q$3:$Q$306&lt;Q247)*(calc!$R$3:$R$306&lt;R247))&gt;0))-SUMPRODUCT(--(calc!$L$3:$L$306=TRUE),--(ROW(calc!$L$3:$L$306)&gt;ROW(L247)),--(((calc!$Q$3:$Q$306&gt;Q247)*(calc!$R$3:$R$306&lt;R247)+(calc!$Q$3:$Q$306&lt;Q247)*(calc!$R$3:$R$306&gt;R247))&gt;0)),0)</f>
        <v/>
      </c>
      <c r="T247" s="5">
        <f>IF(mos_metrics!H246="","",mos_metrics!H246)</f>
        <v/>
      </c>
      <c r="U247" s="2">
        <f>AND($J247,ISNUMBER(T247),correlation!$I$27=1)</f>
        <v/>
      </c>
      <c r="V247" s="5">
        <f>IF(U247,$F247,"")</f>
        <v/>
      </c>
      <c r="W247" s="5">
        <f>IF(U247,T247*correlation!$J$27,"")</f>
        <v/>
      </c>
      <c r="X247" s="5">
        <f>IF(AND(U247,ISNUMBER(correlation!$F$27)),W247*correlation!$F$27+correlation!$G$27,"")</f>
        <v/>
      </c>
      <c r="Y247" s="5">
        <f>IF(AND(U247,ISNUMBER(X247)),(V247-X247)^2,"")</f>
        <v/>
      </c>
      <c r="Z247" s="5">
        <f>IF(U247,1+SUMPRODUCT(--(calc!$U$3:$U$306=TRUE),--(calc!$V$3:$V$306&gt;V247))+(SUMPRODUCT(--(calc!$U$3:$U$306=TRUE),--(calc!$V$3:$V$306=V247))-1)/2,"")</f>
        <v/>
      </c>
      <c r="AA247" s="5">
        <f>IF(U247,1+SUMPRODUCT(--(calc!$U$3:$U$306=TRUE),--(calc!$W$3:$W$306&gt;W247))+(SUMPRODUCT(--(calc!$U$3:$U$306=TRUE),--(calc!$W$3:$W$306=W247))-1)/2,"")</f>
        <v/>
      </c>
      <c r="AB247" s="5">
        <f>IF(U247,SUMPRODUCT(--(calc!$U$3:$U$306=TRUE),--(ROW(calc!$U$3:$U$306)&gt;ROW(U247)),--(((calc!$Z$3:$Z$306&gt;Z247)*(calc!$AA$3:$AA$306&gt;AA247)+(calc!$Z$3:$Z$306&lt;Z247)*(calc!$AA$3:$AA$306&lt;AA247))&gt;0))-SUMPRODUCT(--(calc!$U$3:$U$306=TRUE),--(ROW(calc!$U$3:$U$306)&gt;ROW(U247)),--(((calc!$Z$3:$Z$306&gt;Z247)*(calc!$AA$3:$AA$306&lt;AA247)+(calc!$Z$3:$Z$306&lt;Z247)*(calc!$AA$3:$AA$306&gt;AA247))&gt;0)),0)</f>
        <v/>
      </c>
      <c r="AC247" s="5">
        <f>IF(mos_metrics!I246="","",mos_metrics!I246)</f>
        <v/>
      </c>
      <c r="AD247" s="2">
        <f>AND($J247,ISNUMBER(AC247),correlation!$I$28=1)</f>
        <v/>
      </c>
      <c r="AE247" s="5">
        <f>IF(AD247,$F247,"")</f>
        <v/>
      </c>
      <c r="AF247" s="5">
        <f>IF(AD247,AC247*correlation!$J$28,"")</f>
        <v/>
      </c>
      <c r="AG247" s="5">
        <f>IF(AND(AD247,ISNUMBER(correlation!$F$28)),AF247*correlation!$F$28+correlation!$G$28,"")</f>
        <v/>
      </c>
      <c r="AH247" s="5">
        <f>IF(AND(AD247,ISNUMBER(AG247)),(AE247-AG247)^2,"")</f>
        <v/>
      </c>
      <c r="AI247" s="5">
        <f>IF(AD247,1+SUMPRODUCT(--(calc!$AD$3:$AD$306=TRUE),--(calc!$AE$3:$AE$306&gt;AE247))+(SUMPRODUCT(--(calc!$AD$3:$AD$306=TRUE),--(calc!$AE$3:$AE$306=AE247))-1)/2,"")</f>
        <v/>
      </c>
      <c r="AJ247" s="5">
        <f>IF(AD247,1+SUMPRODUCT(--(calc!$AD$3:$AD$306=TRUE),--(calc!$AF$3:$AF$306&gt;AF247))+(SUMPRODUCT(--(calc!$AD$3:$AD$306=TRUE),--(calc!$AF$3:$AF$306=AF247))-1)/2,"")</f>
        <v/>
      </c>
      <c r="AK247" s="5">
        <f>IF(AD247,SUMPRODUCT(--(calc!$AD$3:$AD$306=TRUE),--(ROW(calc!$AD$3:$AD$306)&gt;ROW(AD247)),--(((calc!$AI$3:$AI$306&gt;AI247)*(calc!$AJ$3:$AJ$306&gt;AJ247)+(calc!$AI$3:$AI$306&lt;AI247)*(calc!$AJ$3:$AJ$306&lt;AJ247))&gt;0))-SUMPRODUCT(--(calc!$AD$3:$AD$306=TRUE),--(ROW(calc!$AD$3:$AD$306)&gt;ROW(AD247)),--(((calc!$AI$3:$AI$306&gt;AI247)*(calc!$AJ$3:$AJ$306&lt;AJ247)+(calc!$AI$3:$AI$306&lt;AI247)*(calc!$AJ$3:$AJ$306&gt;AJ247))&gt;0)),0)</f>
        <v/>
      </c>
      <c r="AL247" s="5">
        <f>IF(mos_metrics!J246="","",mos_metrics!J246)</f>
        <v/>
      </c>
      <c r="AM247" s="2">
        <f>AND($J247,ISNUMBER(AL247),correlation!$I$29=1)</f>
        <v/>
      </c>
      <c r="AN247" s="5">
        <f>IF(AM247,$F247,"")</f>
        <v/>
      </c>
      <c r="AO247" s="5">
        <f>IF(AM247,AL247*correlation!$J$29,"")</f>
        <v/>
      </c>
      <c r="AP247" s="5">
        <f>IF(AND(AM247,ISNUMBER(correlation!$F$29)),AO247*correlation!$F$29+correlation!$G$29,"")</f>
        <v/>
      </c>
      <c r="AQ247" s="5">
        <f>IF(AND(AM247,ISNUMBER(AP247)),(AN247-AP247)^2,"")</f>
        <v/>
      </c>
      <c r="AR247" s="5">
        <f>IF(AM247,1+SUMPRODUCT(--(calc!$AM$3:$AM$306=TRUE),--(calc!$AN$3:$AN$306&gt;AN247))+(SUMPRODUCT(--(calc!$AM$3:$AM$306=TRUE),--(calc!$AN$3:$AN$306=AN247))-1)/2,"")</f>
        <v/>
      </c>
      <c r="AS247" s="5">
        <f>IF(AM247,1+SUMPRODUCT(--(calc!$AM$3:$AM$306=TRUE),--(calc!$AO$3:$AO$306&gt;AO247))+(SUMPRODUCT(--(calc!$AM$3:$AM$306=TRUE),--(calc!$AO$3:$AO$306=AO247))-1)/2,"")</f>
        <v/>
      </c>
      <c r="AT247" s="5">
        <f>IF(AM247,SUMPRODUCT(--(calc!$AM$3:$AM$306=TRUE),--(ROW(calc!$AM$3:$AM$306)&gt;ROW(AM247)),--(((calc!$AR$3:$AR$306&gt;AR247)*(calc!$AS$3:$AS$306&gt;AS247)+(calc!$AR$3:$AR$306&lt;AR247)*(calc!$AS$3:$AS$306&lt;AS247))&gt;0))-SUMPRODUCT(--(calc!$AM$3:$AM$306=TRUE),--(ROW(calc!$AM$3:$AM$306)&gt;ROW(AM247)),--(((calc!$AR$3:$AR$306&gt;AR247)*(calc!$AS$3:$AS$306&lt;AS247)+(calc!$AR$3:$AR$306&lt;AR247)*(calc!$AS$3:$AS$306&gt;AS247))&gt;0)),0)</f>
        <v/>
      </c>
      <c r="AU247" s="5">
        <f>IF(mos_metrics!K246="","",mos_metrics!K246)</f>
        <v/>
      </c>
      <c r="AV247" s="2">
        <f>AND($J247,ISNUMBER(AU247),correlation!$I$30=1)</f>
        <v/>
      </c>
      <c r="AW247" s="5">
        <f>IF(AV247,$F247,"")</f>
        <v/>
      </c>
      <c r="AX247" s="5">
        <f>IF(AV247,AU247*correlation!$J$30,"")</f>
        <v/>
      </c>
      <c r="AY247" s="5">
        <f>IF(AND(AV247,ISNUMBER(correlation!$F$30)),AX247*correlation!$F$30+correlation!$G$30,"")</f>
        <v/>
      </c>
      <c r="AZ247" s="5">
        <f>IF(AND(AV247,ISNUMBER(AY247)),(AW247-AY247)^2,"")</f>
        <v/>
      </c>
      <c r="BA247" s="5">
        <f>IF(AV247,1+SUMPRODUCT(--(calc!$AV$3:$AV$306=TRUE),--(calc!$AW$3:$AW$306&gt;AW247))+(SUMPRODUCT(--(calc!$AV$3:$AV$306=TRUE),--(calc!$AW$3:$AW$306=AW247))-1)/2,"")</f>
        <v/>
      </c>
      <c r="BB247" s="5">
        <f>IF(AV247,1+SUMPRODUCT(--(calc!$AV$3:$AV$306=TRUE),--(calc!$AX$3:$AX$306&gt;AX247))+(SUMPRODUCT(--(calc!$AV$3:$AV$306=TRUE),--(calc!$AX$3:$AX$306=AX247))-1)/2,"")</f>
        <v/>
      </c>
      <c r="BC247" s="5">
        <f>IF(AV247,SUMPRODUCT(--(calc!$AV$3:$AV$306=TRUE),--(ROW(calc!$AV$3:$AV$306)&gt;ROW(AV247)),--(((calc!$BA$3:$BA$306&gt;BA247)*(calc!$BB$3:$BB$306&gt;BB247)+(calc!$BA$3:$BA$306&lt;BA247)*(calc!$BB$3:$BB$306&lt;BB247))&gt;0))-SUMPRODUCT(--(calc!$AV$3:$AV$306=TRUE),--(ROW(calc!$AV$3:$AV$306)&gt;ROW(AV247)),--(((calc!$BA$3:$BA$306&gt;BA247)*(calc!$BB$3:$BB$306&lt;BB247)+(calc!$BA$3:$BA$306&lt;BA247)*(calc!$BB$3:$BB$306&gt;BB247))&gt;0)),0)</f>
        <v/>
      </c>
      <c r="BD247" s="5">
        <f>IF(mos_metrics!L246="","",mos_metrics!L246)</f>
        <v/>
      </c>
      <c r="BE247" s="2">
        <f>AND($J247,ISNUMBER(BD247),correlation!$I$31=1)</f>
        <v/>
      </c>
      <c r="BF247" s="5">
        <f>IF(BE247,$F247,"")</f>
        <v/>
      </c>
      <c r="BG247" s="5">
        <f>IF(BE247,BD247*correlation!$J$31,"")</f>
        <v/>
      </c>
      <c r="BH247" s="5">
        <f>IF(AND(BE247,ISNUMBER(correlation!$F$31)),BG247*correlation!$F$31+correlation!$G$31,"")</f>
        <v/>
      </c>
      <c r="BI247" s="5">
        <f>IF(AND(BE247,ISNUMBER(BH247)),(BF247-BH247)^2,"")</f>
        <v/>
      </c>
      <c r="BJ247" s="5">
        <f>IF(BE247,1+SUMPRODUCT(--(calc!$BE$3:$BE$306=TRUE),--(calc!$BF$3:$BF$306&gt;BF247))+(SUMPRODUCT(--(calc!$BE$3:$BE$306=TRUE),--(calc!$BF$3:$BF$306=BF247))-1)/2,"")</f>
        <v/>
      </c>
      <c r="BK247" s="5">
        <f>IF(BE247,1+SUMPRODUCT(--(calc!$BE$3:$BE$306=TRUE),--(calc!$BG$3:$BG$306&gt;BG247))+(SUMPRODUCT(--(calc!$BE$3:$BE$306=TRUE),--(calc!$BG$3:$BG$306=BG247))-1)/2,"")</f>
        <v/>
      </c>
      <c r="BL247" s="5">
        <f>IF(BE247,SUMPRODUCT(--(calc!$BE$3:$BE$306=TRUE),--(ROW(calc!$BE$3:$BE$306)&gt;ROW(BE247)),--(((calc!$BJ$3:$BJ$306&gt;BJ247)*(calc!$BK$3:$BK$306&gt;BK247)+(calc!$BJ$3:$BJ$306&lt;BJ247)*(calc!$BK$3:$BK$306&lt;BK247))&gt;0))-SUMPRODUCT(--(calc!$BE$3:$BE$306=TRUE),--(ROW(calc!$BE$3:$BE$306)&gt;ROW(BE247)),--(((calc!$BJ$3:$BJ$306&gt;BJ247)*(calc!$BK$3:$BK$306&lt;BK247)+(calc!$BJ$3:$BJ$306&lt;BJ247)*(calc!$BK$3:$BK$306&gt;BK247))&gt;0)),0)</f>
        <v/>
      </c>
      <c r="BM247" s="5">
        <f>IF(mos_metrics!M246="","",mos_metrics!M246)</f>
        <v/>
      </c>
      <c r="BN247" s="2">
        <f>AND($J247,ISNUMBER(BM247),correlation!$I$32=1)</f>
        <v/>
      </c>
      <c r="BO247" s="5">
        <f>IF(BN247,$F247,"")</f>
        <v/>
      </c>
      <c r="BP247" s="5">
        <f>IF(BN247,BM247*correlation!$J$32,"")</f>
        <v/>
      </c>
      <c r="BQ247" s="5">
        <f>IF(AND(BN247,ISNUMBER(correlation!$F$32)),BP247*correlation!$F$32+correlation!$G$32,"")</f>
        <v/>
      </c>
      <c r="BR247" s="5">
        <f>IF(AND(BN247,ISNUMBER(BQ247)),(BO247-BQ247)^2,"")</f>
        <v/>
      </c>
      <c r="BS247" s="5">
        <f>IF(BN247,1+SUMPRODUCT(--(calc!$BN$3:$BN$306=TRUE),--(calc!$BO$3:$BO$306&gt;BO247))+(SUMPRODUCT(--(calc!$BN$3:$BN$306=TRUE),--(calc!$BO$3:$BO$306=BO247))-1)/2,"")</f>
        <v/>
      </c>
      <c r="BT247" s="5">
        <f>IF(BN247,1+SUMPRODUCT(--(calc!$BN$3:$BN$306=TRUE),--(calc!$BP$3:$BP$306&gt;BP247))+(SUMPRODUCT(--(calc!$BN$3:$BN$306=TRUE),--(calc!$BP$3:$BP$306=BP247))-1)/2,"")</f>
        <v/>
      </c>
      <c r="BU247" s="5">
        <f>IF(BN247,SUMPRODUCT(--(calc!$BN$3:$BN$306=TRUE),--(ROW(calc!$BN$3:$BN$306)&gt;ROW(BN247)),--(((calc!$BS$3:$BS$306&gt;BS247)*(calc!$BT$3:$BT$306&gt;BT247)+(calc!$BS$3:$BS$306&lt;BS247)*(calc!$BT$3:$BT$306&lt;BT247))&gt;0))-SUMPRODUCT(--(calc!$BN$3:$BN$306=TRUE),--(ROW(calc!$BN$3:$BN$306)&gt;ROW(BN247)),--(((calc!$BS$3:$BS$306&gt;BS247)*(calc!$BT$3:$BT$306&lt;BT247)+(calc!$BS$3:$BS$306&lt;BS247)*(calc!$BT$3:$BT$306&gt;BT247))&gt;0)),0)</f>
        <v/>
      </c>
    </row>
    <row r="248">
      <c r="A248" s="2">
        <f>mos_metrics!A247</f>
        <v/>
      </c>
      <c r="B248" s="2">
        <f>mos_metrics!B247</f>
        <v/>
      </c>
      <c r="C248" s="2">
        <f>mos_metrics!C247</f>
        <v/>
      </c>
      <c r="D248" s="2">
        <f>mos_metrics!D247</f>
        <v/>
      </c>
      <c r="E248" s="2">
        <f>mos_metrics!E247</f>
        <v/>
      </c>
      <c r="F248" s="2">
        <f>mos_metrics!F247</f>
        <v/>
      </c>
      <c r="G248" s="2">
        <f>IF($B248="","",IFERROR(VLOOKUP($B248,correlation!$A$2:$B$16,2,FALSE),1))</f>
        <v/>
      </c>
      <c r="H248" s="2">
        <f>IF($E248="","",IFERROR(VLOOKUP($E248,correlation!$D$2:$E$8,2,FALSE),1))</f>
        <v/>
      </c>
      <c r="I248" s="2">
        <f>ISNUMBER($F248)</f>
        <v/>
      </c>
      <c r="J248" s="2">
        <f>AND($G248=1,$H248=1,$I248)</f>
        <v/>
      </c>
      <c r="K248" s="5">
        <f>IF(mos_metrics!G247="","",mos_metrics!G247)</f>
        <v/>
      </c>
      <c r="L248" s="2">
        <f>AND($J248,ISNUMBER(K248),correlation!$I$26=1)</f>
        <v/>
      </c>
      <c r="M248" s="5">
        <f>IF(L248,$F248,"")</f>
        <v/>
      </c>
      <c r="N248" s="5">
        <f>IF(L248,K248*correlation!$J$26,"")</f>
        <v/>
      </c>
      <c r="O248" s="5">
        <f>IF(AND(L248,ISNUMBER(correlation!$F$26)),N248*correlation!$F$26+correlation!$G$26,"")</f>
        <v/>
      </c>
      <c r="P248" s="5">
        <f>IF(AND(L248,ISNUMBER(O248)),(M248-O248)^2,"")</f>
        <v/>
      </c>
      <c r="Q248" s="5">
        <f>IF(L248,1+SUMPRODUCT(--(calc!$L$3:$L$306=TRUE),--(calc!$M$3:$M$306&gt;M248))+(SUMPRODUCT(--(calc!$L$3:$L$306=TRUE),--(calc!$M$3:$M$306=M248))-1)/2,"")</f>
        <v/>
      </c>
      <c r="R248" s="5">
        <f>IF(L248,1+SUMPRODUCT(--(calc!$L$3:$L$306=TRUE),--(calc!$N$3:$N$306&gt;N248))+(SUMPRODUCT(--(calc!$L$3:$L$306=TRUE),--(calc!$N$3:$N$306=N248))-1)/2,"")</f>
        <v/>
      </c>
      <c r="S248" s="5">
        <f>IF(L248,SUMPRODUCT(--(calc!$L$3:$L$306=TRUE),--(ROW(calc!$L$3:$L$306)&gt;ROW(L248)),--(((calc!$Q$3:$Q$306&gt;Q248)*(calc!$R$3:$R$306&gt;R248)+(calc!$Q$3:$Q$306&lt;Q248)*(calc!$R$3:$R$306&lt;R248))&gt;0))-SUMPRODUCT(--(calc!$L$3:$L$306=TRUE),--(ROW(calc!$L$3:$L$306)&gt;ROW(L248)),--(((calc!$Q$3:$Q$306&gt;Q248)*(calc!$R$3:$R$306&lt;R248)+(calc!$Q$3:$Q$306&lt;Q248)*(calc!$R$3:$R$306&gt;R248))&gt;0)),0)</f>
        <v/>
      </c>
      <c r="T248" s="5">
        <f>IF(mos_metrics!H247="","",mos_metrics!H247)</f>
        <v/>
      </c>
      <c r="U248" s="2">
        <f>AND($J248,ISNUMBER(T248),correlation!$I$27=1)</f>
        <v/>
      </c>
      <c r="V248" s="5">
        <f>IF(U248,$F248,"")</f>
        <v/>
      </c>
      <c r="W248" s="5">
        <f>IF(U248,T248*correlation!$J$27,"")</f>
        <v/>
      </c>
      <c r="X248" s="5">
        <f>IF(AND(U248,ISNUMBER(correlation!$F$27)),W248*correlation!$F$27+correlation!$G$27,"")</f>
        <v/>
      </c>
      <c r="Y248" s="5">
        <f>IF(AND(U248,ISNUMBER(X248)),(V248-X248)^2,"")</f>
        <v/>
      </c>
      <c r="Z248" s="5">
        <f>IF(U248,1+SUMPRODUCT(--(calc!$U$3:$U$306=TRUE),--(calc!$V$3:$V$306&gt;V248))+(SUMPRODUCT(--(calc!$U$3:$U$306=TRUE),--(calc!$V$3:$V$306=V248))-1)/2,"")</f>
        <v/>
      </c>
      <c r="AA248" s="5">
        <f>IF(U248,1+SUMPRODUCT(--(calc!$U$3:$U$306=TRUE),--(calc!$W$3:$W$306&gt;W248))+(SUMPRODUCT(--(calc!$U$3:$U$306=TRUE),--(calc!$W$3:$W$306=W248))-1)/2,"")</f>
        <v/>
      </c>
      <c r="AB248" s="5">
        <f>IF(U248,SUMPRODUCT(--(calc!$U$3:$U$306=TRUE),--(ROW(calc!$U$3:$U$306)&gt;ROW(U248)),--(((calc!$Z$3:$Z$306&gt;Z248)*(calc!$AA$3:$AA$306&gt;AA248)+(calc!$Z$3:$Z$306&lt;Z248)*(calc!$AA$3:$AA$306&lt;AA248))&gt;0))-SUMPRODUCT(--(calc!$U$3:$U$306=TRUE),--(ROW(calc!$U$3:$U$306)&gt;ROW(U248)),--(((calc!$Z$3:$Z$306&gt;Z248)*(calc!$AA$3:$AA$306&lt;AA248)+(calc!$Z$3:$Z$306&lt;Z248)*(calc!$AA$3:$AA$306&gt;AA248))&gt;0)),0)</f>
        <v/>
      </c>
      <c r="AC248" s="5">
        <f>IF(mos_metrics!I247="","",mos_metrics!I247)</f>
        <v/>
      </c>
      <c r="AD248" s="2">
        <f>AND($J248,ISNUMBER(AC248),correlation!$I$28=1)</f>
        <v/>
      </c>
      <c r="AE248" s="5">
        <f>IF(AD248,$F248,"")</f>
        <v/>
      </c>
      <c r="AF248" s="5">
        <f>IF(AD248,AC248*correlation!$J$28,"")</f>
        <v/>
      </c>
      <c r="AG248" s="5">
        <f>IF(AND(AD248,ISNUMBER(correlation!$F$28)),AF248*correlation!$F$28+correlation!$G$28,"")</f>
        <v/>
      </c>
      <c r="AH248" s="5">
        <f>IF(AND(AD248,ISNUMBER(AG248)),(AE248-AG248)^2,"")</f>
        <v/>
      </c>
      <c r="AI248" s="5">
        <f>IF(AD248,1+SUMPRODUCT(--(calc!$AD$3:$AD$306=TRUE),--(calc!$AE$3:$AE$306&gt;AE248))+(SUMPRODUCT(--(calc!$AD$3:$AD$306=TRUE),--(calc!$AE$3:$AE$306=AE248))-1)/2,"")</f>
        <v/>
      </c>
      <c r="AJ248" s="5">
        <f>IF(AD248,1+SUMPRODUCT(--(calc!$AD$3:$AD$306=TRUE),--(calc!$AF$3:$AF$306&gt;AF248))+(SUMPRODUCT(--(calc!$AD$3:$AD$306=TRUE),--(calc!$AF$3:$AF$306=AF248))-1)/2,"")</f>
        <v/>
      </c>
      <c r="AK248" s="5">
        <f>IF(AD248,SUMPRODUCT(--(calc!$AD$3:$AD$306=TRUE),--(ROW(calc!$AD$3:$AD$306)&gt;ROW(AD248)),--(((calc!$AI$3:$AI$306&gt;AI248)*(calc!$AJ$3:$AJ$306&gt;AJ248)+(calc!$AI$3:$AI$306&lt;AI248)*(calc!$AJ$3:$AJ$306&lt;AJ248))&gt;0))-SUMPRODUCT(--(calc!$AD$3:$AD$306=TRUE),--(ROW(calc!$AD$3:$AD$306)&gt;ROW(AD248)),--(((calc!$AI$3:$AI$306&gt;AI248)*(calc!$AJ$3:$AJ$306&lt;AJ248)+(calc!$AI$3:$AI$306&lt;AI248)*(calc!$AJ$3:$AJ$306&gt;AJ248))&gt;0)),0)</f>
        <v/>
      </c>
      <c r="AL248" s="5">
        <f>IF(mos_metrics!J247="","",mos_metrics!J247)</f>
        <v/>
      </c>
      <c r="AM248" s="2">
        <f>AND($J248,ISNUMBER(AL248),correlation!$I$29=1)</f>
        <v/>
      </c>
      <c r="AN248" s="5">
        <f>IF(AM248,$F248,"")</f>
        <v/>
      </c>
      <c r="AO248" s="5">
        <f>IF(AM248,AL248*correlation!$J$29,"")</f>
        <v/>
      </c>
      <c r="AP248" s="5">
        <f>IF(AND(AM248,ISNUMBER(correlation!$F$29)),AO248*correlation!$F$29+correlation!$G$29,"")</f>
        <v/>
      </c>
      <c r="AQ248" s="5">
        <f>IF(AND(AM248,ISNUMBER(AP248)),(AN248-AP248)^2,"")</f>
        <v/>
      </c>
      <c r="AR248" s="5">
        <f>IF(AM248,1+SUMPRODUCT(--(calc!$AM$3:$AM$306=TRUE),--(calc!$AN$3:$AN$306&gt;AN248))+(SUMPRODUCT(--(calc!$AM$3:$AM$306=TRUE),--(calc!$AN$3:$AN$306=AN248))-1)/2,"")</f>
        <v/>
      </c>
      <c r="AS248" s="5">
        <f>IF(AM248,1+SUMPRODUCT(--(calc!$AM$3:$AM$306=TRUE),--(calc!$AO$3:$AO$306&gt;AO248))+(SUMPRODUCT(--(calc!$AM$3:$AM$306=TRUE),--(calc!$AO$3:$AO$306=AO248))-1)/2,"")</f>
        <v/>
      </c>
      <c r="AT248" s="5">
        <f>IF(AM248,SUMPRODUCT(--(calc!$AM$3:$AM$306=TRUE),--(ROW(calc!$AM$3:$AM$306)&gt;ROW(AM248)),--(((calc!$AR$3:$AR$306&gt;AR248)*(calc!$AS$3:$AS$306&gt;AS248)+(calc!$AR$3:$AR$306&lt;AR248)*(calc!$AS$3:$AS$306&lt;AS248))&gt;0))-SUMPRODUCT(--(calc!$AM$3:$AM$306=TRUE),--(ROW(calc!$AM$3:$AM$306)&gt;ROW(AM248)),--(((calc!$AR$3:$AR$306&gt;AR248)*(calc!$AS$3:$AS$306&lt;AS248)+(calc!$AR$3:$AR$306&lt;AR248)*(calc!$AS$3:$AS$306&gt;AS248))&gt;0)),0)</f>
        <v/>
      </c>
      <c r="AU248" s="5">
        <f>IF(mos_metrics!K247="","",mos_metrics!K247)</f>
        <v/>
      </c>
      <c r="AV248" s="2">
        <f>AND($J248,ISNUMBER(AU248),correlation!$I$30=1)</f>
        <v/>
      </c>
      <c r="AW248" s="5">
        <f>IF(AV248,$F248,"")</f>
        <v/>
      </c>
      <c r="AX248" s="5">
        <f>IF(AV248,AU248*correlation!$J$30,"")</f>
        <v/>
      </c>
      <c r="AY248" s="5">
        <f>IF(AND(AV248,ISNUMBER(correlation!$F$30)),AX248*correlation!$F$30+correlation!$G$30,"")</f>
        <v/>
      </c>
      <c r="AZ248" s="5">
        <f>IF(AND(AV248,ISNUMBER(AY248)),(AW248-AY248)^2,"")</f>
        <v/>
      </c>
      <c r="BA248" s="5">
        <f>IF(AV248,1+SUMPRODUCT(--(calc!$AV$3:$AV$306=TRUE),--(calc!$AW$3:$AW$306&gt;AW248))+(SUMPRODUCT(--(calc!$AV$3:$AV$306=TRUE),--(calc!$AW$3:$AW$306=AW248))-1)/2,"")</f>
        <v/>
      </c>
      <c r="BB248" s="5">
        <f>IF(AV248,1+SUMPRODUCT(--(calc!$AV$3:$AV$306=TRUE),--(calc!$AX$3:$AX$306&gt;AX248))+(SUMPRODUCT(--(calc!$AV$3:$AV$306=TRUE),--(calc!$AX$3:$AX$306=AX248))-1)/2,"")</f>
        <v/>
      </c>
      <c r="BC248" s="5">
        <f>IF(AV248,SUMPRODUCT(--(calc!$AV$3:$AV$306=TRUE),--(ROW(calc!$AV$3:$AV$306)&gt;ROW(AV248)),--(((calc!$BA$3:$BA$306&gt;BA248)*(calc!$BB$3:$BB$306&gt;BB248)+(calc!$BA$3:$BA$306&lt;BA248)*(calc!$BB$3:$BB$306&lt;BB248))&gt;0))-SUMPRODUCT(--(calc!$AV$3:$AV$306=TRUE),--(ROW(calc!$AV$3:$AV$306)&gt;ROW(AV248)),--(((calc!$BA$3:$BA$306&gt;BA248)*(calc!$BB$3:$BB$306&lt;BB248)+(calc!$BA$3:$BA$306&lt;BA248)*(calc!$BB$3:$BB$306&gt;BB248))&gt;0)),0)</f>
        <v/>
      </c>
      <c r="BD248" s="5">
        <f>IF(mos_metrics!L247="","",mos_metrics!L247)</f>
        <v/>
      </c>
      <c r="BE248" s="2">
        <f>AND($J248,ISNUMBER(BD248),correlation!$I$31=1)</f>
        <v/>
      </c>
      <c r="BF248" s="5">
        <f>IF(BE248,$F248,"")</f>
        <v/>
      </c>
      <c r="BG248" s="5">
        <f>IF(BE248,BD248*correlation!$J$31,"")</f>
        <v/>
      </c>
      <c r="BH248" s="5">
        <f>IF(AND(BE248,ISNUMBER(correlation!$F$31)),BG248*correlation!$F$31+correlation!$G$31,"")</f>
        <v/>
      </c>
      <c r="BI248" s="5">
        <f>IF(AND(BE248,ISNUMBER(BH248)),(BF248-BH248)^2,"")</f>
        <v/>
      </c>
      <c r="BJ248" s="5">
        <f>IF(BE248,1+SUMPRODUCT(--(calc!$BE$3:$BE$306=TRUE),--(calc!$BF$3:$BF$306&gt;BF248))+(SUMPRODUCT(--(calc!$BE$3:$BE$306=TRUE),--(calc!$BF$3:$BF$306=BF248))-1)/2,"")</f>
        <v/>
      </c>
      <c r="BK248" s="5">
        <f>IF(BE248,1+SUMPRODUCT(--(calc!$BE$3:$BE$306=TRUE),--(calc!$BG$3:$BG$306&gt;BG248))+(SUMPRODUCT(--(calc!$BE$3:$BE$306=TRUE),--(calc!$BG$3:$BG$306=BG248))-1)/2,"")</f>
        <v/>
      </c>
      <c r="BL248" s="5">
        <f>IF(BE248,SUMPRODUCT(--(calc!$BE$3:$BE$306=TRUE),--(ROW(calc!$BE$3:$BE$306)&gt;ROW(BE248)),--(((calc!$BJ$3:$BJ$306&gt;BJ248)*(calc!$BK$3:$BK$306&gt;BK248)+(calc!$BJ$3:$BJ$306&lt;BJ248)*(calc!$BK$3:$BK$306&lt;BK248))&gt;0))-SUMPRODUCT(--(calc!$BE$3:$BE$306=TRUE),--(ROW(calc!$BE$3:$BE$306)&gt;ROW(BE248)),--(((calc!$BJ$3:$BJ$306&gt;BJ248)*(calc!$BK$3:$BK$306&lt;BK248)+(calc!$BJ$3:$BJ$306&lt;BJ248)*(calc!$BK$3:$BK$306&gt;BK248))&gt;0)),0)</f>
        <v/>
      </c>
      <c r="BM248" s="5">
        <f>IF(mos_metrics!M247="","",mos_metrics!M247)</f>
        <v/>
      </c>
      <c r="BN248" s="2">
        <f>AND($J248,ISNUMBER(BM248),correlation!$I$32=1)</f>
        <v/>
      </c>
      <c r="BO248" s="5">
        <f>IF(BN248,$F248,"")</f>
        <v/>
      </c>
      <c r="BP248" s="5">
        <f>IF(BN248,BM248*correlation!$J$32,"")</f>
        <v/>
      </c>
      <c r="BQ248" s="5">
        <f>IF(AND(BN248,ISNUMBER(correlation!$F$32)),BP248*correlation!$F$32+correlation!$G$32,"")</f>
        <v/>
      </c>
      <c r="BR248" s="5">
        <f>IF(AND(BN248,ISNUMBER(BQ248)),(BO248-BQ248)^2,"")</f>
        <v/>
      </c>
      <c r="BS248" s="5">
        <f>IF(BN248,1+SUMPRODUCT(--(calc!$BN$3:$BN$306=TRUE),--(calc!$BO$3:$BO$306&gt;BO248))+(SUMPRODUCT(--(calc!$BN$3:$BN$306=TRUE),--(calc!$BO$3:$BO$306=BO248))-1)/2,"")</f>
        <v/>
      </c>
      <c r="BT248" s="5">
        <f>IF(BN248,1+SUMPRODUCT(--(calc!$BN$3:$BN$306=TRUE),--(calc!$BP$3:$BP$306&gt;BP248))+(SUMPRODUCT(--(calc!$BN$3:$BN$306=TRUE),--(calc!$BP$3:$BP$306=BP248))-1)/2,"")</f>
        <v/>
      </c>
      <c r="BU248" s="5">
        <f>IF(BN248,SUMPRODUCT(--(calc!$BN$3:$BN$306=TRUE),--(ROW(calc!$BN$3:$BN$306)&gt;ROW(BN248)),--(((calc!$BS$3:$BS$306&gt;BS248)*(calc!$BT$3:$BT$306&gt;BT248)+(calc!$BS$3:$BS$306&lt;BS248)*(calc!$BT$3:$BT$306&lt;BT248))&gt;0))-SUMPRODUCT(--(calc!$BN$3:$BN$306=TRUE),--(ROW(calc!$BN$3:$BN$306)&gt;ROW(BN248)),--(((calc!$BS$3:$BS$306&gt;BS248)*(calc!$BT$3:$BT$306&lt;BT248)+(calc!$BS$3:$BS$306&lt;BS248)*(calc!$BT$3:$BT$306&gt;BT248))&gt;0)),0)</f>
        <v/>
      </c>
    </row>
    <row r="249">
      <c r="A249" s="2">
        <f>mos_metrics!A248</f>
        <v/>
      </c>
      <c r="B249" s="2">
        <f>mos_metrics!B248</f>
        <v/>
      </c>
      <c r="C249" s="2">
        <f>mos_metrics!C248</f>
        <v/>
      </c>
      <c r="D249" s="2">
        <f>mos_metrics!D248</f>
        <v/>
      </c>
      <c r="E249" s="2">
        <f>mos_metrics!E248</f>
        <v/>
      </c>
      <c r="F249" s="2">
        <f>mos_metrics!F248</f>
        <v/>
      </c>
      <c r="G249" s="2">
        <f>IF($B249="","",IFERROR(VLOOKUP($B249,correlation!$A$2:$B$16,2,FALSE),1))</f>
        <v/>
      </c>
      <c r="H249" s="2">
        <f>IF($E249="","",IFERROR(VLOOKUP($E249,correlation!$D$2:$E$8,2,FALSE),1))</f>
        <v/>
      </c>
      <c r="I249" s="2">
        <f>ISNUMBER($F249)</f>
        <v/>
      </c>
      <c r="J249" s="2">
        <f>AND($G249=1,$H249=1,$I249)</f>
        <v/>
      </c>
      <c r="K249" s="5">
        <f>IF(mos_metrics!G248="","",mos_metrics!G248)</f>
        <v/>
      </c>
      <c r="L249" s="2">
        <f>AND($J249,ISNUMBER(K249),correlation!$I$26=1)</f>
        <v/>
      </c>
      <c r="M249" s="5">
        <f>IF(L249,$F249,"")</f>
        <v/>
      </c>
      <c r="N249" s="5">
        <f>IF(L249,K249*correlation!$J$26,"")</f>
        <v/>
      </c>
      <c r="O249" s="5">
        <f>IF(AND(L249,ISNUMBER(correlation!$F$26)),N249*correlation!$F$26+correlation!$G$26,"")</f>
        <v/>
      </c>
      <c r="P249" s="5">
        <f>IF(AND(L249,ISNUMBER(O249)),(M249-O249)^2,"")</f>
        <v/>
      </c>
      <c r="Q249" s="5">
        <f>IF(L249,1+SUMPRODUCT(--(calc!$L$3:$L$306=TRUE),--(calc!$M$3:$M$306&gt;M249))+(SUMPRODUCT(--(calc!$L$3:$L$306=TRUE),--(calc!$M$3:$M$306=M249))-1)/2,"")</f>
        <v/>
      </c>
      <c r="R249" s="5">
        <f>IF(L249,1+SUMPRODUCT(--(calc!$L$3:$L$306=TRUE),--(calc!$N$3:$N$306&gt;N249))+(SUMPRODUCT(--(calc!$L$3:$L$306=TRUE),--(calc!$N$3:$N$306=N249))-1)/2,"")</f>
        <v/>
      </c>
      <c r="S249" s="5">
        <f>IF(L249,SUMPRODUCT(--(calc!$L$3:$L$306=TRUE),--(ROW(calc!$L$3:$L$306)&gt;ROW(L249)),--(((calc!$Q$3:$Q$306&gt;Q249)*(calc!$R$3:$R$306&gt;R249)+(calc!$Q$3:$Q$306&lt;Q249)*(calc!$R$3:$R$306&lt;R249))&gt;0))-SUMPRODUCT(--(calc!$L$3:$L$306=TRUE),--(ROW(calc!$L$3:$L$306)&gt;ROW(L249)),--(((calc!$Q$3:$Q$306&gt;Q249)*(calc!$R$3:$R$306&lt;R249)+(calc!$Q$3:$Q$306&lt;Q249)*(calc!$R$3:$R$306&gt;R249))&gt;0)),0)</f>
        <v/>
      </c>
      <c r="T249" s="5">
        <f>IF(mos_metrics!H248="","",mos_metrics!H248)</f>
        <v/>
      </c>
      <c r="U249" s="2">
        <f>AND($J249,ISNUMBER(T249),correlation!$I$27=1)</f>
        <v/>
      </c>
      <c r="V249" s="5">
        <f>IF(U249,$F249,"")</f>
        <v/>
      </c>
      <c r="W249" s="5">
        <f>IF(U249,T249*correlation!$J$27,"")</f>
        <v/>
      </c>
      <c r="X249" s="5">
        <f>IF(AND(U249,ISNUMBER(correlation!$F$27)),W249*correlation!$F$27+correlation!$G$27,"")</f>
        <v/>
      </c>
      <c r="Y249" s="5">
        <f>IF(AND(U249,ISNUMBER(X249)),(V249-X249)^2,"")</f>
        <v/>
      </c>
      <c r="Z249" s="5">
        <f>IF(U249,1+SUMPRODUCT(--(calc!$U$3:$U$306=TRUE),--(calc!$V$3:$V$306&gt;V249))+(SUMPRODUCT(--(calc!$U$3:$U$306=TRUE),--(calc!$V$3:$V$306=V249))-1)/2,"")</f>
        <v/>
      </c>
      <c r="AA249" s="5">
        <f>IF(U249,1+SUMPRODUCT(--(calc!$U$3:$U$306=TRUE),--(calc!$W$3:$W$306&gt;W249))+(SUMPRODUCT(--(calc!$U$3:$U$306=TRUE),--(calc!$W$3:$W$306=W249))-1)/2,"")</f>
        <v/>
      </c>
      <c r="AB249" s="5">
        <f>IF(U249,SUMPRODUCT(--(calc!$U$3:$U$306=TRUE),--(ROW(calc!$U$3:$U$306)&gt;ROW(U249)),--(((calc!$Z$3:$Z$306&gt;Z249)*(calc!$AA$3:$AA$306&gt;AA249)+(calc!$Z$3:$Z$306&lt;Z249)*(calc!$AA$3:$AA$306&lt;AA249))&gt;0))-SUMPRODUCT(--(calc!$U$3:$U$306=TRUE),--(ROW(calc!$U$3:$U$306)&gt;ROW(U249)),--(((calc!$Z$3:$Z$306&gt;Z249)*(calc!$AA$3:$AA$306&lt;AA249)+(calc!$Z$3:$Z$306&lt;Z249)*(calc!$AA$3:$AA$306&gt;AA249))&gt;0)),0)</f>
        <v/>
      </c>
      <c r="AC249" s="5">
        <f>IF(mos_metrics!I248="","",mos_metrics!I248)</f>
        <v/>
      </c>
      <c r="AD249" s="2">
        <f>AND($J249,ISNUMBER(AC249),correlation!$I$28=1)</f>
        <v/>
      </c>
      <c r="AE249" s="5">
        <f>IF(AD249,$F249,"")</f>
        <v/>
      </c>
      <c r="AF249" s="5">
        <f>IF(AD249,AC249*correlation!$J$28,"")</f>
        <v/>
      </c>
      <c r="AG249" s="5">
        <f>IF(AND(AD249,ISNUMBER(correlation!$F$28)),AF249*correlation!$F$28+correlation!$G$28,"")</f>
        <v/>
      </c>
      <c r="AH249" s="5">
        <f>IF(AND(AD249,ISNUMBER(AG249)),(AE249-AG249)^2,"")</f>
        <v/>
      </c>
      <c r="AI249" s="5">
        <f>IF(AD249,1+SUMPRODUCT(--(calc!$AD$3:$AD$306=TRUE),--(calc!$AE$3:$AE$306&gt;AE249))+(SUMPRODUCT(--(calc!$AD$3:$AD$306=TRUE),--(calc!$AE$3:$AE$306=AE249))-1)/2,"")</f>
        <v/>
      </c>
      <c r="AJ249" s="5">
        <f>IF(AD249,1+SUMPRODUCT(--(calc!$AD$3:$AD$306=TRUE),--(calc!$AF$3:$AF$306&gt;AF249))+(SUMPRODUCT(--(calc!$AD$3:$AD$306=TRUE),--(calc!$AF$3:$AF$306=AF249))-1)/2,"")</f>
        <v/>
      </c>
      <c r="AK249" s="5">
        <f>IF(AD249,SUMPRODUCT(--(calc!$AD$3:$AD$306=TRUE),--(ROW(calc!$AD$3:$AD$306)&gt;ROW(AD249)),--(((calc!$AI$3:$AI$306&gt;AI249)*(calc!$AJ$3:$AJ$306&gt;AJ249)+(calc!$AI$3:$AI$306&lt;AI249)*(calc!$AJ$3:$AJ$306&lt;AJ249))&gt;0))-SUMPRODUCT(--(calc!$AD$3:$AD$306=TRUE),--(ROW(calc!$AD$3:$AD$306)&gt;ROW(AD249)),--(((calc!$AI$3:$AI$306&gt;AI249)*(calc!$AJ$3:$AJ$306&lt;AJ249)+(calc!$AI$3:$AI$306&lt;AI249)*(calc!$AJ$3:$AJ$306&gt;AJ249))&gt;0)),0)</f>
        <v/>
      </c>
      <c r="AL249" s="5">
        <f>IF(mos_metrics!J248="","",mos_metrics!J248)</f>
        <v/>
      </c>
      <c r="AM249" s="2">
        <f>AND($J249,ISNUMBER(AL249),correlation!$I$29=1)</f>
        <v/>
      </c>
      <c r="AN249" s="5">
        <f>IF(AM249,$F249,"")</f>
        <v/>
      </c>
      <c r="AO249" s="5">
        <f>IF(AM249,AL249*correlation!$J$29,"")</f>
        <v/>
      </c>
      <c r="AP249" s="5">
        <f>IF(AND(AM249,ISNUMBER(correlation!$F$29)),AO249*correlation!$F$29+correlation!$G$29,"")</f>
        <v/>
      </c>
      <c r="AQ249" s="5">
        <f>IF(AND(AM249,ISNUMBER(AP249)),(AN249-AP249)^2,"")</f>
        <v/>
      </c>
      <c r="AR249" s="5">
        <f>IF(AM249,1+SUMPRODUCT(--(calc!$AM$3:$AM$306=TRUE),--(calc!$AN$3:$AN$306&gt;AN249))+(SUMPRODUCT(--(calc!$AM$3:$AM$306=TRUE),--(calc!$AN$3:$AN$306=AN249))-1)/2,"")</f>
        <v/>
      </c>
      <c r="AS249" s="5">
        <f>IF(AM249,1+SUMPRODUCT(--(calc!$AM$3:$AM$306=TRUE),--(calc!$AO$3:$AO$306&gt;AO249))+(SUMPRODUCT(--(calc!$AM$3:$AM$306=TRUE),--(calc!$AO$3:$AO$306=AO249))-1)/2,"")</f>
        <v/>
      </c>
      <c r="AT249" s="5">
        <f>IF(AM249,SUMPRODUCT(--(calc!$AM$3:$AM$306=TRUE),--(ROW(calc!$AM$3:$AM$306)&gt;ROW(AM249)),--(((calc!$AR$3:$AR$306&gt;AR249)*(calc!$AS$3:$AS$306&gt;AS249)+(calc!$AR$3:$AR$306&lt;AR249)*(calc!$AS$3:$AS$306&lt;AS249))&gt;0))-SUMPRODUCT(--(calc!$AM$3:$AM$306=TRUE),--(ROW(calc!$AM$3:$AM$306)&gt;ROW(AM249)),--(((calc!$AR$3:$AR$306&gt;AR249)*(calc!$AS$3:$AS$306&lt;AS249)+(calc!$AR$3:$AR$306&lt;AR249)*(calc!$AS$3:$AS$306&gt;AS249))&gt;0)),0)</f>
        <v/>
      </c>
      <c r="AU249" s="5">
        <f>IF(mos_metrics!K248="","",mos_metrics!K248)</f>
        <v/>
      </c>
      <c r="AV249" s="2">
        <f>AND($J249,ISNUMBER(AU249),correlation!$I$30=1)</f>
        <v/>
      </c>
      <c r="AW249" s="5">
        <f>IF(AV249,$F249,"")</f>
        <v/>
      </c>
      <c r="AX249" s="5">
        <f>IF(AV249,AU249*correlation!$J$30,"")</f>
        <v/>
      </c>
      <c r="AY249" s="5">
        <f>IF(AND(AV249,ISNUMBER(correlation!$F$30)),AX249*correlation!$F$30+correlation!$G$30,"")</f>
        <v/>
      </c>
      <c r="AZ249" s="5">
        <f>IF(AND(AV249,ISNUMBER(AY249)),(AW249-AY249)^2,"")</f>
        <v/>
      </c>
      <c r="BA249" s="5">
        <f>IF(AV249,1+SUMPRODUCT(--(calc!$AV$3:$AV$306=TRUE),--(calc!$AW$3:$AW$306&gt;AW249))+(SUMPRODUCT(--(calc!$AV$3:$AV$306=TRUE),--(calc!$AW$3:$AW$306=AW249))-1)/2,"")</f>
        <v/>
      </c>
      <c r="BB249" s="5">
        <f>IF(AV249,1+SUMPRODUCT(--(calc!$AV$3:$AV$306=TRUE),--(calc!$AX$3:$AX$306&gt;AX249))+(SUMPRODUCT(--(calc!$AV$3:$AV$306=TRUE),--(calc!$AX$3:$AX$306=AX249))-1)/2,"")</f>
        <v/>
      </c>
      <c r="BC249" s="5">
        <f>IF(AV249,SUMPRODUCT(--(calc!$AV$3:$AV$306=TRUE),--(ROW(calc!$AV$3:$AV$306)&gt;ROW(AV249)),--(((calc!$BA$3:$BA$306&gt;BA249)*(calc!$BB$3:$BB$306&gt;BB249)+(calc!$BA$3:$BA$306&lt;BA249)*(calc!$BB$3:$BB$306&lt;BB249))&gt;0))-SUMPRODUCT(--(calc!$AV$3:$AV$306=TRUE),--(ROW(calc!$AV$3:$AV$306)&gt;ROW(AV249)),--(((calc!$BA$3:$BA$306&gt;BA249)*(calc!$BB$3:$BB$306&lt;BB249)+(calc!$BA$3:$BA$306&lt;BA249)*(calc!$BB$3:$BB$306&gt;BB249))&gt;0)),0)</f>
        <v/>
      </c>
      <c r="BD249" s="5">
        <f>IF(mos_metrics!L248="","",mos_metrics!L248)</f>
        <v/>
      </c>
      <c r="BE249" s="2">
        <f>AND($J249,ISNUMBER(BD249),correlation!$I$31=1)</f>
        <v/>
      </c>
      <c r="BF249" s="5">
        <f>IF(BE249,$F249,"")</f>
        <v/>
      </c>
      <c r="BG249" s="5">
        <f>IF(BE249,BD249*correlation!$J$31,"")</f>
        <v/>
      </c>
      <c r="BH249" s="5">
        <f>IF(AND(BE249,ISNUMBER(correlation!$F$31)),BG249*correlation!$F$31+correlation!$G$31,"")</f>
        <v/>
      </c>
      <c r="BI249" s="5">
        <f>IF(AND(BE249,ISNUMBER(BH249)),(BF249-BH249)^2,"")</f>
        <v/>
      </c>
      <c r="BJ249" s="5">
        <f>IF(BE249,1+SUMPRODUCT(--(calc!$BE$3:$BE$306=TRUE),--(calc!$BF$3:$BF$306&gt;BF249))+(SUMPRODUCT(--(calc!$BE$3:$BE$306=TRUE),--(calc!$BF$3:$BF$306=BF249))-1)/2,"")</f>
        <v/>
      </c>
      <c r="BK249" s="5">
        <f>IF(BE249,1+SUMPRODUCT(--(calc!$BE$3:$BE$306=TRUE),--(calc!$BG$3:$BG$306&gt;BG249))+(SUMPRODUCT(--(calc!$BE$3:$BE$306=TRUE),--(calc!$BG$3:$BG$306=BG249))-1)/2,"")</f>
        <v/>
      </c>
      <c r="BL249" s="5">
        <f>IF(BE249,SUMPRODUCT(--(calc!$BE$3:$BE$306=TRUE),--(ROW(calc!$BE$3:$BE$306)&gt;ROW(BE249)),--(((calc!$BJ$3:$BJ$306&gt;BJ249)*(calc!$BK$3:$BK$306&gt;BK249)+(calc!$BJ$3:$BJ$306&lt;BJ249)*(calc!$BK$3:$BK$306&lt;BK249))&gt;0))-SUMPRODUCT(--(calc!$BE$3:$BE$306=TRUE),--(ROW(calc!$BE$3:$BE$306)&gt;ROW(BE249)),--(((calc!$BJ$3:$BJ$306&gt;BJ249)*(calc!$BK$3:$BK$306&lt;BK249)+(calc!$BJ$3:$BJ$306&lt;BJ249)*(calc!$BK$3:$BK$306&gt;BK249))&gt;0)),0)</f>
        <v/>
      </c>
      <c r="BM249" s="5">
        <f>IF(mos_metrics!M248="","",mos_metrics!M248)</f>
        <v/>
      </c>
      <c r="BN249" s="2">
        <f>AND($J249,ISNUMBER(BM249),correlation!$I$32=1)</f>
        <v/>
      </c>
      <c r="BO249" s="5">
        <f>IF(BN249,$F249,"")</f>
        <v/>
      </c>
      <c r="BP249" s="5">
        <f>IF(BN249,BM249*correlation!$J$32,"")</f>
        <v/>
      </c>
      <c r="BQ249" s="5">
        <f>IF(AND(BN249,ISNUMBER(correlation!$F$32)),BP249*correlation!$F$32+correlation!$G$32,"")</f>
        <v/>
      </c>
      <c r="BR249" s="5">
        <f>IF(AND(BN249,ISNUMBER(BQ249)),(BO249-BQ249)^2,"")</f>
        <v/>
      </c>
      <c r="BS249" s="5">
        <f>IF(BN249,1+SUMPRODUCT(--(calc!$BN$3:$BN$306=TRUE),--(calc!$BO$3:$BO$306&gt;BO249))+(SUMPRODUCT(--(calc!$BN$3:$BN$306=TRUE),--(calc!$BO$3:$BO$306=BO249))-1)/2,"")</f>
        <v/>
      </c>
      <c r="BT249" s="5">
        <f>IF(BN249,1+SUMPRODUCT(--(calc!$BN$3:$BN$306=TRUE),--(calc!$BP$3:$BP$306&gt;BP249))+(SUMPRODUCT(--(calc!$BN$3:$BN$306=TRUE),--(calc!$BP$3:$BP$306=BP249))-1)/2,"")</f>
        <v/>
      </c>
      <c r="BU249" s="5">
        <f>IF(BN249,SUMPRODUCT(--(calc!$BN$3:$BN$306=TRUE),--(ROW(calc!$BN$3:$BN$306)&gt;ROW(BN249)),--(((calc!$BS$3:$BS$306&gt;BS249)*(calc!$BT$3:$BT$306&gt;BT249)+(calc!$BS$3:$BS$306&lt;BS249)*(calc!$BT$3:$BT$306&lt;BT249))&gt;0))-SUMPRODUCT(--(calc!$BN$3:$BN$306=TRUE),--(ROW(calc!$BN$3:$BN$306)&gt;ROW(BN249)),--(((calc!$BS$3:$BS$306&gt;BS249)*(calc!$BT$3:$BT$306&lt;BT249)+(calc!$BS$3:$BS$306&lt;BS249)*(calc!$BT$3:$BT$306&gt;BT249))&gt;0)),0)</f>
        <v/>
      </c>
    </row>
    <row r="250">
      <c r="A250" s="2">
        <f>mos_metrics!A249</f>
        <v/>
      </c>
      <c r="B250" s="2">
        <f>mos_metrics!B249</f>
        <v/>
      </c>
      <c r="C250" s="2">
        <f>mos_metrics!C249</f>
        <v/>
      </c>
      <c r="D250" s="2">
        <f>mos_metrics!D249</f>
        <v/>
      </c>
      <c r="E250" s="2">
        <f>mos_metrics!E249</f>
        <v/>
      </c>
      <c r="F250" s="2">
        <f>mos_metrics!F249</f>
        <v/>
      </c>
      <c r="G250" s="2">
        <f>IF($B250="","",IFERROR(VLOOKUP($B250,correlation!$A$2:$B$16,2,FALSE),1))</f>
        <v/>
      </c>
      <c r="H250" s="2">
        <f>IF($E250="","",IFERROR(VLOOKUP($E250,correlation!$D$2:$E$8,2,FALSE),1))</f>
        <v/>
      </c>
      <c r="I250" s="2">
        <f>ISNUMBER($F250)</f>
        <v/>
      </c>
      <c r="J250" s="2">
        <f>AND($G250=1,$H250=1,$I250)</f>
        <v/>
      </c>
      <c r="K250" s="5">
        <f>IF(mos_metrics!G249="","",mos_metrics!G249)</f>
        <v/>
      </c>
      <c r="L250" s="2">
        <f>AND($J250,ISNUMBER(K250),correlation!$I$26=1)</f>
        <v/>
      </c>
      <c r="M250" s="5">
        <f>IF(L250,$F250,"")</f>
        <v/>
      </c>
      <c r="N250" s="5">
        <f>IF(L250,K250*correlation!$J$26,"")</f>
        <v/>
      </c>
      <c r="O250" s="5">
        <f>IF(AND(L250,ISNUMBER(correlation!$F$26)),N250*correlation!$F$26+correlation!$G$26,"")</f>
        <v/>
      </c>
      <c r="P250" s="5">
        <f>IF(AND(L250,ISNUMBER(O250)),(M250-O250)^2,"")</f>
        <v/>
      </c>
      <c r="Q250" s="5">
        <f>IF(L250,1+SUMPRODUCT(--(calc!$L$3:$L$306=TRUE),--(calc!$M$3:$M$306&gt;M250))+(SUMPRODUCT(--(calc!$L$3:$L$306=TRUE),--(calc!$M$3:$M$306=M250))-1)/2,"")</f>
        <v/>
      </c>
      <c r="R250" s="5">
        <f>IF(L250,1+SUMPRODUCT(--(calc!$L$3:$L$306=TRUE),--(calc!$N$3:$N$306&gt;N250))+(SUMPRODUCT(--(calc!$L$3:$L$306=TRUE),--(calc!$N$3:$N$306=N250))-1)/2,"")</f>
        <v/>
      </c>
      <c r="S250" s="5">
        <f>IF(L250,SUMPRODUCT(--(calc!$L$3:$L$306=TRUE),--(ROW(calc!$L$3:$L$306)&gt;ROW(L250)),--(((calc!$Q$3:$Q$306&gt;Q250)*(calc!$R$3:$R$306&gt;R250)+(calc!$Q$3:$Q$306&lt;Q250)*(calc!$R$3:$R$306&lt;R250))&gt;0))-SUMPRODUCT(--(calc!$L$3:$L$306=TRUE),--(ROW(calc!$L$3:$L$306)&gt;ROW(L250)),--(((calc!$Q$3:$Q$306&gt;Q250)*(calc!$R$3:$R$306&lt;R250)+(calc!$Q$3:$Q$306&lt;Q250)*(calc!$R$3:$R$306&gt;R250))&gt;0)),0)</f>
        <v/>
      </c>
      <c r="T250" s="5">
        <f>IF(mos_metrics!H249="","",mos_metrics!H249)</f>
        <v/>
      </c>
      <c r="U250" s="2">
        <f>AND($J250,ISNUMBER(T250),correlation!$I$27=1)</f>
        <v/>
      </c>
      <c r="V250" s="5">
        <f>IF(U250,$F250,"")</f>
        <v/>
      </c>
      <c r="W250" s="5">
        <f>IF(U250,T250*correlation!$J$27,"")</f>
        <v/>
      </c>
      <c r="X250" s="5">
        <f>IF(AND(U250,ISNUMBER(correlation!$F$27)),W250*correlation!$F$27+correlation!$G$27,"")</f>
        <v/>
      </c>
      <c r="Y250" s="5">
        <f>IF(AND(U250,ISNUMBER(X250)),(V250-X250)^2,"")</f>
        <v/>
      </c>
      <c r="Z250" s="5">
        <f>IF(U250,1+SUMPRODUCT(--(calc!$U$3:$U$306=TRUE),--(calc!$V$3:$V$306&gt;V250))+(SUMPRODUCT(--(calc!$U$3:$U$306=TRUE),--(calc!$V$3:$V$306=V250))-1)/2,"")</f>
        <v/>
      </c>
      <c r="AA250" s="5">
        <f>IF(U250,1+SUMPRODUCT(--(calc!$U$3:$U$306=TRUE),--(calc!$W$3:$W$306&gt;W250))+(SUMPRODUCT(--(calc!$U$3:$U$306=TRUE),--(calc!$W$3:$W$306=W250))-1)/2,"")</f>
        <v/>
      </c>
      <c r="AB250" s="5">
        <f>IF(U250,SUMPRODUCT(--(calc!$U$3:$U$306=TRUE),--(ROW(calc!$U$3:$U$306)&gt;ROW(U250)),--(((calc!$Z$3:$Z$306&gt;Z250)*(calc!$AA$3:$AA$306&gt;AA250)+(calc!$Z$3:$Z$306&lt;Z250)*(calc!$AA$3:$AA$306&lt;AA250))&gt;0))-SUMPRODUCT(--(calc!$U$3:$U$306=TRUE),--(ROW(calc!$U$3:$U$306)&gt;ROW(U250)),--(((calc!$Z$3:$Z$306&gt;Z250)*(calc!$AA$3:$AA$306&lt;AA250)+(calc!$Z$3:$Z$306&lt;Z250)*(calc!$AA$3:$AA$306&gt;AA250))&gt;0)),0)</f>
        <v/>
      </c>
      <c r="AC250" s="5">
        <f>IF(mos_metrics!I249="","",mos_metrics!I249)</f>
        <v/>
      </c>
      <c r="AD250" s="2">
        <f>AND($J250,ISNUMBER(AC250),correlation!$I$28=1)</f>
        <v/>
      </c>
      <c r="AE250" s="5">
        <f>IF(AD250,$F250,"")</f>
        <v/>
      </c>
      <c r="AF250" s="5">
        <f>IF(AD250,AC250*correlation!$J$28,"")</f>
        <v/>
      </c>
      <c r="AG250" s="5">
        <f>IF(AND(AD250,ISNUMBER(correlation!$F$28)),AF250*correlation!$F$28+correlation!$G$28,"")</f>
        <v/>
      </c>
      <c r="AH250" s="5">
        <f>IF(AND(AD250,ISNUMBER(AG250)),(AE250-AG250)^2,"")</f>
        <v/>
      </c>
      <c r="AI250" s="5">
        <f>IF(AD250,1+SUMPRODUCT(--(calc!$AD$3:$AD$306=TRUE),--(calc!$AE$3:$AE$306&gt;AE250))+(SUMPRODUCT(--(calc!$AD$3:$AD$306=TRUE),--(calc!$AE$3:$AE$306=AE250))-1)/2,"")</f>
        <v/>
      </c>
      <c r="AJ250" s="5">
        <f>IF(AD250,1+SUMPRODUCT(--(calc!$AD$3:$AD$306=TRUE),--(calc!$AF$3:$AF$306&gt;AF250))+(SUMPRODUCT(--(calc!$AD$3:$AD$306=TRUE),--(calc!$AF$3:$AF$306=AF250))-1)/2,"")</f>
        <v/>
      </c>
      <c r="AK250" s="5">
        <f>IF(AD250,SUMPRODUCT(--(calc!$AD$3:$AD$306=TRUE),--(ROW(calc!$AD$3:$AD$306)&gt;ROW(AD250)),--(((calc!$AI$3:$AI$306&gt;AI250)*(calc!$AJ$3:$AJ$306&gt;AJ250)+(calc!$AI$3:$AI$306&lt;AI250)*(calc!$AJ$3:$AJ$306&lt;AJ250))&gt;0))-SUMPRODUCT(--(calc!$AD$3:$AD$306=TRUE),--(ROW(calc!$AD$3:$AD$306)&gt;ROW(AD250)),--(((calc!$AI$3:$AI$306&gt;AI250)*(calc!$AJ$3:$AJ$306&lt;AJ250)+(calc!$AI$3:$AI$306&lt;AI250)*(calc!$AJ$3:$AJ$306&gt;AJ250))&gt;0)),0)</f>
        <v/>
      </c>
      <c r="AL250" s="5">
        <f>IF(mos_metrics!J249="","",mos_metrics!J249)</f>
        <v/>
      </c>
      <c r="AM250" s="2">
        <f>AND($J250,ISNUMBER(AL250),correlation!$I$29=1)</f>
        <v/>
      </c>
      <c r="AN250" s="5">
        <f>IF(AM250,$F250,"")</f>
        <v/>
      </c>
      <c r="AO250" s="5">
        <f>IF(AM250,AL250*correlation!$J$29,"")</f>
        <v/>
      </c>
      <c r="AP250" s="5">
        <f>IF(AND(AM250,ISNUMBER(correlation!$F$29)),AO250*correlation!$F$29+correlation!$G$29,"")</f>
        <v/>
      </c>
      <c r="AQ250" s="5">
        <f>IF(AND(AM250,ISNUMBER(AP250)),(AN250-AP250)^2,"")</f>
        <v/>
      </c>
      <c r="AR250" s="5">
        <f>IF(AM250,1+SUMPRODUCT(--(calc!$AM$3:$AM$306=TRUE),--(calc!$AN$3:$AN$306&gt;AN250))+(SUMPRODUCT(--(calc!$AM$3:$AM$306=TRUE),--(calc!$AN$3:$AN$306=AN250))-1)/2,"")</f>
        <v/>
      </c>
      <c r="AS250" s="5">
        <f>IF(AM250,1+SUMPRODUCT(--(calc!$AM$3:$AM$306=TRUE),--(calc!$AO$3:$AO$306&gt;AO250))+(SUMPRODUCT(--(calc!$AM$3:$AM$306=TRUE),--(calc!$AO$3:$AO$306=AO250))-1)/2,"")</f>
        <v/>
      </c>
      <c r="AT250" s="5">
        <f>IF(AM250,SUMPRODUCT(--(calc!$AM$3:$AM$306=TRUE),--(ROW(calc!$AM$3:$AM$306)&gt;ROW(AM250)),--(((calc!$AR$3:$AR$306&gt;AR250)*(calc!$AS$3:$AS$306&gt;AS250)+(calc!$AR$3:$AR$306&lt;AR250)*(calc!$AS$3:$AS$306&lt;AS250))&gt;0))-SUMPRODUCT(--(calc!$AM$3:$AM$306=TRUE),--(ROW(calc!$AM$3:$AM$306)&gt;ROW(AM250)),--(((calc!$AR$3:$AR$306&gt;AR250)*(calc!$AS$3:$AS$306&lt;AS250)+(calc!$AR$3:$AR$306&lt;AR250)*(calc!$AS$3:$AS$306&gt;AS250))&gt;0)),0)</f>
        <v/>
      </c>
      <c r="AU250" s="5">
        <f>IF(mos_metrics!K249="","",mos_metrics!K249)</f>
        <v/>
      </c>
      <c r="AV250" s="2">
        <f>AND($J250,ISNUMBER(AU250),correlation!$I$30=1)</f>
        <v/>
      </c>
      <c r="AW250" s="5">
        <f>IF(AV250,$F250,"")</f>
        <v/>
      </c>
      <c r="AX250" s="5">
        <f>IF(AV250,AU250*correlation!$J$30,"")</f>
        <v/>
      </c>
      <c r="AY250" s="5">
        <f>IF(AND(AV250,ISNUMBER(correlation!$F$30)),AX250*correlation!$F$30+correlation!$G$30,"")</f>
        <v/>
      </c>
      <c r="AZ250" s="5">
        <f>IF(AND(AV250,ISNUMBER(AY250)),(AW250-AY250)^2,"")</f>
        <v/>
      </c>
      <c r="BA250" s="5">
        <f>IF(AV250,1+SUMPRODUCT(--(calc!$AV$3:$AV$306=TRUE),--(calc!$AW$3:$AW$306&gt;AW250))+(SUMPRODUCT(--(calc!$AV$3:$AV$306=TRUE),--(calc!$AW$3:$AW$306=AW250))-1)/2,"")</f>
        <v/>
      </c>
      <c r="BB250" s="5">
        <f>IF(AV250,1+SUMPRODUCT(--(calc!$AV$3:$AV$306=TRUE),--(calc!$AX$3:$AX$306&gt;AX250))+(SUMPRODUCT(--(calc!$AV$3:$AV$306=TRUE),--(calc!$AX$3:$AX$306=AX250))-1)/2,"")</f>
        <v/>
      </c>
      <c r="BC250" s="5">
        <f>IF(AV250,SUMPRODUCT(--(calc!$AV$3:$AV$306=TRUE),--(ROW(calc!$AV$3:$AV$306)&gt;ROW(AV250)),--(((calc!$BA$3:$BA$306&gt;BA250)*(calc!$BB$3:$BB$306&gt;BB250)+(calc!$BA$3:$BA$306&lt;BA250)*(calc!$BB$3:$BB$306&lt;BB250))&gt;0))-SUMPRODUCT(--(calc!$AV$3:$AV$306=TRUE),--(ROW(calc!$AV$3:$AV$306)&gt;ROW(AV250)),--(((calc!$BA$3:$BA$306&gt;BA250)*(calc!$BB$3:$BB$306&lt;BB250)+(calc!$BA$3:$BA$306&lt;BA250)*(calc!$BB$3:$BB$306&gt;BB250))&gt;0)),0)</f>
        <v/>
      </c>
      <c r="BD250" s="5">
        <f>IF(mos_metrics!L249="","",mos_metrics!L249)</f>
        <v/>
      </c>
      <c r="BE250" s="2">
        <f>AND($J250,ISNUMBER(BD250),correlation!$I$31=1)</f>
        <v/>
      </c>
      <c r="BF250" s="5">
        <f>IF(BE250,$F250,"")</f>
        <v/>
      </c>
      <c r="BG250" s="5">
        <f>IF(BE250,BD250*correlation!$J$31,"")</f>
        <v/>
      </c>
      <c r="BH250" s="5">
        <f>IF(AND(BE250,ISNUMBER(correlation!$F$31)),BG250*correlation!$F$31+correlation!$G$31,"")</f>
        <v/>
      </c>
      <c r="BI250" s="5">
        <f>IF(AND(BE250,ISNUMBER(BH250)),(BF250-BH250)^2,"")</f>
        <v/>
      </c>
      <c r="BJ250" s="5">
        <f>IF(BE250,1+SUMPRODUCT(--(calc!$BE$3:$BE$306=TRUE),--(calc!$BF$3:$BF$306&gt;BF250))+(SUMPRODUCT(--(calc!$BE$3:$BE$306=TRUE),--(calc!$BF$3:$BF$306=BF250))-1)/2,"")</f>
        <v/>
      </c>
      <c r="BK250" s="5">
        <f>IF(BE250,1+SUMPRODUCT(--(calc!$BE$3:$BE$306=TRUE),--(calc!$BG$3:$BG$306&gt;BG250))+(SUMPRODUCT(--(calc!$BE$3:$BE$306=TRUE),--(calc!$BG$3:$BG$306=BG250))-1)/2,"")</f>
        <v/>
      </c>
      <c r="BL250" s="5">
        <f>IF(BE250,SUMPRODUCT(--(calc!$BE$3:$BE$306=TRUE),--(ROW(calc!$BE$3:$BE$306)&gt;ROW(BE250)),--(((calc!$BJ$3:$BJ$306&gt;BJ250)*(calc!$BK$3:$BK$306&gt;BK250)+(calc!$BJ$3:$BJ$306&lt;BJ250)*(calc!$BK$3:$BK$306&lt;BK250))&gt;0))-SUMPRODUCT(--(calc!$BE$3:$BE$306=TRUE),--(ROW(calc!$BE$3:$BE$306)&gt;ROW(BE250)),--(((calc!$BJ$3:$BJ$306&gt;BJ250)*(calc!$BK$3:$BK$306&lt;BK250)+(calc!$BJ$3:$BJ$306&lt;BJ250)*(calc!$BK$3:$BK$306&gt;BK250))&gt;0)),0)</f>
        <v/>
      </c>
      <c r="BM250" s="5">
        <f>IF(mos_metrics!M249="","",mos_metrics!M249)</f>
        <v/>
      </c>
      <c r="BN250" s="2">
        <f>AND($J250,ISNUMBER(BM250),correlation!$I$32=1)</f>
        <v/>
      </c>
      <c r="BO250" s="5">
        <f>IF(BN250,$F250,"")</f>
        <v/>
      </c>
      <c r="BP250" s="5">
        <f>IF(BN250,BM250*correlation!$J$32,"")</f>
        <v/>
      </c>
      <c r="BQ250" s="5">
        <f>IF(AND(BN250,ISNUMBER(correlation!$F$32)),BP250*correlation!$F$32+correlation!$G$32,"")</f>
        <v/>
      </c>
      <c r="BR250" s="5">
        <f>IF(AND(BN250,ISNUMBER(BQ250)),(BO250-BQ250)^2,"")</f>
        <v/>
      </c>
      <c r="BS250" s="5">
        <f>IF(BN250,1+SUMPRODUCT(--(calc!$BN$3:$BN$306=TRUE),--(calc!$BO$3:$BO$306&gt;BO250))+(SUMPRODUCT(--(calc!$BN$3:$BN$306=TRUE),--(calc!$BO$3:$BO$306=BO250))-1)/2,"")</f>
        <v/>
      </c>
      <c r="BT250" s="5">
        <f>IF(BN250,1+SUMPRODUCT(--(calc!$BN$3:$BN$306=TRUE),--(calc!$BP$3:$BP$306&gt;BP250))+(SUMPRODUCT(--(calc!$BN$3:$BN$306=TRUE),--(calc!$BP$3:$BP$306=BP250))-1)/2,"")</f>
        <v/>
      </c>
      <c r="BU250" s="5">
        <f>IF(BN250,SUMPRODUCT(--(calc!$BN$3:$BN$306=TRUE),--(ROW(calc!$BN$3:$BN$306)&gt;ROW(BN250)),--(((calc!$BS$3:$BS$306&gt;BS250)*(calc!$BT$3:$BT$306&gt;BT250)+(calc!$BS$3:$BS$306&lt;BS250)*(calc!$BT$3:$BT$306&lt;BT250))&gt;0))-SUMPRODUCT(--(calc!$BN$3:$BN$306=TRUE),--(ROW(calc!$BN$3:$BN$306)&gt;ROW(BN250)),--(((calc!$BS$3:$BS$306&gt;BS250)*(calc!$BT$3:$BT$306&lt;BT250)+(calc!$BS$3:$BS$306&lt;BS250)*(calc!$BT$3:$BT$306&gt;BT250))&gt;0)),0)</f>
        <v/>
      </c>
    </row>
    <row r="251">
      <c r="A251" s="2">
        <f>mos_metrics!A250</f>
        <v/>
      </c>
      <c r="B251" s="2">
        <f>mos_metrics!B250</f>
        <v/>
      </c>
      <c r="C251" s="2">
        <f>mos_metrics!C250</f>
        <v/>
      </c>
      <c r="D251" s="2">
        <f>mos_metrics!D250</f>
        <v/>
      </c>
      <c r="E251" s="2">
        <f>mos_metrics!E250</f>
        <v/>
      </c>
      <c r="F251" s="2">
        <f>mos_metrics!F250</f>
        <v/>
      </c>
      <c r="G251" s="2">
        <f>IF($B251="","",IFERROR(VLOOKUP($B251,correlation!$A$2:$B$16,2,FALSE),1))</f>
        <v/>
      </c>
      <c r="H251" s="2">
        <f>IF($E251="","",IFERROR(VLOOKUP($E251,correlation!$D$2:$E$8,2,FALSE),1))</f>
        <v/>
      </c>
      <c r="I251" s="2">
        <f>ISNUMBER($F251)</f>
        <v/>
      </c>
      <c r="J251" s="2">
        <f>AND($G251=1,$H251=1,$I251)</f>
        <v/>
      </c>
      <c r="K251" s="5">
        <f>IF(mos_metrics!G250="","",mos_metrics!G250)</f>
        <v/>
      </c>
      <c r="L251" s="2">
        <f>AND($J251,ISNUMBER(K251),correlation!$I$26=1)</f>
        <v/>
      </c>
      <c r="M251" s="5">
        <f>IF(L251,$F251,"")</f>
        <v/>
      </c>
      <c r="N251" s="5">
        <f>IF(L251,K251*correlation!$J$26,"")</f>
        <v/>
      </c>
      <c r="O251" s="5">
        <f>IF(AND(L251,ISNUMBER(correlation!$F$26)),N251*correlation!$F$26+correlation!$G$26,"")</f>
        <v/>
      </c>
      <c r="P251" s="5">
        <f>IF(AND(L251,ISNUMBER(O251)),(M251-O251)^2,"")</f>
        <v/>
      </c>
      <c r="Q251" s="5">
        <f>IF(L251,1+SUMPRODUCT(--(calc!$L$3:$L$306=TRUE),--(calc!$M$3:$M$306&gt;M251))+(SUMPRODUCT(--(calc!$L$3:$L$306=TRUE),--(calc!$M$3:$M$306=M251))-1)/2,"")</f>
        <v/>
      </c>
      <c r="R251" s="5">
        <f>IF(L251,1+SUMPRODUCT(--(calc!$L$3:$L$306=TRUE),--(calc!$N$3:$N$306&gt;N251))+(SUMPRODUCT(--(calc!$L$3:$L$306=TRUE),--(calc!$N$3:$N$306=N251))-1)/2,"")</f>
        <v/>
      </c>
      <c r="S251" s="5">
        <f>IF(L251,SUMPRODUCT(--(calc!$L$3:$L$306=TRUE),--(ROW(calc!$L$3:$L$306)&gt;ROW(L251)),--(((calc!$Q$3:$Q$306&gt;Q251)*(calc!$R$3:$R$306&gt;R251)+(calc!$Q$3:$Q$306&lt;Q251)*(calc!$R$3:$R$306&lt;R251))&gt;0))-SUMPRODUCT(--(calc!$L$3:$L$306=TRUE),--(ROW(calc!$L$3:$L$306)&gt;ROW(L251)),--(((calc!$Q$3:$Q$306&gt;Q251)*(calc!$R$3:$R$306&lt;R251)+(calc!$Q$3:$Q$306&lt;Q251)*(calc!$R$3:$R$306&gt;R251))&gt;0)),0)</f>
        <v/>
      </c>
      <c r="T251" s="5">
        <f>IF(mos_metrics!H250="","",mos_metrics!H250)</f>
        <v/>
      </c>
      <c r="U251" s="2">
        <f>AND($J251,ISNUMBER(T251),correlation!$I$27=1)</f>
        <v/>
      </c>
      <c r="V251" s="5">
        <f>IF(U251,$F251,"")</f>
        <v/>
      </c>
      <c r="W251" s="5">
        <f>IF(U251,T251*correlation!$J$27,"")</f>
        <v/>
      </c>
      <c r="X251" s="5">
        <f>IF(AND(U251,ISNUMBER(correlation!$F$27)),W251*correlation!$F$27+correlation!$G$27,"")</f>
        <v/>
      </c>
      <c r="Y251" s="5">
        <f>IF(AND(U251,ISNUMBER(X251)),(V251-X251)^2,"")</f>
        <v/>
      </c>
      <c r="Z251" s="5">
        <f>IF(U251,1+SUMPRODUCT(--(calc!$U$3:$U$306=TRUE),--(calc!$V$3:$V$306&gt;V251))+(SUMPRODUCT(--(calc!$U$3:$U$306=TRUE),--(calc!$V$3:$V$306=V251))-1)/2,"")</f>
        <v/>
      </c>
      <c r="AA251" s="5">
        <f>IF(U251,1+SUMPRODUCT(--(calc!$U$3:$U$306=TRUE),--(calc!$W$3:$W$306&gt;W251))+(SUMPRODUCT(--(calc!$U$3:$U$306=TRUE),--(calc!$W$3:$W$306=W251))-1)/2,"")</f>
        <v/>
      </c>
      <c r="AB251" s="5">
        <f>IF(U251,SUMPRODUCT(--(calc!$U$3:$U$306=TRUE),--(ROW(calc!$U$3:$U$306)&gt;ROW(U251)),--(((calc!$Z$3:$Z$306&gt;Z251)*(calc!$AA$3:$AA$306&gt;AA251)+(calc!$Z$3:$Z$306&lt;Z251)*(calc!$AA$3:$AA$306&lt;AA251))&gt;0))-SUMPRODUCT(--(calc!$U$3:$U$306=TRUE),--(ROW(calc!$U$3:$U$306)&gt;ROW(U251)),--(((calc!$Z$3:$Z$306&gt;Z251)*(calc!$AA$3:$AA$306&lt;AA251)+(calc!$Z$3:$Z$306&lt;Z251)*(calc!$AA$3:$AA$306&gt;AA251))&gt;0)),0)</f>
        <v/>
      </c>
      <c r="AC251" s="5">
        <f>IF(mos_metrics!I250="","",mos_metrics!I250)</f>
        <v/>
      </c>
      <c r="AD251" s="2">
        <f>AND($J251,ISNUMBER(AC251),correlation!$I$28=1)</f>
        <v/>
      </c>
      <c r="AE251" s="5">
        <f>IF(AD251,$F251,"")</f>
        <v/>
      </c>
      <c r="AF251" s="5">
        <f>IF(AD251,AC251*correlation!$J$28,"")</f>
        <v/>
      </c>
      <c r="AG251" s="5">
        <f>IF(AND(AD251,ISNUMBER(correlation!$F$28)),AF251*correlation!$F$28+correlation!$G$28,"")</f>
        <v/>
      </c>
      <c r="AH251" s="5">
        <f>IF(AND(AD251,ISNUMBER(AG251)),(AE251-AG251)^2,"")</f>
        <v/>
      </c>
      <c r="AI251" s="5">
        <f>IF(AD251,1+SUMPRODUCT(--(calc!$AD$3:$AD$306=TRUE),--(calc!$AE$3:$AE$306&gt;AE251))+(SUMPRODUCT(--(calc!$AD$3:$AD$306=TRUE),--(calc!$AE$3:$AE$306=AE251))-1)/2,"")</f>
        <v/>
      </c>
      <c r="AJ251" s="5">
        <f>IF(AD251,1+SUMPRODUCT(--(calc!$AD$3:$AD$306=TRUE),--(calc!$AF$3:$AF$306&gt;AF251))+(SUMPRODUCT(--(calc!$AD$3:$AD$306=TRUE),--(calc!$AF$3:$AF$306=AF251))-1)/2,"")</f>
        <v/>
      </c>
      <c r="AK251" s="5">
        <f>IF(AD251,SUMPRODUCT(--(calc!$AD$3:$AD$306=TRUE),--(ROW(calc!$AD$3:$AD$306)&gt;ROW(AD251)),--(((calc!$AI$3:$AI$306&gt;AI251)*(calc!$AJ$3:$AJ$306&gt;AJ251)+(calc!$AI$3:$AI$306&lt;AI251)*(calc!$AJ$3:$AJ$306&lt;AJ251))&gt;0))-SUMPRODUCT(--(calc!$AD$3:$AD$306=TRUE),--(ROW(calc!$AD$3:$AD$306)&gt;ROW(AD251)),--(((calc!$AI$3:$AI$306&gt;AI251)*(calc!$AJ$3:$AJ$306&lt;AJ251)+(calc!$AI$3:$AI$306&lt;AI251)*(calc!$AJ$3:$AJ$306&gt;AJ251))&gt;0)),0)</f>
        <v/>
      </c>
      <c r="AL251" s="5">
        <f>IF(mos_metrics!J250="","",mos_metrics!J250)</f>
        <v/>
      </c>
      <c r="AM251" s="2">
        <f>AND($J251,ISNUMBER(AL251),correlation!$I$29=1)</f>
        <v/>
      </c>
      <c r="AN251" s="5">
        <f>IF(AM251,$F251,"")</f>
        <v/>
      </c>
      <c r="AO251" s="5">
        <f>IF(AM251,AL251*correlation!$J$29,"")</f>
        <v/>
      </c>
      <c r="AP251" s="5">
        <f>IF(AND(AM251,ISNUMBER(correlation!$F$29)),AO251*correlation!$F$29+correlation!$G$29,"")</f>
        <v/>
      </c>
      <c r="AQ251" s="5">
        <f>IF(AND(AM251,ISNUMBER(AP251)),(AN251-AP251)^2,"")</f>
        <v/>
      </c>
      <c r="AR251" s="5">
        <f>IF(AM251,1+SUMPRODUCT(--(calc!$AM$3:$AM$306=TRUE),--(calc!$AN$3:$AN$306&gt;AN251))+(SUMPRODUCT(--(calc!$AM$3:$AM$306=TRUE),--(calc!$AN$3:$AN$306=AN251))-1)/2,"")</f>
        <v/>
      </c>
      <c r="AS251" s="5">
        <f>IF(AM251,1+SUMPRODUCT(--(calc!$AM$3:$AM$306=TRUE),--(calc!$AO$3:$AO$306&gt;AO251))+(SUMPRODUCT(--(calc!$AM$3:$AM$306=TRUE),--(calc!$AO$3:$AO$306=AO251))-1)/2,"")</f>
        <v/>
      </c>
      <c r="AT251" s="5">
        <f>IF(AM251,SUMPRODUCT(--(calc!$AM$3:$AM$306=TRUE),--(ROW(calc!$AM$3:$AM$306)&gt;ROW(AM251)),--(((calc!$AR$3:$AR$306&gt;AR251)*(calc!$AS$3:$AS$306&gt;AS251)+(calc!$AR$3:$AR$306&lt;AR251)*(calc!$AS$3:$AS$306&lt;AS251))&gt;0))-SUMPRODUCT(--(calc!$AM$3:$AM$306=TRUE),--(ROW(calc!$AM$3:$AM$306)&gt;ROW(AM251)),--(((calc!$AR$3:$AR$306&gt;AR251)*(calc!$AS$3:$AS$306&lt;AS251)+(calc!$AR$3:$AR$306&lt;AR251)*(calc!$AS$3:$AS$306&gt;AS251))&gt;0)),0)</f>
        <v/>
      </c>
      <c r="AU251" s="5">
        <f>IF(mos_metrics!K250="","",mos_metrics!K250)</f>
        <v/>
      </c>
      <c r="AV251" s="2">
        <f>AND($J251,ISNUMBER(AU251),correlation!$I$30=1)</f>
        <v/>
      </c>
      <c r="AW251" s="5">
        <f>IF(AV251,$F251,"")</f>
        <v/>
      </c>
      <c r="AX251" s="5">
        <f>IF(AV251,AU251*correlation!$J$30,"")</f>
        <v/>
      </c>
      <c r="AY251" s="5">
        <f>IF(AND(AV251,ISNUMBER(correlation!$F$30)),AX251*correlation!$F$30+correlation!$G$30,"")</f>
        <v/>
      </c>
      <c r="AZ251" s="5">
        <f>IF(AND(AV251,ISNUMBER(AY251)),(AW251-AY251)^2,"")</f>
        <v/>
      </c>
      <c r="BA251" s="5">
        <f>IF(AV251,1+SUMPRODUCT(--(calc!$AV$3:$AV$306=TRUE),--(calc!$AW$3:$AW$306&gt;AW251))+(SUMPRODUCT(--(calc!$AV$3:$AV$306=TRUE),--(calc!$AW$3:$AW$306=AW251))-1)/2,"")</f>
        <v/>
      </c>
      <c r="BB251" s="5">
        <f>IF(AV251,1+SUMPRODUCT(--(calc!$AV$3:$AV$306=TRUE),--(calc!$AX$3:$AX$306&gt;AX251))+(SUMPRODUCT(--(calc!$AV$3:$AV$306=TRUE),--(calc!$AX$3:$AX$306=AX251))-1)/2,"")</f>
        <v/>
      </c>
      <c r="BC251" s="5">
        <f>IF(AV251,SUMPRODUCT(--(calc!$AV$3:$AV$306=TRUE),--(ROW(calc!$AV$3:$AV$306)&gt;ROW(AV251)),--(((calc!$BA$3:$BA$306&gt;BA251)*(calc!$BB$3:$BB$306&gt;BB251)+(calc!$BA$3:$BA$306&lt;BA251)*(calc!$BB$3:$BB$306&lt;BB251))&gt;0))-SUMPRODUCT(--(calc!$AV$3:$AV$306=TRUE),--(ROW(calc!$AV$3:$AV$306)&gt;ROW(AV251)),--(((calc!$BA$3:$BA$306&gt;BA251)*(calc!$BB$3:$BB$306&lt;BB251)+(calc!$BA$3:$BA$306&lt;BA251)*(calc!$BB$3:$BB$306&gt;BB251))&gt;0)),0)</f>
        <v/>
      </c>
      <c r="BD251" s="5">
        <f>IF(mos_metrics!L250="","",mos_metrics!L250)</f>
        <v/>
      </c>
      <c r="BE251" s="2">
        <f>AND($J251,ISNUMBER(BD251),correlation!$I$31=1)</f>
        <v/>
      </c>
      <c r="BF251" s="5">
        <f>IF(BE251,$F251,"")</f>
        <v/>
      </c>
      <c r="BG251" s="5">
        <f>IF(BE251,BD251*correlation!$J$31,"")</f>
        <v/>
      </c>
      <c r="BH251" s="5">
        <f>IF(AND(BE251,ISNUMBER(correlation!$F$31)),BG251*correlation!$F$31+correlation!$G$31,"")</f>
        <v/>
      </c>
      <c r="BI251" s="5">
        <f>IF(AND(BE251,ISNUMBER(BH251)),(BF251-BH251)^2,"")</f>
        <v/>
      </c>
      <c r="BJ251" s="5">
        <f>IF(BE251,1+SUMPRODUCT(--(calc!$BE$3:$BE$306=TRUE),--(calc!$BF$3:$BF$306&gt;BF251))+(SUMPRODUCT(--(calc!$BE$3:$BE$306=TRUE),--(calc!$BF$3:$BF$306=BF251))-1)/2,"")</f>
        <v/>
      </c>
      <c r="BK251" s="5">
        <f>IF(BE251,1+SUMPRODUCT(--(calc!$BE$3:$BE$306=TRUE),--(calc!$BG$3:$BG$306&gt;BG251))+(SUMPRODUCT(--(calc!$BE$3:$BE$306=TRUE),--(calc!$BG$3:$BG$306=BG251))-1)/2,"")</f>
        <v/>
      </c>
      <c r="BL251" s="5">
        <f>IF(BE251,SUMPRODUCT(--(calc!$BE$3:$BE$306=TRUE),--(ROW(calc!$BE$3:$BE$306)&gt;ROW(BE251)),--(((calc!$BJ$3:$BJ$306&gt;BJ251)*(calc!$BK$3:$BK$306&gt;BK251)+(calc!$BJ$3:$BJ$306&lt;BJ251)*(calc!$BK$3:$BK$306&lt;BK251))&gt;0))-SUMPRODUCT(--(calc!$BE$3:$BE$306=TRUE),--(ROW(calc!$BE$3:$BE$306)&gt;ROW(BE251)),--(((calc!$BJ$3:$BJ$306&gt;BJ251)*(calc!$BK$3:$BK$306&lt;BK251)+(calc!$BJ$3:$BJ$306&lt;BJ251)*(calc!$BK$3:$BK$306&gt;BK251))&gt;0)),0)</f>
        <v/>
      </c>
      <c r="BM251" s="5">
        <f>IF(mos_metrics!M250="","",mos_metrics!M250)</f>
        <v/>
      </c>
      <c r="BN251" s="2">
        <f>AND($J251,ISNUMBER(BM251),correlation!$I$32=1)</f>
        <v/>
      </c>
      <c r="BO251" s="5">
        <f>IF(BN251,$F251,"")</f>
        <v/>
      </c>
      <c r="BP251" s="5">
        <f>IF(BN251,BM251*correlation!$J$32,"")</f>
        <v/>
      </c>
      <c r="BQ251" s="5">
        <f>IF(AND(BN251,ISNUMBER(correlation!$F$32)),BP251*correlation!$F$32+correlation!$G$32,"")</f>
        <v/>
      </c>
      <c r="BR251" s="5">
        <f>IF(AND(BN251,ISNUMBER(BQ251)),(BO251-BQ251)^2,"")</f>
        <v/>
      </c>
      <c r="BS251" s="5">
        <f>IF(BN251,1+SUMPRODUCT(--(calc!$BN$3:$BN$306=TRUE),--(calc!$BO$3:$BO$306&gt;BO251))+(SUMPRODUCT(--(calc!$BN$3:$BN$306=TRUE),--(calc!$BO$3:$BO$306=BO251))-1)/2,"")</f>
        <v/>
      </c>
      <c r="BT251" s="5">
        <f>IF(BN251,1+SUMPRODUCT(--(calc!$BN$3:$BN$306=TRUE),--(calc!$BP$3:$BP$306&gt;BP251))+(SUMPRODUCT(--(calc!$BN$3:$BN$306=TRUE),--(calc!$BP$3:$BP$306=BP251))-1)/2,"")</f>
        <v/>
      </c>
      <c r="BU251" s="5">
        <f>IF(BN251,SUMPRODUCT(--(calc!$BN$3:$BN$306=TRUE),--(ROW(calc!$BN$3:$BN$306)&gt;ROW(BN251)),--(((calc!$BS$3:$BS$306&gt;BS251)*(calc!$BT$3:$BT$306&gt;BT251)+(calc!$BS$3:$BS$306&lt;BS251)*(calc!$BT$3:$BT$306&lt;BT251))&gt;0))-SUMPRODUCT(--(calc!$BN$3:$BN$306=TRUE),--(ROW(calc!$BN$3:$BN$306)&gt;ROW(BN251)),--(((calc!$BS$3:$BS$306&gt;BS251)*(calc!$BT$3:$BT$306&lt;BT251)+(calc!$BS$3:$BS$306&lt;BS251)*(calc!$BT$3:$BT$306&gt;BT251))&gt;0)),0)</f>
        <v/>
      </c>
    </row>
    <row r="252">
      <c r="A252" s="2">
        <f>mos_metrics!A251</f>
        <v/>
      </c>
      <c r="B252" s="2">
        <f>mos_metrics!B251</f>
        <v/>
      </c>
      <c r="C252" s="2">
        <f>mos_metrics!C251</f>
        <v/>
      </c>
      <c r="D252" s="2">
        <f>mos_metrics!D251</f>
        <v/>
      </c>
      <c r="E252" s="2">
        <f>mos_metrics!E251</f>
        <v/>
      </c>
      <c r="F252" s="2">
        <f>mos_metrics!F251</f>
        <v/>
      </c>
      <c r="G252" s="2">
        <f>IF($B252="","",IFERROR(VLOOKUP($B252,correlation!$A$2:$B$16,2,FALSE),1))</f>
        <v/>
      </c>
      <c r="H252" s="2">
        <f>IF($E252="","",IFERROR(VLOOKUP($E252,correlation!$D$2:$E$8,2,FALSE),1))</f>
        <v/>
      </c>
      <c r="I252" s="2">
        <f>ISNUMBER($F252)</f>
        <v/>
      </c>
      <c r="J252" s="2">
        <f>AND($G252=1,$H252=1,$I252)</f>
        <v/>
      </c>
      <c r="K252" s="5">
        <f>IF(mos_metrics!G251="","",mos_metrics!G251)</f>
        <v/>
      </c>
      <c r="L252" s="2">
        <f>AND($J252,ISNUMBER(K252),correlation!$I$26=1)</f>
        <v/>
      </c>
      <c r="M252" s="5">
        <f>IF(L252,$F252,"")</f>
        <v/>
      </c>
      <c r="N252" s="5">
        <f>IF(L252,K252*correlation!$J$26,"")</f>
        <v/>
      </c>
      <c r="O252" s="5">
        <f>IF(AND(L252,ISNUMBER(correlation!$F$26)),N252*correlation!$F$26+correlation!$G$26,"")</f>
        <v/>
      </c>
      <c r="P252" s="5">
        <f>IF(AND(L252,ISNUMBER(O252)),(M252-O252)^2,"")</f>
        <v/>
      </c>
      <c r="Q252" s="5">
        <f>IF(L252,1+SUMPRODUCT(--(calc!$L$3:$L$306=TRUE),--(calc!$M$3:$M$306&gt;M252))+(SUMPRODUCT(--(calc!$L$3:$L$306=TRUE),--(calc!$M$3:$M$306=M252))-1)/2,"")</f>
        <v/>
      </c>
      <c r="R252" s="5">
        <f>IF(L252,1+SUMPRODUCT(--(calc!$L$3:$L$306=TRUE),--(calc!$N$3:$N$306&gt;N252))+(SUMPRODUCT(--(calc!$L$3:$L$306=TRUE),--(calc!$N$3:$N$306=N252))-1)/2,"")</f>
        <v/>
      </c>
      <c r="S252" s="5">
        <f>IF(L252,SUMPRODUCT(--(calc!$L$3:$L$306=TRUE),--(ROW(calc!$L$3:$L$306)&gt;ROW(L252)),--(((calc!$Q$3:$Q$306&gt;Q252)*(calc!$R$3:$R$306&gt;R252)+(calc!$Q$3:$Q$306&lt;Q252)*(calc!$R$3:$R$306&lt;R252))&gt;0))-SUMPRODUCT(--(calc!$L$3:$L$306=TRUE),--(ROW(calc!$L$3:$L$306)&gt;ROW(L252)),--(((calc!$Q$3:$Q$306&gt;Q252)*(calc!$R$3:$R$306&lt;R252)+(calc!$Q$3:$Q$306&lt;Q252)*(calc!$R$3:$R$306&gt;R252))&gt;0)),0)</f>
        <v/>
      </c>
      <c r="T252" s="5">
        <f>IF(mos_metrics!H251="","",mos_metrics!H251)</f>
        <v/>
      </c>
      <c r="U252" s="2">
        <f>AND($J252,ISNUMBER(T252),correlation!$I$27=1)</f>
        <v/>
      </c>
      <c r="V252" s="5">
        <f>IF(U252,$F252,"")</f>
        <v/>
      </c>
      <c r="W252" s="5">
        <f>IF(U252,T252*correlation!$J$27,"")</f>
        <v/>
      </c>
      <c r="X252" s="5">
        <f>IF(AND(U252,ISNUMBER(correlation!$F$27)),W252*correlation!$F$27+correlation!$G$27,"")</f>
        <v/>
      </c>
      <c r="Y252" s="5">
        <f>IF(AND(U252,ISNUMBER(X252)),(V252-X252)^2,"")</f>
        <v/>
      </c>
      <c r="Z252" s="5">
        <f>IF(U252,1+SUMPRODUCT(--(calc!$U$3:$U$306=TRUE),--(calc!$V$3:$V$306&gt;V252))+(SUMPRODUCT(--(calc!$U$3:$U$306=TRUE),--(calc!$V$3:$V$306=V252))-1)/2,"")</f>
        <v/>
      </c>
      <c r="AA252" s="5">
        <f>IF(U252,1+SUMPRODUCT(--(calc!$U$3:$U$306=TRUE),--(calc!$W$3:$W$306&gt;W252))+(SUMPRODUCT(--(calc!$U$3:$U$306=TRUE),--(calc!$W$3:$W$306=W252))-1)/2,"")</f>
        <v/>
      </c>
      <c r="AB252" s="5">
        <f>IF(U252,SUMPRODUCT(--(calc!$U$3:$U$306=TRUE),--(ROW(calc!$U$3:$U$306)&gt;ROW(U252)),--(((calc!$Z$3:$Z$306&gt;Z252)*(calc!$AA$3:$AA$306&gt;AA252)+(calc!$Z$3:$Z$306&lt;Z252)*(calc!$AA$3:$AA$306&lt;AA252))&gt;0))-SUMPRODUCT(--(calc!$U$3:$U$306=TRUE),--(ROW(calc!$U$3:$U$306)&gt;ROW(U252)),--(((calc!$Z$3:$Z$306&gt;Z252)*(calc!$AA$3:$AA$306&lt;AA252)+(calc!$Z$3:$Z$306&lt;Z252)*(calc!$AA$3:$AA$306&gt;AA252))&gt;0)),0)</f>
        <v/>
      </c>
      <c r="AC252" s="5">
        <f>IF(mos_metrics!I251="","",mos_metrics!I251)</f>
        <v/>
      </c>
      <c r="AD252" s="2">
        <f>AND($J252,ISNUMBER(AC252),correlation!$I$28=1)</f>
        <v/>
      </c>
      <c r="AE252" s="5">
        <f>IF(AD252,$F252,"")</f>
        <v/>
      </c>
      <c r="AF252" s="5">
        <f>IF(AD252,AC252*correlation!$J$28,"")</f>
        <v/>
      </c>
      <c r="AG252" s="5">
        <f>IF(AND(AD252,ISNUMBER(correlation!$F$28)),AF252*correlation!$F$28+correlation!$G$28,"")</f>
        <v/>
      </c>
      <c r="AH252" s="5">
        <f>IF(AND(AD252,ISNUMBER(AG252)),(AE252-AG252)^2,"")</f>
        <v/>
      </c>
      <c r="AI252" s="5">
        <f>IF(AD252,1+SUMPRODUCT(--(calc!$AD$3:$AD$306=TRUE),--(calc!$AE$3:$AE$306&gt;AE252))+(SUMPRODUCT(--(calc!$AD$3:$AD$306=TRUE),--(calc!$AE$3:$AE$306=AE252))-1)/2,"")</f>
        <v/>
      </c>
      <c r="AJ252" s="5">
        <f>IF(AD252,1+SUMPRODUCT(--(calc!$AD$3:$AD$306=TRUE),--(calc!$AF$3:$AF$306&gt;AF252))+(SUMPRODUCT(--(calc!$AD$3:$AD$306=TRUE),--(calc!$AF$3:$AF$306=AF252))-1)/2,"")</f>
        <v/>
      </c>
      <c r="AK252" s="5">
        <f>IF(AD252,SUMPRODUCT(--(calc!$AD$3:$AD$306=TRUE),--(ROW(calc!$AD$3:$AD$306)&gt;ROW(AD252)),--(((calc!$AI$3:$AI$306&gt;AI252)*(calc!$AJ$3:$AJ$306&gt;AJ252)+(calc!$AI$3:$AI$306&lt;AI252)*(calc!$AJ$3:$AJ$306&lt;AJ252))&gt;0))-SUMPRODUCT(--(calc!$AD$3:$AD$306=TRUE),--(ROW(calc!$AD$3:$AD$306)&gt;ROW(AD252)),--(((calc!$AI$3:$AI$306&gt;AI252)*(calc!$AJ$3:$AJ$306&lt;AJ252)+(calc!$AI$3:$AI$306&lt;AI252)*(calc!$AJ$3:$AJ$306&gt;AJ252))&gt;0)),0)</f>
        <v/>
      </c>
      <c r="AL252" s="5">
        <f>IF(mos_metrics!J251="","",mos_metrics!J251)</f>
        <v/>
      </c>
      <c r="AM252" s="2">
        <f>AND($J252,ISNUMBER(AL252),correlation!$I$29=1)</f>
        <v/>
      </c>
      <c r="AN252" s="5">
        <f>IF(AM252,$F252,"")</f>
        <v/>
      </c>
      <c r="AO252" s="5">
        <f>IF(AM252,AL252*correlation!$J$29,"")</f>
        <v/>
      </c>
      <c r="AP252" s="5">
        <f>IF(AND(AM252,ISNUMBER(correlation!$F$29)),AO252*correlation!$F$29+correlation!$G$29,"")</f>
        <v/>
      </c>
      <c r="AQ252" s="5">
        <f>IF(AND(AM252,ISNUMBER(AP252)),(AN252-AP252)^2,"")</f>
        <v/>
      </c>
      <c r="AR252" s="5">
        <f>IF(AM252,1+SUMPRODUCT(--(calc!$AM$3:$AM$306=TRUE),--(calc!$AN$3:$AN$306&gt;AN252))+(SUMPRODUCT(--(calc!$AM$3:$AM$306=TRUE),--(calc!$AN$3:$AN$306=AN252))-1)/2,"")</f>
        <v/>
      </c>
      <c r="AS252" s="5">
        <f>IF(AM252,1+SUMPRODUCT(--(calc!$AM$3:$AM$306=TRUE),--(calc!$AO$3:$AO$306&gt;AO252))+(SUMPRODUCT(--(calc!$AM$3:$AM$306=TRUE),--(calc!$AO$3:$AO$306=AO252))-1)/2,"")</f>
        <v/>
      </c>
      <c r="AT252" s="5">
        <f>IF(AM252,SUMPRODUCT(--(calc!$AM$3:$AM$306=TRUE),--(ROW(calc!$AM$3:$AM$306)&gt;ROW(AM252)),--(((calc!$AR$3:$AR$306&gt;AR252)*(calc!$AS$3:$AS$306&gt;AS252)+(calc!$AR$3:$AR$306&lt;AR252)*(calc!$AS$3:$AS$306&lt;AS252))&gt;0))-SUMPRODUCT(--(calc!$AM$3:$AM$306=TRUE),--(ROW(calc!$AM$3:$AM$306)&gt;ROW(AM252)),--(((calc!$AR$3:$AR$306&gt;AR252)*(calc!$AS$3:$AS$306&lt;AS252)+(calc!$AR$3:$AR$306&lt;AR252)*(calc!$AS$3:$AS$306&gt;AS252))&gt;0)),0)</f>
        <v/>
      </c>
      <c r="AU252" s="5">
        <f>IF(mos_metrics!K251="","",mos_metrics!K251)</f>
        <v/>
      </c>
      <c r="AV252" s="2">
        <f>AND($J252,ISNUMBER(AU252),correlation!$I$30=1)</f>
        <v/>
      </c>
      <c r="AW252" s="5">
        <f>IF(AV252,$F252,"")</f>
        <v/>
      </c>
      <c r="AX252" s="5">
        <f>IF(AV252,AU252*correlation!$J$30,"")</f>
        <v/>
      </c>
      <c r="AY252" s="5">
        <f>IF(AND(AV252,ISNUMBER(correlation!$F$30)),AX252*correlation!$F$30+correlation!$G$30,"")</f>
        <v/>
      </c>
      <c r="AZ252" s="5">
        <f>IF(AND(AV252,ISNUMBER(AY252)),(AW252-AY252)^2,"")</f>
        <v/>
      </c>
      <c r="BA252" s="5">
        <f>IF(AV252,1+SUMPRODUCT(--(calc!$AV$3:$AV$306=TRUE),--(calc!$AW$3:$AW$306&gt;AW252))+(SUMPRODUCT(--(calc!$AV$3:$AV$306=TRUE),--(calc!$AW$3:$AW$306=AW252))-1)/2,"")</f>
        <v/>
      </c>
      <c r="BB252" s="5">
        <f>IF(AV252,1+SUMPRODUCT(--(calc!$AV$3:$AV$306=TRUE),--(calc!$AX$3:$AX$306&gt;AX252))+(SUMPRODUCT(--(calc!$AV$3:$AV$306=TRUE),--(calc!$AX$3:$AX$306=AX252))-1)/2,"")</f>
        <v/>
      </c>
      <c r="BC252" s="5">
        <f>IF(AV252,SUMPRODUCT(--(calc!$AV$3:$AV$306=TRUE),--(ROW(calc!$AV$3:$AV$306)&gt;ROW(AV252)),--(((calc!$BA$3:$BA$306&gt;BA252)*(calc!$BB$3:$BB$306&gt;BB252)+(calc!$BA$3:$BA$306&lt;BA252)*(calc!$BB$3:$BB$306&lt;BB252))&gt;0))-SUMPRODUCT(--(calc!$AV$3:$AV$306=TRUE),--(ROW(calc!$AV$3:$AV$306)&gt;ROW(AV252)),--(((calc!$BA$3:$BA$306&gt;BA252)*(calc!$BB$3:$BB$306&lt;BB252)+(calc!$BA$3:$BA$306&lt;BA252)*(calc!$BB$3:$BB$306&gt;BB252))&gt;0)),0)</f>
        <v/>
      </c>
      <c r="BD252" s="5">
        <f>IF(mos_metrics!L251="","",mos_metrics!L251)</f>
        <v/>
      </c>
      <c r="BE252" s="2">
        <f>AND($J252,ISNUMBER(BD252),correlation!$I$31=1)</f>
        <v/>
      </c>
      <c r="BF252" s="5">
        <f>IF(BE252,$F252,"")</f>
        <v/>
      </c>
      <c r="BG252" s="5">
        <f>IF(BE252,BD252*correlation!$J$31,"")</f>
        <v/>
      </c>
      <c r="BH252" s="5">
        <f>IF(AND(BE252,ISNUMBER(correlation!$F$31)),BG252*correlation!$F$31+correlation!$G$31,"")</f>
        <v/>
      </c>
      <c r="BI252" s="5">
        <f>IF(AND(BE252,ISNUMBER(BH252)),(BF252-BH252)^2,"")</f>
        <v/>
      </c>
      <c r="BJ252" s="5">
        <f>IF(BE252,1+SUMPRODUCT(--(calc!$BE$3:$BE$306=TRUE),--(calc!$BF$3:$BF$306&gt;BF252))+(SUMPRODUCT(--(calc!$BE$3:$BE$306=TRUE),--(calc!$BF$3:$BF$306=BF252))-1)/2,"")</f>
        <v/>
      </c>
      <c r="BK252" s="5">
        <f>IF(BE252,1+SUMPRODUCT(--(calc!$BE$3:$BE$306=TRUE),--(calc!$BG$3:$BG$306&gt;BG252))+(SUMPRODUCT(--(calc!$BE$3:$BE$306=TRUE),--(calc!$BG$3:$BG$306=BG252))-1)/2,"")</f>
        <v/>
      </c>
      <c r="BL252" s="5">
        <f>IF(BE252,SUMPRODUCT(--(calc!$BE$3:$BE$306=TRUE),--(ROW(calc!$BE$3:$BE$306)&gt;ROW(BE252)),--(((calc!$BJ$3:$BJ$306&gt;BJ252)*(calc!$BK$3:$BK$306&gt;BK252)+(calc!$BJ$3:$BJ$306&lt;BJ252)*(calc!$BK$3:$BK$306&lt;BK252))&gt;0))-SUMPRODUCT(--(calc!$BE$3:$BE$306=TRUE),--(ROW(calc!$BE$3:$BE$306)&gt;ROW(BE252)),--(((calc!$BJ$3:$BJ$306&gt;BJ252)*(calc!$BK$3:$BK$306&lt;BK252)+(calc!$BJ$3:$BJ$306&lt;BJ252)*(calc!$BK$3:$BK$306&gt;BK252))&gt;0)),0)</f>
        <v/>
      </c>
      <c r="BM252" s="5">
        <f>IF(mos_metrics!M251="","",mos_metrics!M251)</f>
        <v/>
      </c>
      <c r="BN252" s="2">
        <f>AND($J252,ISNUMBER(BM252),correlation!$I$32=1)</f>
        <v/>
      </c>
      <c r="BO252" s="5">
        <f>IF(BN252,$F252,"")</f>
        <v/>
      </c>
      <c r="BP252" s="5">
        <f>IF(BN252,BM252*correlation!$J$32,"")</f>
        <v/>
      </c>
      <c r="BQ252" s="5">
        <f>IF(AND(BN252,ISNUMBER(correlation!$F$32)),BP252*correlation!$F$32+correlation!$G$32,"")</f>
        <v/>
      </c>
      <c r="BR252" s="5">
        <f>IF(AND(BN252,ISNUMBER(BQ252)),(BO252-BQ252)^2,"")</f>
        <v/>
      </c>
      <c r="BS252" s="5">
        <f>IF(BN252,1+SUMPRODUCT(--(calc!$BN$3:$BN$306=TRUE),--(calc!$BO$3:$BO$306&gt;BO252))+(SUMPRODUCT(--(calc!$BN$3:$BN$306=TRUE),--(calc!$BO$3:$BO$306=BO252))-1)/2,"")</f>
        <v/>
      </c>
      <c r="BT252" s="5">
        <f>IF(BN252,1+SUMPRODUCT(--(calc!$BN$3:$BN$306=TRUE),--(calc!$BP$3:$BP$306&gt;BP252))+(SUMPRODUCT(--(calc!$BN$3:$BN$306=TRUE),--(calc!$BP$3:$BP$306=BP252))-1)/2,"")</f>
        <v/>
      </c>
      <c r="BU252" s="5">
        <f>IF(BN252,SUMPRODUCT(--(calc!$BN$3:$BN$306=TRUE),--(ROW(calc!$BN$3:$BN$306)&gt;ROW(BN252)),--(((calc!$BS$3:$BS$306&gt;BS252)*(calc!$BT$3:$BT$306&gt;BT252)+(calc!$BS$3:$BS$306&lt;BS252)*(calc!$BT$3:$BT$306&lt;BT252))&gt;0))-SUMPRODUCT(--(calc!$BN$3:$BN$306=TRUE),--(ROW(calc!$BN$3:$BN$306)&gt;ROW(BN252)),--(((calc!$BS$3:$BS$306&gt;BS252)*(calc!$BT$3:$BT$306&lt;BT252)+(calc!$BS$3:$BS$306&lt;BS252)*(calc!$BT$3:$BT$306&gt;BT252))&gt;0)),0)</f>
        <v/>
      </c>
    </row>
    <row r="253">
      <c r="A253" s="2">
        <f>mos_metrics!A252</f>
        <v/>
      </c>
      <c r="B253" s="2">
        <f>mos_metrics!B252</f>
        <v/>
      </c>
      <c r="C253" s="2">
        <f>mos_metrics!C252</f>
        <v/>
      </c>
      <c r="D253" s="2">
        <f>mos_metrics!D252</f>
        <v/>
      </c>
      <c r="E253" s="2">
        <f>mos_metrics!E252</f>
        <v/>
      </c>
      <c r="F253" s="2">
        <f>mos_metrics!F252</f>
        <v/>
      </c>
      <c r="G253" s="2">
        <f>IF($B253="","",IFERROR(VLOOKUP($B253,correlation!$A$2:$B$16,2,FALSE),1))</f>
        <v/>
      </c>
      <c r="H253" s="2">
        <f>IF($E253="","",IFERROR(VLOOKUP($E253,correlation!$D$2:$E$8,2,FALSE),1))</f>
        <v/>
      </c>
      <c r="I253" s="2">
        <f>ISNUMBER($F253)</f>
        <v/>
      </c>
      <c r="J253" s="2">
        <f>AND($G253=1,$H253=1,$I253)</f>
        <v/>
      </c>
      <c r="K253" s="5">
        <f>IF(mos_metrics!G252="","",mos_metrics!G252)</f>
        <v/>
      </c>
      <c r="L253" s="2">
        <f>AND($J253,ISNUMBER(K253),correlation!$I$26=1)</f>
        <v/>
      </c>
      <c r="M253" s="5">
        <f>IF(L253,$F253,"")</f>
        <v/>
      </c>
      <c r="N253" s="5">
        <f>IF(L253,K253*correlation!$J$26,"")</f>
        <v/>
      </c>
      <c r="O253" s="5">
        <f>IF(AND(L253,ISNUMBER(correlation!$F$26)),N253*correlation!$F$26+correlation!$G$26,"")</f>
        <v/>
      </c>
      <c r="P253" s="5">
        <f>IF(AND(L253,ISNUMBER(O253)),(M253-O253)^2,"")</f>
        <v/>
      </c>
      <c r="Q253" s="5">
        <f>IF(L253,1+SUMPRODUCT(--(calc!$L$3:$L$306=TRUE),--(calc!$M$3:$M$306&gt;M253))+(SUMPRODUCT(--(calc!$L$3:$L$306=TRUE),--(calc!$M$3:$M$306=M253))-1)/2,"")</f>
        <v/>
      </c>
      <c r="R253" s="5">
        <f>IF(L253,1+SUMPRODUCT(--(calc!$L$3:$L$306=TRUE),--(calc!$N$3:$N$306&gt;N253))+(SUMPRODUCT(--(calc!$L$3:$L$306=TRUE),--(calc!$N$3:$N$306=N253))-1)/2,"")</f>
        <v/>
      </c>
      <c r="S253" s="5">
        <f>IF(L253,SUMPRODUCT(--(calc!$L$3:$L$306=TRUE),--(ROW(calc!$L$3:$L$306)&gt;ROW(L253)),--(((calc!$Q$3:$Q$306&gt;Q253)*(calc!$R$3:$R$306&gt;R253)+(calc!$Q$3:$Q$306&lt;Q253)*(calc!$R$3:$R$306&lt;R253))&gt;0))-SUMPRODUCT(--(calc!$L$3:$L$306=TRUE),--(ROW(calc!$L$3:$L$306)&gt;ROW(L253)),--(((calc!$Q$3:$Q$306&gt;Q253)*(calc!$R$3:$R$306&lt;R253)+(calc!$Q$3:$Q$306&lt;Q253)*(calc!$R$3:$R$306&gt;R253))&gt;0)),0)</f>
        <v/>
      </c>
      <c r="T253" s="5">
        <f>IF(mos_metrics!H252="","",mos_metrics!H252)</f>
        <v/>
      </c>
      <c r="U253" s="2">
        <f>AND($J253,ISNUMBER(T253),correlation!$I$27=1)</f>
        <v/>
      </c>
      <c r="V253" s="5">
        <f>IF(U253,$F253,"")</f>
        <v/>
      </c>
      <c r="W253" s="5">
        <f>IF(U253,T253*correlation!$J$27,"")</f>
        <v/>
      </c>
      <c r="X253" s="5">
        <f>IF(AND(U253,ISNUMBER(correlation!$F$27)),W253*correlation!$F$27+correlation!$G$27,"")</f>
        <v/>
      </c>
      <c r="Y253" s="5">
        <f>IF(AND(U253,ISNUMBER(X253)),(V253-X253)^2,"")</f>
        <v/>
      </c>
      <c r="Z253" s="5">
        <f>IF(U253,1+SUMPRODUCT(--(calc!$U$3:$U$306=TRUE),--(calc!$V$3:$V$306&gt;V253))+(SUMPRODUCT(--(calc!$U$3:$U$306=TRUE),--(calc!$V$3:$V$306=V253))-1)/2,"")</f>
        <v/>
      </c>
      <c r="AA253" s="5">
        <f>IF(U253,1+SUMPRODUCT(--(calc!$U$3:$U$306=TRUE),--(calc!$W$3:$W$306&gt;W253))+(SUMPRODUCT(--(calc!$U$3:$U$306=TRUE),--(calc!$W$3:$W$306=W253))-1)/2,"")</f>
        <v/>
      </c>
      <c r="AB253" s="5">
        <f>IF(U253,SUMPRODUCT(--(calc!$U$3:$U$306=TRUE),--(ROW(calc!$U$3:$U$306)&gt;ROW(U253)),--(((calc!$Z$3:$Z$306&gt;Z253)*(calc!$AA$3:$AA$306&gt;AA253)+(calc!$Z$3:$Z$306&lt;Z253)*(calc!$AA$3:$AA$306&lt;AA253))&gt;0))-SUMPRODUCT(--(calc!$U$3:$U$306=TRUE),--(ROW(calc!$U$3:$U$306)&gt;ROW(U253)),--(((calc!$Z$3:$Z$306&gt;Z253)*(calc!$AA$3:$AA$306&lt;AA253)+(calc!$Z$3:$Z$306&lt;Z253)*(calc!$AA$3:$AA$306&gt;AA253))&gt;0)),0)</f>
        <v/>
      </c>
      <c r="AC253" s="5">
        <f>IF(mos_metrics!I252="","",mos_metrics!I252)</f>
        <v/>
      </c>
      <c r="AD253" s="2">
        <f>AND($J253,ISNUMBER(AC253),correlation!$I$28=1)</f>
        <v/>
      </c>
      <c r="AE253" s="5">
        <f>IF(AD253,$F253,"")</f>
        <v/>
      </c>
      <c r="AF253" s="5">
        <f>IF(AD253,AC253*correlation!$J$28,"")</f>
        <v/>
      </c>
      <c r="AG253" s="5">
        <f>IF(AND(AD253,ISNUMBER(correlation!$F$28)),AF253*correlation!$F$28+correlation!$G$28,"")</f>
        <v/>
      </c>
      <c r="AH253" s="5">
        <f>IF(AND(AD253,ISNUMBER(AG253)),(AE253-AG253)^2,"")</f>
        <v/>
      </c>
      <c r="AI253" s="5">
        <f>IF(AD253,1+SUMPRODUCT(--(calc!$AD$3:$AD$306=TRUE),--(calc!$AE$3:$AE$306&gt;AE253))+(SUMPRODUCT(--(calc!$AD$3:$AD$306=TRUE),--(calc!$AE$3:$AE$306=AE253))-1)/2,"")</f>
        <v/>
      </c>
      <c r="AJ253" s="5">
        <f>IF(AD253,1+SUMPRODUCT(--(calc!$AD$3:$AD$306=TRUE),--(calc!$AF$3:$AF$306&gt;AF253))+(SUMPRODUCT(--(calc!$AD$3:$AD$306=TRUE),--(calc!$AF$3:$AF$306=AF253))-1)/2,"")</f>
        <v/>
      </c>
      <c r="AK253" s="5">
        <f>IF(AD253,SUMPRODUCT(--(calc!$AD$3:$AD$306=TRUE),--(ROW(calc!$AD$3:$AD$306)&gt;ROW(AD253)),--(((calc!$AI$3:$AI$306&gt;AI253)*(calc!$AJ$3:$AJ$306&gt;AJ253)+(calc!$AI$3:$AI$306&lt;AI253)*(calc!$AJ$3:$AJ$306&lt;AJ253))&gt;0))-SUMPRODUCT(--(calc!$AD$3:$AD$306=TRUE),--(ROW(calc!$AD$3:$AD$306)&gt;ROW(AD253)),--(((calc!$AI$3:$AI$306&gt;AI253)*(calc!$AJ$3:$AJ$306&lt;AJ253)+(calc!$AI$3:$AI$306&lt;AI253)*(calc!$AJ$3:$AJ$306&gt;AJ253))&gt;0)),0)</f>
        <v/>
      </c>
      <c r="AL253" s="5">
        <f>IF(mos_metrics!J252="","",mos_metrics!J252)</f>
        <v/>
      </c>
      <c r="AM253" s="2">
        <f>AND($J253,ISNUMBER(AL253),correlation!$I$29=1)</f>
        <v/>
      </c>
      <c r="AN253" s="5">
        <f>IF(AM253,$F253,"")</f>
        <v/>
      </c>
      <c r="AO253" s="5">
        <f>IF(AM253,AL253*correlation!$J$29,"")</f>
        <v/>
      </c>
      <c r="AP253" s="5">
        <f>IF(AND(AM253,ISNUMBER(correlation!$F$29)),AO253*correlation!$F$29+correlation!$G$29,"")</f>
        <v/>
      </c>
      <c r="AQ253" s="5">
        <f>IF(AND(AM253,ISNUMBER(AP253)),(AN253-AP253)^2,"")</f>
        <v/>
      </c>
      <c r="AR253" s="5">
        <f>IF(AM253,1+SUMPRODUCT(--(calc!$AM$3:$AM$306=TRUE),--(calc!$AN$3:$AN$306&gt;AN253))+(SUMPRODUCT(--(calc!$AM$3:$AM$306=TRUE),--(calc!$AN$3:$AN$306=AN253))-1)/2,"")</f>
        <v/>
      </c>
      <c r="AS253" s="5">
        <f>IF(AM253,1+SUMPRODUCT(--(calc!$AM$3:$AM$306=TRUE),--(calc!$AO$3:$AO$306&gt;AO253))+(SUMPRODUCT(--(calc!$AM$3:$AM$306=TRUE),--(calc!$AO$3:$AO$306=AO253))-1)/2,"")</f>
        <v/>
      </c>
      <c r="AT253" s="5">
        <f>IF(AM253,SUMPRODUCT(--(calc!$AM$3:$AM$306=TRUE),--(ROW(calc!$AM$3:$AM$306)&gt;ROW(AM253)),--(((calc!$AR$3:$AR$306&gt;AR253)*(calc!$AS$3:$AS$306&gt;AS253)+(calc!$AR$3:$AR$306&lt;AR253)*(calc!$AS$3:$AS$306&lt;AS253))&gt;0))-SUMPRODUCT(--(calc!$AM$3:$AM$306=TRUE),--(ROW(calc!$AM$3:$AM$306)&gt;ROW(AM253)),--(((calc!$AR$3:$AR$306&gt;AR253)*(calc!$AS$3:$AS$306&lt;AS253)+(calc!$AR$3:$AR$306&lt;AR253)*(calc!$AS$3:$AS$306&gt;AS253))&gt;0)),0)</f>
        <v/>
      </c>
      <c r="AU253" s="5">
        <f>IF(mos_metrics!K252="","",mos_metrics!K252)</f>
        <v/>
      </c>
      <c r="AV253" s="2">
        <f>AND($J253,ISNUMBER(AU253),correlation!$I$30=1)</f>
        <v/>
      </c>
      <c r="AW253" s="5">
        <f>IF(AV253,$F253,"")</f>
        <v/>
      </c>
      <c r="AX253" s="5">
        <f>IF(AV253,AU253*correlation!$J$30,"")</f>
        <v/>
      </c>
      <c r="AY253" s="5">
        <f>IF(AND(AV253,ISNUMBER(correlation!$F$30)),AX253*correlation!$F$30+correlation!$G$30,"")</f>
        <v/>
      </c>
      <c r="AZ253" s="5">
        <f>IF(AND(AV253,ISNUMBER(AY253)),(AW253-AY253)^2,"")</f>
        <v/>
      </c>
      <c r="BA253" s="5">
        <f>IF(AV253,1+SUMPRODUCT(--(calc!$AV$3:$AV$306=TRUE),--(calc!$AW$3:$AW$306&gt;AW253))+(SUMPRODUCT(--(calc!$AV$3:$AV$306=TRUE),--(calc!$AW$3:$AW$306=AW253))-1)/2,"")</f>
        <v/>
      </c>
      <c r="BB253" s="5">
        <f>IF(AV253,1+SUMPRODUCT(--(calc!$AV$3:$AV$306=TRUE),--(calc!$AX$3:$AX$306&gt;AX253))+(SUMPRODUCT(--(calc!$AV$3:$AV$306=TRUE),--(calc!$AX$3:$AX$306=AX253))-1)/2,"")</f>
        <v/>
      </c>
      <c r="BC253" s="5">
        <f>IF(AV253,SUMPRODUCT(--(calc!$AV$3:$AV$306=TRUE),--(ROW(calc!$AV$3:$AV$306)&gt;ROW(AV253)),--(((calc!$BA$3:$BA$306&gt;BA253)*(calc!$BB$3:$BB$306&gt;BB253)+(calc!$BA$3:$BA$306&lt;BA253)*(calc!$BB$3:$BB$306&lt;BB253))&gt;0))-SUMPRODUCT(--(calc!$AV$3:$AV$306=TRUE),--(ROW(calc!$AV$3:$AV$306)&gt;ROW(AV253)),--(((calc!$BA$3:$BA$306&gt;BA253)*(calc!$BB$3:$BB$306&lt;BB253)+(calc!$BA$3:$BA$306&lt;BA253)*(calc!$BB$3:$BB$306&gt;BB253))&gt;0)),0)</f>
        <v/>
      </c>
      <c r="BD253" s="5">
        <f>IF(mos_metrics!L252="","",mos_metrics!L252)</f>
        <v/>
      </c>
      <c r="BE253" s="2">
        <f>AND($J253,ISNUMBER(BD253),correlation!$I$31=1)</f>
        <v/>
      </c>
      <c r="BF253" s="5">
        <f>IF(BE253,$F253,"")</f>
        <v/>
      </c>
      <c r="BG253" s="5">
        <f>IF(BE253,BD253*correlation!$J$31,"")</f>
        <v/>
      </c>
      <c r="BH253" s="5">
        <f>IF(AND(BE253,ISNUMBER(correlation!$F$31)),BG253*correlation!$F$31+correlation!$G$31,"")</f>
        <v/>
      </c>
      <c r="BI253" s="5">
        <f>IF(AND(BE253,ISNUMBER(BH253)),(BF253-BH253)^2,"")</f>
        <v/>
      </c>
      <c r="BJ253" s="5">
        <f>IF(BE253,1+SUMPRODUCT(--(calc!$BE$3:$BE$306=TRUE),--(calc!$BF$3:$BF$306&gt;BF253))+(SUMPRODUCT(--(calc!$BE$3:$BE$306=TRUE),--(calc!$BF$3:$BF$306=BF253))-1)/2,"")</f>
        <v/>
      </c>
      <c r="BK253" s="5">
        <f>IF(BE253,1+SUMPRODUCT(--(calc!$BE$3:$BE$306=TRUE),--(calc!$BG$3:$BG$306&gt;BG253))+(SUMPRODUCT(--(calc!$BE$3:$BE$306=TRUE),--(calc!$BG$3:$BG$306=BG253))-1)/2,"")</f>
        <v/>
      </c>
      <c r="BL253" s="5">
        <f>IF(BE253,SUMPRODUCT(--(calc!$BE$3:$BE$306=TRUE),--(ROW(calc!$BE$3:$BE$306)&gt;ROW(BE253)),--(((calc!$BJ$3:$BJ$306&gt;BJ253)*(calc!$BK$3:$BK$306&gt;BK253)+(calc!$BJ$3:$BJ$306&lt;BJ253)*(calc!$BK$3:$BK$306&lt;BK253))&gt;0))-SUMPRODUCT(--(calc!$BE$3:$BE$306=TRUE),--(ROW(calc!$BE$3:$BE$306)&gt;ROW(BE253)),--(((calc!$BJ$3:$BJ$306&gt;BJ253)*(calc!$BK$3:$BK$306&lt;BK253)+(calc!$BJ$3:$BJ$306&lt;BJ253)*(calc!$BK$3:$BK$306&gt;BK253))&gt;0)),0)</f>
        <v/>
      </c>
      <c r="BM253" s="5">
        <f>IF(mos_metrics!M252="","",mos_metrics!M252)</f>
        <v/>
      </c>
      <c r="BN253" s="2">
        <f>AND($J253,ISNUMBER(BM253),correlation!$I$32=1)</f>
        <v/>
      </c>
      <c r="BO253" s="5">
        <f>IF(BN253,$F253,"")</f>
        <v/>
      </c>
      <c r="BP253" s="5">
        <f>IF(BN253,BM253*correlation!$J$32,"")</f>
        <v/>
      </c>
      <c r="BQ253" s="5">
        <f>IF(AND(BN253,ISNUMBER(correlation!$F$32)),BP253*correlation!$F$32+correlation!$G$32,"")</f>
        <v/>
      </c>
      <c r="BR253" s="5">
        <f>IF(AND(BN253,ISNUMBER(BQ253)),(BO253-BQ253)^2,"")</f>
        <v/>
      </c>
      <c r="BS253" s="5">
        <f>IF(BN253,1+SUMPRODUCT(--(calc!$BN$3:$BN$306=TRUE),--(calc!$BO$3:$BO$306&gt;BO253))+(SUMPRODUCT(--(calc!$BN$3:$BN$306=TRUE),--(calc!$BO$3:$BO$306=BO253))-1)/2,"")</f>
        <v/>
      </c>
      <c r="BT253" s="5">
        <f>IF(BN253,1+SUMPRODUCT(--(calc!$BN$3:$BN$306=TRUE),--(calc!$BP$3:$BP$306&gt;BP253))+(SUMPRODUCT(--(calc!$BN$3:$BN$306=TRUE),--(calc!$BP$3:$BP$306=BP253))-1)/2,"")</f>
        <v/>
      </c>
      <c r="BU253" s="5">
        <f>IF(BN253,SUMPRODUCT(--(calc!$BN$3:$BN$306=TRUE),--(ROW(calc!$BN$3:$BN$306)&gt;ROW(BN253)),--(((calc!$BS$3:$BS$306&gt;BS253)*(calc!$BT$3:$BT$306&gt;BT253)+(calc!$BS$3:$BS$306&lt;BS253)*(calc!$BT$3:$BT$306&lt;BT253))&gt;0))-SUMPRODUCT(--(calc!$BN$3:$BN$306=TRUE),--(ROW(calc!$BN$3:$BN$306)&gt;ROW(BN253)),--(((calc!$BS$3:$BS$306&gt;BS253)*(calc!$BT$3:$BT$306&lt;BT253)+(calc!$BS$3:$BS$306&lt;BS253)*(calc!$BT$3:$BT$306&gt;BT253))&gt;0)),0)</f>
        <v/>
      </c>
    </row>
    <row r="254">
      <c r="A254" s="2">
        <f>mos_metrics!A253</f>
        <v/>
      </c>
      <c r="B254" s="2">
        <f>mos_metrics!B253</f>
        <v/>
      </c>
      <c r="C254" s="2">
        <f>mos_metrics!C253</f>
        <v/>
      </c>
      <c r="D254" s="2">
        <f>mos_metrics!D253</f>
        <v/>
      </c>
      <c r="E254" s="2">
        <f>mos_metrics!E253</f>
        <v/>
      </c>
      <c r="F254" s="2">
        <f>mos_metrics!F253</f>
        <v/>
      </c>
      <c r="G254" s="2">
        <f>IF($B254="","",IFERROR(VLOOKUP($B254,correlation!$A$2:$B$16,2,FALSE),1))</f>
        <v/>
      </c>
      <c r="H254" s="2">
        <f>IF($E254="","",IFERROR(VLOOKUP($E254,correlation!$D$2:$E$8,2,FALSE),1))</f>
        <v/>
      </c>
      <c r="I254" s="2">
        <f>ISNUMBER($F254)</f>
        <v/>
      </c>
      <c r="J254" s="2">
        <f>AND($G254=1,$H254=1,$I254)</f>
        <v/>
      </c>
      <c r="K254" s="5">
        <f>IF(mos_metrics!G253="","",mos_metrics!G253)</f>
        <v/>
      </c>
      <c r="L254" s="2">
        <f>AND($J254,ISNUMBER(K254),correlation!$I$26=1)</f>
        <v/>
      </c>
      <c r="M254" s="5">
        <f>IF(L254,$F254,"")</f>
        <v/>
      </c>
      <c r="N254" s="5">
        <f>IF(L254,K254*correlation!$J$26,"")</f>
        <v/>
      </c>
      <c r="O254" s="5">
        <f>IF(AND(L254,ISNUMBER(correlation!$F$26)),N254*correlation!$F$26+correlation!$G$26,"")</f>
        <v/>
      </c>
      <c r="P254" s="5">
        <f>IF(AND(L254,ISNUMBER(O254)),(M254-O254)^2,"")</f>
        <v/>
      </c>
      <c r="Q254" s="5">
        <f>IF(L254,1+SUMPRODUCT(--(calc!$L$3:$L$306=TRUE),--(calc!$M$3:$M$306&gt;M254))+(SUMPRODUCT(--(calc!$L$3:$L$306=TRUE),--(calc!$M$3:$M$306=M254))-1)/2,"")</f>
        <v/>
      </c>
      <c r="R254" s="5">
        <f>IF(L254,1+SUMPRODUCT(--(calc!$L$3:$L$306=TRUE),--(calc!$N$3:$N$306&gt;N254))+(SUMPRODUCT(--(calc!$L$3:$L$306=TRUE),--(calc!$N$3:$N$306=N254))-1)/2,"")</f>
        <v/>
      </c>
      <c r="S254" s="5">
        <f>IF(L254,SUMPRODUCT(--(calc!$L$3:$L$306=TRUE),--(ROW(calc!$L$3:$L$306)&gt;ROW(L254)),--(((calc!$Q$3:$Q$306&gt;Q254)*(calc!$R$3:$R$306&gt;R254)+(calc!$Q$3:$Q$306&lt;Q254)*(calc!$R$3:$R$306&lt;R254))&gt;0))-SUMPRODUCT(--(calc!$L$3:$L$306=TRUE),--(ROW(calc!$L$3:$L$306)&gt;ROW(L254)),--(((calc!$Q$3:$Q$306&gt;Q254)*(calc!$R$3:$R$306&lt;R254)+(calc!$Q$3:$Q$306&lt;Q254)*(calc!$R$3:$R$306&gt;R254))&gt;0)),0)</f>
        <v/>
      </c>
      <c r="T254" s="5">
        <f>IF(mos_metrics!H253="","",mos_metrics!H253)</f>
        <v/>
      </c>
      <c r="U254" s="2">
        <f>AND($J254,ISNUMBER(T254),correlation!$I$27=1)</f>
        <v/>
      </c>
      <c r="V254" s="5">
        <f>IF(U254,$F254,"")</f>
        <v/>
      </c>
      <c r="W254" s="5">
        <f>IF(U254,T254*correlation!$J$27,"")</f>
        <v/>
      </c>
      <c r="X254" s="5">
        <f>IF(AND(U254,ISNUMBER(correlation!$F$27)),W254*correlation!$F$27+correlation!$G$27,"")</f>
        <v/>
      </c>
      <c r="Y254" s="5">
        <f>IF(AND(U254,ISNUMBER(X254)),(V254-X254)^2,"")</f>
        <v/>
      </c>
      <c r="Z254" s="5">
        <f>IF(U254,1+SUMPRODUCT(--(calc!$U$3:$U$306=TRUE),--(calc!$V$3:$V$306&gt;V254))+(SUMPRODUCT(--(calc!$U$3:$U$306=TRUE),--(calc!$V$3:$V$306=V254))-1)/2,"")</f>
        <v/>
      </c>
      <c r="AA254" s="5">
        <f>IF(U254,1+SUMPRODUCT(--(calc!$U$3:$U$306=TRUE),--(calc!$W$3:$W$306&gt;W254))+(SUMPRODUCT(--(calc!$U$3:$U$306=TRUE),--(calc!$W$3:$W$306=W254))-1)/2,"")</f>
        <v/>
      </c>
      <c r="AB254" s="5">
        <f>IF(U254,SUMPRODUCT(--(calc!$U$3:$U$306=TRUE),--(ROW(calc!$U$3:$U$306)&gt;ROW(U254)),--(((calc!$Z$3:$Z$306&gt;Z254)*(calc!$AA$3:$AA$306&gt;AA254)+(calc!$Z$3:$Z$306&lt;Z254)*(calc!$AA$3:$AA$306&lt;AA254))&gt;0))-SUMPRODUCT(--(calc!$U$3:$U$306=TRUE),--(ROW(calc!$U$3:$U$306)&gt;ROW(U254)),--(((calc!$Z$3:$Z$306&gt;Z254)*(calc!$AA$3:$AA$306&lt;AA254)+(calc!$Z$3:$Z$306&lt;Z254)*(calc!$AA$3:$AA$306&gt;AA254))&gt;0)),0)</f>
        <v/>
      </c>
      <c r="AC254" s="5">
        <f>IF(mos_metrics!I253="","",mos_metrics!I253)</f>
        <v/>
      </c>
      <c r="AD254" s="2">
        <f>AND($J254,ISNUMBER(AC254),correlation!$I$28=1)</f>
        <v/>
      </c>
      <c r="AE254" s="5">
        <f>IF(AD254,$F254,"")</f>
        <v/>
      </c>
      <c r="AF254" s="5">
        <f>IF(AD254,AC254*correlation!$J$28,"")</f>
        <v/>
      </c>
      <c r="AG254" s="5">
        <f>IF(AND(AD254,ISNUMBER(correlation!$F$28)),AF254*correlation!$F$28+correlation!$G$28,"")</f>
        <v/>
      </c>
      <c r="AH254" s="5">
        <f>IF(AND(AD254,ISNUMBER(AG254)),(AE254-AG254)^2,"")</f>
        <v/>
      </c>
      <c r="AI254" s="5">
        <f>IF(AD254,1+SUMPRODUCT(--(calc!$AD$3:$AD$306=TRUE),--(calc!$AE$3:$AE$306&gt;AE254))+(SUMPRODUCT(--(calc!$AD$3:$AD$306=TRUE),--(calc!$AE$3:$AE$306=AE254))-1)/2,"")</f>
        <v/>
      </c>
      <c r="AJ254" s="5">
        <f>IF(AD254,1+SUMPRODUCT(--(calc!$AD$3:$AD$306=TRUE),--(calc!$AF$3:$AF$306&gt;AF254))+(SUMPRODUCT(--(calc!$AD$3:$AD$306=TRUE),--(calc!$AF$3:$AF$306=AF254))-1)/2,"")</f>
        <v/>
      </c>
      <c r="AK254" s="5">
        <f>IF(AD254,SUMPRODUCT(--(calc!$AD$3:$AD$306=TRUE),--(ROW(calc!$AD$3:$AD$306)&gt;ROW(AD254)),--(((calc!$AI$3:$AI$306&gt;AI254)*(calc!$AJ$3:$AJ$306&gt;AJ254)+(calc!$AI$3:$AI$306&lt;AI254)*(calc!$AJ$3:$AJ$306&lt;AJ254))&gt;0))-SUMPRODUCT(--(calc!$AD$3:$AD$306=TRUE),--(ROW(calc!$AD$3:$AD$306)&gt;ROW(AD254)),--(((calc!$AI$3:$AI$306&gt;AI254)*(calc!$AJ$3:$AJ$306&lt;AJ254)+(calc!$AI$3:$AI$306&lt;AI254)*(calc!$AJ$3:$AJ$306&gt;AJ254))&gt;0)),0)</f>
        <v/>
      </c>
      <c r="AL254" s="5">
        <f>IF(mos_metrics!J253="","",mos_metrics!J253)</f>
        <v/>
      </c>
      <c r="AM254" s="2">
        <f>AND($J254,ISNUMBER(AL254),correlation!$I$29=1)</f>
        <v/>
      </c>
      <c r="AN254" s="5">
        <f>IF(AM254,$F254,"")</f>
        <v/>
      </c>
      <c r="AO254" s="5">
        <f>IF(AM254,AL254*correlation!$J$29,"")</f>
        <v/>
      </c>
      <c r="AP254" s="5">
        <f>IF(AND(AM254,ISNUMBER(correlation!$F$29)),AO254*correlation!$F$29+correlation!$G$29,"")</f>
        <v/>
      </c>
      <c r="AQ254" s="5">
        <f>IF(AND(AM254,ISNUMBER(AP254)),(AN254-AP254)^2,"")</f>
        <v/>
      </c>
      <c r="AR254" s="5">
        <f>IF(AM254,1+SUMPRODUCT(--(calc!$AM$3:$AM$306=TRUE),--(calc!$AN$3:$AN$306&gt;AN254))+(SUMPRODUCT(--(calc!$AM$3:$AM$306=TRUE),--(calc!$AN$3:$AN$306=AN254))-1)/2,"")</f>
        <v/>
      </c>
      <c r="AS254" s="5">
        <f>IF(AM254,1+SUMPRODUCT(--(calc!$AM$3:$AM$306=TRUE),--(calc!$AO$3:$AO$306&gt;AO254))+(SUMPRODUCT(--(calc!$AM$3:$AM$306=TRUE),--(calc!$AO$3:$AO$306=AO254))-1)/2,"")</f>
        <v/>
      </c>
      <c r="AT254" s="5">
        <f>IF(AM254,SUMPRODUCT(--(calc!$AM$3:$AM$306=TRUE),--(ROW(calc!$AM$3:$AM$306)&gt;ROW(AM254)),--(((calc!$AR$3:$AR$306&gt;AR254)*(calc!$AS$3:$AS$306&gt;AS254)+(calc!$AR$3:$AR$306&lt;AR254)*(calc!$AS$3:$AS$306&lt;AS254))&gt;0))-SUMPRODUCT(--(calc!$AM$3:$AM$306=TRUE),--(ROW(calc!$AM$3:$AM$306)&gt;ROW(AM254)),--(((calc!$AR$3:$AR$306&gt;AR254)*(calc!$AS$3:$AS$306&lt;AS254)+(calc!$AR$3:$AR$306&lt;AR254)*(calc!$AS$3:$AS$306&gt;AS254))&gt;0)),0)</f>
        <v/>
      </c>
      <c r="AU254" s="5">
        <f>IF(mos_metrics!K253="","",mos_metrics!K253)</f>
        <v/>
      </c>
      <c r="AV254" s="2">
        <f>AND($J254,ISNUMBER(AU254),correlation!$I$30=1)</f>
        <v/>
      </c>
      <c r="AW254" s="5">
        <f>IF(AV254,$F254,"")</f>
        <v/>
      </c>
      <c r="AX254" s="5">
        <f>IF(AV254,AU254*correlation!$J$30,"")</f>
        <v/>
      </c>
      <c r="AY254" s="5">
        <f>IF(AND(AV254,ISNUMBER(correlation!$F$30)),AX254*correlation!$F$30+correlation!$G$30,"")</f>
        <v/>
      </c>
      <c r="AZ254" s="5">
        <f>IF(AND(AV254,ISNUMBER(AY254)),(AW254-AY254)^2,"")</f>
        <v/>
      </c>
      <c r="BA254" s="5">
        <f>IF(AV254,1+SUMPRODUCT(--(calc!$AV$3:$AV$306=TRUE),--(calc!$AW$3:$AW$306&gt;AW254))+(SUMPRODUCT(--(calc!$AV$3:$AV$306=TRUE),--(calc!$AW$3:$AW$306=AW254))-1)/2,"")</f>
        <v/>
      </c>
      <c r="BB254" s="5">
        <f>IF(AV254,1+SUMPRODUCT(--(calc!$AV$3:$AV$306=TRUE),--(calc!$AX$3:$AX$306&gt;AX254))+(SUMPRODUCT(--(calc!$AV$3:$AV$306=TRUE),--(calc!$AX$3:$AX$306=AX254))-1)/2,"")</f>
        <v/>
      </c>
      <c r="BC254" s="5">
        <f>IF(AV254,SUMPRODUCT(--(calc!$AV$3:$AV$306=TRUE),--(ROW(calc!$AV$3:$AV$306)&gt;ROW(AV254)),--(((calc!$BA$3:$BA$306&gt;BA254)*(calc!$BB$3:$BB$306&gt;BB254)+(calc!$BA$3:$BA$306&lt;BA254)*(calc!$BB$3:$BB$306&lt;BB254))&gt;0))-SUMPRODUCT(--(calc!$AV$3:$AV$306=TRUE),--(ROW(calc!$AV$3:$AV$306)&gt;ROW(AV254)),--(((calc!$BA$3:$BA$306&gt;BA254)*(calc!$BB$3:$BB$306&lt;BB254)+(calc!$BA$3:$BA$306&lt;BA254)*(calc!$BB$3:$BB$306&gt;BB254))&gt;0)),0)</f>
        <v/>
      </c>
      <c r="BD254" s="5">
        <f>IF(mos_metrics!L253="","",mos_metrics!L253)</f>
        <v/>
      </c>
      <c r="BE254" s="2">
        <f>AND($J254,ISNUMBER(BD254),correlation!$I$31=1)</f>
        <v/>
      </c>
      <c r="BF254" s="5">
        <f>IF(BE254,$F254,"")</f>
        <v/>
      </c>
      <c r="BG254" s="5">
        <f>IF(BE254,BD254*correlation!$J$31,"")</f>
        <v/>
      </c>
      <c r="BH254" s="5">
        <f>IF(AND(BE254,ISNUMBER(correlation!$F$31)),BG254*correlation!$F$31+correlation!$G$31,"")</f>
        <v/>
      </c>
      <c r="BI254" s="5">
        <f>IF(AND(BE254,ISNUMBER(BH254)),(BF254-BH254)^2,"")</f>
        <v/>
      </c>
      <c r="BJ254" s="5">
        <f>IF(BE254,1+SUMPRODUCT(--(calc!$BE$3:$BE$306=TRUE),--(calc!$BF$3:$BF$306&gt;BF254))+(SUMPRODUCT(--(calc!$BE$3:$BE$306=TRUE),--(calc!$BF$3:$BF$306=BF254))-1)/2,"")</f>
        <v/>
      </c>
      <c r="BK254" s="5">
        <f>IF(BE254,1+SUMPRODUCT(--(calc!$BE$3:$BE$306=TRUE),--(calc!$BG$3:$BG$306&gt;BG254))+(SUMPRODUCT(--(calc!$BE$3:$BE$306=TRUE),--(calc!$BG$3:$BG$306=BG254))-1)/2,"")</f>
        <v/>
      </c>
      <c r="BL254" s="5">
        <f>IF(BE254,SUMPRODUCT(--(calc!$BE$3:$BE$306=TRUE),--(ROW(calc!$BE$3:$BE$306)&gt;ROW(BE254)),--(((calc!$BJ$3:$BJ$306&gt;BJ254)*(calc!$BK$3:$BK$306&gt;BK254)+(calc!$BJ$3:$BJ$306&lt;BJ254)*(calc!$BK$3:$BK$306&lt;BK254))&gt;0))-SUMPRODUCT(--(calc!$BE$3:$BE$306=TRUE),--(ROW(calc!$BE$3:$BE$306)&gt;ROW(BE254)),--(((calc!$BJ$3:$BJ$306&gt;BJ254)*(calc!$BK$3:$BK$306&lt;BK254)+(calc!$BJ$3:$BJ$306&lt;BJ254)*(calc!$BK$3:$BK$306&gt;BK254))&gt;0)),0)</f>
        <v/>
      </c>
      <c r="BM254" s="5">
        <f>IF(mos_metrics!M253="","",mos_metrics!M253)</f>
        <v/>
      </c>
      <c r="BN254" s="2">
        <f>AND($J254,ISNUMBER(BM254),correlation!$I$32=1)</f>
        <v/>
      </c>
      <c r="BO254" s="5">
        <f>IF(BN254,$F254,"")</f>
        <v/>
      </c>
      <c r="BP254" s="5">
        <f>IF(BN254,BM254*correlation!$J$32,"")</f>
        <v/>
      </c>
      <c r="BQ254" s="5">
        <f>IF(AND(BN254,ISNUMBER(correlation!$F$32)),BP254*correlation!$F$32+correlation!$G$32,"")</f>
        <v/>
      </c>
      <c r="BR254" s="5">
        <f>IF(AND(BN254,ISNUMBER(BQ254)),(BO254-BQ254)^2,"")</f>
        <v/>
      </c>
      <c r="BS254" s="5">
        <f>IF(BN254,1+SUMPRODUCT(--(calc!$BN$3:$BN$306=TRUE),--(calc!$BO$3:$BO$306&gt;BO254))+(SUMPRODUCT(--(calc!$BN$3:$BN$306=TRUE),--(calc!$BO$3:$BO$306=BO254))-1)/2,"")</f>
        <v/>
      </c>
      <c r="BT254" s="5">
        <f>IF(BN254,1+SUMPRODUCT(--(calc!$BN$3:$BN$306=TRUE),--(calc!$BP$3:$BP$306&gt;BP254))+(SUMPRODUCT(--(calc!$BN$3:$BN$306=TRUE),--(calc!$BP$3:$BP$306=BP254))-1)/2,"")</f>
        <v/>
      </c>
      <c r="BU254" s="5">
        <f>IF(BN254,SUMPRODUCT(--(calc!$BN$3:$BN$306=TRUE),--(ROW(calc!$BN$3:$BN$306)&gt;ROW(BN254)),--(((calc!$BS$3:$BS$306&gt;BS254)*(calc!$BT$3:$BT$306&gt;BT254)+(calc!$BS$3:$BS$306&lt;BS254)*(calc!$BT$3:$BT$306&lt;BT254))&gt;0))-SUMPRODUCT(--(calc!$BN$3:$BN$306=TRUE),--(ROW(calc!$BN$3:$BN$306)&gt;ROW(BN254)),--(((calc!$BS$3:$BS$306&gt;BS254)*(calc!$BT$3:$BT$306&lt;BT254)+(calc!$BS$3:$BS$306&lt;BS254)*(calc!$BT$3:$BT$306&gt;BT254))&gt;0)),0)</f>
        <v/>
      </c>
    </row>
    <row r="255">
      <c r="A255" s="2">
        <f>mos_metrics!A254</f>
        <v/>
      </c>
      <c r="B255" s="2">
        <f>mos_metrics!B254</f>
        <v/>
      </c>
      <c r="C255" s="2">
        <f>mos_metrics!C254</f>
        <v/>
      </c>
      <c r="D255" s="2">
        <f>mos_metrics!D254</f>
        <v/>
      </c>
      <c r="E255" s="2">
        <f>mos_metrics!E254</f>
        <v/>
      </c>
      <c r="F255" s="2">
        <f>mos_metrics!F254</f>
        <v/>
      </c>
      <c r="G255" s="2">
        <f>IF($B255="","",IFERROR(VLOOKUP($B255,correlation!$A$2:$B$16,2,FALSE),1))</f>
        <v/>
      </c>
      <c r="H255" s="2">
        <f>IF($E255="","",IFERROR(VLOOKUP($E255,correlation!$D$2:$E$8,2,FALSE),1))</f>
        <v/>
      </c>
      <c r="I255" s="2">
        <f>ISNUMBER($F255)</f>
        <v/>
      </c>
      <c r="J255" s="2">
        <f>AND($G255=1,$H255=1,$I255)</f>
        <v/>
      </c>
      <c r="K255" s="5">
        <f>IF(mos_metrics!G254="","",mos_metrics!G254)</f>
        <v/>
      </c>
      <c r="L255" s="2">
        <f>AND($J255,ISNUMBER(K255),correlation!$I$26=1)</f>
        <v/>
      </c>
      <c r="M255" s="5">
        <f>IF(L255,$F255,"")</f>
        <v/>
      </c>
      <c r="N255" s="5">
        <f>IF(L255,K255*correlation!$J$26,"")</f>
        <v/>
      </c>
      <c r="O255" s="5">
        <f>IF(AND(L255,ISNUMBER(correlation!$F$26)),N255*correlation!$F$26+correlation!$G$26,"")</f>
        <v/>
      </c>
      <c r="P255" s="5">
        <f>IF(AND(L255,ISNUMBER(O255)),(M255-O255)^2,"")</f>
        <v/>
      </c>
      <c r="Q255" s="5">
        <f>IF(L255,1+SUMPRODUCT(--(calc!$L$3:$L$306=TRUE),--(calc!$M$3:$M$306&gt;M255))+(SUMPRODUCT(--(calc!$L$3:$L$306=TRUE),--(calc!$M$3:$M$306=M255))-1)/2,"")</f>
        <v/>
      </c>
      <c r="R255" s="5">
        <f>IF(L255,1+SUMPRODUCT(--(calc!$L$3:$L$306=TRUE),--(calc!$N$3:$N$306&gt;N255))+(SUMPRODUCT(--(calc!$L$3:$L$306=TRUE),--(calc!$N$3:$N$306=N255))-1)/2,"")</f>
        <v/>
      </c>
      <c r="S255" s="5">
        <f>IF(L255,SUMPRODUCT(--(calc!$L$3:$L$306=TRUE),--(ROW(calc!$L$3:$L$306)&gt;ROW(L255)),--(((calc!$Q$3:$Q$306&gt;Q255)*(calc!$R$3:$R$306&gt;R255)+(calc!$Q$3:$Q$306&lt;Q255)*(calc!$R$3:$R$306&lt;R255))&gt;0))-SUMPRODUCT(--(calc!$L$3:$L$306=TRUE),--(ROW(calc!$L$3:$L$306)&gt;ROW(L255)),--(((calc!$Q$3:$Q$306&gt;Q255)*(calc!$R$3:$R$306&lt;R255)+(calc!$Q$3:$Q$306&lt;Q255)*(calc!$R$3:$R$306&gt;R255))&gt;0)),0)</f>
        <v/>
      </c>
      <c r="T255" s="5">
        <f>IF(mos_metrics!H254="","",mos_metrics!H254)</f>
        <v/>
      </c>
      <c r="U255" s="2">
        <f>AND($J255,ISNUMBER(T255),correlation!$I$27=1)</f>
        <v/>
      </c>
      <c r="V255" s="5">
        <f>IF(U255,$F255,"")</f>
        <v/>
      </c>
      <c r="W255" s="5">
        <f>IF(U255,T255*correlation!$J$27,"")</f>
        <v/>
      </c>
      <c r="X255" s="5">
        <f>IF(AND(U255,ISNUMBER(correlation!$F$27)),W255*correlation!$F$27+correlation!$G$27,"")</f>
        <v/>
      </c>
      <c r="Y255" s="5">
        <f>IF(AND(U255,ISNUMBER(X255)),(V255-X255)^2,"")</f>
        <v/>
      </c>
      <c r="Z255" s="5">
        <f>IF(U255,1+SUMPRODUCT(--(calc!$U$3:$U$306=TRUE),--(calc!$V$3:$V$306&gt;V255))+(SUMPRODUCT(--(calc!$U$3:$U$306=TRUE),--(calc!$V$3:$V$306=V255))-1)/2,"")</f>
        <v/>
      </c>
      <c r="AA255" s="5">
        <f>IF(U255,1+SUMPRODUCT(--(calc!$U$3:$U$306=TRUE),--(calc!$W$3:$W$306&gt;W255))+(SUMPRODUCT(--(calc!$U$3:$U$306=TRUE),--(calc!$W$3:$W$306=W255))-1)/2,"")</f>
        <v/>
      </c>
      <c r="AB255" s="5">
        <f>IF(U255,SUMPRODUCT(--(calc!$U$3:$U$306=TRUE),--(ROW(calc!$U$3:$U$306)&gt;ROW(U255)),--(((calc!$Z$3:$Z$306&gt;Z255)*(calc!$AA$3:$AA$306&gt;AA255)+(calc!$Z$3:$Z$306&lt;Z255)*(calc!$AA$3:$AA$306&lt;AA255))&gt;0))-SUMPRODUCT(--(calc!$U$3:$U$306=TRUE),--(ROW(calc!$U$3:$U$306)&gt;ROW(U255)),--(((calc!$Z$3:$Z$306&gt;Z255)*(calc!$AA$3:$AA$306&lt;AA255)+(calc!$Z$3:$Z$306&lt;Z255)*(calc!$AA$3:$AA$306&gt;AA255))&gt;0)),0)</f>
        <v/>
      </c>
      <c r="AC255" s="5">
        <f>IF(mos_metrics!I254="","",mos_metrics!I254)</f>
        <v/>
      </c>
      <c r="AD255" s="2">
        <f>AND($J255,ISNUMBER(AC255),correlation!$I$28=1)</f>
        <v/>
      </c>
      <c r="AE255" s="5">
        <f>IF(AD255,$F255,"")</f>
        <v/>
      </c>
      <c r="AF255" s="5">
        <f>IF(AD255,AC255*correlation!$J$28,"")</f>
        <v/>
      </c>
      <c r="AG255" s="5">
        <f>IF(AND(AD255,ISNUMBER(correlation!$F$28)),AF255*correlation!$F$28+correlation!$G$28,"")</f>
        <v/>
      </c>
      <c r="AH255" s="5">
        <f>IF(AND(AD255,ISNUMBER(AG255)),(AE255-AG255)^2,"")</f>
        <v/>
      </c>
      <c r="AI255" s="5">
        <f>IF(AD255,1+SUMPRODUCT(--(calc!$AD$3:$AD$306=TRUE),--(calc!$AE$3:$AE$306&gt;AE255))+(SUMPRODUCT(--(calc!$AD$3:$AD$306=TRUE),--(calc!$AE$3:$AE$306=AE255))-1)/2,"")</f>
        <v/>
      </c>
      <c r="AJ255" s="5">
        <f>IF(AD255,1+SUMPRODUCT(--(calc!$AD$3:$AD$306=TRUE),--(calc!$AF$3:$AF$306&gt;AF255))+(SUMPRODUCT(--(calc!$AD$3:$AD$306=TRUE),--(calc!$AF$3:$AF$306=AF255))-1)/2,"")</f>
        <v/>
      </c>
      <c r="AK255" s="5">
        <f>IF(AD255,SUMPRODUCT(--(calc!$AD$3:$AD$306=TRUE),--(ROW(calc!$AD$3:$AD$306)&gt;ROW(AD255)),--(((calc!$AI$3:$AI$306&gt;AI255)*(calc!$AJ$3:$AJ$306&gt;AJ255)+(calc!$AI$3:$AI$306&lt;AI255)*(calc!$AJ$3:$AJ$306&lt;AJ255))&gt;0))-SUMPRODUCT(--(calc!$AD$3:$AD$306=TRUE),--(ROW(calc!$AD$3:$AD$306)&gt;ROW(AD255)),--(((calc!$AI$3:$AI$306&gt;AI255)*(calc!$AJ$3:$AJ$306&lt;AJ255)+(calc!$AI$3:$AI$306&lt;AI255)*(calc!$AJ$3:$AJ$306&gt;AJ255))&gt;0)),0)</f>
        <v/>
      </c>
      <c r="AL255" s="5">
        <f>IF(mos_metrics!J254="","",mos_metrics!J254)</f>
        <v/>
      </c>
      <c r="AM255" s="2">
        <f>AND($J255,ISNUMBER(AL255),correlation!$I$29=1)</f>
        <v/>
      </c>
      <c r="AN255" s="5">
        <f>IF(AM255,$F255,"")</f>
        <v/>
      </c>
      <c r="AO255" s="5">
        <f>IF(AM255,AL255*correlation!$J$29,"")</f>
        <v/>
      </c>
      <c r="AP255" s="5">
        <f>IF(AND(AM255,ISNUMBER(correlation!$F$29)),AO255*correlation!$F$29+correlation!$G$29,"")</f>
        <v/>
      </c>
      <c r="AQ255" s="5">
        <f>IF(AND(AM255,ISNUMBER(AP255)),(AN255-AP255)^2,"")</f>
        <v/>
      </c>
      <c r="AR255" s="5">
        <f>IF(AM255,1+SUMPRODUCT(--(calc!$AM$3:$AM$306=TRUE),--(calc!$AN$3:$AN$306&gt;AN255))+(SUMPRODUCT(--(calc!$AM$3:$AM$306=TRUE),--(calc!$AN$3:$AN$306=AN255))-1)/2,"")</f>
        <v/>
      </c>
      <c r="AS255" s="5">
        <f>IF(AM255,1+SUMPRODUCT(--(calc!$AM$3:$AM$306=TRUE),--(calc!$AO$3:$AO$306&gt;AO255))+(SUMPRODUCT(--(calc!$AM$3:$AM$306=TRUE),--(calc!$AO$3:$AO$306=AO255))-1)/2,"")</f>
        <v/>
      </c>
      <c r="AT255" s="5">
        <f>IF(AM255,SUMPRODUCT(--(calc!$AM$3:$AM$306=TRUE),--(ROW(calc!$AM$3:$AM$306)&gt;ROW(AM255)),--(((calc!$AR$3:$AR$306&gt;AR255)*(calc!$AS$3:$AS$306&gt;AS255)+(calc!$AR$3:$AR$306&lt;AR255)*(calc!$AS$3:$AS$306&lt;AS255))&gt;0))-SUMPRODUCT(--(calc!$AM$3:$AM$306=TRUE),--(ROW(calc!$AM$3:$AM$306)&gt;ROW(AM255)),--(((calc!$AR$3:$AR$306&gt;AR255)*(calc!$AS$3:$AS$306&lt;AS255)+(calc!$AR$3:$AR$306&lt;AR255)*(calc!$AS$3:$AS$306&gt;AS255))&gt;0)),0)</f>
        <v/>
      </c>
      <c r="AU255" s="5">
        <f>IF(mos_metrics!K254="","",mos_metrics!K254)</f>
        <v/>
      </c>
      <c r="AV255" s="2">
        <f>AND($J255,ISNUMBER(AU255),correlation!$I$30=1)</f>
        <v/>
      </c>
      <c r="AW255" s="5">
        <f>IF(AV255,$F255,"")</f>
        <v/>
      </c>
      <c r="AX255" s="5">
        <f>IF(AV255,AU255*correlation!$J$30,"")</f>
        <v/>
      </c>
      <c r="AY255" s="5">
        <f>IF(AND(AV255,ISNUMBER(correlation!$F$30)),AX255*correlation!$F$30+correlation!$G$30,"")</f>
        <v/>
      </c>
      <c r="AZ255" s="5">
        <f>IF(AND(AV255,ISNUMBER(AY255)),(AW255-AY255)^2,"")</f>
        <v/>
      </c>
      <c r="BA255" s="5">
        <f>IF(AV255,1+SUMPRODUCT(--(calc!$AV$3:$AV$306=TRUE),--(calc!$AW$3:$AW$306&gt;AW255))+(SUMPRODUCT(--(calc!$AV$3:$AV$306=TRUE),--(calc!$AW$3:$AW$306=AW255))-1)/2,"")</f>
        <v/>
      </c>
      <c r="BB255" s="5">
        <f>IF(AV255,1+SUMPRODUCT(--(calc!$AV$3:$AV$306=TRUE),--(calc!$AX$3:$AX$306&gt;AX255))+(SUMPRODUCT(--(calc!$AV$3:$AV$306=TRUE),--(calc!$AX$3:$AX$306=AX255))-1)/2,"")</f>
        <v/>
      </c>
      <c r="BC255" s="5">
        <f>IF(AV255,SUMPRODUCT(--(calc!$AV$3:$AV$306=TRUE),--(ROW(calc!$AV$3:$AV$306)&gt;ROW(AV255)),--(((calc!$BA$3:$BA$306&gt;BA255)*(calc!$BB$3:$BB$306&gt;BB255)+(calc!$BA$3:$BA$306&lt;BA255)*(calc!$BB$3:$BB$306&lt;BB255))&gt;0))-SUMPRODUCT(--(calc!$AV$3:$AV$306=TRUE),--(ROW(calc!$AV$3:$AV$306)&gt;ROW(AV255)),--(((calc!$BA$3:$BA$306&gt;BA255)*(calc!$BB$3:$BB$306&lt;BB255)+(calc!$BA$3:$BA$306&lt;BA255)*(calc!$BB$3:$BB$306&gt;BB255))&gt;0)),0)</f>
        <v/>
      </c>
      <c r="BD255" s="5">
        <f>IF(mos_metrics!L254="","",mos_metrics!L254)</f>
        <v/>
      </c>
      <c r="BE255" s="2">
        <f>AND($J255,ISNUMBER(BD255),correlation!$I$31=1)</f>
        <v/>
      </c>
      <c r="BF255" s="5">
        <f>IF(BE255,$F255,"")</f>
        <v/>
      </c>
      <c r="BG255" s="5">
        <f>IF(BE255,BD255*correlation!$J$31,"")</f>
        <v/>
      </c>
      <c r="BH255" s="5">
        <f>IF(AND(BE255,ISNUMBER(correlation!$F$31)),BG255*correlation!$F$31+correlation!$G$31,"")</f>
        <v/>
      </c>
      <c r="BI255" s="5">
        <f>IF(AND(BE255,ISNUMBER(BH255)),(BF255-BH255)^2,"")</f>
        <v/>
      </c>
      <c r="BJ255" s="5">
        <f>IF(BE255,1+SUMPRODUCT(--(calc!$BE$3:$BE$306=TRUE),--(calc!$BF$3:$BF$306&gt;BF255))+(SUMPRODUCT(--(calc!$BE$3:$BE$306=TRUE),--(calc!$BF$3:$BF$306=BF255))-1)/2,"")</f>
        <v/>
      </c>
      <c r="BK255" s="5">
        <f>IF(BE255,1+SUMPRODUCT(--(calc!$BE$3:$BE$306=TRUE),--(calc!$BG$3:$BG$306&gt;BG255))+(SUMPRODUCT(--(calc!$BE$3:$BE$306=TRUE),--(calc!$BG$3:$BG$306=BG255))-1)/2,"")</f>
        <v/>
      </c>
      <c r="BL255" s="5">
        <f>IF(BE255,SUMPRODUCT(--(calc!$BE$3:$BE$306=TRUE),--(ROW(calc!$BE$3:$BE$306)&gt;ROW(BE255)),--(((calc!$BJ$3:$BJ$306&gt;BJ255)*(calc!$BK$3:$BK$306&gt;BK255)+(calc!$BJ$3:$BJ$306&lt;BJ255)*(calc!$BK$3:$BK$306&lt;BK255))&gt;0))-SUMPRODUCT(--(calc!$BE$3:$BE$306=TRUE),--(ROW(calc!$BE$3:$BE$306)&gt;ROW(BE255)),--(((calc!$BJ$3:$BJ$306&gt;BJ255)*(calc!$BK$3:$BK$306&lt;BK255)+(calc!$BJ$3:$BJ$306&lt;BJ255)*(calc!$BK$3:$BK$306&gt;BK255))&gt;0)),0)</f>
        <v/>
      </c>
      <c r="BM255" s="5">
        <f>IF(mos_metrics!M254="","",mos_metrics!M254)</f>
        <v/>
      </c>
      <c r="BN255" s="2">
        <f>AND($J255,ISNUMBER(BM255),correlation!$I$32=1)</f>
        <v/>
      </c>
      <c r="BO255" s="5">
        <f>IF(BN255,$F255,"")</f>
        <v/>
      </c>
      <c r="BP255" s="5">
        <f>IF(BN255,BM255*correlation!$J$32,"")</f>
        <v/>
      </c>
      <c r="BQ255" s="5">
        <f>IF(AND(BN255,ISNUMBER(correlation!$F$32)),BP255*correlation!$F$32+correlation!$G$32,"")</f>
        <v/>
      </c>
      <c r="BR255" s="5">
        <f>IF(AND(BN255,ISNUMBER(BQ255)),(BO255-BQ255)^2,"")</f>
        <v/>
      </c>
      <c r="BS255" s="5">
        <f>IF(BN255,1+SUMPRODUCT(--(calc!$BN$3:$BN$306=TRUE),--(calc!$BO$3:$BO$306&gt;BO255))+(SUMPRODUCT(--(calc!$BN$3:$BN$306=TRUE),--(calc!$BO$3:$BO$306=BO255))-1)/2,"")</f>
        <v/>
      </c>
      <c r="BT255" s="5">
        <f>IF(BN255,1+SUMPRODUCT(--(calc!$BN$3:$BN$306=TRUE),--(calc!$BP$3:$BP$306&gt;BP255))+(SUMPRODUCT(--(calc!$BN$3:$BN$306=TRUE),--(calc!$BP$3:$BP$306=BP255))-1)/2,"")</f>
        <v/>
      </c>
      <c r="BU255" s="5">
        <f>IF(BN255,SUMPRODUCT(--(calc!$BN$3:$BN$306=TRUE),--(ROW(calc!$BN$3:$BN$306)&gt;ROW(BN255)),--(((calc!$BS$3:$BS$306&gt;BS255)*(calc!$BT$3:$BT$306&gt;BT255)+(calc!$BS$3:$BS$306&lt;BS255)*(calc!$BT$3:$BT$306&lt;BT255))&gt;0))-SUMPRODUCT(--(calc!$BN$3:$BN$306=TRUE),--(ROW(calc!$BN$3:$BN$306)&gt;ROW(BN255)),--(((calc!$BS$3:$BS$306&gt;BS255)*(calc!$BT$3:$BT$306&lt;BT255)+(calc!$BS$3:$BS$306&lt;BS255)*(calc!$BT$3:$BT$306&gt;BT255))&gt;0)),0)</f>
        <v/>
      </c>
    </row>
    <row r="256">
      <c r="A256" s="2">
        <f>mos_metrics!A255</f>
        <v/>
      </c>
      <c r="B256" s="2">
        <f>mos_metrics!B255</f>
        <v/>
      </c>
      <c r="C256" s="2">
        <f>mos_metrics!C255</f>
        <v/>
      </c>
      <c r="D256" s="2">
        <f>mos_metrics!D255</f>
        <v/>
      </c>
      <c r="E256" s="2">
        <f>mos_metrics!E255</f>
        <v/>
      </c>
      <c r="F256" s="2">
        <f>mos_metrics!F255</f>
        <v/>
      </c>
      <c r="G256" s="2">
        <f>IF($B256="","",IFERROR(VLOOKUP($B256,correlation!$A$2:$B$16,2,FALSE),1))</f>
        <v/>
      </c>
      <c r="H256" s="2">
        <f>IF($E256="","",IFERROR(VLOOKUP($E256,correlation!$D$2:$E$8,2,FALSE),1))</f>
        <v/>
      </c>
      <c r="I256" s="2">
        <f>ISNUMBER($F256)</f>
        <v/>
      </c>
      <c r="J256" s="2">
        <f>AND($G256=1,$H256=1,$I256)</f>
        <v/>
      </c>
      <c r="K256" s="5">
        <f>IF(mos_metrics!G255="","",mos_metrics!G255)</f>
        <v/>
      </c>
      <c r="L256" s="2">
        <f>AND($J256,ISNUMBER(K256),correlation!$I$26=1)</f>
        <v/>
      </c>
      <c r="M256" s="5">
        <f>IF(L256,$F256,"")</f>
        <v/>
      </c>
      <c r="N256" s="5">
        <f>IF(L256,K256*correlation!$J$26,"")</f>
        <v/>
      </c>
      <c r="O256" s="5">
        <f>IF(AND(L256,ISNUMBER(correlation!$F$26)),N256*correlation!$F$26+correlation!$G$26,"")</f>
        <v/>
      </c>
      <c r="P256" s="5">
        <f>IF(AND(L256,ISNUMBER(O256)),(M256-O256)^2,"")</f>
        <v/>
      </c>
      <c r="Q256" s="5">
        <f>IF(L256,1+SUMPRODUCT(--(calc!$L$3:$L$306=TRUE),--(calc!$M$3:$M$306&gt;M256))+(SUMPRODUCT(--(calc!$L$3:$L$306=TRUE),--(calc!$M$3:$M$306=M256))-1)/2,"")</f>
        <v/>
      </c>
      <c r="R256" s="5">
        <f>IF(L256,1+SUMPRODUCT(--(calc!$L$3:$L$306=TRUE),--(calc!$N$3:$N$306&gt;N256))+(SUMPRODUCT(--(calc!$L$3:$L$306=TRUE),--(calc!$N$3:$N$306=N256))-1)/2,"")</f>
        <v/>
      </c>
      <c r="S256" s="5">
        <f>IF(L256,SUMPRODUCT(--(calc!$L$3:$L$306=TRUE),--(ROW(calc!$L$3:$L$306)&gt;ROW(L256)),--(((calc!$Q$3:$Q$306&gt;Q256)*(calc!$R$3:$R$306&gt;R256)+(calc!$Q$3:$Q$306&lt;Q256)*(calc!$R$3:$R$306&lt;R256))&gt;0))-SUMPRODUCT(--(calc!$L$3:$L$306=TRUE),--(ROW(calc!$L$3:$L$306)&gt;ROW(L256)),--(((calc!$Q$3:$Q$306&gt;Q256)*(calc!$R$3:$R$306&lt;R256)+(calc!$Q$3:$Q$306&lt;Q256)*(calc!$R$3:$R$306&gt;R256))&gt;0)),0)</f>
        <v/>
      </c>
      <c r="T256" s="5">
        <f>IF(mos_metrics!H255="","",mos_metrics!H255)</f>
        <v/>
      </c>
      <c r="U256" s="2">
        <f>AND($J256,ISNUMBER(T256),correlation!$I$27=1)</f>
        <v/>
      </c>
      <c r="V256" s="5">
        <f>IF(U256,$F256,"")</f>
        <v/>
      </c>
      <c r="W256" s="5">
        <f>IF(U256,T256*correlation!$J$27,"")</f>
        <v/>
      </c>
      <c r="X256" s="5">
        <f>IF(AND(U256,ISNUMBER(correlation!$F$27)),W256*correlation!$F$27+correlation!$G$27,"")</f>
        <v/>
      </c>
      <c r="Y256" s="5">
        <f>IF(AND(U256,ISNUMBER(X256)),(V256-X256)^2,"")</f>
        <v/>
      </c>
      <c r="Z256" s="5">
        <f>IF(U256,1+SUMPRODUCT(--(calc!$U$3:$U$306=TRUE),--(calc!$V$3:$V$306&gt;V256))+(SUMPRODUCT(--(calc!$U$3:$U$306=TRUE),--(calc!$V$3:$V$306=V256))-1)/2,"")</f>
        <v/>
      </c>
      <c r="AA256" s="5">
        <f>IF(U256,1+SUMPRODUCT(--(calc!$U$3:$U$306=TRUE),--(calc!$W$3:$W$306&gt;W256))+(SUMPRODUCT(--(calc!$U$3:$U$306=TRUE),--(calc!$W$3:$W$306=W256))-1)/2,"")</f>
        <v/>
      </c>
      <c r="AB256" s="5">
        <f>IF(U256,SUMPRODUCT(--(calc!$U$3:$U$306=TRUE),--(ROW(calc!$U$3:$U$306)&gt;ROW(U256)),--(((calc!$Z$3:$Z$306&gt;Z256)*(calc!$AA$3:$AA$306&gt;AA256)+(calc!$Z$3:$Z$306&lt;Z256)*(calc!$AA$3:$AA$306&lt;AA256))&gt;0))-SUMPRODUCT(--(calc!$U$3:$U$306=TRUE),--(ROW(calc!$U$3:$U$306)&gt;ROW(U256)),--(((calc!$Z$3:$Z$306&gt;Z256)*(calc!$AA$3:$AA$306&lt;AA256)+(calc!$Z$3:$Z$306&lt;Z256)*(calc!$AA$3:$AA$306&gt;AA256))&gt;0)),0)</f>
        <v/>
      </c>
      <c r="AC256" s="5">
        <f>IF(mos_metrics!I255="","",mos_metrics!I255)</f>
        <v/>
      </c>
      <c r="AD256" s="2">
        <f>AND($J256,ISNUMBER(AC256),correlation!$I$28=1)</f>
        <v/>
      </c>
      <c r="AE256" s="5">
        <f>IF(AD256,$F256,"")</f>
        <v/>
      </c>
      <c r="AF256" s="5">
        <f>IF(AD256,AC256*correlation!$J$28,"")</f>
        <v/>
      </c>
      <c r="AG256" s="5">
        <f>IF(AND(AD256,ISNUMBER(correlation!$F$28)),AF256*correlation!$F$28+correlation!$G$28,"")</f>
        <v/>
      </c>
      <c r="AH256" s="5">
        <f>IF(AND(AD256,ISNUMBER(AG256)),(AE256-AG256)^2,"")</f>
        <v/>
      </c>
      <c r="AI256" s="5">
        <f>IF(AD256,1+SUMPRODUCT(--(calc!$AD$3:$AD$306=TRUE),--(calc!$AE$3:$AE$306&gt;AE256))+(SUMPRODUCT(--(calc!$AD$3:$AD$306=TRUE),--(calc!$AE$3:$AE$306=AE256))-1)/2,"")</f>
        <v/>
      </c>
      <c r="AJ256" s="5">
        <f>IF(AD256,1+SUMPRODUCT(--(calc!$AD$3:$AD$306=TRUE),--(calc!$AF$3:$AF$306&gt;AF256))+(SUMPRODUCT(--(calc!$AD$3:$AD$306=TRUE),--(calc!$AF$3:$AF$306=AF256))-1)/2,"")</f>
        <v/>
      </c>
      <c r="AK256" s="5">
        <f>IF(AD256,SUMPRODUCT(--(calc!$AD$3:$AD$306=TRUE),--(ROW(calc!$AD$3:$AD$306)&gt;ROW(AD256)),--(((calc!$AI$3:$AI$306&gt;AI256)*(calc!$AJ$3:$AJ$306&gt;AJ256)+(calc!$AI$3:$AI$306&lt;AI256)*(calc!$AJ$3:$AJ$306&lt;AJ256))&gt;0))-SUMPRODUCT(--(calc!$AD$3:$AD$306=TRUE),--(ROW(calc!$AD$3:$AD$306)&gt;ROW(AD256)),--(((calc!$AI$3:$AI$306&gt;AI256)*(calc!$AJ$3:$AJ$306&lt;AJ256)+(calc!$AI$3:$AI$306&lt;AI256)*(calc!$AJ$3:$AJ$306&gt;AJ256))&gt;0)),0)</f>
        <v/>
      </c>
      <c r="AL256" s="5">
        <f>IF(mos_metrics!J255="","",mos_metrics!J255)</f>
        <v/>
      </c>
      <c r="AM256" s="2">
        <f>AND($J256,ISNUMBER(AL256),correlation!$I$29=1)</f>
        <v/>
      </c>
      <c r="AN256" s="5">
        <f>IF(AM256,$F256,"")</f>
        <v/>
      </c>
      <c r="AO256" s="5">
        <f>IF(AM256,AL256*correlation!$J$29,"")</f>
        <v/>
      </c>
      <c r="AP256" s="5">
        <f>IF(AND(AM256,ISNUMBER(correlation!$F$29)),AO256*correlation!$F$29+correlation!$G$29,"")</f>
        <v/>
      </c>
      <c r="AQ256" s="5">
        <f>IF(AND(AM256,ISNUMBER(AP256)),(AN256-AP256)^2,"")</f>
        <v/>
      </c>
      <c r="AR256" s="5">
        <f>IF(AM256,1+SUMPRODUCT(--(calc!$AM$3:$AM$306=TRUE),--(calc!$AN$3:$AN$306&gt;AN256))+(SUMPRODUCT(--(calc!$AM$3:$AM$306=TRUE),--(calc!$AN$3:$AN$306=AN256))-1)/2,"")</f>
        <v/>
      </c>
      <c r="AS256" s="5">
        <f>IF(AM256,1+SUMPRODUCT(--(calc!$AM$3:$AM$306=TRUE),--(calc!$AO$3:$AO$306&gt;AO256))+(SUMPRODUCT(--(calc!$AM$3:$AM$306=TRUE),--(calc!$AO$3:$AO$306=AO256))-1)/2,"")</f>
        <v/>
      </c>
      <c r="AT256" s="5">
        <f>IF(AM256,SUMPRODUCT(--(calc!$AM$3:$AM$306=TRUE),--(ROW(calc!$AM$3:$AM$306)&gt;ROW(AM256)),--(((calc!$AR$3:$AR$306&gt;AR256)*(calc!$AS$3:$AS$306&gt;AS256)+(calc!$AR$3:$AR$306&lt;AR256)*(calc!$AS$3:$AS$306&lt;AS256))&gt;0))-SUMPRODUCT(--(calc!$AM$3:$AM$306=TRUE),--(ROW(calc!$AM$3:$AM$306)&gt;ROW(AM256)),--(((calc!$AR$3:$AR$306&gt;AR256)*(calc!$AS$3:$AS$306&lt;AS256)+(calc!$AR$3:$AR$306&lt;AR256)*(calc!$AS$3:$AS$306&gt;AS256))&gt;0)),0)</f>
        <v/>
      </c>
      <c r="AU256" s="5">
        <f>IF(mos_metrics!K255="","",mos_metrics!K255)</f>
        <v/>
      </c>
      <c r="AV256" s="2">
        <f>AND($J256,ISNUMBER(AU256),correlation!$I$30=1)</f>
        <v/>
      </c>
      <c r="AW256" s="5">
        <f>IF(AV256,$F256,"")</f>
        <v/>
      </c>
      <c r="AX256" s="5">
        <f>IF(AV256,AU256*correlation!$J$30,"")</f>
        <v/>
      </c>
      <c r="AY256" s="5">
        <f>IF(AND(AV256,ISNUMBER(correlation!$F$30)),AX256*correlation!$F$30+correlation!$G$30,"")</f>
        <v/>
      </c>
      <c r="AZ256" s="5">
        <f>IF(AND(AV256,ISNUMBER(AY256)),(AW256-AY256)^2,"")</f>
        <v/>
      </c>
      <c r="BA256" s="5">
        <f>IF(AV256,1+SUMPRODUCT(--(calc!$AV$3:$AV$306=TRUE),--(calc!$AW$3:$AW$306&gt;AW256))+(SUMPRODUCT(--(calc!$AV$3:$AV$306=TRUE),--(calc!$AW$3:$AW$306=AW256))-1)/2,"")</f>
        <v/>
      </c>
      <c r="BB256" s="5">
        <f>IF(AV256,1+SUMPRODUCT(--(calc!$AV$3:$AV$306=TRUE),--(calc!$AX$3:$AX$306&gt;AX256))+(SUMPRODUCT(--(calc!$AV$3:$AV$306=TRUE),--(calc!$AX$3:$AX$306=AX256))-1)/2,"")</f>
        <v/>
      </c>
      <c r="BC256" s="5">
        <f>IF(AV256,SUMPRODUCT(--(calc!$AV$3:$AV$306=TRUE),--(ROW(calc!$AV$3:$AV$306)&gt;ROW(AV256)),--(((calc!$BA$3:$BA$306&gt;BA256)*(calc!$BB$3:$BB$306&gt;BB256)+(calc!$BA$3:$BA$306&lt;BA256)*(calc!$BB$3:$BB$306&lt;BB256))&gt;0))-SUMPRODUCT(--(calc!$AV$3:$AV$306=TRUE),--(ROW(calc!$AV$3:$AV$306)&gt;ROW(AV256)),--(((calc!$BA$3:$BA$306&gt;BA256)*(calc!$BB$3:$BB$306&lt;BB256)+(calc!$BA$3:$BA$306&lt;BA256)*(calc!$BB$3:$BB$306&gt;BB256))&gt;0)),0)</f>
        <v/>
      </c>
      <c r="BD256" s="5">
        <f>IF(mos_metrics!L255="","",mos_metrics!L255)</f>
        <v/>
      </c>
      <c r="BE256" s="2">
        <f>AND($J256,ISNUMBER(BD256),correlation!$I$31=1)</f>
        <v/>
      </c>
      <c r="BF256" s="5">
        <f>IF(BE256,$F256,"")</f>
        <v/>
      </c>
      <c r="BG256" s="5">
        <f>IF(BE256,BD256*correlation!$J$31,"")</f>
        <v/>
      </c>
      <c r="BH256" s="5">
        <f>IF(AND(BE256,ISNUMBER(correlation!$F$31)),BG256*correlation!$F$31+correlation!$G$31,"")</f>
        <v/>
      </c>
      <c r="BI256" s="5">
        <f>IF(AND(BE256,ISNUMBER(BH256)),(BF256-BH256)^2,"")</f>
        <v/>
      </c>
      <c r="BJ256" s="5">
        <f>IF(BE256,1+SUMPRODUCT(--(calc!$BE$3:$BE$306=TRUE),--(calc!$BF$3:$BF$306&gt;BF256))+(SUMPRODUCT(--(calc!$BE$3:$BE$306=TRUE),--(calc!$BF$3:$BF$306=BF256))-1)/2,"")</f>
        <v/>
      </c>
      <c r="BK256" s="5">
        <f>IF(BE256,1+SUMPRODUCT(--(calc!$BE$3:$BE$306=TRUE),--(calc!$BG$3:$BG$306&gt;BG256))+(SUMPRODUCT(--(calc!$BE$3:$BE$306=TRUE),--(calc!$BG$3:$BG$306=BG256))-1)/2,"")</f>
        <v/>
      </c>
      <c r="BL256" s="5">
        <f>IF(BE256,SUMPRODUCT(--(calc!$BE$3:$BE$306=TRUE),--(ROW(calc!$BE$3:$BE$306)&gt;ROW(BE256)),--(((calc!$BJ$3:$BJ$306&gt;BJ256)*(calc!$BK$3:$BK$306&gt;BK256)+(calc!$BJ$3:$BJ$306&lt;BJ256)*(calc!$BK$3:$BK$306&lt;BK256))&gt;0))-SUMPRODUCT(--(calc!$BE$3:$BE$306=TRUE),--(ROW(calc!$BE$3:$BE$306)&gt;ROW(BE256)),--(((calc!$BJ$3:$BJ$306&gt;BJ256)*(calc!$BK$3:$BK$306&lt;BK256)+(calc!$BJ$3:$BJ$306&lt;BJ256)*(calc!$BK$3:$BK$306&gt;BK256))&gt;0)),0)</f>
        <v/>
      </c>
      <c r="BM256" s="5">
        <f>IF(mos_metrics!M255="","",mos_metrics!M255)</f>
        <v/>
      </c>
      <c r="BN256" s="2">
        <f>AND($J256,ISNUMBER(BM256),correlation!$I$32=1)</f>
        <v/>
      </c>
      <c r="BO256" s="5">
        <f>IF(BN256,$F256,"")</f>
        <v/>
      </c>
      <c r="BP256" s="5">
        <f>IF(BN256,BM256*correlation!$J$32,"")</f>
        <v/>
      </c>
      <c r="BQ256" s="5">
        <f>IF(AND(BN256,ISNUMBER(correlation!$F$32)),BP256*correlation!$F$32+correlation!$G$32,"")</f>
        <v/>
      </c>
      <c r="BR256" s="5">
        <f>IF(AND(BN256,ISNUMBER(BQ256)),(BO256-BQ256)^2,"")</f>
        <v/>
      </c>
      <c r="BS256" s="5">
        <f>IF(BN256,1+SUMPRODUCT(--(calc!$BN$3:$BN$306=TRUE),--(calc!$BO$3:$BO$306&gt;BO256))+(SUMPRODUCT(--(calc!$BN$3:$BN$306=TRUE),--(calc!$BO$3:$BO$306=BO256))-1)/2,"")</f>
        <v/>
      </c>
      <c r="BT256" s="5">
        <f>IF(BN256,1+SUMPRODUCT(--(calc!$BN$3:$BN$306=TRUE),--(calc!$BP$3:$BP$306&gt;BP256))+(SUMPRODUCT(--(calc!$BN$3:$BN$306=TRUE),--(calc!$BP$3:$BP$306=BP256))-1)/2,"")</f>
        <v/>
      </c>
      <c r="BU256" s="5">
        <f>IF(BN256,SUMPRODUCT(--(calc!$BN$3:$BN$306=TRUE),--(ROW(calc!$BN$3:$BN$306)&gt;ROW(BN256)),--(((calc!$BS$3:$BS$306&gt;BS256)*(calc!$BT$3:$BT$306&gt;BT256)+(calc!$BS$3:$BS$306&lt;BS256)*(calc!$BT$3:$BT$306&lt;BT256))&gt;0))-SUMPRODUCT(--(calc!$BN$3:$BN$306=TRUE),--(ROW(calc!$BN$3:$BN$306)&gt;ROW(BN256)),--(((calc!$BS$3:$BS$306&gt;BS256)*(calc!$BT$3:$BT$306&lt;BT256)+(calc!$BS$3:$BS$306&lt;BS256)*(calc!$BT$3:$BT$306&gt;BT256))&gt;0)),0)</f>
        <v/>
      </c>
    </row>
    <row r="257">
      <c r="A257" s="2">
        <f>mos_metrics!A256</f>
        <v/>
      </c>
      <c r="B257" s="2">
        <f>mos_metrics!B256</f>
        <v/>
      </c>
      <c r="C257" s="2">
        <f>mos_metrics!C256</f>
        <v/>
      </c>
      <c r="D257" s="2">
        <f>mos_metrics!D256</f>
        <v/>
      </c>
      <c r="E257" s="2">
        <f>mos_metrics!E256</f>
        <v/>
      </c>
      <c r="F257" s="2">
        <f>mos_metrics!F256</f>
        <v/>
      </c>
      <c r="G257" s="2">
        <f>IF($B257="","",IFERROR(VLOOKUP($B257,correlation!$A$2:$B$16,2,FALSE),1))</f>
        <v/>
      </c>
      <c r="H257" s="2">
        <f>IF($E257="","",IFERROR(VLOOKUP($E257,correlation!$D$2:$E$8,2,FALSE),1))</f>
        <v/>
      </c>
      <c r="I257" s="2">
        <f>ISNUMBER($F257)</f>
        <v/>
      </c>
      <c r="J257" s="2">
        <f>AND($G257=1,$H257=1,$I257)</f>
        <v/>
      </c>
      <c r="K257" s="5">
        <f>IF(mos_metrics!G256="","",mos_metrics!G256)</f>
        <v/>
      </c>
      <c r="L257" s="2">
        <f>AND($J257,ISNUMBER(K257),correlation!$I$26=1)</f>
        <v/>
      </c>
      <c r="M257" s="5">
        <f>IF(L257,$F257,"")</f>
        <v/>
      </c>
      <c r="N257" s="5">
        <f>IF(L257,K257*correlation!$J$26,"")</f>
        <v/>
      </c>
      <c r="O257" s="5">
        <f>IF(AND(L257,ISNUMBER(correlation!$F$26)),N257*correlation!$F$26+correlation!$G$26,"")</f>
        <v/>
      </c>
      <c r="P257" s="5">
        <f>IF(AND(L257,ISNUMBER(O257)),(M257-O257)^2,"")</f>
        <v/>
      </c>
      <c r="Q257" s="5">
        <f>IF(L257,1+SUMPRODUCT(--(calc!$L$3:$L$306=TRUE),--(calc!$M$3:$M$306&gt;M257))+(SUMPRODUCT(--(calc!$L$3:$L$306=TRUE),--(calc!$M$3:$M$306=M257))-1)/2,"")</f>
        <v/>
      </c>
      <c r="R257" s="5">
        <f>IF(L257,1+SUMPRODUCT(--(calc!$L$3:$L$306=TRUE),--(calc!$N$3:$N$306&gt;N257))+(SUMPRODUCT(--(calc!$L$3:$L$306=TRUE),--(calc!$N$3:$N$306=N257))-1)/2,"")</f>
        <v/>
      </c>
      <c r="S257" s="5">
        <f>IF(L257,SUMPRODUCT(--(calc!$L$3:$L$306=TRUE),--(ROW(calc!$L$3:$L$306)&gt;ROW(L257)),--(((calc!$Q$3:$Q$306&gt;Q257)*(calc!$R$3:$R$306&gt;R257)+(calc!$Q$3:$Q$306&lt;Q257)*(calc!$R$3:$R$306&lt;R257))&gt;0))-SUMPRODUCT(--(calc!$L$3:$L$306=TRUE),--(ROW(calc!$L$3:$L$306)&gt;ROW(L257)),--(((calc!$Q$3:$Q$306&gt;Q257)*(calc!$R$3:$R$306&lt;R257)+(calc!$Q$3:$Q$306&lt;Q257)*(calc!$R$3:$R$306&gt;R257))&gt;0)),0)</f>
        <v/>
      </c>
      <c r="T257" s="5">
        <f>IF(mos_metrics!H256="","",mos_metrics!H256)</f>
        <v/>
      </c>
      <c r="U257" s="2">
        <f>AND($J257,ISNUMBER(T257),correlation!$I$27=1)</f>
        <v/>
      </c>
      <c r="V257" s="5">
        <f>IF(U257,$F257,"")</f>
        <v/>
      </c>
      <c r="W257" s="5">
        <f>IF(U257,T257*correlation!$J$27,"")</f>
        <v/>
      </c>
      <c r="X257" s="5">
        <f>IF(AND(U257,ISNUMBER(correlation!$F$27)),W257*correlation!$F$27+correlation!$G$27,"")</f>
        <v/>
      </c>
      <c r="Y257" s="5">
        <f>IF(AND(U257,ISNUMBER(X257)),(V257-X257)^2,"")</f>
        <v/>
      </c>
      <c r="Z257" s="5">
        <f>IF(U257,1+SUMPRODUCT(--(calc!$U$3:$U$306=TRUE),--(calc!$V$3:$V$306&gt;V257))+(SUMPRODUCT(--(calc!$U$3:$U$306=TRUE),--(calc!$V$3:$V$306=V257))-1)/2,"")</f>
        <v/>
      </c>
      <c r="AA257" s="5">
        <f>IF(U257,1+SUMPRODUCT(--(calc!$U$3:$U$306=TRUE),--(calc!$W$3:$W$306&gt;W257))+(SUMPRODUCT(--(calc!$U$3:$U$306=TRUE),--(calc!$W$3:$W$306=W257))-1)/2,"")</f>
        <v/>
      </c>
      <c r="AB257" s="5">
        <f>IF(U257,SUMPRODUCT(--(calc!$U$3:$U$306=TRUE),--(ROW(calc!$U$3:$U$306)&gt;ROW(U257)),--(((calc!$Z$3:$Z$306&gt;Z257)*(calc!$AA$3:$AA$306&gt;AA257)+(calc!$Z$3:$Z$306&lt;Z257)*(calc!$AA$3:$AA$306&lt;AA257))&gt;0))-SUMPRODUCT(--(calc!$U$3:$U$306=TRUE),--(ROW(calc!$U$3:$U$306)&gt;ROW(U257)),--(((calc!$Z$3:$Z$306&gt;Z257)*(calc!$AA$3:$AA$306&lt;AA257)+(calc!$Z$3:$Z$306&lt;Z257)*(calc!$AA$3:$AA$306&gt;AA257))&gt;0)),0)</f>
        <v/>
      </c>
      <c r="AC257" s="5">
        <f>IF(mos_metrics!I256="","",mos_metrics!I256)</f>
        <v/>
      </c>
      <c r="AD257" s="2">
        <f>AND($J257,ISNUMBER(AC257),correlation!$I$28=1)</f>
        <v/>
      </c>
      <c r="AE257" s="5">
        <f>IF(AD257,$F257,"")</f>
        <v/>
      </c>
      <c r="AF257" s="5">
        <f>IF(AD257,AC257*correlation!$J$28,"")</f>
        <v/>
      </c>
      <c r="AG257" s="5">
        <f>IF(AND(AD257,ISNUMBER(correlation!$F$28)),AF257*correlation!$F$28+correlation!$G$28,"")</f>
        <v/>
      </c>
      <c r="AH257" s="5">
        <f>IF(AND(AD257,ISNUMBER(AG257)),(AE257-AG257)^2,"")</f>
        <v/>
      </c>
      <c r="AI257" s="5">
        <f>IF(AD257,1+SUMPRODUCT(--(calc!$AD$3:$AD$306=TRUE),--(calc!$AE$3:$AE$306&gt;AE257))+(SUMPRODUCT(--(calc!$AD$3:$AD$306=TRUE),--(calc!$AE$3:$AE$306=AE257))-1)/2,"")</f>
        <v/>
      </c>
      <c r="AJ257" s="5">
        <f>IF(AD257,1+SUMPRODUCT(--(calc!$AD$3:$AD$306=TRUE),--(calc!$AF$3:$AF$306&gt;AF257))+(SUMPRODUCT(--(calc!$AD$3:$AD$306=TRUE),--(calc!$AF$3:$AF$306=AF257))-1)/2,"")</f>
        <v/>
      </c>
      <c r="AK257" s="5">
        <f>IF(AD257,SUMPRODUCT(--(calc!$AD$3:$AD$306=TRUE),--(ROW(calc!$AD$3:$AD$306)&gt;ROW(AD257)),--(((calc!$AI$3:$AI$306&gt;AI257)*(calc!$AJ$3:$AJ$306&gt;AJ257)+(calc!$AI$3:$AI$306&lt;AI257)*(calc!$AJ$3:$AJ$306&lt;AJ257))&gt;0))-SUMPRODUCT(--(calc!$AD$3:$AD$306=TRUE),--(ROW(calc!$AD$3:$AD$306)&gt;ROW(AD257)),--(((calc!$AI$3:$AI$306&gt;AI257)*(calc!$AJ$3:$AJ$306&lt;AJ257)+(calc!$AI$3:$AI$306&lt;AI257)*(calc!$AJ$3:$AJ$306&gt;AJ257))&gt;0)),0)</f>
        <v/>
      </c>
      <c r="AL257" s="5">
        <f>IF(mos_metrics!J256="","",mos_metrics!J256)</f>
        <v/>
      </c>
      <c r="AM257" s="2">
        <f>AND($J257,ISNUMBER(AL257),correlation!$I$29=1)</f>
        <v/>
      </c>
      <c r="AN257" s="5">
        <f>IF(AM257,$F257,"")</f>
        <v/>
      </c>
      <c r="AO257" s="5">
        <f>IF(AM257,AL257*correlation!$J$29,"")</f>
        <v/>
      </c>
      <c r="AP257" s="5">
        <f>IF(AND(AM257,ISNUMBER(correlation!$F$29)),AO257*correlation!$F$29+correlation!$G$29,"")</f>
        <v/>
      </c>
      <c r="AQ257" s="5">
        <f>IF(AND(AM257,ISNUMBER(AP257)),(AN257-AP257)^2,"")</f>
        <v/>
      </c>
      <c r="AR257" s="5">
        <f>IF(AM257,1+SUMPRODUCT(--(calc!$AM$3:$AM$306=TRUE),--(calc!$AN$3:$AN$306&gt;AN257))+(SUMPRODUCT(--(calc!$AM$3:$AM$306=TRUE),--(calc!$AN$3:$AN$306=AN257))-1)/2,"")</f>
        <v/>
      </c>
      <c r="AS257" s="5">
        <f>IF(AM257,1+SUMPRODUCT(--(calc!$AM$3:$AM$306=TRUE),--(calc!$AO$3:$AO$306&gt;AO257))+(SUMPRODUCT(--(calc!$AM$3:$AM$306=TRUE),--(calc!$AO$3:$AO$306=AO257))-1)/2,"")</f>
        <v/>
      </c>
      <c r="AT257" s="5">
        <f>IF(AM257,SUMPRODUCT(--(calc!$AM$3:$AM$306=TRUE),--(ROW(calc!$AM$3:$AM$306)&gt;ROW(AM257)),--(((calc!$AR$3:$AR$306&gt;AR257)*(calc!$AS$3:$AS$306&gt;AS257)+(calc!$AR$3:$AR$306&lt;AR257)*(calc!$AS$3:$AS$306&lt;AS257))&gt;0))-SUMPRODUCT(--(calc!$AM$3:$AM$306=TRUE),--(ROW(calc!$AM$3:$AM$306)&gt;ROW(AM257)),--(((calc!$AR$3:$AR$306&gt;AR257)*(calc!$AS$3:$AS$306&lt;AS257)+(calc!$AR$3:$AR$306&lt;AR257)*(calc!$AS$3:$AS$306&gt;AS257))&gt;0)),0)</f>
        <v/>
      </c>
      <c r="AU257" s="5">
        <f>IF(mos_metrics!K256="","",mos_metrics!K256)</f>
        <v/>
      </c>
      <c r="AV257" s="2">
        <f>AND($J257,ISNUMBER(AU257),correlation!$I$30=1)</f>
        <v/>
      </c>
      <c r="AW257" s="5">
        <f>IF(AV257,$F257,"")</f>
        <v/>
      </c>
      <c r="AX257" s="5">
        <f>IF(AV257,AU257*correlation!$J$30,"")</f>
        <v/>
      </c>
      <c r="AY257" s="5">
        <f>IF(AND(AV257,ISNUMBER(correlation!$F$30)),AX257*correlation!$F$30+correlation!$G$30,"")</f>
        <v/>
      </c>
      <c r="AZ257" s="5">
        <f>IF(AND(AV257,ISNUMBER(AY257)),(AW257-AY257)^2,"")</f>
        <v/>
      </c>
      <c r="BA257" s="5">
        <f>IF(AV257,1+SUMPRODUCT(--(calc!$AV$3:$AV$306=TRUE),--(calc!$AW$3:$AW$306&gt;AW257))+(SUMPRODUCT(--(calc!$AV$3:$AV$306=TRUE),--(calc!$AW$3:$AW$306=AW257))-1)/2,"")</f>
        <v/>
      </c>
      <c r="BB257" s="5">
        <f>IF(AV257,1+SUMPRODUCT(--(calc!$AV$3:$AV$306=TRUE),--(calc!$AX$3:$AX$306&gt;AX257))+(SUMPRODUCT(--(calc!$AV$3:$AV$306=TRUE),--(calc!$AX$3:$AX$306=AX257))-1)/2,"")</f>
        <v/>
      </c>
      <c r="BC257" s="5">
        <f>IF(AV257,SUMPRODUCT(--(calc!$AV$3:$AV$306=TRUE),--(ROW(calc!$AV$3:$AV$306)&gt;ROW(AV257)),--(((calc!$BA$3:$BA$306&gt;BA257)*(calc!$BB$3:$BB$306&gt;BB257)+(calc!$BA$3:$BA$306&lt;BA257)*(calc!$BB$3:$BB$306&lt;BB257))&gt;0))-SUMPRODUCT(--(calc!$AV$3:$AV$306=TRUE),--(ROW(calc!$AV$3:$AV$306)&gt;ROW(AV257)),--(((calc!$BA$3:$BA$306&gt;BA257)*(calc!$BB$3:$BB$306&lt;BB257)+(calc!$BA$3:$BA$306&lt;BA257)*(calc!$BB$3:$BB$306&gt;BB257))&gt;0)),0)</f>
        <v/>
      </c>
      <c r="BD257" s="5">
        <f>IF(mos_metrics!L256="","",mos_metrics!L256)</f>
        <v/>
      </c>
      <c r="BE257" s="2">
        <f>AND($J257,ISNUMBER(BD257),correlation!$I$31=1)</f>
        <v/>
      </c>
      <c r="BF257" s="5">
        <f>IF(BE257,$F257,"")</f>
        <v/>
      </c>
      <c r="BG257" s="5">
        <f>IF(BE257,BD257*correlation!$J$31,"")</f>
        <v/>
      </c>
      <c r="BH257" s="5">
        <f>IF(AND(BE257,ISNUMBER(correlation!$F$31)),BG257*correlation!$F$31+correlation!$G$31,"")</f>
        <v/>
      </c>
      <c r="BI257" s="5">
        <f>IF(AND(BE257,ISNUMBER(BH257)),(BF257-BH257)^2,"")</f>
        <v/>
      </c>
      <c r="BJ257" s="5">
        <f>IF(BE257,1+SUMPRODUCT(--(calc!$BE$3:$BE$306=TRUE),--(calc!$BF$3:$BF$306&gt;BF257))+(SUMPRODUCT(--(calc!$BE$3:$BE$306=TRUE),--(calc!$BF$3:$BF$306=BF257))-1)/2,"")</f>
        <v/>
      </c>
      <c r="BK257" s="5">
        <f>IF(BE257,1+SUMPRODUCT(--(calc!$BE$3:$BE$306=TRUE),--(calc!$BG$3:$BG$306&gt;BG257))+(SUMPRODUCT(--(calc!$BE$3:$BE$306=TRUE),--(calc!$BG$3:$BG$306=BG257))-1)/2,"")</f>
        <v/>
      </c>
      <c r="BL257" s="5">
        <f>IF(BE257,SUMPRODUCT(--(calc!$BE$3:$BE$306=TRUE),--(ROW(calc!$BE$3:$BE$306)&gt;ROW(BE257)),--(((calc!$BJ$3:$BJ$306&gt;BJ257)*(calc!$BK$3:$BK$306&gt;BK257)+(calc!$BJ$3:$BJ$306&lt;BJ257)*(calc!$BK$3:$BK$306&lt;BK257))&gt;0))-SUMPRODUCT(--(calc!$BE$3:$BE$306=TRUE),--(ROW(calc!$BE$3:$BE$306)&gt;ROW(BE257)),--(((calc!$BJ$3:$BJ$306&gt;BJ257)*(calc!$BK$3:$BK$306&lt;BK257)+(calc!$BJ$3:$BJ$306&lt;BJ257)*(calc!$BK$3:$BK$306&gt;BK257))&gt;0)),0)</f>
        <v/>
      </c>
      <c r="BM257" s="5">
        <f>IF(mos_metrics!M256="","",mos_metrics!M256)</f>
        <v/>
      </c>
      <c r="BN257" s="2">
        <f>AND($J257,ISNUMBER(BM257),correlation!$I$32=1)</f>
        <v/>
      </c>
      <c r="BO257" s="5">
        <f>IF(BN257,$F257,"")</f>
        <v/>
      </c>
      <c r="BP257" s="5">
        <f>IF(BN257,BM257*correlation!$J$32,"")</f>
        <v/>
      </c>
      <c r="BQ257" s="5">
        <f>IF(AND(BN257,ISNUMBER(correlation!$F$32)),BP257*correlation!$F$32+correlation!$G$32,"")</f>
        <v/>
      </c>
      <c r="BR257" s="5">
        <f>IF(AND(BN257,ISNUMBER(BQ257)),(BO257-BQ257)^2,"")</f>
        <v/>
      </c>
      <c r="BS257" s="5">
        <f>IF(BN257,1+SUMPRODUCT(--(calc!$BN$3:$BN$306=TRUE),--(calc!$BO$3:$BO$306&gt;BO257))+(SUMPRODUCT(--(calc!$BN$3:$BN$306=TRUE),--(calc!$BO$3:$BO$306=BO257))-1)/2,"")</f>
        <v/>
      </c>
      <c r="BT257" s="5">
        <f>IF(BN257,1+SUMPRODUCT(--(calc!$BN$3:$BN$306=TRUE),--(calc!$BP$3:$BP$306&gt;BP257))+(SUMPRODUCT(--(calc!$BN$3:$BN$306=TRUE),--(calc!$BP$3:$BP$306=BP257))-1)/2,"")</f>
        <v/>
      </c>
      <c r="BU257" s="5">
        <f>IF(BN257,SUMPRODUCT(--(calc!$BN$3:$BN$306=TRUE),--(ROW(calc!$BN$3:$BN$306)&gt;ROW(BN257)),--(((calc!$BS$3:$BS$306&gt;BS257)*(calc!$BT$3:$BT$306&gt;BT257)+(calc!$BS$3:$BS$306&lt;BS257)*(calc!$BT$3:$BT$306&lt;BT257))&gt;0))-SUMPRODUCT(--(calc!$BN$3:$BN$306=TRUE),--(ROW(calc!$BN$3:$BN$306)&gt;ROW(BN257)),--(((calc!$BS$3:$BS$306&gt;BS257)*(calc!$BT$3:$BT$306&lt;BT257)+(calc!$BS$3:$BS$306&lt;BS257)*(calc!$BT$3:$BT$306&gt;BT257))&gt;0)),0)</f>
        <v/>
      </c>
    </row>
    <row r="258">
      <c r="A258" s="2">
        <f>mos_metrics!A257</f>
        <v/>
      </c>
      <c r="B258" s="2">
        <f>mos_metrics!B257</f>
        <v/>
      </c>
      <c r="C258" s="2">
        <f>mos_metrics!C257</f>
        <v/>
      </c>
      <c r="D258" s="2">
        <f>mos_metrics!D257</f>
        <v/>
      </c>
      <c r="E258" s="2">
        <f>mos_metrics!E257</f>
        <v/>
      </c>
      <c r="F258" s="2">
        <f>mos_metrics!F257</f>
        <v/>
      </c>
      <c r="G258" s="2">
        <f>IF($B258="","",IFERROR(VLOOKUP($B258,correlation!$A$2:$B$16,2,FALSE),1))</f>
        <v/>
      </c>
      <c r="H258" s="2">
        <f>IF($E258="","",IFERROR(VLOOKUP($E258,correlation!$D$2:$E$8,2,FALSE),1))</f>
        <v/>
      </c>
      <c r="I258" s="2">
        <f>ISNUMBER($F258)</f>
        <v/>
      </c>
      <c r="J258" s="2">
        <f>AND($G258=1,$H258=1,$I258)</f>
        <v/>
      </c>
      <c r="K258" s="5">
        <f>IF(mos_metrics!G257="","",mos_metrics!G257)</f>
        <v/>
      </c>
      <c r="L258" s="2">
        <f>AND($J258,ISNUMBER(K258),correlation!$I$26=1)</f>
        <v/>
      </c>
      <c r="M258" s="5">
        <f>IF(L258,$F258,"")</f>
        <v/>
      </c>
      <c r="N258" s="5">
        <f>IF(L258,K258*correlation!$J$26,"")</f>
        <v/>
      </c>
      <c r="O258" s="5">
        <f>IF(AND(L258,ISNUMBER(correlation!$F$26)),N258*correlation!$F$26+correlation!$G$26,"")</f>
        <v/>
      </c>
      <c r="P258" s="5">
        <f>IF(AND(L258,ISNUMBER(O258)),(M258-O258)^2,"")</f>
        <v/>
      </c>
      <c r="Q258" s="5">
        <f>IF(L258,1+SUMPRODUCT(--(calc!$L$3:$L$306=TRUE),--(calc!$M$3:$M$306&gt;M258))+(SUMPRODUCT(--(calc!$L$3:$L$306=TRUE),--(calc!$M$3:$M$306=M258))-1)/2,"")</f>
        <v/>
      </c>
      <c r="R258" s="5">
        <f>IF(L258,1+SUMPRODUCT(--(calc!$L$3:$L$306=TRUE),--(calc!$N$3:$N$306&gt;N258))+(SUMPRODUCT(--(calc!$L$3:$L$306=TRUE),--(calc!$N$3:$N$306=N258))-1)/2,"")</f>
        <v/>
      </c>
      <c r="S258" s="5">
        <f>IF(L258,SUMPRODUCT(--(calc!$L$3:$L$306=TRUE),--(ROW(calc!$L$3:$L$306)&gt;ROW(L258)),--(((calc!$Q$3:$Q$306&gt;Q258)*(calc!$R$3:$R$306&gt;R258)+(calc!$Q$3:$Q$306&lt;Q258)*(calc!$R$3:$R$306&lt;R258))&gt;0))-SUMPRODUCT(--(calc!$L$3:$L$306=TRUE),--(ROW(calc!$L$3:$L$306)&gt;ROW(L258)),--(((calc!$Q$3:$Q$306&gt;Q258)*(calc!$R$3:$R$306&lt;R258)+(calc!$Q$3:$Q$306&lt;Q258)*(calc!$R$3:$R$306&gt;R258))&gt;0)),0)</f>
        <v/>
      </c>
      <c r="T258" s="5">
        <f>IF(mos_metrics!H257="","",mos_metrics!H257)</f>
        <v/>
      </c>
      <c r="U258" s="2">
        <f>AND($J258,ISNUMBER(T258),correlation!$I$27=1)</f>
        <v/>
      </c>
      <c r="V258" s="5">
        <f>IF(U258,$F258,"")</f>
        <v/>
      </c>
      <c r="W258" s="5">
        <f>IF(U258,T258*correlation!$J$27,"")</f>
        <v/>
      </c>
      <c r="X258" s="5">
        <f>IF(AND(U258,ISNUMBER(correlation!$F$27)),W258*correlation!$F$27+correlation!$G$27,"")</f>
        <v/>
      </c>
      <c r="Y258" s="5">
        <f>IF(AND(U258,ISNUMBER(X258)),(V258-X258)^2,"")</f>
        <v/>
      </c>
      <c r="Z258" s="5">
        <f>IF(U258,1+SUMPRODUCT(--(calc!$U$3:$U$306=TRUE),--(calc!$V$3:$V$306&gt;V258))+(SUMPRODUCT(--(calc!$U$3:$U$306=TRUE),--(calc!$V$3:$V$306=V258))-1)/2,"")</f>
        <v/>
      </c>
      <c r="AA258" s="5">
        <f>IF(U258,1+SUMPRODUCT(--(calc!$U$3:$U$306=TRUE),--(calc!$W$3:$W$306&gt;W258))+(SUMPRODUCT(--(calc!$U$3:$U$306=TRUE),--(calc!$W$3:$W$306=W258))-1)/2,"")</f>
        <v/>
      </c>
      <c r="AB258" s="5">
        <f>IF(U258,SUMPRODUCT(--(calc!$U$3:$U$306=TRUE),--(ROW(calc!$U$3:$U$306)&gt;ROW(U258)),--(((calc!$Z$3:$Z$306&gt;Z258)*(calc!$AA$3:$AA$306&gt;AA258)+(calc!$Z$3:$Z$306&lt;Z258)*(calc!$AA$3:$AA$306&lt;AA258))&gt;0))-SUMPRODUCT(--(calc!$U$3:$U$306=TRUE),--(ROW(calc!$U$3:$U$306)&gt;ROW(U258)),--(((calc!$Z$3:$Z$306&gt;Z258)*(calc!$AA$3:$AA$306&lt;AA258)+(calc!$Z$3:$Z$306&lt;Z258)*(calc!$AA$3:$AA$306&gt;AA258))&gt;0)),0)</f>
        <v/>
      </c>
      <c r="AC258" s="5">
        <f>IF(mos_metrics!I257="","",mos_metrics!I257)</f>
        <v/>
      </c>
      <c r="AD258" s="2">
        <f>AND($J258,ISNUMBER(AC258),correlation!$I$28=1)</f>
        <v/>
      </c>
      <c r="AE258" s="5">
        <f>IF(AD258,$F258,"")</f>
        <v/>
      </c>
      <c r="AF258" s="5">
        <f>IF(AD258,AC258*correlation!$J$28,"")</f>
        <v/>
      </c>
      <c r="AG258" s="5">
        <f>IF(AND(AD258,ISNUMBER(correlation!$F$28)),AF258*correlation!$F$28+correlation!$G$28,"")</f>
        <v/>
      </c>
      <c r="AH258" s="5">
        <f>IF(AND(AD258,ISNUMBER(AG258)),(AE258-AG258)^2,"")</f>
        <v/>
      </c>
      <c r="AI258" s="5">
        <f>IF(AD258,1+SUMPRODUCT(--(calc!$AD$3:$AD$306=TRUE),--(calc!$AE$3:$AE$306&gt;AE258))+(SUMPRODUCT(--(calc!$AD$3:$AD$306=TRUE),--(calc!$AE$3:$AE$306=AE258))-1)/2,"")</f>
        <v/>
      </c>
      <c r="AJ258" s="5">
        <f>IF(AD258,1+SUMPRODUCT(--(calc!$AD$3:$AD$306=TRUE),--(calc!$AF$3:$AF$306&gt;AF258))+(SUMPRODUCT(--(calc!$AD$3:$AD$306=TRUE),--(calc!$AF$3:$AF$306=AF258))-1)/2,"")</f>
        <v/>
      </c>
      <c r="AK258" s="5">
        <f>IF(AD258,SUMPRODUCT(--(calc!$AD$3:$AD$306=TRUE),--(ROW(calc!$AD$3:$AD$306)&gt;ROW(AD258)),--(((calc!$AI$3:$AI$306&gt;AI258)*(calc!$AJ$3:$AJ$306&gt;AJ258)+(calc!$AI$3:$AI$306&lt;AI258)*(calc!$AJ$3:$AJ$306&lt;AJ258))&gt;0))-SUMPRODUCT(--(calc!$AD$3:$AD$306=TRUE),--(ROW(calc!$AD$3:$AD$306)&gt;ROW(AD258)),--(((calc!$AI$3:$AI$306&gt;AI258)*(calc!$AJ$3:$AJ$306&lt;AJ258)+(calc!$AI$3:$AI$306&lt;AI258)*(calc!$AJ$3:$AJ$306&gt;AJ258))&gt;0)),0)</f>
        <v/>
      </c>
      <c r="AL258" s="5">
        <f>IF(mos_metrics!J257="","",mos_metrics!J257)</f>
        <v/>
      </c>
      <c r="AM258" s="2">
        <f>AND($J258,ISNUMBER(AL258),correlation!$I$29=1)</f>
        <v/>
      </c>
      <c r="AN258" s="5">
        <f>IF(AM258,$F258,"")</f>
        <v/>
      </c>
      <c r="AO258" s="5">
        <f>IF(AM258,AL258*correlation!$J$29,"")</f>
        <v/>
      </c>
      <c r="AP258" s="5">
        <f>IF(AND(AM258,ISNUMBER(correlation!$F$29)),AO258*correlation!$F$29+correlation!$G$29,"")</f>
        <v/>
      </c>
      <c r="AQ258" s="5">
        <f>IF(AND(AM258,ISNUMBER(AP258)),(AN258-AP258)^2,"")</f>
        <v/>
      </c>
      <c r="AR258" s="5">
        <f>IF(AM258,1+SUMPRODUCT(--(calc!$AM$3:$AM$306=TRUE),--(calc!$AN$3:$AN$306&gt;AN258))+(SUMPRODUCT(--(calc!$AM$3:$AM$306=TRUE),--(calc!$AN$3:$AN$306=AN258))-1)/2,"")</f>
        <v/>
      </c>
      <c r="AS258" s="5">
        <f>IF(AM258,1+SUMPRODUCT(--(calc!$AM$3:$AM$306=TRUE),--(calc!$AO$3:$AO$306&gt;AO258))+(SUMPRODUCT(--(calc!$AM$3:$AM$306=TRUE),--(calc!$AO$3:$AO$306=AO258))-1)/2,"")</f>
        <v/>
      </c>
      <c r="AT258" s="5">
        <f>IF(AM258,SUMPRODUCT(--(calc!$AM$3:$AM$306=TRUE),--(ROW(calc!$AM$3:$AM$306)&gt;ROW(AM258)),--(((calc!$AR$3:$AR$306&gt;AR258)*(calc!$AS$3:$AS$306&gt;AS258)+(calc!$AR$3:$AR$306&lt;AR258)*(calc!$AS$3:$AS$306&lt;AS258))&gt;0))-SUMPRODUCT(--(calc!$AM$3:$AM$306=TRUE),--(ROW(calc!$AM$3:$AM$306)&gt;ROW(AM258)),--(((calc!$AR$3:$AR$306&gt;AR258)*(calc!$AS$3:$AS$306&lt;AS258)+(calc!$AR$3:$AR$306&lt;AR258)*(calc!$AS$3:$AS$306&gt;AS258))&gt;0)),0)</f>
        <v/>
      </c>
      <c r="AU258" s="5">
        <f>IF(mos_metrics!K257="","",mos_metrics!K257)</f>
        <v/>
      </c>
      <c r="AV258" s="2">
        <f>AND($J258,ISNUMBER(AU258),correlation!$I$30=1)</f>
        <v/>
      </c>
      <c r="AW258" s="5">
        <f>IF(AV258,$F258,"")</f>
        <v/>
      </c>
      <c r="AX258" s="5">
        <f>IF(AV258,AU258*correlation!$J$30,"")</f>
        <v/>
      </c>
      <c r="AY258" s="5">
        <f>IF(AND(AV258,ISNUMBER(correlation!$F$30)),AX258*correlation!$F$30+correlation!$G$30,"")</f>
        <v/>
      </c>
      <c r="AZ258" s="5">
        <f>IF(AND(AV258,ISNUMBER(AY258)),(AW258-AY258)^2,"")</f>
        <v/>
      </c>
      <c r="BA258" s="5">
        <f>IF(AV258,1+SUMPRODUCT(--(calc!$AV$3:$AV$306=TRUE),--(calc!$AW$3:$AW$306&gt;AW258))+(SUMPRODUCT(--(calc!$AV$3:$AV$306=TRUE),--(calc!$AW$3:$AW$306=AW258))-1)/2,"")</f>
        <v/>
      </c>
      <c r="BB258" s="5">
        <f>IF(AV258,1+SUMPRODUCT(--(calc!$AV$3:$AV$306=TRUE),--(calc!$AX$3:$AX$306&gt;AX258))+(SUMPRODUCT(--(calc!$AV$3:$AV$306=TRUE),--(calc!$AX$3:$AX$306=AX258))-1)/2,"")</f>
        <v/>
      </c>
      <c r="BC258" s="5">
        <f>IF(AV258,SUMPRODUCT(--(calc!$AV$3:$AV$306=TRUE),--(ROW(calc!$AV$3:$AV$306)&gt;ROW(AV258)),--(((calc!$BA$3:$BA$306&gt;BA258)*(calc!$BB$3:$BB$306&gt;BB258)+(calc!$BA$3:$BA$306&lt;BA258)*(calc!$BB$3:$BB$306&lt;BB258))&gt;0))-SUMPRODUCT(--(calc!$AV$3:$AV$306=TRUE),--(ROW(calc!$AV$3:$AV$306)&gt;ROW(AV258)),--(((calc!$BA$3:$BA$306&gt;BA258)*(calc!$BB$3:$BB$306&lt;BB258)+(calc!$BA$3:$BA$306&lt;BA258)*(calc!$BB$3:$BB$306&gt;BB258))&gt;0)),0)</f>
        <v/>
      </c>
      <c r="BD258" s="5">
        <f>IF(mos_metrics!L257="","",mos_metrics!L257)</f>
        <v/>
      </c>
      <c r="BE258" s="2">
        <f>AND($J258,ISNUMBER(BD258),correlation!$I$31=1)</f>
        <v/>
      </c>
      <c r="BF258" s="5">
        <f>IF(BE258,$F258,"")</f>
        <v/>
      </c>
      <c r="BG258" s="5">
        <f>IF(BE258,BD258*correlation!$J$31,"")</f>
        <v/>
      </c>
      <c r="BH258" s="5">
        <f>IF(AND(BE258,ISNUMBER(correlation!$F$31)),BG258*correlation!$F$31+correlation!$G$31,"")</f>
        <v/>
      </c>
      <c r="BI258" s="5">
        <f>IF(AND(BE258,ISNUMBER(BH258)),(BF258-BH258)^2,"")</f>
        <v/>
      </c>
      <c r="BJ258" s="5">
        <f>IF(BE258,1+SUMPRODUCT(--(calc!$BE$3:$BE$306=TRUE),--(calc!$BF$3:$BF$306&gt;BF258))+(SUMPRODUCT(--(calc!$BE$3:$BE$306=TRUE),--(calc!$BF$3:$BF$306=BF258))-1)/2,"")</f>
        <v/>
      </c>
      <c r="BK258" s="5">
        <f>IF(BE258,1+SUMPRODUCT(--(calc!$BE$3:$BE$306=TRUE),--(calc!$BG$3:$BG$306&gt;BG258))+(SUMPRODUCT(--(calc!$BE$3:$BE$306=TRUE),--(calc!$BG$3:$BG$306=BG258))-1)/2,"")</f>
        <v/>
      </c>
      <c r="BL258" s="5">
        <f>IF(BE258,SUMPRODUCT(--(calc!$BE$3:$BE$306=TRUE),--(ROW(calc!$BE$3:$BE$306)&gt;ROW(BE258)),--(((calc!$BJ$3:$BJ$306&gt;BJ258)*(calc!$BK$3:$BK$306&gt;BK258)+(calc!$BJ$3:$BJ$306&lt;BJ258)*(calc!$BK$3:$BK$306&lt;BK258))&gt;0))-SUMPRODUCT(--(calc!$BE$3:$BE$306=TRUE),--(ROW(calc!$BE$3:$BE$306)&gt;ROW(BE258)),--(((calc!$BJ$3:$BJ$306&gt;BJ258)*(calc!$BK$3:$BK$306&lt;BK258)+(calc!$BJ$3:$BJ$306&lt;BJ258)*(calc!$BK$3:$BK$306&gt;BK258))&gt;0)),0)</f>
        <v/>
      </c>
      <c r="BM258" s="5">
        <f>IF(mos_metrics!M257="","",mos_metrics!M257)</f>
        <v/>
      </c>
      <c r="BN258" s="2">
        <f>AND($J258,ISNUMBER(BM258),correlation!$I$32=1)</f>
        <v/>
      </c>
      <c r="BO258" s="5">
        <f>IF(BN258,$F258,"")</f>
        <v/>
      </c>
      <c r="BP258" s="5">
        <f>IF(BN258,BM258*correlation!$J$32,"")</f>
        <v/>
      </c>
      <c r="BQ258" s="5">
        <f>IF(AND(BN258,ISNUMBER(correlation!$F$32)),BP258*correlation!$F$32+correlation!$G$32,"")</f>
        <v/>
      </c>
      <c r="BR258" s="5">
        <f>IF(AND(BN258,ISNUMBER(BQ258)),(BO258-BQ258)^2,"")</f>
        <v/>
      </c>
      <c r="BS258" s="5">
        <f>IF(BN258,1+SUMPRODUCT(--(calc!$BN$3:$BN$306=TRUE),--(calc!$BO$3:$BO$306&gt;BO258))+(SUMPRODUCT(--(calc!$BN$3:$BN$306=TRUE),--(calc!$BO$3:$BO$306=BO258))-1)/2,"")</f>
        <v/>
      </c>
      <c r="BT258" s="5">
        <f>IF(BN258,1+SUMPRODUCT(--(calc!$BN$3:$BN$306=TRUE),--(calc!$BP$3:$BP$306&gt;BP258))+(SUMPRODUCT(--(calc!$BN$3:$BN$306=TRUE),--(calc!$BP$3:$BP$306=BP258))-1)/2,"")</f>
        <v/>
      </c>
      <c r="BU258" s="5">
        <f>IF(BN258,SUMPRODUCT(--(calc!$BN$3:$BN$306=TRUE),--(ROW(calc!$BN$3:$BN$306)&gt;ROW(BN258)),--(((calc!$BS$3:$BS$306&gt;BS258)*(calc!$BT$3:$BT$306&gt;BT258)+(calc!$BS$3:$BS$306&lt;BS258)*(calc!$BT$3:$BT$306&lt;BT258))&gt;0))-SUMPRODUCT(--(calc!$BN$3:$BN$306=TRUE),--(ROW(calc!$BN$3:$BN$306)&gt;ROW(BN258)),--(((calc!$BS$3:$BS$306&gt;BS258)*(calc!$BT$3:$BT$306&lt;BT258)+(calc!$BS$3:$BS$306&lt;BS258)*(calc!$BT$3:$BT$306&gt;BT258))&gt;0)),0)</f>
        <v/>
      </c>
    </row>
    <row r="259">
      <c r="A259" s="2">
        <f>mos_metrics!A258</f>
        <v/>
      </c>
      <c r="B259" s="2">
        <f>mos_metrics!B258</f>
        <v/>
      </c>
      <c r="C259" s="2">
        <f>mos_metrics!C258</f>
        <v/>
      </c>
      <c r="D259" s="2">
        <f>mos_metrics!D258</f>
        <v/>
      </c>
      <c r="E259" s="2">
        <f>mos_metrics!E258</f>
        <v/>
      </c>
      <c r="F259" s="2">
        <f>mos_metrics!F258</f>
        <v/>
      </c>
      <c r="G259" s="2">
        <f>IF($B259="","",IFERROR(VLOOKUP($B259,correlation!$A$2:$B$16,2,FALSE),1))</f>
        <v/>
      </c>
      <c r="H259" s="2">
        <f>IF($E259="","",IFERROR(VLOOKUP($E259,correlation!$D$2:$E$8,2,FALSE),1))</f>
        <v/>
      </c>
      <c r="I259" s="2">
        <f>ISNUMBER($F259)</f>
        <v/>
      </c>
      <c r="J259" s="2">
        <f>AND($G259=1,$H259=1,$I259)</f>
        <v/>
      </c>
      <c r="K259" s="5">
        <f>IF(mos_metrics!G258="","",mos_metrics!G258)</f>
        <v/>
      </c>
      <c r="L259" s="2">
        <f>AND($J259,ISNUMBER(K259),correlation!$I$26=1)</f>
        <v/>
      </c>
      <c r="M259" s="5">
        <f>IF(L259,$F259,"")</f>
        <v/>
      </c>
      <c r="N259" s="5">
        <f>IF(L259,K259*correlation!$J$26,"")</f>
        <v/>
      </c>
      <c r="O259" s="5">
        <f>IF(AND(L259,ISNUMBER(correlation!$F$26)),N259*correlation!$F$26+correlation!$G$26,"")</f>
        <v/>
      </c>
      <c r="P259" s="5">
        <f>IF(AND(L259,ISNUMBER(O259)),(M259-O259)^2,"")</f>
        <v/>
      </c>
      <c r="Q259" s="5">
        <f>IF(L259,1+SUMPRODUCT(--(calc!$L$3:$L$306=TRUE),--(calc!$M$3:$M$306&gt;M259))+(SUMPRODUCT(--(calc!$L$3:$L$306=TRUE),--(calc!$M$3:$M$306=M259))-1)/2,"")</f>
        <v/>
      </c>
      <c r="R259" s="5">
        <f>IF(L259,1+SUMPRODUCT(--(calc!$L$3:$L$306=TRUE),--(calc!$N$3:$N$306&gt;N259))+(SUMPRODUCT(--(calc!$L$3:$L$306=TRUE),--(calc!$N$3:$N$306=N259))-1)/2,"")</f>
        <v/>
      </c>
      <c r="S259" s="5">
        <f>IF(L259,SUMPRODUCT(--(calc!$L$3:$L$306=TRUE),--(ROW(calc!$L$3:$L$306)&gt;ROW(L259)),--(((calc!$Q$3:$Q$306&gt;Q259)*(calc!$R$3:$R$306&gt;R259)+(calc!$Q$3:$Q$306&lt;Q259)*(calc!$R$3:$R$306&lt;R259))&gt;0))-SUMPRODUCT(--(calc!$L$3:$L$306=TRUE),--(ROW(calc!$L$3:$L$306)&gt;ROW(L259)),--(((calc!$Q$3:$Q$306&gt;Q259)*(calc!$R$3:$R$306&lt;R259)+(calc!$Q$3:$Q$306&lt;Q259)*(calc!$R$3:$R$306&gt;R259))&gt;0)),0)</f>
        <v/>
      </c>
      <c r="T259" s="5">
        <f>IF(mos_metrics!H258="","",mos_metrics!H258)</f>
        <v/>
      </c>
      <c r="U259" s="2">
        <f>AND($J259,ISNUMBER(T259),correlation!$I$27=1)</f>
        <v/>
      </c>
      <c r="V259" s="5">
        <f>IF(U259,$F259,"")</f>
        <v/>
      </c>
      <c r="W259" s="5">
        <f>IF(U259,T259*correlation!$J$27,"")</f>
        <v/>
      </c>
      <c r="X259" s="5">
        <f>IF(AND(U259,ISNUMBER(correlation!$F$27)),W259*correlation!$F$27+correlation!$G$27,"")</f>
        <v/>
      </c>
      <c r="Y259" s="5">
        <f>IF(AND(U259,ISNUMBER(X259)),(V259-X259)^2,"")</f>
        <v/>
      </c>
      <c r="Z259" s="5">
        <f>IF(U259,1+SUMPRODUCT(--(calc!$U$3:$U$306=TRUE),--(calc!$V$3:$V$306&gt;V259))+(SUMPRODUCT(--(calc!$U$3:$U$306=TRUE),--(calc!$V$3:$V$306=V259))-1)/2,"")</f>
        <v/>
      </c>
      <c r="AA259" s="5">
        <f>IF(U259,1+SUMPRODUCT(--(calc!$U$3:$U$306=TRUE),--(calc!$W$3:$W$306&gt;W259))+(SUMPRODUCT(--(calc!$U$3:$U$306=TRUE),--(calc!$W$3:$W$306=W259))-1)/2,"")</f>
        <v/>
      </c>
      <c r="AB259" s="5">
        <f>IF(U259,SUMPRODUCT(--(calc!$U$3:$U$306=TRUE),--(ROW(calc!$U$3:$U$306)&gt;ROW(U259)),--(((calc!$Z$3:$Z$306&gt;Z259)*(calc!$AA$3:$AA$306&gt;AA259)+(calc!$Z$3:$Z$306&lt;Z259)*(calc!$AA$3:$AA$306&lt;AA259))&gt;0))-SUMPRODUCT(--(calc!$U$3:$U$306=TRUE),--(ROW(calc!$U$3:$U$306)&gt;ROW(U259)),--(((calc!$Z$3:$Z$306&gt;Z259)*(calc!$AA$3:$AA$306&lt;AA259)+(calc!$Z$3:$Z$306&lt;Z259)*(calc!$AA$3:$AA$306&gt;AA259))&gt;0)),0)</f>
        <v/>
      </c>
      <c r="AC259" s="5">
        <f>IF(mos_metrics!I258="","",mos_metrics!I258)</f>
        <v/>
      </c>
      <c r="AD259" s="2">
        <f>AND($J259,ISNUMBER(AC259),correlation!$I$28=1)</f>
        <v/>
      </c>
      <c r="AE259" s="5">
        <f>IF(AD259,$F259,"")</f>
        <v/>
      </c>
      <c r="AF259" s="5">
        <f>IF(AD259,AC259*correlation!$J$28,"")</f>
        <v/>
      </c>
      <c r="AG259" s="5">
        <f>IF(AND(AD259,ISNUMBER(correlation!$F$28)),AF259*correlation!$F$28+correlation!$G$28,"")</f>
        <v/>
      </c>
      <c r="AH259" s="5">
        <f>IF(AND(AD259,ISNUMBER(AG259)),(AE259-AG259)^2,"")</f>
        <v/>
      </c>
      <c r="AI259" s="5">
        <f>IF(AD259,1+SUMPRODUCT(--(calc!$AD$3:$AD$306=TRUE),--(calc!$AE$3:$AE$306&gt;AE259))+(SUMPRODUCT(--(calc!$AD$3:$AD$306=TRUE),--(calc!$AE$3:$AE$306=AE259))-1)/2,"")</f>
        <v/>
      </c>
      <c r="AJ259" s="5">
        <f>IF(AD259,1+SUMPRODUCT(--(calc!$AD$3:$AD$306=TRUE),--(calc!$AF$3:$AF$306&gt;AF259))+(SUMPRODUCT(--(calc!$AD$3:$AD$306=TRUE),--(calc!$AF$3:$AF$306=AF259))-1)/2,"")</f>
        <v/>
      </c>
      <c r="AK259" s="5">
        <f>IF(AD259,SUMPRODUCT(--(calc!$AD$3:$AD$306=TRUE),--(ROW(calc!$AD$3:$AD$306)&gt;ROW(AD259)),--(((calc!$AI$3:$AI$306&gt;AI259)*(calc!$AJ$3:$AJ$306&gt;AJ259)+(calc!$AI$3:$AI$306&lt;AI259)*(calc!$AJ$3:$AJ$306&lt;AJ259))&gt;0))-SUMPRODUCT(--(calc!$AD$3:$AD$306=TRUE),--(ROW(calc!$AD$3:$AD$306)&gt;ROW(AD259)),--(((calc!$AI$3:$AI$306&gt;AI259)*(calc!$AJ$3:$AJ$306&lt;AJ259)+(calc!$AI$3:$AI$306&lt;AI259)*(calc!$AJ$3:$AJ$306&gt;AJ259))&gt;0)),0)</f>
        <v/>
      </c>
      <c r="AL259" s="5">
        <f>IF(mos_metrics!J258="","",mos_metrics!J258)</f>
        <v/>
      </c>
      <c r="AM259" s="2">
        <f>AND($J259,ISNUMBER(AL259),correlation!$I$29=1)</f>
        <v/>
      </c>
      <c r="AN259" s="5">
        <f>IF(AM259,$F259,"")</f>
        <v/>
      </c>
      <c r="AO259" s="5">
        <f>IF(AM259,AL259*correlation!$J$29,"")</f>
        <v/>
      </c>
      <c r="AP259" s="5">
        <f>IF(AND(AM259,ISNUMBER(correlation!$F$29)),AO259*correlation!$F$29+correlation!$G$29,"")</f>
        <v/>
      </c>
      <c r="AQ259" s="5">
        <f>IF(AND(AM259,ISNUMBER(AP259)),(AN259-AP259)^2,"")</f>
        <v/>
      </c>
      <c r="AR259" s="5">
        <f>IF(AM259,1+SUMPRODUCT(--(calc!$AM$3:$AM$306=TRUE),--(calc!$AN$3:$AN$306&gt;AN259))+(SUMPRODUCT(--(calc!$AM$3:$AM$306=TRUE),--(calc!$AN$3:$AN$306=AN259))-1)/2,"")</f>
        <v/>
      </c>
      <c r="AS259" s="5">
        <f>IF(AM259,1+SUMPRODUCT(--(calc!$AM$3:$AM$306=TRUE),--(calc!$AO$3:$AO$306&gt;AO259))+(SUMPRODUCT(--(calc!$AM$3:$AM$306=TRUE),--(calc!$AO$3:$AO$306=AO259))-1)/2,"")</f>
        <v/>
      </c>
      <c r="AT259" s="5">
        <f>IF(AM259,SUMPRODUCT(--(calc!$AM$3:$AM$306=TRUE),--(ROW(calc!$AM$3:$AM$306)&gt;ROW(AM259)),--(((calc!$AR$3:$AR$306&gt;AR259)*(calc!$AS$3:$AS$306&gt;AS259)+(calc!$AR$3:$AR$306&lt;AR259)*(calc!$AS$3:$AS$306&lt;AS259))&gt;0))-SUMPRODUCT(--(calc!$AM$3:$AM$306=TRUE),--(ROW(calc!$AM$3:$AM$306)&gt;ROW(AM259)),--(((calc!$AR$3:$AR$306&gt;AR259)*(calc!$AS$3:$AS$306&lt;AS259)+(calc!$AR$3:$AR$306&lt;AR259)*(calc!$AS$3:$AS$306&gt;AS259))&gt;0)),0)</f>
        <v/>
      </c>
      <c r="AU259" s="5">
        <f>IF(mos_metrics!K258="","",mos_metrics!K258)</f>
        <v/>
      </c>
      <c r="AV259" s="2">
        <f>AND($J259,ISNUMBER(AU259),correlation!$I$30=1)</f>
        <v/>
      </c>
      <c r="AW259" s="5">
        <f>IF(AV259,$F259,"")</f>
        <v/>
      </c>
      <c r="AX259" s="5">
        <f>IF(AV259,AU259*correlation!$J$30,"")</f>
        <v/>
      </c>
      <c r="AY259" s="5">
        <f>IF(AND(AV259,ISNUMBER(correlation!$F$30)),AX259*correlation!$F$30+correlation!$G$30,"")</f>
        <v/>
      </c>
      <c r="AZ259" s="5">
        <f>IF(AND(AV259,ISNUMBER(AY259)),(AW259-AY259)^2,"")</f>
        <v/>
      </c>
      <c r="BA259" s="5">
        <f>IF(AV259,1+SUMPRODUCT(--(calc!$AV$3:$AV$306=TRUE),--(calc!$AW$3:$AW$306&gt;AW259))+(SUMPRODUCT(--(calc!$AV$3:$AV$306=TRUE),--(calc!$AW$3:$AW$306=AW259))-1)/2,"")</f>
        <v/>
      </c>
      <c r="BB259" s="5">
        <f>IF(AV259,1+SUMPRODUCT(--(calc!$AV$3:$AV$306=TRUE),--(calc!$AX$3:$AX$306&gt;AX259))+(SUMPRODUCT(--(calc!$AV$3:$AV$306=TRUE),--(calc!$AX$3:$AX$306=AX259))-1)/2,"")</f>
        <v/>
      </c>
      <c r="BC259" s="5">
        <f>IF(AV259,SUMPRODUCT(--(calc!$AV$3:$AV$306=TRUE),--(ROW(calc!$AV$3:$AV$306)&gt;ROW(AV259)),--(((calc!$BA$3:$BA$306&gt;BA259)*(calc!$BB$3:$BB$306&gt;BB259)+(calc!$BA$3:$BA$306&lt;BA259)*(calc!$BB$3:$BB$306&lt;BB259))&gt;0))-SUMPRODUCT(--(calc!$AV$3:$AV$306=TRUE),--(ROW(calc!$AV$3:$AV$306)&gt;ROW(AV259)),--(((calc!$BA$3:$BA$306&gt;BA259)*(calc!$BB$3:$BB$306&lt;BB259)+(calc!$BA$3:$BA$306&lt;BA259)*(calc!$BB$3:$BB$306&gt;BB259))&gt;0)),0)</f>
        <v/>
      </c>
      <c r="BD259" s="5">
        <f>IF(mos_metrics!L258="","",mos_metrics!L258)</f>
        <v/>
      </c>
      <c r="BE259" s="2">
        <f>AND($J259,ISNUMBER(BD259),correlation!$I$31=1)</f>
        <v/>
      </c>
      <c r="BF259" s="5">
        <f>IF(BE259,$F259,"")</f>
        <v/>
      </c>
      <c r="BG259" s="5">
        <f>IF(BE259,BD259*correlation!$J$31,"")</f>
        <v/>
      </c>
      <c r="BH259" s="5">
        <f>IF(AND(BE259,ISNUMBER(correlation!$F$31)),BG259*correlation!$F$31+correlation!$G$31,"")</f>
        <v/>
      </c>
      <c r="BI259" s="5">
        <f>IF(AND(BE259,ISNUMBER(BH259)),(BF259-BH259)^2,"")</f>
        <v/>
      </c>
      <c r="BJ259" s="5">
        <f>IF(BE259,1+SUMPRODUCT(--(calc!$BE$3:$BE$306=TRUE),--(calc!$BF$3:$BF$306&gt;BF259))+(SUMPRODUCT(--(calc!$BE$3:$BE$306=TRUE),--(calc!$BF$3:$BF$306=BF259))-1)/2,"")</f>
        <v/>
      </c>
      <c r="BK259" s="5">
        <f>IF(BE259,1+SUMPRODUCT(--(calc!$BE$3:$BE$306=TRUE),--(calc!$BG$3:$BG$306&gt;BG259))+(SUMPRODUCT(--(calc!$BE$3:$BE$306=TRUE),--(calc!$BG$3:$BG$306=BG259))-1)/2,"")</f>
        <v/>
      </c>
      <c r="BL259" s="5">
        <f>IF(BE259,SUMPRODUCT(--(calc!$BE$3:$BE$306=TRUE),--(ROW(calc!$BE$3:$BE$306)&gt;ROW(BE259)),--(((calc!$BJ$3:$BJ$306&gt;BJ259)*(calc!$BK$3:$BK$306&gt;BK259)+(calc!$BJ$3:$BJ$306&lt;BJ259)*(calc!$BK$3:$BK$306&lt;BK259))&gt;0))-SUMPRODUCT(--(calc!$BE$3:$BE$306=TRUE),--(ROW(calc!$BE$3:$BE$306)&gt;ROW(BE259)),--(((calc!$BJ$3:$BJ$306&gt;BJ259)*(calc!$BK$3:$BK$306&lt;BK259)+(calc!$BJ$3:$BJ$306&lt;BJ259)*(calc!$BK$3:$BK$306&gt;BK259))&gt;0)),0)</f>
        <v/>
      </c>
      <c r="BM259" s="5">
        <f>IF(mos_metrics!M258="","",mos_metrics!M258)</f>
        <v/>
      </c>
      <c r="BN259" s="2">
        <f>AND($J259,ISNUMBER(BM259),correlation!$I$32=1)</f>
        <v/>
      </c>
      <c r="BO259" s="5">
        <f>IF(BN259,$F259,"")</f>
        <v/>
      </c>
      <c r="BP259" s="5">
        <f>IF(BN259,BM259*correlation!$J$32,"")</f>
        <v/>
      </c>
      <c r="BQ259" s="5">
        <f>IF(AND(BN259,ISNUMBER(correlation!$F$32)),BP259*correlation!$F$32+correlation!$G$32,"")</f>
        <v/>
      </c>
      <c r="BR259" s="5">
        <f>IF(AND(BN259,ISNUMBER(BQ259)),(BO259-BQ259)^2,"")</f>
        <v/>
      </c>
      <c r="BS259" s="5">
        <f>IF(BN259,1+SUMPRODUCT(--(calc!$BN$3:$BN$306=TRUE),--(calc!$BO$3:$BO$306&gt;BO259))+(SUMPRODUCT(--(calc!$BN$3:$BN$306=TRUE),--(calc!$BO$3:$BO$306=BO259))-1)/2,"")</f>
        <v/>
      </c>
      <c r="BT259" s="5">
        <f>IF(BN259,1+SUMPRODUCT(--(calc!$BN$3:$BN$306=TRUE),--(calc!$BP$3:$BP$306&gt;BP259))+(SUMPRODUCT(--(calc!$BN$3:$BN$306=TRUE),--(calc!$BP$3:$BP$306=BP259))-1)/2,"")</f>
        <v/>
      </c>
      <c r="BU259" s="5">
        <f>IF(BN259,SUMPRODUCT(--(calc!$BN$3:$BN$306=TRUE),--(ROW(calc!$BN$3:$BN$306)&gt;ROW(BN259)),--(((calc!$BS$3:$BS$306&gt;BS259)*(calc!$BT$3:$BT$306&gt;BT259)+(calc!$BS$3:$BS$306&lt;BS259)*(calc!$BT$3:$BT$306&lt;BT259))&gt;0))-SUMPRODUCT(--(calc!$BN$3:$BN$306=TRUE),--(ROW(calc!$BN$3:$BN$306)&gt;ROW(BN259)),--(((calc!$BS$3:$BS$306&gt;BS259)*(calc!$BT$3:$BT$306&lt;BT259)+(calc!$BS$3:$BS$306&lt;BS259)*(calc!$BT$3:$BT$306&gt;BT259))&gt;0)),0)</f>
        <v/>
      </c>
    </row>
    <row r="260">
      <c r="A260" s="2">
        <f>mos_metrics!A259</f>
        <v/>
      </c>
      <c r="B260" s="2">
        <f>mos_metrics!B259</f>
        <v/>
      </c>
      <c r="C260" s="2">
        <f>mos_metrics!C259</f>
        <v/>
      </c>
      <c r="D260" s="2">
        <f>mos_metrics!D259</f>
        <v/>
      </c>
      <c r="E260" s="2">
        <f>mos_metrics!E259</f>
        <v/>
      </c>
      <c r="F260" s="2">
        <f>mos_metrics!F259</f>
        <v/>
      </c>
      <c r="G260" s="2">
        <f>IF($B260="","",IFERROR(VLOOKUP($B260,correlation!$A$2:$B$16,2,FALSE),1))</f>
        <v/>
      </c>
      <c r="H260" s="2">
        <f>IF($E260="","",IFERROR(VLOOKUP($E260,correlation!$D$2:$E$8,2,FALSE),1))</f>
        <v/>
      </c>
      <c r="I260" s="2">
        <f>ISNUMBER($F260)</f>
        <v/>
      </c>
      <c r="J260" s="2">
        <f>AND($G260=1,$H260=1,$I260)</f>
        <v/>
      </c>
      <c r="K260" s="5">
        <f>IF(mos_metrics!G259="","",mos_metrics!G259)</f>
        <v/>
      </c>
      <c r="L260" s="2">
        <f>AND($J260,ISNUMBER(K260),correlation!$I$26=1)</f>
        <v/>
      </c>
      <c r="M260" s="5">
        <f>IF(L260,$F260,"")</f>
        <v/>
      </c>
      <c r="N260" s="5">
        <f>IF(L260,K260*correlation!$J$26,"")</f>
        <v/>
      </c>
      <c r="O260" s="5">
        <f>IF(AND(L260,ISNUMBER(correlation!$F$26)),N260*correlation!$F$26+correlation!$G$26,"")</f>
        <v/>
      </c>
      <c r="P260" s="5">
        <f>IF(AND(L260,ISNUMBER(O260)),(M260-O260)^2,"")</f>
        <v/>
      </c>
      <c r="Q260" s="5">
        <f>IF(L260,1+SUMPRODUCT(--(calc!$L$3:$L$306=TRUE),--(calc!$M$3:$M$306&gt;M260))+(SUMPRODUCT(--(calc!$L$3:$L$306=TRUE),--(calc!$M$3:$M$306=M260))-1)/2,"")</f>
        <v/>
      </c>
      <c r="R260" s="5">
        <f>IF(L260,1+SUMPRODUCT(--(calc!$L$3:$L$306=TRUE),--(calc!$N$3:$N$306&gt;N260))+(SUMPRODUCT(--(calc!$L$3:$L$306=TRUE),--(calc!$N$3:$N$306=N260))-1)/2,"")</f>
        <v/>
      </c>
      <c r="S260" s="5">
        <f>IF(L260,SUMPRODUCT(--(calc!$L$3:$L$306=TRUE),--(ROW(calc!$L$3:$L$306)&gt;ROW(L260)),--(((calc!$Q$3:$Q$306&gt;Q260)*(calc!$R$3:$R$306&gt;R260)+(calc!$Q$3:$Q$306&lt;Q260)*(calc!$R$3:$R$306&lt;R260))&gt;0))-SUMPRODUCT(--(calc!$L$3:$L$306=TRUE),--(ROW(calc!$L$3:$L$306)&gt;ROW(L260)),--(((calc!$Q$3:$Q$306&gt;Q260)*(calc!$R$3:$R$306&lt;R260)+(calc!$Q$3:$Q$306&lt;Q260)*(calc!$R$3:$R$306&gt;R260))&gt;0)),0)</f>
        <v/>
      </c>
      <c r="T260" s="5">
        <f>IF(mos_metrics!H259="","",mos_metrics!H259)</f>
        <v/>
      </c>
      <c r="U260" s="2">
        <f>AND($J260,ISNUMBER(T260),correlation!$I$27=1)</f>
        <v/>
      </c>
      <c r="V260" s="5">
        <f>IF(U260,$F260,"")</f>
        <v/>
      </c>
      <c r="W260" s="5">
        <f>IF(U260,T260*correlation!$J$27,"")</f>
        <v/>
      </c>
      <c r="X260" s="5">
        <f>IF(AND(U260,ISNUMBER(correlation!$F$27)),W260*correlation!$F$27+correlation!$G$27,"")</f>
        <v/>
      </c>
      <c r="Y260" s="5">
        <f>IF(AND(U260,ISNUMBER(X260)),(V260-X260)^2,"")</f>
        <v/>
      </c>
      <c r="Z260" s="5">
        <f>IF(U260,1+SUMPRODUCT(--(calc!$U$3:$U$306=TRUE),--(calc!$V$3:$V$306&gt;V260))+(SUMPRODUCT(--(calc!$U$3:$U$306=TRUE),--(calc!$V$3:$V$306=V260))-1)/2,"")</f>
        <v/>
      </c>
      <c r="AA260" s="5">
        <f>IF(U260,1+SUMPRODUCT(--(calc!$U$3:$U$306=TRUE),--(calc!$W$3:$W$306&gt;W260))+(SUMPRODUCT(--(calc!$U$3:$U$306=TRUE),--(calc!$W$3:$W$306=W260))-1)/2,"")</f>
        <v/>
      </c>
      <c r="AB260" s="5">
        <f>IF(U260,SUMPRODUCT(--(calc!$U$3:$U$306=TRUE),--(ROW(calc!$U$3:$U$306)&gt;ROW(U260)),--(((calc!$Z$3:$Z$306&gt;Z260)*(calc!$AA$3:$AA$306&gt;AA260)+(calc!$Z$3:$Z$306&lt;Z260)*(calc!$AA$3:$AA$306&lt;AA260))&gt;0))-SUMPRODUCT(--(calc!$U$3:$U$306=TRUE),--(ROW(calc!$U$3:$U$306)&gt;ROW(U260)),--(((calc!$Z$3:$Z$306&gt;Z260)*(calc!$AA$3:$AA$306&lt;AA260)+(calc!$Z$3:$Z$306&lt;Z260)*(calc!$AA$3:$AA$306&gt;AA260))&gt;0)),0)</f>
        <v/>
      </c>
      <c r="AC260" s="5">
        <f>IF(mos_metrics!I259="","",mos_metrics!I259)</f>
        <v/>
      </c>
      <c r="AD260" s="2">
        <f>AND($J260,ISNUMBER(AC260),correlation!$I$28=1)</f>
        <v/>
      </c>
      <c r="AE260" s="5">
        <f>IF(AD260,$F260,"")</f>
        <v/>
      </c>
      <c r="AF260" s="5">
        <f>IF(AD260,AC260*correlation!$J$28,"")</f>
        <v/>
      </c>
      <c r="AG260" s="5">
        <f>IF(AND(AD260,ISNUMBER(correlation!$F$28)),AF260*correlation!$F$28+correlation!$G$28,"")</f>
        <v/>
      </c>
      <c r="AH260" s="5">
        <f>IF(AND(AD260,ISNUMBER(AG260)),(AE260-AG260)^2,"")</f>
        <v/>
      </c>
      <c r="AI260" s="5">
        <f>IF(AD260,1+SUMPRODUCT(--(calc!$AD$3:$AD$306=TRUE),--(calc!$AE$3:$AE$306&gt;AE260))+(SUMPRODUCT(--(calc!$AD$3:$AD$306=TRUE),--(calc!$AE$3:$AE$306=AE260))-1)/2,"")</f>
        <v/>
      </c>
      <c r="AJ260" s="5">
        <f>IF(AD260,1+SUMPRODUCT(--(calc!$AD$3:$AD$306=TRUE),--(calc!$AF$3:$AF$306&gt;AF260))+(SUMPRODUCT(--(calc!$AD$3:$AD$306=TRUE),--(calc!$AF$3:$AF$306=AF260))-1)/2,"")</f>
        <v/>
      </c>
      <c r="AK260" s="5">
        <f>IF(AD260,SUMPRODUCT(--(calc!$AD$3:$AD$306=TRUE),--(ROW(calc!$AD$3:$AD$306)&gt;ROW(AD260)),--(((calc!$AI$3:$AI$306&gt;AI260)*(calc!$AJ$3:$AJ$306&gt;AJ260)+(calc!$AI$3:$AI$306&lt;AI260)*(calc!$AJ$3:$AJ$306&lt;AJ260))&gt;0))-SUMPRODUCT(--(calc!$AD$3:$AD$306=TRUE),--(ROW(calc!$AD$3:$AD$306)&gt;ROW(AD260)),--(((calc!$AI$3:$AI$306&gt;AI260)*(calc!$AJ$3:$AJ$306&lt;AJ260)+(calc!$AI$3:$AI$306&lt;AI260)*(calc!$AJ$3:$AJ$306&gt;AJ260))&gt;0)),0)</f>
        <v/>
      </c>
      <c r="AL260" s="5">
        <f>IF(mos_metrics!J259="","",mos_metrics!J259)</f>
        <v/>
      </c>
      <c r="AM260" s="2">
        <f>AND($J260,ISNUMBER(AL260),correlation!$I$29=1)</f>
        <v/>
      </c>
      <c r="AN260" s="5">
        <f>IF(AM260,$F260,"")</f>
        <v/>
      </c>
      <c r="AO260" s="5">
        <f>IF(AM260,AL260*correlation!$J$29,"")</f>
        <v/>
      </c>
      <c r="AP260" s="5">
        <f>IF(AND(AM260,ISNUMBER(correlation!$F$29)),AO260*correlation!$F$29+correlation!$G$29,"")</f>
        <v/>
      </c>
      <c r="AQ260" s="5">
        <f>IF(AND(AM260,ISNUMBER(AP260)),(AN260-AP260)^2,"")</f>
        <v/>
      </c>
      <c r="AR260" s="5">
        <f>IF(AM260,1+SUMPRODUCT(--(calc!$AM$3:$AM$306=TRUE),--(calc!$AN$3:$AN$306&gt;AN260))+(SUMPRODUCT(--(calc!$AM$3:$AM$306=TRUE),--(calc!$AN$3:$AN$306=AN260))-1)/2,"")</f>
        <v/>
      </c>
      <c r="AS260" s="5">
        <f>IF(AM260,1+SUMPRODUCT(--(calc!$AM$3:$AM$306=TRUE),--(calc!$AO$3:$AO$306&gt;AO260))+(SUMPRODUCT(--(calc!$AM$3:$AM$306=TRUE),--(calc!$AO$3:$AO$306=AO260))-1)/2,"")</f>
        <v/>
      </c>
      <c r="AT260" s="5">
        <f>IF(AM260,SUMPRODUCT(--(calc!$AM$3:$AM$306=TRUE),--(ROW(calc!$AM$3:$AM$306)&gt;ROW(AM260)),--(((calc!$AR$3:$AR$306&gt;AR260)*(calc!$AS$3:$AS$306&gt;AS260)+(calc!$AR$3:$AR$306&lt;AR260)*(calc!$AS$3:$AS$306&lt;AS260))&gt;0))-SUMPRODUCT(--(calc!$AM$3:$AM$306=TRUE),--(ROW(calc!$AM$3:$AM$306)&gt;ROW(AM260)),--(((calc!$AR$3:$AR$306&gt;AR260)*(calc!$AS$3:$AS$306&lt;AS260)+(calc!$AR$3:$AR$306&lt;AR260)*(calc!$AS$3:$AS$306&gt;AS260))&gt;0)),0)</f>
        <v/>
      </c>
      <c r="AU260" s="5">
        <f>IF(mos_metrics!K259="","",mos_metrics!K259)</f>
        <v/>
      </c>
      <c r="AV260" s="2">
        <f>AND($J260,ISNUMBER(AU260),correlation!$I$30=1)</f>
        <v/>
      </c>
      <c r="AW260" s="5">
        <f>IF(AV260,$F260,"")</f>
        <v/>
      </c>
      <c r="AX260" s="5">
        <f>IF(AV260,AU260*correlation!$J$30,"")</f>
        <v/>
      </c>
      <c r="AY260" s="5">
        <f>IF(AND(AV260,ISNUMBER(correlation!$F$30)),AX260*correlation!$F$30+correlation!$G$30,"")</f>
        <v/>
      </c>
      <c r="AZ260" s="5">
        <f>IF(AND(AV260,ISNUMBER(AY260)),(AW260-AY260)^2,"")</f>
        <v/>
      </c>
      <c r="BA260" s="5">
        <f>IF(AV260,1+SUMPRODUCT(--(calc!$AV$3:$AV$306=TRUE),--(calc!$AW$3:$AW$306&gt;AW260))+(SUMPRODUCT(--(calc!$AV$3:$AV$306=TRUE),--(calc!$AW$3:$AW$306=AW260))-1)/2,"")</f>
        <v/>
      </c>
      <c r="BB260" s="5">
        <f>IF(AV260,1+SUMPRODUCT(--(calc!$AV$3:$AV$306=TRUE),--(calc!$AX$3:$AX$306&gt;AX260))+(SUMPRODUCT(--(calc!$AV$3:$AV$306=TRUE),--(calc!$AX$3:$AX$306=AX260))-1)/2,"")</f>
        <v/>
      </c>
      <c r="BC260" s="5">
        <f>IF(AV260,SUMPRODUCT(--(calc!$AV$3:$AV$306=TRUE),--(ROW(calc!$AV$3:$AV$306)&gt;ROW(AV260)),--(((calc!$BA$3:$BA$306&gt;BA260)*(calc!$BB$3:$BB$306&gt;BB260)+(calc!$BA$3:$BA$306&lt;BA260)*(calc!$BB$3:$BB$306&lt;BB260))&gt;0))-SUMPRODUCT(--(calc!$AV$3:$AV$306=TRUE),--(ROW(calc!$AV$3:$AV$306)&gt;ROW(AV260)),--(((calc!$BA$3:$BA$306&gt;BA260)*(calc!$BB$3:$BB$306&lt;BB260)+(calc!$BA$3:$BA$306&lt;BA260)*(calc!$BB$3:$BB$306&gt;BB260))&gt;0)),0)</f>
        <v/>
      </c>
      <c r="BD260" s="5">
        <f>IF(mos_metrics!L259="","",mos_metrics!L259)</f>
        <v/>
      </c>
      <c r="BE260" s="2">
        <f>AND($J260,ISNUMBER(BD260),correlation!$I$31=1)</f>
        <v/>
      </c>
      <c r="BF260" s="5">
        <f>IF(BE260,$F260,"")</f>
        <v/>
      </c>
      <c r="BG260" s="5">
        <f>IF(BE260,BD260*correlation!$J$31,"")</f>
        <v/>
      </c>
      <c r="BH260" s="5">
        <f>IF(AND(BE260,ISNUMBER(correlation!$F$31)),BG260*correlation!$F$31+correlation!$G$31,"")</f>
        <v/>
      </c>
      <c r="BI260" s="5">
        <f>IF(AND(BE260,ISNUMBER(BH260)),(BF260-BH260)^2,"")</f>
        <v/>
      </c>
      <c r="BJ260" s="5">
        <f>IF(BE260,1+SUMPRODUCT(--(calc!$BE$3:$BE$306=TRUE),--(calc!$BF$3:$BF$306&gt;BF260))+(SUMPRODUCT(--(calc!$BE$3:$BE$306=TRUE),--(calc!$BF$3:$BF$306=BF260))-1)/2,"")</f>
        <v/>
      </c>
      <c r="BK260" s="5">
        <f>IF(BE260,1+SUMPRODUCT(--(calc!$BE$3:$BE$306=TRUE),--(calc!$BG$3:$BG$306&gt;BG260))+(SUMPRODUCT(--(calc!$BE$3:$BE$306=TRUE),--(calc!$BG$3:$BG$306=BG260))-1)/2,"")</f>
        <v/>
      </c>
      <c r="BL260" s="5">
        <f>IF(BE260,SUMPRODUCT(--(calc!$BE$3:$BE$306=TRUE),--(ROW(calc!$BE$3:$BE$306)&gt;ROW(BE260)),--(((calc!$BJ$3:$BJ$306&gt;BJ260)*(calc!$BK$3:$BK$306&gt;BK260)+(calc!$BJ$3:$BJ$306&lt;BJ260)*(calc!$BK$3:$BK$306&lt;BK260))&gt;0))-SUMPRODUCT(--(calc!$BE$3:$BE$306=TRUE),--(ROW(calc!$BE$3:$BE$306)&gt;ROW(BE260)),--(((calc!$BJ$3:$BJ$306&gt;BJ260)*(calc!$BK$3:$BK$306&lt;BK260)+(calc!$BJ$3:$BJ$306&lt;BJ260)*(calc!$BK$3:$BK$306&gt;BK260))&gt;0)),0)</f>
        <v/>
      </c>
      <c r="BM260" s="5">
        <f>IF(mos_metrics!M259="","",mos_metrics!M259)</f>
        <v/>
      </c>
      <c r="BN260" s="2">
        <f>AND($J260,ISNUMBER(BM260),correlation!$I$32=1)</f>
        <v/>
      </c>
      <c r="BO260" s="5">
        <f>IF(BN260,$F260,"")</f>
        <v/>
      </c>
      <c r="BP260" s="5">
        <f>IF(BN260,BM260*correlation!$J$32,"")</f>
        <v/>
      </c>
      <c r="BQ260" s="5">
        <f>IF(AND(BN260,ISNUMBER(correlation!$F$32)),BP260*correlation!$F$32+correlation!$G$32,"")</f>
        <v/>
      </c>
      <c r="BR260" s="5">
        <f>IF(AND(BN260,ISNUMBER(BQ260)),(BO260-BQ260)^2,"")</f>
        <v/>
      </c>
      <c r="BS260" s="5">
        <f>IF(BN260,1+SUMPRODUCT(--(calc!$BN$3:$BN$306=TRUE),--(calc!$BO$3:$BO$306&gt;BO260))+(SUMPRODUCT(--(calc!$BN$3:$BN$306=TRUE),--(calc!$BO$3:$BO$306=BO260))-1)/2,"")</f>
        <v/>
      </c>
      <c r="BT260" s="5">
        <f>IF(BN260,1+SUMPRODUCT(--(calc!$BN$3:$BN$306=TRUE),--(calc!$BP$3:$BP$306&gt;BP260))+(SUMPRODUCT(--(calc!$BN$3:$BN$306=TRUE),--(calc!$BP$3:$BP$306=BP260))-1)/2,"")</f>
        <v/>
      </c>
      <c r="BU260" s="5">
        <f>IF(BN260,SUMPRODUCT(--(calc!$BN$3:$BN$306=TRUE),--(ROW(calc!$BN$3:$BN$306)&gt;ROW(BN260)),--(((calc!$BS$3:$BS$306&gt;BS260)*(calc!$BT$3:$BT$306&gt;BT260)+(calc!$BS$3:$BS$306&lt;BS260)*(calc!$BT$3:$BT$306&lt;BT260))&gt;0))-SUMPRODUCT(--(calc!$BN$3:$BN$306=TRUE),--(ROW(calc!$BN$3:$BN$306)&gt;ROW(BN260)),--(((calc!$BS$3:$BS$306&gt;BS260)*(calc!$BT$3:$BT$306&lt;BT260)+(calc!$BS$3:$BS$306&lt;BS260)*(calc!$BT$3:$BT$306&gt;BT260))&gt;0)),0)</f>
        <v/>
      </c>
    </row>
    <row r="261">
      <c r="A261" s="2">
        <f>mos_metrics!A260</f>
        <v/>
      </c>
      <c r="B261" s="2">
        <f>mos_metrics!B260</f>
        <v/>
      </c>
      <c r="C261" s="2">
        <f>mos_metrics!C260</f>
        <v/>
      </c>
      <c r="D261" s="2">
        <f>mos_metrics!D260</f>
        <v/>
      </c>
      <c r="E261" s="2">
        <f>mos_metrics!E260</f>
        <v/>
      </c>
      <c r="F261" s="2">
        <f>mos_metrics!F260</f>
        <v/>
      </c>
      <c r="G261" s="2">
        <f>IF($B261="","",IFERROR(VLOOKUP($B261,correlation!$A$2:$B$16,2,FALSE),1))</f>
        <v/>
      </c>
      <c r="H261" s="2">
        <f>IF($E261="","",IFERROR(VLOOKUP($E261,correlation!$D$2:$E$8,2,FALSE),1))</f>
        <v/>
      </c>
      <c r="I261" s="2">
        <f>ISNUMBER($F261)</f>
        <v/>
      </c>
      <c r="J261" s="2">
        <f>AND($G261=1,$H261=1,$I261)</f>
        <v/>
      </c>
      <c r="K261" s="5">
        <f>IF(mos_metrics!G260="","",mos_metrics!G260)</f>
        <v/>
      </c>
      <c r="L261" s="2">
        <f>AND($J261,ISNUMBER(K261),correlation!$I$26=1)</f>
        <v/>
      </c>
      <c r="M261" s="5">
        <f>IF(L261,$F261,"")</f>
        <v/>
      </c>
      <c r="N261" s="5">
        <f>IF(L261,K261*correlation!$J$26,"")</f>
        <v/>
      </c>
      <c r="O261" s="5">
        <f>IF(AND(L261,ISNUMBER(correlation!$F$26)),N261*correlation!$F$26+correlation!$G$26,"")</f>
        <v/>
      </c>
      <c r="P261" s="5">
        <f>IF(AND(L261,ISNUMBER(O261)),(M261-O261)^2,"")</f>
        <v/>
      </c>
      <c r="Q261" s="5">
        <f>IF(L261,1+SUMPRODUCT(--(calc!$L$3:$L$306=TRUE),--(calc!$M$3:$M$306&gt;M261))+(SUMPRODUCT(--(calc!$L$3:$L$306=TRUE),--(calc!$M$3:$M$306=M261))-1)/2,"")</f>
        <v/>
      </c>
      <c r="R261" s="5">
        <f>IF(L261,1+SUMPRODUCT(--(calc!$L$3:$L$306=TRUE),--(calc!$N$3:$N$306&gt;N261))+(SUMPRODUCT(--(calc!$L$3:$L$306=TRUE),--(calc!$N$3:$N$306=N261))-1)/2,"")</f>
        <v/>
      </c>
      <c r="S261" s="5">
        <f>IF(L261,SUMPRODUCT(--(calc!$L$3:$L$306=TRUE),--(ROW(calc!$L$3:$L$306)&gt;ROW(L261)),--(((calc!$Q$3:$Q$306&gt;Q261)*(calc!$R$3:$R$306&gt;R261)+(calc!$Q$3:$Q$306&lt;Q261)*(calc!$R$3:$R$306&lt;R261))&gt;0))-SUMPRODUCT(--(calc!$L$3:$L$306=TRUE),--(ROW(calc!$L$3:$L$306)&gt;ROW(L261)),--(((calc!$Q$3:$Q$306&gt;Q261)*(calc!$R$3:$R$306&lt;R261)+(calc!$Q$3:$Q$306&lt;Q261)*(calc!$R$3:$R$306&gt;R261))&gt;0)),0)</f>
        <v/>
      </c>
      <c r="T261" s="5">
        <f>IF(mos_metrics!H260="","",mos_metrics!H260)</f>
        <v/>
      </c>
      <c r="U261" s="2">
        <f>AND($J261,ISNUMBER(T261),correlation!$I$27=1)</f>
        <v/>
      </c>
      <c r="V261" s="5">
        <f>IF(U261,$F261,"")</f>
        <v/>
      </c>
      <c r="W261" s="5">
        <f>IF(U261,T261*correlation!$J$27,"")</f>
        <v/>
      </c>
      <c r="X261" s="5">
        <f>IF(AND(U261,ISNUMBER(correlation!$F$27)),W261*correlation!$F$27+correlation!$G$27,"")</f>
        <v/>
      </c>
      <c r="Y261" s="5">
        <f>IF(AND(U261,ISNUMBER(X261)),(V261-X261)^2,"")</f>
        <v/>
      </c>
      <c r="Z261" s="5">
        <f>IF(U261,1+SUMPRODUCT(--(calc!$U$3:$U$306=TRUE),--(calc!$V$3:$V$306&gt;V261))+(SUMPRODUCT(--(calc!$U$3:$U$306=TRUE),--(calc!$V$3:$V$306=V261))-1)/2,"")</f>
        <v/>
      </c>
      <c r="AA261" s="5">
        <f>IF(U261,1+SUMPRODUCT(--(calc!$U$3:$U$306=TRUE),--(calc!$W$3:$W$306&gt;W261))+(SUMPRODUCT(--(calc!$U$3:$U$306=TRUE),--(calc!$W$3:$W$306=W261))-1)/2,"")</f>
        <v/>
      </c>
      <c r="AB261" s="5">
        <f>IF(U261,SUMPRODUCT(--(calc!$U$3:$U$306=TRUE),--(ROW(calc!$U$3:$U$306)&gt;ROW(U261)),--(((calc!$Z$3:$Z$306&gt;Z261)*(calc!$AA$3:$AA$306&gt;AA261)+(calc!$Z$3:$Z$306&lt;Z261)*(calc!$AA$3:$AA$306&lt;AA261))&gt;0))-SUMPRODUCT(--(calc!$U$3:$U$306=TRUE),--(ROW(calc!$U$3:$U$306)&gt;ROW(U261)),--(((calc!$Z$3:$Z$306&gt;Z261)*(calc!$AA$3:$AA$306&lt;AA261)+(calc!$Z$3:$Z$306&lt;Z261)*(calc!$AA$3:$AA$306&gt;AA261))&gt;0)),0)</f>
        <v/>
      </c>
      <c r="AC261" s="5">
        <f>IF(mos_metrics!I260="","",mos_metrics!I260)</f>
        <v/>
      </c>
      <c r="AD261" s="2">
        <f>AND($J261,ISNUMBER(AC261),correlation!$I$28=1)</f>
        <v/>
      </c>
      <c r="AE261" s="5">
        <f>IF(AD261,$F261,"")</f>
        <v/>
      </c>
      <c r="AF261" s="5">
        <f>IF(AD261,AC261*correlation!$J$28,"")</f>
        <v/>
      </c>
      <c r="AG261" s="5">
        <f>IF(AND(AD261,ISNUMBER(correlation!$F$28)),AF261*correlation!$F$28+correlation!$G$28,"")</f>
        <v/>
      </c>
      <c r="AH261" s="5">
        <f>IF(AND(AD261,ISNUMBER(AG261)),(AE261-AG261)^2,"")</f>
        <v/>
      </c>
      <c r="AI261" s="5">
        <f>IF(AD261,1+SUMPRODUCT(--(calc!$AD$3:$AD$306=TRUE),--(calc!$AE$3:$AE$306&gt;AE261))+(SUMPRODUCT(--(calc!$AD$3:$AD$306=TRUE),--(calc!$AE$3:$AE$306=AE261))-1)/2,"")</f>
        <v/>
      </c>
      <c r="AJ261" s="5">
        <f>IF(AD261,1+SUMPRODUCT(--(calc!$AD$3:$AD$306=TRUE),--(calc!$AF$3:$AF$306&gt;AF261))+(SUMPRODUCT(--(calc!$AD$3:$AD$306=TRUE),--(calc!$AF$3:$AF$306=AF261))-1)/2,"")</f>
        <v/>
      </c>
      <c r="AK261" s="5">
        <f>IF(AD261,SUMPRODUCT(--(calc!$AD$3:$AD$306=TRUE),--(ROW(calc!$AD$3:$AD$306)&gt;ROW(AD261)),--(((calc!$AI$3:$AI$306&gt;AI261)*(calc!$AJ$3:$AJ$306&gt;AJ261)+(calc!$AI$3:$AI$306&lt;AI261)*(calc!$AJ$3:$AJ$306&lt;AJ261))&gt;0))-SUMPRODUCT(--(calc!$AD$3:$AD$306=TRUE),--(ROW(calc!$AD$3:$AD$306)&gt;ROW(AD261)),--(((calc!$AI$3:$AI$306&gt;AI261)*(calc!$AJ$3:$AJ$306&lt;AJ261)+(calc!$AI$3:$AI$306&lt;AI261)*(calc!$AJ$3:$AJ$306&gt;AJ261))&gt;0)),0)</f>
        <v/>
      </c>
      <c r="AL261" s="5">
        <f>IF(mos_metrics!J260="","",mos_metrics!J260)</f>
        <v/>
      </c>
      <c r="AM261" s="2">
        <f>AND($J261,ISNUMBER(AL261),correlation!$I$29=1)</f>
        <v/>
      </c>
      <c r="AN261" s="5">
        <f>IF(AM261,$F261,"")</f>
        <v/>
      </c>
      <c r="AO261" s="5">
        <f>IF(AM261,AL261*correlation!$J$29,"")</f>
        <v/>
      </c>
      <c r="AP261" s="5">
        <f>IF(AND(AM261,ISNUMBER(correlation!$F$29)),AO261*correlation!$F$29+correlation!$G$29,"")</f>
        <v/>
      </c>
      <c r="AQ261" s="5">
        <f>IF(AND(AM261,ISNUMBER(AP261)),(AN261-AP261)^2,"")</f>
        <v/>
      </c>
      <c r="AR261" s="5">
        <f>IF(AM261,1+SUMPRODUCT(--(calc!$AM$3:$AM$306=TRUE),--(calc!$AN$3:$AN$306&gt;AN261))+(SUMPRODUCT(--(calc!$AM$3:$AM$306=TRUE),--(calc!$AN$3:$AN$306=AN261))-1)/2,"")</f>
        <v/>
      </c>
      <c r="AS261" s="5">
        <f>IF(AM261,1+SUMPRODUCT(--(calc!$AM$3:$AM$306=TRUE),--(calc!$AO$3:$AO$306&gt;AO261))+(SUMPRODUCT(--(calc!$AM$3:$AM$306=TRUE),--(calc!$AO$3:$AO$306=AO261))-1)/2,"")</f>
        <v/>
      </c>
      <c r="AT261" s="5">
        <f>IF(AM261,SUMPRODUCT(--(calc!$AM$3:$AM$306=TRUE),--(ROW(calc!$AM$3:$AM$306)&gt;ROW(AM261)),--(((calc!$AR$3:$AR$306&gt;AR261)*(calc!$AS$3:$AS$306&gt;AS261)+(calc!$AR$3:$AR$306&lt;AR261)*(calc!$AS$3:$AS$306&lt;AS261))&gt;0))-SUMPRODUCT(--(calc!$AM$3:$AM$306=TRUE),--(ROW(calc!$AM$3:$AM$306)&gt;ROW(AM261)),--(((calc!$AR$3:$AR$306&gt;AR261)*(calc!$AS$3:$AS$306&lt;AS261)+(calc!$AR$3:$AR$306&lt;AR261)*(calc!$AS$3:$AS$306&gt;AS261))&gt;0)),0)</f>
        <v/>
      </c>
      <c r="AU261" s="5">
        <f>IF(mos_metrics!K260="","",mos_metrics!K260)</f>
        <v/>
      </c>
      <c r="AV261" s="2">
        <f>AND($J261,ISNUMBER(AU261),correlation!$I$30=1)</f>
        <v/>
      </c>
      <c r="AW261" s="5">
        <f>IF(AV261,$F261,"")</f>
        <v/>
      </c>
      <c r="AX261" s="5">
        <f>IF(AV261,AU261*correlation!$J$30,"")</f>
        <v/>
      </c>
      <c r="AY261" s="5">
        <f>IF(AND(AV261,ISNUMBER(correlation!$F$30)),AX261*correlation!$F$30+correlation!$G$30,"")</f>
        <v/>
      </c>
      <c r="AZ261" s="5">
        <f>IF(AND(AV261,ISNUMBER(AY261)),(AW261-AY261)^2,"")</f>
        <v/>
      </c>
      <c r="BA261" s="5">
        <f>IF(AV261,1+SUMPRODUCT(--(calc!$AV$3:$AV$306=TRUE),--(calc!$AW$3:$AW$306&gt;AW261))+(SUMPRODUCT(--(calc!$AV$3:$AV$306=TRUE),--(calc!$AW$3:$AW$306=AW261))-1)/2,"")</f>
        <v/>
      </c>
      <c r="BB261" s="5">
        <f>IF(AV261,1+SUMPRODUCT(--(calc!$AV$3:$AV$306=TRUE),--(calc!$AX$3:$AX$306&gt;AX261))+(SUMPRODUCT(--(calc!$AV$3:$AV$306=TRUE),--(calc!$AX$3:$AX$306=AX261))-1)/2,"")</f>
        <v/>
      </c>
      <c r="BC261" s="5">
        <f>IF(AV261,SUMPRODUCT(--(calc!$AV$3:$AV$306=TRUE),--(ROW(calc!$AV$3:$AV$306)&gt;ROW(AV261)),--(((calc!$BA$3:$BA$306&gt;BA261)*(calc!$BB$3:$BB$306&gt;BB261)+(calc!$BA$3:$BA$306&lt;BA261)*(calc!$BB$3:$BB$306&lt;BB261))&gt;0))-SUMPRODUCT(--(calc!$AV$3:$AV$306=TRUE),--(ROW(calc!$AV$3:$AV$306)&gt;ROW(AV261)),--(((calc!$BA$3:$BA$306&gt;BA261)*(calc!$BB$3:$BB$306&lt;BB261)+(calc!$BA$3:$BA$306&lt;BA261)*(calc!$BB$3:$BB$306&gt;BB261))&gt;0)),0)</f>
        <v/>
      </c>
      <c r="BD261" s="5">
        <f>IF(mos_metrics!L260="","",mos_metrics!L260)</f>
        <v/>
      </c>
      <c r="BE261" s="2">
        <f>AND($J261,ISNUMBER(BD261),correlation!$I$31=1)</f>
        <v/>
      </c>
      <c r="BF261" s="5">
        <f>IF(BE261,$F261,"")</f>
        <v/>
      </c>
      <c r="BG261" s="5">
        <f>IF(BE261,BD261*correlation!$J$31,"")</f>
        <v/>
      </c>
      <c r="BH261" s="5">
        <f>IF(AND(BE261,ISNUMBER(correlation!$F$31)),BG261*correlation!$F$31+correlation!$G$31,"")</f>
        <v/>
      </c>
      <c r="BI261" s="5">
        <f>IF(AND(BE261,ISNUMBER(BH261)),(BF261-BH261)^2,"")</f>
        <v/>
      </c>
      <c r="BJ261" s="5">
        <f>IF(BE261,1+SUMPRODUCT(--(calc!$BE$3:$BE$306=TRUE),--(calc!$BF$3:$BF$306&gt;BF261))+(SUMPRODUCT(--(calc!$BE$3:$BE$306=TRUE),--(calc!$BF$3:$BF$306=BF261))-1)/2,"")</f>
        <v/>
      </c>
      <c r="BK261" s="5">
        <f>IF(BE261,1+SUMPRODUCT(--(calc!$BE$3:$BE$306=TRUE),--(calc!$BG$3:$BG$306&gt;BG261))+(SUMPRODUCT(--(calc!$BE$3:$BE$306=TRUE),--(calc!$BG$3:$BG$306=BG261))-1)/2,"")</f>
        <v/>
      </c>
      <c r="BL261" s="5">
        <f>IF(BE261,SUMPRODUCT(--(calc!$BE$3:$BE$306=TRUE),--(ROW(calc!$BE$3:$BE$306)&gt;ROW(BE261)),--(((calc!$BJ$3:$BJ$306&gt;BJ261)*(calc!$BK$3:$BK$306&gt;BK261)+(calc!$BJ$3:$BJ$306&lt;BJ261)*(calc!$BK$3:$BK$306&lt;BK261))&gt;0))-SUMPRODUCT(--(calc!$BE$3:$BE$306=TRUE),--(ROW(calc!$BE$3:$BE$306)&gt;ROW(BE261)),--(((calc!$BJ$3:$BJ$306&gt;BJ261)*(calc!$BK$3:$BK$306&lt;BK261)+(calc!$BJ$3:$BJ$306&lt;BJ261)*(calc!$BK$3:$BK$306&gt;BK261))&gt;0)),0)</f>
        <v/>
      </c>
      <c r="BM261" s="5">
        <f>IF(mos_metrics!M260="","",mos_metrics!M260)</f>
        <v/>
      </c>
      <c r="BN261" s="2">
        <f>AND($J261,ISNUMBER(BM261),correlation!$I$32=1)</f>
        <v/>
      </c>
      <c r="BO261" s="5">
        <f>IF(BN261,$F261,"")</f>
        <v/>
      </c>
      <c r="BP261" s="5">
        <f>IF(BN261,BM261*correlation!$J$32,"")</f>
        <v/>
      </c>
      <c r="BQ261" s="5">
        <f>IF(AND(BN261,ISNUMBER(correlation!$F$32)),BP261*correlation!$F$32+correlation!$G$32,"")</f>
        <v/>
      </c>
      <c r="BR261" s="5">
        <f>IF(AND(BN261,ISNUMBER(BQ261)),(BO261-BQ261)^2,"")</f>
        <v/>
      </c>
      <c r="BS261" s="5">
        <f>IF(BN261,1+SUMPRODUCT(--(calc!$BN$3:$BN$306=TRUE),--(calc!$BO$3:$BO$306&gt;BO261))+(SUMPRODUCT(--(calc!$BN$3:$BN$306=TRUE),--(calc!$BO$3:$BO$306=BO261))-1)/2,"")</f>
        <v/>
      </c>
      <c r="BT261" s="5">
        <f>IF(BN261,1+SUMPRODUCT(--(calc!$BN$3:$BN$306=TRUE),--(calc!$BP$3:$BP$306&gt;BP261))+(SUMPRODUCT(--(calc!$BN$3:$BN$306=TRUE),--(calc!$BP$3:$BP$306=BP261))-1)/2,"")</f>
        <v/>
      </c>
      <c r="BU261" s="5">
        <f>IF(BN261,SUMPRODUCT(--(calc!$BN$3:$BN$306=TRUE),--(ROW(calc!$BN$3:$BN$306)&gt;ROW(BN261)),--(((calc!$BS$3:$BS$306&gt;BS261)*(calc!$BT$3:$BT$306&gt;BT261)+(calc!$BS$3:$BS$306&lt;BS261)*(calc!$BT$3:$BT$306&lt;BT261))&gt;0))-SUMPRODUCT(--(calc!$BN$3:$BN$306=TRUE),--(ROW(calc!$BN$3:$BN$306)&gt;ROW(BN261)),--(((calc!$BS$3:$BS$306&gt;BS261)*(calc!$BT$3:$BT$306&lt;BT261)+(calc!$BS$3:$BS$306&lt;BS261)*(calc!$BT$3:$BT$306&gt;BT261))&gt;0)),0)</f>
        <v/>
      </c>
    </row>
    <row r="262">
      <c r="A262" s="2">
        <f>mos_metrics!A261</f>
        <v/>
      </c>
      <c r="B262" s="2">
        <f>mos_metrics!B261</f>
        <v/>
      </c>
      <c r="C262" s="2">
        <f>mos_metrics!C261</f>
        <v/>
      </c>
      <c r="D262" s="2">
        <f>mos_metrics!D261</f>
        <v/>
      </c>
      <c r="E262" s="2">
        <f>mos_metrics!E261</f>
        <v/>
      </c>
      <c r="F262" s="2">
        <f>mos_metrics!F261</f>
        <v/>
      </c>
      <c r="G262" s="2">
        <f>IF($B262="","",IFERROR(VLOOKUP($B262,correlation!$A$2:$B$16,2,FALSE),1))</f>
        <v/>
      </c>
      <c r="H262" s="2">
        <f>IF($E262="","",IFERROR(VLOOKUP($E262,correlation!$D$2:$E$8,2,FALSE),1))</f>
        <v/>
      </c>
      <c r="I262" s="2">
        <f>ISNUMBER($F262)</f>
        <v/>
      </c>
      <c r="J262" s="2">
        <f>AND($G262=1,$H262=1,$I262)</f>
        <v/>
      </c>
      <c r="K262" s="5">
        <f>IF(mos_metrics!G261="","",mos_metrics!G261)</f>
        <v/>
      </c>
      <c r="L262" s="2">
        <f>AND($J262,ISNUMBER(K262),correlation!$I$26=1)</f>
        <v/>
      </c>
      <c r="M262" s="5">
        <f>IF(L262,$F262,"")</f>
        <v/>
      </c>
      <c r="N262" s="5">
        <f>IF(L262,K262*correlation!$J$26,"")</f>
        <v/>
      </c>
      <c r="O262" s="5">
        <f>IF(AND(L262,ISNUMBER(correlation!$F$26)),N262*correlation!$F$26+correlation!$G$26,"")</f>
        <v/>
      </c>
      <c r="P262" s="5">
        <f>IF(AND(L262,ISNUMBER(O262)),(M262-O262)^2,"")</f>
        <v/>
      </c>
      <c r="Q262" s="5">
        <f>IF(L262,1+SUMPRODUCT(--(calc!$L$3:$L$306=TRUE),--(calc!$M$3:$M$306&gt;M262))+(SUMPRODUCT(--(calc!$L$3:$L$306=TRUE),--(calc!$M$3:$M$306=M262))-1)/2,"")</f>
        <v/>
      </c>
      <c r="R262" s="5">
        <f>IF(L262,1+SUMPRODUCT(--(calc!$L$3:$L$306=TRUE),--(calc!$N$3:$N$306&gt;N262))+(SUMPRODUCT(--(calc!$L$3:$L$306=TRUE),--(calc!$N$3:$N$306=N262))-1)/2,"")</f>
        <v/>
      </c>
      <c r="S262" s="5">
        <f>IF(L262,SUMPRODUCT(--(calc!$L$3:$L$306=TRUE),--(ROW(calc!$L$3:$L$306)&gt;ROW(L262)),--(((calc!$Q$3:$Q$306&gt;Q262)*(calc!$R$3:$R$306&gt;R262)+(calc!$Q$3:$Q$306&lt;Q262)*(calc!$R$3:$R$306&lt;R262))&gt;0))-SUMPRODUCT(--(calc!$L$3:$L$306=TRUE),--(ROW(calc!$L$3:$L$306)&gt;ROW(L262)),--(((calc!$Q$3:$Q$306&gt;Q262)*(calc!$R$3:$R$306&lt;R262)+(calc!$Q$3:$Q$306&lt;Q262)*(calc!$R$3:$R$306&gt;R262))&gt;0)),0)</f>
        <v/>
      </c>
      <c r="T262" s="5">
        <f>IF(mos_metrics!H261="","",mos_metrics!H261)</f>
        <v/>
      </c>
      <c r="U262" s="2">
        <f>AND($J262,ISNUMBER(T262),correlation!$I$27=1)</f>
        <v/>
      </c>
      <c r="V262" s="5">
        <f>IF(U262,$F262,"")</f>
        <v/>
      </c>
      <c r="W262" s="5">
        <f>IF(U262,T262*correlation!$J$27,"")</f>
        <v/>
      </c>
      <c r="X262" s="5">
        <f>IF(AND(U262,ISNUMBER(correlation!$F$27)),W262*correlation!$F$27+correlation!$G$27,"")</f>
        <v/>
      </c>
      <c r="Y262" s="5">
        <f>IF(AND(U262,ISNUMBER(X262)),(V262-X262)^2,"")</f>
        <v/>
      </c>
      <c r="Z262" s="5">
        <f>IF(U262,1+SUMPRODUCT(--(calc!$U$3:$U$306=TRUE),--(calc!$V$3:$V$306&gt;V262))+(SUMPRODUCT(--(calc!$U$3:$U$306=TRUE),--(calc!$V$3:$V$306=V262))-1)/2,"")</f>
        <v/>
      </c>
      <c r="AA262" s="5">
        <f>IF(U262,1+SUMPRODUCT(--(calc!$U$3:$U$306=TRUE),--(calc!$W$3:$W$306&gt;W262))+(SUMPRODUCT(--(calc!$U$3:$U$306=TRUE),--(calc!$W$3:$W$306=W262))-1)/2,"")</f>
        <v/>
      </c>
      <c r="AB262" s="5">
        <f>IF(U262,SUMPRODUCT(--(calc!$U$3:$U$306=TRUE),--(ROW(calc!$U$3:$U$306)&gt;ROW(U262)),--(((calc!$Z$3:$Z$306&gt;Z262)*(calc!$AA$3:$AA$306&gt;AA262)+(calc!$Z$3:$Z$306&lt;Z262)*(calc!$AA$3:$AA$306&lt;AA262))&gt;0))-SUMPRODUCT(--(calc!$U$3:$U$306=TRUE),--(ROW(calc!$U$3:$U$306)&gt;ROW(U262)),--(((calc!$Z$3:$Z$306&gt;Z262)*(calc!$AA$3:$AA$306&lt;AA262)+(calc!$Z$3:$Z$306&lt;Z262)*(calc!$AA$3:$AA$306&gt;AA262))&gt;0)),0)</f>
        <v/>
      </c>
      <c r="AC262" s="5">
        <f>IF(mos_metrics!I261="","",mos_metrics!I261)</f>
        <v/>
      </c>
      <c r="AD262" s="2">
        <f>AND($J262,ISNUMBER(AC262),correlation!$I$28=1)</f>
        <v/>
      </c>
      <c r="AE262" s="5">
        <f>IF(AD262,$F262,"")</f>
        <v/>
      </c>
      <c r="AF262" s="5">
        <f>IF(AD262,AC262*correlation!$J$28,"")</f>
        <v/>
      </c>
      <c r="AG262" s="5">
        <f>IF(AND(AD262,ISNUMBER(correlation!$F$28)),AF262*correlation!$F$28+correlation!$G$28,"")</f>
        <v/>
      </c>
      <c r="AH262" s="5">
        <f>IF(AND(AD262,ISNUMBER(AG262)),(AE262-AG262)^2,"")</f>
        <v/>
      </c>
      <c r="AI262" s="5">
        <f>IF(AD262,1+SUMPRODUCT(--(calc!$AD$3:$AD$306=TRUE),--(calc!$AE$3:$AE$306&gt;AE262))+(SUMPRODUCT(--(calc!$AD$3:$AD$306=TRUE),--(calc!$AE$3:$AE$306=AE262))-1)/2,"")</f>
        <v/>
      </c>
      <c r="AJ262" s="5">
        <f>IF(AD262,1+SUMPRODUCT(--(calc!$AD$3:$AD$306=TRUE),--(calc!$AF$3:$AF$306&gt;AF262))+(SUMPRODUCT(--(calc!$AD$3:$AD$306=TRUE),--(calc!$AF$3:$AF$306=AF262))-1)/2,"")</f>
        <v/>
      </c>
      <c r="AK262" s="5">
        <f>IF(AD262,SUMPRODUCT(--(calc!$AD$3:$AD$306=TRUE),--(ROW(calc!$AD$3:$AD$306)&gt;ROW(AD262)),--(((calc!$AI$3:$AI$306&gt;AI262)*(calc!$AJ$3:$AJ$306&gt;AJ262)+(calc!$AI$3:$AI$306&lt;AI262)*(calc!$AJ$3:$AJ$306&lt;AJ262))&gt;0))-SUMPRODUCT(--(calc!$AD$3:$AD$306=TRUE),--(ROW(calc!$AD$3:$AD$306)&gt;ROW(AD262)),--(((calc!$AI$3:$AI$306&gt;AI262)*(calc!$AJ$3:$AJ$306&lt;AJ262)+(calc!$AI$3:$AI$306&lt;AI262)*(calc!$AJ$3:$AJ$306&gt;AJ262))&gt;0)),0)</f>
        <v/>
      </c>
      <c r="AL262" s="5">
        <f>IF(mos_metrics!J261="","",mos_metrics!J261)</f>
        <v/>
      </c>
      <c r="AM262" s="2">
        <f>AND($J262,ISNUMBER(AL262),correlation!$I$29=1)</f>
        <v/>
      </c>
      <c r="AN262" s="5">
        <f>IF(AM262,$F262,"")</f>
        <v/>
      </c>
      <c r="AO262" s="5">
        <f>IF(AM262,AL262*correlation!$J$29,"")</f>
        <v/>
      </c>
      <c r="AP262" s="5">
        <f>IF(AND(AM262,ISNUMBER(correlation!$F$29)),AO262*correlation!$F$29+correlation!$G$29,"")</f>
        <v/>
      </c>
      <c r="AQ262" s="5">
        <f>IF(AND(AM262,ISNUMBER(AP262)),(AN262-AP262)^2,"")</f>
        <v/>
      </c>
      <c r="AR262" s="5">
        <f>IF(AM262,1+SUMPRODUCT(--(calc!$AM$3:$AM$306=TRUE),--(calc!$AN$3:$AN$306&gt;AN262))+(SUMPRODUCT(--(calc!$AM$3:$AM$306=TRUE),--(calc!$AN$3:$AN$306=AN262))-1)/2,"")</f>
        <v/>
      </c>
      <c r="AS262" s="5">
        <f>IF(AM262,1+SUMPRODUCT(--(calc!$AM$3:$AM$306=TRUE),--(calc!$AO$3:$AO$306&gt;AO262))+(SUMPRODUCT(--(calc!$AM$3:$AM$306=TRUE),--(calc!$AO$3:$AO$306=AO262))-1)/2,"")</f>
        <v/>
      </c>
      <c r="AT262" s="5">
        <f>IF(AM262,SUMPRODUCT(--(calc!$AM$3:$AM$306=TRUE),--(ROW(calc!$AM$3:$AM$306)&gt;ROW(AM262)),--(((calc!$AR$3:$AR$306&gt;AR262)*(calc!$AS$3:$AS$306&gt;AS262)+(calc!$AR$3:$AR$306&lt;AR262)*(calc!$AS$3:$AS$306&lt;AS262))&gt;0))-SUMPRODUCT(--(calc!$AM$3:$AM$306=TRUE),--(ROW(calc!$AM$3:$AM$306)&gt;ROW(AM262)),--(((calc!$AR$3:$AR$306&gt;AR262)*(calc!$AS$3:$AS$306&lt;AS262)+(calc!$AR$3:$AR$306&lt;AR262)*(calc!$AS$3:$AS$306&gt;AS262))&gt;0)),0)</f>
        <v/>
      </c>
      <c r="AU262" s="5">
        <f>IF(mos_metrics!K261="","",mos_metrics!K261)</f>
        <v/>
      </c>
      <c r="AV262" s="2">
        <f>AND($J262,ISNUMBER(AU262),correlation!$I$30=1)</f>
        <v/>
      </c>
      <c r="AW262" s="5">
        <f>IF(AV262,$F262,"")</f>
        <v/>
      </c>
      <c r="AX262" s="5">
        <f>IF(AV262,AU262*correlation!$J$30,"")</f>
        <v/>
      </c>
      <c r="AY262" s="5">
        <f>IF(AND(AV262,ISNUMBER(correlation!$F$30)),AX262*correlation!$F$30+correlation!$G$30,"")</f>
        <v/>
      </c>
      <c r="AZ262" s="5">
        <f>IF(AND(AV262,ISNUMBER(AY262)),(AW262-AY262)^2,"")</f>
        <v/>
      </c>
      <c r="BA262" s="5">
        <f>IF(AV262,1+SUMPRODUCT(--(calc!$AV$3:$AV$306=TRUE),--(calc!$AW$3:$AW$306&gt;AW262))+(SUMPRODUCT(--(calc!$AV$3:$AV$306=TRUE),--(calc!$AW$3:$AW$306=AW262))-1)/2,"")</f>
        <v/>
      </c>
      <c r="BB262" s="5">
        <f>IF(AV262,1+SUMPRODUCT(--(calc!$AV$3:$AV$306=TRUE),--(calc!$AX$3:$AX$306&gt;AX262))+(SUMPRODUCT(--(calc!$AV$3:$AV$306=TRUE),--(calc!$AX$3:$AX$306=AX262))-1)/2,"")</f>
        <v/>
      </c>
      <c r="BC262" s="5">
        <f>IF(AV262,SUMPRODUCT(--(calc!$AV$3:$AV$306=TRUE),--(ROW(calc!$AV$3:$AV$306)&gt;ROW(AV262)),--(((calc!$BA$3:$BA$306&gt;BA262)*(calc!$BB$3:$BB$306&gt;BB262)+(calc!$BA$3:$BA$306&lt;BA262)*(calc!$BB$3:$BB$306&lt;BB262))&gt;0))-SUMPRODUCT(--(calc!$AV$3:$AV$306=TRUE),--(ROW(calc!$AV$3:$AV$306)&gt;ROW(AV262)),--(((calc!$BA$3:$BA$306&gt;BA262)*(calc!$BB$3:$BB$306&lt;BB262)+(calc!$BA$3:$BA$306&lt;BA262)*(calc!$BB$3:$BB$306&gt;BB262))&gt;0)),0)</f>
        <v/>
      </c>
      <c r="BD262" s="5">
        <f>IF(mos_metrics!L261="","",mos_metrics!L261)</f>
        <v/>
      </c>
      <c r="BE262" s="2">
        <f>AND($J262,ISNUMBER(BD262),correlation!$I$31=1)</f>
        <v/>
      </c>
      <c r="BF262" s="5">
        <f>IF(BE262,$F262,"")</f>
        <v/>
      </c>
      <c r="BG262" s="5">
        <f>IF(BE262,BD262*correlation!$J$31,"")</f>
        <v/>
      </c>
      <c r="BH262" s="5">
        <f>IF(AND(BE262,ISNUMBER(correlation!$F$31)),BG262*correlation!$F$31+correlation!$G$31,"")</f>
        <v/>
      </c>
      <c r="BI262" s="5">
        <f>IF(AND(BE262,ISNUMBER(BH262)),(BF262-BH262)^2,"")</f>
        <v/>
      </c>
      <c r="BJ262" s="5">
        <f>IF(BE262,1+SUMPRODUCT(--(calc!$BE$3:$BE$306=TRUE),--(calc!$BF$3:$BF$306&gt;BF262))+(SUMPRODUCT(--(calc!$BE$3:$BE$306=TRUE),--(calc!$BF$3:$BF$306=BF262))-1)/2,"")</f>
        <v/>
      </c>
      <c r="BK262" s="5">
        <f>IF(BE262,1+SUMPRODUCT(--(calc!$BE$3:$BE$306=TRUE),--(calc!$BG$3:$BG$306&gt;BG262))+(SUMPRODUCT(--(calc!$BE$3:$BE$306=TRUE),--(calc!$BG$3:$BG$306=BG262))-1)/2,"")</f>
        <v/>
      </c>
      <c r="BL262" s="5">
        <f>IF(BE262,SUMPRODUCT(--(calc!$BE$3:$BE$306=TRUE),--(ROW(calc!$BE$3:$BE$306)&gt;ROW(BE262)),--(((calc!$BJ$3:$BJ$306&gt;BJ262)*(calc!$BK$3:$BK$306&gt;BK262)+(calc!$BJ$3:$BJ$306&lt;BJ262)*(calc!$BK$3:$BK$306&lt;BK262))&gt;0))-SUMPRODUCT(--(calc!$BE$3:$BE$306=TRUE),--(ROW(calc!$BE$3:$BE$306)&gt;ROW(BE262)),--(((calc!$BJ$3:$BJ$306&gt;BJ262)*(calc!$BK$3:$BK$306&lt;BK262)+(calc!$BJ$3:$BJ$306&lt;BJ262)*(calc!$BK$3:$BK$306&gt;BK262))&gt;0)),0)</f>
        <v/>
      </c>
      <c r="BM262" s="5">
        <f>IF(mos_metrics!M261="","",mos_metrics!M261)</f>
        <v/>
      </c>
      <c r="BN262" s="2">
        <f>AND($J262,ISNUMBER(BM262),correlation!$I$32=1)</f>
        <v/>
      </c>
      <c r="BO262" s="5">
        <f>IF(BN262,$F262,"")</f>
        <v/>
      </c>
      <c r="BP262" s="5">
        <f>IF(BN262,BM262*correlation!$J$32,"")</f>
        <v/>
      </c>
      <c r="BQ262" s="5">
        <f>IF(AND(BN262,ISNUMBER(correlation!$F$32)),BP262*correlation!$F$32+correlation!$G$32,"")</f>
        <v/>
      </c>
      <c r="BR262" s="5">
        <f>IF(AND(BN262,ISNUMBER(BQ262)),(BO262-BQ262)^2,"")</f>
        <v/>
      </c>
      <c r="BS262" s="5">
        <f>IF(BN262,1+SUMPRODUCT(--(calc!$BN$3:$BN$306=TRUE),--(calc!$BO$3:$BO$306&gt;BO262))+(SUMPRODUCT(--(calc!$BN$3:$BN$306=TRUE),--(calc!$BO$3:$BO$306=BO262))-1)/2,"")</f>
        <v/>
      </c>
      <c r="BT262" s="5">
        <f>IF(BN262,1+SUMPRODUCT(--(calc!$BN$3:$BN$306=TRUE),--(calc!$BP$3:$BP$306&gt;BP262))+(SUMPRODUCT(--(calc!$BN$3:$BN$306=TRUE),--(calc!$BP$3:$BP$306=BP262))-1)/2,"")</f>
        <v/>
      </c>
      <c r="BU262" s="5">
        <f>IF(BN262,SUMPRODUCT(--(calc!$BN$3:$BN$306=TRUE),--(ROW(calc!$BN$3:$BN$306)&gt;ROW(BN262)),--(((calc!$BS$3:$BS$306&gt;BS262)*(calc!$BT$3:$BT$306&gt;BT262)+(calc!$BS$3:$BS$306&lt;BS262)*(calc!$BT$3:$BT$306&lt;BT262))&gt;0))-SUMPRODUCT(--(calc!$BN$3:$BN$306=TRUE),--(ROW(calc!$BN$3:$BN$306)&gt;ROW(BN262)),--(((calc!$BS$3:$BS$306&gt;BS262)*(calc!$BT$3:$BT$306&lt;BT262)+(calc!$BS$3:$BS$306&lt;BS262)*(calc!$BT$3:$BT$306&gt;BT262))&gt;0)),0)</f>
        <v/>
      </c>
    </row>
    <row r="263">
      <c r="A263" s="2">
        <f>mos_metrics!A262</f>
        <v/>
      </c>
      <c r="B263" s="2">
        <f>mos_metrics!B262</f>
        <v/>
      </c>
      <c r="C263" s="2">
        <f>mos_metrics!C262</f>
        <v/>
      </c>
      <c r="D263" s="2">
        <f>mos_metrics!D262</f>
        <v/>
      </c>
      <c r="E263" s="2">
        <f>mos_metrics!E262</f>
        <v/>
      </c>
      <c r="F263" s="2">
        <f>mos_metrics!F262</f>
        <v/>
      </c>
      <c r="G263" s="2">
        <f>IF($B263="","",IFERROR(VLOOKUP($B263,correlation!$A$2:$B$16,2,FALSE),1))</f>
        <v/>
      </c>
      <c r="H263" s="2">
        <f>IF($E263="","",IFERROR(VLOOKUP($E263,correlation!$D$2:$E$8,2,FALSE),1))</f>
        <v/>
      </c>
      <c r="I263" s="2">
        <f>ISNUMBER($F263)</f>
        <v/>
      </c>
      <c r="J263" s="2">
        <f>AND($G263=1,$H263=1,$I263)</f>
        <v/>
      </c>
      <c r="K263" s="5">
        <f>IF(mos_metrics!G262="","",mos_metrics!G262)</f>
        <v/>
      </c>
      <c r="L263" s="2">
        <f>AND($J263,ISNUMBER(K263),correlation!$I$26=1)</f>
        <v/>
      </c>
      <c r="M263" s="5">
        <f>IF(L263,$F263,"")</f>
        <v/>
      </c>
      <c r="N263" s="5">
        <f>IF(L263,K263*correlation!$J$26,"")</f>
        <v/>
      </c>
      <c r="O263" s="5">
        <f>IF(AND(L263,ISNUMBER(correlation!$F$26)),N263*correlation!$F$26+correlation!$G$26,"")</f>
        <v/>
      </c>
      <c r="P263" s="5">
        <f>IF(AND(L263,ISNUMBER(O263)),(M263-O263)^2,"")</f>
        <v/>
      </c>
      <c r="Q263" s="5">
        <f>IF(L263,1+SUMPRODUCT(--(calc!$L$3:$L$306=TRUE),--(calc!$M$3:$M$306&gt;M263))+(SUMPRODUCT(--(calc!$L$3:$L$306=TRUE),--(calc!$M$3:$M$306=M263))-1)/2,"")</f>
        <v/>
      </c>
      <c r="R263" s="5">
        <f>IF(L263,1+SUMPRODUCT(--(calc!$L$3:$L$306=TRUE),--(calc!$N$3:$N$306&gt;N263))+(SUMPRODUCT(--(calc!$L$3:$L$306=TRUE),--(calc!$N$3:$N$306=N263))-1)/2,"")</f>
        <v/>
      </c>
      <c r="S263" s="5">
        <f>IF(L263,SUMPRODUCT(--(calc!$L$3:$L$306=TRUE),--(ROW(calc!$L$3:$L$306)&gt;ROW(L263)),--(((calc!$Q$3:$Q$306&gt;Q263)*(calc!$R$3:$R$306&gt;R263)+(calc!$Q$3:$Q$306&lt;Q263)*(calc!$R$3:$R$306&lt;R263))&gt;0))-SUMPRODUCT(--(calc!$L$3:$L$306=TRUE),--(ROW(calc!$L$3:$L$306)&gt;ROW(L263)),--(((calc!$Q$3:$Q$306&gt;Q263)*(calc!$R$3:$R$306&lt;R263)+(calc!$Q$3:$Q$306&lt;Q263)*(calc!$R$3:$R$306&gt;R263))&gt;0)),0)</f>
        <v/>
      </c>
      <c r="T263" s="5">
        <f>IF(mos_metrics!H262="","",mos_metrics!H262)</f>
        <v/>
      </c>
      <c r="U263" s="2">
        <f>AND($J263,ISNUMBER(T263),correlation!$I$27=1)</f>
        <v/>
      </c>
      <c r="V263" s="5">
        <f>IF(U263,$F263,"")</f>
        <v/>
      </c>
      <c r="W263" s="5">
        <f>IF(U263,T263*correlation!$J$27,"")</f>
        <v/>
      </c>
      <c r="X263" s="5">
        <f>IF(AND(U263,ISNUMBER(correlation!$F$27)),W263*correlation!$F$27+correlation!$G$27,"")</f>
        <v/>
      </c>
      <c r="Y263" s="5">
        <f>IF(AND(U263,ISNUMBER(X263)),(V263-X263)^2,"")</f>
        <v/>
      </c>
      <c r="Z263" s="5">
        <f>IF(U263,1+SUMPRODUCT(--(calc!$U$3:$U$306=TRUE),--(calc!$V$3:$V$306&gt;V263))+(SUMPRODUCT(--(calc!$U$3:$U$306=TRUE),--(calc!$V$3:$V$306=V263))-1)/2,"")</f>
        <v/>
      </c>
      <c r="AA263" s="5">
        <f>IF(U263,1+SUMPRODUCT(--(calc!$U$3:$U$306=TRUE),--(calc!$W$3:$W$306&gt;W263))+(SUMPRODUCT(--(calc!$U$3:$U$306=TRUE),--(calc!$W$3:$W$306=W263))-1)/2,"")</f>
        <v/>
      </c>
      <c r="AB263" s="5">
        <f>IF(U263,SUMPRODUCT(--(calc!$U$3:$U$306=TRUE),--(ROW(calc!$U$3:$U$306)&gt;ROW(U263)),--(((calc!$Z$3:$Z$306&gt;Z263)*(calc!$AA$3:$AA$306&gt;AA263)+(calc!$Z$3:$Z$306&lt;Z263)*(calc!$AA$3:$AA$306&lt;AA263))&gt;0))-SUMPRODUCT(--(calc!$U$3:$U$306=TRUE),--(ROW(calc!$U$3:$U$306)&gt;ROW(U263)),--(((calc!$Z$3:$Z$306&gt;Z263)*(calc!$AA$3:$AA$306&lt;AA263)+(calc!$Z$3:$Z$306&lt;Z263)*(calc!$AA$3:$AA$306&gt;AA263))&gt;0)),0)</f>
        <v/>
      </c>
      <c r="AC263" s="5">
        <f>IF(mos_metrics!I262="","",mos_metrics!I262)</f>
        <v/>
      </c>
      <c r="AD263" s="2">
        <f>AND($J263,ISNUMBER(AC263),correlation!$I$28=1)</f>
        <v/>
      </c>
      <c r="AE263" s="5">
        <f>IF(AD263,$F263,"")</f>
        <v/>
      </c>
      <c r="AF263" s="5">
        <f>IF(AD263,AC263*correlation!$J$28,"")</f>
        <v/>
      </c>
      <c r="AG263" s="5">
        <f>IF(AND(AD263,ISNUMBER(correlation!$F$28)),AF263*correlation!$F$28+correlation!$G$28,"")</f>
        <v/>
      </c>
      <c r="AH263" s="5">
        <f>IF(AND(AD263,ISNUMBER(AG263)),(AE263-AG263)^2,"")</f>
        <v/>
      </c>
      <c r="AI263" s="5">
        <f>IF(AD263,1+SUMPRODUCT(--(calc!$AD$3:$AD$306=TRUE),--(calc!$AE$3:$AE$306&gt;AE263))+(SUMPRODUCT(--(calc!$AD$3:$AD$306=TRUE),--(calc!$AE$3:$AE$306=AE263))-1)/2,"")</f>
        <v/>
      </c>
      <c r="AJ263" s="5">
        <f>IF(AD263,1+SUMPRODUCT(--(calc!$AD$3:$AD$306=TRUE),--(calc!$AF$3:$AF$306&gt;AF263))+(SUMPRODUCT(--(calc!$AD$3:$AD$306=TRUE),--(calc!$AF$3:$AF$306=AF263))-1)/2,"")</f>
        <v/>
      </c>
      <c r="AK263" s="5">
        <f>IF(AD263,SUMPRODUCT(--(calc!$AD$3:$AD$306=TRUE),--(ROW(calc!$AD$3:$AD$306)&gt;ROW(AD263)),--(((calc!$AI$3:$AI$306&gt;AI263)*(calc!$AJ$3:$AJ$306&gt;AJ263)+(calc!$AI$3:$AI$306&lt;AI263)*(calc!$AJ$3:$AJ$306&lt;AJ263))&gt;0))-SUMPRODUCT(--(calc!$AD$3:$AD$306=TRUE),--(ROW(calc!$AD$3:$AD$306)&gt;ROW(AD263)),--(((calc!$AI$3:$AI$306&gt;AI263)*(calc!$AJ$3:$AJ$306&lt;AJ263)+(calc!$AI$3:$AI$306&lt;AI263)*(calc!$AJ$3:$AJ$306&gt;AJ263))&gt;0)),0)</f>
        <v/>
      </c>
      <c r="AL263" s="5">
        <f>IF(mos_metrics!J262="","",mos_metrics!J262)</f>
        <v/>
      </c>
      <c r="AM263" s="2">
        <f>AND($J263,ISNUMBER(AL263),correlation!$I$29=1)</f>
        <v/>
      </c>
      <c r="AN263" s="5">
        <f>IF(AM263,$F263,"")</f>
        <v/>
      </c>
      <c r="AO263" s="5">
        <f>IF(AM263,AL263*correlation!$J$29,"")</f>
        <v/>
      </c>
      <c r="AP263" s="5">
        <f>IF(AND(AM263,ISNUMBER(correlation!$F$29)),AO263*correlation!$F$29+correlation!$G$29,"")</f>
        <v/>
      </c>
      <c r="AQ263" s="5">
        <f>IF(AND(AM263,ISNUMBER(AP263)),(AN263-AP263)^2,"")</f>
        <v/>
      </c>
      <c r="AR263" s="5">
        <f>IF(AM263,1+SUMPRODUCT(--(calc!$AM$3:$AM$306=TRUE),--(calc!$AN$3:$AN$306&gt;AN263))+(SUMPRODUCT(--(calc!$AM$3:$AM$306=TRUE),--(calc!$AN$3:$AN$306=AN263))-1)/2,"")</f>
        <v/>
      </c>
      <c r="AS263" s="5">
        <f>IF(AM263,1+SUMPRODUCT(--(calc!$AM$3:$AM$306=TRUE),--(calc!$AO$3:$AO$306&gt;AO263))+(SUMPRODUCT(--(calc!$AM$3:$AM$306=TRUE),--(calc!$AO$3:$AO$306=AO263))-1)/2,"")</f>
        <v/>
      </c>
      <c r="AT263" s="5">
        <f>IF(AM263,SUMPRODUCT(--(calc!$AM$3:$AM$306=TRUE),--(ROW(calc!$AM$3:$AM$306)&gt;ROW(AM263)),--(((calc!$AR$3:$AR$306&gt;AR263)*(calc!$AS$3:$AS$306&gt;AS263)+(calc!$AR$3:$AR$306&lt;AR263)*(calc!$AS$3:$AS$306&lt;AS263))&gt;0))-SUMPRODUCT(--(calc!$AM$3:$AM$306=TRUE),--(ROW(calc!$AM$3:$AM$306)&gt;ROW(AM263)),--(((calc!$AR$3:$AR$306&gt;AR263)*(calc!$AS$3:$AS$306&lt;AS263)+(calc!$AR$3:$AR$306&lt;AR263)*(calc!$AS$3:$AS$306&gt;AS263))&gt;0)),0)</f>
        <v/>
      </c>
      <c r="AU263" s="5">
        <f>IF(mos_metrics!K262="","",mos_metrics!K262)</f>
        <v/>
      </c>
      <c r="AV263" s="2">
        <f>AND($J263,ISNUMBER(AU263),correlation!$I$30=1)</f>
        <v/>
      </c>
      <c r="AW263" s="5">
        <f>IF(AV263,$F263,"")</f>
        <v/>
      </c>
      <c r="AX263" s="5">
        <f>IF(AV263,AU263*correlation!$J$30,"")</f>
        <v/>
      </c>
      <c r="AY263" s="5">
        <f>IF(AND(AV263,ISNUMBER(correlation!$F$30)),AX263*correlation!$F$30+correlation!$G$30,"")</f>
        <v/>
      </c>
      <c r="AZ263" s="5">
        <f>IF(AND(AV263,ISNUMBER(AY263)),(AW263-AY263)^2,"")</f>
        <v/>
      </c>
      <c r="BA263" s="5">
        <f>IF(AV263,1+SUMPRODUCT(--(calc!$AV$3:$AV$306=TRUE),--(calc!$AW$3:$AW$306&gt;AW263))+(SUMPRODUCT(--(calc!$AV$3:$AV$306=TRUE),--(calc!$AW$3:$AW$306=AW263))-1)/2,"")</f>
        <v/>
      </c>
      <c r="BB263" s="5">
        <f>IF(AV263,1+SUMPRODUCT(--(calc!$AV$3:$AV$306=TRUE),--(calc!$AX$3:$AX$306&gt;AX263))+(SUMPRODUCT(--(calc!$AV$3:$AV$306=TRUE),--(calc!$AX$3:$AX$306=AX263))-1)/2,"")</f>
        <v/>
      </c>
      <c r="BC263" s="5">
        <f>IF(AV263,SUMPRODUCT(--(calc!$AV$3:$AV$306=TRUE),--(ROW(calc!$AV$3:$AV$306)&gt;ROW(AV263)),--(((calc!$BA$3:$BA$306&gt;BA263)*(calc!$BB$3:$BB$306&gt;BB263)+(calc!$BA$3:$BA$306&lt;BA263)*(calc!$BB$3:$BB$306&lt;BB263))&gt;0))-SUMPRODUCT(--(calc!$AV$3:$AV$306=TRUE),--(ROW(calc!$AV$3:$AV$306)&gt;ROW(AV263)),--(((calc!$BA$3:$BA$306&gt;BA263)*(calc!$BB$3:$BB$306&lt;BB263)+(calc!$BA$3:$BA$306&lt;BA263)*(calc!$BB$3:$BB$306&gt;BB263))&gt;0)),0)</f>
        <v/>
      </c>
      <c r="BD263" s="5">
        <f>IF(mos_metrics!L262="","",mos_metrics!L262)</f>
        <v/>
      </c>
      <c r="BE263" s="2">
        <f>AND($J263,ISNUMBER(BD263),correlation!$I$31=1)</f>
        <v/>
      </c>
      <c r="BF263" s="5">
        <f>IF(BE263,$F263,"")</f>
        <v/>
      </c>
      <c r="BG263" s="5">
        <f>IF(BE263,BD263*correlation!$J$31,"")</f>
        <v/>
      </c>
      <c r="BH263" s="5">
        <f>IF(AND(BE263,ISNUMBER(correlation!$F$31)),BG263*correlation!$F$31+correlation!$G$31,"")</f>
        <v/>
      </c>
      <c r="BI263" s="5">
        <f>IF(AND(BE263,ISNUMBER(BH263)),(BF263-BH263)^2,"")</f>
        <v/>
      </c>
      <c r="BJ263" s="5">
        <f>IF(BE263,1+SUMPRODUCT(--(calc!$BE$3:$BE$306=TRUE),--(calc!$BF$3:$BF$306&gt;BF263))+(SUMPRODUCT(--(calc!$BE$3:$BE$306=TRUE),--(calc!$BF$3:$BF$306=BF263))-1)/2,"")</f>
        <v/>
      </c>
      <c r="BK263" s="5">
        <f>IF(BE263,1+SUMPRODUCT(--(calc!$BE$3:$BE$306=TRUE),--(calc!$BG$3:$BG$306&gt;BG263))+(SUMPRODUCT(--(calc!$BE$3:$BE$306=TRUE),--(calc!$BG$3:$BG$306=BG263))-1)/2,"")</f>
        <v/>
      </c>
      <c r="BL263" s="5">
        <f>IF(BE263,SUMPRODUCT(--(calc!$BE$3:$BE$306=TRUE),--(ROW(calc!$BE$3:$BE$306)&gt;ROW(BE263)),--(((calc!$BJ$3:$BJ$306&gt;BJ263)*(calc!$BK$3:$BK$306&gt;BK263)+(calc!$BJ$3:$BJ$306&lt;BJ263)*(calc!$BK$3:$BK$306&lt;BK263))&gt;0))-SUMPRODUCT(--(calc!$BE$3:$BE$306=TRUE),--(ROW(calc!$BE$3:$BE$306)&gt;ROW(BE263)),--(((calc!$BJ$3:$BJ$306&gt;BJ263)*(calc!$BK$3:$BK$306&lt;BK263)+(calc!$BJ$3:$BJ$306&lt;BJ263)*(calc!$BK$3:$BK$306&gt;BK263))&gt;0)),0)</f>
        <v/>
      </c>
      <c r="BM263" s="5">
        <f>IF(mos_metrics!M262="","",mos_metrics!M262)</f>
        <v/>
      </c>
      <c r="BN263" s="2">
        <f>AND($J263,ISNUMBER(BM263),correlation!$I$32=1)</f>
        <v/>
      </c>
      <c r="BO263" s="5">
        <f>IF(BN263,$F263,"")</f>
        <v/>
      </c>
      <c r="BP263" s="5">
        <f>IF(BN263,BM263*correlation!$J$32,"")</f>
        <v/>
      </c>
      <c r="BQ263" s="5">
        <f>IF(AND(BN263,ISNUMBER(correlation!$F$32)),BP263*correlation!$F$32+correlation!$G$32,"")</f>
        <v/>
      </c>
      <c r="BR263" s="5">
        <f>IF(AND(BN263,ISNUMBER(BQ263)),(BO263-BQ263)^2,"")</f>
        <v/>
      </c>
      <c r="BS263" s="5">
        <f>IF(BN263,1+SUMPRODUCT(--(calc!$BN$3:$BN$306=TRUE),--(calc!$BO$3:$BO$306&gt;BO263))+(SUMPRODUCT(--(calc!$BN$3:$BN$306=TRUE),--(calc!$BO$3:$BO$306=BO263))-1)/2,"")</f>
        <v/>
      </c>
      <c r="BT263" s="5">
        <f>IF(BN263,1+SUMPRODUCT(--(calc!$BN$3:$BN$306=TRUE),--(calc!$BP$3:$BP$306&gt;BP263))+(SUMPRODUCT(--(calc!$BN$3:$BN$306=TRUE),--(calc!$BP$3:$BP$306=BP263))-1)/2,"")</f>
        <v/>
      </c>
      <c r="BU263" s="5">
        <f>IF(BN263,SUMPRODUCT(--(calc!$BN$3:$BN$306=TRUE),--(ROW(calc!$BN$3:$BN$306)&gt;ROW(BN263)),--(((calc!$BS$3:$BS$306&gt;BS263)*(calc!$BT$3:$BT$306&gt;BT263)+(calc!$BS$3:$BS$306&lt;BS263)*(calc!$BT$3:$BT$306&lt;BT263))&gt;0))-SUMPRODUCT(--(calc!$BN$3:$BN$306=TRUE),--(ROW(calc!$BN$3:$BN$306)&gt;ROW(BN263)),--(((calc!$BS$3:$BS$306&gt;BS263)*(calc!$BT$3:$BT$306&lt;BT263)+(calc!$BS$3:$BS$306&lt;BS263)*(calc!$BT$3:$BT$306&gt;BT263))&gt;0)),0)</f>
        <v/>
      </c>
    </row>
    <row r="264">
      <c r="A264" s="2">
        <f>mos_metrics!A263</f>
        <v/>
      </c>
      <c r="B264" s="2">
        <f>mos_metrics!B263</f>
        <v/>
      </c>
      <c r="C264" s="2">
        <f>mos_metrics!C263</f>
        <v/>
      </c>
      <c r="D264" s="2">
        <f>mos_metrics!D263</f>
        <v/>
      </c>
      <c r="E264" s="2">
        <f>mos_metrics!E263</f>
        <v/>
      </c>
      <c r="F264" s="2">
        <f>mos_metrics!F263</f>
        <v/>
      </c>
      <c r="G264" s="2">
        <f>IF($B264="","",IFERROR(VLOOKUP($B264,correlation!$A$2:$B$16,2,FALSE),1))</f>
        <v/>
      </c>
      <c r="H264" s="2">
        <f>IF($E264="","",IFERROR(VLOOKUP($E264,correlation!$D$2:$E$8,2,FALSE),1))</f>
        <v/>
      </c>
      <c r="I264" s="2">
        <f>ISNUMBER($F264)</f>
        <v/>
      </c>
      <c r="J264" s="2">
        <f>AND($G264=1,$H264=1,$I264)</f>
        <v/>
      </c>
      <c r="K264" s="5">
        <f>IF(mos_metrics!G263="","",mos_metrics!G263)</f>
        <v/>
      </c>
      <c r="L264" s="2">
        <f>AND($J264,ISNUMBER(K264),correlation!$I$26=1)</f>
        <v/>
      </c>
      <c r="M264" s="5">
        <f>IF(L264,$F264,"")</f>
        <v/>
      </c>
      <c r="N264" s="5">
        <f>IF(L264,K264*correlation!$J$26,"")</f>
        <v/>
      </c>
      <c r="O264" s="5">
        <f>IF(AND(L264,ISNUMBER(correlation!$F$26)),N264*correlation!$F$26+correlation!$G$26,"")</f>
        <v/>
      </c>
      <c r="P264" s="5">
        <f>IF(AND(L264,ISNUMBER(O264)),(M264-O264)^2,"")</f>
        <v/>
      </c>
      <c r="Q264" s="5">
        <f>IF(L264,1+SUMPRODUCT(--(calc!$L$3:$L$306=TRUE),--(calc!$M$3:$M$306&gt;M264))+(SUMPRODUCT(--(calc!$L$3:$L$306=TRUE),--(calc!$M$3:$M$306=M264))-1)/2,"")</f>
        <v/>
      </c>
      <c r="R264" s="5">
        <f>IF(L264,1+SUMPRODUCT(--(calc!$L$3:$L$306=TRUE),--(calc!$N$3:$N$306&gt;N264))+(SUMPRODUCT(--(calc!$L$3:$L$306=TRUE),--(calc!$N$3:$N$306=N264))-1)/2,"")</f>
        <v/>
      </c>
      <c r="S264" s="5">
        <f>IF(L264,SUMPRODUCT(--(calc!$L$3:$L$306=TRUE),--(ROW(calc!$L$3:$L$306)&gt;ROW(L264)),--(((calc!$Q$3:$Q$306&gt;Q264)*(calc!$R$3:$R$306&gt;R264)+(calc!$Q$3:$Q$306&lt;Q264)*(calc!$R$3:$R$306&lt;R264))&gt;0))-SUMPRODUCT(--(calc!$L$3:$L$306=TRUE),--(ROW(calc!$L$3:$L$306)&gt;ROW(L264)),--(((calc!$Q$3:$Q$306&gt;Q264)*(calc!$R$3:$R$306&lt;R264)+(calc!$Q$3:$Q$306&lt;Q264)*(calc!$R$3:$R$306&gt;R264))&gt;0)),0)</f>
        <v/>
      </c>
      <c r="T264" s="5">
        <f>IF(mos_metrics!H263="","",mos_metrics!H263)</f>
        <v/>
      </c>
      <c r="U264" s="2">
        <f>AND($J264,ISNUMBER(T264),correlation!$I$27=1)</f>
        <v/>
      </c>
      <c r="V264" s="5">
        <f>IF(U264,$F264,"")</f>
        <v/>
      </c>
      <c r="W264" s="5">
        <f>IF(U264,T264*correlation!$J$27,"")</f>
        <v/>
      </c>
      <c r="X264" s="5">
        <f>IF(AND(U264,ISNUMBER(correlation!$F$27)),W264*correlation!$F$27+correlation!$G$27,"")</f>
        <v/>
      </c>
      <c r="Y264" s="5">
        <f>IF(AND(U264,ISNUMBER(X264)),(V264-X264)^2,"")</f>
        <v/>
      </c>
      <c r="Z264" s="5">
        <f>IF(U264,1+SUMPRODUCT(--(calc!$U$3:$U$306=TRUE),--(calc!$V$3:$V$306&gt;V264))+(SUMPRODUCT(--(calc!$U$3:$U$306=TRUE),--(calc!$V$3:$V$306=V264))-1)/2,"")</f>
        <v/>
      </c>
      <c r="AA264" s="5">
        <f>IF(U264,1+SUMPRODUCT(--(calc!$U$3:$U$306=TRUE),--(calc!$W$3:$W$306&gt;W264))+(SUMPRODUCT(--(calc!$U$3:$U$306=TRUE),--(calc!$W$3:$W$306=W264))-1)/2,"")</f>
        <v/>
      </c>
      <c r="AB264" s="5">
        <f>IF(U264,SUMPRODUCT(--(calc!$U$3:$U$306=TRUE),--(ROW(calc!$U$3:$U$306)&gt;ROW(U264)),--(((calc!$Z$3:$Z$306&gt;Z264)*(calc!$AA$3:$AA$306&gt;AA264)+(calc!$Z$3:$Z$306&lt;Z264)*(calc!$AA$3:$AA$306&lt;AA264))&gt;0))-SUMPRODUCT(--(calc!$U$3:$U$306=TRUE),--(ROW(calc!$U$3:$U$306)&gt;ROW(U264)),--(((calc!$Z$3:$Z$306&gt;Z264)*(calc!$AA$3:$AA$306&lt;AA264)+(calc!$Z$3:$Z$306&lt;Z264)*(calc!$AA$3:$AA$306&gt;AA264))&gt;0)),0)</f>
        <v/>
      </c>
      <c r="AC264" s="5">
        <f>IF(mos_metrics!I263="","",mos_metrics!I263)</f>
        <v/>
      </c>
      <c r="AD264" s="2">
        <f>AND($J264,ISNUMBER(AC264),correlation!$I$28=1)</f>
        <v/>
      </c>
      <c r="AE264" s="5">
        <f>IF(AD264,$F264,"")</f>
        <v/>
      </c>
      <c r="AF264" s="5">
        <f>IF(AD264,AC264*correlation!$J$28,"")</f>
        <v/>
      </c>
      <c r="AG264" s="5">
        <f>IF(AND(AD264,ISNUMBER(correlation!$F$28)),AF264*correlation!$F$28+correlation!$G$28,"")</f>
        <v/>
      </c>
      <c r="AH264" s="5">
        <f>IF(AND(AD264,ISNUMBER(AG264)),(AE264-AG264)^2,"")</f>
        <v/>
      </c>
      <c r="AI264" s="5">
        <f>IF(AD264,1+SUMPRODUCT(--(calc!$AD$3:$AD$306=TRUE),--(calc!$AE$3:$AE$306&gt;AE264))+(SUMPRODUCT(--(calc!$AD$3:$AD$306=TRUE),--(calc!$AE$3:$AE$306=AE264))-1)/2,"")</f>
        <v/>
      </c>
      <c r="AJ264" s="5">
        <f>IF(AD264,1+SUMPRODUCT(--(calc!$AD$3:$AD$306=TRUE),--(calc!$AF$3:$AF$306&gt;AF264))+(SUMPRODUCT(--(calc!$AD$3:$AD$306=TRUE),--(calc!$AF$3:$AF$306=AF264))-1)/2,"")</f>
        <v/>
      </c>
      <c r="AK264" s="5">
        <f>IF(AD264,SUMPRODUCT(--(calc!$AD$3:$AD$306=TRUE),--(ROW(calc!$AD$3:$AD$306)&gt;ROW(AD264)),--(((calc!$AI$3:$AI$306&gt;AI264)*(calc!$AJ$3:$AJ$306&gt;AJ264)+(calc!$AI$3:$AI$306&lt;AI264)*(calc!$AJ$3:$AJ$306&lt;AJ264))&gt;0))-SUMPRODUCT(--(calc!$AD$3:$AD$306=TRUE),--(ROW(calc!$AD$3:$AD$306)&gt;ROW(AD264)),--(((calc!$AI$3:$AI$306&gt;AI264)*(calc!$AJ$3:$AJ$306&lt;AJ264)+(calc!$AI$3:$AI$306&lt;AI264)*(calc!$AJ$3:$AJ$306&gt;AJ264))&gt;0)),0)</f>
        <v/>
      </c>
      <c r="AL264" s="5">
        <f>IF(mos_metrics!J263="","",mos_metrics!J263)</f>
        <v/>
      </c>
      <c r="AM264" s="2">
        <f>AND($J264,ISNUMBER(AL264),correlation!$I$29=1)</f>
        <v/>
      </c>
      <c r="AN264" s="5">
        <f>IF(AM264,$F264,"")</f>
        <v/>
      </c>
      <c r="AO264" s="5">
        <f>IF(AM264,AL264*correlation!$J$29,"")</f>
        <v/>
      </c>
      <c r="AP264" s="5">
        <f>IF(AND(AM264,ISNUMBER(correlation!$F$29)),AO264*correlation!$F$29+correlation!$G$29,"")</f>
        <v/>
      </c>
      <c r="AQ264" s="5">
        <f>IF(AND(AM264,ISNUMBER(AP264)),(AN264-AP264)^2,"")</f>
        <v/>
      </c>
      <c r="AR264" s="5">
        <f>IF(AM264,1+SUMPRODUCT(--(calc!$AM$3:$AM$306=TRUE),--(calc!$AN$3:$AN$306&gt;AN264))+(SUMPRODUCT(--(calc!$AM$3:$AM$306=TRUE),--(calc!$AN$3:$AN$306=AN264))-1)/2,"")</f>
        <v/>
      </c>
      <c r="AS264" s="5">
        <f>IF(AM264,1+SUMPRODUCT(--(calc!$AM$3:$AM$306=TRUE),--(calc!$AO$3:$AO$306&gt;AO264))+(SUMPRODUCT(--(calc!$AM$3:$AM$306=TRUE),--(calc!$AO$3:$AO$306=AO264))-1)/2,"")</f>
        <v/>
      </c>
      <c r="AT264" s="5">
        <f>IF(AM264,SUMPRODUCT(--(calc!$AM$3:$AM$306=TRUE),--(ROW(calc!$AM$3:$AM$306)&gt;ROW(AM264)),--(((calc!$AR$3:$AR$306&gt;AR264)*(calc!$AS$3:$AS$306&gt;AS264)+(calc!$AR$3:$AR$306&lt;AR264)*(calc!$AS$3:$AS$306&lt;AS264))&gt;0))-SUMPRODUCT(--(calc!$AM$3:$AM$306=TRUE),--(ROW(calc!$AM$3:$AM$306)&gt;ROW(AM264)),--(((calc!$AR$3:$AR$306&gt;AR264)*(calc!$AS$3:$AS$306&lt;AS264)+(calc!$AR$3:$AR$306&lt;AR264)*(calc!$AS$3:$AS$306&gt;AS264))&gt;0)),0)</f>
        <v/>
      </c>
      <c r="AU264" s="5">
        <f>IF(mos_metrics!K263="","",mos_metrics!K263)</f>
        <v/>
      </c>
      <c r="AV264" s="2">
        <f>AND($J264,ISNUMBER(AU264),correlation!$I$30=1)</f>
        <v/>
      </c>
      <c r="AW264" s="5">
        <f>IF(AV264,$F264,"")</f>
        <v/>
      </c>
      <c r="AX264" s="5">
        <f>IF(AV264,AU264*correlation!$J$30,"")</f>
        <v/>
      </c>
      <c r="AY264" s="5">
        <f>IF(AND(AV264,ISNUMBER(correlation!$F$30)),AX264*correlation!$F$30+correlation!$G$30,"")</f>
        <v/>
      </c>
      <c r="AZ264" s="5">
        <f>IF(AND(AV264,ISNUMBER(AY264)),(AW264-AY264)^2,"")</f>
        <v/>
      </c>
      <c r="BA264" s="5">
        <f>IF(AV264,1+SUMPRODUCT(--(calc!$AV$3:$AV$306=TRUE),--(calc!$AW$3:$AW$306&gt;AW264))+(SUMPRODUCT(--(calc!$AV$3:$AV$306=TRUE),--(calc!$AW$3:$AW$306=AW264))-1)/2,"")</f>
        <v/>
      </c>
      <c r="BB264" s="5">
        <f>IF(AV264,1+SUMPRODUCT(--(calc!$AV$3:$AV$306=TRUE),--(calc!$AX$3:$AX$306&gt;AX264))+(SUMPRODUCT(--(calc!$AV$3:$AV$306=TRUE),--(calc!$AX$3:$AX$306=AX264))-1)/2,"")</f>
        <v/>
      </c>
      <c r="BC264" s="5">
        <f>IF(AV264,SUMPRODUCT(--(calc!$AV$3:$AV$306=TRUE),--(ROW(calc!$AV$3:$AV$306)&gt;ROW(AV264)),--(((calc!$BA$3:$BA$306&gt;BA264)*(calc!$BB$3:$BB$306&gt;BB264)+(calc!$BA$3:$BA$306&lt;BA264)*(calc!$BB$3:$BB$306&lt;BB264))&gt;0))-SUMPRODUCT(--(calc!$AV$3:$AV$306=TRUE),--(ROW(calc!$AV$3:$AV$306)&gt;ROW(AV264)),--(((calc!$BA$3:$BA$306&gt;BA264)*(calc!$BB$3:$BB$306&lt;BB264)+(calc!$BA$3:$BA$306&lt;BA264)*(calc!$BB$3:$BB$306&gt;BB264))&gt;0)),0)</f>
        <v/>
      </c>
      <c r="BD264" s="5">
        <f>IF(mos_metrics!L263="","",mos_metrics!L263)</f>
        <v/>
      </c>
      <c r="BE264" s="2">
        <f>AND($J264,ISNUMBER(BD264),correlation!$I$31=1)</f>
        <v/>
      </c>
      <c r="BF264" s="5">
        <f>IF(BE264,$F264,"")</f>
        <v/>
      </c>
      <c r="BG264" s="5">
        <f>IF(BE264,BD264*correlation!$J$31,"")</f>
        <v/>
      </c>
      <c r="BH264" s="5">
        <f>IF(AND(BE264,ISNUMBER(correlation!$F$31)),BG264*correlation!$F$31+correlation!$G$31,"")</f>
        <v/>
      </c>
      <c r="BI264" s="5">
        <f>IF(AND(BE264,ISNUMBER(BH264)),(BF264-BH264)^2,"")</f>
        <v/>
      </c>
      <c r="BJ264" s="5">
        <f>IF(BE264,1+SUMPRODUCT(--(calc!$BE$3:$BE$306=TRUE),--(calc!$BF$3:$BF$306&gt;BF264))+(SUMPRODUCT(--(calc!$BE$3:$BE$306=TRUE),--(calc!$BF$3:$BF$306=BF264))-1)/2,"")</f>
        <v/>
      </c>
      <c r="BK264" s="5">
        <f>IF(BE264,1+SUMPRODUCT(--(calc!$BE$3:$BE$306=TRUE),--(calc!$BG$3:$BG$306&gt;BG264))+(SUMPRODUCT(--(calc!$BE$3:$BE$306=TRUE),--(calc!$BG$3:$BG$306=BG264))-1)/2,"")</f>
        <v/>
      </c>
      <c r="BL264" s="5">
        <f>IF(BE264,SUMPRODUCT(--(calc!$BE$3:$BE$306=TRUE),--(ROW(calc!$BE$3:$BE$306)&gt;ROW(BE264)),--(((calc!$BJ$3:$BJ$306&gt;BJ264)*(calc!$BK$3:$BK$306&gt;BK264)+(calc!$BJ$3:$BJ$306&lt;BJ264)*(calc!$BK$3:$BK$306&lt;BK264))&gt;0))-SUMPRODUCT(--(calc!$BE$3:$BE$306=TRUE),--(ROW(calc!$BE$3:$BE$306)&gt;ROW(BE264)),--(((calc!$BJ$3:$BJ$306&gt;BJ264)*(calc!$BK$3:$BK$306&lt;BK264)+(calc!$BJ$3:$BJ$306&lt;BJ264)*(calc!$BK$3:$BK$306&gt;BK264))&gt;0)),0)</f>
        <v/>
      </c>
      <c r="BM264" s="5">
        <f>IF(mos_metrics!M263="","",mos_metrics!M263)</f>
        <v/>
      </c>
      <c r="BN264" s="2">
        <f>AND($J264,ISNUMBER(BM264),correlation!$I$32=1)</f>
        <v/>
      </c>
      <c r="BO264" s="5">
        <f>IF(BN264,$F264,"")</f>
        <v/>
      </c>
      <c r="BP264" s="5">
        <f>IF(BN264,BM264*correlation!$J$32,"")</f>
        <v/>
      </c>
      <c r="BQ264" s="5">
        <f>IF(AND(BN264,ISNUMBER(correlation!$F$32)),BP264*correlation!$F$32+correlation!$G$32,"")</f>
        <v/>
      </c>
      <c r="BR264" s="5">
        <f>IF(AND(BN264,ISNUMBER(BQ264)),(BO264-BQ264)^2,"")</f>
        <v/>
      </c>
      <c r="BS264" s="5">
        <f>IF(BN264,1+SUMPRODUCT(--(calc!$BN$3:$BN$306=TRUE),--(calc!$BO$3:$BO$306&gt;BO264))+(SUMPRODUCT(--(calc!$BN$3:$BN$306=TRUE),--(calc!$BO$3:$BO$306=BO264))-1)/2,"")</f>
        <v/>
      </c>
      <c r="BT264" s="5">
        <f>IF(BN264,1+SUMPRODUCT(--(calc!$BN$3:$BN$306=TRUE),--(calc!$BP$3:$BP$306&gt;BP264))+(SUMPRODUCT(--(calc!$BN$3:$BN$306=TRUE),--(calc!$BP$3:$BP$306=BP264))-1)/2,"")</f>
        <v/>
      </c>
      <c r="BU264" s="5">
        <f>IF(BN264,SUMPRODUCT(--(calc!$BN$3:$BN$306=TRUE),--(ROW(calc!$BN$3:$BN$306)&gt;ROW(BN264)),--(((calc!$BS$3:$BS$306&gt;BS264)*(calc!$BT$3:$BT$306&gt;BT264)+(calc!$BS$3:$BS$306&lt;BS264)*(calc!$BT$3:$BT$306&lt;BT264))&gt;0))-SUMPRODUCT(--(calc!$BN$3:$BN$306=TRUE),--(ROW(calc!$BN$3:$BN$306)&gt;ROW(BN264)),--(((calc!$BS$3:$BS$306&gt;BS264)*(calc!$BT$3:$BT$306&lt;BT264)+(calc!$BS$3:$BS$306&lt;BS264)*(calc!$BT$3:$BT$306&gt;BT264))&gt;0)),0)</f>
        <v/>
      </c>
    </row>
    <row r="265">
      <c r="A265" s="2">
        <f>mos_metrics!A264</f>
        <v/>
      </c>
      <c r="B265" s="2">
        <f>mos_metrics!B264</f>
        <v/>
      </c>
      <c r="C265" s="2">
        <f>mos_metrics!C264</f>
        <v/>
      </c>
      <c r="D265" s="2">
        <f>mos_metrics!D264</f>
        <v/>
      </c>
      <c r="E265" s="2">
        <f>mos_metrics!E264</f>
        <v/>
      </c>
      <c r="F265" s="2">
        <f>mos_metrics!F264</f>
        <v/>
      </c>
      <c r="G265" s="2">
        <f>IF($B265="","",IFERROR(VLOOKUP($B265,correlation!$A$2:$B$16,2,FALSE),1))</f>
        <v/>
      </c>
      <c r="H265" s="2">
        <f>IF($E265="","",IFERROR(VLOOKUP($E265,correlation!$D$2:$E$8,2,FALSE),1))</f>
        <v/>
      </c>
      <c r="I265" s="2">
        <f>ISNUMBER($F265)</f>
        <v/>
      </c>
      <c r="J265" s="2">
        <f>AND($G265=1,$H265=1,$I265)</f>
        <v/>
      </c>
      <c r="K265" s="5">
        <f>IF(mos_metrics!G264="","",mos_metrics!G264)</f>
        <v/>
      </c>
      <c r="L265" s="2">
        <f>AND($J265,ISNUMBER(K265),correlation!$I$26=1)</f>
        <v/>
      </c>
      <c r="M265" s="5">
        <f>IF(L265,$F265,"")</f>
        <v/>
      </c>
      <c r="N265" s="5">
        <f>IF(L265,K265*correlation!$J$26,"")</f>
        <v/>
      </c>
      <c r="O265" s="5">
        <f>IF(AND(L265,ISNUMBER(correlation!$F$26)),N265*correlation!$F$26+correlation!$G$26,"")</f>
        <v/>
      </c>
      <c r="P265" s="5">
        <f>IF(AND(L265,ISNUMBER(O265)),(M265-O265)^2,"")</f>
        <v/>
      </c>
      <c r="Q265" s="5">
        <f>IF(L265,1+SUMPRODUCT(--(calc!$L$3:$L$306=TRUE),--(calc!$M$3:$M$306&gt;M265))+(SUMPRODUCT(--(calc!$L$3:$L$306=TRUE),--(calc!$M$3:$M$306=M265))-1)/2,"")</f>
        <v/>
      </c>
      <c r="R265" s="5">
        <f>IF(L265,1+SUMPRODUCT(--(calc!$L$3:$L$306=TRUE),--(calc!$N$3:$N$306&gt;N265))+(SUMPRODUCT(--(calc!$L$3:$L$306=TRUE),--(calc!$N$3:$N$306=N265))-1)/2,"")</f>
        <v/>
      </c>
      <c r="S265" s="5">
        <f>IF(L265,SUMPRODUCT(--(calc!$L$3:$L$306=TRUE),--(ROW(calc!$L$3:$L$306)&gt;ROW(L265)),--(((calc!$Q$3:$Q$306&gt;Q265)*(calc!$R$3:$R$306&gt;R265)+(calc!$Q$3:$Q$306&lt;Q265)*(calc!$R$3:$R$306&lt;R265))&gt;0))-SUMPRODUCT(--(calc!$L$3:$L$306=TRUE),--(ROW(calc!$L$3:$L$306)&gt;ROW(L265)),--(((calc!$Q$3:$Q$306&gt;Q265)*(calc!$R$3:$R$306&lt;R265)+(calc!$Q$3:$Q$306&lt;Q265)*(calc!$R$3:$R$306&gt;R265))&gt;0)),0)</f>
        <v/>
      </c>
      <c r="T265" s="5">
        <f>IF(mos_metrics!H264="","",mos_metrics!H264)</f>
        <v/>
      </c>
      <c r="U265" s="2">
        <f>AND($J265,ISNUMBER(T265),correlation!$I$27=1)</f>
        <v/>
      </c>
      <c r="V265" s="5">
        <f>IF(U265,$F265,"")</f>
        <v/>
      </c>
      <c r="W265" s="5">
        <f>IF(U265,T265*correlation!$J$27,"")</f>
        <v/>
      </c>
      <c r="X265" s="5">
        <f>IF(AND(U265,ISNUMBER(correlation!$F$27)),W265*correlation!$F$27+correlation!$G$27,"")</f>
        <v/>
      </c>
      <c r="Y265" s="5">
        <f>IF(AND(U265,ISNUMBER(X265)),(V265-X265)^2,"")</f>
        <v/>
      </c>
      <c r="Z265" s="5">
        <f>IF(U265,1+SUMPRODUCT(--(calc!$U$3:$U$306=TRUE),--(calc!$V$3:$V$306&gt;V265))+(SUMPRODUCT(--(calc!$U$3:$U$306=TRUE),--(calc!$V$3:$V$306=V265))-1)/2,"")</f>
        <v/>
      </c>
      <c r="AA265" s="5">
        <f>IF(U265,1+SUMPRODUCT(--(calc!$U$3:$U$306=TRUE),--(calc!$W$3:$W$306&gt;W265))+(SUMPRODUCT(--(calc!$U$3:$U$306=TRUE),--(calc!$W$3:$W$306=W265))-1)/2,"")</f>
        <v/>
      </c>
      <c r="AB265" s="5">
        <f>IF(U265,SUMPRODUCT(--(calc!$U$3:$U$306=TRUE),--(ROW(calc!$U$3:$U$306)&gt;ROW(U265)),--(((calc!$Z$3:$Z$306&gt;Z265)*(calc!$AA$3:$AA$306&gt;AA265)+(calc!$Z$3:$Z$306&lt;Z265)*(calc!$AA$3:$AA$306&lt;AA265))&gt;0))-SUMPRODUCT(--(calc!$U$3:$U$306=TRUE),--(ROW(calc!$U$3:$U$306)&gt;ROW(U265)),--(((calc!$Z$3:$Z$306&gt;Z265)*(calc!$AA$3:$AA$306&lt;AA265)+(calc!$Z$3:$Z$306&lt;Z265)*(calc!$AA$3:$AA$306&gt;AA265))&gt;0)),0)</f>
        <v/>
      </c>
      <c r="AC265" s="5">
        <f>IF(mos_metrics!I264="","",mos_metrics!I264)</f>
        <v/>
      </c>
      <c r="AD265" s="2">
        <f>AND($J265,ISNUMBER(AC265),correlation!$I$28=1)</f>
        <v/>
      </c>
      <c r="AE265" s="5">
        <f>IF(AD265,$F265,"")</f>
        <v/>
      </c>
      <c r="AF265" s="5">
        <f>IF(AD265,AC265*correlation!$J$28,"")</f>
        <v/>
      </c>
      <c r="AG265" s="5">
        <f>IF(AND(AD265,ISNUMBER(correlation!$F$28)),AF265*correlation!$F$28+correlation!$G$28,"")</f>
        <v/>
      </c>
      <c r="AH265" s="5">
        <f>IF(AND(AD265,ISNUMBER(AG265)),(AE265-AG265)^2,"")</f>
        <v/>
      </c>
      <c r="AI265" s="5">
        <f>IF(AD265,1+SUMPRODUCT(--(calc!$AD$3:$AD$306=TRUE),--(calc!$AE$3:$AE$306&gt;AE265))+(SUMPRODUCT(--(calc!$AD$3:$AD$306=TRUE),--(calc!$AE$3:$AE$306=AE265))-1)/2,"")</f>
        <v/>
      </c>
      <c r="AJ265" s="5">
        <f>IF(AD265,1+SUMPRODUCT(--(calc!$AD$3:$AD$306=TRUE),--(calc!$AF$3:$AF$306&gt;AF265))+(SUMPRODUCT(--(calc!$AD$3:$AD$306=TRUE),--(calc!$AF$3:$AF$306=AF265))-1)/2,"")</f>
        <v/>
      </c>
      <c r="AK265" s="5">
        <f>IF(AD265,SUMPRODUCT(--(calc!$AD$3:$AD$306=TRUE),--(ROW(calc!$AD$3:$AD$306)&gt;ROW(AD265)),--(((calc!$AI$3:$AI$306&gt;AI265)*(calc!$AJ$3:$AJ$306&gt;AJ265)+(calc!$AI$3:$AI$306&lt;AI265)*(calc!$AJ$3:$AJ$306&lt;AJ265))&gt;0))-SUMPRODUCT(--(calc!$AD$3:$AD$306=TRUE),--(ROW(calc!$AD$3:$AD$306)&gt;ROW(AD265)),--(((calc!$AI$3:$AI$306&gt;AI265)*(calc!$AJ$3:$AJ$306&lt;AJ265)+(calc!$AI$3:$AI$306&lt;AI265)*(calc!$AJ$3:$AJ$306&gt;AJ265))&gt;0)),0)</f>
        <v/>
      </c>
      <c r="AL265" s="5">
        <f>IF(mos_metrics!J264="","",mos_metrics!J264)</f>
        <v/>
      </c>
      <c r="AM265" s="2">
        <f>AND($J265,ISNUMBER(AL265),correlation!$I$29=1)</f>
        <v/>
      </c>
      <c r="AN265" s="5">
        <f>IF(AM265,$F265,"")</f>
        <v/>
      </c>
      <c r="AO265" s="5">
        <f>IF(AM265,AL265*correlation!$J$29,"")</f>
        <v/>
      </c>
      <c r="AP265" s="5">
        <f>IF(AND(AM265,ISNUMBER(correlation!$F$29)),AO265*correlation!$F$29+correlation!$G$29,"")</f>
        <v/>
      </c>
      <c r="AQ265" s="5">
        <f>IF(AND(AM265,ISNUMBER(AP265)),(AN265-AP265)^2,"")</f>
        <v/>
      </c>
      <c r="AR265" s="5">
        <f>IF(AM265,1+SUMPRODUCT(--(calc!$AM$3:$AM$306=TRUE),--(calc!$AN$3:$AN$306&gt;AN265))+(SUMPRODUCT(--(calc!$AM$3:$AM$306=TRUE),--(calc!$AN$3:$AN$306=AN265))-1)/2,"")</f>
        <v/>
      </c>
      <c r="AS265" s="5">
        <f>IF(AM265,1+SUMPRODUCT(--(calc!$AM$3:$AM$306=TRUE),--(calc!$AO$3:$AO$306&gt;AO265))+(SUMPRODUCT(--(calc!$AM$3:$AM$306=TRUE),--(calc!$AO$3:$AO$306=AO265))-1)/2,"")</f>
        <v/>
      </c>
      <c r="AT265" s="5">
        <f>IF(AM265,SUMPRODUCT(--(calc!$AM$3:$AM$306=TRUE),--(ROW(calc!$AM$3:$AM$306)&gt;ROW(AM265)),--(((calc!$AR$3:$AR$306&gt;AR265)*(calc!$AS$3:$AS$306&gt;AS265)+(calc!$AR$3:$AR$306&lt;AR265)*(calc!$AS$3:$AS$306&lt;AS265))&gt;0))-SUMPRODUCT(--(calc!$AM$3:$AM$306=TRUE),--(ROW(calc!$AM$3:$AM$306)&gt;ROW(AM265)),--(((calc!$AR$3:$AR$306&gt;AR265)*(calc!$AS$3:$AS$306&lt;AS265)+(calc!$AR$3:$AR$306&lt;AR265)*(calc!$AS$3:$AS$306&gt;AS265))&gt;0)),0)</f>
        <v/>
      </c>
      <c r="AU265" s="5">
        <f>IF(mos_metrics!K264="","",mos_metrics!K264)</f>
        <v/>
      </c>
      <c r="AV265" s="2">
        <f>AND($J265,ISNUMBER(AU265),correlation!$I$30=1)</f>
        <v/>
      </c>
      <c r="AW265" s="5">
        <f>IF(AV265,$F265,"")</f>
        <v/>
      </c>
      <c r="AX265" s="5">
        <f>IF(AV265,AU265*correlation!$J$30,"")</f>
        <v/>
      </c>
      <c r="AY265" s="5">
        <f>IF(AND(AV265,ISNUMBER(correlation!$F$30)),AX265*correlation!$F$30+correlation!$G$30,"")</f>
        <v/>
      </c>
      <c r="AZ265" s="5">
        <f>IF(AND(AV265,ISNUMBER(AY265)),(AW265-AY265)^2,"")</f>
        <v/>
      </c>
      <c r="BA265" s="5">
        <f>IF(AV265,1+SUMPRODUCT(--(calc!$AV$3:$AV$306=TRUE),--(calc!$AW$3:$AW$306&gt;AW265))+(SUMPRODUCT(--(calc!$AV$3:$AV$306=TRUE),--(calc!$AW$3:$AW$306=AW265))-1)/2,"")</f>
        <v/>
      </c>
      <c r="BB265" s="5">
        <f>IF(AV265,1+SUMPRODUCT(--(calc!$AV$3:$AV$306=TRUE),--(calc!$AX$3:$AX$306&gt;AX265))+(SUMPRODUCT(--(calc!$AV$3:$AV$306=TRUE),--(calc!$AX$3:$AX$306=AX265))-1)/2,"")</f>
        <v/>
      </c>
      <c r="BC265" s="5">
        <f>IF(AV265,SUMPRODUCT(--(calc!$AV$3:$AV$306=TRUE),--(ROW(calc!$AV$3:$AV$306)&gt;ROW(AV265)),--(((calc!$BA$3:$BA$306&gt;BA265)*(calc!$BB$3:$BB$306&gt;BB265)+(calc!$BA$3:$BA$306&lt;BA265)*(calc!$BB$3:$BB$306&lt;BB265))&gt;0))-SUMPRODUCT(--(calc!$AV$3:$AV$306=TRUE),--(ROW(calc!$AV$3:$AV$306)&gt;ROW(AV265)),--(((calc!$BA$3:$BA$306&gt;BA265)*(calc!$BB$3:$BB$306&lt;BB265)+(calc!$BA$3:$BA$306&lt;BA265)*(calc!$BB$3:$BB$306&gt;BB265))&gt;0)),0)</f>
        <v/>
      </c>
      <c r="BD265" s="5">
        <f>IF(mos_metrics!L264="","",mos_metrics!L264)</f>
        <v/>
      </c>
      <c r="BE265" s="2">
        <f>AND($J265,ISNUMBER(BD265),correlation!$I$31=1)</f>
        <v/>
      </c>
      <c r="BF265" s="5">
        <f>IF(BE265,$F265,"")</f>
        <v/>
      </c>
      <c r="BG265" s="5">
        <f>IF(BE265,BD265*correlation!$J$31,"")</f>
        <v/>
      </c>
      <c r="BH265" s="5">
        <f>IF(AND(BE265,ISNUMBER(correlation!$F$31)),BG265*correlation!$F$31+correlation!$G$31,"")</f>
        <v/>
      </c>
      <c r="BI265" s="5">
        <f>IF(AND(BE265,ISNUMBER(BH265)),(BF265-BH265)^2,"")</f>
        <v/>
      </c>
      <c r="BJ265" s="5">
        <f>IF(BE265,1+SUMPRODUCT(--(calc!$BE$3:$BE$306=TRUE),--(calc!$BF$3:$BF$306&gt;BF265))+(SUMPRODUCT(--(calc!$BE$3:$BE$306=TRUE),--(calc!$BF$3:$BF$306=BF265))-1)/2,"")</f>
        <v/>
      </c>
      <c r="BK265" s="5">
        <f>IF(BE265,1+SUMPRODUCT(--(calc!$BE$3:$BE$306=TRUE),--(calc!$BG$3:$BG$306&gt;BG265))+(SUMPRODUCT(--(calc!$BE$3:$BE$306=TRUE),--(calc!$BG$3:$BG$306=BG265))-1)/2,"")</f>
        <v/>
      </c>
      <c r="BL265" s="5">
        <f>IF(BE265,SUMPRODUCT(--(calc!$BE$3:$BE$306=TRUE),--(ROW(calc!$BE$3:$BE$306)&gt;ROW(BE265)),--(((calc!$BJ$3:$BJ$306&gt;BJ265)*(calc!$BK$3:$BK$306&gt;BK265)+(calc!$BJ$3:$BJ$306&lt;BJ265)*(calc!$BK$3:$BK$306&lt;BK265))&gt;0))-SUMPRODUCT(--(calc!$BE$3:$BE$306=TRUE),--(ROW(calc!$BE$3:$BE$306)&gt;ROW(BE265)),--(((calc!$BJ$3:$BJ$306&gt;BJ265)*(calc!$BK$3:$BK$306&lt;BK265)+(calc!$BJ$3:$BJ$306&lt;BJ265)*(calc!$BK$3:$BK$306&gt;BK265))&gt;0)),0)</f>
        <v/>
      </c>
      <c r="BM265" s="5">
        <f>IF(mos_metrics!M264="","",mos_metrics!M264)</f>
        <v/>
      </c>
      <c r="BN265" s="2">
        <f>AND($J265,ISNUMBER(BM265),correlation!$I$32=1)</f>
        <v/>
      </c>
      <c r="BO265" s="5">
        <f>IF(BN265,$F265,"")</f>
        <v/>
      </c>
      <c r="BP265" s="5">
        <f>IF(BN265,BM265*correlation!$J$32,"")</f>
        <v/>
      </c>
      <c r="BQ265" s="5">
        <f>IF(AND(BN265,ISNUMBER(correlation!$F$32)),BP265*correlation!$F$32+correlation!$G$32,"")</f>
        <v/>
      </c>
      <c r="BR265" s="5">
        <f>IF(AND(BN265,ISNUMBER(BQ265)),(BO265-BQ265)^2,"")</f>
        <v/>
      </c>
      <c r="BS265" s="5">
        <f>IF(BN265,1+SUMPRODUCT(--(calc!$BN$3:$BN$306=TRUE),--(calc!$BO$3:$BO$306&gt;BO265))+(SUMPRODUCT(--(calc!$BN$3:$BN$306=TRUE),--(calc!$BO$3:$BO$306=BO265))-1)/2,"")</f>
        <v/>
      </c>
      <c r="BT265" s="5">
        <f>IF(BN265,1+SUMPRODUCT(--(calc!$BN$3:$BN$306=TRUE),--(calc!$BP$3:$BP$306&gt;BP265))+(SUMPRODUCT(--(calc!$BN$3:$BN$306=TRUE),--(calc!$BP$3:$BP$306=BP265))-1)/2,"")</f>
        <v/>
      </c>
      <c r="BU265" s="5">
        <f>IF(BN265,SUMPRODUCT(--(calc!$BN$3:$BN$306=TRUE),--(ROW(calc!$BN$3:$BN$306)&gt;ROW(BN265)),--(((calc!$BS$3:$BS$306&gt;BS265)*(calc!$BT$3:$BT$306&gt;BT265)+(calc!$BS$3:$BS$306&lt;BS265)*(calc!$BT$3:$BT$306&lt;BT265))&gt;0))-SUMPRODUCT(--(calc!$BN$3:$BN$306=TRUE),--(ROW(calc!$BN$3:$BN$306)&gt;ROW(BN265)),--(((calc!$BS$3:$BS$306&gt;BS265)*(calc!$BT$3:$BT$306&lt;BT265)+(calc!$BS$3:$BS$306&lt;BS265)*(calc!$BT$3:$BT$306&gt;BT265))&gt;0)),0)</f>
        <v/>
      </c>
    </row>
    <row r="266">
      <c r="A266" s="2">
        <f>mos_metrics!A265</f>
        <v/>
      </c>
      <c r="B266" s="2">
        <f>mos_metrics!B265</f>
        <v/>
      </c>
      <c r="C266" s="2">
        <f>mos_metrics!C265</f>
        <v/>
      </c>
      <c r="D266" s="2">
        <f>mos_metrics!D265</f>
        <v/>
      </c>
      <c r="E266" s="2">
        <f>mos_metrics!E265</f>
        <v/>
      </c>
      <c r="F266" s="2">
        <f>mos_metrics!F265</f>
        <v/>
      </c>
      <c r="G266" s="2">
        <f>IF($B266="","",IFERROR(VLOOKUP($B266,correlation!$A$2:$B$16,2,FALSE),1))</f>
        <v/>
      </c>
      <c r="H266" s="2">
        <f>IF($E266="","",IFERROR(VLOOKUP($E266,correlation!$D$2:$E$8,2,FALSE),1))</f>
        <v/>
      </c>
      <c r="I266" s="2">
        <f>ISNUMBER($F266)</f>
        <v/>
      </c>
      <c r="J266" s="2">
        <f>AND($G266=1,$H266=1,$I266)</f>
        <v/>
      </c>
      <c r="K266" s="5">
        <f>IF(mos_metrics!G265="","",mos_metrics!G265)</f>
        <v/>
      </c>
      <c r="L266" s="2">
        <f>AND($J266,ISNUMBER(K266),correlation!$I$26=1)</f>
        <v/>
      </c>
      <c r="M266" s="5">
        <f>IF(L266,$F266,"")</f>
        <v/>
      </c>
      <c r="N266" s="5">
        <f>IF(L266,K266*correlation!$J$26,"")</f>
        <v/>
      </c>
      <c r="O266" s="5">
        <f>IF(AND(L266,ISNUMBER(correlation!$F$26)),N266*correlation!$F$26+correlation!$G$26,"")</f>
        <v/>
      </c>
      <c r="P266" s="5">
        <f>IF(AND(L266,ISNUMBER(O266)),(M266-O266)^2,"")</f>
        <v/>
      </c>
      <c r="Q266" s="5">
        <f>IF(L266,1+SUMPRODUCT(--(calc!$L$3:$L$306=TRUE),--(calc!$M$3:$M$306&gt;M266))+(SUMPRODUCT(--(calc!$L$3:$L$306=TRUE),--(calc!$M$3:$M$306=M266))-1)/2,"")</f>
        <v/>
      </c>
      <c r="R266" s="5">
        <f>IF(L266,1+SUMPRODUCT(--(calc!$L$3:$L$306=TRUE),--(calc!$N$3:$N$306&gt;N266))+(SUMPRODUCT(--(calc!$L$3:$L$306=TRUE),--(calc!$N$3:$N$306=N266))-1)/2,"")</f>
        <v/>
      </c>
      <c r="S266" s="5">
        <f>IF(L266,SUMPRODUCT(--(calc!$L$3:$L$306=TRUE),--(ROW(calc!$L$3:$L$306)&gt;ROW(L266)),--(((calc!$Q$3:$Q$306&gt;Q266)*(calc!$R$3:$R$306&gt;R266)+(calc!$Q$3:$Q$306&lt;Q266)*(calc!$R$3:$R$306&lt;R266))&gt;0))-SUMPRODUCT(--(calc!$L$3:$L$306=TRUE),--(ROW(calc!$L$3:$L$306)&gt;ROW(L266)),--(((calc!$Q$3:$Q$306&gt;Q266)*(calc!$R$3:$R$306&lt;R266)+(calc!$Q$3:$Q$306&lt;Q266)*(calc!$R$3:$R$306&gt;R266))&gt;0)),0)</f>
        <v/>
      </c>
      <c r="T266" s="5">
        <f>IF(mos_metrics!H265="","",mos_metrics!H265)</f>
        <v/>
      </c>
      <c r="U266" s="2">
        <f>AND($J266,ISNUMBER(T266),correlation!$I$27=1)</f>
        <v/>
      </c>
      <c r="V266" s="5">
        <f>IF(U266,$F266,"")</f>
        <v/>
      </c>
      <c r="W266" s="5">
        <f>IF(U266,T266*correlation!$J$27,"")</f>
        <v/>
      </c>
      <c r="X266" s="5">
        <f>IF(AND(U266,ISNUMBER(correlation!$F$27)),W266*correlation!$F$27+correlation!$G$27,"")</f>
        <v/>
      </c>
      <c r="Y266" s="5">
        <f>IF(AND(U266,ISNUMBER(X266)),(V266-X266)^2,"")</f>
        <v/>
      </c>
      <c r="Z266" s="5">
        <f>IF(U266,1+SUMPRODUCT(--(calc!$U$3:$U$306=TRUE),--(calc!$V$3:$V$306&gt;V266))+(SUMPRODUCT(--(calc!$U$3:$U$306=TRUE),--(calc!$V$3:$V$306=V266))-1)/2,"")</f>
        <v/>
      </c>
      <c r="AA266" s="5">
        <f>IF(U266,1+SUMPRODUCT(--(calc!$U$3:$U$306=TRUE),--(calc!$W$3:$W$306&gt;W266))+(SUMPRODUCT(--(calc!$U$3:$U$306=TRUE),--(calc!$W$3:$W$306=W266))-1)/2,"")</f>
        <v/>
      </c>
      <c r="AB266" s="5">
        <f>IF(U266,SUMPRODUCT(--(calc!$U$3:$U$306=TRUE),--(ROW(calc!$U$3:$U$306)&gt;ROW(U266)),--(((calc!$Z$3:$Z$306&gt;Z266)*(calc!$AA$3:$AA$306&gt;AA266)+(calc!$Z$3:$Z$306&lt;Z266)*(calc!$AA$3:$AA$306&lt;AA266))&gt;0))-SUMPRODUCT(--(calc!$U$3:$U$306=TRUE),--(ROW(calc!$U$3:$U$306)&gt;ROW(U266)),--(((calc!$Z$3:$Z$306&gt;Z266)*(calc!$AA$3:$AA$306&lt;AA266)+(calc!$Z$3:$Z$306&lt;Z266)*(calc!$AA$3:$AA$306&gt;AA266))&gt;0)),0)</f>
        <v/>
      </c>
      <c r="AC266" s="5">
        <f>IF(mos_metrics!I265="","",mos_metrics!I265)</f>
        <v/>
      </c>
      <c r="AD266" s="2">
        <f>AND($J266,ISNUMBER(AC266),correlation!$I$28=1)</f>
        <v/>
      </c>
      <c r="AE266" s="5">
        <f>IF(AD266,$F266,"")</f>
        <v/>
      </c>
      <c r="AF266" s="5">
        <f>IF(AD266,AC266*correlation!$J$28,"")</f>
        <v/>
      </c>
      <c r="AG266" s="5">
        <f>IF(AND(AD266,ISNUMBER(correlation!$F$28)),AF266*correlation!$F$28+correlation!$G$28,"")</f>
        <v/>
      </c>
      <c r="AH266" s="5">
        <f>IF(AND(AD266,ISNUMBER(AG266)),(AE266-AG266)^2,"")</f>
        <v/>
      </c>
      <c r="AI266" s="5">
        <f>IF(AD266,1+SUMPRODUCT(--(calc!$AD$3:$AD$306=TRUE),--(calc!$AE$3:$AE$306&gt;AE266))+(SUMPRODUCT(--(calc!$AD$3:$AD$306=TRUE),--(calc!$AE$3:$AE$306=AE266))-1)/2,"")</f>
        <v/>
      </c>
      <c r="AJ266" s="5">
        <f>IF(AD266,1+SUMPRODUCT(--(calc!$AD$3:$AD$306=TRUE),--(calc!$AF$3:$AF$306&gt;AF266))+(SUMPRODUCT(--(calc!$AD$3:$AD$306=TRUE),--(calc!$AF$3:$AF$306=AF266))-1)/2,"")</f>
        <v/>
      </c>
      <c r="AK266" s="5">
        <f>IF(AD266,SUMPRODUCT(--(calc!$AD$3:$AD$306=TRUE),--(ROW(calc!$AD$3:$AD$306)&gt;ROW(AD266)),--(((calc!$AI$3:$AI$306&gt;AI266)*(calc!$AJ$3:$AJ$306&gt;AJ266)+(calc!$AI$3:$AI$306&lt;AI266)*(calc!$AJ$3:$AJ$306&lt;AJ266))&gt;0))-SUMPRODUCT(--(calc!$AD$3:$AD$306=TRUE),--(ROW(calc!$AD$3:$AD$306)&gt;ROW(AD266)),--(((calc!$AI$3:$AI$306&gt;AI266)*(calc!$AJ$3:$AJ$306&lt;AJ266)+(calc!$AI$3:$AI$306&lt;AI266)*(calc!$AJ$3:$AJ$306&gt;AJ266))&gt;0)),0)</f>
        <v/>
      </c>
      <c r="AL266" s="5">
        <f>IF(mos_metrics!J265="","",mos_metrics!J265)</f>
        <v/>
      </c>
      <c r="AM266" s="2">
        <f>AND($J266,ISNUMBER(AL266),correlation!$I$29=1)</f>
        <v/>
      </c>
      <c r="AN266" s="5">
        <f>IF(AM266,$F266,"")</f>
        <v/>
      </c>
      <c r="AO266" s="5">
        <f>IF(AM266,AL266*correlation!$J$29,"")</f>
        <v/>
      </c>
      <c r="AP266" s="5">
        <f>IF(AND(AM266,ISNUMBER(correlation!$F$29)),AO266*correlation!$F$29+correlation!$G$29,"")</f>
        <v/>
      </c>
      <c r="AQ266" s="5">
        <f>IF(AND(AM266,ISNUMBER(AP266)),(AN266-AP266)^2,"")</f>
        <v/>
      </c>
      <c r="AR266" s="5">
        <f>IF(AM266,1+SUMPRODUCT(--(calc!$AM$3:$AM$306=TRUE),--(calc!$AN$3:$AN$306&gt;AN266))+(SUMPRODUCT(--(calc!$AM$3:$AM$306=TRUE),--(calc!$AN$3:$AN$306=AN266))-1)/2,"")</f>
        <v/>
      </c>
      <c r="AS266" s="5">
        <f>IF(AM266,1+SUMPRODUCT(--(calc!$AM$3:$AM$306=TRUE),--(calc!$AO$3:$AO$306&gt;AO266))+(SUMPRODUCT(--(calc!$AM$3:$AM$306=TRUE),--(calc!$AO$3:$AO$306=AO266))-1)/2,"")</f>
        <v/>
      </c>
      <c r="AT266" s="5">
        <f>IF(AM266,SUMPRODUCT(--(calc!$AM$3:$AM$306=TRUE),--(ROW(calc!$AM$3:$AM$306)&gt;ROW(AM266)),--(((calc!$AR$3:$AR$306&gt;AR266)*(calc!$AS$3:$AS$306&gt;AS266)+(calc!$AR$3:$AR$306&lt;AR266)*(calc!$AS$3:$AS$306&lt;AS266))&gt;0))-SUMPRODUCT(--(calc!$AM$3:$AM$306=TRUE),--(ROW(calc!$AM$3:$AM$306)&gt;ROW(AM266)),--(((calc!$AR$3:$AR$306&gt;AR266)*(calc!$AS$3:$AS$306&lt;AS266)+(calc!$AR$3:$AR$306&lt;AR266)*(calc!$AS$3:$AS$306&gt;AS266))&gt;0)),0)</f>
        <v/>
      </c>
      <c r="AU266" s="5">
        <f>IF(mos_metrics!K265="","",mos_metrics!K265)</f>
        <v/>
      </c>
      <c r="AV266" s="2">
        <f>AND($J266,ISNUMBER(AU266),correlation!$I$30=1)</f>
        <v/>
      </c>
      <c r="AW266" s="5">
        <f>IF(AV266,$F266,"")</f>
        <v/>
      </c>
      <c r="AX266" s="5">
        <f>IF(AV266,AU266*correlation!$J$30,"")</f>
        <v/>
      </c>
      <c r="AY266" s="5">
        <f>IF(AND(AV266,ISNUMBER(correlation!$F$30)),AX266*correlation!$F$30+correlation!$G$30,"")</f>
        <v/>
      </c>
      <c r="AZ266" s="5">
        <f>IF(AND(AV266,ISNUMBER(AY266)),(AW266-AY266)^2,"")</f>
        <v/>
      </c>
      <c r="BA266" s="5">
        <f>IF(AV266,1+SUMPRODUCT(--(calc!$AV$3:$AV$306=TRUE),--(calc!$AW$3:$AW$306&gt;AW266))+(SUMPRODUCT(--(calc!$AV$3:$AV$306=TRUE),--(calc!$AW$3:$AW$306=AW266))-1)/2,"")</f>
        <v/>
      </c>
      <c r="BB266" s="5">
        <f>IF(AV266,1+SUMPRODUCT(--(calc!$AV$3:$AV$306=TRUE),--(calc!$AX$3:$AX$306&gt;AX266))+(SUMPRODUCT(--(calc!$AV$3:$AV$306=TRUE),--(calc!$AX$3:$AX$306=AX266))-1)/2,"")</f>
        <v/>
      </c>
      <c r="BC266" s="5">
        <f>IF(AV266,SUMPRODUCT(--(calc!$AV$3:$AV$306=TRUE),--(ROW(calc!$AV$3:$AV$306)&gt;ROW(AV266)),--(((calc!$BA$3:$BA$306&gt;BA266)*(calc!$BB$3:$BB$306&gt;BB266)+(calc!$BA$3:$BA$306&lt;BA266)*(calc!$BB$3:$BB$306&lt;BB266))&gt;0))-SUMPRODUCT(--(calc!$AV$3:$AV$306=TRUE),--(ROW(calc!$AV$3:$AV$306)&gt;ROW(AV266)),--(((calc!$BA$3:$BA$306&gt;BA266)*(calc!$BB$3:$BB$306&lt;BB266)+(calc!$BA$3:$BA$306&lt;BA266)*(calc!$BB$3:$BB$306&gt;BB266))&gt;0)),0)</f>
        <v/>
      </c>
      <c r="BD266" s="5">
        <f>IF(mos_metrics!L265="","",mos_metrics!L265)</f>
        <v/>
      </c>
      <c r="BE266" s="2">
        <f>AND($J266,ISNUMBER(BD266),correlation!$I$31=1)</f>
        <v/>
      </c>
      <c r="BF266" s="5">
        <f>IF(BE266,$F266,"")</f>
        <v/>
      </c>
      <c r="BG266" s="5">
        <f>IF(BE266,BD266*correlation!$J$31,"")</f>
        <v/>
      </c>
      <c r="BH266" s="5">
        <f>IF(AND(BE266,ISNUMBER(correlation!$F$31)),BG266*correlation!$F$31+correlation!$G$31,"")</f>
        <v/>
      </c>
      <c r="BI266" s="5">
        <f>IF(AND(BE266,ISNUMBER(BH266)),(BF266-BH266)^2,"")</f>
        <v/>
      </c>
      <c r="BJ266" s="5">
        <f>IF(BE266,1+SUMPRODUCT(--(calc!$BE$3:$BE$306=TRUE),--(calc!$BF$3:$BF$306&gt;BF266))+(SUMPRODUCT(--(calc!$BE$3:$BE$306=TRUE),--(calc!$BF$3:$BF$306=BF266))-1)/2,"")</f>
        <v/>
      </c>
      <c r="BK266" s="5">
        <f>IF(BE266,1+SUMPRODUCT(--(calc!$BE$3:$BE$306=TRUE),--(calc!$BG$3:$BG$306&gt;BG266))+(SUMPRODUCT(--(calc!$BE$3:$BE$306=TRUE),--(calc!$BG$3:$BG$306=BG266))-1)/2,"")</f>
        <v/>
      </c>
      <c r="BL266" s="5">
        <f>IF(BE266,SUMPRODUCT(--(calc!$BE$3:$BE$306=TRUE),--(ROW(calc!$BE$3:$BE$306)&gt;ROW(BE266)),--(((calc!$BJ$3:$BJ$306&gt;BJ266)*(calc!$BK$3:$BK$306&gt;BK266)+(calc!$BJ$3:$BJ$306&lt;BJ266)*(calc!$BK$3:$BK$306&lt;BK266))&gt;0))-SUMPRODUCT(--(calc!$BE$3:$BE$306=TRUE),--(ROW(calc!$BE$3:$BE$306)&gt;ROW(BE266)),--(((calc!$BJ$3:$BJ$306&gt;BJ266)*(calc!$BK$3:$BK$306&lt;BK266)+(calc!$BJ$3:$BJ$306&lt;BJ266)*(calc!$BK$3:$BK$306&gt;BK266))&gt;0)),0)</f>
        <v/>
      </c>
      <c r="BM266" s="5">
        <f>IF(mos_metrics!M265="","",mos_metrics!M265)</f>
        <v/>
      </c>
      <c r="BN266" s="2">
        <f>AND($J266,ISNUMBER(BM266),correlation!$I$32=1)</f>
        <v/>
      </c>
      <c r="BO266" s="5">
        <f>IF(BN266,$F266,"")</f>
        <v/>
      </c>
      <c r="BP266" s="5">
        <f>IF(BN266,BM266*correlation!$J$32,"")</f>
        <v/>
      </c>
      <c r="BQ266" s="5">
        <f>IF(AND(BN266,ISNUMBER(correlation!$F$32)),BP266*correlation!$F$32+correlation!$G$32,"")</f>
        <v/>
      </c>
      <c r="BR266" s="5">
        <f>IF(AND(BN266,ISNUMBER(BQ266)),(BO266-BQ266)^2,"")</f>
        <v/>
      </c>
      <c r="BS266" s="5">
        <f>IF(BN266,1+SUMPRODUCT(--(calc!$BN$3:$BN$306=TRUE),--(calc!$BO$3:$BO$306&gt;BO266))+(SUMPRODUCT(--(calc!$BN$3:$BN$306=TRUE),--(calc!$BO$3:$BO$306=BO266))-1)/2,"")</f>
        <v/>
      </c>
      <c r="BT266" s="5">
        <f>IF(BN266,1+SUMPRODUCT(--(calc!$BN$3:$BN$306=TRUE),--(calc!$BP$3:$BP$306&gt;BP266))+(SUMPRODUCT(--(calc!$BN$3:$BN$306=TRUE),--(calc!$BP$3:$BP$306=BP266))-1)/2,"")</f>
        <v/>
      </c>
      <c r="BU266" s="5">
        <f>IF(BN266,SUMPRODUCT(--(calc!$BN$3:$BN$306=TRUE),--(ROW(calc!$BN$3:$BN$306)&gt;ROW(BN266)),--(((calc!$BS$3:$BS$306&gt;BS266)*(calc!$BT$3:$BT$306&gt;BT266)+(calc!$BS$3:$BS$306&lt;BS266)*(calc!$BT$3:$BT$306&lt;BT266))&gt;0))-SUMPRODUCT(--(calc!$BN$3:$BN$306=TRUE),--(ROW(calc!$BN$3:$BN$306)&gt;ROW(BN266)),--(((calc!$BS$3:$BS$306&gt;BS266)*(calc!$BT$3:$BT$306&lt;BT266)+(calc!$BS$3:$BS$306&lt;BS266)*(calc!$BT$3:$BT$306&gt;BT266))&gt;0)),0)</f>
        <v/>
      </c>
    </row>
    <row r="267">
      <c r="A267" s="2">
        <f>mos_metrics!A266</f>
        <v/>
      </c>
      <c r="B267" s="2">
        <f>mos_metrics!B266</f>
        <v/>
      </c>
      <c r="C267" s="2">
        <f>mos_metrics!C266</f>
        <v/>
      </c>
      <c r="D267" s="2">
        <f>mos_metrics!D266</f>
        <v/>
      </c>
      <c r="E267" s="2">
        <f>mos_metrics!E266</f>
        <v/>
      </c>
      <c r="F267" s="2">
        <f>mos_metrics!F266</f>
        <v/>
      </c>
      <c r="G267" s="2">
        <f>IF($B267="","",IFERROR(VLOOKUP($B267,correlation!$A$2:$B$16,2,FALSE),1))</f>
        <v/>
      </c>
      <c r="H267" s="2">
        <f>IF($E267="","",IFERROR(VLOOKUP($E267,correlation!$D$2:$E$8,2,FALSE),1))</f>
        <v/>
      </c>
      <c r="I267" s="2">
        <f>ISNUMBER($F267)</f>
        <v/>
      </c>
      <c r="J267" s="2">
        <f>AND($G267=1,$H267=1,$I267)</f>
        <v/>
      </c>
      <c r="K267" s="5">
        <f>IF(mos_metrics!G266="","",mos_metrics!G266)</f>
        <v/>
      </c>
      <c r="L267" s="2">
        <f>AND($J267,ISNUMBER(K267),correlation!$I$26=1)</f>
        <v/>
      </c>
      <c r="M267" s="5">
        <f>IF(L267,$F267,"")</f>
        <v/>
      </c>
      <c r="N267" s="5">
        <f>IF(L267,K267*correlation!$J$26,"")</f>
        <v/>
      </c>
      <c r="O267" s="5">
        <f>IF(AND(L267,ISNUMBER(correlation!$F$26)),N267*correlation!$F$26+correlation!$G$26,"")</f>
        <v/>
      </c>
      <c r="P267" s="5">
        <f>IF(AND(L267,ISNUMBER(O267)),(M267-O267)^2,"")</f>
        <v/>
      </c>
      <c r="Q267" s="5">
        <f>IF(L267,1+SUMPRODUCT(--(calc!$L$3:$L$306=TRUE),--(calc!$M$3:$M$306&gt;M267))+(SUMPRODUCT(--(calc!$L$3:$L$306=TRUE),--(calc!$M$3:$M$306=M267))-1)/2,"")</f>
        <v/>
      </c>
      <c r="R267" s="5">
        <f>IF(L267,1+SUMPRODUCT(--(calc!$L$3:$L$306=TRUE),--(calc!$N$3:$N$306&gt;N267))+(SUMPRODUCT(--(calc!$L$3:$L$306=TRUE),--(calc!$N$3:$N$306=N267))-1)/2,"")</f>
        <v/>
      </c>
      <c r="S267" s="5">
        <f>IF(L267,SUMPRODUCT(--(calc!$L$3:$L$306=TRUE),--(ROW(calc!$L$3:$L$306)&gt;ROW(L267)),--(((calc!$Q$3:$Q$306&gt;Q267)*(calc!$R$3:$R$306&gt;R267)+(calc!$Q$3:$Q$306&lt;Q267)*(calc!$R$3:$R$306&lt;R267))&gt;0))-SUMPRODUCT(--(calc!$L$3:$L$306=TRUE),--(ROW(calc!$L$3:$L$306)&gt;ROW(L267)),--(((calc!$Q$3:$Q$306&gt;Q267)*(calc!$R$3:$R$306&lt;R267)+(calc!$Q$3:$Q$306&lt;Q267)*(calc!$R$3:$R$306&gt;R267))&gt;0)),0)</f>
        <v/>
      </c>
      <c r="T267" s="5">
        <f>IF(mos_metrics!H266="","",mos_metrics!H266)</f>
        <v/>
      </c>
      <c r="U267" s="2">
        <f>AND($J267,ISNUMBER(T267),correlation!$I$27=1)</f>
        <v/>
      </c>
      <c r="V267" s="5">
        <f>IF(U267,$F267,"")</f>
        <v/>
      </c>
      <c r="W267" s="5">
        <f>IF(U267,T267*correlation!$J$27,"")</f>
        <v/>
      </c>
      <c r="X267" s="5">
        <f>IF(AND(U267,ISNUMBER(correlation!$F$27)),W267*correlation!$F$27+correlation!$G$27,"")</f>
        <v/>
      </c>
      <c r="Y267" s="5">
        <f>IF(AND(U267,ISNUMBER(X267)),(V267-X267)^2,"")</f>
        <v/>
      </c>
      <c r="Z267" s="5">
        <f>IF(U267,1+SUMPRODUCT(--(calc!$U$3:$U$306=TRUE),--(calc!$V$3:$V$306&gt;V267))+(SUMPRODUCT(--(calc!$U$3:$U$306=TRUE),--(calc!$V$3:$V$306=V267))-1)/2,"")</f>
        <v/>
      </c>
      <c r="AA267" s="5">
        <f>IF(U267,1+SUMPRODUCT(--(calc!$U$3:$U$306=TRUE),--(calc!$W$3:$W$306&gt;W267))+(SUMPRODUCT(--(calc!$U$3:$U$306=TRUE),--(calc!$W$3:$W$306=W267))-1)/2,"")</f>
        <v/>
      </c>
      <c r="AB267" s="5">
        <f>IF(U267,SUMPRODUCT(--(calc!$U$3:$U$306=TRUE),--(ROW(calc!$U$3:$U$306)&gt;ROW(U267)),--(((calc!$Z$3:$Z$306&gt;Z267)*(calc!$AA$3:$AA$306&gt;AA267)+(calc!$Z$3:$Z$306&lt;Z267)*(calc!$AA$3:$AA$306&lt;AA267))&gt;0))-SUMPRODUCT(--(calc!$U$3:$U$306=TRUE),--(ROW(calc!$U$3:$U$306)&gt;ROW(U267)),--(((calc!$Z$3:$Z$306&gt;Z267)*(calc!$AA$3:$AA$306&lt;AA267)+(calc!$Z$3:$Z$306&lt;Z267)*(calc!$AA$3:$AA$306&gt;AA267))&gt;0)),0)</f>
        <v/>
      </c>
      <c r="AC267" s="5">
        <f>IF(mos_metrics!I266="","",mos_metrics!I266)</f>
        <v/>
      </c>
      <c r="AD267" s="2">
        <f>AND($J267,ISNUMBER(AC267),correlation!$I$28=1)</f>
        <v/>
      </c>
      <c r="AE267" s="5">
        <f>IF(AD267,$F267,"")</f>
        <v/>
      </c>
      <c r="AF267" s="5">
        <f>IF(AD267,AC267*correlation!$J$28,"")</f>
        <v/>
      </c>
      <c r="AG267" s="5">
        <f>IF(AND(AD267,ISNUMBER(correlation!$F$28)),AF267*correlation!$F$28+correlation!$G$28,"")</f>
        <v/>
      </c>
      <c r="AH267" s="5">
        <f>IF(AND(AD267,ISNUMBER(AG267)),(AE267-AG267)^2,"")</f>
        <v/>
      </c>
      <c r="AI267" s="5">
        <f>IF(AD267,1+SUMPRODUCT(--(calc!$AD$3:$AD$306=TRUE),--(calc!$AE$3:$AE$306&gt;AE267))+(SUMPRODUCT(--(calc!$AD$3:$AD$306=TRUE),--(calc!$AE$3:$AE$306=AE267))-1)/2,"")</f>
        <v/>
      </c>
      <c r="AJ267" s="5">
        <f>IF(AD267,1+SUMPRODUCT(--(calc!$AD$3:$AD$306=TRUE),--(calc!$AF$3:$AF$306&gt;AF267))+(SUMPRODUCT(--(calc!$AD$3:$AD$306=TRUE),--(calc!$AF$3:$AF$306=AF267))-1)/2,"")</f>
        <v/>
      </c>
      <c r="AK267" s="5">
        <f>IF(AD267,SUMPRODUCT(--(calc!$AD$3:$AD$306=TRUE),--(ROW(calc!$AD$3:$AD$306)&gt;ROW(AD267)),--(((calc!$AI$3:$AI$306&gt;AI267)*(calc!$AJ$3:$AJ$306&gt;AJ267)+(calc!$AI$3:$AI$306&lt;AI267)*(calc!$AJ$3:$AJ$306&lt;AJ267))&gt;0))-SUMPRODUCT(--(calc!$AD$3:$AD$306=TRUE),--(ROW(calc!$AD$3:$AD$306)&gt;ROW(AD267)),--(((calc!$AI$3:$AI$306&gt;AI267)*(calc!$AJ$3:$AJ$306&lt;AJ267)+(calc!$AI$3:$AI$306&lt;AI267)*(calc!$AJ$3:$AJ$306&gt;AJ267))&gt;0)),0)</f>
        <v/>
      </c>
      <c r="AL267" s="5">
        <f>IF(mos_metrics!J266="","",mos_metrics!J266)</f>
        <v/>
      </c>
      <c r="AM267" s="2">
        <f>AND($J267,ISNUMBER(AL267),correlation!$I$29=1)</f>
        <v/>
      </c>
      <c r="AN267" s="5">
        <f>IF(AM267,$F267,"")</f>
        <v/>
      </c>
      <c r="AO267" s="5">
        <f>IF(AM267,AL267*correlation!$J$29,"")</f>
        <v/>
      </c>
      <c r="AP267" s="5">
        <f>IF(AND(AM267,ISNUMBER(correlation!$F$29)),AO267*correlation!$F$29+correlation!$G$29,"")</f>
        <v/>
      </c>
      <c r="AQ267" s="5">
        <f>IF(AND(AM267,ISNUMBER(AP267)),(AN267-AP267)^2,"")</f>
        <v/>
      </c>
      <c r="AR267" s="5">
        <f>IF(AM267,1+SUMPRODUCT(--(calc!$AM$3:$AM$306=TRUE),--(calc!$AN$3:$AN$306&gt;AN267))+(SUMPRODUCT(--(calc!$AM$3:$AM$306=TRUE),--(calc!$AN$3:$AN$306=AN267))-1)/2,"")</f>
        <v/>
      </c>
      <c r="AS267" s="5">
        <f>IF(AM267,1+SUMPRODUCT(--(calc!$AM$3:$AM$306=TRUE),--(calc!$AO$3:$AO$306&gt;AO267))+(SUMPRODUCT(--(calc!$AM$3:$AM$306=TRUE),--(calc!$AO$3:$AO$306=AO267))-1)/2,"")</f>
        <v/>
      </c>
      <c r="AT267" s="5">
        <f>IF(AM267,SUMPRODUCT(--(calc!$AM$3:$AM$306=TRUE),--(ROW(calc!$AM$3:$AM$306)&gt;ROW(AM267)),--(((calc!$AR$3:$AR$306&gt;AR267)*(calc!$AS$3:$AS$306&gt;AS267)+(calc!$AR$3:$AR$306&lt;AR267)*(calc!$AS$3:$AS$306&lt;AS267))&gt;0))-SUMPRODUCT(--(calc!$AM$3:$AM$306=TRUE),--(ROW(calc!$AM$3:$AM$306)&gt;ROW(AM267)),--(((calc!$AR$3:$AR$306&gt;AR267)*(calc!$AS$3:$AS$306&lt;AS267)+(calc!$AR$3:$AR$306&lt;AR267)*(calc!$AS$3:$AS$306&gt;AS267))&gt;0)),0)</f>
        <v/>
      </c>
      <c r="AU267" s="5">
        <f>IF(mos_metrics!K266="","",mos_metrics!K266)</f>
        <v/>
      </c>
      <c r="AV267" s="2">
        <f>AND($J267,ISNUMBER(AU267),correlation!$I$30=1)</f>
        <v/>
      </c>
      <c r="AW267" s="5">
        <f>IF(AV267,$F267,"")</f>
        <v/>
      </c>
      <c r="AX267" s="5">
        <f>IF(AV267,AU267*correlation!$J$30,"")</f>
        <v/>
      </c>
      <c r="AY267" s="5">
        <f>IF(AND(AV267,ISNUMBER(correlation!$F$30)),AX267*correlation!$F$30+correlation!$G$30,"")</f>
        <v/>
      </c>
      <c r="AZ267" s="5">
        <f>IF(AND(AV267,ISNUMBER(AY267)),(AW267-AY267)^2,"")</f>
        <v/>
      </c>
      <c r="BA267" s="5">
        <f>IF(AV267,1+SUMPRODUCT(--(calc!$AV$3:$AV$306=TRUE),--(calc!$AW$3:$AW$306&gt;AW267))+(SUMPRODUCT(--(calc!$AV$3:$AV$306=TRUE),--(calc!$AW$3:$AW$306=AW267))-1)/2,"")</f>
        <v/>
      </c>
      <c r="BB267" s="5">
        <f>IF(AV267,1+SUMPRODUCT(--(calc!$AV$3:$AV$306=TRUE),--(calc!$AX$3:$AX$306&gt;AX267))+(SUMPRODUCT(--(calc!$AV$3:$AV$306=TRUE),--(calc!$AX$3:$AX$306=AX267))-1)/2,"")</f>
        <v/>
      </c>
      <c r="BC267" s="5">
        <f>IF(AV267,SUMPRODUCT(--(calc!$AV$3:$AV$306=TRUE),--(ROW(calc!$AV$3:$AV$306)&gt;ROW(AV267)),--(((calc!$BA$3:$BA$306&gt;BA267)*(calc!$BB$3:$BB$306&gt;BB267)+(calc!$BA$3:$BA$306&lt;BA267)*(calc!$BB$3:$BB$306&lt;BB267))&gt;0))-SUMPRODUCT(--(calc!$AV$3:$AV$306=TRUE),--(ROW(calc!$AV$3:$AV$306)&gt;ROW(AV267)),--(((calc!$BA$3:$BA$306&gt;BA267)*(calc!$BB$3:$BB$306&lt;BB267)+(calc!$BA$3:$BA$306&lt;BA267)*(calc!$BB$3:$BB$306&gt;BB267))&gt;0)),0)</f>
        <v/>
      </c>
      <c r="BD267" s="5">
        <f>IF(mos_metrics!L266="","",mos_metrics!L266)</f>
        <v/>
      </c>
      <c r="BE267" s="2">
        <f>AND($J267,ISNUMBER(BD267),correlation!$I$31=1)</f>
        <v/>
      </c>
      <c r="BF267" s="5">
        <f>IF(BE267,$F267,"")</f>
        <v/>
      </c>
      <c r="BG267" s="5">
        <f>IF(BE267,BD267*correlation!$J$31,"")</f>
        <v/>
      </c>
      <c r="BH267" s="5">
        <f>IF(AND(BE267,ISNUMBER(correlation!$F$31)),BG267*correlation!$F$31+correlation!$G$31,"")</f>
        <v/>
      </c>
      <c r="BI267" s="5">
        <f>IF(AND(BE267,ISNUMBER(BH267)),(BF267-BH267)^2,"")</f>
        <v/>
      </c>
      <c r="BJ267" s="5">
        <f>IF(BE267,1+SUMPRODUCT(--(calc!$BE$3:$BE$306=TRUE),--(calc!$BF$3:$BF$306&gt;BF267))+(SUMPRODUCT(--(calc!$BE$3:$BE$306=TRUE),--(calc!$BF$3:$BF$306=BF267))-1)/2,"")</f>
        <v/>
      </c>
      <c r="BK267" s="5">
        <f>IF(BE267,1+SUMPRODUCT(--(calc!$BE$3:$BE$306=TRUE),--(calc!$BG$3:$BG$306&gt;BG267))+(SUMPRODUCT(--(calc!$BE$3:$BE$306=TRUE),--(calc!$BG$3:$BG$306=BG267))-1)/2,"")</f>
        <v/>
      </c>
      <c r="BL267" s="5">
        <f>IF(BE267,SUMPRODUCT(--(calc!$BE$3:$BE$306=TRUE),--(ROW(calc!$BE$3:$BE$306)&gt;ROW(BE267)),--(((calc!$BJ$3:$BJ$306&gt;BJ267)*(calc!$BK$3:$BK$306&gt;BK267)+(calc!$BJ$3:$BJ$306&lt;BJ267)*(calc!$BK$3:$BK$306&lt;BK267))&gt;0))-SUMPRODUCT(--(calc!$BE$3:$BE$306=TRUE),--(ROW(calc!$BE$3:$BE$306)&gt;ROW(BE267)),--(((calc!$BJ$3:$BJ$306&gt;BJ267)*(calc!$BK$3:$BK$306&lt;BK267)+(calc!$BJ$3:$BJ$306&lt;BJ267)*(calc!$BK$3:$BK$306&gt;BK267))&gt;0)),0)</f>
        <v/>
      </c>
      <c r="BM267" s="5">
        <f>IF(mos_metrics!M266="","",mos_metrics!M266)</f>
        <v/>
      </c>
      <c r="BN267" s="2">
        <f>AND($J267,ISNUMBER(BM267),correlation!$I$32=1)</f>
        <v/>
      </c>
      <c r="BO267" s="5">
        <f>IF(BN267,$F267,"")</f>
        <v/>
      </c>
      <c r="BP267" s="5">
        <f>IF(BN267,BM267*correlation!$J$32,"")</f>
        <v/>
      </c>
      <c r="BQ267" s="5">
        <f>IF(AND(BN267,ISNUMBER(correlation!$F$32)),BP267*correlation!$F$32+correlation!$G$32,"")</f>
        <v/>
      </c>
      <c r="BR267" s="5">
        <f>IF(AND(BN267,ISNUMBER(BQ267)),(BO267-BQ267)^2,"")</f>
        <v/>
      </c>
      <c r="BS267" s="5">
        <f>IF(BN267,1+SUMPRODUCT(--(calc!$BN$3:$BN$306=TRUE),--(calc!$BO$3:$BO$306&gt;BO267))+(SUMPRODUCT(--(calc!$BN$3:$BN$306=TRUE),--(calc!$BO$3:$BO$306=BO267))-1)/2,"")</f>
        <v/>
      </c>
      <c r="BT267" s="5">
        <f>IF(BN267,1+SUMPRODUCT(--(calc!$BN$3:$BN$306=TRUE),--(calc!$BP$3:$BP$306&gt;BP267))+(SUMPRODUCT(--(calc!$BN$3:$BN$306=TRUE),--(calc!$BP$3:$BP$306=BP267))-1)/2,"")</f>
        <v/>
      </c>
      <c r="BU267" s="5">
        <f>IF(BN267,SUMPRODUCT(--(calc!$BN$3:$BN$306=TRUE),--(ROW(calc!$BN$3:$BN$306)&gt;ROW(BN267)),--(((calc!$BS$3:$BS$306&gt;BS267)*(calc!$BT$3:$BT$306&gt;BT267)+(calc!$BS$3:$BS$306&lt;BS267)*(calc!$BT$3:$BT$306&lt;BT267))&gt;0))-SUMPRODUCT(--(calc!$BN$3:$BN$306=TRUE),--(ROW(calc!$BN$3:$BN$306)&gt;ROW(BN267)),--(((calc!$BS$3:$BS$306&gt;BS267)*(calc!$BT$3:$BT$306&lt;BT267)+(calc!$BS$3:$BS$306&lt;BS267)*(calc!$BT$3:$BT$306&gt;BT267))&gt;0)),0)</f>
        <v/>
      </c>
    </row>
    <row r="268">
      <c r="A268" s="2">
        <f>mos_metrics!A267</f>
        <v/>
      </c>
      <c r="B268" s="2">
        <f>mos_metrics!B267</f>
        <v/>
      </c>
      <c r="C268" s="2">
        <f>mos_metrics!C267</f>
        <v/>
      </c>
      <c r="D268" s="2">
        <f>mos_metrics!D267</f>
        <v/>
      </c>
      <c r="E268" s="2">
        <f>mos_metrics!E267</f>
        <v/>
      </c>
      <c r="F268" s="2">
        <f>mos_metrics!F267</f>
        <v/>
      </c>
      <c r="G268" s="2">
        <f>IF($B268="","",IFERROR(VLOOKUP($B268,correlation!$A$2:$B$16,2,FALSE),1))</f>
        <v/>
      </c>
      <c r="H268" s="2">
        <f>IF($E268="","",IFERROR(VLOOKUP($E268,correlation!$D$2:$E$8,2,FALSE),1))</f>
        <v/>
      </c>
      <c r="I268" s="2">
        <f>ISNUMBER($F268)</f>
        <v/>
      </c>
      <c r="J268" s="2">
        <f>AND($G268=1,$H268=1,$I268)</f>
        <v/>
      </c>
      <c r="K268" s="5">
        <f>IF(mos_metrics!G267="","",mos_metrics!G267)</f>
        <v/>
      </c>
      <c r="L268" s="2">
        <f>AND($J268,ISNUMBER(K268),correlation!$I$26=1)</f>
        <v/>
      </c>
      <c r="M268" s="5">
        <f>IF(L268,$F268,"")</f>
        <v/>
      </c>
      <c r="N268" s="5">
        <f>IF(L268,K268*correlation!$J$26,"")</f>
        <v/>
      </c>
      <c r="O268" s="5">
        <f>IF(AND(L268,ISNUMBER(correlation!$F$26)),N268*correlation!$F$26+correlation!$G$26,"")</f>
        <v/>
      </c>
      <c r="P268" s="5">
        <f>IF(AND(L268,ISNUMBER(O268)),(M268-O268)^2,"")</f>
        <v/>
      </c>
      <c r="Q268" s="5">
        <f>IF(L268,1+SUMPRODUCT(--(calc!$L$3:$L$306=TRUE),--(calc!$M$3:$M$306&gt;M268))+(SUMPRODUCT(--(calc!$L$3:$L$306=TRUE),--(calc!$M$3:$M$306=M268))-1)/2,"")</f>
        <v/>
      </c>
      <c r="R268" s="5">
        <f>IF(L268,1+SUMPRODUCT(--(calc!$L$3:$L$306=TRUE),--(calc!$N$3:$N$306&gt;N268))+(SUMPRODUCT(--(calc!$L$3:$L$306=TRUE),--(calc!$N$3:$N$306=N268))-1)/2,"")</f>
        <v/>
      </c>
      <c r="S268" s="5">
        <f>IF(L268,SUMPRODUCT(--(calc!$L$3:$L$306=TRUE),--(ROW(calc!$L$3:$L$306)&gt;ROW(L268)),--(((calc!$Q$3:$Q$306&gt;Q268)*(calc!$R$3:$R$306&gt;R268)+(calc!$Q$3:$Q$306&lt;Q268)*(calc!$R$3:$R$306&lt;R268))&gt;0))-SUMPRODUCT(--(calc!$L$3:$L$306=TRUE),--(ROW(calc!$L$3:$L$306)&gt;ROW(L268)),--(((calc!$Q$3:$Q$306&gt;Q268)*(calc!$R$3:$R$306&lt;R268)+(calc!$Q$3:$Q$306&lt;Q268)*(calc!$R$3:$R$306&gt;R268))&gt;0)),0)</f>
        <v/>
      </c>
      <c r="T268" s="5">
        <f>IF(mos_metrics!H267="","",mos_metrics!H267)</f>
        <v/>
      </c>
      <c r="U268" s="2">
        <f>AND($J268,ISNUMBER(T268),correlation!$I$27=1)</f>
        <v/>
      </c>
      <c r="V268" s="5">
        <f>IF(U268,$F268,"")</f>
        <v/>
      </c>
      <c r="W268" s="5">
        <f>IF(U268,T268*correlation!$J$27,"")</f>
        <v/>
      </c>
      <c r="X268" s="5">
        <f>IF(AND(U268,ISNUMBER(correlation!$F$27)),W268*correlation!$F$27+correlation!$G$27,"")</f>
        <v/>
      </c>
      <c r="Y268" s="5">
        <f>IF(AND(U268,ISNUMBER(X268)),(V268-X268)^2,"")</f>
        <v/>
      </c>
      <c r="Z268" s="5">
        <f>IF(U268,1+SUMPRODUCT(--(calc!$U$3:$U$306=TRUE),--(calc!$V$3:$V$306&gt;V268))+(SUMPRODUCT(--(calc!$U$3:$U$306=TRUE),--(calc!$V$3:$V$306=V268))-1)/2,"")</f>
        <v/>
      </c>
      <c r="AA268" s="5">
        <f>IF(U268,1+SUMPRODUCT(--(calc!$U$3:$U$306=TRUE),--(calc!$W$3:$W$306&gt;W268))+(SUMPRODUCT(--(calc!$U$3:$U$306=TRUE),--(calc!$W$3:$W$306=W268))-1)/2,"")</f>
        <v/>
      </c>
      <c r="AB268" s="5">
        <f>IF(U268,SUMPRODUCT(--(calc!$U$3:$U$306=TRUE),--(ROW(calc!$U$3:$U$306)&gt;ROW(U268)),--(((calc!$Z$3:$Z$306&gt;Z268)*(calc!$AA$3:$AA$306&gt;AA268)+(calc!$Z$3:$Z$306&lt;Z268)*(calc!$AA$3:$AA$306&lt;AA268))&gt;0))-SUMPRODUCT(--(calc!$U$3:$U$306=TRUE),--(ROW(calc!$U$3:$U$306)&gt;ROW(U268)),--(((calc!$Z$3:$Z$306&gt;Z268)*(calc!$AA$3:$AA$306&lt;AA268)+(calc!$Z$3:$Z$306&lt;Z268)*(calc!$AA$3:$AA$306&gt;AA268))&gt;0)),0)</f>
        <v/>
      </c>
      <c r="AC268" s="5">
        <f>IF(mos_metrics!I267="","",mos_metrics!I267)</f>
        <v/>
      </c>
      <c r="AD268" s="2">
        <f>AND($J268,ISNUMBER(AC268),correlation!$I$28=1)</f>
        <v/>
      </c>
      <c r="AE268" s="5">
        <f>IF(AD268,$F268,"")</f>
        <v/>
      </c>
      <c r="AF268" s="5">
        <f>IF(AD268,AC268*correlation!$J$28,"")</f>
        <v/>
      </c>
      <c r="AG268" s="5">
        <f>IF(AND(AD268,ISNUMBER(correlation!$F$28)),AF268*correlation!$F$28+correlation!$G$28,"")</f>
        <v/>
      </c>
      <c r="AH268" s="5">
        <f>IF(AND(AD268,ISNUMBER(AG268)),(AE268-AG268)^2,"")</f>
        <v/>
      </c>
      <c r="AI268" s="5">
        <f>IF(AD268,1+SUMPRODUCT(--(calc!$AD$3:$AD$306=TRUE),--(calc!$AE$3:$AE$306&gt;AE268))+(SUMPRODUCT(--(calc!$AD$3:$AD$306=TRUE),--(calc!$AE$3:$AE$306=AE268))-1)/2,"")</f>
        <v/>
      </c>
      <c r="AJ268" s="5">
        <f>IF(AD268,1+SUMPRODUCT(--(calc!$AD$3:$AD$306=TRUE),--(calc!$AF$3:$AF$306&gt;AF268))+(SUMPRODUCT(--(calc!$AD$3:$AD$306=TRUE),--(calc!$AF$3:$AF$306=AF268))-1)/2,"")</f>
        <v/>
      </c>
      <c r="AK268" s="5">
        <f>IF(AD268,SUMPRODUCT(--(calc!$AD$3:$AD$306=TRUE),--(ROW(calc!$AD$3:$AD$306)&gt;ROW(AD268)),--(((calc!$AI$3:$AI$306&gt;AI268)*(calc!$AJ$3:$AJ$306&gt;AJ268)+(calc!$AI$3:$AI$306&lt;AI268)*(calc!$AJ$3:$AJ$306&lt;AJ268))&gt;0))-SUMPRODUCT(--(calc!$AD$3:$AD$306=TRUE),--(ROW(calc!$AD$3:$AD$306)&gt;ROW(AD268)),--(((calc!$AI$3:$AI$306&gt;AI268)*(calc!$AJ$3:$AJ$306&lt;AJ268)+(calc!$AI$3:$AI$306&lt;AI268)*(calc!$AJ$3:$AJ$306&gt;AJ268))&gt;0)),0)</f>
        <v/>
      </c>
      <c r="AL268" s="5">
        <f>IF(mos_metrics!J267="","",mos_metrics!J267)</f>
        <v/>
      </c>
      <c r="AM268" s="2">
        <f>AND($J268,ISNUMBER(AL268),correlation!$I$29=1)</f>
        <v/>
      </c>
      <c r="AN268" s="5">
        <f>IF(AM268,$F268,"")</f>
        <v/>
      </c>
      <c r="AO268" s="5">
        <f>IF(AM268,AL268*correlation!$J$29,"")</f>
        <v/>
      </c>
      <c r="AP268" s="5">
        <f>IF(AND(AM268,ISNUMBER(correlation!$F$29)),AO268*correlation!$F$29+correlation!$G$29,"")</f>
        <v/>
      </c>
      <c r="AQ268" s="5">
        <f>IF(AND(AM268,ISNUMBER(AP268)),(AN268-AP268)^2,"")</f>
        <v/>
      </c>
      <c r="AR268" s="5">
        <f>IF(AM268,1+SUMPRODUCT(--(calc!$AM$3:$AM$306=TRUE),--(calc!$AN$3:$AN$306&gt;AN268))+(SUMPRODUCT(--(calc!$AM$3:$AM$306=TRUE),--(calc!$AN$3:$AN$306=AN268))-1)/2,"")</f>
        <v/>
      </c>
      <c r="AS268" s="5">
        <f>IF(AM268,1+SUMPRODUCT(--(calc!$AM$3:$AM$306=TRUE),--(calc!$AO$3:$AO$306&gt;AO268))+(SUMPRODUCT(--(calc!$AM$3:$AM$306=TRUE),--(calc!$AO$3:$AO$306=AO268))-1)/2,"")</f>
        <v/>
      </c>
      <c r="AT268" s="5">
        <f>IF(AM268,SUMPRODUCT(--(calc!$AM$3:$AM$306=TRUE),--(ROW(calc!$AM$3:$AM$306)&gt;ROW(AM268)),--(((calc!$AR$3:$AR$306&gt;AR268)*(calc!$AS$3:$AS$306&gt;AS268)+(calc!$AR$3:$AR$306&lt;AR268)*(calc!$AS$3:$AS$306&lt;AS268))&gt;0))-SUMPRODUCT(--(calc!$AM$3:$AM$306=TRUE),--(ROW(calc!$AM$3:$AM$306)&gt;ROW(AM268)),--(((calc!$AR$3:$AR$306&gt;AR268)*(calc!$AS$3:$AS$306&lt;AS268)+(calc!$AR$3:$AR$306&lt;AR268)*(calc!$AS$3:$AS$306&gt;AS268))&gt;0)),0)</f>
        <v/>
      </c>
      <c r="AU268" s="5">
        <f>IF(mos_metrics!K267="","",mos_metrics!K267)</f>
        <v/>
      </c>
      <c r="AV268" s="2">
        <f>AND($J268,ISNUMBER(AU268),correlation!$I$30=1)</f>
        <v/>
      </c>
      <c r="AW268" s="5">
        <f>IF(AV268,$F268,"")</f>
        <v/>
      </c>
      <c r="AX268" s="5">
        <f>IF(AV268,AU268*correlation!$J$30,"")</f>
        <v/>
      </c>
      <c r="AY268" s="5">
        <f>IF(AND(AV268,ISNUMBER(correlation!$F$30)),AX268*correlation!$F$30+correlation!$G$30,"")</f>
        <v/>
      </c>
      <c r="AZ268" s="5">
        <f>IF(AND(AV268,ISNUMBER(AY268)),(AW268-AY268)^2,"")</f>
        <v/>
      </c>
      <c r="BA268" s="5">
        <f>IF(AV268,1+SUMPRODUCT(--(calc!$AV$3:$AV$306=TRUE),--(calc!$AW$3:$AW$306&gt;AW268))+(SUMPRODUCT(--(calc!$AV$3:$AV$306=TRUE),--(calc!$AW$3:$AW$306=AW268))-1)/2,"")</f>
        <v/>
      </c>
      <c r="BB268" s="5">
        <f>IF(AV268,1+SUMPRODUCT(--(calc!$AV$3:$AV$306=TRUE),--(calc!$AX$3:$AX$306&gt;AX268))+(SUMPRODUCT(--(calc!$AV$3:$AV$306=TRUE),--(calc!$AX$3:$AX$306=AX268))-1)/2,"")</f>
        <v/>
      </c>
      <c r="BC268" s="5">
        <f>IF(AV268,SUMPRODUCT(--(calc!$AV$3:$AV$306=TRUE),--(ROW(calc!$AV$3:$AV$306)&gt;ROW(AV268)),--(((calc!$BA$3:$BA$306&gt;BA268)*(calc!$BB$3:$BB$306&gt;BB268)+(calc!$BA$3:$BA$306&lt;BA268)*(calc!$BB$3:$BB$306&lt;BB268))&gt;0))-SUMPRODUCT(--(calc!$AV$3:$AV$306=TRUE),--(ROW(calc!$AV$3:$AV$306)&gt;ROW(AV268)),--(((calc!$BA$3:$BA$306&gt;BA268)*(calc!$BB$3:$BB$306&lt;BB268)+(calc!$BA$3:$BA$306&lt;BA268)*(calc!$BB$3:$BB$306&gt;BB268))&gt;0)),0)</f>
        <v/>
      </c>
      <c r="BD268" s="5">
        <f>IF(mos_metrics!L267="","",mos_metrics!L267)</f>
        <v/>
      </c>
      <c r="BE268" s="2">
        <f>AND($J268,ISNUMBER(BD268),correlation!$I$31=1)</f>
        <v/>
      </c>
      <c r="BF268" s="5">
        <f>IF(BE268,$F268,"")</f>
        <v/>
      </c>
      <c r="BG268" s="5">
        <f>IF(BE268,BD268*correlation!$J$31,"")</f>
        <v/>
      </c>
      <c r="BH268" s="5">
        <f>IF(AND(BE268,ISNUMBER(correlation!$F$31)),BG268*correlation!$F$31+correlation!$G$31,"")</f>
        <v/>
      </c>
      <c r="BI268" s="5">
        <f>IF(AND(BE268,ISNUMBER(BH268)),(BF268-BH268)^2,"")</f>
        <v/>
      </c>
      <c r="BJ268" s="5">
        <f>IF(BE268,1+SUMPRODUCT(--(calc!$BE$3:$BE$306=TRUE),--(calc!$BF$3:$BF$306&gt;BF268))+(SUMPRODUCT(--(calc!$BE$3:$BE$306=TRUE),--(calc!$BF$3:$BF$306=BF268))-1)/2,"")</f>
        <v/>
      </c>
      <c r="BK268" s="5">
        <f>IF(BE268,1+SUMPRODUCT(--(calc!$BE$3:$BE$306=TRUE),--(calc!$BG$3:$BG$306&gt;BG268))+(SUMPRODUCT(--(calc!$BE$3:$BE$306=TRUE),--(calc!$BG$3:$BG$306=BG268))-1)/2,"")</f>
        <v/>
      </c>
      <c r="BL268" s="5">
        <f>IF(BE268,SUMPRODUCT(--(calc!$BE$3:$BE$306=TRUE),--(ROW(calc!$BE$3:$BE$306)&gt;ROW(BE268)),--(((calc!$BJ$3:$BJ$306&gt;BJ268)*(calc!$BK$3:$BK$306&gt;BK268)+(calc!$BJ$3:$BJ$306&lt;BJ268)*(calc!$BK$3:$BK$306&lt;BK268))&gt;0))-SUMPRODUCT(--(calc!$BE$3:$BE$306=TRUE),--(ROW(calc!$BE$3:$BE$306)&gt;ROW(BE268)),--(((calc!$BJ$3:$BJ$306&gt;BJ268)*(calc!$BK$3:$BK$306&lt;BK268)+(calc!$BJ$3:$BJ$306&lt;BJ268)*(calc!$BK$3:$BK$306&gt;BK268))&gt;0)),0)</f>
        <v/>
      </c>
      <c r="BM268" s="5">
        <f>IF(mos_metrics!M267="","",mos_metrics!M267)</f>
        <v/>
      </c>
      <c r="BN268" s="2">
        <f>AND($J268,ISNUMBER(BM268),correlation!$I$32=1)</f>
        <v/>
      </c>
      <c r="BO268" s="5">
        <f>IF(BN268,$F268,"")</f>
        <v/>
      </c>
      <c r="BP268" s="5">
        <f>IF(BN268,BM268*correlation!$J$32,"")</f>
        <v/>
      </c>
      <c r="BQ268" s="5">
        <f>IF(AND(BN268,ISNUMBER(correlation!$F$32)),BP268*correlation!$F$32+correlation!$G$32,"")</f>
        <v/>
      </c>
      <c r="BR268" s="5">
        <f>IF(AND(BN268,ISNUMBER(BQ268)),(BO268-BQ268)^2,"")</f>
        <v/>
      </c>
      <c r="BS268" s="5">
        <f>IF(BN268,1+SUMPRODUCT(--(calc!$BN$3:$BN$306=TRUE),--(calc!$BO$3:$BO$306&gt;BO268))+(SUMPRODUCT(--(calc!$BN$3:$BN$306=TRUE),--(calc!$BO$3:$BO$306=BO268))-1)/2,"")</f>
        <v/>
      </c>
      <c r="BT268" s="5">
        <f>IF(BN268,1+SUMPRODUCT(--(calc!$BN$3:$BN$306=TRUE),--(calc!$BP$3:$BP$306&gt;BP268))+(SUMPRODUCT(--(calc!$BN$3:$BN$306=TRUE),--(calc!$BP$3:$BP$306=BP268))-1)/2,"")</f>
        <v/>
      </c>
      <c r="BU268" s="5">
        <f>IF(BN268,SUMPRODUCT(--(calc!$BN$3:$BN$306=TRUE),--(ROW(calc!$BN$3:$BN$306)&gt;ROW(BN268)),--(((calc!$BS$3:$BS$306&gt;BS268)*(calc!$BT$3:$BT$306&gt;BT268)+(calc!$BS$3:$BS$306&lt;BS268)*(calc!$BT$3:$BT$306&lt;BT268))&gt;0))-SUMPRODUCT(--(calc!$BN$3:$BN$306=TRUE),--(ROW(calc!$BN$3:$BN$306)&gt;ROW(BN268)),--(((calc!$BS$3:$BS$306&gt;BS268)*(calc!$BT$3:$BT$306&lt;BT268)+(calc!$BS$3:$BS$306&lt;BS268)*(calc!$BT$3:$BT$306&gt;BT268))&gt;0)),0)</f>
        <v/>
      </c>
    </row>
    <row r="269">
      <c r="A269" s="2">
        <f>mos_metrics!A268</f>
        <v/>
      </c>
      <c r="B269" s="2">
        <f>mos_metrics!B268</f>
        <v/>
      </c>
      <c r="C269" s="2">
        <f>mos_metrics!C268</f>
        <v/>
      </c>
      <c r="D269" s="2">
        <f>mos_metrics!D268</f>
        <v/>
      </c>
      <c r="E269" s="2">
        <f>mos_metrics!E268</f>
        <v/>
      </c>
      <c r="F269" s="2">
        <f>mos_metrics!F268</f>
        <v/>
      </c>
      <c r="G269" s="2">
        <f>IF($B269="","",IFERROR(VLOOKUP($B269,correlation!$A$2:$B$16,2,FALSE),1))</f>
        <v/>
      </c>
      <c r="H269" s="2">
        <f>IF($E269="","",IFERROR(VLOOKUP($E269,correlation!$D$2:$E$8,2,FALSE),1))</f>
        <v/>
      </c>
      <c r="I269" s="2">
        <f>ISNUMBER($F269)</f>
        <v/>
      </c>
      <c r="J269" s="2">
        <f>AND($G269=1,$H269=1,$I269)</f>
        <v/>
      </c>
      <c r="K269" s="5">
        <f>IF(mos_metrics!G268="","",mos_metrics!G268)</f>
        <v/>
      </c>
      <c r="L269" s="2">
        <f>AND($J269,ISNUMBER(K269),correlation!$I$26=1)</f>
        <v/>
      </c>
      <c r="M269" s="5">
        <f>IF(L269,$F269,"")</f>
        <v/>
      </c>
      <c r="N269" s="5">
        <f>IF(L269,K269*correlation!$J$26,"")</f>
        <v/>
      </c>
      <c r="O269" s="5">
        <f>IF(AND(L269,ISNUMBER(correlation!$F$26)),N269*correlation!$F$26+correlation!$G$26,"")</f>
        <v/>
      </c>
      <c r="P269" s="5">
        <f>IF(AND(L269,ISNUMBER(O269)),(M269-O269)^2,"")</f>
        <v/>
      </c>
      <c r="Q269" s="5">
        <f>IF(L269,1+SUMPRODUCT(--(calc!$L$3:$L$306=TRUE),--(calc!$M$3:$M$306&gt;M269))+(SUMPRODUCT(--(calc!$L$3:$L$306=TRUE),--(calc!$M$3:$M$306=M269))-1)/2,"")</f>
        <v/>
      </c>
      <c r="R269" s="5">
        <f>IF(L269,1+SUMPRODUCT(--(calc!$L$3:$L$306=TRUE),--(calc!$N$3:$N$306&gt;N269))+(SUMPRODUCT(--(calc!$L$3:$L$306=TRUE),--(calc!$N$3:$N$306=N269))-1)/2,"")</f>
        <v/>
      </c>
      <c r="S269" s="5">
        <f>IF(L269,SUMPRODUCT(--(calc!$L$3:$L$306=TRUE),--(ROW(calc!$L$3:$L$306)&gt;ROW(L269)),--(((calc!$Q$3:$Q$306&gt;Q269)*(calc!$R$3:$R$306&gt;R269)+(calc!$Q$3:$Q$306&lt;Q269)*(calc!$R$3:$R$306&lt;R269))&gt;0))-SUMPRODUCT(--(calc!$L$3:$L$306=TRUE),--(ROW(calc!$L$3:$L$306)&gt;ROW(L269)),--(((calc!$Q$3:$Q$306&gt;Q269)*(calc!$R$3:$R$306&lt;R269)+(calc!$Q$3:$Q$306&lt;Q269)*(calc!$R$3:$R$306&gt;R269))&gt;0)),0)</f>
        <v/>
      </c>
      <c r="T269" s="5">
        <f>IF(mos_metrics!H268="","",mos_metrics!H268)</f>
        <v/>
      </c>
      <c r="U269" s="2">
        <f>AND($J269,ISNUMBER(T269),correlation!$I$27=1)</f>
        <v/>
      </c>
      <c r="V269" s="5">
        <f>IF(U269,$F269,"")</f>
        <v/>
      </c>
      <c r="W269" s="5">
        <f>IF(U269,T269*correlation!$J$27,"")</f>
        <v/>
      </c>
      <c r="X269" s="5">
        <f>IF(AND(U269,ISNUMBER(correlation!$F$27)),W269*correlation!$F$27+correlation!$G$27,"")</f>
        <v/>
      </c>
      <c r="Y269" s="5">
        <f>IF(AND(U269,ISNUMBER(X269)),(V269-X269)^2,"")</f>
        <v/>
      </c>
      <c r="Z269" s="5">
        <f>IF(U269,1+SUMPRODUCT(--(calc!$U$3:$U$306=TRUE),--(calc!$V$3:$V$306&gt;V269))+(SUMPRODUCT(--(calc!$U$3:$U$306=TRUE),--(calc!$V$3:$V$306=V269))-1)/2,"")</f>
        <v/>
      </c>
      <c r="AA269" s="5">
        <f>IF(U269,1+SUMPRODUCT(--(calc!$U$3:$U$306=TRUE),--(calc!$W$3:$W$306&gt;W269))+(SUMPRODUCT(--(calc!$U$3:$U$306=TRUE),--(calc!$W$3:$W$306=W269))-1)/2,"")</f>
        <v/>
      </c>
      <c r="AB269" s="5">
        <f>IF(U269,SUMPRODUCT(--(calc!$U$3:$U$306=TRUE),--(ROW(calc!$U$3:$U$306)&gt;ROW(U269)),--(((calc!$Z$3:$Z$306&gt;Z269)*(calc!$AA$3:$AA$306&gt;AA269)+(calc!$Z$3:$Z$306&lt;Z269)*(calc!$AA$3:$AA$306&lt;AA269))&gt;0))-SUMPRODUCT(--(calc!$U$3:$U$306=TRUE),--(ROW(calc!$U$3:$U$306)&gt;ROW(U269)),--(((calc!$Z$3:$Z$306&gt;Z269)*(calc!$AA$3:$AA$306&lt;AA269)+(calc!$Z$3:$Z$306&lt;Z269)*(calc!$AA$3:$AA$306&gt;AA269))&gt;0)),0)</f>
        <v/>
      </c>
      <c r="AC269" s="5">
        <f>IF(mos_metrics!I268="","",mos_metrics!I268)</f>
        <v/>
      </c>
      <c r="AD269" s="2">
        <f>AND($J269,ISNUMBER(AC269),correlation!$I$28=1)</f>
        <v/>
      </c>
      <c r="AE269" s="5">
        <f>IF(AD269,$F269,"")</f>
        <v/>
      </c>
      <c r="AF269" s="5">
        <f>IF(AD269,AC269*correlation!$J$28,"")</f>
        <v/>
      </c>
      <c r="AG269" s="5">
        <f>IF(AND(AD269,ISNUMBER(correlation!$F$28)),AF269*correlation!$F$28+correlation!$G$28,"")</f>
        <v/>
      </c>
      <c r="AH269" s="5">
        <f>IF(AND(AD269,ISNUMBER(AG269)),(AE269-AG269)^2,"")</f>
        <v/>
      </c>
      <c r="AI269" s="5">
        <f>IF(AD269,1+SUMPRODUCT(--(calc!$AD$3:$AD$306=TRUE),--(calc!$AE$3:$AE$306&gt;AE269))+(SUMPRODUCT(--(calc!$AD$3:$AD$306=TRUE),--(calc!$AE$3:$AE$306=AE269))-1)/2,"")</f>
        <v/>
      </c>
      <c r="AJ269" s="5">
        <f>IF(AD269,1+SUMPRODUCT(--(calc!$AD$3:$AD$306=TRUE),--(calc!$AF$3:$AF$306&gt;AF269))+(SUMPRODUCT(--(calc!$AD$3:$AD$306=TRUE),--(calc!$AF$3:$AF$306=AF269))-1)/2,"")</f>
        <v/>
      </c>
      <c r="AK269" s="5">
        <f>IF(AD269,SUMPRODUCT(--(calc!$AD$3:$AD$306=TRUE),--(ROW(calc!$AD$3:$AD$306)&gt;ROW(AD269)),--(((calc!$AI$3:$AI$306&gt;AI269)*(calc!$AJ$3:$AJ$306&gt;AJ269)+(calc!$AI$3:$AI$306&lt;AI269)*(calc!$AJ$3:$AJ$306&lt;AJ269))&gt;0))-SUMPRODUCT(--(calc!$AD$3:$AD$306=TRUE),--(ROW(calc!$AD$3:$AD$306)&gt;ROW(AD269)),--(((calc!$AI$3:$AI$306&gt;AI269)*(calc!$AJ$3:$AJ$306&lt;AJ269)+(calc!$AI$3:$AI$306&lt;AI269)*(calc!$AJ$3:$AJ$306&gt;AJ269))&gt;0)),0)</f>
        <v/>
      </c>
      <c r="AL269" s="5">
        <f>IF(mos_metrics!J268="","",mos_metrics!J268)</f>
        <v/>
      </c>
      <c r="AM269" s="2">
        <f>AND($J269,ISNUMBER(AL269),correlation!$I$29=1)</f>
        <v/>
      </c>
      <c r="AN269" s="5">
        <f>IF(AM269,$F269,"")</f>
        <v/>
      </c>
      <c r="AO269" s="5">
        <f>IF(AM269,AL269*correlation!$J$29,"")</f>
        <v/>
      </c>
      <c r="AP269" s="5">
        <f>IF(AND(AM269,ISNUMBER(correlation!$F$29)),AO269*correlation!$F$29+correlation!$G$29,"")</f>
        <v/>
      </c>
      <c r="AQ269" s="5">
        <f>IF(AND(AM269,ISNUMBER(AP269)),(AN269-AP269)^2,"")</f>
        <v/>
      </c>
      <c r="AR269" s="5">
        <f>IF(AM269,1+SUMPRODUCT(--(calc!$AM$3:$AM$306=TRUE),--(calc!$AN$3:$AN$306&gt;AN269))+(SUMPRODUCT(--(calc!$AM$3:$AM$306=TRUE),--(calc!$AN$3:$AN$306=AN269))-1)/2,"")</f>
        <v/>
      </c>
      <c r="AS269" s="5">
        <f>IF(AM269,1+SUMPRODUCT(--(calc!$AM$3:$AM$306=TRUE),--(calc!$AO$3:$AO$306&gt;AO269))+(SUMPRODUCT(--(calc!$AM$3:$AM$306=TRUE),--(calc!$AO$3:$AO$306=AO269))-1)/2,"")</f>
        <v/>
      </c>
      <c r="AT269" s="5">
        <f>IF(AM269,SUMPRODUCT(--(calc!$AM$3:$AM$306=TRUE),--(ROW(calc!$AM$3:$AM$306)&gt;ROW(AM269)),--(((calc!$AR$3:$AR$306&gt;AR269)*(calc!$AS$3:$AS$306&gt;AS269)+(calc!$AR$3:$AR$306&lt;AR269)*(calc!$AS$3:$AS$306&lt;AS269))&gt;0))-SUMPRODUCT(--(calc!$AM$3:$AM$306=TRUE),--(ROW(calc!$AM$3:$AM$306)&gt;ROW(AM269)),--(((calc!$AR$3:$AR$306&gt;AR269)*(calc!$AS$3:$AS$306&lt;AS269)+(calc!$AR$3:$AR$306&lt;AR269)*(calc!$AS$3:$AS$306&gt;AS269))&gt;0)),0)</f>
        <v/>
      </c>
      <c r="AU269" s="5">
        <f>IF(mos_metrics!K268="","",mos_metrics!K268)</f>
        <v/>
      </c>
      <c r="AV269" s="2">
        <f>AND($J269,ISNUMBER(AU269),correlation!$I$30=1)</f>
        <v/>
      </c>
      <c r="AW269" s="5">
        <f>IF(AV269,$F269,"")</f>
        <v/>
      </c>
      <c r="AX269" s="5">
        <f>IF(AV269,AU269*correlation!$J$30,"")</f>
        <v/>
      </c>
      <c r="AY269" s="5">
        <f>IF(AND(AV269,ISNUMBER(correlation!$F$30)),AX269*correlation!$F$30+correlation!$G$30,"")</f>
        <v/>
      </c>
      <c r="AZ269" s="5">
        <f>IF(AND(AV269,ISNUMBER(AY269)),(AW269-AY269)^2,"")</f>
        <v/>
      </c>
      <c r="BA269" s="5">
        <f>IF(AV269,1+SUMPRODUCT(--(calc!$AV$3:$AV$306=TRUE),--(calc!$AW$3:$AW$306&gt;AW269))+(SUMPRODUCT(--(calc!$AV$3:$AV$306=TRUE),--(calc!$AW$3:$AW$306=AW269))-1)/2,"")</f>
        <v/>
      </c>
      <c r="BB269" s="5">
        <f>IF(AV269,1+SUMPRODUCT(--(calc!$AV$3:$AV$306=TRUE),--(calc!$AX$3:$AX$306&gt;AX269))+(SUMPRODUCT(--(calc!$AV$3:$AV$306=TRUE),--(calc!$AX$3:$AX$306=AX269))-1)/2,"")</f>
        <v/>
      </c>
      <c r="BC269" s="5">
        <f>IF(AV269,SUMPRODUCT(--(calc!$AV$3:$AV$306=TRUE),--(ROW(calc!$AV$3:$AV$306)&gt;ROW(AV269)),--(((calc!$BA$3:$BA$306&gt;BA269)*(calc!$BB$3:$BB$306&gt;BB269)+(calc!$BA$3:$BA$306&lt;BA269)*(calc!$BB$3:$BB$306&lt;BB269))&gt;0))-SUMPRODUCT(--(calc!$AV$3:$AV$306=TRUE),--(ROW(calc!$AV$3:$AV$306)&gt;ROW(AV269)),--(((calc!$BA$3:$BA$306&gt;BA269)*(calc!$BB$3:$BB$306&lt;BB269)+(calc!$BA$3:$BA$306&lt;BA269)*(calc!$BB$3:$BB$306&gt;BB269))&gt;0)),0)</f>
        <v/>
      </c>
      <c r="BD269" s="5">
        <f>IF(mos_metrics!L268="","",mos_metrics!L268)</f>
        <v/>
      </c>
      <c r="BE269" s="2">
        <f>AND($J269,ISNUMBER(BD269),correlation!$I$31=1)</f>
        <v/>
      </c>
      <c r="BF269" s="5">
        <f>IF(BE269,$F269,"")</f>
        <v/>
      </c>
      <c r="BG269" s="5">
        <f>IF(BE269,BD269*correlation!$J$31,"")</f>
        <v/>
      </c>
      <c r="BH269" s="5">
        <f>IF(AND(BE269,ISNUMBER(correlation!$F$31)),BG269*correlation!$F$31+correlation!$G$31,"")</f>
        <v/>
      </c>
      <c r="BI269" s="5">
        <f>IF(AND(BE269,ISNUMBER(BH269)),(BF269-BH269)^2,"")</f>
        <v/>
      </c>
      <c r="BJ269" s="5">
        <f>IF(BE269,1+SUMPRODUCT(--(calc!$BE$3:$BE$306=TRUE),--(calc!$BF$3:$BF$306&gt;BF269))+(SUMPRODUCT(--(calc!$BE$3:$BE$306=TRUE),--(calc!$BF$3:$BF$306=BF269))-1)/2,"")</f>
        <v/>
      </c>
      <c r="BK269" s="5">
        <f>IF(BE269,1+SUMPRODUCT(--(calc!$BE$3:$BE$306=TRUE),--(calc!$BG$3:$BG$306&gt;BG269))+(SUMPRODUCT(--(calc!$BE$3:$BE$306=TRUE),--(calc!$BG$3:$BG$306=BG269))-1)/2,"")</f>
        <v/>
      </c>
      <c r="BL269" s="5">
        <f>IF(BE269,SUMPRODUCT(--(calc!$BE$3:$BE$306=TRUE),--(ROW(calc!$BE$3:$BE$306)&gt;ROW(BE269)),--(((calc!$BJ$3:$BJ$306&gt;BJ269)*(calc!$BK$3:$BK$306&gt;BK269)+(calc!$BJ$3:$BJ$306&lt;BJ269)*(calc!$BK$3:$BK$306&lt;BK269))&gt;0))-SUMPRODUCT(--(calc!$BE$3:$BE$306=TRUE),--(ROW(calc!$BE$3:$BE$306)&gt;ROW(BE269)),--(((calc!$BJ$3:$BJ$306&gt;BJ269)*(calc!$BK$3:$BK$306&lt;BK269)+(calc!$BJ$3:$BJ$306&lt;BJ269)*(calc!$BK$3:$BK$306&gt;BK269))&gt;0)),0)</f>
        <v/>
      </c>
      <c r="BM269" s="5">
        <f>IF(mos_metrics!M268="","",mos_metrics!M268)</f>
        <v/>
      </c>
      <c r="BN269" s="2">
        <f>AND($J269,ISNUMBER(BM269),correlation!$I$32=1)</f>
        <v/>
      </c>
      <c r="BO269" s="5">
        <f>IF(BN269,$F269,"")</f>
        <v/>
      </c>
      <c r="BP269" s="5">
        <f>IF(BN269,BM269*correlation!$J$32,"")</f>
        <v/>
      </c>
      <c r="BQ269" s="5">
        <f>IF(AND(BN269,ISNUMBER(correlation!$F$32)),BP269*correlation!$F$32+correlation!$G$32,"")</f>
        <v/>
      </c>
      <c r="BR269" s="5">
        <f>IF(AND(BN269,ISNUMBER(BQ269)),(BO269-BQ269)^2,"")</f>
        <v/>
      </c>
      <c r="BS269" s="5">
        <f>IF(BN269,1+SUMPRODUCT(--(calc!$BN$3:$BN$306=TRUE),--(calc!$BO$3:$BO$306&gt;BO269))+(SUMPRODUCT(--(calc!$BN$3:$BN$306=TRUE),--(calc!$BO$3:$BO$306=BO269))-1)/2,"")</f>
        <v/>
      </c>
      <c r="BT269" s="5">
        <f>IF(BN269,1+SUMPRODUCT(--(calc!$BN$3:$BN$306=TRUE),--(calc!$BP$3:$BP$306&gt;BP269))+(SUMPRODUCT(--(calc!$BN$3:$BN$306=TRUE),--(calc!$BP$3:$BP$306=BP269))-1)/2,"")</f>
        <v/>
      </c>
      <c r="BU269" s="5">
        <f>IF(BN269,SUMPRODUCT(--(calc!$BN$3:$BN$306=TRUE),--(ROW(calc!$BN$3:$BN$306)&gt;ROW(BN269)),--(((calc!$BS$3:$BS$306&gt;BS269)*(calc!$BT$3:$BT$306&gt;BT269)+(calc!$BS$3:$BS$306&lt;BS269)*(calc!$BT$3:$BT$306&lt;BT269))&gt;0))-SUMPRODUCT(--(calc!$BN$3:$BN$306=TRUE),--(ROW(calc!$BN$3:$BN$306)&gt;ROW(BN269)),--(((calc!$BS$3:$BS$306&gt;BS269)*(calc!$BT$3:$BT$306&lt;BT269)+(calc!$BS$3:$BS$306&lt;BS269)*(calc!$BT$3:$BT$306&gt;BT269))&gt;0)),0)</f>
        <v/>
      </c>
    </row>
    <row r="270">
      <c r="A270" s="2">
        <f>mos_metrics!A269</f>
        <v/>
      </c>
      <c r="B270" s="2">
        <f>mos_metrics!B269</f>
        <v/>
      </c>
      <c r="C270" s="2">
        <f>mos_metrics!C269</f>
        <v/>
      </c>
      <c r="D270" s="2">
        <f>mos_metrics!D269</f>
        <v/>
      </c>
      <c r="E270" s="2">
        <f>mos_metrics!E269</f>
        <v/>
      </c>
      <c r="F270" s="2">
        <f>mos_metrics!F269</f>
        <v/>
      </c>
      <c r="G270" s="2">
        <f>IF($B270="","",IFERROR(VLOOKUP($B270,correlation!$A$2:$B$16,2,FALSE),1))</f>
        <v/>
      </c>
      <c r="H270" s="2">
        <f>IF($E270="","",IFERROR(VLOOKUP($E270,correlation!$D$2:$E$8,2,FALSE),1))</f>
        <v/>
      </c>
      <c r="I270" s="2">
        <f>ISNUMBER($F270)</f>
        <v/>
      </c>
      <c r="J270" s="2">
        <f>AND($G270=1,$H270=1,$I270)</f>
        <v/>
      </c>
      <c r="K270" s="5">
        <f>IF(mos_metrics!G269="","",mos_metrics!G269)</f>
        <v/>
      </c>
      <c r="L270" s="2">
        <f>AND($J270,ISNUMBER(K270),correlation!$I$26=1)</f>
        <v/>
      </c>
      <c r="M270" s="5">
        <f>IF(L270,$F270,"")</f>
        <v/>
      </c>
      <c r="N270" s="5">
        <f>IF(L270,K270*correlation!$J$26,"")</f>
        <v/>
      </c>
      <c r="O270" s="5">
        <f>IF(AND(L270,ISNUMBER(correlation!$F$26)),N270*correlation!$F$26+correlation!$G$26,"")</f>
        <v/>
      </c>
      <c r="P270" s="5">
        <f>IF(AND(L270,ISNUMBER(O270)),(M270-O270)^2,"")</f>
        <v/>
      </c>
      <c r="Q270" s="5">
        <f>IF(L270,1+SUMPRODUCT(--(calc!$L$3:$L$306=TRUE),--(calc!$M$3:$M$306&gt;M270))+(SUMPRODUCT(--(calc!$L$3:$L$306=TRUE),--(calc!$M$3:$M$306=M270))-1)/2,"")</f>
        <v/>
      </c>
      <c r="R270" s="5">
        <f>IF(L270,1+SUMPRODUCT(--(calc!$L$3:$L$306=TRUE),--(calc!$N$3:$N$306&gt;N270))+(SUMPRODUCT(--(calc!$L$3:$L$306=TRUE),--(calc!$N$3:$N$306=N270))-1)/2,"")</f>
        <v/>
      </c>
      <c r="S270" s="5">
        <f>IF(L270,SUMPRODUCT(--(calc!$L$3:$L$306=TRUE),--(ROW(calc!$L$3:$L$306)&gt;ROW(L270)),--(((calc!$Q$3:$Q$306&gt;Q270)*(calc!$R$3:$R$306&gt;R270)+(calc!$Q$3:$Q$306&lt;Q270)*(calc!$R$3:$R$306&lt;R270))&gt;0))-SUMPRODUCT(--(calc!$L$3:$L$306=TRUE),--(ROW(calc!$L$3:$L$306)&gt;ROW(L270)),--(((calc!$Q$3:$Q$306&gt;Q270)*(calc!$R$3:$R$306&lt;R270)+(calc!$Q$3:$Q$306&lt;Q270)*(calc!$R$3:$R$306&gt;R270))&gt;0)),0)</f>
        <v/>
      </c>
      <c r="T270" s="5">
        <f>IF(mos_metrics!H269="","",mos_metrics!H269)</f>
        <v/>
      </c>
      <c r="U270" s="2">
        <f>AND($J270,ISNUMBER(T270),correlation!$I$27=1)</f>
        <v/>
      </c>
      <c r="V270" s="5">
        <f>IF(U270,$F270,"")</f>
        <v/>
      </c>
      <c r="W270" s="5">
        <f>IF(U270,T270*correlation!$J$27,"")</f>
        <v/>
      </c>
      <c r="X270" s="5">
        <f>IF(AND(U270,ISNUMBER(correlation!$F$27)),W270*correlation!$F$27+correlation!$G$27,"")</f>
        <v/>
      </c>
      <c r="Y270" s="5">
        <f>IF(AND(U270,ISNUMBER(X270)),(V270-X270)^2,"")</f>
        <v/>
      </c>
      <c r="Z270" s="5">
        <f>IF(U270,1+SUMPRODUCT(--(calc!$U$3:$U$306=TRUE),--(calc!$V$3:$V$306&gt;V270))+(SUMPRODUCT(--(calc!$U$3:$U$306=TRUE),--(calc!$V$3:$V$306=V270))-1)/2,"")</f>
        <v/>
      </c>
      <c r="AA270" s="5">
        <f>IF(U270,1+SUMPRODUCT(--(calc!$U$3:$U$306=TRUE),--(calc!$W$3:$W$306&gt;W270))+(SUMPRODUCT(--(calc!$U$3:$U$306=TRUE),--(calc!$W$3:$W$306=W270))-1)/2,"")</f>
        <v/>
      </c>
      <c r="AB270" s="5">
        <f>IF(U270,SUMPRODUCT(--(calc!$U$3:$U$306=TRUE),--(ROW(calc!$U$3:$U$306)&gt;ROW(U270)),--(((calc!$Z$3:$Z$306&gt;Z270)*(calc!$AA$3:$AA$306&gt;AA270)+(calc!$Z$3:$Z$306&lt;Z270)*(calc!$AA$3:$AA$306&lt;AA270))&gt;0))-SUMPRODUCT(--(calc!$U$3:$U$306=TRUE),--(ROW(calc!$U$3:$U$306)&gt;ROW(U270)),--(((calc!$Z$3:$Z$306&gt;Z270)*(calc!$AA$3:$AA$306&lt;AA270)+(calc!$Z$3:$Z$306&lt;Z270)*(calc!$AA$3:$AA$306&gt;AA270))&gt;0)),0)</f>
        <v/>
      </c>
      <c r="AC270" s="5">
        <f>IF(mos_metrics!I269="","",mos_metrics!I269)</f>
        <v/>
      </c>
      <c r="AD270" s="2">
        <f>AND($J270,ISNUMBER(AC270),correlation!$I$28=1)</f>
        <v/>
      </c>
      <c r="AE270" s="5">
        <f>IF(AD270,$F270,"")</f>
        <v/>
      </c>
      <c r="AF270" s="5">
        <f>IF(AD270,AC270*correlation!$J$28,"")</f>
        <v/>
      </c>
      <c r="AG270" s="5">
        <f>IF(AND(AD270,ISNUMBER(correlation!$F$28)),AF270*correlation!$F$28+correlation!$G$28,"")</f>
        <v/>
      </c>
      <c r="AH270" s="5">
        <f>IF(AND(AD270,ISNUMBER(AG270)),(AE270-AG270)^2,"")</f>
        <v/>
      </c>
      <c r="AI270" s="5">
        <f>IF(AD270,1+SUMPRODUCT(--(calc!$AD$3:$AD$306=TRUE),--(calc!$AE$3:$AE$306&gt;AE270))+(SUMPRODUCT(--(calc!$AD$3:$AD$306=TRUE),--(calc!$AE$3:$AE$306=AE270))-1)/2,"")</f>
        <v/>
      </c>
      <c r="AJ270" s="5">
        <f>IF(AD270,1+SUMPRODUCT(--(calc!$AD$3:$AD$306=TRUE),--(calc!$AF$3:$AF$306&gt;AF270))+(SUMPRODUCT(--(calc!$AD$3:$AD$306=TRUE),--(calc!$AF$3:$AF$306=AF270))-1)/2,"")</f>
        <v/>
      </c>
      <c r="AK270" s="5">
        <f>IF(AD270,SUMPRODUCT(--(calc!$AD$3:$AD$306=TRUE),--(ROW(calc!$AD$3:$AD$306)&gt;ROW(AD270)),--(((calc!$AI$3:$AI$306&gt;AI270)*(calc!$AJ$3:$AJ$306&gt;AJ270)+(calc!$AI$3:$AI$306&lt;AI270)*(calc!$AJ$3:$AJ$306&lt;AJ270))&gt;0))-SUMPRODUCT(--(calc!$AD$3:$AD$306=TRUE),--(ROW(calc!$AD$3:$AD$306)&gt;ROW(AD270)),--(((calc!$AI$3:$AI$306&gt;AI270)*(calc!$AJ$3:$AJ$306&lt;AJ270)+(calc!$AI$3:$AI$306&lt;AI270)*(calc!$AJ$3:$AJ$306&gt;AJ270))&gt;0)),0)</f>
        <v/>
      </c>
      <c r="AL270" s="5">
        <f>IF(mos_metrics!J269="","",mos_metrics!J269)</f>
        <v/>
      </c>
      <c r="AM270" s="2">
        <f>AND($J270,ISNUMBER(AL270),correlation!$I$29=1)</f>
        <v/>
      </c>
      <c r="AN270" s="5">
        <f>IF(AM270,$F270,"")</f>
        <v/>
      </c>
      <c r="AO270" s="5">
        <f>IF(AM270,AL270*correlation!$J$29,"")</f>
        <v/>
      </c>
      <c r="AP270" s="5">
        <f>IF(AND(AM270,ISNUMBER(correlation!$F$29)),AO270*correlation!$F$29+correlation!$G$29,"")</f>
        <v/>
      </c>
      <c r="AQ270" s="5">
        <f>IF(AND(AM270,ISNUMBER(AP270)),(AN270-AP270)^2,"")</f>
        <v/>
      </c>
      <c r="AR270" s="5">
        <f>IF(AM270,1+SUMPRODUCT(--(calc!$AM$3:$AM$306=TRUE),--(calc!$AN$3:$AN$306&gt;AN270))+(SUMPRODUCT(--(calc!$AM$3:$AM$306=TRUE),--(calc!$AN$3:$AN$306=AN270))-1)/2,"")</f>
        <v/>
      </c>
      <c r="AS270" s="5">
        <f>IF(AM270,1+SUMPRODUCT(--(calc!$AM$3:$AM$306=TRUE),--(calc!$AO$3:$AO$306&gt;AO270))+(SUMPRODUCT(--(calc!$AM$3:$AM$306=TRUE),--(calc!$AO$3:$AO$306=AO270))-1)/2,"")</f>
        <v/>
      </c>
      <c r="AT270" s="5">
        <f>IF(AM270,SUMPRODUCT(--(calc!$AM$3:$AM$306=TRUE),--(ROW(calc!$AM$3:$AM$306)&gt;ROW(AM270)),--(((calc!$AR$3:$AR$306&gt;AR270)*(calc!$AS$3:$AS$306&gt;AS270)+(calc!$AR$3:$AR$306&lt;AR270)*(calc!$AS$3:$AS$306&lt;AS270))&gt;0))-SUMPRODUCT(--(calc!$AM$3:$AM$306=TRUE),--(ROW(calc!$AM$3:$AM$306)&gt;ROW(AM270)),--(((calc!$AR$3:$AR$306&gt;AR270)*(calc!$AS$3:$AS$306&lt;AS270)+(calc!$AR$3:$AR$306&lt;AR270)*(calc!$AS$3:$AS$306&gt;AS270))&gt;0)),0)</f>
        <v/>
      </c>
      <c r="AU270" s="5">
        <f>IF(mos_metrics!K269="","",mos_metrics!K269)</f>
        <v/>
      </c>
      <c r="AV270" s="2">
        <f>AND($J270,ISNUMBER(AU270),correlation!$I$30=1)</f>
        <v/>
      </c>
      <c r="AW270" s="5">
        <f>IF(AV270,$F270,"")</f>
        <v/>
      </c>
      <c r="AX270" s="5">
        <f>IF(AV270,AU270*correlation!$J$30,"")</f>
        <v/>
      </c>
      <c r="AY270" s="5">
        <f>IF(AND(AV270,ISNUMBER(correlation!$F$30)),AX270*correlation!$F$30+correlation!$G$30,"")</f>
        <v/>
      </c>
      <c r="AZ270" s="5">
        <f>IF(AND(AV270,ISNUMBER(AY270)),(AW270-AY270)^2,"")</f>
        <v/>
      </c>
      <c r="BA270" s="5">
        <f>IF(AV270,1+SUMPRODUCT(--(calc!$AV$3:$AV$306=TRUE),--(calc!$AW$3:$AW$306&gt;AW270))+(SUMPRODUCT(--(calc!$AV$3:$AV$306=TRUE),--(calc!$AW$3:$AW$306=AW270))-1)/2,"")</f>
        <v/>
      </c>
      <c r="BB270" s="5">
        <f>IF(AV270,1+SUMPRODUCT(--(calc!$AV$3:$AV$306=TRUE),--(calc!$AX$3:$AX$306&gt;AX270))+(SUMPRODUCT(--(calc!$AV$3:$AV$306=TRUE),--(calc!$AX$3:$AX$306=AX270))-1)/2,"")</f>
        <v/>
      </c>
      <c r="BC270" s="5">
        <f>IF(AV270,SUMPRODUCT(--(calc!$AV$3:$AV$306=TRUE),--(ROW(calc!$AV$3:$AV$306)&gt;ROW(AV270)),--(((calc!$BA$3:$BA$306&gt;BA270)*(calc!$BB$3:$BB$306&gt;BB270)+(calc!$BA$3:$BA$306&lt;BA270)*(calc!$BB$3:$BB$306&lt;BB270))&gt;0))-SUMPRODUCT(--(calc!$AV$3:$AV$306=TRUE),--(ROW(calc!$AV$3:$AV$306)&gt;ROW(AV270)),--(((calc!$BA$3:$BA$306&gt;BA270)*(calc!$BB$3:$BB$306&lt;BB270)+(calc!$BA$3:$BA$306&lt;BA270)*(calc!$BB$3:$BB$306&gt;BB270))&gt;0)),0)</f>
        <v/>
      </c>
      <c r="BD270" s="5">
        <f>IF(mos_metrics!L269="","",mos_metrics!L269)</f>
        <v/>
      </c>
      <c r="BE270" s="2">
        <f>AND($J270,ISNUMBER(BD270),correlation!$I$31=1)</f>
        <v/>
      </c>
      <c r="BF270" s="5">
        <f>IF(BE270,$F270,"")</f>
        <v/>
      </c>
      <c r="BG270" s="5">
        <f>IF(BE270,BD270*correlation!$J$31,"")</f>
        <v/>
      </c>
      <c r="BH270" s="5">
        <f>IF(AND(BE270,ISNUMBER(correlation!$F$31)),BG270*correlation!$F$31+correlation!$G$31,"")</f>
        <v/>
      </c>
      <c r="BI270" s="5">
        <f>IF(AND(BE270,ISNUMBER(BH270)),(BF270-BH270)^2,"")</f>
        <v/>
      </c>
      <c r="BJ270" s="5">
        <f>IF(BE270,1+SUMPRODUCT(--(calc!$BE$3:$BE$306=TRUE),--(calc!$BF$3:$BF$306&gt;BF270))+(SUMPRODUCT(--(calc!$BE$3:$BE$306=TRUE),--(calc!$BF$3:$BF$306=BF270))-1)/2,"")</f>
        <v/>
      </c>
      <c r="BK270" s="5">
        <f>IF(BE270,1+SUMPRODUCT(--(calc!$BE$3:$BE$306=TRUE),--(calc!$BG$3:$BG$306&gt;BG270))+(SUMPRODUCT(--(calc!$BE$3:$BE$306=TRUE),--(calc!$BG$3:$BG$306=BG270))-1)/2,"")</f>
        <v/>
      </c>
      <c r="BL270" s="5">
        <f>IF(BE270,SUMPRODUCT(--(calc!$BE$3:$BE$306=TRUE),--(ROW(calc!$BE$3:$BE$306)&gt;ROW(BE270)),--(((calc!$BJ$3:$BJ$306&gt;BJ270)*(calc!$BK$3:$BK$306&gt;BK270)+(calc!$BJ$3:$BJ$306&lt;BJ270)*(calc!$BK$3:$BK$306&lt;BK270))&gt;0))-SUMPRODUCT(--(calc!$BE$3:$BE$306=TRUE),--(ROW(calc!$BE$3:$BE$306)&gt;ROW(BE270)),--(((calc!$BJ$3:$BJ$306&gt;BJ270)*(calc!$BK$3:$BK$306&lt;BK270)+(calc!$BJ$3:$BJ$306&lt;BJ270)*(calc!$BK$3:$BK$306&gt;BK270))&gt;0)),0)</f>
        <v/>
      </c>
      <c r="BM270" s="5">
        <f>IF(mos_metrics!M269="","",mos_metrics!M269)</f>
        <v/>
      </c>
      <c r="BN270" s="2">
        <f>AND($J270,ISNUMBER(BM270),correlation!$I$32=1)</f>
        <v/>
      </c>
      <c r="BO270" s="5">
        <f>IF(BN270,$F270,"")</f>
        <v/>
      </c>
      <c r="BP270" s="5">
        <f>IF(BN270,BM270*correlation!$J$32,"")</f>
        <v/>
      </c>
      <c r="BQ270" s="5">
        <f>IF(AND(BN270,ISNUMBER(correlation!$F$32)),BP270*correlation!$F$32+correlation!$G$32,"")</f>
        <v/>
      </c>
      <c r="BR270" s="5">
        <f>IF(AND(BN270,ISNUMBER(BQ270)),(BO270-BQ270)^2,"")</f>
        <v/>
      </c>
      <c r="BS270" s="5">
        <f>IF(BN270,1+SUMPRODUCT(--(calc!$BN$3:$BN$306=TRUE),--(calc!$BO$3:$BO$306&gt;BO270))+(SUMPRODUCT(--(calc!$BN$3:$BN$306=TRUE),--(calc!$BO$3:$BO$306=BO270))-1)/2,"")</f>
        <v/>
      </c>
      <c r="BT270" s="5">
        <f>IF(BN270,1+SUMPRODUCT(--(calc!$BN$3:$BN$306=TRUE),--(calc!$BP$3:$BP$306&gt;BP270))+(SUMPRODUCT(--(calc!$BN$3:$BN$306=TRUE),--(calc!$BP$3:$BP$306=BP270))-1)/2,"")</f>
        <v/>
      </c>
      <c r="BU270" s="5">
        <f>IF(BN270,SUMPRODUCT(--(calc!$BN$3:$BN$306=TRUE),--(ROW(calc!$BN$3:$BN$306)&gt;ROW(BN270)),--(((calc!$BS$3:$BS$306&gt;BS270)*(calc!$BT$3:$BT$306&gt;BT270)+(calc!$BS$3:$BS$306&lt;BS270)*(calc!$BT$3:$BT$306&lt;BT270))&gt;0))-SUMPRODUCT(--(calc!$BN$3:$BN$306=TRUE),--(ROW(calc!$BN$3:$BN$306)&gt;ROW(BN270)),--(((calc!$BS$3:$BS$306&gt;BS270)*(calc!$BT$3:$BT$306&lt;BT270)+(calc!$BS$3:$BS$306&lt;BS270)*(calc!$BT$3:$BT$306&gt;BT270))&gt;0)),0)</f>
        <v/>
      </c>
    </row>
    <row r="271">
      <c r="A271" s="2">
        <f>mos_metrics!A270</f>
        <v/>
      </c>
      <c r="B271" s="2">
        <f>mos_metrics!B270</f>
        <v/>
      </c>
      <c r="C271" s="2">
        <f>mos_metrics!C270</f>
        <v/>
      </c>
      <c r="D271" s="2">
        <f>mos_metrics!D270</f>
        <v/>
      </c>
      <c r="E271" s="2">
        <f>mos_metrics!E270</f>
        <v/>
      </c>
      <c r="F271" s="2">
        <f>mos_metrics!F270</f>
        <v/>
      </c>
      <c r="G271" s="2">
        <f>IF($B271="","",IFERROR(VLOOKUP($B271,correlation!$A$2:$B$16,2,FALSE),1))</f>
        <v/>
      </c>
      <c r="H271" s="2">
        <f>IF($E271="","",IFERROR(VLOOKUP($E271,correlation!$D$2:$E$8,2,FALSE),1))</f>
        <v/>
      </c>
      <c r="I271" s="2">
        <f>ISNUMBER($F271)</f>
        <v/>
      </c>
      <c r="J271" s="2">
        <f>AND($G271=1,$H271=1,$I271)</f>
        <v/>
      </c>
      <c r="K271" s="5">
        <f>IF(mos_metrics!G270="","",mos_metrics!G270)</f>
        <v/>
      </c>
      <c r="L271" s="2">
        <f>AND($J271,ISNUMBER(K271),correlation!$I$26=1)</f>
        <v/>
      </c>
      <c r="M271" s="5">
        <f>IF(L271,$F271,"")</f>
        <v/>
      </c>
      <c r="N271" s="5">
        <f>IF(L271,K271*correlation!$J$26,"")</f>
        <v/>
      </c>
      <c r="O271" s="5">
        <f>IF(AND(L271,ISNUMBER(correlation!$F$26)),N271*correlation!$F$26+correlation!$G$26,"")</f>
        <v/>
      </c>
      <c r="P271" s="5">
        <f>IF(AND(L271,ISNUMBER(O271)),(M271-O271)^2,"")</f>
        <v/>
      </c>
      <c r="Q271" s="5">
        <f>IF(L271,1+SUMPRODUCT(--(calc!$L$3:$L$306=TRUE),--(calc!$M$3:$M$306&gt;M271))+(SUMPRODUCT(--(calc!$L$3:$L$306=TRUE),--(calc!$M$3:$M$306=M271))-1)/2,"")</f>
        <v/>
      </c>
      <c r="R271" s="5">
        <f>IF(L271,1+SUMPRODUCT(--(calc!$L$3:$L$306=TRUE),--(calc!$N$3:$N$306&gt;N271))+(SUMPRODUCT(--(calc!$L$3:$L$306=TRUE),--(calc!$N$3:$N$306=N271))-1)/2,"")</f>
        <v/>
      </c>
      <c r="S271" s="5">
        <f>IF(L271,SUMPRODUCT(--(calc!$L$3:$L$306=TRUE),--(ROW(calc!$L$3:$L$306)&gt;ROW(L271)),--(((calc!$Q$3:$Q$306&gt;Q271)*(calc!$R$3:$R$306&gt;R271)+(calc!$Q$3:$Q$306&lt;Q271)*(calc!$R$3:$R$306&lt;R271))&gt;0))-SUMPRODUCT(--(calc!$L$3:$L$306=TRUE),--(ROW(calc!$L$3:$L$306)&gt;ROW(L271)),--(((calc!$Q$3:$Q$306&gt;Q271)*(calc!$R$3:$R$306&lt;R271)+(calc!$Q$3:$Q$306&lt;Q271)*(calc!$R$3:$R$306&gt;R271))&gt;0)),0)</f>
        <v/>
      </c>
      <c r="T271" s="5">
        <f>IF(mos_metrics!H270="","",mos_metrics!H270)</f>
        <v/>
      </c>
      <c r="U271" s="2">
        <f>AND($J271,ISNUMBER(T271),correlation!$I$27=1)</f>
        <v/>
      </c>
      <c r="V271" s="5">
        <f>IF(U271,$F271,"")</f>
        <v/>
      </c>
      <c r="W271" s="5">
        <f>IF(U271,T271*correlation!$J$27,"")</f>
        <v/>
      </c>
      <c r="X271" s="5">
        <f>IF(AND(U271,ISNUMBER(correlation!$F$27)),W271*correlation!$F$27+correlation!$G$27,"")</f>
        <v/>
      </c>
      <c r="Y271" s="5">
        <f>IF(AND(U271,ISNUMBER(X271)),(V271-X271)^2,"")</f>
        <v/>
      </c>
      <c r="Z271" s="5">
        <f>IF(U271,1+SUMPRODUCT(--(calc!$U$3:$U$306=TRUE),--(calc!$V$3:$V$306&gt;V271))+(SUMPRODUCT(--(calc!$U$3:$U$306=TRUE),--(calc!$V$3:$V$306=V271))-1)/2,"")</f>
        <v/>
      </c>
      <c r="AA271" s="5">
        <f>IF(U271,1+SUMPRODUCT(--(calc!$U$3:$U$306=TRUE),--(calc!$W$3:$W$306&gt;W271))+(SUMPRODUCT(--(calc!$U$3:$U$306=TRUE),--(calc!$W$3:$W$306=W271))-1)/2,"")</f>
        <v/>
      </c>
      <c r="AB271" s="5">
        <f>IF(U271,SUMPRODUCT(--(calc!$U$3:$U$306=TRUE),--(ROW(calc!$U$3:$U$306)&gt;ROW(U271)),--(((calc!$Z$3:$Z$306&gt;Z271)*(calc!$AA$3:$AA$306&gt;AA271)+(calc!$Z$3:$Z$306&lt;Z271)*(calc!$AA$3:$AA$306&lt;AA271))&gt;0))-SUMPRODUCT(--(calc!$U$3:$U$306=TRUE),--(ROW(calc!$U$3:$U$306)&gt;ROW(U271)),--(((calc!$Z$3:$Z$306&gt;Z271)*(calc!$AA$3:$AA$306&lt;AA271)+(calc!$Z$3:$Z$306&lt;Z271)*(calc!$AA$3:$AA$306&gt;AA271))&gt;0)),0)</f>
        <v/>
      </c>
      <c r="AC271" s="5">
        <f>IF(mos_metrics!I270="","",mos_metrics!I270)</f>
        <v/>
      </c>
      <c r="AD271" s="2">
        <f>AND($J271,ISNUMBER(AC271),correlation!$I$28=1)</f>
        <v/>
      </c>
      <c r="AE271" s="5">
        <f>IF(AD271,$F271,"")</f>
        <v/>
      </c>
      <c r="AF271" s="5">
        <f>IF(AD271,AC271*correlation!$J$28,"")</f>
        <v/>
      </c>
      <c r="AG271" s="5">
        <f>IF(AND(AD271,ISNUMBER(correlation!$F$28)),AF271*correlation!$F$28+correlation!$G$28,"")</f>
        <v/>
      </c>
      <c r="AH271" s="5">
        <f>IF(AND(AD271,ISNUMBER(AG271)),(AE271-AG271)^2,"")</f>
        <v/>
      </c>
      <c r="AI271" s="5">
        <f>IF(AD271,1+SUMPRODUCT(--(calc!$AD$3:$AD$306=TRUE),--(calc!$AE$3:$AE$306&gt;AE271))+(SUMPRODUCT(--(calc!$AD$3:$AD$306=TRUE),--(calc!$AE$3:$AE$306=AE271))-1)/2,"")</f>
        <v/>
      </c>
      <c r="AJ271" s="5">
        <f>IF(AD271,1+SUMPRODUCT(--(calc!$AD$3:$AD$306=TRUE),--(calc!$AF$3:$AF$306&gt;AF271))+(SUMPRODUCT(--(calc!$AD$3:$AD$306=TRUE),--(calc!$AF$3:$AF$306=AF271))-1)/2,"")</f>
        <v/>
      </c>
      <c r="AK271" s="5">
        <f>IF(AD271,SUMPRODUCT(--(calc!$AD$3:$AD$306=TRUE),--(ROW(calc!$AD$3:$AD$306)&gt;ROW(AD271)),--(((calc!$AI$3:$AI$306&gt;AI271)*(calc!$AJ$3:$AJ$306&gt;AJ271)+(calc!$AI$3:$AI$306&lt;AI271)*(calc!$AJ$3:$AJ$306&lt;AJ271))&gt;0))-SUMPRODUCT(--(calc!$AD$3:$AD$306=TRUE),--(ROW(calc!$AD$3:$AD$306)&gt;ROW(AD271)),--(((calc!$AI$3:$AI$306&gt;AI271)*(calc!$AJ$3:$AJ$306&lt;AJ271)+(calc!$AI$3:$AI$306&lt;AI271)*(calc!$AJ$3:$AJ$306&gt;AJ271))&gt;0)),0)</f>
        <v/>
      </c>
      <c r="AL271" s="5">
        <f>IF(mos_metrics!J270="","",mos_metrics!J270)</f>
        <v/>
      </c>
      <c r="AM271" s="2">
        <f>AND($J271,ISNUMBER(AL271),correlation!$I$29=1)</f>
        <v/>
      </c>
      <c r="AN271" s="5">
        <f>IF(AM271,$F271,"")</f>
        <v/>
      </c>
      <c r="AO271" s="5">
        <f>IF(AM271,AL271*correlation!$J$29,"")</f>
        <v/>
      </c>
      <c r="AP271" s="5">
        <f>IF(AND(AM271,ISNUMBER(correlation!$F$29)),AO271*correlation!$F$29+correlation!$G$29,"")</f>
        <v/>
      </c>
      <c r="AQ271" s="5">
        <f>IF(AND(AM271,ISNUMBER(AP271)),(AN271-AP271)^2,"")</f>
        <v/>
      </c>
      <c r="AR271" s="5">
        <f>IF(AM271,1+SUMPRODUCT(--(calc!$AM$3:$AM$306=TRUE),--(calc!$AN$3:$AN$306&gt;AN271))+(SUMPRODUCT(--(calc!$AM$3:$AM$306=TRUE),--(calc!$AN$3:$AN$306=AN271))-1)/2,"")</f>
        <v/>
      </c>
      <c r="AS271" s="5">
        <f>IF(AM271,1+SUMPRODUCT(--(calc!$AM$3:$AM$306=TRUE),--(calc!$AO$3:$AO$306&gt;AO271))+(SUMPRODUCT(--(calc!$AM$3:$AM$306=TRUE),--(calc!$AO$3:$AO$306=AO271))-1)/2,"")</f>
        <v/>
      </c>
      <c r="AT271" s="5">
        <f>IF(AM271,SUMPRODUCT(--(calc!$AM$3:$AM$306=TRUE),--(ROW(calc!$AM$3:$AM$306)&gt;ROW(AM271)),--(((calc!$AR$3:$AR$306&gt;AR271)*(calc!$AS$3:$AS$306&gt;AS271)+(calc!$AR$3:$AR$306&lt;AR271)*(calc!$AS$3:$AS$306&lt;AS271))&gt;0))-SUMPRODUCT(--(calc!$AM$3:$AM$306=TRUE),--(ROW(calc!$AM$3:$AM$306)&gt;ROW(AM271)),--(((calc!$AR$3:$AR$306&gt;AR271)*(calc!$AS$3:$AS$306&lt;AS271)+(calc!$AR$3:$AR$306&lt;AR271)*(calc!$AS$3:$AS$306&gt;AS271))&gt;0)),0)</f>
        <v/>
      </c>
      <c r="AU271" s="5">
        <f>IF(mos_metrics!K270="","",mos_metrics!K270)</f>
        <v/>
      </c>
      <c r="AV271" s="2">
        <f>AND($J271,ISNUMBER(AU271),correlation!$I$30=1)</f>
        <v/>
      </c>
      <c r="AW271" s="5">
        <f>IF(AV271,$F271,"")</f>
        <v/>
      </c>
      <c r="AX271" s="5">
        <f>IF(AV271,AU271*correlation!$J$30,"")</f>
        <v/>
      </c>
      <c r="AY271" s="5">
        <f>IF(AND(AV271,ISNUMBER(correlation!$F$30)),AX271*correlation!$F$30+correlation!$G$30,"")</f>
        <v/>
      </c>
      <c r="AZ271" s="5">
        <f>IF(AND(AV271,ISNUMBER(AY271)),(AW271-AY271)^2,"")</f>
        <v/>
      </c>
      <c r="BA271" s="5">
        <f>IF(AV271,1+SUMPRODUCT(--(calc!$AV$3:$AV$306=TRUE),--(calc!$AW$3:$AW$306&gt;AW271))+(SUMPRODUCT(--(calc!$AV$3:$AV$306=TRUE),--(calc!$AW$3:$AW$306=AW271))-1)/2,"")</f>
        <v/>
      </c>
      <c r="BB271" s="5">
        <f>IF(AV271,1+SUMPRODUCT(--(calc!$AV$3:$AV$306=TRUE),--(calc!$AX$3:$AX$306&gt;AX271))+(SUMPRODUCT(--(calc!$AV$3:$AV$306=TRUE),--(calc!$AX$3:$AX$306=AX271))-1)/2,"")</f>
        <v/>
      </c>
      <c r="BC271" s="5">
        <f>IF(AV271,SUMPRODUCT(--(calc!$AV$3:$AV$306=TRUE),--(ROW(calc!$AV$3:$AV$306)&gt;ROW(AV271)),--(((calc!$BA$3:$BA$306&gt;BA271)*(calc!$BB$3:$BB$306&gt;BB271)+(calc!$BA$3:$BA$306&lt;BA271)*(calc!$BB$3:$BB$306&lt;BB271))&gt;0))-SUMPRODUCT(--(calc!$AV$3:$AV$306=TRUE),--(ROW(calc!$AV$3:$AV$306)&gt;ROW(AV271)),--(((calc!$BA$3:$BA$306&gt;BA271)*(calc!$BB$3:$BB$306&lt;BB271)+(calc!$BA$3:$BA$306&lt;BA271)*(calc!$BB$3:$BB$306&gt;BB271))&gt;0)),0)</f>
        <v/>
      </c>
      <c r="BD271" s="5">
        <f>IF(mos_metrics!L270="","",mos_metrics!L270)</f>
        <v/>
      </c>
      <c r="BE271" s="2">
        <f>AND($J271,ISNUMBER(BD271),correlation!$I$31=1)</f>
        <v/>
      </c>
      <c r="BF271" s="5">
        <f>IF(BE271,$F271,"")</f>
        <v/>
      </c>
      <c r="BG271" s="5">
        <f>IF(BE271,BD271*correlation!$J$31,"")</f>
        <v/>
      </c>
      <c r="BH271" s="5">
        <f>IF(AND(BE271,ISNUMBER(correlation!$F$31)),BG271*correlation!$F$31+correlation!$G$31,"")</f>
        <v/>
      </c>
      <c r="BI271" s="5">
        <f>IF(AND(BE271,ISNUMBER(BH271)),(BF271-BH271)^2,"")</f>
        <v/>
      </c>
      <c r="BJ271" s="5">
        <f>IF(BE271,1+SUMPRODUCT(--(calc!$BE$3:$BE$306=TRUE),--(calc!$BF$3:$BF$306&gt;BF271))+(SUMPRODUCT(--(calc!$BE$3:$BE$306=TRUE),--(calc!$BF$3:$BF$306=BF271))-1)/2,"")</f>
        <v/>
      </c>
      <c r="BK271" s="5">
        <f>IF(BE271,1+SUMPRODUCT(--(calc!$BE$3:$BE$306=TRUE),--(calc!$BG$3:$BG$306&gt;BG271))+(SUMPRODUCT(--(calc!$BE$3:$BE$306=TRUE),--(calc!$BG$3:$BG$306=BG271))-1)/2,"")</f>
        <v/>
      </c>
      <c r="BL271" s="5">
        <f>IF(BE271,SUMPRODUCT(--(calc!$BE$3:$BE$306=TRUE),--(ROW(calc!$BE$3:$BE$306)&gt;ROW(BE271)),--(((calc!$BJ$3:$BJ$306&gt;BJ271)*(calc!$BK$3:$BK$306&gt;BK271)+(calc!$BJ$3:$BJ$306&lt;BJ271)*(calc!$BK$3:$BK$306&lt;BK271))&gt;0))-SUMPRODUCT(--(calc!$BE$3:$BE$306=TRUE),--(ROW(calc!$BE$3:$BE$306)&gt;ROW(BE271)),--(((calc!$BJ$3:$BJ$306&gt;BJ271)*(calc!$BK$3:$BK$306&lt;BK271)+(calc!$BJ$3:$BJ$306&lt;BJ271)*(calc!$BK$3:$BK$306&gt;BK271))&gt;0)),0)</f>
        <v/>
      </c>
      <c r="BM271" s="5">
        <f>IF(mos_metrics!M270="","",mos_metrics!M270)</f>
        <v/>
      </c>
      <c r="BN271" s="2">
        <f>AND($J271,ISNUMBER(BM271),correlation!$I$32=1)</f>
        <v/>
      </c>
      <c r="BO271" s="5">
        <f>IF(BN271,$F271,"")</f>
        <v/>
      </c>
      <c r="BP271" s="5">
        <f>IF(BN271,BM271*correlation!$J$32,"")</f>
        <v/>
      </c>
      <c r="BQ271" s="5">
        <f>IF(AND(BN271,ISNUMBER(correlation!$F$32)),BP271*correlation!$F$32+correlation!$G$32,"")</f>
        <v/>
      </c>
      <c r="BR271" s="5">
        <f>IF(AND(BN271,ISNUMBER(BQ271)),(BO271-BQ271)^2,"")</f>
        <v/>
      </c>
      <c r="BS271" s="5">
        <f>IF(BN271,1+SUMPRODUCT(--(calc!$BN$3:$BN$306=TRUE),--(calc!$BO$3:$BO$306&gt;BO271))+(SUMPRODUCT(--(calc!$BN$3:$BN$306=TRUE),--(calc!$BO$3:$BO$306=BO271))-1)/2,"")</f>
        <v/>
      </c>
      <c r="BT271" s="5">
        <f>IF(BN271,1+SUMPRODUCT(--(calc!$BN$3:$BN$306=TRUE),--(calc!$BP$3:$BP$306&gt;BP271))+(SUMPRODUCT(--(calc!$BN$3:$BN$306=TRUE),--(calc!$BP$3:$BP$306=BP271))-1)/2,"")</f>
        <v/>
      </c>
      <c r="BU271" s="5">
        <f>IF(BN271,SUMPRODUCT(--(calc!$BN$3:$BN$306=TRUE),--(ROW(calc!$BN$3:$BN$306)&gt;ROW(BN271)),--(((calc!$BS$3:$BS$306&gt;BS271)*(calc!$BT$3:$BT$306&gt;BT271)+(calc!$BS$3:$BS$306&lt;BS271)*(calc!$BT$3:$BT$306&lt;BT271))&gt;0))-SUMPRODUCT(--(calc!$BN$3:$BN$306=TRUE),--(ROW(calc!$BN$3:$BN$306)&gt;ROW(BN271)),--(((calc!$BS$3:$BS$306&gt;BS271)*(calc!$BT$3:$BT$306&lt;BT271)+(calc!$BS$3:$BS$306&lt;BS271)*(calc!$BT$3:$BT$306&gt;BT271))&gt;0)),0)</f>
        <v/>
      </c>
    </row>
    <row r="272">
      <c r="A272" s="2">
        <f>mos_metrics!A271</f>
        <v/>
      </c>
      <c r="B272" s="2">
        <f>mos_metrics!B271</f>
        <v/>
      </c>
      <c r="C272" s="2">
        <f>mos_metrics!C271</f>
        <v/>
      </c>
      <c r="D272" s="2">
        <f>mos_metrics!D271</f>
        <v/>
      </c>
      <c r="E272" s="2">
        <f>mos_metrics!E271</f>
        <v/>
      </c>
      <c r="F272" s="2">
        <f>mos_metrics!F271</f>
        <v/>
      </c>
      <c r="G272" s="2">
        <f>IF($B272="","",IFERROR(VLOOKUP($B272,correlation!$A$2:$B$16,2,FALSE),1))</f>
        <v/>
      </c>
      <c r="H272" s="2">
        <f>IF($E272="","",IFERROR(VLOOKUP($E272,correlation!$D$2:$E$8,2,FALSE),1))</f>
        <v/>
      </c>
      <c r="I272" s="2">
        <f>ISNUMBER($F272)</f>
        <v/>
      </c>
      <c r="J272" s="2">
        <f>AND($G272=1,$H272=1,$I272)</f>
        <v/>
      </c>
      <c r="K272" s="5">
        <f>IF(mos_metrics!G271="","",mos_metrics!G271)</f>
        <v/>
      </c>
      <c r="L272" s="2">
        <f>AND($J272,ISNUMBER(K272),correlation!$I$26=1)</f>
        <v/>
      </c>
      <c r="M272" s="5">
        <f>IF(L272,$F272,"")</f>
        <v/>
      </c>
      <c r="N272" s="5">
        <f>IF(L272,K272*correlation!$J$26,"")</f>
        <v/>
      </c>
      <c r="O272" s="5">
        <f>IF(AND(L272,ISNUMBER(correlation!$F$26)),N272*correlation!$F$26+correlation!$G$26,"")</f>
        <v/>
      </c>
      <c r="P272" s="5">
        <f>IF(AND(L272,ISNUMBER(O272)),(M272-O272)^2,"")</f>
        <v/>
      </c>
      <c r="Q272" s="5">
        <f>IF(L272,1+SUMPRODUCT(--(calc!$L$3:$L$306=TRUE),--(calc!$M$3:$M$306&gt;M272))+(SUMPRODUCT(--(calc!$L$3:$L$306=TRUE),--(calc!$M$3:$M$306=M272))-1)/2,"")</f>
        <v/>
      </c>
      <c r="R272" s="5">
        <f>IF(L272,1+SUMPRODUCT(--(calc!$L$3:$L$306=TRUE),--(calc!$N$3:$N$306&gt;N272))+(SUMPRODUCT(--(calc!$L$3:$L$306=TRUE),--(calc!$N$3:$N$306=N272))-1)/2,"")</f>
        <v/>
      </c>
      <c r="S272" s="5">
        <f>IF(L272,SUMPRODUCT(--(calc!$L$3:$L$306=TRUE),--(ROW(calc!$L$3:$L$306)&gt;ROW(L272)),--(((calc!$Q$3:$Q$306&gt;Q272)*(calc!$R$3:$R$306&gt;R272)+(calc!$Q$3:$Q$306&lt;Q272)*(calc!$R$3:$R$306&lt;R272))&gt;0))-SUMPRODUCT(--(calc!$L$3:$L$306=TRUE),--(ROW(calc!$L$3:$L$306)&gt;ROW(L272)),--(((calc!$Q$3:$Q$306&gt;Q272)*(calc!$R$3:$R$306&lt;R272)+(calc!$Q$3:$Q$306&lt;Q272)*(calc!$R$3:$R$306&gt;R272))&gt;0)),0)</f>
        <v/>
      </c>
      <c r="T272" s="5">
        <f>IF(mos_metrics!H271="","",mos_metrics!H271)</f>
        <v/>
      </c>
      <c r="U272" s="2">
        <f>AND($J272,ISNUMBER(T272),correlation!$I$27=1)</f>
        <v/>
      </c>
      <c r="V272" s="5">
        <f>IF(U272,$F272,"")</f>
        <v/>
      </c>
      <c r="W272" s="5">
        <f>IF(U272,T272*correlation!$J$27,"")</f>
        <v/>
      </c>
      <c r="X272" s="5">
        <f>IF(AND(U272,ISNUMBER(correlation!$F$27)),W272*correlation!$F$27+correlation!$G$27,"")</f>
        <v/>
      </c>
      <c r="Y272" s="5">
        <f>IF(AND(U272,ISNUMBER(X272)),(V272-X272)^2,"")</f>
        <v/>
      </c>
      <c r="Z272" s="5">
        <f>IF(U272,1+SUMPRODUCT(--(calc!$U$3:$U$306=TRUE),--(calc!$V$3:$V$306&gt;V272))+(SUMPRODUCT(--(calc!$U$3:$U$306=TRUE),--(calc!$V$3:$V$306=V272))-1)/2,"")</f>
        <v/>
      </c>
      <c r="AA272" s="5">
        <f>IF(U272,1+SUMPRODUCT(--(calc!$U$3:$U$306=TRUE),--(calc!$W$3:$W$306&gt;W272))+(SUMPRODUCT(--(calc!$U$3:$U$306=TRUE),--(calc!$W$3:$W$306=W272))-1)/2,"")</f>
        <v/>
      </c>
      <c r="AB272" s="5">
        <f>IF(U272,SUMPRODUCT(--(calc!$U$3:$U$306=TRUE),--(ROW(calc!$U$3:$U$306)&gt;ROW(U272)),--(((calc!$Z$3:$Z$306&gt;Z272)*(calc!$AA$3:$AA$306&gt;AA272)+(calc!$Z$3:$Z$306&lt;Z272)*(calc!$AA$3:$AA$306&lt;AA272))&gt;0))-SUMPRODUCT(--(calc!$U$3:$U$306=TRUE),--(ROW(calc!$U$3:$U$306)&gt;ROW(U272)),--(((calc!$Z$3:$Z$306&gt;Z272)*(calc!$AA$3:$AA$306&lt;AA272)+(calc!$Z$3:$Z$306&lt;Z272)*(calc!$AA$3:$AA$306&gt;AA272))&gt;0)),0)</f>
        <v/>
      </c>
      <c r="AC272" s="5">
        <f>IF(mos_metrics!I271="","",mos_metrics!I271)</f>
        <v/>
      </c>
      <c r="AD272" s="2">
        <f>AND($J272,ISNUMBER(AC272),correlation!$I$28=1)</f>
        <v/>
      </c>
      <c r="AE272" s="5">
        <f>IF(AD272,$F272,"")</f>
        <v/>
      </c>
      <c r="AF272" s="5">
        <f>IF(AD272,AC272*correlation!$J$28,"")</f>
        <v/>
      </c>
      <c r="AG272" s="5">
        <f>IF(AND(AD272,ISNUMBER(correlation!$F$28)),AF272*correlation!$F$28+correlation!$G$28,"")</f>
        <v/>
      </c>
      <c r="AH272" s="5">
        <f>IF(AND(AD272,ISNUMBER(AG272)),(AE272-AG272)^2,"")</f>
        <v/>
      </c>
      <c r="AI272" s="5">
        <f>IF(AD272,1+SUMPRODUCT(--(calc!$AD$3:$AD$306=TRUE),--(calc!$AE$3:$AE$306&gt;AE272))+(SUMPRODUCT(--(calc!$AD$3:$AD$306=TRUE),--(calc!$AE$3:$AE$306=AE272))-1)/2,"")</f>
        <v/>
      </c>
      <c r="AJ272" s="5">
        <f>IF(AD272,1+SUMPRODUCT(--(calc!$AD$3:$AD$306=TRUE),--(calc!$AF$3:$AF$306&gt;AF272))+(SUMPRODUCT(--(calc!$AD$3:$AD$306=TRUE),--(calc!$AF$3:$AF$306=AF272))-1)/2,"")</f>
        <v/>
      </c>
      <c r="AK272" s="5">
        <f>IF(AD272,SUMPRODUCT(--(calc!$AD$3:$AD$306=TRUE),--(ROW(calc!$AD$3:$AD$306)&gt;ROW(AD272)),--(((calc!$AI$3:$AI$306&gt;AI272)*(calc!$AJ$3:$AJ$306&gt;AJ272)+(calc!$AI$3:$AI$306&lt;AI272)*(calc!$AJ$3:$AJ$306&lt;AJ272))&gt;0))-SUMPRODUCT(--(calc!$AD$3:$AD$306=TRUE),--(ROW(calc!$AD$3:$AD$306)&gt;ROW(AD272)),--(((calc!$AI$3:$AI$306&gt;AI272)*(calc!$AJ$3:$AJ$306&lt;AJ272)+(calc!$AI$3:$AI$306&lt;AI272)*(calc!$AJ$3:$AJ$306&gt;AJ272))&gt;0)),0)</f>
        <v/>
      </c>
      <c r="AL272" s="5">
        <f>IF(mos_metrics!J271="","",mos_metrics!J271)</f>
        <v/>
      </c>
      <c r="AM272" s="2">
        <f>AND($J272,ISNUMBER(AL272),correlation!$I$29=1)</f>
        <v/>
      </c>
      <c r="AN272" s="5">
        <f>IF(AM272,$F272,"")</f>
        <v/>
      </c>
      <c r="AO272" s="5">
        <f>IF(AM272,AL272*correlation!$J$29,"")</f>
        <v/>
      </c>
      <c r="AP272" s="5">
        <f>IF(AND(AM272,ISNUMBER(correlation!$F$29)),AO272*correlation!$F$29+correlation!$G$29,"")</f>
        <v/>
      </c>
      <c r="AQ272" s="5">
        <f>IF(AND(AM272,ISNUMBER(AP272)),(AN272-AP272)^2,"")</f>
        <v/>
      </c>
      <c r="AR272" s="5">
        <f>IF(AM272,1+SUMPRODUCT(--(calc!$AM$3:$AM$306=TRUE),--(calc!$AN$3:$AN$306&gt;AN272))+(SUMPRODUCT(--(calc!$AM$3:$AM$306=TRUE),--(calc!$AN$3:$AN$306=AN272))-1)/2,"")</f>
        <v/>
      </c>
      <c r="AS272" s="5">
        <f>IF(AM272,1+SUMPRODUCT(--(calc!$AM$3:$AM$306=TRUE),--(calc!$AO$3:$AO$306&gt;AO272))+(SUMPRODUCT(--(calc!$AM$3:$AM$306=TRUE),--(calc!$AO$3:$AO$306=AO272))-1)/2,"")</f>
        <v/>
      </c>
      <c r="AT272" s="5">
        <f>IF(AM272,SUMPRODUCT(--(calc!$AM$3:$AM$306=TRUE),--(ROW(calc!$AM$3:$AM$306)&gt;ROW(AM272)),--(((calc!$AR$3:$AR$306&gt;AR272)*(calc!$AS$3:$AS$306&gt;AS272)+(calc!$AR$3:$AR$306&lt;AR272)*(calc!$AS$3:$AS$306&lt;AS272))&gt;0))-SUMPRODUCT(--(calc!$AM$3:$AM$306=TRUE),--(ROW(calc!$AM$3:$AM$306)&gt;ROW(AM272)),--(((calc!$AR$3:$AR$306&gt;AR272)*(calc!$AS$3:$AS$306&lt;AS272)+(calc!$AR$3:$AR$306&lt;AR272)*(calc!$AS$3:$AS$306&gt;AS272))&gt;0)),0)</f>
        <v/>
      </c>
      <c r="AU272" s="5">
        <f>IF(mos_metrics!K271="","",mos_metrics!K271)</f>
        <v/>
      </c>
      <c r="AV272" s="2">
        <f>AND($J272,ISNUMBER(AU272),correlation!$I$30=1)</f>
        <v/>
      </c>
      <c r="AW272" s="5">
        <f>IF(AV272,$F272,"")</f>
        <v/>
      </c>
      <c r="AX272" s="5">
        <f>IF(AV272,AU272*correlation!$J$30,"")</f>
        <v/>
      </c>
      <c r="AY272" s="5">
        <f>IF(AND(AV272,ISNUMBER(correlation!$F$30)),AX272*correlation!$F$30+correlation!$G$30,"")</f>
        <v/>
      </c>
      <c r="AZ272" s="5">
        <f>IF(AND(AV272,ISNUMBER(AY272)),(AW272-AY272)^2,"")</f>
        <v/>
      </c>
      <c r="BA272" s="5">
        <f>IF(AV272,1+SUMPRODUCT(--(calc!$AV$3:$AV$306=TRUE),--(calc!$AW$3:$AW$306&gt;AW272))+(SUMPRODUCT(--(calc!$AV$3:$AV$306=TRUE),--(calc!$AW$3:$AW$306=AW272))-1)/2,"")</f>
        <v/>
      </c>
      <c r="BB272" s="5">
        <f>IF(AV272,1+SUMPRODUCT(--(calc!$AV$3:$AV$306=TRUE),--(calc!$AX$3:$AX$306&gt;AX272))+(SUMPRODUCT(--(calc!$AV$3:$AV$306=TRUE),--(calc!$AX$3:$AX$306=AX272))-1)/2,"")</f>
        <v/>
      </c>
      <c r="BC272" s="5">
        <f>IF(AV272,SUMPRODUCT(--(calc!$AV$3:$AV$306=TRUE),--(ROW(calc!$AV$3:$AV$306)&gt;ROW(AV272)),--(((calc!$BA$3:$BA$306&gt;BA272)*(calc!$BB$3:$BB$306&gt;BB272)+(calc!$BA$3:$BA$306&lt;BA272)*(calc!$BB$3:$BB$306&lt;BB272))&gt;0))-SUMPRODUCT(--(calc!$AV$3:$AV$306=TRUE),--(ROW(calc!$AV$3:$AV$306)&gt;ROW(AV272)),--(((calc!$BA$3:$BA$306&gt;BA272)*(calc!$BB$3:$BB$306&lt;BB272)+(calc!$BA$3:$BA$306&lt;BA272)*(calc!$BB$3:$BB$306&gt;BB272))&gt;0)),0)</f>
        <v/>
      </c>
      <c r="BD272" s="5">
        <f>IF(mos_metrics!L271="","",mos_metrics!L271)</f>
        <v/>
      </c>
      <c r="BE272" s="2">
        <f>AND($J272,ISNUMBER(BD272),correlation!$I$31=1)</f>
        <v/>
      </c>
      <c r="BF272" s="5">
        <f>IF(BE272,$F272,"")</f>
        <v/>
      </c>
      <c r="BG272" s="5">
        <f>IF(BE272,BD272*correlation!$J$31,"")</f>
        <v/>
      </c>
      <c r="BH272" s="5">
        <f>IF(AND(BE272,ISNUMBER(correlation!$F$31)),BG272*correlation!$F$31+correlation!$G$31,"")</f>
        <v/>
      </c>
      <c r="BI272" s="5">
        <f>IF(AND(BE272,ISNUMBER(BH272)),(BF272-BH272)^2,"")</f>
        <v/>
      </c>
      <c r="BJ272" s="5">
        <f>IF(BE272,1+SUMPRODUCT(--(calc!$BE$3:$BE$306=TRUE),--(calc!$BF$3:$BF$306&gt;BF272))+(SUMPRODUCT(--(calc!$BE$3:$BE$306=TRUE),--(calc!$BF$3:$BF$306=BF272))-1)/2,"")</f>
        <v/>
      </c>
      <c r="BK272" s="5">
        <f>IF(BE272,1+SUMPRODUCT(--(calc!$BE$3:$BE$306=TRUE),--(calc!$BG$3:$BG$306&gt;BG272))+(SUMPRODUCT(--(calc!$BE$3:$BE$306=TRUE),--(calc!$BG$3:$BG$306=BG272))-1)/2,"")</f>
        <v/>
      </c>
      <c r="BL272" s="5">
        <f>IF(BE272,SUMPRODUCT(--(calc!$BE$3:$BE$306=TRUE),--(ROW(calc!$BE$3:$BE$306)&gt;ROW(BE272)),--(((calc!$BJ$3:$BJ$306&gt;BJ272)*(calc!$BK$3:$BK$306&gt;BK272)+(calc!$BJ$3:$BJ$306&lt;BJ272)*(calc!$BK$3:$BK$306&lt;BK272))&gt;0))-SUMPRODUCT(--(calc!$BE$3:$BE$306=TRUE),--(ROW(calc!$BE$3:$BE$306)&gt;ROW(BE272)),--(((calc!$BJ$3:$BJ$306&gt;BJ272)*(calc!$BK$3:$BK$306&lt;BK272)+(calc!$BJ$3:$BJ$306&lt;BJ272)*(calc!$BK$3:$BK$306&gt;BK272))&gt;0)),0)</f>
        <v/>
      </c>
      <c r="BM272" s="5">
        <f>IF(mos_metrics!M271="","",mos_metrics!M271)</f>
        <v/>
      </c>
      <c r="BN272" s="2">
        <f>AND($J272,ISNUMBER(BM272),correlation!$I$32=1)</f>
        <v/>
      </c>
      <c r="BO272" s="5">
        <f>IF(BN272,$F272,"")</f>
        <v/>
      </c>
      <c r="BP272" s="5">
        <f>IF(BN272,BM272*correlation!$J$32,"")</f>
        <v/>
      </c>
      <c r="BQ272" s="5">
        <f>IF(AND(BN272,ISNUMBER(correlation!$F$32)),BP272*correlation!$F$32+correlation!$G$32,"")</f>
        <v/>
      </c>
      <c r="BR272" s="5">
        <f>IF(AND(BN272,ISNUMBER(BQ272)),(BO272-BQ272)^2,"")</f>
        <v/>
      </c>
      <c r="BS272" s="5">
        <f>IF(BN272,1+SUMPRODUCT(--(calc!$BN$3:$BN$306=TRUE),--(calc!$BO$3:$BO$306&gt;BO272))+(SUMPRODUCT(--(calc!$BN$3:$BN$306=TRUE),--(calc!$BO$3:$BO$306=BO272))-1)/2,"")</f>
        <v/>
      </c>
      <c r="BT272" s="5">
        <f>IF(BN272,1+SUMPRODUCT(--(calc!$BN$3:$BN$306=TRUE),--(calc!$BP$3:$BP$306&gt;BP272))+(SUMPRODUCT(--(calc!$BN$3:$BN$306=TRUE),--(calc!$BP$3:$BP$306=BP272))-1)/2,"")</f>
        <v/>
      </c>
      <c r="BU272" s="5">
        <f>IF(BN272,SUMPRODUCT(--(calc!$BN$3:$BN$306=TRUE),--(ROW(calc!$BN$3:$BN$306)&gt;ROW(BN272)),--(((calc!$BS$3:$BS$306&gt;BS272)*(calc!$BT$3:$BT$306&gt;BT272)+(calc!$BS$3:$BS$306&lt;BS272)*(calc!$BT$3:$BT$306&lt;BT272))&gt;0))-SUMPRODUCT(--(calc!$BN$3:$BN$306=TRUE),--(ROW(calc!$BN$3:$BN$306)&gt;ROW(BN272)),--(((calc!$BS$3:$BS$306&gt;BS272)*(calc!$BT$3:$BT$306&lt;BT272)+(calc!$BS$3:$BS$306&lt;BS272)*(calc!$BT$3:$BT$306&gt;BT272))&gt;0)),0)</f>
        <v/>
      </c>
    </row>
    <row r="273">
      <c r="A273" s="2">
        <f>mos_metrics!A272</f>
        <v/>
      </c>
      <c r="B273" s="2">
        <f>mos_metrics!B272</f>
        <v/>
      </c>
      <c r="C273" s="2">
        <f>mos_metrics!C272</f>
        <v/>
      </c>
      <c r="D273" s="2">
        <f>mos_metrics!D272</f>
        <v/>
      </c>
      <c r="E273" s="2">
        <f>mos_metrics!E272</f>
        <v/>
      </c>
      <c r="F273" s="2">
        <f>mos_metrics!F272</f>
        <v/>
      </c>
      <c r="G273" s="2">
        <f>IF($B273="","",IFERROR(VLOOKUP($B273,correlation!$A$2:$B$16,2,FALSE),1))</f>
        <v/>
      </c>
      <c r="H273" s="2">
        <f>IF($E273="","",IFERROR(VLOOKUP($E273,correlation!$D$2:$E$8,2,FALSE),1))</f>
        <v/>
      </c>
      <c r="I273" s="2">
        <f>ISNUMBER($F273)</f>
        <v/>
      </c>
      <c r="J273" s="2">
        <f>AND($G273=1,$H273=1,$I273)</f>
        <v/>
      </c>
      <c r="K273" s="5">
        <f>IF(mos_metrics!G272="","",mos_metrics!G272)</f>
        <v/>
      </c>
      <c r="L273" s="2">
        <f>AND($J273,ISNUMBER(K273),correlation!$I$26=1)</f>
        <v/>
      </c>
      <c r="M273" s="5">
        <f>IF(L273,$F273,"")</f>
        <v/>
      </c>
      <c r="N273" s="5">
        <f>IF(L273,K273*correlation!$J$26,"")</f>
        <v/>
      </c>
      <c r="O273" s="5">
        <f>IF(AND(L273,ISNUMBER(correlation!$F$26)),N273*correlation!$F$26+correlation!$G$26,"")</f>
        <v/>
      </c>
      <c r="P273" s="5">
        <f>IF(AND(L273,ISNUMBER(O273)),(M273-O273)^2,"")</f>
        <v/>
      </c>
      <c r="Q273" s="5">
        <f>IF(L273,1+SUMPRODUCT(--(calc!$L$3:$L$306=TRUE),--(calc!$M$3:$M$306&gt;M273))+(SUMPRODUCT(--(calc!$L$3:$L$306=TRUE),--(calc!$M$3:$M$306=M273))-1)/2,"")</f>
        <v/>
      </c>
      <c r="R273" s="5">
        <f>IF(L273,1+SUMPRODUCT(--(calc!$L$3:$L$306=TRUE),--(calc!$N$3:$N$306&gt;N273))+(SUMPRODUCT(--(calc!$L$3:$L$306=TRUE),--(calc!$N$3:$N$306=N273))-1)/2,"")</f>
        <v/>
      </c>
      <c r="S273" s="5">
        <f>IF(L273,SUMPRODUCT(--(calc!$L$3:$L$306=TRUE),--(ROW(calc!$L$3:$L$306)&gt;ROW(L273)),--(((calc!$Q$3:$Q$306&gt;Q273)*(calc!$R$3:$R$306&gt;R273)+(calc!$Q$3:$Q$306&lt;Q273)*(calc!$R$3:$R$306&lt;R273))&gt;0))-SUMPRODUCT(--(calc!$L$3:$L$306=TRUE),--(ROW(calc!$L$3:$L$306)&gt;ROW(L273)),--(((calc!$Q$3:$Q$306&gt;Q273)*(calc!$R$3:$R$306&lt;R273)+(calc!$Q$3:$Q$306&lt;Q273)*(calc!$R$3:$R$306&gt;R273))&gt;0)),0)</f>
        <v/>
      </c>
      <c r="T273" s="5">
        <f>IF(mos_metrics!H272="","",mos_metrics!H272)</f>
        <v/>
      </c>
      <c r="U273" s="2">
        <f>AND($J273,ISNUMBER(T273),correlation!$I$27=1)</f>
        <v/>
      </c>
      <c r="V273" s="5">
        <f>IF(U273,$F273,"")</f>
        <v/>
      </c>
      <c r="W273" s="5">
        <f>IF(U273,T273*correlation!$J$27,"")</f>
        <v/>
      </c>
      <c r="X273" s="5">
        <f>IF(AND(U273,ISNUMBER(correlation!$F$27)),W273*correlation!$F$27+correlation!$G$27,"")</f>
        <v/>
      </c>
      <c r="Y273" s="5">
        <f>IF(AND(U273,ISNUMBER(X273)),(V273-X273)^2,"")</f>
        <v/>
      </c>
      <c r="Z273" s="5">
        <f>IF(U273,1+SUMPRODUCT(--(calc!$U$3:$U$306=TRUE),--(calc!$V$3:$V$306&gt;V273))+(SUMPRODUCT(--(calc!$U$3:$U$306=TRUE),--(calc!$V$3:$V$306=V273))-1)/2,"")</f>
        <v/>
      </c>
      <c r="AA273" s="5">
        <f>IF(U273,1+SUMPRODUCT(--(calc!$U$3:$U$306=TRUE),--(calc!$W$3:$W$306&gt;W273))+(SUMPRODUCT(--(calc!$U$3:$U$306=TRUE),--(calc!$W$3:$W$306=W273))-1)/2,"")</f>
        <v/>
      </c>
      <c r="AB273" s="5">
        <f>IF(U273,SUMPRODUCT(--(calc!$U$3:$U$306=TRUE),--(ROW(calc!$U$3:$U$306)&gt;ROW(U273)),--(((calc!$Z$3:$Z$306&gt;Z273)*(calc!$AA$3:$AA$306&gt;AA273)+(calc!$Z$3:$Z$306&lt;Z273)*(calc!$AA$3:$AA$306&lt;AA273))&gt;0))-SUMPRODUCT(--(calc!$U$3:$U$306=TRUE),--(ROW(calc!$U$3:$U$306)&gt;ROW(U273)),--(((calc!$Z$3:$Z$306&gt;Z273)*(calc!$AA$3:$AA$306&lt;AA273)+(calc!$Z$3:$Z$306&lt;Z273)*(calc!$AA$3:$AA$306&gt;AA273))&gt;0)),0)</f>
        <v/>
      </c>
      <c r="AC273" s="5">
        <f>IF(mos_metrics!I272="","",mos_metrics!I272)</f>
        <v/>
      </c>
      <c r="AD273" s="2">
        <f>AND($J273,ISNUMBER(AC273),correlation!$I$28=1)</f>
        <v/>
      </c>
      <c r="AE273" s="5">
        <f>IF(AD273,$F273,"")</f>
        <v/>
      </c>
      <c r="AF273" s="5">
        <f>IF(AD273,AC273*correlation!$J$28,"")</f>
        <v/>
      </c>
      <c r="AG273" s="5">
        <f>IF(AND(AD273,ISNUMBER(correlation!$F$28)),AF273*correlation!$F$28+correlation!$G$28,"")</f>
        <v/>
      </c>
      <c r="AH273" s="5">
        <f>IF(AND(AD273,ISNUMBER(AG273)),(AE273-AG273)^2,"")</f>
        <v/>
      </c>
      <c r="AI273" s="5">
        <f>IF(AD273,1+SUMPRODUCT(--(calc!$AD$3:$AD$306=TRUE),--(calc!$AE$3:$AE$306&gt;AE273))+(SUMPRODUCT(--(calc!$AD$3:$AD$306=TRUE),--(calc!$AE$3:$AE$306=AE273))-1)/2,"")</f>
        <v/>
      </c>
      <c r="AJ273" s="5">
        <f>IF(AD273,1+SUMPRODUCT(--(calc!$AD$3:$AD$306=TRUE),--(calc!$AF$3:$AF$306&gt;AF273))+(SUMPRODUCT(--(calc!$AD$3:$AD$306=TRUE),--(calc!$AF$3:$AF$306=AF273))-1)/2,"")</f>
        <v/>
      </c>
      <c r="AK273" s="5">
        <f>IF(AD273,SUMPRODUCT(--(calc!$AD$3:$AD$306=TRUE),--(ROW(calc!$AD$3:$AD$306)&gt;ROW(AD273)),--(((calc!$AI$3:$AI$306&gt;AI273)*(calc!$AJ$3:$AJ$306&gt;AJ273)+(calc!$AI$3:$AI$306&lt;AI273)*(calc!$AJ$3:$AJ$306&lt;AJ273))&gt;0))-SUMPRODUCT(--(calc!$AD$3:$AD$306=TRUE),--(ROW(calc!$AD$3:$AD$306)&gt;ROW(AD273)),--(((calc!$AI$3:$AI$306&gt;AI273)*(calc!$AJ$3:$AJ$306&lt;AJ273)+(calc!$AI$3:$AI$306&lt;AI273)*(calc!$AJ$3:$AJ$306&gt;AJ273))&gt;0)),0)</f>
        <v/>
      </c>
      <c r="AL273" s="5">
        <f>IF(mos_metrics!J272="","",mos_metrics!J272)</f>
        <v/>
      </c>
      <c r="AM273" s="2">
        <f>AND($J273,ISNUMBER(AL273),correlation!$I$29=1)</f>
        <v/>
      </c>
      <c r="AN273" s="5">
        <f>IF(AM273,$F273,"")</f>
        <v/>
      </c>
      <c r="AO273" s="5">
        <f>IF(AM273,AL273*correlation!$J$29,"")</f>
        <v/>
      </c>
      <c r="AP273" s="5">
        <f>IF(AND(AM273,ISNUMBER(correlation!$F$29)),AO273*correlation!$F$29+correlation!$G$29,"")</f>
        <v/>
      </c>
      <c r="AQ273" s="5">
        <f>IF(AND(AM273,ISNUMBER(AP273)),(AN273-AP273)^2,"")</f>
        <v/>
      </c>
      <c r="AR273" s="5">
        <f>IF(AM273,1+SUMPRODUCT(--(calc!$AM$3:$AM$306=TRUE),--(calc!$AN$3:$AN$306&gt;AN273))+(SUMPRODUCT(--(calc!$AM$3:$AM$306=TRUE),--(calc!$AN$3:$AN$306=AN273))-1)/2,"")</f>
        <v/>
      </c>
      <c r="AS273" s="5">
        <f>IF(AM273,1+SUMPRODUCT(--(calc!$AM$3:$AM$306=TRUE),--(calc!$AO$3:$AO$306&gt;AO273))+(SUMPRODUCT(--(calc!$AM$3:$AM$306=TRUE),--(calc!$AO$3:$AO$306=AO273))-1)/2,"")</f>
        <v/>
      </c>
      <c r="AT273" s="5">
        <f>IF(AM273,SUMPRODUCT(--(calc!$AM$3:$AM$306=TRUE),--(ROW(calc!$AM$3:$AM$306)&gt;ROW(AM273)),--(((calc!$AR$3:$AR$306&gt;AR273)*(calc!$AS$3:$AS$306&gt;AS273)+(calc!$AR$3:$AR$306&lt;AR273)*(calc!$AS$3:$AS$306&lt;AS273))&gt;0))-SUMPRODUCT(--(calc!$AM$3:$AM$306=TRUE),--(ROW(calc!$AM$3:$AM$306)&gt;ROW(AM273)),--(((calc!$AR$3:$AR$306&gt;AR273)*(calc!$AS$3:$AS$306&lt;AS273)+(calc!$AR$3:$AR$306&lt;AR273)*(calc!$AS$3:$AS$306&gt;AS273))&gt;0)),0)</f>
        <v/>
      </c>
      <c r="AU273" s="5">
        <f>IF(mos_metrics!K272="","",mos_metrics!K272)</f>
        <v/>
      </c>
      <c r="AV273" s="2">
        <f>AND($J273,ISNUMBER(AU273),correlation!$I$30=1)</f>
        <v/>
      </c>
      <c r="AW273" s="5">
        <f>IF(AV273,$F273,"")</f>
        <v/>
      </c>
      <c r="AX273" s="5">
        <f>IF(AV273,AU273*correlation!$J$30,"")</f>
        <v/>
      </c>
      <c r="AY273" s="5">
        <f>IF(AND(AV273,ISNUMBER(correlation!$F$30)),AX273*correlation!$F$30+correlation!$G$30,"")</f>
        <v/>
      </c>
      <c r="AZ273" s="5">
        <f>IF(AND(AV273,ISNUMBER(AY273)),(AW273-AY273)^2,"")</f>
        <v/>
      </c>
      <c r="BA273" s="5">
        <f>IF(AV273,1+SUMPRODUCT(--(calc!$AV$3:$AV$306=TRUE),--(calc!$AW$3:$AW$306&gt;AW273))+(SUMPRODUCT(--(calc!$AV$3:$AV$306=TRUE),--(calc!$AW$3:$AW$306=AW273))-1)/2,"")</f>
        <v/>
      </c>
      <c r="BB273" s="5">
        <f>IF(AV273,1+SUMPRODUCT(--(calc!$AV$3:$AV$306=TRUE),--(calc!$AX$3:$AX$306&gt;AX273))+(SUMPRODUCT(--(calc!$AV$3:$AV$306=TRUE),--(calc!$AX$3:$AX$306=AX273))-1)/2,"")</f>
        <v/>
      </c>
      <c r="BC273" s="5">
        <f>IF(AV273,SUMPRODUCT(--(calc!$AV$3:$AV$306=TRUE),--(ROW(calc!$AV$3:$AV$306)&gt;ROW(AV273)),--(((calc!$BA$3:$BA$306&gt;BA273)*(calc!$BB$3:$BB$306&gt;BB273)+(calc!$BA$3:$BA$306&lt;BA273)*(calc!$BB$3:$BB$306&lt;BB273))&gt;0))-SUMPRODUCT(--(calc!$AV$3:$AV$306=TRUE),--(ROW(calc!$AV$3:$AV$306)&gt;ROW(AV273)),--(((calc!$BA$3:$BA$306&gt;BA273)*(calc!$BB$3:$BB$306&lt;BB273)+(calc!$BA$3:$BA$306&lt;BA273)*(calc!$BB$3:$BB$306&gt;BB273))&gt;0)),0)</f>
        <v/>
      </c>
      <c r="BD273" s="5">
        <f>IF(mos_metrics!L272="","",mos_metrics!L272)</f>
        <v/>
      </c>
      <c r="BE273" s="2">
        <f>AND($J273,ISNUMBER(BD273),correlation!$I$31=1)</f>
        <v/>
      </c>
      <c r="BF273" s="5">
        <f>IF(BE273,$F273,"")</f>
        <v/>
      </c>
      <c r="BG273" s="5">
        <f>IF(BE273,BD273*correlation!$J$31,"")</f>
        <v/>
      </c>
      <c r="BH273" s="5">
        <f>IF(AND(BE273,ISNUMBER(correlation!$F$31)),BG273*correlation!$F$31+correlation!$G$31,"")</f>
        <v/>
      </c>
      <c r="BI273" s="5">
        <f>IF(AND(BE273,ISNUMBER(BH273)),(BF273-BH273)^2,"")</f>
        <v/>
      </c>
      <c r="BJ273" s="5">
        <f>IF(BE273,1+SUMPRODUCT(--(calc!$BE$3:$BE$306=TRUE),--(calc!$BF$3:$BF$306&gt;BF273))+(SUMPRODUCT(--(calc!$BE$3:$BE$306=TRUE),--(calc!$BF$3:$BF$306=BF273))-1)/2,"")</f>
        <v/>
      </c>
      <c r="BK273" s="5">
        <f>IF(BE273,1+SUMPRODUCT(--(calc!$BE$3:$BE$306=TRUE),--(calc!$BG$3:$BG$306&gt;BG273))+(SUMPRODUCT(--(calc!$BE$3:$BE$306=TRUE),--(calc!$BG$3:$BG$306=BG273))-1)/2,"")</f>
        <v/>
      </c>
      <c r="BL273" s="5">
        <f>IF(BE273,SUMPRODUCT(--(calc!$BE$3:$BE$306=TRUE),--(ROW(calc!$BE$3:$BE$306)&gt;ROW(BE273)),--(((calc!$BJ$3:$BJ$306&gt;BJ273)*(calc!$BK$3:$BK$306&gt;BK273)+(calc!$BJ$3:$BJ$306&lt;BJ273)*(calc!$BK$3:$BK$306&lt;BK273))&gt;0))-SUMPRODUCT(--(calc!$BE$3:$BE$306=TRUE),--(ROW(calc!$BE$3:$BE$306)&gt;ROW(BE273)),--(((calc!$BJ$3:$BJ$306&gt;BJ273)*(calc!$BK$3:$BK$306&lt;BK273)+(calc!$BJ$3:$BJ$306&lt;BJ273)*(calc!$BK$3:$BK$306&gt;BK273))&gt;0)),0)</f>
        <v/>
      </c>
      <c r="BM273" s="5">
        <f>IF(mos_metrics!M272="","",mos_metrics!M272)</f>
        <v/>
      </c>
      <c r="BN273" s="2">
        <f>AND($J273,ISNUMBER(BM273),correlation!$I$32=1)</f>
        <v/>
      </c>
      <c r="BO273" s="5">
        <f>IF(BN273,$F273,"")</f>
        <v/>
      </c>
      <c r="BP273" s="5">
        <f>IF(BN273,BM273*correlation!$J$32,"")</f>
        <v/>
      </c>
      <c r="BQ273" s="5">
        <f>IF(AND(BN273,ISNUMBER(correlation!$F$32)),BP273*correlation!$F$32+correlation!$G$32,"")</f>
        <v/>
      </c>
      <c r="BR273" s="5">
        <f>IF(AND(BN273,ISNUMBER(BQ273)),(BO273-BQ273)^2,"")</f>
        <v/>
      </c>
      <c r="BS273" s="5">
        <f>IF(BN273,1+SUMPRODUCT(--(calc!$BN$3:$BN$306=TRUE),--(calc!$BO$3:$BO$306&gt;BO273))+(SUMPRODUCT(--(calc!$BN$3:$BN$306=TRUE),--(calc!$BO$3:$BO$306=BO273))-1)/2,"")</f>
        <v/>
      </c>
      <c r="BT273" s="5">
        <f>IF(BN273,1+SUMPRODUCT(--(calc!$BN$3:$BN$306=TRUE),--(calc!$BP$3:$BP$306&gt;BP273))+(SUMPRODUCT(--(calc!$BN$3:$BN$306=TRUE),--(calc!$BP$3:$BP$306=BP273))-1)/2,"")</f>
        <v/>
      </c>
      <c r="BU273" s="5">
        <f>IF(BN273,SUMPRODUCT(--(calc!$BN$3:$BN$306=TRUE),--(ROW(calc!$BN$3:$BN$306)&gt;ROW(BN273)),--(((calc!$BS$3:$BS$306&gt;BS273)*(calc!$BT$3:$BT$306&gt;BT273)+(calc!$BS$3:$BS$306&lt;BS273)*(calc!$BT$3:$BT$306&lt;BT273))&gt;0))-SUMPRODUCT(--(calc!$BN$3:$BN$306=TRUE),--(ROW(calc!$BN$3:$BN$306)&gt;ROW(BN273)),--(((calc!$BS$3:$BS$306&gt;BS273)*(calc!$BT$3:$BT$306&lt;BT273)+(calc!$BS$3:$BS$306&lt;BS273)*(calc!$BT$3:$BT$306&gt;BT273))&gt;0)),0)</f>
        <v/>
      </c>
    </row>
    <row r="274">
      <c r="A274" s="2">
        <f>mos_metrics!A273</f>
        <v/>
      </c>
      <c r="B274" s="2">
        <f>mos_metrics!B273</f>
        <v/>
      </c>
      <c r="C274" s="2">
        <f>mos_metrics!C273</f>
        <v/>
      </c>
      <c r="D274" s="2">
        <f>mos_metrics!D273</f>
        <v/>
      </c>
      <c r="E274" s="2">
        <f>mos_metrics!E273</f>
        <v/>
      </c>
      <c r="F274" s="2">
        <f>mos_metrics!F273</f>
        <v/>
      </c>
      <c r="G274" s="2">
        <f>IF($B274="","",IFERROR(VLOOKUP($B274,correlation!$A$2:$B$16,2,FALSE),1))</f>
        <v/>
      </c>
      <c r="H274" s="2">
        <f>IF($E274="","",IFERROR(VLOOKUP($E274,correlation!$D$2:$E$8,2,FALSE),1))</f>
        <v/>
      </c>
      <c r="I274" s="2">
        <f>ISNUMBER($F274)</f>
        <v/>
      </c>
      <c r="J274" s="2">
        <f>AND($G274=1,$H274=1,$I274)</f>
        <v/>
      </c>
      <c r="K274" s="5">
        <f>IF(mos_metrics!G273="","",mos_metrics!G273)</f>
        <v/>
      </c>
      <c r="L274" s="2">
        <f>AND($J274,ISNUMBER(K274),correlation!$I$26=1)</f>
        <v/>
      </c>
      <c r="M274" s="5">
        <f>IF(L274,$F274,"")</f>
        <v/>
      </c>
      <c r="N274" s="5">
        <f>IF(L274,K274*correlation!$J$26,"")</f>
        <v/>
      </c>
      <c r="O274" s="5">
        <f>IF(AND(L274,ISNUMBER(correlation!$F$26)),N274*correlation!$F$26+correlation!$G$26,"")</f>
        <v/>
      </c>
      <c r="P274" s="5">
        <f>IF(AND(L274,ISNUMBER(O274)),(M274-O274)^2,"")</f>
        <v/>
      </c>
      <c r="Q274" s="5">
        <f>IF(L274,1+SUMPRODUCT(--(calc!$L$3:$L$306=TRUE),--(calc!$M$3:$M$306&gt;M274))+(SUMPRODUCT(--(calc!$L$3:$L$306=TRUE),--(calc!$M$3:$M$306=M274))-1)/2,"")</f>
        <v/>
      </c>
      <c r="R274" s="5">
        <f>IF(L274,1+SUMPRODUCT(--(calc!$L$3:$L$306=TRUE),--(calc!$N$3:$N$306&gt;N274))+(SUMPRODUCT(--(calc!$L$3:$L$306=TRUE),--(calc!$N$3:$N$306=N274))-1)/2,"")</f>
        <v/>
      </c>
      <c r="S274" s="5">
        <f>IF(L274,SUMPRODUCT(--(calc!$L$3:$L$306=TRUE),--(ROW(calc!$L$3:$L$306)&gt;ROW(L274)),--(((calc!$Q$3:$Q$306&gt;Q274)*(calc!$R$3:$R$306&gt;R274)+(calc!$Q$3:$Q$306&lt;Q274)*(calc!$R$3:$R$306&lt;R274))&gt;0))-SUMPRODUCT(--(calc!$L$3:$L$306=TRUE),--(ROW(calc!$L$3:$L$306)&gt;ROW(L274)),--(((calc!$Q$3:$Q$306&gt;Q274)*(calc!$R$3:$R$306&lt;R274)+(calc!$Q$3:$Q$306&lt;Q274)*(calc!$R$3:$R$306&gt;R274))&gt;0)),0)</f>
        <v/>
      </c>
      <c r="T274" s="5">
        <f>IF(mos_metrics!H273="","",mos_metrics!H273)</f>
        <v/>
      </c>
      <c r="U274" s="2">
        <f>AND($J274,ISNUMBER(T274),correlation!$I$27=1)</f>
        <v/>
      </c>
      <c r="V274" s="5">
        <f>IF(U274,$F274,"")</f>
        <v/>
      </c>
      <c r="W274" s="5">
        <f>IF(U274,T274*correlation!$J$27,"")</f>
        <v/>
      </c>
      <c r="X274" s="5">
        <f>IF(AND(U274,ISNUMBER(correlation!$F$27)),W274*correlation!$F$27+correlation!$G$27,"")</f>
        <v/>
      </c>
      <c r="Y274" s="5">
        <f>IF(AND(U274,ISNUMBER(X274)),(V274-X274)^2,"")</f>
        <v/>
      </c>
      <c r="Z274" s="5">
        <f>IF(U274,1+SUMPRODUCT(--(calc!$U$3:$U$306=TRUE),--(calc!$V$3:$V$306&gt;V274))+(SUMPRODUCT(--(calc!$U$3:$U$306=TRUE),--(calc!$V$3:$V$306=V274))-1)/2,"")</f>
        <v/>
      </c>
      <c r="AA274" s="5">
        <f>IF(U274,1+SUMPRODUCT(--(calc!$U$3:$U$306=TRUE),--(calc!$W$3:$W$306&gt;W274))+(SUMPRODUCT(--(calc!$U$3:$U$306=TRUE),--(calc!$W$3:$W$306=W274))-1)/2,"")</f>
        <v/>
      </c>
      <c r="AB274" s="5">
        <f>IF(U274,SUMPRODUCT(--(calc!$U$3:$U$306=TRUE),--(ROW(calc!$U$3:$U$306)&gt;ROW(U274)),--(((calc!$Z$3:$Z$306&gt;Z274)*(calc!$AA$3:$AA$306&gt;AA274)+(calc!$Z$3:$Z$306&lt;Z274)*(calc!$AA$3:$AA$306&lt;AA274))&gt;0))-SUMPRODUCT(--(calc!$U$3:$U$306=TRUE),--(ROW(calc!$U$3:$U$306)&gt;ROW(U274)),--(((calc!$Z$3:$Z$306&gt;Z274)*(calc!$AA$3:$AA$306&lt;AA274)+(calc!$Z$3:$Z$306&lt;Z274)*(calc!$AA$3:$AA$306&gt;AA274))&gt;0)),0)</f>
        <v/>
      </c>
      <c r="AC274" s="5">
        <f>IF(mos_metrics!I273="","",mos_metrics!I273)</f>
        <v/>
      </c>
      <c r="AD274" s="2">
        <f>AND($J274,ISNUMBER(AC274),correlation!$I$28=1)</f>
        <v/>
      </c>
      <c r="AE274" s="5">
        <f>IF(AD274,$F274,"")</f>
        <v/>
      </c>
      <c r="AF274" s="5">
        <f>IF(AD274,AC274*correlation!$J$28,"")</f>
        <v/>
      </c>
      <c r="AG274" s="5">
        <f>IF(AND(AD274,ISNUMBER(correlation!$F$28)),AF274*correlation!$F$28+correlation!$G$28,"")</f>
        <v/>
      </c>
      <c r="AH274" s="5">
        <f>IF(AND(AD274,ISNUMBER(AG274)),(AE274-AG274)^2,"")</f>
        <v/>
      </c>
      <c r="AI274" s="5">
        <f>IF(AD274,1+SUMPRODUCT(--(calc!$AD$3:$AD$306=TRUE),--(calc!$AE$3:$AE$306&gt;AE274))+(SUMPRODUCT(--(calc!$AD$3:$AD$306=TRUE),--(calc!$AE$3:$AE$306=AE274))-1)/2,"")</f>
        <v/>
      </c>
      <c r="AJ274" s="5">
        <f>IF(AD274,1+SUMPRODUCT(--(calc!$AD$3:$AD$306=TRUE),--(calc!$AF$3:$AF$306&gt;AF274))+(SUMPRODUCT(--(calc!$AD$3:$AD$306=TRUE),--(calc!$AF$3:$AF$306=AF274))-1)/2,"")</f>
        <v/>
      </c>
      <c r="AK274" s="5">
        <f>IF(AD274,SUMPRODUCT(--(calc!$AD$3:$AD$306=TRUE),--(ROW(calc!$AD$3:$AD$306)&gt;ROW(AD274)),--(((calc!$AI$3:$AI$306&gt;AI274)*(calc!$AJ$3:$AJ$306&gt;AJ274)+(calc!$AI$3:$AI$306&lt;AI274)*(calc!$AJ$3:$AJ$306&lt;AJ274))&gt;0))-SUMPRODUCT(--(calc!$AD$3:$AD$306=TRUE),--(ROW(calc!$AD$3:$AD$306)&gt;ROW(AD274)),--(((calc!$AI$3:$AI$306&gt;AI274)*(calc!$AJ$3:$AJ$306&lt;AJ274)+(calc!$AI$3:$AI$306&lt;AI274)*(calc!$AJ$3:$AJ$306&gt;AJ274))&gt;0)),0)</f>
        <v/>
      </c>
      <c r="AL274" s="5">
        <f>IF(mos_metrics!J273="","",mos_metrics!J273)</f>
        <v/>
      </c>
      <c r="AM274" s="2">
        <f>AND($J274,ISNUMBER(AL274),correlation!$I$29=1)</f>
        <v/>
      </c>
      <c r="AN274" s="5">
        <f>IF(AM274,$F274,"")</f>
        <v/>
      </c>
      <c r="AO274" s="5">
        <f>IF(AM274,AL274*correlation!$J$29,"")</f>
        <v/>
      </c>
      <c r="AP274" s="5">
        <f>IF(AND(AM274,ISNUMBER(correlation!$F$29)),AO274*correlation!$F$29+correlation!$G$29,"")</f>
        <v/>
      </c>
      <c r="AQ274" s="5">
        <f>IF(AND(AM274,ISNUMBER(AP274)),(AN274-AP274)^2,"")</f>
        <v/>
      </c>
      <c r="AR274" s="5">
        <f>IF(AM274,1+SUMPRODUCT(--(calc!$AM$3:$AM$306=TRUE),--(calc!$AN$3:$AN$306&gt;AN274))+(SUMPRODUCT(--(calc!$AM$3:$AM$306=TRUE),--(calc!$AN$3:$AN$306=AN274))-1)/2,"")</f>
        <v/>
      </c>
      <c r="AS274" s="5">
        <f>IF(AM274,1+SUMPRODUCT(--(calc!$AM$3:$AM$306=TRUE),--(calc!$AO$3:$AO$306&gt;AO274))+(SUMPRODUCT(--(calc!$AM$3:$AM$306=TRUE),--(calc!$AO$3:$AO$306=AO274))-1)/2,"")</f>
        <v/>
      </c>
      <c r="AT274" s="5">
        <f>IF(AM274,SUMPRODUCT(--(calc!$AM$3:$AM$306=TRUE),--(ROW(calc!$AM$3:$AM$306)&gt;ROW(AM274)),--(((calc!$AR$3:$AR$306&gt;AR274)*(calc!$AS$3:$AS$306&gt;AS274)+(calc!$AR$3:$AR$306&lt;AR274)*(calc!$AS$3:$AS$306&lt;AS274))&gt;0))-SUMPRODUCT(--(calc!$AM$3:$AM$306=TRUE),--(ROW(calc!$AM$3:$AM$306)&gt;ROW(AM274)),--(((calc!$AR$3:$AR$306&gt;AR274)*(calc!$AS$3:$AS$306&lt;AS274)+(calc!$AR$3:$AR$306&lt;AR274)*(calc!$AS$3:$AS$306&gt;AS274))&gt;0)),0)</f>
        <v/>
      </c>
      <c r="AU274" s="5">
        <f>IF(mos_metrics!K273="","",mos_metrics!K273)</f>
        <v/>
      </c>
      <c r="AV274" s="2">
        <f>AND($J274,ISNUMBER(AU274),correlation!$I$30=1)</f>
        <v/>
      </c>
      <c r="AW274" s="5">
        <f>IF(AV274,$F274,"")</f>
        <v/>
      </c>
      <c r="AX274" s="5">
        <f>IF(AV274,AU274*correlation!$J$30,"")</f>
        <v/>
      </c>
      <c r="AY274" s="5">
        <f>IF(AND(AV274,ISNUMBER(correlation!$F$30)),AX274*correlation!$F$30+correlation!$G$30,"")</f>
        <v/>
      </c>
      <c r="AZ274" s="5">
        <f>IF(AND(AV274,ISNUMBER(AY274)),(AW274-AY274)^2,"")</f>
        <v/>
      </c>
      <c r="BA274" s="5">
        <f>IF(AV274,1+SUMPRODUCT(--(calc!$AV$3:$AV$306=TRUE),--(calc!$AW$3:$AW$306&gt;AW274))+(SUMPRODUCT(--(calc!$AV$3:$AV$306=TRUE),--(calc!$AW$3:$AW$306=AW274))-1)/2,"")</f>
        <v/>
      </c>
      <c r="BB274" s="5">
        <f>IF(AV274,1+SUMPRODUCT(--(calc!$AV$3:$AV$306=TRUE),--(calc!$AX$3:$AX$306&gt;AX274))+(SUMPRODUCT(--(calc!$AV$3:$AV$306=TRUE),--(calc!$AX$3:$AX$306=AX274))-1)/2,"")</f>
        <v/>
      </c>
      <c r="BC274" s="5">
        <f>IF(AV274,SUMPRODUCT(--(calc!$AV$3:$AV$306=TRUE),--(ROW(calc!$AV$3:$AV$306)&gt;ROW(AV274)),--(((calc!$BA$3:$BA$306&gt;BA274)*(calc!$BB$3:$BB$306&gt;BB274)+(calc!$BA$3:$BA$306&lt;BA274)*(calc!$BB$3:$BB$306&lt;BB274))&gt;0))-SUMPRODUCT(--(calc!$AV$3:$AV$306=TRUE),--(ROW(calc!$AV$3:$AV$306)&gt;ROW(AV274)),--(((calc!$BA$3:$BA$306&gt;BA274)*(calc!$BB$3:$BB$306&lt;BB274)+(calc!$BA$3:$BA$306&lt;BA274)*(calc!$BB$3:$BB$306&gt;BB274))&gt;0)),0)</f>
        <v/>
      </c>
      <c r="BD274" s="5">
        <f>IF(mos_metrics!L273="","",mos_metrics!L273)</f>
        <v/>
      </c>
      <c r="BE274" s="2">
        <f>AND($J274,ISNUMBER(BD274),correlation!$I$31=1)</f>
        <v/>
      </c>
      <c r="BF274" s="5">
        <f>IF(BE274,$F274,"")</f>
        <v/>
      </c>
      <c r="BG274" s="5">
        <f>IF(BE274,BD274*correlation!$J$31,"")</f>
        <v/>
      </c>
      <c r="BH274" s="5">
        <f>IF(AND(BE274,ISNUMBER(correlation!$F$31)),BG274*correlation!$F$31+correlation!$G$31,"")</f>
        <v/>
      </c>
      <c r="BI274" s="5">
        <f>IF(AND(BE274,ISNUMBER(BH274)),(BF274-BH274)^2,"")</f>
        <v/>
      </c>
      <c r="BJ274" s="5">
        <f>IF(BE274,1+SUMPRODUCT(--(calc!$BE$3:$BE$306=TRUE),--(calc!$BF$3:$BF$306&gt;BF274))+(SUMPRODUCT(--(calc!$BE$3:$BE$306=TRUE),--(calc!$BF$3:$BF$306=BF274))-1)/2,"")</f>
        <v/>
      </c>
      <c r="BK274" s="5">
        <f>IF(BE274,1+SUMPRODUCT(--(calc!$BE$3:$BE$306=TRUE),--(calc!$BG$3:$BG$306&gt;BG274))+(SUMPRODUCT(--(calc!$BE$3:$BE$306=TRUE),--(calc!$BG$3:$BG$306=BG274))-1)/2,"")</f>
        <v/>
      </c>
      <c r="BL274" s="5">
        <f>IF(BE274,SUMPRODUCT(--(calc!$BE$3:$BE$306=TRUE),--(ROW(calc!$BE$3:$BE$306)&gt;ROW(BE274)),--(((calc!$BJ$3:$BJ$306&gt;BJ274)*(calc!$BK$3:$BK$306&gt;BK274)+(calc!$BJ$3:$BJ$306&lt;BJ274)*(calc!$BK$3:$BK$306&lt;BK274))&gt;0))-SUMPRODUCT(--(calc!$BE$3:$BE$306=TRUE),--(ROW(calc!$BE$3:$BE$306)&gt;ROW(BE274)),--(((calc!$BJ$3:$BJ$306&gt;BJ274)*(calc!$BK$3:$BK$306&lt;BK274)+(calc!$BJ$3:$BJ$306&lt;BJ274)*(calc!$BK$3:$BK$306&gt;BK274))&gt;0)),0)</f>
        <v/>
      </c>
      <c r="BM274" s="5">
        <f>IF(mos_metrics!M273="","",mos_metrics!M273)</f>
        <v/>
      </c>
      <c r="BN274" s="2">
        <f>AND($J274,ISNUMBER(BM274),correlation!$I$32=1)</f>
        <v/>
      </c>
      <c r="BO274" s="5">
        <f>IF(BN274,$F274,"")</f>
        <v/>
      </c>
      <c r="BP274" s="5">
        <f>IF(BN274,BM274*correlation!$J$32,"")</f>
        <v/>
      </c>
      <c r="BQ274" s="5">
        <f>IF(AND(BN274,ISNUMBER(correlation!$F$32)),BP274*correlation!$F$32+correlation!$G$32,"")</f>
        <v/>
      </c>
      <c r="BR274" s="5">
        <f>IF(AND(BN274,ISNUMBER(BQ274)),(BO274-BQ274)^2,"")</f>
        <v/>
      </c>
      <c r="BS274" s="5">
        <f>IF(BN274,1+SUMPRODUCT(--(calc!$BN$3:$BN$306=TRUE),--(calc!$BO$3:$BO$306&gt;BO274))+(SUMPRODUCT(--(calc!$BN$3:$BN$306=TRUE),--(calc!$BO$3:$BO$306=BO274))-1)/2,"")</f>
        <v/>
      </c>
      <c r="BT274" s="5">
        <f>IF(BN274,1+SUMPRODUCT(--(calc!$BN$3:$BN$306=TRUE),--(calc!$BP$3:$BP$306&gt;BP274))+(SUMPRODUCT(--(calc!$BN$3:$BN$306=TRUE),--(calc!$BP$3:$BP$306=BP274))-1)/2,"")</f>
        <v/>
      </c>
      <c r="BU274" s="5">
        <f>IF(BN274,SUMPRODUCT(--(calc!$BN$3:$BN$306=TRUE),--(ROW(calc!$BN$3:$BN$306)&gt;ROW(BN274)),--(((calc!$BS$3:$BS$306&gt;BS274)*(calc!$BT$3:$BT$306&gt;BT274)+(calc!$BS$3:$BS$306&lt;BS274)*(calc!$BT$3:$BT$306&lt;BT274))&gt;0))-SUMPRODUCT(--(calc!$BN$3:$BN$306=TRUE),--(ROW(calc!$BN$3:$BN$306)&gt;ROW(BN274)),--(((calc!$BS$3:$BS$306&gt;BS274)*(calc!$BT$3:$BT$306&lt;BT274)+(calc!$BS$3:$BS$306&lt;BS274)*(calc!$BT$3:$BT$306&gt;BT274))&gt;0)),0)</f>
        <v/>
      </c>
    </row>
    <row r="275">
      <c r="A275" s="2">
        <f>mos_metrics!A274</f>
        <v/>
      </c>
      <c r="B275" s="2">
        <f>mos_metrics!B274</f>
        <v/>
      </c>
      <c r="C275" s="2">
        <f>mos_metrics!C274</f>
        <v/>
      </c>
      <c r="D275" s="2">
        <f>mos_metrics!D274</f>
        <v/>
      </c>
      <c r="E275" s="2">
        <f>mos_metrics!E274</f>
        <v/>
      </c>
      <c r="F275" s="2">
        <f>mos_metrics!F274</f>
        <v/>
      </c>
      <c r="G275" s="2">
        <f>IF($B275="","",IFERROR(VLOOKUP($B275,correlation!$A$2:$B$16,2,FALSE),1))</f>
        <v/>
      </c>
      <c r="H275" s="2">
        <f>IF($E275="","",IFERROR(VLOOKUP($E275,correlation!$D$2:$E$8,2,FALSE),1))</f>
        <v/>
      </c>
      <c r="I275" s="2">
        <f>ISNUMBER($F275)</f>
        <v/>
      </c>
      <c r="J275" s="2">
        <f>AND($G275=1,$H275=1,$I275)</f>
        <v/>
      </c>
      <c r="K275" s="5">
        <f>IF(mos_metrics!G274="","",mos_metrics!G274)</f>
        <v/>
      </c>
      <c r="L275" s="2">
        <f>AND($J275,ISNUMBER(K275),correlation!$I$26=1)</f>
        <v/>
      </c>
      <c r="M275" s="5">
        <f>IF(L275,$F275,"")</f>
        <v/>
      </c>
      <c r="N275" s="5">
        <f>IF(L275,K275*correlation!$J$26,"")</f>
        <v/>
      </c>
      <c r="O275" s="5">
        <f>IF(AND(L275,ISNUMBER(correlation!$F$26)),N275*correlation!$F$26+correlation!$G$26,"")</f>
        <v/>
      </c>
      <c r="P275" s="5">
        <f>IF(AND(L275,ISNUMBER(O275)),(M275-O275)^2,"")</f>
        <v/>
      </c>
      <c r="Q275" s="5">
        <f>IF(L275,1+SUMPRODUCT(--(calc!$L$3:$L$306=TRUE),--(calc!$M$3:$M$306&gt;M275))+(SUMPRODUCT(--(calc!$L$3:$L$306=TRUE),--(calc!$M$3:$M$306=M275))-1)/2,"")</f>
        <v/>
      </c>
      <c r="R275" s="5">
        <f>IF(L275,1+SUMPRODUCT(--(calc!$L$3:$L$306=TRUE),--(calc!$N$3:$N$306&gt;N275))+(SUMPRODUCT(--(calc!$L$3:$L$306=TRUE),--(calc!$N$3:$N$306=N275))-1)/2,"")</f>
        <v/>
      </c>
      <c r="S275" s="5">
        <f>IF(L275,SUMPRODUCT(--(calc!$L$3:$L$306=TRUE),--(ROW(calc!$L$3:$L$306)&gt;ROW(L275)),--(((calc!$Q$3:$Q$306&gt;Q275)*(calc!$R$3:$R$306&gt;R275)+(calc!$Q$3:$Q$306&lt;Q275)*(calc!$R$3:$R$306&lt;R275))&gt;0))-SUMPRODUCT(--(calc!$L$3:$L$306=TRUE),--(ROW(calc!$L$3:$L$306)&gt;ROW(L275)),--(((calc!$Q$3:$Q$306&gt;Q275)*(calc!$R$3:$R$306&lt;R275)+(calc!$Q$3:$Q$306&lt;Q275)*(calc!$R$3:$R$306&gt;R275))&gt;0)),0)</f>
        <v/>
      </c>
      <c r="T275" s="5">
        <f>IF(mos_metrics!H274="","",mos_metrics!H274)</f>
        <v/>
      </c>
      <c r="U275" s="2">
        <f>AND($J275,ISNUMBER(T275),correlation!$I$27=1)</f>
        <v/>
      </c>
      <c r="V275" s="5">
        <f>IF(U275,$F275,"")</f>
        <v/>
      </c>
      <c r="W275" s="5">
        <f>IF(U275,T275*correlation!$J$27,"")</f>
        <v/>
      </c>
      <c r="X275" s="5">
        <f>IF(AND(U275,ISNUMBER(correlation!$F$27)),W275*correlation!$F$27+correlation!$G$27,"")</f>
        <v/>
      </c>
      <c r="Y275" s="5">
        <f>IF(AND(U275,ISNUMBER(X275)),(V275-X275)^2,"")</f>
        <v/>
      </c>
      <c r="Z275" s="5">
        <f>IF(U275,1+SUMPRODUCT(--(calc!$U$3:$U$306=TRUE),--(calc!$V$3:$V$306&gt;V275))+(SUMPRODUCT(--(calc!$U$3:$U$306=TRUE),--(calc!$V$3:$V$306=V275))-1)/2,"")</f>
        <v/>
      </c>
      <c r="AA275" s="5">
        <f>IF(U275,1+SUMPRODUCT(--(calc!$U$3:$U$306=TRUE),--(calc!$W$3:$W$306&gt;W275))+(SUMPRODUCT(--(calc!$U$3:$U$306=TRUE),--(calc!$W$3:$W$306=W275))-1)/2,"")</f>
        <v/>
      </c>
      <c r="AB275" s="5">
        <f>IF(U275,SUMPRODUCT(--(calc!$U$3:$U$306=TRUE),--(ROW(calc!$U$3:$U$306)&gt;ROW(U275)),--(((calc!$Z$3:$Z$306&gt;Z275)*(calc!$AA$3:$AA$306&gt;AA275)+(calc!$Z$3:$Z$306&lt;Z275)*(calc!$AA$3:$AA$306&lt;AA275))&gt;0))-SUMPRODUCT(--(calc!$U$3:$U$306=TRUE),--(ROW(calc!$U$3:$U$306)&gt;ROW(U275)),--(((calc!$Z$3:$Z$306&gt;Z275)*(calc!$AA$3:$AA$306&lt;AA275)+(calc!$Z$3:$Z$306&lt;Z275)*(calc!$AA$3:$AA$306&gt;AA275))&gt;0)),0)</f>
        <v/>
      </c>
      <c r="AC275" s="5">
        <f>IF(mos_metrics!I274="","",mos_metrics!I274)</f>
        <v/>
      </c>
      <c r="AD275" s="2">
        <f>AND($J275,ISNUMBER(AC275),correlation!$I$28=1)</f>
        <v/>
      </c>
      <c r="AE275" s="5">
        <f>IF(AD275,$F275,"")</f>
        <v/>
      </c>
      <c r="AF275" s="5">
        <f>IF(AD275,AC275*correlation!$J$28,"")</f>
        <v/>
      </c>
      <c r="AG275" s="5">
        <f>IF(AND(AD275,ISNUMBER(correlation!$F$28)),AF275*correlation!$F$28+correlation!$G$28,"")</f>
        <v/>
      </c>
      <c r="AH275" s="5">
        <f>IF(AND(AD275,ISNUMBER(AG275)),(AE275-AG275)^2,"")</f>
        <v/>
      </c>
      <c r="AI275" s="5">
        <f>IF(AD275,1+SUMPRODUCT(--(calc!$AD$3:$AD$306=TRUE),--(calc!$AE$3:$AE$306&gt;AE275))+(SUMPRODUCT(--(calc!$AD$3:$AD$306=TRUE),--(calc!$AE$3:$AE$306=AE275))-1)/2,"")</f>
        <v/>
      </c>
      <c r="AJ275" s="5">
        <f>IF(AD275,1+SUMPRODUCT(--(calc!$AD$3:$AD$306=TRUE),--(calc!$AF$3:$AF$306&gt;AF275))+(SUMPRODUCT(--(calc!$AD$3:$AD$306=TRUE),--(calc!$AF$3:$AF$306=AF275))-1)/2,"")</f>
        <v/>
      </c>
      <c r="AK275" s="5">
        <f>IF(AD275,SUMPRODUCT(--(calc!$AD$3:$AD$306=TRUE),--(ROW(calc!$AD$3:$AD$306)&gt;ROW(AD275)),--(((calc!$AI$3:$AI$306&gt;AI275)*(calc!$AJ$3:$AJ$306&gt;AJ275)+(calc!$AI$3:$AI$306&lt;AI275)*(calc!$AJ$3:$AJ$306&lt;AJ275))&gt;0))-SUMPRODUCT(--(calc!$AD$3:$AD$306=TRUE),--(ROW(calc!$AD$3:$AD$306)&gt;ROW(AD275)),--(((calc!$AI$3:$AI$306&gt;AI275)*(calc!$AJ$3:$AJ$306&lt;AJ275)+(calc!$AI$3:$AI$306&lt;AI275)*(calc!$AJ$3:$AJ$306&gt;AJ275))&gt;0)),0)</f>
        <v/>
      </c>
      <c r="AL275" s="5">
        <f>IF(mos_metrics!J274="","",mos_metrics!J274)</f>
        <v/>
      </c>
      <c r="AM275" s="2">
        <f>AND($J275,ISNUMBER(AL275),correlation!$I$29=1)</f>
        <v/>
      </c>
      <c r="AN275" s="5">
        <f>IF(AM275,$F275,"")</f>
        <v/>
      </c>
      <c r="AO275" s="5">
        <f>IF(AM275,AL275*correlation!$J$29,"")</f>
        <v/>
      </c>
      <c r="AP275" s="5">
        <f>IF(AND(AM275,ISNUMBER(correlation!$F$29)),AO275*correlation!$F$29+correlation!$G$29,"")</f>
        <v/>
      </c>
      <c r="AQ275" s="5">
        <f>IF(AND(AM275,ISNUMBER(AP275)),(AN275-AP275)^2,"")</f>
        <v/>
      </c>
      <c r="AR275" s="5">
        <f>IF(AM275,1+SUMPRODUCT(--(calc!$AM$3:$AM$306=TRUE),--(calc!$AN$3:$AN$306&gt;AN275))+(SUMPRODUCT(--(calc!$AM$3:$AM$306=TRUE),--(calc!$AN$3:$AN$306=AN275))-1)/2,"")</f>
        <v/>
      </c>
      <c r="AS275" s="5">
        <f>IF(AM275,1+SUMPRODUCT(--(calc!$AM$3:$AM$306=TRUE),--(calc!$AO$3:$AO$306&gt;AO275))+(SUMPRODUCT(--(calc!$AM$3:$AM$306=TRUE),--(calc!$AO$3:$AO$306=AO275))-1)/2,"")</f>
        <v/>
      </c>
      <c r="AT275" s="5">
        <f>IF(AM275,SUMPRODUCT(--(calc!$AM$3:$AM$306=TRUE),--(ROW(calc!$AM$3:$AM$306)&gt;ROW(AM275)),--(((calc!$AR$3:$AR$306&gt;AR275)*(calc!$AS$3:$AS$306&gt;AS275)+(calc!$AR$3:$AR$306&lt;AR275)*(calc!$AS$3:$AS$306&lt;AS275))&gt;0))-SUMPRODUCT(--(calc!$AM$3:$AM$306=TRUE),--(ROW(calc!$AM$3:$AM$306)&gt;ROW(AM275)),--(((calc!$AR$3:$AR$306&gt;AR275)*(calc!$AS$3:$AS$306&lt;AS275)+(calc!$AR$3:$AR$306&lt;AR275)*(calc!$AS$3:$AS$306&gt;AS275))&gt;0)),0)</f>
        <v/>
      </c>
      <c r="AU275" s="5">
        <f>IF(mos_metrics!K274="","",mos_metrics!K274)</f>
        <v/>
      </c>
      <c r="AV275" s="2">
        <f>AND($J275,ISNUMBER(AU275),correlation!$I$30=1)</f>
        <v/>
      </c>
      <c r="AW275" s="5">
        <f>IF(AV275,$F275,"")</f>
        <v/>
      </c>
      <c r="AX275" s="5">
        <f>IF(AV275,AU275*correlation!$J$30,"")</f>
        <v/>
      </c>
      <c r="AY275" s="5">
        <f>IF(AND(AV275,ISNUMBER(correlation!$F$30)),AX275*correlation!$F$30+correlation!$G$30,"")</f>
        <v/>
      </c>
      <c r="AZ275" s="5">
        <f>IF(AND(AV275,ISNUMBER(AY275)),(AW275-AY275)^2,"")</f>
        <v/>
      </c>
      <c r="BA275" s="5">
        <f>IF(AV275,1+SUMPRODUCT(--(calc!$AV$3:$AV$306=TRUE),--(calc!$AW$3:$AW$306&gt;AW275))+(SUMPRODUCT(--(calc!$AV$3:$AV$306=TRUE),--(calc!$AW$3:$AW$306=AW275))-1)/2,"")</f>
        <v/>
      </c>
      <c r="BB275" s="5">
        <f>IF(AV275,1+SUMPRODUCT(--(calc!$AV$3:$AV$306=TRUE),--(calc!$AX$3:$AX$306&gt;AX275))+(SUMPRODUCT(--(calc!$AV$3:$AV$306=TRUE),--(calc!$AX$3:$AX$306=AX275))-1)/2,"")</f>
        <v/>
      </c>
      <c r="BC275" s="5">
        <f>IF(AV275,SUMPRODUCT(--(calc!$AV$3:$AV$306=TRUE),--(ROW(calc!$AV$3:$AV$306)&gt;ROW(AV275)),--(((calc!$BA$3:$BA$306&gt;BA275)*(calc!$BB$3:$BB$306&gt;BB275)+(calc!$BA$3:$BA$306&lt;BA275)*(calc!$BB$3:$BB$306&lt;BB275))&gt;0))-SUMPRODUCT(--(calc!$AV$3:$AV$306=TRUE),--(ROW(calc!$AV$3:$AV$306)&gt;ROW(AV275)),--(((calc!$BA$3:$BA$306&gt;BA275)*(calc!$BB$3:$BB$306&lt;BB275)+(calc!$BA$3:$BA$306&lt;BA275)*(calc!$BB$3:$BB$306&gt;BB275))&gt;0)),0)</f>
        <v/>
      </c>
      <c r="BD275" s="5">
        <f>IF(mos_metrics!L274="","",mos_metrics!L274)</f>
        <v/>
      </c>
      <c r="BE275" s="2">
        <f>AND($J275,ISNUMBER(BD275),correlation!$I$31=1)</f>
        <v/>
      </c>
      <c r="BF275" s="5">
        <f>IF(BE275,$F275,"")</f>
        <v/>
      </c>
      <c r="BG275" s="5">
        <f>IF(BE275,BD275*correlation!$J$31,"")</f>
        <v/>
      </c>
      <c r="BH275" s="5">
        <f>IF(AND(BE275,ISNUMBER(correlation!$F$31)),BG275*correlation!$F$31+correlation!$G$31,"")</f>
        <v/>
      </c>
      <c r="BI275" s="5">
        <f>IF(AND(BE275,ISNUMBER(BH275)),(BF275-BH275)^2,"")</f>
        <v/>
      </c>
      <c r="BJ275" s="5">
        <f>IF(BE275,1+SUMPRODUCT(--(calc!$BE$3:$BE$306=TRUE),--(calc!$BF$3:$BF$306&gt;BF275))+(SUMPRODUCT(--(calc!$BE$3:$BE$306=TRUE),--(calc!$BF$3:$BF$306=BF275))-1)/2,"")</f>
        <v/>
      </c>
      <c r="BK275" s="5">
        <f>IF(BE275,1+SUMPRODUCT(--(calc!$BE$3:$BE$306=TRUE),--(calc!$BG$3:$BG$306&gt;BG275))+(SUMPRODUCT(--(calc!$BE$3:$BE$306=TRUE),--(calc!$BG$3:$BG$306=BG275))-1)/2,"")</f>
        <v/>
      </c>
      <c r="BL275" s="5">
        <f>IF(BE275,SUMPRODUCT(--(calc!$BE$3:$BE$306=TRUE),--(ROW(calc!$BE$3:$BE$306)&gt;ROW(BE275)),--(((calc!$BJ$3:$BJ$306&gt;BJ275)*(calc!$BK$3:$BK$306&gt;BK275)+(calc!$BJ$3:$BJ$306&lt;BJ275)*(calc!$BK$3:$BK$306&lt;BK275))&gt;0))-SUMPRODUCT(--(calc!$BE$3:$BE$306=TRUE),--(ROW(calc!$BE$3:$BE$306)&gt;ROW(BE275)),--(((calc!$BJ$3:$BJ$306&gt;BJ275)*(calc!$BK$3:$BK$306&lt;BK275)+(calc!$BJ$3:$BJ$306&lt;BJ275)*(calc!$BK$3:$BK$306&gt;BK275))&gt;0)),0)</f>
        <v/>
      </c>
      <c r="BM275" s="5">
        <f>IF(mos_metrics!M274="","",mos_metrics!M274)</f>
        <v/>
      </c>
      <c r="BN275" s="2">
        <f>AND($J275,ISNUMBER(BM275),correlation!$I$32=1)</f>
        <v/>
      </c>
      <c r="BO275" s="5">
        <f>IF(BN275,$F275,"")</f>
        <v/>
      </c>
      <c r="BP275" s="5">
        <f>IF(BN275,BM275*correlation!$J$32,"")</f>
        <v/>
      </c>
      <c r="BQ275" s="5">
        <f>IF(AND(BN275,ISNUMBER(correlation!$F$32)),BP275*correlation!$F$32+correlation!$G$32,"")</f>
        <v/>
      </c>
      <c r="BR275" s="5">
        <f>IF(AND(BN275,ISNUMBER(BQ275)),(BO275-BQ275)^2,"")</f>
        <v/>
      </c>
      <c r="BS275" s="5">
        <f>IF(BN275,1+SUMPRODUCT(--(calc!$BN$3:$BN$306=TRUE),--(calc!$BO$3:$BO$306&gt;BO275))+(SUMPRODUCT(--(calc!$BN$3:$BN$306=TRUE),--(calc!$BO$3:$BO$306=BO275))-1)/2,"")</f>
        <v/>
      </c>
      <c r="BT275" s="5">
        <f>IF(BN275,1+SUMPRODUCT(--(calc!$BN$3:$BN$306=TRUE),--(calc!$BP$3:$BP$306&gt;BP275))+(SUMPRODUCT(--(calc!$BN$3:$BN$306=TRUE),--(calc!$BP$3:$BP$306=BP275))-1)/2,"")</f>
        <v/>
      </c>
      <c r="BU275" s="5">
        <f>IF(BN275,SUMPRODUCT(--(calc!$BN$3:$BN$306=TRUE),--(ROW(calc!$BN$3:$BN$306)&gt;ROW(BN275)),--(((calc!$BS$3:$BS$306&gt;BS275)*(calc!$BT$3:$BT$306&gt;BT275)+(calc!$BS$3:$BS$306&lt;BS275)*(calc!$BT$3:$BT$306&lt;BT275))&gt;0))-SUMPRODUCT(--(calc!$BN$3:$BN$306=TRUE),--(ROW(calc!$BN$3:$BN$306)&gt;ROW(BN275)),--(((calc!$BS$3:$BS$306&gt;BS275)*(calc!$BT$3:$BT$306&lt;BT275)+(calc!$BS$3:$BS$306&lt;BS275)*(calc!$BT$3:$BT$306&gt;BT275))&gt;0)),0)</f>
        <v/>
      </c>
    </row>
    <row r="276">
      <c r="A276" s="2">
        <f>mos_metrics!A275</f>
        <v/>
      </c>
      <c r="B276" s="2">
        <f>mos_metrics!B275</f>
        <v/>
      </c>
      <c r="C276" s="2">
        <f>mos_metrics!C275</f>
        <v/>
      </c>
      <c r="D276" s="2">
        <f>mos_metrics!D275</f>
        <v/>
      </c>
      <c r="E276" s="2">
        <f>mos_metrics!E275</f>
        <v/>
      </c>
      <c r="F276" s="2">
        <f>mos_metrics!F275</f>
        <v/>
      </c>
      <c r="G276" s="2">
        <f>IF($B276="","",IFERROR(VLOOKUP($B276,correlation!$A$2:$B$16,2,FALSE),1))</f>
        <v/>
      </c>
      <c r="H276" s="2">
        <f>IF($E276="","",IFERROR(VLOOKUP($E276,correlation!$D$2:$E$8,2,FALSE),1))</f>
        <v/>
      </c>
      <c r="I276" s="2">
        <f>ISNUMBER($F276)</f>
        <v/>
      </c>
      <c r="J276" s="2">
        <f>AND($G276=1,$H276=1,$I276)</f>
        <v/>
      </c>
      <c r="K276" s="5">
        <f>IF(mos_metrics!G275="","",mos_metrics!G275)</f>
        <v/>
      </c>
      <c r="L276" s="2">
        <f>AND($J276,ISNUMBER(K276),correlation!$I$26=1)</f>
        <v/>
      </c>
      <c r="M276" s="5">
        <f>IF(L276,$F276,"")</f>
        <v/>
      </c>
      <c r="N276" s="5">
        <f>IF(L276,K276*correlation!$J$26,"")</f>
        <v/>
      </c>
      <c r="O276" s="5">
        <f>IF(AND(L276,ISNUMBER(correlation!$F$26)),N276*correlation!$F$26+correlation!$G$26,"")</f>
        <v/>
      </c>
      <c r="P276" s="5">
        <f>IF(AND(L276,ISNUMBER(O276)),(M276-O276)^2,"")</f>
        <v/>
      </c>
      <c r="Q276" s="5">
        <f>IF(L276,1+SUMPRODUCT(--(calc!$L$3:$L$306=TRUE),--(calc!$M$3:$M$306&gt;M276))+(SUMPRODUCT(--(calc!$L$3:$L$306=TRUE),--(calc!$M$3:$M$306=M276))-1)/2,"")</f>
        <v/>
      </c>
      <c r="R276" s="5">
        <f>IF(L276,1+SUMPRODUCT(--(calc!$L$3:$L$306=TRUE),--(calc!$N$3:$N$306&gt;N276))+(SUMPRODUCT(--(calc!$L$3:$L$306=TRUE),--(calc!$N$3:$N$306=N276))-1)/2,"")</f>
        <v/>
      </c>
      <c r="S276" s="5">
        <f>IF(L276,SUMPRODUCT(--(calc!$L$3:$L$306=TRUE),--(ROW(calc!$L$3:$L$306)&gt;ROW(L276)),--(((calc!$Q$3:$Q$306&gt;Q276)*(calc!$R$3:$R$306&gt;R276)+(calc!$Q$3:$Q$306&lt;Q276)*(calc!$R$3:$R$306&lt;R276))&gt;0))-SUMPRODUCT(--(calc!$L$3:$L$306=TRUE),--(ROW(calc!$L$3:$L$306)&gt;ROW(L276)),--(((calc!$Q$3:$Q$306&gt;Q276)*(calc!$R$3:$R$306&lt;R276)+(calc!$Q$3:$Q$306&lt;Q276)*(calc!$R$3:$R$306&gt;R276))&gt;0)),0)</f>
        <v/>
      </c>
      <c r="T276" s="5">
        <f>IF(mos_metrics!H275="","",mos_metrics!H275)</f>
        <v/>
      </c>
      <c r="U276" s="2">
        <f>AND($J276,ISNUMBER(T276),correlation!$I$27=1)</f>
        <v/>
      </c>
      <c r="V276" s="5">
        <f>IF(U276,$F276,"")</f>
        <v/>
      </c>
      <c r="W276" s="5">
        <f>IF(U276,T276*correlation!$J$27,"")</f>
        <v/>
      </c>
      <c r="X276" s="5">
        <f>IF(AND(U276,ISNUMBER(correlation!$F$27)),W276*correlation!$F$27+correlation!$G$27,"")</f>
        <v/>
      </c>
      <c r="Y276" s="5">
        <f>IF(AND(U276,ISNUMBER(X276)),(V276-X276)^2,"")</f>
        <v/>
      </c>
      <c r="Z276" s="5">
        <f>IF(U276,1+SUMPRODUCT(--(calc!$U$3:$U$306=TRUE),--(calc!$V$3:$V$306&gt;V276))+(SUMPRODUCT(--(calc!$U$3:$U$306=TRUE),--(calc!$V$3:$V$306=V276))-1)/2,"")</f>
        <v/>
      </c>
      <c r="AA276" s="5">
        <f>IF(U276,1+SUMPRODUCT(--(calc!$U$3:$U$306=TRUE),--(calc!$W$3:$W$306&gt;W276))+(SUMPRODUCT(--(calc!$U$3:$U$306=TRUE),--(calc!$W$3:$W$306=W276))-1)/2,"")</f>
        <v/>
      </c>
      <c r="AB276" s="5">
        <f>IF(U276,SUMPRODUCT(--(calc!$U$3:$U$306=TRUE),--(ROW(calc!$U$3:$U$306)&gt;ROW(U276)),--(((calc!$Z$3:$Z$306&gt;Z276)*(calc!$AA$3:$AA$306&gt;AA276)+(calc!$Z$3:$Z$306&lt;Z276)*(calc!$AA$3:$AA$306&lt;AA276))&gt;0))-SUMPRODUCT(--(calc!$U$3:$U$306=TRUE),--(ROW(calc!$U$3:$U$306)&gt;ROW(U276)),--(((calc!$Z$3:$Z$306&gt;Z276)*(calc!$AA$3:$AA$306&lt;AA276)+(calc!$Z$3:$Z$306&lt;Z276)*(calc!$AA$3:$AA$306&gt;AA276))&gt;0)),0)</f>
        <v/>
      </c>
      <c r="AC276" s="5">
        <f>IF(mos_metrics!I275="","",mos_metrics!I275)</f>
        <v/>
      </c>
      <c r="AD276" s="2">
        <f>AND($J276,ISNUMBER(AC276),correlation!$I$28=1)</f>
        <v/>
      </c>
      <c r="AE276" s="5">
        <f>IF(AD276,$F276,"")</f>
        <v/>
      </c>
      <c r="AF276" s="5">
        <f>IF(AD276,AC276*correlation!$J$28,"")</f>
        <v/>
      </c>
      <c r="AG276" s="5">
        <f>IF(AND(AD276,ISNUMBER(correlation!$F$28)),AF276*correlation!$F$28+correlation!$G$28,"")</f>
        <v/>
      </c>
      <c r="AH276" s="5">
        <f>IF(AND(AD276,ISNUMBER(AG276)),(AE276-AG276)^2,"")</f>
        <v/>
      </c>
      <c r="AI276" s="5">
        <f>IF(AD276,1+SUMPRODUCT(--(calc!$AD$3:$AD$306=TRUE),--(calc!$AE$3:$AE$306&gt;AE276))+(SUMPRODUCT(--(calc!$AD$3:$AD$306=TRUE),--(calc!$AE$3:$AE$306=AE276))-1)/2,"")</f>
        <v/>
      </c>
      <c r="AJ276" s="5">
        <f>IF(AD276,1+SUMPRODUCT(--(calc!$AD$3:$AD$306=TRUE),--(calc!$AF$3:$AF$306&gt;AF276))+(SUMPRODUCT(--(calc!$AD$3:$AD$306=TRUE),--(calc!$AF$3:$AF$306=AF276))-1)/2,"")</f>
        <v/>
      </c>
      <c r="AK276" s="5">
        <f>IF(AD276,SUMPRODUCT(--(calc!$AD$3:$AD$306=TRUE),--(ROW(calc!$AD$3:$AD$306)&gt;ROW(AD276)),--(((calc!$AI$3:$AI$306&gt;AI276)*(calc!$AJ$3:$AJ$306&gt;AJ276)+(calc!$AI$3:$AI$306&lt;AI276)*(calc!$AJ$3:$AJ$306&lt;AJ276))&gt;0))-SUMPRODUCT(--(calc!$AD$3:$AD$306=TRUE),--(ROW(calc!$AD$3:$AD$306)&gt;ROW(AD276)),--(((calc!$AI$3:$AI$306&gt;AI276)*(calc!$AJ$3:$AJ$306&lt;AJ276)+(calc!$AI$3:$AI$306&lt;AI276)*(calc!$AJ$3:$AJ$306&gt;AJ276))&gt;0)),0)</f>
        <v/>
      </c>
      <c r="AL276" s="5">
        <f>IF(mos_metrics!J275="","",mos_metrics!J275)</f>
        <v/>
      </c>
      <c r="AM276" s="2">
        <f>AND($J276,ISNUMBER(AL276),correlation!$I$29=1)</f>
        <v/>
      </c>
      <c r="AN276" s="5">
        <f>IF(AM276,$F276,"")</f>
        <v/>
      </c>
      <c r="AO276" s="5">
        <f>IF(AM276,AL276*correlation!$J$29,"")</f>
        <v/>
      </c>
      <c r="AP276" s="5">
        <f>IF(AND(AM276,ISNUMBER(correlation!$F$29)),AO276*correlation!$F$29+correlation!$G$29,"")</f>
        <v/>
      </c>
      <c r="AQ276" s="5">
        <f>IF(AND(AM276,ISNUMBER(AP276)),(AN276-AP276)^2,"")</f>
        <v/>
      </c>
      <c r="AR276" s="5">
        <f>IF(AM276,1+SUMPRODUCT(--(calc!$AM$3:$AM$306=TRUE),--(calc!$AN$3:$AN$306&gt;AN276))+(SUMPRODUCT(--(calc!$AM$3:$AM$306=TRUE),--(calc!$AN$3:$AN$306=AN276))-1)/2,"")</f>
        <v/>
      </c>
      <c r="AS276" s="5">
        <f>IF(AM276,1+SUMPRODUCT(--(calc!$AM$3:$AM$306=TRUE),--(calc!$AO$3:$AO$306&gt;AO276))+(SUMPRODUCT(--(calc!$AM$3:$AM$306=TRUE),--(calc!$AO$3:$AO$306=AO276))-1)/2,"")</f>
        <v/>
      </c>
      <c r="AT276" s="5">
        <f>IF(AM276,SUMPRODUCT(--(calc!$AM$3:$AM$306=TRUE),--(ROW(calc!$AM$3:$AM$306)&gt;ROW(AM276)),--(((calc!$AR$3:$AR$306&gt;AR276)*(calc!$AS$3:$AS$306&gt;AS276)+(calc!$AR$3:$AR$306&lt;AR276)*(calc!$AS$3:$AS$306&lt;AS276))&gt;0))-SUMPRODUCT(--(calc!$AM$3:$AM$306=TRUE),--(ROW(calc!$AM$3:$AM$306)&gt;ROW(AM276)),--(((calc!$AR$3:$AR$306&gt;AR276)*(calc!$AS$3:$AS$306&lt;AS276)+(calc!$AR$3:$AR$306&lt;AR276)*(calc!$AS$3:$AS$306&gt;AS276))&gt;0)),0)</f>
        <v/>
      </c>
      <c r="AU276" s="5">
        <f>IF(mos_metrics!K275="","",mos_metrics!K275)</f>
        <v/>
      </c>
      <c r="AV276" s="2">
        <f>AND($J276,ISNUMBER(AU276),correlation!$I$30=1)</f>
        <v/>
      </c>
      <c r="AW276" s="5">
        <f>IF(AV276,$F276,"")</f>
        <v/>
      </c>
      <c r="AX276" s="5">
        <f>IF(AV276,AU276*correlation!$J$30,"")</f>
        <v/>
      </c>
      <c r="AY276" s="5">
        <f>IF(AND(AV276,ISNUMBER(correlation!$F$30)),AX276*correlation!$F$30+correlation!$G$30,"")</f>
        <v/>
      </c>
      <c r="AZ276" s="5">
        <f>IF(AND(AV276,ISNUMBER(AY276)),(AW276-AY276)^2,"")</f>
        <v/>
      </c>
      <c r="BA276" s="5">
        <f>IF(AV276,1+SUMPRODUCT(--(calc!$AV$3:$AV$306=TRUE),--(calc!$AW$3:$AW$306&gt;AW276))+(SUMPRODUCT(--(calc!$AV$3:$AV$306=TRUE),--(calc!$AW$3:$AW$306=AW276))-1)/2,"")</f>
        <v/>
      </c>
      <c r="BB276" s="5">
        <f>IF(AV276,1+SUMPRODUCT(--(calc!$AV$3:$AV$306=TRUE),--(calc!$AX$3:$AX$306&gt;AX276))+(SUMPRODUCT(--(calc!$AV$3:$AV$306=TRUE),--(calc!$AX$3:$AX$306=AX276))-1)/2,"")</f>
        <v/>
      </c>
      <c r="BC276" s="5">
        <f>IF(AV276,SUMPRODUCT(--(calc!$AV$3:$AV$306=TRUE),--(ROW(calc!$AV$3:$AV$306)&gt;ROW(AV276)),--(((calc!$BA$3:$BA$306&gt;BA276)*(calc!$BB$3:$BB$306&gt;BB276)+(calc!$BA$3:$BA$306&lt;BA276)*(calc!$BB$3:$BB$306&lt;BB276))&gt;0))-SUMPRODUCT(--(calc!$AV$3:$AV$306=TRUE),--(ROW(calc!$AV$3:$AV$306)&gt;ROW(AV276)),--(((calc!$BA$3:$BA$306&gt;BA276)*(calc!$BB$3:$BB$306&lt;BB276)+(calc!$BA$3:$BA$306&lt;BA276)*(calc!$BB$3:$BB$306&gt;BB276))&gt;0)),0)</f>
        <v/>
      </c>
      <c r="BD276" s="5">
        <f>IF(mos_metrics!L275="","",mos_metrics!L275)</f>
        <v/>
      </c>
      <c r="BE276" s="2">
        <f>AND($J276,ISNUMBER(BD276),correlation!$I$31=1)</f>
        <v/>
      </c>
      <c r="BF276" s="5">
        <f>IF(BE276,$F276,"")</f>
        <v/>
      </c>
      <c r="BG276" s="5">
        <f>IF(BE276,BD276*correlation!$J$31,"")</f>
        <v/>
      </c>
      <c r="BH276" s="5">
        <f>IF(AND(BE276,ISNUMBER(correlation!$F$31)),BG276*correlation!$F$31+correlation!$G$31,"")</f>
        <v/>
      </c>
      <c r="BI276" s="5">
        <f>IF(AND(BE276,ISNUMBER(BH276)),(BF276-BH276)^2,"")</f>
        <v/>
      </c>
      <c r="BJ276" s="5">
        <f>IF(BE276,1+SUMPRODUCT(--(calc!$BE$3:$BE$306=TRUE),--(calc!$BF$3:$BF$306&gt;BF276))+(SUMPRODUCT(--(calc!$BE$3:$BE$306=TRUE),--(calc!$BF$3:$BF$306=BF276))-1)/2,"")</f>
        <v/>
      </c>
      <c r="BK276" s="5">
        <f>IF(BE276,1+SUMPRODUCT(--(calc!$BE$3:$BE$306=TRUE),--(calc!$BG$3:$BG$306&gt;BG276))+(SUMPRODUCT(--(calc!$BE$3:$BE$306=TRUE),--(calc!$BG$3:$BG$306=BG276))-1)/2,"")</f>
        <v/>
      </c>
      <c r="BL276" s="5">
        <f>IF(BE276,SUMPRODUCT(--(calc!$BE$3:$BE$306=TRUE),--(ROW(calc!$BE$3:$BE$306)&gt;ROW(BE276)),--(((calc!$BJ$3:$BJ$306&gt;BJ276)*(calc!$BK$3:$BK$306&gt;BK276)+(calc!$BJ$3:$BJ$306&lt;BJ276)*(calc!$BK$3:$BK$306&lt;BK276))&gt;0))-SUMPRODUCT(--(calc!$BE$3:$BE$306=TRUE),--(ROW(calc!$BE$3:$BE$306)&gt;ROW(BE276)),--(((calc!$BJ$3:$BJ$306&gt;BJ276)*(calc!$BK$3:$BK$306&lt;BK276)+(calc!$BJ$3:$BJ$306&lt;BJ276)*(calc!$BK$3:$BK$306&gt;BK276))&gt;0)),0)</f>
        <v/>
      </c>
      <c r="BM276" s="5">
        <f>IF(mos_metrics!M275="","",mos_metrics!M275)</f>
        <v/>
      </c>
      <c r="BN276" s="2">
        <f>AND($J276,ISNUMBER(BM276),correlation!$I$32=1)</f>
        <v/>
      </c>
      <c r="BO276" s="5">
        <f>IF(BN276,$F276,"")</f>
        <v/>
      </c>
      <c r="BP276" s="5">
        <f>IF(BN276,BM276*correlation!$J$32,"")</f>
        <v/>
      </c>
      <c r="BQ276" s="5">
        <f>IF(AND(BN276,ISNUMBER(correlation!$F$32)),BP276*correlation!$F$32+correlation!$G$32,"")</f>
        <v/>
      </c>
      <c r="BR276" s="5">
        <f>IF(AND(BN276,ISNUMBER(BQ276)),(BO276-BQ276)^2,"")</f>
        <v/>
      </c>
      <c r="BS276" s="5">
        <f>IF(BN276,1+SUMPRODUCT(--(calc!$BN$3:$BN$306=TRUE),--(calc!$BO$3:$BO$306&gt;BO276))+(SUMPRODUCT(--(calc!$BN$3:$BN$306=TRUE),--(calc!$BO$3:$BO$306=BO276))-1)/2,"")</f>
        <v/>
      </c>
      <c r="BT276" s="5">
        <f>IF(BN276,1+SUMPRODUCT(--(calc!$BN$3:$BN$306=TRUE),--(calc!$BP$3:$BP$306&gt;BP276))+(SUMPRODUCT(--(calc!$BN$3:$BN$306=TRUE),--(calc!$BP$3:$BP$306=BP276))-1)/2,"")</f>
        <v/>
      </c>
      <c r="BU276" s="5">
        <f>IF(BN276,SUMPRODUCT(--(calc!$BN$3:$BN$306=TRUE),--(ROW(calc!$BN$3:$BN$306)&gt;ROW(BN276)),--(((calc!$BS$3:$BS$306&gt;BS276)*(calc!$BT$3:$BT$306&gt;BT276)+(calc!$BS$3:$BS$306&lt;BS276)*(calc!$BT$3:$BT$306&lt;BT276))&gt;0))-SUMPRODUCT(--(calc!$BN$3:$BN$306=TRUE),--(ROW(calc!$BN$3:$BN$306)&gt;ROW(BN276)),--(((calc!$BS$3:$BS$306&gt;BS276)*(calc!$BT$3:$BT$306&lt;BT276)+(calc!$BS$3:$BS$306&lt;BS276)*(calc!$BT$3:$BT$306&gt;BT276))&gt;0)),0)</f>
        <v/>
      </c>
    </row>
    <row r="277">
      <c r="A277" s="2">
        <f>mos_metrics!A276</f>
        <v/>
      </c>
      <c r="B277" s="2">
        <f>mos_metrics!B276</f>
        <v/>
      </c>
      <c r="C277" s="2">
        <f>mos_metrics!C276</f>
        <v/>
      </c>
      <c r="D277" s="2">
        <f>mos_metrics!D276</f>
        <v/>
      </c>
      <c r="E277" s="2">
        <f>mos_metrics!E276</f>
        <v/>
      </c>
      <c r="F277" s="2">
        <f>mos_metrics!F276</f>
        <v/>
      </c>
      <c r="G277" s="2">
        <f>IF($B277="","",IFERROR(VLOOKUP($B277,correlation!$A$2:$B$16,2,FALSE),1))</f>
        <v/>
      </c>
      <c r="H277" s="2">
        <f>IF($E277="","",IFERROR(VLOOKUP($E277,correlation!$D$2:$E$8,2,FALSE),1))</f>
        <v/>
      </c>
      <c r="I277" s="2">
        <f>ISNUMBER($F277)</f>
        <v/>
      </c>
      <c r="J277" s="2">
        <f>AND($G277=1,$H277=1,$I277)</f>
        <v/>
      </c>
      <c r="K277" s="5">
        <f>IF(mos_metrics!G276="","",mos_metrics!G276)</f>
        <v/>
      </c>
      <c r="L277" s="2">
        <f>AND($J277,ISNUMBER(K277),correlation!$I$26=1)</f>
        <v/>
      </c>
      <c r="M277" s="5">
        <f>IF(L277,$F277,"")</f>
        <v/>
      </c>
      <c r="N277" s="5">
        <f>IF(L277,K277*correlation!$J$26,"")</f>
        <v/>
      </c>
      <c r="O277" s="5">
        <f>IF(AND(L277,ISNUMBER(correlation!$F$26)),N277*correlation!$F$26+correlation!$G$26,"")</f>
        <v/>
      </c>
      <c r="P277" s="5">
        <f>IF(AND(L277,ISNUMBER(O277)),(M277-O277)^2,"")</f>
        <v/>
      </c>
      <c r="Q277" s="5">
        <f>IF(L277,1+SUMPRODUCT(--(calc!$L$3:$L$306=TRUE),--(calc!$M$3:$M$306&gt;M277))+(SUMPRODUCT(--(calc!$L$3:$L$306=TRUE),--(calc!$M$3:$M$306=M277))-1)/2,"")</f>
        <v/>
      </c>
      <c r="R277" s="5">
        <f>IF(L277,1+SUMPRODUCT(--(calc!$L$3:$L$306=TRUE),--(calc!$N$3:$N$306&gt;N277))+(SUMPRODUCT(--(calc!$L$3:$L$306=TRUE),--(calc!$N$3:$N$306=N277))-1)/2,"")</f>
        <v/>
      </c>
      <c r="S277" s="5">
        <f>IF(L277,SUMPRODUCT(--(calc!$L$3:$L$306=TRUE),--(ROW(calc!$L$3:$L$306)&gt;ROW(L277)),--(((calc!$Q$3:$Q$306&gt;Q277)*(calc!$R$3:$R$306&gt;R277)+(calc!$Q$3:$Q$306&lt;Q277)*(calc!$R$3:$R$306&lt;R277))&gt;0))-SUMPRODUCT(--(calc!$L$3:$L$306=TRUE),--(ROW(calc!$L$3:$L$306)&gt;ROW(L277)),--(((calc!$Q$3:$Q$306&gt;Q277)*(calc!$R$3:$R$306&lt;R277)+(calc!$Q$3:$Q$306&lt;Q277)*(calc!$R$3:$R$306&gt;R277))&gt;0)),0)</f>
        <v/>
      </c>
      <c r="T277" s="5">
        <f>IF(mos_metrics!H276="","",mos_metrics!H276)</f>
        <v/>
      </c>
      <c r="U277" s="2">
        <f>AND($J277,ISNUMBER(T277),correlation!$I$27=1)</f>
        <v/>
      </c>
      <c r="V277" s="5">
        <f>IF(U277,$F277,"")</f>
        <v/>
      </c>
      <c r="W277" s="5">
        <f>IF(U277,T277*correlation!$J$27,"")</f>
        <v/>
      </c>
      <c r="X277" s="5">
        <f>IF(AND(U277,ISNUMBER(correlation!$F$27)),W277*correlation!$F$27+correlation!$G$27,"")</f>
        <v/>
      </c>
      <c r="Y277" s="5">
        <f>IF(AND(U277,ISNUMBER(X277)),(V277-X277)^2,"")</f>
        <v/>
      </c>
      <c r="Z277" s="5">
        <f>IF(U277,1+SUMPRODUCT(--(calc!$U$3:$U$306=TRUE),--(calc!$V$3:$V$306&gt;V277))+(SUMPRODUCT(--(calc!$U$3:$U$306=TRUE),--(calc!$V$3:$V$306=V277))-1)/2,"")</f>
        <v/>
      </c>
      <c r="AA277" s="5">
        <f>IF(U277,1+SUMPRODUCT(--(calc!$U$3:$U$306=TRUE),--(calc!$W$3:$W$306&gt;W277))+(SUMPRODUCT(--(calc!$U$3:$U$306=TRUE),--(calc!$W$3:$W$306=W277))-1)/2,"")</f>
        <v/>
      </c>
      <c r="AB277" s="5">
        <f>IF(U277,SUMPRODUCT(--(calc!$U$3:$U$306=TRUE),--(ROW(calc!$U$3:$U$306)&gt;ROW(U277)),--(((calc!$Z$3:$Z$306&gt;Z277)*(calc!$AA$3:$AA$306&gt;AA277)+(calc!$Z$3:$Z$306&lt;Z277)*(calc!$AA$3:$AA$306&lt;AA277))&gt;0))-SUMPRODUCT(--(calc!$U$3:$U$306=TRUE),--(ROW(calc!$U$3:$U$306)&gt;ROW(U277)),--(((calc!$Z$3:$Z$306&gt;Z277)*(calc!$AA$3:$AA$306&lt;AA277)+(calc!$Z$3:$Z$306&lt;Z277)*(calc!$AA$3:$AA$306&gt;AA277))&gt;0)),0)</f>
        <v/>
      </c>
      <c r="AC277" s="5">
        <f>IF(mos_metrics!I276="","",mos_metrics!I276)</f>
        <v/>
      </c>
      <c r="AD277" s="2">
        <f>AND($J277,ISNUMBER(AC277),correlation!$I$28=1)</f>
        <v/>
      </c>
      <c r="AE277" s="5">
        <f>IF(AD277,$F277,"")</f>
        <v/>
      </c>
      <c r="AF277" s="5">
        <f>IF(AD277,AC277*correlation!$J$28,"")</f>
        <v/>
      </c>
      <c r="AG277" s="5">
        <f>IF(AND(AD277,ISNUMBER(correlation!$F$28)),AF277*correlation!$F$28+correlation!$G$28,"")</f>
        <v/>
      </c>
      <c r="AH277" s="5">
        <f>IF(AND(AD277,ISNUMBER(AG277)),(AE277-AG277)^2,"")</f>
        <v/>
      </c>
      <c r="AI277" s="5">
        <f>IF(AD277,1+SUMPRODUCT(--(calc!$AD$3:$AD$306=TRUE),--(calc!$AE$3:$AE$306&gt;AE277))+(SUMPRODUCT(--(calc!$AD$3:$AD$306=TRUE),--(calc!$AE$3:$AE$306=AE277))-1)/2,"")</f>
        <v/>
      </c>
      <c r="AJ277" s="5">
        <f>IF(AD277,1+SUMPRODUCT(--(calc!$AD$3:$AD$306=TRUE),--(calc!$AF$3:$AF$306&gt;AF277))+(SUMPRODUCT(--(calc!$AD$3:$AD$306=TRUE),--(calc!$AF$3:$AF$306=AF277))-1)/2,"")</f>
        <v/>
      </c>
      <c r="AK277" s="5">
        <f>IF(AD277,SUMPRODUCT(--(calc!$AD$3:$AD$306=TRUE),--(ROW(calc!$AD$3:$AD$306)&gt;ROW(AD277)),--(((calc!$AI$3:$AI$306&gt;AI277)*(calc!$AJ$3:$AJ$306&gt;AJ277)+(calc!$AI$3:$AI$306&lt;AI277)*(calc!$AJ$3:$AJ$306&lt;AJ277))&gt;0))-SUMPRODUCT(--(calc!$AD$3:$AD$306=TRUE),--(ROW(calc!$AD$3:$AD$306)&gt;ROW(AD277)),--(((calc!$AI$3:$AI$306&gt;AI277)*(calc!$AJ$3:$AJ$306&lt;AJ277)+(calc!$AI$3:$AI$306&lt;AI277)*(calc!$AJ$3:$AJ$306&gt;AJ277))&gt;0)),0)</f>
        <v/>
      </c>
      <c r="AL277" s="5">
        <f>IF(mos_metrics!J276="","",mos_metrics!J276)</f>
        <v/>
      </c>
      <c r="AM277" s="2">
        <f>AND($J277,ISNUMBER(AL277),correlation!$I$29=1)</f>
        <v/>
      </c>
      <c r="AN277" s="5">
        <f>IF(AM277,$F277,"")</f>
        <v/>
      </c>
      <c r="AO277" s="5">
        <f>IF(AM277,AL277*correlation!$J$29,"")</f>
        <v/>
      </c>
      <c r="AP277" s="5">
        <f>IF(AND(AM277,ISNUMBER(correlation!$F$29)),AO277*correlation!$F$29+correlation!$G$29,"")</f>
        <v/>
      </c>
      <c r="AQ277" s="5">
        <f>IF(AND(AM277,ISNUMBER(AP277)),(AN277-AP277)^2,"")</f>
        <v/>
      </c>
      <c r="AR277" s="5">
        <f>IF(AM277,1+SUMPRODUCT(--(calc!$AM$3:$AM$306=TRUE),--(calc!$AN$3:$AN$306&gt;AN277))+(SUMPRODUCT(--(calc!$AM$3:$AM$306=TRUE),--(calc!$AN$3:$AN$306=AN277))-1)/2,"")</f>
        <v/>
      </c>
      <c r="AS277" s="5">
        <f>IF(AM277,1+SUMPRODUCT(--(calc!$AM$3:$AM$306=TRUE),--(calc!$AO$3:$AO$306&gt;AO277))+(SUMPRODUCT(--(calc!$AM$3:$AM$306=TRUE),--(calc!$AO$3:$AO$306=AO277))-1)/2,"")</f>
        <v/>
      </c>
      <c r="AT277" s="5">
        <f>IF(AM277,SUMPRODUCT(--(calc!$AM$3:$AM$306=TRUE),--(ROW(calc!$AM$3:$AM$306)&gt;ROW(AM277)),--(((calc!$AR$3:$AR$306&gt;AR277)*(calc!$AS$3:$AS$306&gt;AS277)+(calc!$AR$3:$AR$306&lt;AR277)*(calc!$AS$3:$AS$306&lt;AS277))&gt;0))-SUMPRODUCT(--(calc!$AM$3:$AM$306=TRUE),--(ROW(calc!$AM$3:$AM$306)&gt;ROW(AM277)),--(((calc!$AR$3:$AR$306&gt;AR277)*(calc!$AS$3:$AS$306&lt;AS277)+(calc!$AR$3:$AR$306&lt;AR277)*(calc!$AS$3:$AS$306&gt;AS277))&gt;0)),0)</f>
        <v/>
      </c>
      <c r="AU277" s="5">
        <f>IF(mos_metrics!K276="","",mos_metrics!K276)</f>
        <v/>
      </c>
      <c r="AV277" s="2">
        <f>AND($J277,ISNUMBER(AU277),correlation!$I$30=1)</f>
        <v/>
      </c>
      <c r="AW277" s="5">
        <f>IF(AV277,$F277,"")</f>
        <v/>
      </c>
      <c r="AX277" s="5">
        <f>IF(AV277,AU277*correlation!$J$30,"")</f>
        <v/>
      </c>
      <c r="AY277" s="5">
        <f>IF(AND(AV277,ISNUMBER(correlation!$F$30)),AX277*correlation!$F$30+correlation!$G$30,"")</f>
        <v/>
      </c>
      <c r="AZ277" s="5">
        <f>IF(AND(AV277,ISNUMBER(AY277)),(AW277-AY277)^2,"")</f>
        <v/>
      </c>
      <c r="BA277" s="5">
        <f>IF(AV277,1+SUMPRODUCT(--(calc!$AV$3:$AV$306=TRUE),--(calc!$AW$3:$AW$306&gt;AW277))+(SUMPRODUCT(--(calc!$AV$3:$AV$306=TRUE),--(calc!$AW$3:$AW$306=AW277))-1)/2,"")</f>
        <v/>
      </c>
      <c r="BB277" s="5">
        <f>IF(AV277,1+SUMPRODUCT(--(calc!$AV$3:$AV$306=TRUE),--(calc!$AX$3:$AX$306&gt;AX277))+(SUMPRODUCT(--(calc!$AV$3:$AV$306=TRUE),--(calc!$AX$3:$AX$306=AX277))-1)/2,"")</f>
        <v/>
      </c>
      <c r="BC277" s="5">
        <f>IF(AV277,SUMPRODUCT(--(calc!$AV$3:$AV$306=TRUE),--(ROW(calc!$AV$3:$AV$306)&gt;ROW(AV277)),--(((calc!$BA$3:$BA$306&gt;BA277)*(calc!$BB$3:$BB$306&gt;BB277)+(calc!$BA$3:$BA$306&lt;BA277)*(calc!$BB$3:$BB$306&lt;BB277))&gt;0))-SUMPRODUCT(--(calc!$AV$3:$AV$306=TRUE),--(ROW(calc!$AV$3:$AV$306)&gt;ROW(AV277)),--(((calc!$BA$3:$BA$306&gt;BA277)*(calc!$BB$3:$BB$306&lt;BB277)+(calc!$BA$3:$BA$306&lt;BA277)*(calc!$BB$3:$BB$306&gt;BB277))&gt;0)),0)</f>
        <v/>
      </c>
      <c r="BD277" s="5">
        <f>IF(mos_metrics!L276="","",mos_metrics!L276)</f>
        <v/>
      </c>
      <c r="BE277" s="2">
        <f>AND($J277,ISNUMBER(BD277),correlation!$I$31=1)</f>
        <v/>
      </c>
      <c r="BF277" s="5">
        <f>IF(BE277,$F277,"")</f>
        <v/>
      </c>
      <c r="BG277" s="5">
        <f>IF(BE277,BD277*correlation!$J$31,"")</f>
        <v/>
      </c>
      <c r="BH277" s="5">
        <f>IF(AND(BE277,ISNUMBER(correlation!$F$31)),BG277*correlation!$F$31+correlation!$G$31,"")</f>
        <v/>
      </c>
      <c r="BI277" s="5">
        <f>IF(AND(BE277,ISNUMBER(BH277)),(BF277-BH277)^2,"")</f>
        <v/>
      </c>
      <c r="BJ277" s="5">
        <f>IF(BE277,1+SUMPRODUCT(--(calc!$BE$3:$BE$306=TRUE),--(calc!$BF$3:$BF$306&gt;BF277))+(SUMPRODUCT(--(calc!$BE$3:$BE$306=TRUE),--(calc!$BF$3:$BF$306=BF277))-1)/2,"")</f>
        <v/>
      </c>
      <c r="BK277" s="5">
        <f>IF(BE277,1+SUMPRODUCT(--(calc!$BE$3:$BE$306=TRUE),--(calc!$BG$3:$BG$306&gt;BG277))+(SUMPRODUCT(--(calc!$BE$3:$BE$306=TRUE),--(calc!$BG$3:$BG$306=BG277))-1)/2,"")</f>
        <v/>
      </c>
      <c r="BL277" s="5">
        <f>IF(BE277,SUMPRODUCT(--(calc!$BE$3:$BE$306=TRUE),--(ROW(calc!$BE$3:$BE$306)&gt;ROW(BE277)),--(((calc!$BJ$3:$BJ$306&gt;BJ277)*(calc!$BK$3:$BK$306&gt;BK277)+(calc!$BJ$3:$BJ$306&lt;BJ277)*(calc!$BK$3:$BK$306&lt;BK277))&gt;0))-SUMPRODUCT(--(calc!$BE$3:$BE$306=TRUE),--(ROW(calc!$BE$3:$BE$306)&gt;ROW(BE277)),--(((calc!$BJ$3:$BJ$306&gt;BJ277)*(calc!$BK$3:$BK$306&lt;BK277)+(calc!$BJ$3:$BJ$306&lt;BJ277)*(calc!$BK$3:$BK$306&gt;BK277))&gt;0)),0)</f>
        <v/>
      </c>
      <c r="BM277" s="5">
        <f>IF(mos_metrics!M276="","",mos_metrics!M276)</f>
        <v/>
      </c>
      <c r="BN277" s="2">
        <f>AND($J277,ISNUMBER(BM277),correlation!$I$32=1)</f>
        <v/>
      </c>
      <c r="BO277" s="5">
        <f>IF(BN277,$F277,"")</f>
        <v/>
      </c>
      <c r="BP277" s="5">
        <f>IF(BN277,BM277*correlation!$J$32,"")</f>
        <v/>
      </c>
      <c r="BQ277" s="5">
        <f>IF(AND(BN277,ISNUMBER(correlation!$F$32)),BP277*correlation!$F$32+correlation!$G$32,"")</f>
        <v/>
      </c>
      <c r="BR277" s="5">
        <f>IF(AND(BN277,ISNUMBER(BQ277)),(BO277-BQ277)^2,"")</f>
        <v/>
      </c>
      <c r="BS277" s="5">
        <f>IF(BN277,1+SUMPRODUCT(--(calc!$BN$3:$BN$306=TRUE),--(calc!$BO$3:$BO$306&gt;BO277))+(SUMPRODUCT(--(calc!$BN$3:$BN$306=TRUE),--(calc!$BO$3:$BO$306=BO277))-1)/2,"")</f>
        <v/>
      </c>
      <c r="BT277" s="5">
        <f>IF(BN277,1+SUMPRODUCT(--(calc!$BN$3:$BN$306=TRUE),--(calc!$BP$3:$BP$306&gt;BP277))+(SUMPRODUCT(--(calc!$BN$3:$BN$306=TRUE),--(calc!$BP$3:$BP$306=BP277))-1)/2,"")</f>
        <v/>
      </c>
      <c r="BU277" s="5">
        <f>IF(BN277,SUMPRODUCT(--(calc!$BN$3:$BN$306=TRUE),--(ROW(calc!$BN$3:$BN$306)&gt;ROW(BN277)),--(((calc!$BS$3:$BS$306&gt;BS277)*(calc!$BT$3:$BT$306&gt;BT277)+(calc!$BS$3:$BS$306&lt;BS277)*(calc!$BT$3:$BT$306&lt;BT277))&gt;0))-SUMPRODUCT(--(calc!$BN$3:$BN$306=TRUE),--(ROW(calc!$BN$3:$BN$306)&gt;ROW(BN277)),--(((calc!$BS$3:$BS$306&gt;BS277)*(calc!$BT$3:$BT$306&lt;BT277)+(calc!$BS$3:$BS$306&lt;BS277)*(calc!$BT$3:$BT$306&gt;BT277))&gt;0)),0)</f>
        <v/>
      </c>
    </row>
    <row r="278">
      <c r="A278" s="2">
        <f>mos_metrics!A277</f>
        <v/>
      </c>
      <c r="B278" s="2">
        <f>mos_metrics!B277</f>
        <v/>
      </c>
      <c r="C278" s="2">
        <f>mos_metrics!C277</f>
        <v/>
      </c>
      <c r="D278" s="2">
        <f>mos_metrics!D277</f>
        <v/>
      </c>
      <c r="E278" s="2">
        <f>mos_metrics!E277</f>
        <v/>
      </c>
      <c r="F278" s="2">
        <f>mos_metrics!F277</f>
        <v/>
      </c>
      <c r="G278" s="2">
        <f>IF($B278="","",IFERROR(VLOOKUP($B278,correlation!$A$2:$B$16,2,FALSE),1))</f>
        <v/>
      </c>
      <c r="H278" s="2">
        <f>IF($E278="","",IFERROR(VLOOKUP($E278,correlation!$D$2:$E$8,2,FALSE),1))</f>
        <v/>
      </c>
      <c r="I278" s="2">
        <f>ISNUMBER($F278)</f>
        <v/>
      </c>
      <c r="J278" s="2">
        <f>AND($G278=1,$H278=1,$I278)</f>
        <v/>
      </c>
      <c r="K278" s="5">
        <f>IF(mos_metrics!G277="","",mos_metrics!G277)</f>
        <v/>
      </c>
      <c r="L278" s="2">
        <f>AND($J278,ISNUMBER(K278),correlation!$I$26=1)</f>
        <v/>
      </c>
      <c r="M278" s="5">
        <f>IF(L278,$F278,"")</f>
        <v/>
      </c>
      <c r="N278" s="5">
        <f>IF(L278,K278*correlation!$J$26,"")</f>
        <v/>
      </c>
      <c r="O278" s="5">
        <f>IF(AND(L278,ISNUMBER(correlation!$F$26)),N278*correlation!$F$26+correlation!$G$26,"")</f>
        <v/>
      </c>
      <c r="P278" s="5">
        <f>IF(AND(L278,ISNUMBER(O278)),(M278-O278)^2,"")</f>
        <v/>
      </c>
      <c r="Q278" s="5">
        <f>IF(L278,1+SUMPRODUCT(--(calc!$L$3:$L$306=TRUE),--(calc!$M$3:$M$306&gt;M278))+(SUMPRODUCT(--(calc!$L$3:$L$306=TRUE),--(calc!$M$3:$M$306=M278))-1)/2,"")</f>
        <v/>
      </c>
      <c r="R278" s="5">
        <f>IF(L278,1+SUMPRODUCT(--(calc!$L$3:$L$306=TRUE),--(calc!$N$3:$N$306&gt;N278))+(SUMPRODUCT(--(calc!$L$3:$L$306=TRUE),--(calc!$N$3:$N$306=N278))-1)/2,"")</f>
        <v/>
      </c>
      <c r="S278" s="5">
        <f>IF(L278,SUMPRODUCT(--(calc!$L$3:$L$306=TRUE),--(ROW(calc!$L$3:$L$306)&gt;ROW(L278)),--(((calc!$Q$3:$Q$306&gt;Q278)*(calc!$R$3:$R$306&gt;R278)+(calc!$Q$3:$Q$306&lt;Q278)*(calc!$R$3:$R$306&lt;R278))&gt;0))-SUMPRODUCT(--(calc!$L$3:$L$306=TRUE),--(ROW(calc!$L$3:$L$306)&gt;ROW(L278)),--(((calc!$Q$3:$Q$306&gt;Q278)*(calc!$R$3:$R$306&lt;R278)+(calc!$Q$3:$Q$306&lt;Q278)*(calc!$R$3:$R$306&gt;R278))&gt;0)),0)</f>
        <v/>
      </c>
      <c r="T278" s="5">
        <f>IF(mos_metrics!H277="","",mos_metrics!H277)</f>
        <v/>
      </c>
      <c r="U278" s="2">
        <f>AND($J278,ISNUMBER(T278),correlation!$I$27=1)</f>
        <v/>
      </c>
      <c r="V278" s="5">
        <f>IF(U278,$F278,"")</f>
        <v/>
      </c>
      <c r="W278" s="5">
        <f>IF(U278,T278*correlation!$J$27,"")</f>
        <v/>
      </c>
      <c r="X278" s="5">
        <f>IF(AND(U278,ISNUMBER(correlation!$F$27)),W278*correlation!$F$27+correlation!$G$27,"")</f>
        <v/>
      </c>
      <c r="Y278" s="5">
        <f>IF(AND(U278,ISNUMBER(X278)),(V278-X278)^2,"")</f>
        <v/>
      </c>
      <c r="Z278" s="5">
        <f>IF(U278,1+SUMPRODUCT(--(calc!$U$3:$U$306=TRUE),--(calc!$V$3:$V$306&gt;V278))+(SUMPRODUCT(--(calc!$U$3:$U$306=TRUE),--(calc!$V$3:$V$306=V278))-1)/2,"")</f>
        <v/>
      </c>
      <c r="AA278" s="5">
        <f>IF(U278,1+SUMPRODUCT(--(calc!$U$3:$U$306=TRUE),--(calc!$W$3:$W$306&gt;W278))+(SUMPRODUCT(--(calc!$U$3:$U$306=TRUE),--(calc!$W$3:$W$306=W278))-1)/2,"")</f>
        <v/>
      </c>
      <c r="AB278" s="5">
        <f>IF(U278,SUMPRODUCT(--(calc!$U$3:$U$306=TRUE),--(ROW(calc!$U$3:$U$306)&gt;ROW(U278)),--(((calc!$Z$3:$Z$306&gt;Z278)*(calc!$AA$3:$AA$306&gt;AA278)+(calc!$Z$3:$Z$306&lt;Z278)*(calc!$AA$3:$AA$306&lt;AA278))&gt;0))-SUMPRODUCT(--(calc!$U$3:$U$306=TRUE),--(ROW(calc!$U$3:$U$306)&gt;ROW(U278)),--(((calc!$Z$3:$Z$306&gt;Z278)*(calc!$AA$3:$AA$306&lt;AA278)+(calc!$Z$3:$Z$306&lt;Z278)*(calc!$AA$3:$AA$306&gt;AA278))&gt;0)),0)</f>
        <v/>
      </c>
      <c r="AC278" s="5">
        <f>IF(mos_metrics!I277="","",mos_metrics!I277)</f>
        <v/>
      </c>
      <c r="AD278" s="2">
        <f>AND($J278,ISNUMBER(AC278),correlation!$I$28=1)</f>
        <v/>
      </c>
      <c r="AE278" s="5">
        <f>IF(AD278,$F278,"")</f>
        <v/>
      </c>
      <c r="AF278" s="5">
        <f>IF(AD278,AC278*correlation!$J$28,"")</f>
        <v/>
      </c>
      <c r="AG278" s="5">
        <f>IF(AND(AD278,ISNUMBER(correlation!$F$28)),AF278*correlation!$F$28+correlation!$G$28,"")</f>
        <v/>
      </c>
      <c r="AH278" s="5">
        <f>IF(AND(AD278,ISNUMBER(AG278)),(AE278-AG278)^2,"")</f>
        <v/>
      </c>
      <c r="AI278" s="5">
        <f>IF(AD278,1+SUMPRODUCT(--(calc!$AD$3:$AD$306=TRUE),--(calc!$AE$3:$AE$306&gt;AE278))+(SUMPRODUCT(--(calc!$AD$3:$AD$306=TRUE),--(calc!$AE$3:$AE$306=AE278))-1)/2,"")</f>
        <v/>
      </c>
      <c r="AJ278" s="5">
        <f>IF(AD278,1+SUMPRODUCT(--(calc!$AD$3:$AD$306=TRUE),--(calc!$AF$3:$AF$306&gt;AF278))+(SUMPRODUCT(--(calc!$AD$3:$AD$306=TRUE),--(calc!$AF$3:$AF$306=AF278))-1)/2,"")</f>
        <v/>
      </c>
      <c r="AK278" s="5">
        <f>IF(AD278,SUMPRODUCT(--(calc!$AD$3:$AD$306=TRUE),--(ROW(calc!$AD$3:$AD$306)&gt;ROW(AD278)),--(((calc!$AI$3:$AI$306&gt;AI278)*(calc!$AJ$3:$AJ$306&gt;AJ278)+(calc!$AI$3:$AI$306&lt;AI278)*(calc!$AJ$3:$AJ$306&lt;AJ278))&gt;0))-SUMPRODUCT(--(calc!$AD$3:$AD$306=TRUE),--(ROW(calc!$AD$3:$AD$306)&gt;ROW(AD278)),--(((calc!$AI$3:$AI$306&gt;AI278)*(calc!$AJ$3:$AJ$306&lt;AJ278)+(calc!$AI$3:$AI$306&lt;AI278)*(calc!$AJ$3:$AJ$306&gt;AJ278))&gt;0)),0)</f>
        <v/>
      </c>
      <c r="AL278" s="5">
        <f>IF(mos_metrics!J277="","",mos_metrics!J277)</f>
        <v/>
      </c>
      <c r="AM278" s="2">
        <f>AND($J278,ISNUMBER(AL278),correlation!$I$29=1)</f>
        <v/>
      </c>
      <c r="AN278" s="5">
        <f>IF(AM278,$F278,"")</f>
        <v/>
      </c>
      <c r="AO278" s="5">
        <f>IF(AM278,AL278*correlation!$J$29,"")</f>
        <v/>
      </c>
      <c r="AP278" s="5">
        <f>IF(AND(AM278,ISNUMBER(correlation!$F$29)),AO278*correlation!$F$29+correlation!$G$29,"")</f>
        <v/>
      </c>
      <c r="AQ278" s="5">
        <f>IF(AND(AM278,ISNUMBER(AP278)),(AN278-AP278)^2,"")</f>
        <v/>
      </c>
      <c r="AR278" s="5">
        <f>IF(AM278,1+SUMPRODUCT(--(calc!$AM$3:$AM$306=TRUE),--(calc!$AN$3:$AN$306&gt;AN278))+(SUMPRODUCT(--(calc!$AM$3:$AM$306=TRUE),--(calc!$AN$3:$AN$306=AN278))-1)/2,"")</f>
        <v/>
      </c>
      <c r="AS278" s="5">
        <f>IF(AM278,1+SUMPRODUCT(--(calc!$AM$3:$AM$306=TRUE),--(calc!$AO$3:$AO$306&gt;AO278))+(SUMPRODUCT(--(calc!$AM$3:$AM$306=TRUE),--(calc!$AO$3:$AO$306=AO278))-1)/2,"")</f>
        <v/>
      </c>
      <c r="AT278" s="5">
        <f>IF(AM278,SUMPRODUCT(--(calc!$AM$3:$AM$306=TRUE),--(ROW(calc!$AM$3:$AM$306)&gt;ROW(AM278)),--(((calc!$AR$3:$AR$306&gt;AR278)*(calc!$AS$3:$AS$306&gt;AS278)+(calc!$AR$3:$AR$306&lt;AR278)*(calc!$AS$3:$AS$306&lt;AS278))&gt;0))-SUMPRODUCT(--(calc!$AM$3:$AM$306=TRUE),--(ROW(calc!$AM$3:$AM$306)&gt;ROW(AM278)),--(((calc!$AR$3:$AR$306&gt;AR278)*(calc!$AS$3:$AS$306&lt;AS278)+(calc!$AR$3:$AR$306&lt;AR278)*(calc!$AS$3:$AS$306&gt;AS278))&gt;0)),0)</f>
        <v/>
      </c>
      <c r="AU278" s="5">
        <f>IF(mos_metrics!K277="","",mos_metrics!K277)</f>
        <v/>
      </c>
      <c r="AV278" s="2">
        <f>AND($J278,ISNUMBER(AU278),correlation!$I$30=1)</f>
        <v/>
      </c>
      <c r="AW278" s="5">
        <f>IF(AV278,$F278,"")</f>
        <v/>
      </c>
      <c r="AX278" s="5">
        <f>IF(AV278,AU278*correlation!$J$30,"")</f>
        <v/>
      </c>
      <c r="AY278" s="5">
        <f>IF(AND(AV278,ISNUMBER(correlation!$F$30)),AX278*correlation!$F$30+correlation!$G$30,"")</f>
        <v/>
      </c>
      <c r="AZ278" s="5">
        <f>IF(AND(AV278,ISNUMBER(AY278)),(AW278-AY278)^2,"")</f>
        <v/>
      </c>
      <c r="BA278" s="5">
        <f>IF(AV278,1+SUMPRODUCT(--(calc!$AV$3:$AV$306=TRUE),--(calc!$AW$3:$AW$306&gt;AW278))+(SUMPRODUCT(--(calc!$AV$3:$AV$306=TRUE),--(calc!$AW$3:$AW$306=AW278))-1)/2,"")</f>
        <v/>
      </c>
      <c r="BB278" s="5">
        <f>IF(AV278,1+SUMPRODUCT(--(calc!$AV$3:$AV$306=TRUE),--(calc!$AX$3:$AX$306&gt;AX278))+(SUMPRODUCT(--(calc!$AV$3:$AV$306=TRUE),--(calc!$AX$3:$AX$306=AX278))-1)/2,"")</f>
        <v/>
      </c>
      <c r="BC278" s="5">
        <f>IF(AV278,SUMPRODUCT(--(calc!$AV$3:$AV$306=TRUE),--(ROW(calc!$AV$3:$AV$306)&gt;ROW(AV278)),--(((calc!$BA$3:$BA$306&gt;BA278)*(calc!$BB$3:$BB$306&gt;BB278)+(calc!$BA$3:$BA$306&lt;BA278)*(calc!$BB$3:$BB$306&lt;BB278))&gt;0))-SUMPRODUCT(--(calc!$AV$3:$AV$306=TRUE),--(ROW(calc!$AV$3:$AV$306)&gt;ROW(AV278)),--(((calc!$BA$3:$BA$306&gt;BA278)*(calc!$BB$3:$BB$306&lt;BB278)+(calc!$BA$3:$BA$306&lt;BA278)*(calc!$BB$3:$BB$306&gt;BB278))&gt;0)),0)</f>
        <v/>
      </c>
      <c r="BD278" s="5">
        <f>IF(mos_metrics!L277="","",mos_metrics!L277)</f>
        <v/>
      </c>
      <c r="BE278" s="2">
        <f>AND($J278,ISNUMBER(BD278),correlation!$I$31=1)</f>
        <v/>
      </c>
      <c r="BF278" s="5">
        <f>IF(BE278,$F278,"")</f>
        <v/>
      </c>
      <c r="BG278" s="5">
        <f>IF(BE278,BD278*correlation!$J$31,"")</f>
        <v/>
      </c>
      <c r="BH278" s="5">
        <f>IF(AND(BE278,ISNUMBER(correlation!$F$31)),BG278*correlation!$F$31+correlation!$G$31,"")</f>
        <v/>
      </c>
      <c r="BI278" s="5">
        <f>IF(AND(BE278,ISNUMBER(BH278)),(BF278-BH278)^2,"")</f>
        <v/>
      </c>
      <c r="BJ278" s="5">
        <f>IF(BE278,1+SUMPRODUCT(--(calc!$BE$3:$BE$306=TRUE),--(calc!$BF$3:$BF$306&gt;BF278))+(SUMPRODUCT(--(calc!$BE$3:$BE$306=TRUE),--(calc!$BF$3:$BF$306=BF278))-1)/2,"")</f>
        <v/>
      </c>
      <c r="BK278" s="5">
        <f>IF(BE278,1+SUMPRODUCT(--(calc!$BE$3:$BE$306=TRUE),--(calc!$BG$3:$BG$306&gt;BG278))+(SUMPRODUCT(--(calc!$BE$3:$BE$306=TRUE),--(calc!$BG$3:$BG$306=BG278))-1)/2,"")</f>
        <v/>
      </c>
      <c r="BL278" s="5">
        <f>IF(BE278,SUMPRODUCT(--(calc!$BE$3:$BE$306=TRUE),--(ROW(calc!$BE$3:$BE$306)&gt;ROW(BE278)),--(((calc!$BJ$3:$BJ$306&gt;BJ278)*(calc!$BK$3:$BK$306&gt;BK278)+(calc!$BJ$3:$BJ$306&lt;BJ278)*(calc!$BK$3:$BK$306&lt;BK278))&gt;0))-SUMPRODUCT(--(calc!$BE$3:$BE$306=TRUE),--(ROW(calc!$BE$3:$BE$306)&gt;ROW(BE278)),--(((calc!$BJ$3:$BJ$306&gt;BJ278)*(calc!$BK$3:$BK$306&lt;BK278)+(calc!$BJ$3:$BJ$306&lt;BJ278)*(calc!$BK$3:$BK$306&gt;BK278))&gt;0)),0)</f>
        <v/>
      </c>
      <c r="BM278" s="5">
        <f>IF(mos_metrics!M277="","",mos_metrics!M277)</f>
        <v/>
      </c>
      <c r="BN278" s="2">
        <f>AND($J278,ISNUMBER(BM278),correlation!$I$32=1)</f>
        <v/>
      </c>
      <c r="BO278" s="5">
        <f>IF(BN278,$F278,"")</f>
        <v/>
      </c>
      <c r="BP278" s="5">
        <f>IF(BN278,BM278*correlation!$J$32,"")</f>
        <v/>
      </c>
      <c r="BQ278" s="5">
        <f>IF(AND(BN278,ISNUMBER(correlation!$F$32)),BP278*correlation!$F$32+correlation!$G$32,"")</f>
        <v/>
      </c>
      <c r="BR278" s="5">
        <f>IF(AND(BN278,ISNUMBER(BQ278)),(BO278-BQ278)^2,"")</f>
        <v/>
      </c>
      <c r="BS278" s="5">
        <f>IF(BN278,1+SUMPRODUCT(--(calc!$BN$3:$BN$306=TRUE),--(calc!$BO$3:$BO$306&gt;BO278))+(SUMPRODUCT(--(calc!$BN$3:$BN$306=TRUE),--(calc!$BO$3:$BO$306=BO278))-1)/2,"")</f>
        <v/>
      </c>
      <c r="BT278" s="5">
        <f>IF(BN278,1+SUMPRODUCT(--(calc!$BN$3:$BN$306=TRUE),--(calc!$BP$3:$BP$306&gt;BP278))+(SUMPRODUCT(--(calc!$BN$3:$BN$306=TRUE),--(calc!$BP$3:$BP$306=BP278))-1)/2,"")</f>
        <v/>
      </c>
      <c r="BU278" s="5">
        <f>IF(BN278,SUMPRODUCT(--(calc!$BN$3:$BN$306=TRUE),--(ROW(calc!$BN$3:$BN$306)&gt;ROW(BN278)),--(((calc!$BS$3:$BS$306&gt;BS278)*(calc!$BT$3:$BT$306&gt;BT278)+(calc!$BS$3:$BS$306&lt;BS278)*(calc!$BT$3:$BT$306&lt;BT278))&gt;0))-SUMPRODUCT(--(calc!$BN$3:$BN$306=TRUE),--(ROW(calc!$BN$3:$BN$306)&gt;ROW(BN278)),--(((calc!$BS$3:$BS$306&gt;BS278)*(calc!$BT$3:$BT$306&lt;BT278)+(calc!$BS$3:$BS$306&lt;BS278)*(calc!$BT$3:$BT$306&gt;BT278))&gt;0)),0)</f>
        <v/>
      </c>
    </row>
    <row r="279">
      <c r="A279" s="2">
        <f>mos_metrics!A278</f>
        <v/>
      </c>
      <c r="B279" s="2">
        <f>mos_metrics!B278</f>
        <v/>
      </c>
      <c r="C279" s="2">
        <f>mos_metrics!C278</f>
        <v/>
      </c>
      <c r="D279" s="2">
        <f>mos_metrics!D278</f>
        <v/>
      </c>
      <c r="E279" s="2">
        <f>mos_metrics!E278</f>
        <v/>
      </c>
      <c r="F279" s="2">
        <f>mos_metrics!F278</f>
        <v/>
      </c>
      <c r="G279" s="2">
        <f>IF($B279="","",IFERROR(VLOOKUP($B279,correlation!$A$2:$B$16,2,FALSE),1))</f>
        <v/>
      </c>
      <c r="H279" s="2">
        <f>IF($E279="","",IFERROR(VLOOKUP($E279,correlation!$D$2:$E$8,2,FALSE),1))</f>
        <v/>
      </c>
      <c r="I279" s="2">
        <f>ISNUMBER($F279)</f>
        <v/>
      </c>
      <c r="J279" s="2">
        <f>AND($G279=1,$H279=1,$I279)</f>
        <v/>
      </c>
      <c r="K279" s="5">
        <f>IF(mos_metrics!G278="","",mos_metrics!G278)</f>
        <v/>
      </c>
      <c r="L279" s="2">
        <f>AND($J279,ISNUMBER(K279),correlation!$I$26=1)</f>
        <v/>
      </c>
      <c r="M279" s="5">
        <f>IF(L279,$F279,"")</f>
        <v/>
      </c>
      <c r="N279" s="5">
        <f>IF(L279,K279*correlation!$J$26,"")</f>
        <v/>
      </c>
      <c r="O279" s="5">
        <f>IF(AND(L279,ISNUMBER(correlation!$F$26)),N279*correlation!$F$26+correlation!$G$26,"")</f>
        <v/>
      </c>
      <c r="P279" s="5">
        <f>IF(AND(L279,ISNUMBER(O279)),(M279-O279)^2,"")</f>
        <v/>
      </c>
      <c r="Q279" s="5">
        <f>IF(L279,1+SUMPRODUCT(--(calc!$L$3:$L$306=TRUE),--(calc!$M$3:$M$306&gt;M279))+(SUMPRODUCT(--(calc!$L$3:$L$306=TRUE),--(calc!$M$3:$M$306=M279))-1)/2,"")</f>
        <v/>
      </c>
      <c r="R279" s="5">
        <f>IF(L279,1+SUMPRODUCT(--(calc!$L$3:$L$306=TRUE),--(calc!$N$3:$N$306&gt;N279))+(SUMPRODUCT(--(calc!$L$3:$L$306=TRUE),--(calc!$N$3:$N$306=N279))-1)/2,"")</f>
        <v/>
      </c>
      <c r="S279" s="5">
        <f>IF(L279,SUMPRODUCT(--(calc!$L$3:$L$306=TRUE),--(ROW(calc!$L$3:$L$306)&gt;ROW(L279)),--(((calc!$Q$3:$Q$306&gt;Q279)*(calc!$R$3:$R$306&gt;R279)+(calc!$Q$3:$Q$306&lt;Q279)*(calc!$R$3:$R$306&lt;R279))&gt;0))-SUMPRODUCT(--(calc!$L$3:$L$306=TRUE),--(ROW(calc!$L$3:$L$306)&gt;ROW(L279)),--(((calc!$Q$3:$Q$306&gt;Q279)*(calc!$R$3:$R$306&lt;R279)+(calc!$Q$3:$Q$306&lt;Q279)*(calc!$R$3:$R$306&gt;R279))&gt;0)),0)</f>
        <v/>
      </c>
      <c r="T279" s="5">
        <f>IF(mos_metrics!H278="","",mos_metrics!H278)</f>
        <v/>
      </c>
      <c r="U279" s="2">
        <f>AND($J279,ISNUMBER(T279),correlation!$I$27=1)</f>
        <v/>
      </c>
      <c r="V279" s="5">
        <f>IF(U279,$F279,"")</f>
        <v/>
      </c>
      <c r="W279" s="5">
        <f>IF(U279,T279*correlation!$J$27,"")</f>
        <v/>
      </c>
      <c r="X279" s="5">
        <f>IF(AND(U279,ISNUMBER(correlation!$F$27)),W279*correlation!$F$27+correlation!$G$27,"")</f>
        <v/>
      </c>
      <c r="Y279" s="5">
        <f>IF(AND(U279,ISNUMBER(X279)),(V279-X279)^2,"")</f>
        <v/>
      </c>
      <c r="Z279" s="5">
        <f>IF(U279,1+SUMPRODUCT(--(calc!$U$3:$U$306=TRUE),--(calc!$V$3:$V$306&gt;V279))+(SUMPRODUCT(--(calc!$U$3:$U$306=TRUE),--(calc!$V$3:$V$306=V279))-1)/2,"")</f>
        <v/>
      </c>
      <c r="AA279" s="5">
        <f>IF(U279,1+SUMPRODUCT(--(calc!$U$3:$U$306=TRUE),--(calc!$W$3:$W$306&gt;W279))+(SUMPRODUCT(--(calc!$U$3:$U$306=TRUE),--(calc!$W$3:$W$306=W279))-1)/2,"")</f>
        <v/>
      </c>
      <c r="AB279" s="5">
        <f>IF(U279,SUMPRODUCT(--(calc!$U$3:$U$306=TRUE),--(ROW(calc!$U$3:$U$306)&gt;ROW(U279)),--(((calc!$Z$3:$Z$306&gt;Z279)*(calc!$AA$3:$AA$306&gt;AA279)+(calc!$Z$3:$Z$306&lt;Z279)*(calc!$AA$3:$AA$306&lt;AA279))&gt;0))-SUMPRODUCT(--(calc!$U$3:$U$306=TRUE),--(ROW(calc!$U$3:$U$306)&gt;ROW(U279)),--(((calc!$Z$3:$Z$306&gt;Z279)*(calc!$AA$3:$AA$306&lt;AA279)+(calc!$Z$3:$Z$306&lt;Z279)*(calc!$AA$3:$AA$306&gt;AA279))&gt;0)),0)</f>
        <v/>
      </c>
      <c r="AC279" s="5">
        <f>IF(mos_metrics!I278="","",mos_metrics!I278)</f>
        <v/>
      </c>
      <c r="AD279" s="2">
        <f>AND($J279,ISNUMBER(AC279),correlation!$I$28=1)</f>
        <v/>
      </c>
      <c r="AE279" s="5">
        <f>IF(AD279,$F279,"")</f>
        <v/>
      </c>
      <c r="AF279" s="5">
        <f>IF(AD279,AC279*correlation!$J$28,"")</f>
        <v/>
      </c>
      <c r="AG279" s="5">
        <f>IF(AND(AD279,ISNUMBER(correlation!$F$28)),AF279*correlation!$F$28+correlation!$G$28,"")</f>
        <v/>
      </c>
      <c r="AH279" s="5">
        <f>IF(AND(AD279,ISNUMBER(AG279)),(AE279-AG279)^2,"")</f>
        <v/>
      </c>
      <c r="AI279" s="5">
        <f>IF(AD279,1+SUMPRODUCT(--(calc!$AD$3:$AD$306=TRUE),--(calc!$AE$3:$AE$306&gt;AE279))+(SUMPRODUCT(--(calc!$AD$3:$AD$306=TRUE),--(calc!$AE$3:$AE$306=AE279))-1)/2,"")</f>
        <v/>
      </c>
      <c r="AJ279" s="5">
        <f>IF(AD279,1+SUMPRODUCT(--(calc!$AD$3:$AD$306=TRUE),--(calc!$AF$3:$AF$306&gt;AF279))+(SUMPRODUCT(--(calc!$AD$3:$AD$306=TRUE),--(calc!$AF$3:$AF$306=AF279))-1)/2,"")</f>
        <v/>
      </c>
      <c r="AK279" s="5">
        <f>IF(AD279,SUMPRODUCT(--(calc!$AD$3:$AD$306=TRUE),--(ROW(calc!$AD$3:$AD$306)&gt;ROW(AD279)),--(((calc!$AI$3:$AI$306&gt;AI279)*(calc!$AJ$3:$AJ$306&gt;AJ279)+(calc!$AI$3:$AI$306&lt;AI279)*(calc!$AJ$3:$AJ$306&lt;AJ279))&gt;0))-SUMPRODUCT(--(calc!$AD$3:$AD$306=TRUE),--(ROW(calc!$AD$3:$AD$306)&gt;ROW(AD279)),--(((calc!$AI$3:$AI$306&gt;AI279)*(calc!$AJ$3:$AJ$306&lt;AJ279)+(calc!$AI$3:$AI$306&lt;AI279)*(calc!$AJ$3:$AJ$306&gt;AJ279))&gt;0)),0)</f>
        <v/>
      </c>
      <c r="AL279" s="5">
        <f>IF(mos_metrics!J278="","",mos_metrics!J278)</f>
        <v/>
      </c>
      <c r="AM279" s="2">
        <f>AND($J279,ISNUMBER(AL279),correlation!$I$29=1)</f>
        <v/>
      </c>
      <c r="AN279" s="5">
        <f>IF(AM279,$F279,"")</f>
        <v/>
      </c>
      <c r="AO279" s="5">
        <f>IF(AM279,AL279*correlation!$J$29,"")</f>
        <v/>
      </c>
      <c r="AP279" s="5">
        <f>IF(AND(AM279,ISNUMBER(correlation!$F$29)),AO279*correlation!$F$29+correlation!$G$29,"")</f>
        <v/>
      </c>
      <c r="AQ279" s="5">
        <f>IF(AND(AM279,ISNUMBER(AP279)),(AN279-AP279)^2,"")</f>
        <v/>
      </c>
      <c r="AR279" s="5">
        <f>IF(AM279,1+SUMPRODUCT(--(calc!$AM$3:$AM$306=TRUE),--(calc!$AN$3:$AN$306&gt;AN279))+(SUMPRODUCT(--(calc!$AM$3:$AM$306=TRUE),--(calc!$AN$3:$AN$306=AN279))-1)/2,"")</f>
        <v/>
      </c>
      <c r="AS279" s="5">
        <f>IF(AM279,1+SUMPRODUCT(--(calc!$AM$3:$AM$306=TRUE),--(calc!$AO$3:$AO$306&gt;AO279))+(SUMPRODUCT(--(calc!$AM$3:$AM$306=TRUE),--(calc!$AO$3:$AO$306=AO279))-1)/2,"")</f>
        <v/>
      </c>
      <c r="AT279" s="5">
        <f>IF(AM279,SUMPRODUCT(--(calc!$AM$3:$AM$306=TRUE),--(ROW(calc!$AM$3:$AM$306)&gt;ROW(AM279)),--(((calc!$AR$3:$AR$306&gt;AR279)*(calc!$AS$3:$AS$306&gt;AS279)+(calc!$AR$3:$AR$306&lt;AR279)*(calc!$AS$3:$AS$306&lt;AS279))&gt;0))-SUMPRODUCT(--(calc!$AM$3:$AM$306=TRUE),--(ROW(calc!$AM$3:$AM$306)&gt;ROW(AM279)),--(((calc!$AR$3:$AR$306&gt;AR279)*(calc!$AS$3:$AS$306&lt;AS279)+(calc!$AR$3:$AR$306&lt;AR279)*(calc!$AS$3:$AS$306&gt;AS279))&gt;0)),0)</f>
        <v/>
      </c>
      <c r="AU279" s="5">
        <f>IF(mos_metrics!K278="","",mos_metrics!K278)</f>
        <v/>
      </c>
      <c r="AV279" s="2">
        <f>AND($J279,ISNUMBER(AU279),correlation!$I$30=1)</f>
        <v/>
      </c>
      <c r="AW279" s="5">
        <f>IF(AV279,$F279,"")</f>
        <v/>
      </c>
      <c r="AX279" s="5">
        <f>IF(AV279,AU279*correlation!$J$30,"")</f>
        <v/>
      </c>
      <c r="AY279" s="5">
        <f>IF(AND(AV279,ISNUMBER(correlation!$F$30)),AX279*correlation!$F$30+correlation!$G$30,"")</f>
        <v/>
      </c>
      <c r="AZ279" s="5">
        <f>IF(AND(AV279,ISNUMBER(AY279)),(AW279-AY279)^2,"")</f>
        <v/>
      </c>
      <c r="BA279" s="5">
        <f>IF(AV279,1+SUMPRODUCT(--(calc!$AV$3:$AV$306=TRUE),--(calc!$AW$3:$AW$306&gt;AW279))+(SUMPRODUCT(--(calc!$AV$3:$AV$306=TRUE),--(calc!$AW$3:$AW$306=AW279))-1)/2,"")</f>
        <v/>
      </c>
      <c r="BB279" s="5">
        <f>IF(AV279,1+SUMPRODUCT(--(calc!$AV$3:$AV$306=TRUE),--(calc!$AX$3:$AX$306&gt;AX279))+(SUMPRODUCT(--(calc!$AV$3:$AV$306=TRUE),--(calc!$AX$3:$AX$306=AX279))-1)/2,"")</f>
        <v/>
      </c>
      <c r="BC279" s="5">
        <f>IF(AV279,SUMPRODUCT(--(calc!$AV$3:$AV$306=TRUE),--(ROW(calc!$AV$3:$AV$306)&gt;ROW(AV279)),--(((calc!$BA$3:$BA$306&gt;BA279)*(calc!$BB$3:$BB$306&gt;BB279)+(calc!$BA$3:$BA$306&lt;BA279)*(calc!$BB$3:$BB$306&lt;BB279))&gt;0))-SUMPRODUCT(--(calc!$AV$3:$AV$306=TRUE),--(ROW(calc!$AV$3:$AV$306)&gt;ROW(AV279)),--(((calc!$BA$3:$BA$306&gt;BA279)*(calc!$BB$3:$BB$306&lt;BB279)+(calc!$BA$3:$BA$306&lt;BA279)*(calc!$BB$3:$BB$306&gt;BB279))&gt;0)),0)</f>
        <v/>
      </c>
      <c r="BD279" s="5">
        <f>IF(mos_metrics!L278="","",mos_metrics!L278)</f>
        <v/>
      </c>
      <c r="BE279" s="2">
        <f>AND($J279,ISNUMBER(BD279),correlation!$I$31=1)</f>
        <v/>
      </c>
      <c r="BF279" s="5">
        <f>IF(BE279,$F279,"")</f>
        <v/>
      </c>
      <c r="BG279" s="5">
        <f>IF(BE279,BD279*correlation!$J$31,"")</f>
        <v/>
      </c>
      <c r="BH279" s="5">
        <f>IF(AND(BE279,ISNUMBER(correlation!$F$31)),BG279*correlation!$F$31+correlation!$G$31,"")</f>
        <v/>
      </c>
      <c r="BI279" s="5">
        <f>IF(AND(BE279,ISNUMBER(BH279)),(BF279-BH279)^2,"")</f>
        <v/>
      </c>
      <c r="BJ279" s="5">
        <f>IF(BE279,1+SUMPRODUCT(--(calc!$BE$3:$BE$306=TRUE),--(calc!$BF$3:$BF$306&gt;BF279))+(SUMPRODUCT(--(calc!$BE$3:$BE$306=TRUE),--(calc!$BF$3:$BF$306=BF279))-1)/2,"")</f>
        <v/>
      </c>
      <c r="BK279" s="5">
        <f>IF(BE279,1+SUMPRODUCT(--(calc!$BE$3:$BE$306=TRUE),--(calc!$BG$3:$BG$306&gt;BG279))+(SUMPRODUCT(--(calc!$BE$3:$BE$306=TRUE),--(calc!$BG$3:$BG$306=BG279))-1)/2,"")</f>
        <v/>
      </c>
      <c r="BL279" s="5">
        <f>IF(BE279,SUMPRODUCT(--(calc!$BE$3:$BE$306=TRUE),--(ROW(calc!$BE$3:$BE$306)&gt;ROW(BE279)),--(((calc!$BJ$3:$BJ$306&gt;BJ279)*(calc!$BK$3:$BK$306&gt;BK279)+(calc!$BJ$3:$BJ$306&lt;BJ279)*(calc!$BK$3:$BK$306&lt;BK279))&gt;0))-SUMPRODUCT(--(calc!$BE$3:$BE$306=TRUE),--(ROW(calc!$BE$3:$BE$306)&gt;ROW(BE279)),--(((calc!$BJ$3:$BJ$306&gt;BJ279)*(calc!$BK$3:$BK$306&lt;BK279)+(calc!$BJ$3:$BJ$306&lt;BJ279)*(calc!$BK$3:$BK$306&gt;BK279))&gt;0)),0)</f>
        <v/>
      </c>
      <c r="BM279" s="5">
        <f>IF(mos_metrics!M278="","",mos_metrics!M278)</f>
        <v/>
      </c>
      <c r="BN279" s="2">
        <f>AND($J279,ISNUMBER(BM279),correlation!$I$32=1)</f>
        <v/>
      </c>
      <c r="BO279" s="5">
        <f>IF(BN279,$F279,"")</f>
        <v/>
      </c>
      <c r="BP279" s="5">
        <f>IF(BN279,BM279*correlation!$J$32,"")</f>
        <v/>
      </c>
      <c r="BQ279" s="5">
        <f>IF(AND(BN279,ISNUMBER(correlation!$F$32)),BP279*correlation!$F$32+correlation!$G$32,"")</f>
        <v/>
      </c>
      <c r="BR279" s="5">
        <f>IF(AND(BN279,ISNUMBER(BQ279)),(BO279-BQ279)^2,"")</f>
        <v/>
      </c>
      <c r="BS279" s="5">
        <f>IF(BN279,1+SUMPRODUCT(--(calc!$BN$3:$BN$306=TRUE),--(calc!$BO$3:$BO$306&gt;BO279))+(SUMPRODUCT(--(calc!$BN$3:$BN$306=TRUE),--(calc!$BO$3:$BO$306=BO279))-1)/2,"")</f>
        <v/>
      </c>
      <c r="BT279" s="5">
        <f>IF(BN279,1+SUMPRODUCT(--(calc!$BN$3:$BN$306=TRUE),--(calc!$BP$3:$BP$306&gt;BP279))+(SUMPRODUCT(--(calc!$BN$3:$BN$306=TRUE),--(calc!$BP$3:$BP$306=BP279))-1)/2,"")</f>
        <v/>
      </c>
      <c r="BU279" s="5">
        <f>IF(BN279,SUMPRODUCT(--(calc!$BN$3:$BN$306=TRUE),--(ROW(calc!$BN$3:$BN$306)&gt;ROW(BN279)),--(((calc!$BS$3:$BS$306&gt;BS279)*(calc!$BT$3:$BT$306&gt;BT279)+(calc!$BS$3:$BS$306&lt;BS279)*(calc!$BT$3:$BT$306&lt;BT279))&gt;0))-SUMPRODUCT(--(calc!$BN$3:$BN$306=TRUE),--(ROW(calc!$BN$3:$BN$306)&gt;ROW(BN279)),--(((calc!$BS$3:$BS$306&gt;BS279)*(calc!$BT$3:$BT$306&lt;BT279)+(calc!$BS$3:$BS$306&lt;BS279)*(calc!$BT$3:$BT$306&gt;BT279))&gt;0)),0)</f>
        <v/>
      </c>
    </row>
    <row r="280">
      <c r="A280" s="2">
        <f>mos_metrics!A279</f>
        <v/>
      </c>
      <c r="B280" s="2">
        <f>mos_metrics!B279</f>
        <v/>
      </c>
      <c r="C280" s="2">
        <f>mos_metrics!C279</f>
        <v/>
      </c>
      <c r="D280" s="2">
        <f>mos_metrics!D279</f>
        <v/>
      </c>
      <c r="E280" s="2">
        <f>mos_metrics!E279</f>
        <v/>
      </c>
      <c r="F280" s="2">
        <f>mos_metrics!F279</f>
        <v/>
      </c>
      <c r="G280" s="2">
        <f>IF($B280="","",IFERROR(VLOOKUP($B280,correlation!$A$2:$B$16,2,FALSE),1))</f>
        <v/>
      </c>
      <c r="H280" s="2">
        <f>IF($E280="","",IFERROR(VLOOKUP($E280,correlation!$D$2:$E$8,2,FALSE),1))</f>
        <v/>
      </c>
      <c r="I280" s="2">
        <f>ISNUMBER($F280)</f>
        <v/>
      </c>
      <c r="J280" s="2">
        <f>AND($G280=1,$H280=1,$I280)</f>
        <v/>
      </c>
      <c r="K280" s="5">
        <f>IF(mos_metrics!G279="","",mos_metrics!G279)</f>
        <v/>
      </c>
      <c r="L280" s="2">
        <f>AND($J280,ISNUMBER(K280),correlation!$I$26=1)</f>
        <v/>
      </c>
      <c r="M280" s="5">
        <f>IF(L280,$F280,"")</f>
        <v/>
      </c>
      <c r="N280" s="5">
        <f>IF(L280,K280*correlation!$J$26,"")</f>
        <v/>
      </c>
      <c r="O280" s="5">
        <f>IF(AND(L280,ISNUMBER(correlation!$F$26)),N280*correlation!$F$26+correlation!$G$26,"")</f>
        <v/>
      </c>
      <c r="P280" s="5">
        <f>IF(AND(L280,ISNUMBER(O280)),(M280-O280)^2,"")</f>
        <v/>
      </c>
      <c r="Q280" s="5">
        <f>IF(L280,1+SUMPRODUCT(--(calc!$L$3:$L$306=TRUE),--(calc!$M$3:$M$306&gt;M280))+(SUMPRODUCT(--(calc!$L$3:$L$306=TRUE),--(calc!$M$3:$M$306=M280))-1)/2,"")</f>
        <v/>
      </c>
      <c r="R280" s="5">
        <f>IF(L280,1+SUMPRODUCT(--(calc!$L$3:$L$306=TRUE),--(calc!$N$3:$N$306&gt;N280))+(SUMPRODUCT(--(calc!$L$3:$L$306=TRUE),--(calc!$N$3:$N$306=N280))-1)/2,"")</f>
        <v/>
      </c>
      <c r="S280" s="5">
        <f>IF(L280,SUMPRODUCT(--(calc!$L$3:$L$306=TRUE),--(ROW(calc!$L$3:$L$306)&gt;ROW(L280)),--(((calc!$Q$3:$Q$306&gt;Q280)*(calc!$R$3:$R$306&gt;R280)+(calc!$Q$3:$Q$306&lt;Q280)*(calc!$R$3:$R$306&lt;R280))&gt;0))-SUMPRODUCT(--(calc!$L$3:$L$306=TRUE),--(ROW(calc!$L$3:$L$306)&gt;ROW(L280)),--(((calc!$Q$3:$Q$306&gt;Q280)*(calc!$R$3:$R$306&lt;R280)+(calc!$Q$3:$Q$306&lt;Q280)*(calc!$R$3:$R$306&gt;R280))&gt;0)),0)</f>
        <v/>
      </c>
      <c r="T280" s="5">
        <f>IF(mos_metrics!H279="","",mos_metrics!H279)</f>
        <v/>
      </c>
      <c r="U280" s="2">
        <f>AND($J280,ISNUMBER(T280),correlation!$I$27=1)</f>
        <v/>
      </c>
      <c r="V280" s="5">
        <f>IF(U280,$F280,"")</f>
        <v/>
      </c>
      <c r="W280" s="5">
        <f>IF(U280,T280*correlation!$J$27,"")</f>
        <v/>
      </c>
      <c r="X280" s="5">
        <f>IF(AND(U280,ISNUMBER(correlation!$F$27)),W280*correlation!$F$27+correlation!$G$27,"")</f>
        <v/>
      </c>
      <c r="Y280" s="5">
        <f>IF(AND(U280,ISNUMBER(X280)),(V280-X280)^2,"")</f>
        <v/>
      </c>
      <c r="Z280" s="5">
        <f>IF(U280,1+SUMPRODUCT(--(calc!$U$3:$U$306=TRUE),--(calc!$V$3:$V$306&gt;V280))+(SUMPRODUCT(--(calc!$U$3:$U$306=TRUE),--(calc!$V$3:$V$306=V280))-1)/2,"")</f>
        <v/>
      </c>
      <c r="AA280" s="5">
        <f>IF(U280,1+SUMPRODUCT(--(calc!$U$3:$U$306=TRUE),--(calc!$W$3:$W$306&gt;W280))+(SUMPRODUCT(--(calc!$U$3:$U$306=TRUE),--(calc!$W$3:$W$306=W280))-1)/2,"")</f>
        <v/>
      </c>
      <c r="AB280" s="5">
        <f>IF(U280,SUMPRODUCT(--(calc!$U$3:$U$306=TRUE),--(ROW(calc!$U$3:$U$306)&gt;ROW(U280)),--(((calc!$Z$3:$Z$306&gt;Z280)*(calc!$AA$3:$AA$306&gt;AA280)+(calc!$Z$3:$Z$306&lt;Z280)*(calc!$AA$3:$AA$306&lt;AA280))&gt;0))-SUMPRODUCT(--(calc!$U$3:$U$306=TRUE),--(ROW(calc!$U$3:$U$306)&gt;ROW(U280)),--(((calc!$Z$3:$Z$306&gt;Z280)*(calc!$AA$3:$AA$306&lt;AA280)+(calc!$Z$3:$Z$306&lt;Z280)*(calc!$AA$3:$AA$306&gt;AA280))&gt;0)),0)</f>
        <v/>
      </c>
      <c r="AC280" s="5">
        <f>IF(mos_metrics!I279="","",mos_metrics!I279)</f>
        <v/>
      </c>
      <c r="AD280" s="2">
        <f>AND($J280,ISNUMBER(AC280),correlation!$I$28=1)</f>
        <v/>
      </c>
      <c r="AE280" s="5">
        <f>IF(AD280,$F280,"")</f>
        <v/>
      </c>
      <c r="AF280" s="5">
        <f>IF(AD280,AC280*correlation!$J$28,"")</f>
        <v/>
      </c>
      <c r="AG280" s="5">
        <f>IF(AND(AD280,ISNUMBER(correlation!$F$28)),AF280*correlation!$F$28+correlation!$G$28,"")</f>
        <v/>
      </c>
      <c r="AH280" s="5">
        <f>IF(AND(AD280,ISNUMBER(AG280)),(AE280-AG280)^2,"")</f>
        <v/>
      </c>
      <c r="AI280" s="5">
        <f>IF(AD280,1+SUMPRODUCT(--(calc!$AD$3:$AD$306=TRUE),--(calc!$AE$3:$AE$306&gt;AE280))+(SUMPRODUCT(--(calc!$AD$3:$AD$306=TRUE),--(calc!$AE$3:$AE$306=AE280))-1)/2,"")</f>
        <v/>
      </c>
      <c r="AJ280" s="5">
        <f>IF(AD280,1+SUMPRODUCT(--(calc!$AD$3:$AD$306=TRUE),--(calc!$AF$3:$AF$306&gt;AF280))+(SUMPRODUCT(--(calc!$AD$3:$AD$306=TRUE),--(calc!$AF$3:$AF$306=AF280))-1)/2,"")</f>
        <v/>
      </c>
      <c r="AK280" s="5">
        <f>IF(AD280,SUMPRODUCT(--(calc!$AD$3:$AD$306=TRUE),--(ROW(calc!$AD$3:$AD$306)&gt;ROW(AD280)),--(((calc!$AI$3:$AI$306&gt;AI280)*(calc!$AJ$3:$AJ$306&gt;AJ280)+(calc!$AI$3:$AI$306&lt;AI280)*(calc!$AJ$3:$AJ$306&lt;AJ280))&gt;0))-SUMPRODUCT(--(calc!$AD$3:$AD$306=TRUE),--(ROW(calc!$AD$3:$AD$306)&gt;ROW(AD280)),--(((calc!$AI$3:$AI$306&gt;AI280)*(calc!$AJ$3:$AJ$306&lt;AJ280)+(calc!$AI$3:$AI$306&lt;AI280)*(calc!$AJ$3:$AJ$306&gt;AJ280))&gt;0)),0)</f>
        <v/>
      </c>
      <c r="AL280" s="5">
        <f>IF(mos_metrics!J279="","",mos_metrics!J279)</f>
        <v/>
      </c>
      <c r="AM280" s="2">
        <f>AND($J280,ISNUMBER(AL280),correlation!$I$29=1)</f>
        <v/>
      </c>
      <c r="AN280" s="5">
        <f>IF(AM280,$F280,"")</f>
        <v/>
      </c>
      <c r="AO280" s="5">
        <f>IF(AM280,AL280*correlation!$J$29,"")</f>
        <v/>
      </c>
      <c r="AP280" s="5">
        <f>IF(AND(AM280,ISNUMBER(correlation!$F$29)),AO280*correlation!$F$29+correlation!$G$29,"")</f>
        <v/>
      </c>
      <c r="AQ280" s="5">
        <f>IF(AND(AM280,ISNUMBER(AP280)),(AN280-AP280)^2,"")</f>
        <v/>
      </c>
      <c r="AR280" s="5">
        <f>IF(AM280,1+SUMPRODUCT(--(calc!$AM$3:$AM$306=TRUE),--(calc!$AN$3:$AN$306&gt;AN280))+(SUMPRODUCT(--(calc!$AM$3:$AM$306=TRUE),--(calc!$AN$3:$AN$306=AN280))-1)/2,"")</f>
        <v/>
      </c>
      <c r="AS280" s="5">
        <f>IF(AM280,1+SUMPRODUCT(--(calc!$AM$3:$AM$306=TRUE),--(calc!$AO$3:$AO$306&gt;AO280))+(SUMPRODUCT(--(calc!$AM$3:$AM$306=TRUE),--(calc!$AO$3:$AO$306=AO280))-1)/2,"")</f>
        <v/>
      </c>
      <c r="AT280" s="5">
        <f>IF(AM280,SUMPRODUCT(--(calc!$AM$3:$AM$306=TRUE),--(ROW(calc!$AM$3:$AM$306)&gt;ROW(AM280)),--(((calc!$AR$3:$AR$306&gt;AR280)*(calc!$AS$3:$AS$306&gt;AS280)+(calc!$AR$3:$AR$306&lt;AR280)*(calc!$AS$3:$AS$306&lt;AS280))&gt;0))-SUMPRODUCT(--(calc!$AM$3:$AM$306=TRUE),--(ROW(calc!$AM$3:$AM$306)&gt;ROW(AM280)),--(((calc!$AR$3:$AR$306&gt;AR280)*(calc!$AS$3:$AS$306&lt;AS280)+(calc!$AR$3:$AR$306&lt;AR280)*(calc!$AS$3:$AS$306&gt;AS280))&gt;0)),0)</f>
        <v/>
      </c>
      <c r="AU280" s="5">
        <f>IF(mos_metrics!K279="","",mos_metrics!K279)</f>
        <v/>
      </c>
      <c r="AV280" s="2">
        <f>AND($J280,ISNUMBER(AU280),correlation!$I$30=1)</f>
        <v/>
      </c>
      <c r="AW280" s="5">
        <f>IF(AV280,$F280,"")</f>
        <v/>
      </c>
      <c r="AX280" s="5">
        <f>IF(AV280,AU280*correlation!$J$30,"")</f>
        <v/>
      </c>
      <c r="AY280" s="5">
        <f>IF(AND(AV280,ISNUMBER(correlation!$F$30)),AX280*correlation!$F$30+correlation!$G$30,"")</f>
        <v/>
      </c>
      <c r="AZ280" s="5">
        <f>IF(AND(AV280,ISNUMBER(AY280)),(AW280-AY280)^2,"")</f>
        <v/>
      </c>
      <c r="BA280" s="5">
        <f>IF(AV280,1+SUMPRODUCT(--(calc!$AV$3:$AV$306=TRUE),--(calc!$AW$3:$AW$306&gt;AW280))+(SUMPRODUCT(--(calc!$AV$3:$AV$306=TRUE),--(calc!$AW$3:$AW$306=AW280))-1)/2,"")</f>
        <v/>
      </c>
      <c r="BB280" s="5">
        <f>IF(AV280,1+SUMPRODUCT(--(calc!$AV$3:$AV$306=TRUE),--(calc!$AX$3:$AX$306&gt;AX280))+(SUMPRODUCT(--(calc!$AV$3:$AV$306=TRUE),--(calc!$AX$3:$AX$306=AX280))-1)/2,"")</f>
        <v/>
      </c>
      <c r="BC280" s="5">
        <f>IF(AV280,SUMPRODUCT(--(calc!$AV$3:$AV$306=TRUE),--(ROW(calc!$AV$3:$AV$306)&gt;ROW(AV280)),--(((calc!$BA$3:$BA$306&gt;BA280)*(calc!$BB$3:$BB$306&gt;BB280)+(calc!$BA$3:$BA$306&lt;BA280)*(calc!$BB$3:$BB$306&lt;BB280))&gt;0))-SUMPRODUCT(--(calc!$AV$3:$AV$306=TRUE),--(ROW(calc!$AV$3:$AV$306)&gt;ROW(AV280)),--(((calc!$BA$3:$BA$306&gt;BA280)*(calc!$BB$3:$BB$306&lt;BB280)+(calc!$BA$3:$BA$306&lt;BA280)*(calc!$BB$3:$BB$306&gt;BB280))&gt;0)),0)</f>
        <v/>
      </c>
      <c r="BD280" s="5">
        <f>IF(mos_metrics!L279="","",mos_metrics!L279)</f>
        <v/>
      </c>
      <c r="BE280" s="2">
        <f>AND($J280,ISNUMBER(BD280),correlation!$I$31=1)</f>
        <v/>
      </c>
      <c r="BF280" s="5">
        <f>IF(BE280,$F280,"")</f>
        <v/>
      </c>
      <c r="BG280" s="5">
        <f>IF(BE280,BD280*correlation!$J$31,"")</f>
        <v/>
      </c>
      <c r="BH280" s="5">
        <f>IF(AND(BE280,ISNUMBER(correlation!$F$31)),BG280*correlation!$F$31+correlation!$G$31,"")</f>
        <v/>
      </c>
      <c r="BI280" s="5">
        <f>IF(AND(BE280,ISNUMBER(BH280)),(BF280-BH280)^2,"")</f>
        <v/>
      </c>
      <c r="BJ280" s="5">
        <f>IF(BE280,1+SUMPRODUCT(--(calc!$BE$3:$BE$306=TRUE),--(calc!$BF$3:$BF$306&gt;BF280))+(SUMPRODUCT(--(calc!$BE$3:$BE$306=TRUE),--(calc!$BF$3:$BF$306=BF280))-1)/2,"")</f>
        <v/>
      </c>
      <c r="BK280" s="5">
        <f>IF(BE280,1+SUMPRODUCT(--(calc!$BE$3:$BE$306=TRUE),--(calc!$BG$3:$BG$306&gt;BG280))+(SUMPRODUCT(--(calc!$BE$3:$BE$306=TRUE),--(calc!$BG$3:$BG$306=BG280))-1)/2,"")</f>
        <v/>
      </c>
      <c r="BL280" s="5">
        <f>IF(BE280,SUMPRODUCT(--(calc!$BE$3:$BE$306=TRUE),--(ROW(calc!$BE$3:$BE$306)&gt;ROW(BE280)),--(((calc!$BJ$3:$BJ$306&gt;BJ280)*(calc!$BK$3:$BK$306&gt;BK280)+(calc!$BJ$3:$BJ$306&lt;BJ280)*(calc!$BK$3:$BK$306&lt;BK280))&gt;0))-SUMPRODUCT(--(calc!$BE$3:$BE$306=TRUE),--(ROW(calc!$BE$3:$BE$306)&gt;ROW(BE280)),--(((calc!$BJ$3:$BJ$306&gt;BJ280)*(calc!$BK$3:$BK$306&lt;BK280)+(calc!$BJ$3:$BJ$306&lt;BJ280)*(calc!$BK$3:$BK$306&gt;BK280))&gt;0)),0)</f>
        <v/>
      </c>
      <c r="BM280" s="5">
        <f>IF(mos_metrics!M279="","",mos_metrics!M279)</f>
        <v/>
      </c>
      <c r="BN280" s="2">
        <f>AND($J280,ISNUMBER(BM280),correlation!$I$32=1)</f>
        <v/>
      </c>
      <c r="BO280" s="5">
        <f>IF(BN280,$F280,"")</f>
        <v/>
      </c>
      <c r="BP280" s="5">
        <f>IF(BN280,BM280*correlation!$J$32,"")</f>
        <v/>
      </c>
      <c r="BQ280" s="5">
        <f>IF(AND(BN280,ISNUMBER(correlation!$F$32)),BP280*correlation!$F$32+correlation!$G$32,"")</f>
        <v/>
      </c>
      <c r="BR280" s="5">
        <f>IF(AND(BN280,ISNUMBER(BQ280)),(BO280-BQ280)^2,"")</f>
        <v/>
      </c>
      <c r="BS280" s="5">
        <f>IF(BN280,1+SUMPRODUCT(--(calc!$BN$3:$BN$306=TRUE),--(calc!$BO$3:$BO$306&gt;BO280))+(SUMPRODUCT(--(calc!$BN$3:$BN$306=TRUE),--(calc!$BO$3:$BO$306=BO280))-1)/2,"")</f>
        <v/>
      </c>
      <c r="BT280" s="5">
        <f>IF(BN280,1+SUMPRODUCT(--(calc!$BN$3:$BN$306=TRUE),--(calc!$BP$3:$BP$306&gt;BP280))+(SUMPRODUCT(--(calc!$BN$3:$BN$306=TRUE),--(calc!$BP$3:$BP$306=BP280))-1)/2,"")</f>
        <v/>
      </c>
      <c r="BU280" s="5">
        <f>IF(BN280,SUMPRODUCT(--(calc!$BN$3:$BN$306=TRUE),--(ROW(calc!$BN$3:$BN$306)&gt;ROW(BN280)),--(((calc!$BS$3:$BS$306&gt;BS280)*(calc!$BT$3:$BT$306&gt;BT280)+(calc!$BS$3:$BS$306&lt;BS280)*(calc!$BT$3:$BT$306&lt;BT280))&gt;0))-SUMPRODUCT(--(calc!$BN$3:$BN$306=TRUE),--(ROW(calc!$BN$3:$BN$306)&gt;ROW(BN280)),--(((calc!$BS$3:$BS$306&gt;BS280)*(calc!$BT$3:$BT$306&lt;BT280)+(calc!$BS$3:$BS$306&lt;BS280)*(calc!$BT$3:$BT$306&gt;BT280))&gt;0)),0)</f>
        <v/>
      </c>
    </row>
    <row r="281">
      <c r="A281" s="2">
        <f>mos_metrics!A280</f>
        <v/>
      </c>
      <c r="B281" s="2">
        <f>mos_metrics!B280</f>
        <v/>
      </c>
      <c r="C281" s="2">
        <f>mos_metrics!C280</f>
        <v/>
      </c>
      <c r="D281" s="2">
        <f>mos_metrics!D280</f>
        <v/>
      </c>
      <c r="E281" s="2">
        <f>mos_metrics!E280</f>
        <v/>
      </c>
      <c r="F281" s="2">
        <f>mos_metrics!F280</f>
        <v/>
      </c>
      <c r="G281" s="2">
        <f>IF($B281="","",IFERROR(VLOOKUP($B281,correlation!$A$2:$B$16,2,FALSE),1))</f>
        <v/>
      </c>
      <c r="H281" s="2">
        <f>IF($E281="","",IFERROR(VLOOKUP($E281,correlation!$D$2:$E$8,2,FALSE),1))</f>
        <v/>
      </c>
      <c r="I281" s="2">
        <f>ISNUMBER($F281)</f>
        <v/>
      </c>
      <c r="J281" s="2">
        <f>AND($G281=1,$H281=1,$I281)</f>
        <v/>
      </c>
      <c r="K281" s="5">
        <f>IF(mos_metrics!G280="","",mos_metrics!G280)</f>
        <v/>
      </c>
      <c r="L281" s="2">
        <f>AND($J281,ISNUMBER(K281),correlation!$I$26=1)</f>
        <v/>
      </c>
      <c r="M281" s="5">
        <f>IF(L281,$F281,"")</f>
        <v/>
      </c>
      <c r="N281" s="5">
        <f>IF(L281,K281*correlation!$J$26,"")</f>
        <v/>
      </c>
      <c r="O281" s="5">
        <f>IF(AND(L281,ISNUMBER(correlation!$F$26)),N281*correlation!$F$26+correlation!$G$26,"")</f>
        <v/>
      </c>
      <c r="P281" s="5">
        <f>IF(AND(L281,ISNUMBER(O281)),(M281-O281)^2,"")</f>
        <v/>
      </c>
      <c r="Q281" s="5">
        <f>IF(L281,1+SUMPRODUCT(--(calc!$L$3:$L$306=TRUE),--(calc!$M$3:$M$306&gt;M281))+(SUMPRODUCT(--(calc!$L$3:$L$306=TRUE),--(calc!$M$3:$M$306=M281))-1)/2,"")</f>
        <v/>
      </c>
      <c r="R281" s="5">
        <f>IF(L281,1+SUMPRODUCT(--(calc!$L$3:$L$306=TRUE),--(calc!$N$3:$N$306&gt;N281))+(SUMPRODUCT(--(calc!$L$3:$L$306=TRUE),--(calc!$N$3:$N$306=N281))-1)/2,"")</f>
        <v/>
      </c>
      <c r="S281" s="5">
        <f>IF(L281,SUMPRODUCT(--(calc!$L$3:$L$306=TRUE),--(ROW(calc!$L$3:$L$306)&gt;ROW(L281)),--(((calc!$Q$3:$Q$306&gt;Q281)*(calc!$R$3:$R$306&gt;R281)+(calc!$Q$3:$Q$306&lt;Q281)*(calc!$R$3:$R$306&lt;R281))&gt;0))-SUMPRODUCT(--(calc!$L$3:$L$306=TRUE),--(ROW(calc!$L$3:$L$306)&gt;ROW(L281)),--(((calc!$Q$3:$Q$306&gt;Q281)*(calc!$R$3:$R$306&lt;R281)+(calc!$Q$3:$Q$306&lt;Q281)*(calc!$R$3:$R$306&gt;R281))&gt;0)),0)</f>
        <v/>
      </c>
      <c r="T281" s="5">
        <f>IF(mos_metrics!H280="","",mos_metrics!H280)</f>
        <v/>
      </c>
      <c r="U281" s="2">
        <f>AND($J281,ISNUMBER(T281),correlation!$I$27=1)</f>
        <v/>
      </c>
      <c r="V281" s="5">
        <f>IF(U281,$F281,"")</f>
        <v/>
      </c>
      <c r="W281" s="5">
        <f>IF(U281,T281*correlation!$J$27,"")</f>
        <v/>
      </c>
      <c r="X281" s="5">
        <f>IF(AND(U281,ISNUMBER(correlation!$F$27)),W281*correlation!$F$27+correlation!$G$27,"")</f>
        <v/>
      </c>
      <c r="Y281" s="5">
        <f>IF(AND(U281,ISNUMBER(X281)),(V281-X281)^2,"")</f>
        <v/>
      </c>
      <c r="Z281" s="5">
        <f>IF(U281,1+SUMPRODUCT(--(calc!$U$3:$U$306=TRUE),--(calc!$V$3:$V$306&gt;V281))+(SUMPRODUCT(--(calc!$U$3:$U$306=TRUE),--(calc!$V$3:$V$306=V281))-1)/2,"")</f>
        <v/>
      </c>
      <c r="AA281" s="5">
        <f>IF(U281,1+SUMPRODUCT(--(calc!$U$3:$U$306=TRUE),--(calc!$W$3:$W$306&gt;W281))+(SUMPRODUCT(--(calc!$U$3:$U$306=TRUE),--(calc!$W$3:$W$306=W281))-1)/2,"")</f>
        <v/>
      </c>
      <c r="AB281" s="5">
        <f>IF(U281,SUMPRODUCT(--(calc!$U$3:$U$306=TRUE),--(ROW(calc!$U$3:$U$306)&gt;ROW(U281)),--(((calc!$Z$3:$Z$306&gt;Z281)*(calc!$AA$3:$AA$306&gt;AA281)+(calc!$Z$3:$Z$306&lt;Z281)*(calc!$AA$3:$AA$306&lt;AA281))&gt;0))-SUMPRODUCT(--(calc!$U$3:$U$306=TRUE),--(ROW(calc!$U$3:$U$306)&gt;ROW(U281)),--(((calc!$Z$3:$Z$306&gt;Z281)*(calc!$AA$3:$AA$306&lt;AA281)+(calc!$Z$3:$Z$306&lt;Z281)*(calc!$AA$3:$AA$306&gt;AA281))&gt;0)),0)</f>
        <v/>
      </c>
      <c r="AC281" s="5">
        <f>IF(mos_metrics!I280="","",mos_metrics!I280)</f>
        <v/>
      </c>
      <c r="AD281" s="2">
        <f>AND($J281,ISNUMBER(AC281),correlation!$I$28=1)</f>
        <v/>
      </c>
      <c r="AE281" s="5">
        <f>IF(AD281,$F281,"")</f>
        <v/>
      </c>
      <c r="AF281" s="5">
        <f>IF(AD281,AC281*correlation!$J$28,"")</f>
        <v/>
      </c>
      <c r="AG281" s="5">
        <f>IF(AND(AD281,ISNUMBER(correlation!$F$28)),AF281*correlation!$F$28+correlation!$G$28,"")</f>
        <v/>
      </c>
      <c r="AH281" s="5">
        <f>IF(AND(AD281,ISNUMBER(AG281)),(AE281-AG281)^2,"")</f>
        <v/>
      </c>
      <c r="AI281" s="5">
        <f>IF(AD281,1+SUMPRODUCT(--(calc!$AD$3:$AD$306=TRUE),--(calc!$AE$3:$AE$306&gt;AE281))+(SUMPRODUCT(--(calc!$AD$3:$AD$306=TRUE),--(calc!$AE$3:$AE$306=AE281))-1)/2,"")</f>
        <v/>
      </c>
      <c r="AJ281" s="5">
        <f>IF(AD281,1+SUMPRODUCT(--(calc!$AD$3:$AD$306=TRUE),--(calc!$AF$3:$AF$306&gt;AF281))+(SUMPRODUCT(--(calc!$AD$3:$AD$306=TRUE),--(calc!$AF$3:$AF$306=AF281))-1)/2,"")</f>
        <v/>
      </c>
      <c r="AK281" s="5">
        <f>IF(AD281,SUMPRODUCT(--(calc!$AD$3:$AD$306=TRUE),--(ROW(calc!$AD$3:$AD$306)&gt;ROW(AD281)),--(((calc!$AI$3:$AI$306&gt;AI281)*(calc!$AJ$3:$AJ$306&gt;AJ281)+(calc!$AI$3:$AI$306&lt;AI281)*(calc!$AJ$3:$AJ$306&lt;AJ281))&gt;0))-SUMPRODUCT(--(calc!$AD$3:$AD$306=TRUE),--(ROW(calc!$AD$3:$AD$306)&gt;ROW(AD281)),--(((calc!$AI$3:$AI$306&gt;AI281)*(calc!$AJ$3:$AJ$306&lt;AJ281)+(calc!$AI$3:$AI$306&lt;AI281)*(calc!$AJ$3:$AJ$306&gt;AJ281))&gt;0)),0)</f>
        <v/>
      </c>
      <c r="AL281" s="5">
        <f>IF(mos_metrics!J280="","",mos_metrics!J280)</f>
        <v/>
      </c>
      <c r="AM281" s="2">
        <f>AND($J281,ISNUMBER(AL281),correlation!$I$29=1)</f>
        <v/>
      </c>
      <c r="AN281" s="5">
        <f>IF(AM281,$F281,"")</f>
        <v/>
      </c>
      <c r="AO281" s="5">
        <f>IF(AM281,AL281*correlation!$J$29,"")</f>
        <v/>
      </c>
      <c r="AP281" s="5">
        <f>IF(AND(AM281,ISNUMBER(correlation!$F$29)),AO281*correlation!$F$29+correlation!$G$29,"")</f>
        <v/>
      </c>
      <c r="AQ281" s="5">
        <f>IF(AND(AM281,ISNUMBER(AP281)),(AN281-AP281)^2,"")</f>
        <v/>
      </c>
      <c r="AR281" s="5">
        <f>IF(AM281,1+SUMPRODUCT(--(calc!$AM$3:$AM$306=TRUE),--(calc!$AN$3:$AN$306&gt;AN281))+(SUMPRODUCT(--(calc!$AM$3:$AM$306=TRUE),--(calc!$AN$3:$AN$306=AN281))-1)/2,"")</f>
        <v/>
      </c>
      <c r="AS281" s="5">
        <f>IF(AM281,1+SUMPRODUCT(--(calc!$AM$3:$AM$306=TRUE),--(calc!$AO$3:$AO$306&gt;AO281))+(SUMPRODUCT(--(calc!$AM$3:$AM$306=TRUE),--(calc!$AO$3:$AO$306=AO281))-1)/2,"")</f>
        <v/>
      </c>
      <c r="AT281" s="5">
        <f>IF(AM281,SUMPRODUCT(--(calc!$AM$3:$AM$306=TRUE),--(ROW(calc!$AM$3:$AM$306)&gt;ROW(AM281)),--(((calc!$AR$3:$AR$306&gt;AR281)*(calc!$AS$3:$AS$306&gt;AS281)+(calc!$AR$3:$AR$306&lt;AR281)*(calc!$AS$3:$AS$306&lt;AS281))&gt;0))-SUMPRODUCT(--(calc!$AM$3:$AM$306=TRUE),--(ROW(calc!$AM$3:$AM$306)&gt;ROW(AM281)),--(((calc!$AR$3:$AR$306&gt;AR281)*(calc!$AS$3:$AS$306&lt;AS281)+(calc!$AR$3:$AR$306&lt;AR281)*(calc!$AS$3:$AS$306&gt;AS281))&gt;0)),0)</f>
        <v/>
      </c>
      <c r="AU281" s="5">
        <f>IF(mos_metrics!K280="","",mos_metrics!K280)</f>
        <v/>
      </c>
      <c r="AV281" s="2">
        <f>AND($J281,ISNUMBER(AU281),correlation!$I$30=1)</f>
        <v/>
      </c>
      <c r="AW281" s="5">
        <f>IF(AV281,$F281,"")</f>
        <v/>
      </c>
      <c r="AX281" s="5">
        <f>IF(AV281,AU281*correlation!$J$30,"")</f>
        <v/>
      </c>
      <c r="AY281" s="5">
        <f>IF(AND(AV281,ISNUMBER(correlation!$F$30)),AX281*correlation!$F$30+correlation!$G$30,"")</f>
        <v/>
      </c>
      <c r="AZ281" s="5">
        <f>IF(AND(AV281,ISNUMBER(AY281)),(AW281-AY281)^2,"")</f>
        <v/>
      </c>
      <c r="BA281" s="5">
        <f>IF(AV281,1+SUMPRODUCT(--(calc!$AV$3:$AV$306=TRUE),--(calc!$AW$3:$AW$306&gt;AW281))+(SUMPRODUCT(--(calc!$AV$3:$AV$306=TRUE),--(calc!$AW$3:$AW$306=AW281))-1)/2,"")</f>
        <v/>
      </c>
      <c r="BB281" s="5">
        <f>IF(AV281,1+SUMPRODUCT(--(calc!$AV$3:$AV$306=TRUE),--(calc!$AX$3:$AX$306&gt;AX281))+(SUMPRODUCT(--(calc!$AV$3:$AV$306=TRUE),--(calc!$AX$3:$AX$306=AX281))-1)/2,"")</f>
        <v/>
      </c>
      <c r="BC281" s="5">
        <f>IF(AV281,SUMPRODUCT(--(calc!$AV$3:$AV$306=TRUE),--(ROW(calc!$AV$3:$AV$306)&gt;ROW(AV281)),--(((calc!$BA$3:$BA$306&gt;BA281)*(calc!$BB$3:$BB$306&gt;BB281)+(calc!$BA$3:$BA$306&lt;BA281)*(calc!$BB$3:$BB$306&lt;BB281))&gt;0))-SUMPRODUCT(--(calc!$AV$3:$AV$306=TRUE),--(ROW(calc!$AV$3:$AV$306)&gt;ROW(AV281)),--(((calc!$BA$3:$BA$306&gt;BA281)*(calc!$BB$3:$BB$306&lt;BB281)+(calc!$BA$3:$BA$306&lt;BA281)*(calc!$BB$3:$BB$306&gt;BB281))&gt;0)),0)</f>
        <v/>
      </c>
      <c r="BD281" s="5">
        <f>IF(mos_metrics!L280="","",mos_metrics!L280)</f>
        <v/>
      </c>
      <c r="BE281" s="2">
        <f>AND($J281,ISNUMBER(BD281),correlation!$I$31=1)</f>
        <v/>
      </c>
      <c r="BF281" s="5">
        <f>IF(BE281,$F281,"")</f>
        <v/>
      </c>
      <c r="BG281" s="5">
        <f>IF(BE281,BD281*correlation!$J$31,"")</f>
        <v/>
      </c>
      <c r="BH281" s="5">
        <f>IF(AND(BE281,ISNUMBER(correlation!$F$31)),BG281*correlation!$F$31+correlation!$G$31,"")</f>
        <v/>
      </c>
      <c r="BI281" s="5">
        <f>IF(AND(BE281,ISNUMBER(BH281)),(BF281-BH281)^2,"")</f>
        <v/>
      </c>
      <c r="BJ281" s="5">
        <f>IF(BE281,1+SUMPRODUCT(--(calc!$BE$3:$BE$306=TRUE),--(calc!$BF$3:$BF$306&gt;BF281))+(SUMPRODUCT(--(calc!$BE$3:$BE$306=TRUE),--(calc!$BF$3:$BF$306=BF281))-1)/2,"")</f>
        <v/>
      </c>
      <c r="BK281" s="5">
        <f>IF(BE281,1+SUMPRODUCT(--(calc!$BE$3:$BE$306=TRUE),--(calc!$BG$3:$BG$306&gt;BG281))+(SUMPRODUCT(--(calc!$BE$3:$BE$306=TRUE),--(calc!$BG$3:$BG$306=BG281))-1)/2,"")</f>
        <v/>
      </c>
      <c r="BL281" s="5">
        <f>IF(BE281,SUMPRODUCT(--(calc!$BE$3:$BE$306=TRUE),--(ROW(calc!$BE$3:$BE$306)&gt;ROW(BE281)),--(((calc!$BJ$3:$BJ$306&gt;BJ281)*(calc!$BK$3:$BK$306&gt;BK281)+(calc!$BJ$3:$BJ$306&lt;BJ281)*(calc!$BK$3:$BK$306&lt;BK281))&gt;0))-SUMPRODUCT(--(calc!$BE$3:$BE$306=TRUE),--(ROW(calc!$BE$3:$BE$306)&gt;ROW(BE281)),--(((calc!$BJ$3:$BJ$306&gt;BJ281)*(calc!$BK$3:$BK$306&lt;BK281)+(calc!$BJ$3:$BJ$306&lt;BJ281)*(calc!$BK$3:$BK$306&gt;BK281))&gt;0)),0)</f>
        <v/>
      </c>
      <c r="BM281" s="5">
        <f>IF(mos_metrics!M280="","",mos_metrics!M280)</f>
        <v/>
      </c>
      <c r="BN281" s="2">
        <f>AND($J281,ISNUMBER(BM281),correlation!$I$32=1)</f>
        <v/>
      </c>
      <c r="BO281" s="5">
        <f>IF(BN281,$F281,"")</f>
        <v/>
      </c>
      <c r="BP281" s="5">
        <f>IF(BN281,BM281*correlation!$J$32,"")</f>
        <v/>
      </c>
      <c r="BQ281" s="5">
        <f>IF(AND(BN281,ISNUMBER(correlation!$F$32)),BP281*correlation!$F$32+correlation!$G$32,"")</f>
        <v/>
      </c>
      <c r="BR281" s="5">
        <f>IF(AND(BN281,ISNUMBER(BQ281)),(BO281-BQ281)^2,"")</f>
        <v/>
      </c>
      <c r="BS281" s="5">
        <f>IF(BN281,1+SUMPRODUCT(--(calc!$BN$3:$BN$306=TRUE),--(calc!$BO$3:$BO$306&gt;BO281))+(SUMPRODUCT(--(calc!$BN$3:$BN$306=TRUE),--(calc!$BO$3:$BO$306=BO281))-1)/2,"")</f>
        <v/>
      </c>
      <c r="BT281" s="5">
        <f>IF(BN281,1+SUMPRODUCT(--(calc!$BN$3:$BN$306=TRUE),--(calc!$BP$3:$BP$306&gt;BP281))+(SUMPRODUCT(--(calc!$BN$3:$BN$306=TRUE),--(calc!$BP$3:$BP$306=BP281))-1)/2,"")</f>
        <v/>
      </c>
      <c r="BU281" s="5">
        <f>IF(BN281,SUMPRODUCT(--(calc!$BN$3:$BN$306=TRUE),--(ROW(calc!$BN$3:$BN$306)&gt;ROW(BN281)),--(((calc!$BS$3:$BS$306&gt;BS281)*(calc!$BT$3:$BT$306&gt;BT281)+(calc!$BS$3:$BS$306&lt;BS281)*(calc!$BT$3:$BT$306&lt;BT281))&gt;0))-SUMPRODUCT(--(calc!$BN$3:$BN$306=TRUE),--(ROW(calc!$BN$3:$BN$306)&gt;ROW(BN281)),--(((calc!$BS$3:$BS$306&gt;BS281)*(calc!$BT$3:$BT$306&lt;BT281)+(calc!$BS$3:$BS$306&lt;BS281)*(calc!$BT$3:$BT$306&gt;BT281))&gt;0)),0)</f>
        <v/>
      </c>
    </row>
    <row r="282">
      <c r="A282" s="2">
        <f>mos_metrics!A281</f>
        <v/>
      </c>
      <c r="B282" s="2">
        <f>mos_metrics!B281</f>
        <v/>
      </c>
      <c r="C282" s="2">
        <f>mos_metrics!C281</f>
        <v/>
      </c>
      <c r="D282" s="2">
        <f>mos_metrics!D281</f>
        <v/>
      </c>
      <c r="E282" s="2">
        <f>mos_metrics!E281</f>
        <v/>
      </c>
      <c r="F282" s="2">
        <f>mos_metrics!F281</f>
        <v/>
      </c>
      <c r="G282" s="2">
        <f>IF($B282="","",IFERROR(VLOOKUP($B282,correlation!$A$2:$B$16,2,FALSE),1))</f>
        <v/>
      </c>
      <c r="H282" s="2">
        <f>IF($E282="","",IFERROR(VLOOKUP($E282,correlation!$D$2:$E$8,2,FALSE),1))</f>
        <v/>
      </c>
      <c r="I282" s="2">
        <f>ISNUMBER($F282)</f>
        <v/>
      </c>
      <c r="J282" s="2">
        <f>AND($G282=1,$H282=1,$I282)</f>
        <v/>
      </c>
      <c r="K282" s="5">
        <f>IF(mos_metrics!G281="","",mos_metrics!G281)</f>
        <v/>
      </c>
      <c r="L282" s="2">
        <f>AND($J282,ISNUMBER(K282),correlation!$I$26=1)</f>
        <v/>
      </c>
      <c r="M282" s="5">
        <f>IF(L282,$F282,"")</f>
        <v/>
      </c>
      <c r="N282" s="5">
        <f>IF(L282,K282*correlation!$J$26,"")</f>
        <v/>
      </c>
      <c r="O282" s="5">
        <f>IF(AND(L282,ISNUMBER(correlation!$F$26)),N282*correlation!$F$26+correlation!$G$26,"")</f>
        <v/>
      </c>
      <c r="P282" s="5">
        <f>IF(AND(L282,ISNUMBER(O282)),(M282-O282)^2,"")</f>
        <v/>
      </c>
      <c r="Q282" s="5">
        <f>IF(L282,1+SUMPRODUCT(--(calc!$L$3:$L$306=TRUE),--(calc!$M$3:$M$306&gt;M282))+(SUMPRODUCT(--(calc!$L$3:$L$306=TRUE),--(calc!$M$3:$M$306=M282))-1)/2,"")</f>
        <v/>
      </c>
      <c r="R282" s="5">
        <f>IF(L282,1+SUMPRODUCT(--(calc!$L$3:$L$306=TRUE),--(calc!$N$3:$N$306&gt;N282))+(SUMPRODUCT(--(calc!$L$3:$L$306=TRUE),--(calc!$N$3:$N$306=N282))-1)/2,"")</f>
        <v/>
      </c>
      <c r="S282" s="5">
        <f>IF(L282,SUMPRODUCT(--(calc!$L$3:$L$306=TRUE),--(ROW(calc!$L$3:$L$306)&gt;ROW(L282)),--(((calc!$Q$3:$Q$306&gt;Q282)*(calc!$R$3:$R$306&gt;R282)+(calc!$Q$3:$Q$306&lt;Q282)*(calc!$R$3:$R$306&lt;R282))&gt;0))-SUMPRODUCT(--(calc!$L$3:$L$306=TRUE),--(ROW(calc!$L$3:$L$306)&gt;ROW(L282)),--(((calc!$Q$3:$Q$306&gt;Q282)*(calc!$R$3:$R$306&lt;R282)+(calc!$Q$3:$Q$306&lt;Q282)*(calc!$R$3:$R$306&gt;R282))&gt;0)),0)</f>
        <v/>
      </c>
      <c r="T282" s="5">
        <f>IF(mos_metrics!H281="","",mos_metrics!H281)</f>
        <v/>
      </c>
      <c r="U282" s="2">
        <f>AND($J282,ISNUMBER(T282),correlation!$I$27=1)</f>
        <v/>
      </c>
      <c r="V282" s="5">
        <f>IF(U282,$F282,"")</f>
        <v/>
      </c>
      <c r="W282" s="5">
        <f>IF(U282,T282*correlation!$J$27,"")</f>
        <v/>
      </c>
      <c r="X282" s="5">
        <f>IF(AND(U282,ISNUMBER(correlation!$F$27)),W282*correlation!$F$27+correlation!$G$27,"")</f>
        <v/>
      </c>
      <c r="Y282" s="5">
        <f>IF(AND(U282,ISNUMBER(X282)),(V282-X282)^2,"")</f>
        <v/>
      </c>
      <c r="Z282" s="5">
        <f>IF(U282,1+SUMPRODUCT(--(calc!$U$3:$U$306=TRUE),--(calc!$V$3:$V$306&gt;V282))+(SUMPRODUCT(--(calc!$U$3:$U$306=TRUE),--(calc!$V$3:$V$306=V282))-1)/2,"")</f>
        <v/>
      </c>
      <c r="AA282" s="5">
        <f>IF(U282,1+SUMPRODUCT(--(calc!$U$3:$U$306=TRUE),--(calc!$W$3:$W$306&gt;W282))+(SUMPRODUCT(--(calc!$U$3:$U$306=TRUE),--(calc!$W$3:$W$306=W282))-1)/2,"")</f>
        <v/>
      </c>
      <c r="AB282" s="5">
        <f>IF(U282,SUMPRODUCT(--(calc!$U$3:$U$306=TRUE),--(ROW(calc!$U$3:$U$306)&gt;ROW(U282)),--(((calc!$Z$3:$Z$306&gt;Z282)*(calc!$AA$3:$AA$306&gt;AA282)+(calc!$Z$3:$Z$306&lt;Z282)*(calc!$AA$3:$AA$306&lt;AA282))&gt;0))-SUMPRODUCT(--(calc!$U$3:$U$306=TRUE),--(ROW(calc!$U$3:$U$306)&gt;ROW(U282)),--(((calc!$Z$3:$Z$306&gt;Z282)*(calc!$AA$3:$AA$306&lt;AA282)+(calc!$Z$3:$Z$306&lt;Z282)*(calc!$AA$3:$AA$306&gt;AA282))&gt;0)),0)</f>
        <v/>
      </c>
      <c r="AC282" s="5">
        <f>IF(mos_metrics!I281="","",mos_metrics!I281)</f>
        <v/>
      </c>
      <c r="AD282" s="2">
        <f>AND($J282,ISNUMBER(AC282),correlation!$I$28=1)</f>
        <v/>
      </c>
      <c r="AE282" s="5">
        <f>IF(AD282,$F282,"")</f>
        <v/>
      </c>
      <c r="AF282" s="5">
        <f>IF(AD282,AC282*correlation!$J$28,"")</f>
        <v/>
      </c>
      <c r="AG282" s="5">
        <f>IF(AND(AD282,ISNUMBER(correlation!$F$28)),AF282*correlation!$F$28+correlation!$G$28,"")</f>
        <v/>
      </c>
      <c r="AH282" s="5">
        <f>IF(AND(AD282,ISNUMBER(AG282)),(AE282-AG282)^2,"")</f>
        <v/>
      </c>
      <c r="AI282" s="5">
        <f>IF(AD282,1+SUMPRODUCT(--(calc!$AD$3:$AD$306=TRUE),--(calc!$AE$3:$AE$306&gt;AE282))+(SUMPRODUCT(--(calc!$AD$3:$AD$306=TRUE),--(calc!$AE$3:$AE$306=AE282))-1)/2,"")</f>
        <v/>
      </c>
      <c r="AJ282" s="5">
        <f>IF(AD282,1+SUMPRODUCT(--(calc!$AD$3:$AD$306=TRUE),--(calc!$AF$3:$AF$306&gt;AF282))+(SUMPRODUCT(--(calc!$AD$3:$AD$306=TRUE),--(calc!$AF$3:$AF$306=AF282))-1)/2,"")</f>
        <v/>
      </c>
      <c r="AK282" s="5">
        <f>IF(AD282,SUMPRODUCT(--(calc!$AD$3:$AD$306=TRUE),--(ROW(calc!$AD$3:$AD$306)&gt;ROW(AD282)),--(((calc!$AI$3:$AI$306&gt;AI282)*(calc!$AJ$3:$AJ$306&gt;AJ282)+(calc!$AI$3:$AI$306&lt;AI282)*(calc!$AJ$3:$AJ$306&lt;AJ282))&gt;0))-SUMPRODUCT(--(calc!$AD$3:$AD$306=TRUE),--(ROW(calc!$AD$3:$AD$306)&gt;ROW(AD282)),--(((calc!$AI$3:$AI$306&gt;AI282)*(calc!$AJ$3:$AJ$306&lt;AJ282)+(calc!$AI$3:$AI$306&lt;AI282)*(calc!$AJ$3:$AJ$306&gt;AJ282))&gt;0)),0)</f>
        <v/>
      </c>
      <c r="AL282" s="5">
        <f>IF(mos_metrics!J281="","",mos_metrics!J281)</f>
        <v/>
      </c>
      <c r="AM282" s="2">
        <f>AND($J282,ISNUMBER(AL282),correlation!$I$29=1)</f>
        <v/>
      </c>
      <c r="AN282" s="5">
        <f>IF(AM282,$F282,"")</f>
        <v/>
      </c>
      <c r="AO282" s="5">
        <f>IF(AM282,AL282*correlation!$J$29,"")</f>
        <v/>
      </c>
      <c r="AP282" s="5">
        <f>IF(AND(AM282,ISNUMBER(correlation!$F$29)),AO282*correlation!$F$29+correlation!$G$29,"")</f>
        <v/>
      </c>
      <c r="AQ282" s="5">
        <f>IF(AND(AM282,ISNUMBER(AP282)),(AN282-AP282)^2,"")</f>
        <v/>
      </c>
      <c r="AR282" s="5">
        <f>IF(AM282,1+SUMPRODUCT(--(calc!$AM$3:$AM$306=TRUE),--(calc!$AN$3:$AN$306&gt;AN282))+(SUMPRODUCT(--(calc!$AM$3:$AM$306=TRUE),--(calc!$AN$3:$AN$306=AN282))-1)/2,"")</f>
        <v/>
      </c>
      <c r="AS282" s="5">
        <f>IF(AM282,1+SUMPRODUCT(--(calc!$AM$3:$AM$306=TRUE),--(calc!$AO$3:$AO$306&gt;AO282))+(SUMPRODUCT(--(calc!$AM$3:$AM$306=TRUE),--(calc!$AO$3:$AO$306=AO282))-1)/2,"")</f>
        <v/>
      </c>
      <c r="AT282" s="5">
        <f>IF(AM282,SUMPRODUCT(--(calc!$AM$3:$AM$306=TRUE),--(ROW(calc!$AM$3:$AM$306)&gt;ROW(AM282)),--(((calc!$AR$3:$AR$306&gt;AR282)*(calc!$AS$3:$AS$306&gt;AS282)+(calc!$AR$3:$AR$306&lt;AR282)*(calc!$AS$3:$AS$306&lt;AS282))&gt;0))-SUMPRODUCT(--(calc!$AM$3:$AM$306=TRUE),--(ROW(calc!$AM$3:$AM$306)&gt;ROW(AM282)),--(((calc!$AR$3:$AR$306&gt;AR282)*(calc!$AS$3:$AS$306&lt;AS282)+(calc!$AR$3:$AR$306&lt;AR282)*(calc!$AS$3:$AS$306&gt;AS282))&gt;0)),0)</f>
        <v/>
      </c>
      <c r="AU282" s="5">
        <f>IF(mos_metrics!K281="","",mos_metrics!K281)</f>
        <v/>
      </c>
      <c r="AV282" s="2">
        <f>AND($J282,ISNUMBER(AU282),correlation!$I$30=1)</f>
        <v/>
      </c>
      <c r="AW282" s="5">
        <f>IF(AV282,$F282,"")</f>
        <v/>
      </c>
      <c r="AX282" s="5">
        <f>IF(AV282,AU282*correlation!$J$30,"")</f>
        <v/>
      </c>
      <c r="AY282" s="5">
        <f>IF(AND(AV282,ISNUMBER(correlation!$F$30)),AX282*correlation!$F$30+correlation!$G$30,"")</f>
        <v/>
      </c>
      <c r="AZ282" s="5">
        <f>IF(AND(AV282,ISNUMBER(AY282)),(AW282-AY282)^2,"")</f>
        <v/>
      </c>
      <c r="BA282" s="5">
        <f>IF(AV282,1+SUMPRODUCT(--(calc!$AV$3:$AV$306=TRUE),--(calc!$AW$3:$AW$306&gt;AW282))+(SUMPRODUCT(--(calc!$AV$3:$AV$306=TRUE),--(calc!$AW$3:$AW$306=AW282))-1)/2,"")</f>
        <v/>
      </c>
      <c r="BB282" s="5">
        <f>IF(AV282,1+SUMPRODUCT(--(calc!$AV$3:$AV$306=TRUE),--(calc!$AX$3:$AX$306&gt;AX282))+(SUMPRODUCT(--(calc!$AV$3:$AV$306=TRUE),--(calc!$AX$3:$AX$306=AX282))-1)/2,"")</f>
        <v/>
      </c>
      <c r="BC282" s="5">
        <f>IF(AV282,SUMPRODUCT(--(calc!$AV$3:$AV$306=TRUE),--(ROW(calc!$AV$3:$AV$306)&gt;ROW(AV282)),--(((calc!$BA$3:$BA$306&gt;BA282)*(calc!$BB$3:$BB$306&gt;BB282)+(calc!$BA$3:$BA$306&lt;BA282)*(calc!$BB$3:$BB$306&lt;BB282))&gt;0))-SUMPRODUCT(--(calc!$AV$3:$AV$306=TRUE),--(ROW(calc!$AV$3:$AV$306)&gt;ROW(AV282)),--(((calc!$BA$3:$BA$306&gt;BA282)*(calc!$BB$3:$BB$306&lt;BB282)+(calc!$BA$3:$BA$306&lt;BA282)*(calc!$BB$3:$BB$306&gt;BB282))&gt;0)),0)</f>
        <v/>
      </c>
      <c r="BD282" s="5">
        <f>IF(mos_metrics!L281="","",mos_metrics!L281)</f>
        <v/>
      </c>
      <c r="BE282" s="2">
        <f>AND($J282,ISNUMBER(BD282),correlation!$I$31=1)</f>
        <v/>
      </c>
      <c r="BF282" s="5">
        <f>IF(BE282,$F282,"")</f>
        <v/>
      </c>
      <c r="BG282" s="5">
        <f>IF(BE282,BD282*correlation!$J$31,"")</f>
        <v/>
      </c>
      <c r="BH282" s="5">
        <f>IF(AND(BE282,ISNUMBER(correlation!$F$31)),BG282*correlation!$F$31+correlation!$G$31,"")</f>
        <v/>
      </c>
      <c r="BI282" s="5">
        <f>IF(AND(BE282,ISNUMBER(BH282)),(BF282-BH282)^2,"")</f>
        <v/>
      </c>
      <c r="BJ282" s="5">
        <f>IF(BE282,1+SUMPRODUCT(--(calc!$BE$3:$BE$306=TRUE),--(calc!$BF$3:$BF$306&gt;BF282))+(SUMPRODUCT(--(calc!$BE$3:$BE$306=TRUE),--(calc!$BF$3:$BF$306=BF282))-1)/2,"")</f>
        <v/>
      </c>
      <c r="BK282" s="5">
        <f>IF(BE282,1+SUMPRODUCT(--(calc!$BE$3:$BE$306=TRUE),--(calc!$BG$3:$BG$306&gt;BG282))+(SUMPRODUCT(--(calc!$BE$3:$BE$306=TRUE),--(calc!$BG$3:$BG$306=BG282))-1)/2,"")</f>
        <v/>
      </c>
      <c r="BL282" s="5">
        <f>IF(BE282,SUMPRODUCT(--(calc!$BE$3:$BE$306=TRUE),--(ROW(calc!$BE$3:$BE$306)&gt;ROW(BE282)),--(((calc!$BJ$3:$BJ$306&gt;BJ282)*(calc!$BK$3:$BK$306&gt;BK282)+(calc!$BJ$3:$BJ$306&lt;BJ282)*(calc!$BK$3:$BK$306&lt;BK282))&gt;0))-SUMPRODUCT(--(calc!$BE$3:$BE$306=TRUE),--(ROW(calc!$BE$3:$BE$306)&gt;ROW(BE282)),--(((calc!$BJ$3:$BJ$306&gt;BJ282)*(calc!$BK$3:$BK$306&lt;BK282)+(calc!$BJ$3:$BJ$306&lt;BJ282)*(calc!$BK$3:$BK$306&gt;BK282))&gt;0)),0)</f>
        <v/>
      </c>
      <c r="BM282" s="5">
        <f>IF(mos_metrics!M281="","",mos_metrics!M281)</f>
        <v/>
      </c>
      <c r="BN282" s="2">
        <f>AND($J282,ISNUMBER(BM282),correlation!$I$32=1)</f>
        <v/>
      </c>
      <c r="BO282" s="5">
        <f>IF(BN282,$F282,"")</f>
        <v/>
      </c>
      <c r="BP282" s="5">
        <f>IF(BN282,BM282*correlation!$J$32,"")</f>
        <v/>
      </c>
      <c r="BQ282" s="5">
        <f>IF(AND(BN282,ISNUMBER(correlation!$F$32)),BP282*correlation!$F$32+correlation!$G$32,"")</f>
        <v/>
      </c>
      <c r="BR282" s="5">
        <f>IF(AND(BN282,ISNUMBER(BQ282)),(BO282-BQ282)^2,"")</f>
        <v/>
      </c>
      <c r="BS282" s="5">
        <f>IF(BN282,1+SUMPRODUCT(--(calc!$BN$3:$BN$306=TRUE),--(calc!$BO$3:$BO$306&gt;BO282))+(SUMPRODUCT(--(calc!$BN$3:$BN$306=TRUE),--(calc!$BO$3:$BO$306=BO282))-1)/2,"")</f>
        <v/>
      </c>
      <c r="BT282" s="5">
        <f>IF(BN282,1+SUMPRODUCT(--(calc!$BN$3:$BN$306=TRUE),--(calc!$BP$3:$BP$306&gt;BP282))+(SUMPRODUCT(--(calc!$BN$3:$BN$306=TRUE),--(calc!$BP$3:$BP$306=BP282))-1)/2,"")</f>
        <v/>
      </c>
      <c r="BU282" s="5">
        <f>IF(BN282,SUMPRODUCT(--(calc!$BN$3:$BN$306=TRUE),--(ROW(calc!$BN$3:$BN$306)&gt;ROW(BN282)),--(((calc!$BS$3:$BS$306&gt;BS282)*(calc!$BT$3:$BT$306&gt;BT282)+(calc!$BS$3:$BS$306&lt;BS282)*(calc!$BT$3:$BT$306&lt;BT282))&gt;0))-SUMPRODUCT(--(calc!$BN$3:$BN$306=TRUE),--(ROW(calc!$BN$3:$BN$306)&gt;ROW(BN282)),--(((calc!$BS$3:$BS$306&gt;BS282)*(calc!$BT$3:$BT$306&lt;BT282)+(calc!$BS$3:$BS$306&lt;BS282)*(calc!$BT$3:$BT$306&gt;BT282))&gt;0)),0)</f>
        <v/>
      </c>
    </row>
    <row r="283">
      <c r="A283" s="2">
        <f>mos_metrics!A282</f>
        <v/>
      </c>
      <c r="B283" s="2">
        <f>mos_metrics!B282</f>
        <v/>
      </c>
      <c r="C283" s="2">
        <f>mos_metrics!C282</f>
        <v/>
      </c>
      <c r="D283" s="2">
        <f>mos_metrics!D282</f>
        <v/>
      </c>
      <c r="E283" s="2">
        <f>mos_metrics!E282</f>
        <v/>
      </c>
      <c r="F283" s="2">
        <f>mos_metrics!F282</f>
        <v/>
      </c>
      <c r="G283" s="2">
        <f>IF($B283="","",IFERROR(VLOOKUP($B283,correlation!$A$2:$B$16,2,FALSE),1))</f>
        <v/>
      </c>
      <c r="H283" s="2">
        <f>IF($E283="","",IFERROR(VLOOKUP($E283,correlation!$D$2:$E$8,2,FALSE),1))</f>
        <v/>
      </c>
      <c r="I283" s="2">
        <f>ISNUMBER($F283)</f>
        <v/>
      </c>
      <c r="J283" s="2">
        <f>AND($G283=1,$H283=1,$I283)</f>
        <v/>
      </c>
      <c r="K283" s="5">
        <f>IF(mos_metrics!G282="","",mos_metrics!G282)</f>
        <v/>
      </c>
      <c r="L283" s="2">
        <f>AND($J283,ISNUMBER(K283),correlation!$I$26=1)</f>
        <v/>
      </c>
      <c r="M283" s="5">
        <f>IF(L283,$F283,"")</f>
        <v/>
      </c>
      <c r="N283" s="5">
        <f>IF(L283,K283*correlation!$J$26,"")</f>
        <v/>
      </c>
      <c r="O283" s="5">
        <f>IF(AND(L283,ISNUMBER(correlation!$F$26)),N283*correlation!$F$26+correlation!$G$26,"")</f>
        <v/>
      </c>
      <c r="P283" s="5">
        <f>IF(AND(L283,ISNUMBER(O283)),(M283-O283)^2,"")</f>
        <v/>
      </c>
      <c r="Q283" s="5">
        <f>IF(L283,1+SUMPRODUCT(--(calc!$L$3:$L$306=TRUE),--(calc!$M$3:$M$306&gt;M283))+(SUMPRODUCT(--(calc!$L$3:$L$306=TRUE),--(calc!$M$3:$M$306=M283))-1)/2,"")</f>
        <v/>
      </c>
      <c r="R283" s="5">
        <f>IF(L283,1+SUMPRODUCT(--(calc!$L$3:$L$306=TRUE),--(calc!$N$3:$N$306&gt;N283))+(SUMPRODUCT(--(calc!$L$3:$L$306=TRUE),--(calc!$N$3:$N$306=N283))-1)/2,"")</f>
        <v/>
      </c>
      <c r="S283" s="5">
        <f>IF(L283,SUMPRODUCT(--(calc!$L$3:$L$306=TRUE),--(ROW(calc!$L$3:$L$306)&gt;ROW(L283)),--(((calc!$Q$3:$Q$306&gt;Q283)*(calc!$R$3:$R$306&gt;R283)+(calc!$Q$3:$Q$306&lt;Q283)*(calc!$R$3:$R$306&lt;R283))&gt;0))-SUMPRODUCT(--(calc!$L$3:$L$306=TRUE),--(ROW(calc!$L$3:$L$306)&gt;ROW(L283)),--(((calc!$Q$3:$Q$306&gt;Q283)*(calc!$R$3:$R$306&lt;R283)+(calc!$Q$3:$Q$306&lt;Q283)*(calc!$R$3:$R$306&gt;R283))&gt;0)),0)</f>
        <v/>
      </c>
      <c r="T283" s="5">
        <f>IF(mos_metrics!H282="","",mos_metrics!H282)</f>
        <v/>
      </c>
      <c r="U283" s="2">
        <f>AND($J283,ISNUMBER(T283),correlation!$I$27=1)</f>
        <v/>
      </c>
      <c r="V283" s="5">
        <f>IF(U283,$F283,"")</f>
        <v/>
      </c>
      <c r="W283" s="5">
        <f>IF(U283,T283*correlation!$J$27,"")</f>
        <v/>
      </c>
      <c r="X283" s="5">
        <f>IF(AND(U283,ISNUMBER(correlation!$F$27)),W283*correlation!$F$27+correlation!$G$27,"")</f>
        <v/>
      </c>
      <c r="Y283" s="5">
        <f>IF(AND(U283,ISNUMBER(X283)),(V283-X283)^2,"")</f>
        <v/>
      </c>
      <c r="Z283" s="5">
        <f>IF(U283,1+SUMPRODUCT(--(calc!$U$3:$U$306=TRUE),--(calc!$V$3:$V$306&gt;V283))+(SUMPRODUCT(--(calc!$U$3:$U$306=TRUE),--(calc!$V$3:$V$306=V283))-1)/2,"")</f>
        <v/>
      </c>
      <c r="AA283" s="5">
        <f>IF(U283,1+SUMPRODUCT(--(calc!$U$3:$U$306=TRUE),--(calc!$W$3:$W$306&gt;W283))+(SUMPRODUCT(--(calc!$U$3:$U$306=TRUE),--(calc!$W$3:$W$306=W283))-1)/2,"")</f>
        <v/>
      </c>
      <c r="AB283" s="5">
        <f>IF(U283,SUMPRODUCT(--(calc!$U$3:$U$306=TRUE),--(ROW(calc!$U$3:$U$306)&gt;ROW(U283)),--(((calc!$Z$3:$Z$306&gt;Z283)*(calc!$AA$3:$AA$306&gt;AA283)+(calc!$Z$3:$Z$306&lt;Z283)*(calc!$AA$3:$AA$306&lt;AA283))&gt;0))-SUMPRODUCT(--(calc!$U$3:$U$306=TRUE),--(ROW(calc!$U$3:$U$306)&gt;ROW(U283)),--(((calc!$Z$3:$Z$306&gt;Z283)*(calc!$AA$3:$AA$306&lt;AA283)+(calc!$Z$3:$Z$306&lt;Z283)*(calc!$AA$3:$AA$306&gt;AA283))&gt;0)),0)</f>
        <v/>
      </c>
      <c r="AC283" s="5">
        <f>IF(mos_metrics!I282="","",mos_metrics!I282)</f>
        <v/>
      </c>
      <c r="AD283" s="2">
        <f>AND($J283,ISNUMBER(AC283),correlation!$I$28=1)</f>
        <v/>
      </c>
      <c r="AE283" s="5">
        <f>IF(AD283,$F283,"")</f>
        <v/>
      </c>
      <c r="AF283" s="5">
        <f>IF(AD283,AC283*correlation!$J$28,"")</f>
        <v/>
      </c>
      <c r="AG283" s="5">
        <f>IF(AND(AD283,ISNUMBER(correlation!$F$28)),AF283*correlation!$F$28+correlation!$G$28,"")</f>
        <v/>
      </c>
      <c r="AH283" s="5">
        <f>IF(AND(AD283,ISNUMBER(AG283)),(AE283-AG283)^2,"")</f>
        <v/>
      </c>
      <c r="AI283" s="5">
        <f>IF(AD283,1+SUMPRODUCT(--(calc!$AD$3:$AD$306=TRUE),--(calc!$AE$3:$AE$306&gt;AE283))+(SUMPRODUCT(--(calc!$AD$3:$AD$306=TRUE),--(calc!$AE$3:$AE$306=AE283))-1)/2,"")</f>
        <v/>
      </c>
      <c r="AJ283" s="5">
        <f>IF(AD283,1+SUMPRODUCT(--(calc!$AD$3:$AD$306=TRUE),--(calc!$AF$3:$AF$306&gt;AF283))+(SUMPRODUCT(--(calc!$AD$3:$AD$306=TRUE),--(calc!$AF$3:$AF$306=AF283))-1)/2,"")</f>
        <v/>
      </c>
      <c r="AK283" s="5">
        <f>IF(AD283,SUMPRODUCT(--(calc!$AD$3:$AD$306=TRUE),--(ROW(calc!$AD$3:$AD$306)&gt;ROW(AD283)),--(((calc!$AI$3:$AI$306&gt;AI283)*(calc!$AJ$3:$AJ$306&gt;AJ283)+(calc!$AI$3:$AI$306&lt;AI283)*(calc!$AJ$3:$AJ$306&lt;AJ283))&gt;0))-SUMPRODUCT(--(calc!$AD$3:$AD$306=TRUE),--(ROW(calc!$AD$3:$AD$306)&gt;ROW(AD283)),--(((calc!$AI$3:$AI$306&gt;AI283)*(calc!$AJ$3:$AJ$306&lt;AJ283)+(calc!$AI$3:$AI$306&lt;AI283)*(calc!$AJ$3:$AJ$306&gt;AJ283))&gt;0)),0)</f>
        <v/>
      </c>
      <c r="AL283" s="5">
        <f>IF(mos_metrics!J282="","",mos_metrics!J282)</f>
        <v/>
      </c>
      <c r="AM283" s="2">
        <f>AND($J283,ISNUMBER(AL283),correlation!$I$29=1)</f>
        <v/>
      </c>
      <c r="AN283" s="5">
        <f>IF(AM283,$F283,"")</f>
        <v/>
      </c>
      <c r="AO283" s="5">
        <f>IF(AM283,AL283*correlation!$J$29,"")</f>
        <v/>
      </c>
      <c r="AP283" s="5">
        <f>IF(AND(AM283,ISNUMBER(correlation!$F$29)),AO283*correlation!$F$29+correlation!$G$29,"")</f>
        <v/>
      </c>
      <c r="AQ283" s="5">
        <f>IF(AND(AM283,ISNUMBER(AP283)),(AN283-AP283)^2,"")</f>
        <v/>
      </c>
      <c r="AR283" s="5">
        <f>IF(AM283,1+SUMPRODUCT(--(calc!$AM$3:$AM$306=TRUE),--(calc!$AN$3:$AN$306&gt;AN283))+(SUMPRODUCT(--(calc!$AM$3:$AM$306=TRUE),--(calc!$AN$3:$AN$306=AN283))-1)/2,"")</f>
        <v/>
      </c>
      <c r="AS283" s="5">
        <f>IF(AM283,1+SUMPRODUCT(--(calc!$AM$3:$AM$306=TRUE),--(calc!$AO$3:$AO$306&gt;AO283))+(SUMPRODUCT(--(calc!$AM$3:$AM$306=TRUE),--(calc!$AO$3:$AO$306=AO283))-1)/2,"")</f>
        <v/>
      </c>
      <c r="AT283" s="5">
        <f>IF(AM283,SUMPRODUCT(--(calc!$AM$3:$AM$306=TRUE),--(ROW(calc!$AM$3:$AM$306)&gt;ROW(AM283)),--(((calc!$AR$3:$AR$306&gt;AR283)*(calc!$AS$3:$AS$306&gt;AS283)+(calc!$AR$3:$AR$306&lt;AR283)*(calc!$AS$3:$AS$306&lt;AS283))&gt;0))-SUMPRODUCT(--(calc!$AM$3:$AM$306=TRUE),--(ROW(calc!$AM$3:$AM$306)&gt;ROW(AM283)),--(((calc!$AR$3:$AR$306&gt;AR283)*(calc!$AS$3:$AS$306&lt;AS283)+(calc!$AR$3:$AR$306&lt;AR283)*(calc!$AS$3:$AS$306&gt;AS283))&gt;0)),0)</f>
        <v/>
      </c>
      <c r="AU283" s="5">
        <f>IF(mos_metrics!K282="","",mos_metrics!K282)</f>
        <v/>
      </c>
      <c r="AV283" s="2">
        <f>AND($J283,ISNUMBER(AU283),correlation!$I$30=1)</f>
        <v/>
      </c>
      <c r="AW283" s="5">
        <f>IF(AV283,$F283,"")</f>
        <v/>
      </c>
      <c r="AX283" s="5">
        <f>IF(AV283,AU283*correlation!$J$30,"")</f>
        <v/>
      </c>
      <c r="AY283" s="5">
        <f>IF(AND(AV283,ISNUMBER(correlation!$F$30)),AX283*correlation!$F$30+correlation!$G$30,"")</f>
        <v/>
      </c>
      <c r="AZ283" s="5">
        <f>IF(AND(AV283,ISNUMBER(AY283)),(AW283-AY283)^2,"")</f>
        <v/>
      </c>
      <c r="BA283" s="5">
        <f>IF(AV283,1+SUMPRODUCT(--(calc!$AV$3:$AV$306=TRUE),--(calc!$AW$3:$AW$306&gt;AW283))+(SUMPRODUCT(--(calc!$AV$3:$AV$306=TRUE),--(calc!$AW$3:$AW$306=AW283))-1)/2,"")</f>
        <v/>
      </c>
      <c r="BB283" s="5">
        <f>IF(AV283,1+SUMPRODUCT(--(calc!$AV$3:$AV$306=TRUE),--(calc!$AX$3:$AX$306&gt;AX283))+(SUMPRODUCT(--(calc!$AV$3:$AV$306=TRUE),--(calc!$AX$3:$AX$306=AX283))-1)/2,"")</f>
        <v/>
      </c>
      <c r="BC283" s="5">
        <f>IF(AV283,SUMPRODUCT(--(calc!$AV$3:$AV$306=TRUE),--(ROW(calc!$AV$3:$AV$306)&gt;ROW(AV283)),--(((calc!$BA$3:$BA$306&gt;BA283)*(calc!$BB$3:$BB$306&gt;BB283)+(calc!$BA$3:$BA$306&lt;BA283)*(calc!$BB$3:$BB$306&lt;BB283))&gt;0))-SUMPRODUCT(--(calc!$AV$3:$AV$306=TRUE),--(ROW(calc!$AV$3:$AV$306)&gt;ROW(AV283)),--(((calc!$BA$3:$BA$306&gt;BA283)*(calc!$BB$3:$BB$306&lt;BB283)+(calc!$BA$3:$BA$306&lt;BA283)*(calc!$BB$3:$BB$306&gt;BB283))&gt;0)),0)</f>
        <v/>
      </c>
      <c r="BD283" s="5">
        <f>IF(mos_metrics!L282="","",mos_metrics!L282)</f>
        <v/>
      </c>
      <c r="BE283" s="2">
        <f>AND($J283,ISNUMBER(BD283),correlation!$I$31=1)</f>
        <v/>
      </c>
      <c r="BF283" s="5">
        <f>IF(BE283,$F283,"")</f>
        <v/>
      </c>
      <c r="BG283" s="5">
        <f>IF(BE283,BD283*correlation!$J$31,"")</f>
        <v/>
      </c>
      <c r="BH283" s="5">
        <f>IF(AND(BE283,ISNUMBER(correlation!$F$31)),BG283*correlation!$F$31+correlation!$G$31,"")</f>
        <v/>
      </c>
      <c r="BI283" s="5">
        <f>IF(AND(BE283,ISNUMBER(BH283)),(BF283-BH283)^2,"")</f>
        <v/>
      </c>
      <c r="BJ283" s="5">
        <f>IF(BE283,1+SUMPRODUCT(--(calc!$BE$3:$BE$306=TRUE),--(calc!$BF$3:$BF$306&gt;BF283))+(SUMPRODUCT(--(calc!$BE$3:$BE$306=TRUE),--(calc!$BF$3:$BF$306=BF283))-1)/2,"")</f>
        <v/>
      </c>
      <c r="BK283" s="5">
        <f>IF(BE283,1+SUMPRODUCT(--(calc!$BE$3:$BE$306=TRUE),--(calc!$BG$3:$BG$306&gt;BG283))+(SUMPRODUCT(--(calc!$BE$3:$BE$306=TRUE),--(calc!$BG$3:$BG$306=BG283))-1)/2,"")</f>
        <v/>
      </c>
      <c r="BL283" s="5">
        <f>IF(BE283,SUMPRODUCT(--(calc!$BE$3:$BE$306=TRUE),--(ROW(calc!$BE$3:$BE$306)&gt;ROW(BE283)),--(((calc!$BJ$3:$BJ$306&gt;BJ283)*(calc!$BK$3:$BK$306&gt;BK283)+(calc!$BJ$3:$BJ$306&lt;BJ283)*(calc!$BK$3:$BK$306&lt;BK283))&gt;0))-SUMPRODUCT(--(calc!$BE$3:$BE$306=TRUE),--(ROW(calc!$BE$3:$BE$306)&gt;ROW(BE283)),--(((calc!$BJ$3:$BJ$306&gt;BJ283)*(calc!$BK$3:$BK$306&lt;BK283)+(calc!$BJ$3:$BJ$306&lt;BJ283)*(calc!$BK$3:$BK$306&gt;BK283))&gt;0)),0)</f>
        <v/>
      </c>
      <c r="BM283" s="5">
        <f>IF(mos_metrics!M282="","",mos_metrics!M282)</f>
        <v/>
      </c>
      <c r="BN283" s="2">
        <f>AND($J283,ISNUMBER(BM283),correlation!$I$32=1)</f>
        <v/>
      </c>
      <c r="BO283" s="5">
        <f>IF(BN283,$F283,"")</f>
        <v/>
      </c>
      <c r="BP283" s="5">
        <f>IF(BN283,BM283*correlation!$J$32,"")</f>
        <v/>
      </c>
      <c r="BQ283" s="5">
        <f>IF(AND(BN283,ISNUMBER(correlation!$F$32)),BP283*correlation!$F$32+correlation!$G$32,"")</f>
        <v/>
      </c>
      <c r="BR283" s="5">
        <f>IF(AND(BN283,ISNUMBER(BQ283)),(BO283-BQ283)^2,"")</f>
        <v/>
      </c>
      <c r="BS283" s="5">
        <f>IF(BN283,1+SUMPRODUCT(--(calc!$BN$3:$BN$306=TRUE),--(calc!$BO$3:$BO$306&gt;BO283))+(SUMPRODUCT(--(calc!$BN$3:$BN$306=TRUE),--(calc!$BO$3:$BO$306=BO283))-1)/2,"")</f>
        <v/>
      </c>
      <c r="BT283" s="5">
        <f>IF(BN283,1+SUMPRODUCT(--(calc!$BN$3:$BN$306=TRUE),--(calc!$BP$3:$BP$306&gt;BP283))+(SUMPRODUCT(--(calc!$BN$3:$BN$306=TRUE),--(calc!$BP$3:$BP$306=BP283))-1)/2,"")</f>
        <v/>
      </c>
      <c r="BU283" s="5">
        <f>IF(BN283,SUMPRODUCT(--(calc!$BN$3:$BN$306=TRUE),--(ROW(calc!$BN$3:$BN$306)&gt;ROW(BN283)),--(((calc!$BS$3:$BS$306&gt;BS283)*(calc!$BT$3:$BT$306&gt;BT283)+(calc!$BS$3:$BS$306&lt;BS283)*(calc!$BT$3:$BT$306&lt;BT283))&gt;0))-SUMPRODUCT(--(calc!$BN$3:$BN$306=TRUE),--(ROW(calc!$BN$3:$BN$306)&gt;ROW(BN283)),--(((calc!$BS$3:$BS$306&gt;BS283)*(calc!$BT$3:$BT$306&lt;BT283)+(calc!$BS$3:$BS$306&lt;BS283)*(calc!$BT$3:$BT$306&gt;BT283))&gt;0)),0)</f>
        <v/>
      </c>
    </row>
    <row r="284">
      <c r="A284" s="2">
        <f>mos_metrics!A283</f>
        <v/>
      </c>
      <c r="B284" s="2">
        <f>mos_metrics!B283</f>
        <v/>
      </c>
      <c r="C284" s="2">
        <f>mos_metrics!C283</f>
        <v/>
      </c>
      <c r="D284" s="2">
        <f>mos_metrics!D283</f>
        <v/>
      </c>
      <c r="E284" s="2">
        <f>mos_metrics!E283</f>
        <v/>
      </c>
      <c r="F284" s="2">
        <f>mos_metrics!F283</f>
        <v/>
      </c>
      <c r="G284" s="2">
        <f>IF($B284="","",IFERROR(VLOOKUP($B284,correlation!$A$2:$B$16,2,FALSE),1))</f>
        <v/>
      </c>
      <c r="H284" s="2">
        <f>IF($E284="","",IFERROR(VLOOKUP($E284,correlation!$D$2:$E$8,2,FALSE),1))</f>
        <v/>
      </c>
      <c r="I284" s="2">
        <f>ISNUMBER($F284)</f>
        <v/>
      </c>
      <c r="J284" s="2">
        <f>AND($G284=1,$H284=1,$I284)</f>
        <v/>
      </c>
      <c r="K284" s="5">
        <f>IF(mos_metrics!G283="","",mos_metrics!G283)</f>
        <v/>
      </c>
      <c r="L284" s="2">
        <f>AND($J284,ISNUMBER(K284),correlation!$I$26=1)</f>
        <v/>
      </c>
      <c r="M284" s="5">
        <f>IF(L284,$F284,"")</f>
        <v/>
      </c>
      <c r="N284" s="5">
        <f>IF(L284,K284*correlation!$J$26,"")</f>
        <v/>
      </c>
      <c r="O284" s="5">
        <f>IF(AND(L284,ISNUMBER(correlation!$F$26)),N284*correlation!$F$26+correlation!$G$26,"")</f>
        <v/>
      </c>
      <c r="P284" s="5">
        <f>IF(AND(L284,ISNUMBER(O284)),(M284-O284)^2,"")</f>
        <v/>
      </c>
      <c r="Q284" s="5">
        <f>IF(L284,1+SUMPRODUCT(--(calc!$L$3:$L$306=TRUE),--(calc!$M$3:$M$306&gt;M284))+(SUMPRODUCT(--(calc!$L$3:$L$306=TRUE),--(calc!$M$3:$M$306=M284))-1)/2,"")</f>
        <v/>
      </c>
      <c r="R284" s="5">
        <f>IF(L284,1+SUMPRODUCT(--(calc!$L$3:$L$306=TRUE),--(calc!$N$3:$N$306&gt;N284))+(SUMPRODUCT(--(calc!$L$3:$L$306=TRUE),--(calc!$N$3:$N$306=N284))-1)/2,"")</f>
        <v/>
      </c>
      <c r="S284" s="5">
        <f>IF(L284,SUMPRODUCT(--(calc!$L$3:$L$306=TRUE),--(ROW(calc!$L$3:$L$306)&gt;ROW(L284)),--(((calc!$Q$3:$Q$306&gt;Q284)*(calc!$R$3:$R$306&gt;R284)+(calc!$Q$3:$Q$306&lt;Q284)*(calc!$R$3:$R$306&lt;R284))&gt;0))-SUMPRODUCT(--(calc!$L$3:$L$306=TRUE),--(ROW(calc!$L$3:$L$306)&gt;ROW(L284)),--(((calc!$Q$3:$Q$306&gt;Q284)*(calc!$R$3:$R$306&lt;R284)+(calc!$Q$3:$Q$306&lt;Q284)*(calc!$R$3:$R$306&gt;R284))&gt;0)),0)</f>
        <v/>
      </c>
      <c r="T284" s="5">
        <f>IF(mos_metrics!H283="","",mos_metrics!H283)</f>
        <v/>
      </c>
      <c r="U284" s="2">
        <f>AND($J284,ISNUMBER(T284),correlation!$I$27=1)</f>
        <v/>
      </c>
      <c r="V284" s="5">
        <f>IF(U284,$F284,"")</f>
        <v/>
      </c>
      <c r="W284" s="5">
        <f>IF(U284,T284*correlation!$J$27,"")</f>
        <v/>
      </c>
      <c r="X284" s="5">
        <f>IF(AND(U284,ISNUMBER(correlation!$F$27)),W284*correlation!$F$27+correlation!$G$27,"")</f>
        <v/>
      </c>
      <c r="Y284" s="5">
        <f>IF(AND(U284,ISNUMBER(X284)),(V284-X284)^2,"")</f>
        <v/>
      </c>
      <c r="Z284" s="5">
        <f>IF(U284,1+SUMPRODUCT(--(calc!$U$3:$U$306=TRUE),--(calc!$V$3:$V$306&gt;V284))+(SUMPRODUCT(--(calc!$U$3:$U$306=TRUE),--(calc!$V$3:$V$306=V284))-1)/2,"")</f>
        <v/>
      </c>
      <c r="AA284" s="5">
        <f>IF(U284,1+SUMPRODUCT(--(calc!$U$3:$U$306=TRUE),--(calc!$W$3:$W$306&gt;W284))+(SUMPRODUCT(--(calc!$U$3:$U$306=TRUE),--(calc!$W$3:$W$306=W284))-1)/2,"")</f>
        <v/>
      </c>
      <c r="AB284" s="5">
        <f>IF(U284,SUMPRODUCT(--(calc!$U$3:$U$306=TRUE),--(ROW(calc!$U$3:$U$306)&gt;ROW(U284)),--(((calc!$Z$3:$Z$306&gt;Z284)*(calc!$AA$3:$AA$306&gt;AA284)+(calc!$Z$3:$Z$306&lt;Z284)*(calc!$AA$3:$AA$306&lt;AA284))&gt;0))-SUMPRODUCT(--(calc!$U$3:$U$306=TRUE),--(ROW(calc!$U$3:$U$306)&gt;ROW(U284)),--(((calc!$Z$3:$Z$306&gt;Z284)*(calc!$AA$3:$AA$306&lt;AA284)+(calc!$Z$3:$Z$306&lt;Z284)*(calc!$AA$3:$AA$306&gt;AA284))&gt;0)),0)</f>
        <v/>
      </c>
      <c r="AC284" s="5">
        <f>IF(mos_metrics!I283="","",mos_metrics!I283)</f>
        <v/>
      </c>
      <c r="AD284" s="2">
        <f>AND($J284,ISNUMBER(AC284),correlation!$I$28=1)</f>
        <v/>
      </c>
      <c r="AE284" s="5">
        <f>IF(AD284,$F284,"")</f>
        <v/>
      </c>
      <c r="AF284" s="5">
        <f>IF(AD284,AC284*correlation!$J$28,"")</f>
        <v/>
      </c>
      <c r="AG284" s="5">
        <f>IF(AND(AD284,ISNUMBER(correlation!$F$28)),AF284*correlation!$F$28+correlation!$G$28,"")</f>
        <v/>
      </c>
      <c r="AH284" s="5">
        <f>IF(AND(AD284,ISNUMBER(AG284)),(AE284-AG284)^2,"")</f>
        <v/>
      </c>
      <c r="AI284" s="5">
        <f>IF(AD284,1+SUMPRODUCT(--(calc!$AD$3:$AD$306=TRUE),--(calc!$AE$3:$AE$306&gt;AE284))+(SUMPRODUCT(--(calc!$AD$3:$AD$306=TRUE),--(calc!$AE$3:$AE$306=AE284))-1)/2,"")</f>
        <v/>
      </c>
      <c r="AJ284" s="5">
        <f>IF(AD284,1+SUMPRODUCT(--(calc!$AD$3:$AD$306=TRUE),--(calc!$AF$3:$AF$306&gt;AF284))+(SUMPRODUCT(--(calc!$AD$3:$AD$306=TRUE),--(calc!$AF$3:$AF$306=AF284))-1)/2,"")</f>
        <v/>
      </c>
      <c r="AK284" s="5">
        <f>IF(AD284,SUMPRODUCT(--(calc!$AD$3:$AD$306=TRUE),--(ROW(calc!$AD$3:$AD$306)&gt;ROW(AD284)),--(((calc!$AI$3:$AI$306&gt;AI284)*(calc!$AJ$3:$AJ$306&gt;AJ284)+(calc!$AI$3:$AI$306&lt;AI284)*(calc!$AJ$3:$AJ$306&lt;AJ284))&gt;0))-SUMPRODUCT(--(calc!$AD$3:$AD$306=TRUE),--(ROW(calc!$AD$3:$AD$306)&gt;ROW(AD284)),--(((calc!$AI$3:$AI$306&gt;AI284)*(calc!$AJ$3:$AJ$306&lt;AJ284)+(calc!$AI$3:$AI$306&lt;AI284)*(calc!$AJ$3:$AJ$306&gt;AJ284))&gt;0)),0)</f>
        <v/>
      </c>
      <c r="AL284" s="5">
        <f>IF(mos_metrics!J283="","",mos_metrics!J283)</f>
        <v/>
      </c>
      <c r="AM284" s="2">
        <f>AND($J284,ISNUMBER(AL284),correlation!$I$29=1)</f>
        <v/>
      </c>
      <c r="AN284" s="5">
        <f>IF(AM284,$F284,"")</f>
        <v/>
      </c>
      <c r="AO284" s="5">
        <f>IF(AM284,AL284*correlation!$J$29,"")</f>
        <v/>
      </c>
      <c r="AP284" s="5">
        <f>IF(AND(AM284,ISNUMBER(correlation!$F$29)),AO284*correlation!$F$29+correlation!$G$29,"")</f>
        <v/>
      </c>
      <c r="AQ284" s="5">
        <f>IF(AND(AM284,ISNUMBER(AP284)),(AN284-AP284)^2,"")</f>
        <v/>
      </c>
      <c r="AR284" s="5">
        <f>IF(AM284,1+SUMPRODUCT(--(calc!$AM$3:$AM$306=TRUE),--(calc!$AN$3:$AN$306&gt;AN284))+(SUMPRODUCT(--(calc!$AM$3:$AM$306=TRUE),--(calc!$AN$3:$AN$306=AN284))-1)/2,"")</f>
        <v/>
      </c>
      <c r="AS284" s="5">
        <f>IF(AM284,1+SUMPRODUCT(--(calc!$AM$3:$AM$306=TRUE),--(calc!$AO$3:$AO$306&gt;AO284))+(SUMPRODUCT(--(calc!$AM$3:$AM$306=TRUE),--(calc!$AO$3:$AO$306=AO284))-1)/2,"")</f>
        <v/>
      </c>
      <c r="AT284" s="5">
        <f>IF(AM284,SUMPRODUCT(--(calc!$AM$3:$AM$306=TRUE),--(ROW(calc!$AM$3:$AM$306)&gt;ROW(AM284)),--(((calc!$AR$3:$AR$306&gt;AR284)*(calc!$AS$3:$AS$306&gt;AS284)+(calc!$AR$3:$AR$306&lt;AR284)*(calc!$AS$3:$AS$306&lt;AS284))&gt;0))-SUMPRODUCT(--(calc!$AM$3:$AM$306=TRUE),--(ROW(calc!$AM$3:$AM$306)&gt;ROW(AM284)),--(((calc!$AR$3:$AR$306&gt;AR284)*(calc!$AS$3:$AS$306&lt;AS284)+(calc!$AR$3:$AR$306&lt;AR284)*(calc!$AS$3:$AS$306&gt;AS284))&gt;0)),0)</f>
        <v/>
      </c>
      <c r="AU284" s="5">
        <f>IF(mos_metrics!K283="","",mos_metrics!K283)</f>
        <v/>
      </c>
      <c r="AV284" s="2">
        <f>AND($J284,ISNUMBER(AU284),correlation!$I$30=1)</f>
        <v/>
      </c>
      <c r="AW284" s="5">
        <f>IF(AV284,$F284,"")</f>
        <v/>
      </c>
      <c r="AX284" s="5">
        <f>IF(AV284,AU284*correlation!$J$30,"")</f>
        <v/>
      </c>
      <c r="AY284" s="5">
        <f>IF(AND(AV284,ISNUMBER(correlation!$F$30)),AX284*correlation!$F$30+correlation!$G$30,"")</f>
        <v/>
      </c>
      <c r="AZ284" s="5">
        <f>IF(AND(AV284,ISNUMBER(AY284)),(AW284-AY284)^2,"")</f>
        <v/>
      </c>
      <c r="BA284" s="5">
        <f>IF(AV284,1+SUMPRODUCT(--(calc!$AV$3:$AV$306=TRUE),--(calc!$AW$3:$AW$306&gt;AW284))+(SUMPRODUCT(--(calc!$AV$3:$AV$306=TRUE),--(calc!$AW$3:$AW$306=AW284))-1)/2,"")</f>
        <v/>
      </c>
      <c r="BB284" s="5">
        <f>IF(AV284,1+SUMPRODUCT(--(calc!$AV$3:$AV$306=TRUE),--(calc!$AX$3:$AX$306&gt;AX284))+(SUMPRODUCT(--(calc!$AV$3:$AV$306=TRUE),--(calc!$AX$3:$AX$306=AX284))-1)/2,"")</f>
        <v/>
      </c>
      <c r="BC284" s="5">
        <f>IF(AV284,SUMPRODUCT(--(calc!$AV$3:$AV$306=TRUE),--(ROW(calc!$AV$3:$AV$306)&gt;ROW(AV284)),--(((calc!$BA$3:$BA$306&gt;BA284)*(calc!$BB$3:$BB$306&gt;BB284)+(calc!$BA$3:$BA$306&lt;BA284)*(calc!$BB$3:$BB$306&lt;BB284))&gt;0))-SUMPRODUCT(--(calc!$AV$3:$AV$306=TRUE),--(ROW(calc!$AV$3:$AV$306)&gt;ROW(AV284)),--(((calc!$BA$3:$BA$306&gt;BA284)*(calc!$BB$3:$BB$306&lt;BB284)+(calc!$BA$3:$BA$306&lt;BA284)*(calc!$BB$3:$BB$306&gt;BB284))&gt;0)),0)</f>
        <v/>
      </c>
      <c r="BD284" s="5">
        <f>IF(mos_metrics!L283="","",mos_metrics!L283)</f>
        <v/>
      </c>
      <c r="BE284" s="2">
        <f>AND($J284,ISNUMBER(BD284),correlation!$I$31=1)</f>
        <v/>
      </c>
      <c r="BF284" s="5">
        <f>IF(BE284,$F284,"")</f>
        <v/>
      </c>
      <c r="BG284" s="5">
        <f>IF(BE284,BD284*correlation!$J$31,"")</f>
        <v/>
      </c>
      <c r="BH284" s="5">
        <f>IF(AND(BE284,ISNUMBER(correlation!$F$31)),BG284*correlation!$F$31+correlation!$G$31,"")</f>
        <v/>
      </c>
      <c r="BI284" s="5">
        <f>IF(AND(BE284,ISNUMBER(BH284)),(BF284-BH284)^2,"")</f>
        <v/>
      </c>
      <c r="BJ284" s="5">
        <f>IF(BE284,1+SUMPRODUCT(--(calc!$BE$3:$BE$306=TRUE),--(calc!$BF$3:$BF$306&gt;BF284))+(SUMPRODUCT(--(calc!$BE$3:$BE$306=TRUE),--(calc!$BF$3:$BF$306=BF284))-1)/2,"")</f>
        <v/>
      </c>
      <c r="BK284" s="5">
        <f>IF(BE284,1+SUMPRODUCT(--(calc!$BE$3:$BE$306=TRUE),--(calc!$BG$3:$BG$306&gt;BG284))+(SUMPRODUCT(--(calc!$BE$3:$BE$306=TRUE),--(calc!$BG$3:$BG$306=BG284))-1)/2,"")</f>
        <v/>
      </c>
      <c r="BL284" s="5">
        <f>IF(BE284,SUMPRODUCT(--(calc!$BE$3:$BE$306=TRUE),--(ROW(calc!$BE$3:$BE$306)&gt;ROW(BE284)),--(((calc!$BJ$3:$BJ$306&gt;BJ284)*(calc!$BK$3:$BK$306&gt;BK284)+(calc!$BJ$3:$BJ$306&lt;BJ284)*(calc!$BK$3:$BK$306&lt;BK284))&gt;0))-SUMPRODUCT(--(calc!$BE$3:$BE$306=TRUE),--(ROW(calc!$BE$3:$BE$306)&gt;ROW(BE284)),--(((calc!$BJ$3:$BJ$306&gt;BJ284)*(calc!$BK$3:$BK$306&lt;BK284)+(calc!$BJ$3:$BJ$306&lt;BJ284)*(calc!$BK$3:$BK$306&gt;BK284))&gt;0)),0)</f>
        <v/>
      </c>
      <c r="BM284" s="5">
        <f>IF(mos_metrics!M283="","",mos_metrics!M283)</f>
        <v/>
      </c>
      <c r="BN284" s="2">
        <f>AND($J284,ISNUMBER(BM284),correlation!$I$32=1)</f>
        <v/>
      </c>
      <c r="BO284" s="5">
        <f>IF(BN284,$F284,"")</f>
        <v/>
      </c>
      <c r="BP284" s="5">
        <f>IF(BN284,BM284*correlation!$J$32,"")</f>
        <v/>
      </c>
      <c r="BQ284" s="5">
        <f>IF(AND(BN284,ISNUMBER(correlation!$F$32)),BP284*correlation!$F$32+correlation!$G$32,"")</f>
        <v/>
      </c>
      <c r="BR284" s="5">
        <f>IF(AND(BN284,ISNUMBER(BQ284)),(BO284-BQ284)^2,"")</f>
        <v/>
      </c>
      <c r="BS284" s="5">
        <f>IF(BN284,1+SUMPRODUCT(--(calc!$BN$3:$BN$306=TRUE),--(calc!$BO$3:$BO$306&gt;BO284))+(SUMPRODUCT(--(calc!$BN$3:$BN$306=TRUE),--(calc!$BO$3:$BO$306=BO284))-1)/2,"")</f>
        <v/>
      </c>
      <c r="BT284" s="5">
        <f>IF(BN284,1+SUMPRODUCT(--(calc!$BN$3:$BN$306=TRUE),--(calc!$BP$3:$BP$306&gt;BP284))+(SUMPRODUCT(--(calc!$BN$3:$BN$306=TRUE),--(calc!$BP$3:$BP$306=BP284))-1)/2,"")</f>
        <v/>
      </c>
      <c r="BU284" s="5">
        <f>IF(BN284,SUMPRODUCT(--(calc!$BN$3:$BN$306=TRUE),--(ROW(calc!$BN$3:$BN$306)&gt;ROW(BN284)),--(((calc!$BS$3:$BS$306&gt;BS284)*(calc!$BT$3:$BT$306&gt;BT284)+(calc!$BS$3:$BS$306&lt;BS284)*(calc!$BT$3:$BT$306&lt;BT284))&gt;0))-SUMPRODUCT(--(calc!$BN$3:$BN$306=TRUE),--(ROW(calc!$BN$3:$BN$306)&gt;ROW(BN284)),--(((calc!$BS$3:$BS$306&gt;BS284)*(calc!$BT$3:$BT$306&lt;BT284)+(calc!$BS$3:$BS$306&lt;BS284)*(calc!$BT$3:$BT$306&gt;BT284))&gt;0)),0)</f>
        <v/>
      </c>
    </row>
    <row r="285">
      <c r="A285" s="2">
        <f>mos_metrics!A284</f>
        <v/>
      </c>
      <c r="B285" s="2">
        <f>mos_metrics!B284</f>
        <v/>
      </c>
      <c r="C285" s="2">
        <f>mos_metrics!C284</f>
        <v/>
      </c>
      <c r="D285" s="2">
        <f>mos_metrics!D284</f>
        <v/>
      </c>
      <c r="E285" s="2">
        <f>mos_metrics!E284</f>
        <v/>
      </c>
      <c r="F285" s="2">
        <f>mos_metrics!F284</f>
        <v/>
      </c>
      <c r="G285" s="2">
        <f>IF($B285="","",IFERROR(VLOOKUP($B285,correlation!$A$2:$B$16,2,FALSE),1))</f>
        <v/>
      </c>
      <c r="H285" s="2">
        <f>IF($E285="","",IFERROR(VLOOKUP($E285,correlation!$D$2:$E$8,2,FALSE),1))</f>
        <v/>
      </c>
      <c r="I285" s="2">
        <f>ISNUMBER($F285)</f>
        <v/>
      </c>
      <c r="J285" s="2">
        <f>AND($G285=1,$H285=1,$I285)</f>
        <v/>
      </c>
      <c r="K285" s="5">
        <f>IF(mos_metrics!G284="","",mos_metrics!G284)</f>
        <v/>
      </c>
      <c r="L285" s="2">
        <f>AND($J285,ISNUMBER(K285),correlation!$I$26=1)</f>
        <v/>
      </c>
      <c r="M285" s="5">
        <f>IF(L285,$F285,"")</f>
        <v/>
      </c>
      <c r="N285" s="5">
        <f>IF(L285,K285*correlation!$J$26,"")</f>
        <v/>
      </c>
      <c r="O285" s="5">
        <f>IF(AND(L285,ISNUMBER(correlation!$F$26)),N285*correlation!$F$26+correlation!$G$26,"")</f>
        <v/>
      </c>
      <c r="P285" s="5">
        <f>IF(AND(L285,ISNUMBER(O285)),(M285-O285)^2,"")</f>
        <v/>
      </c>
      <c r="Q285" s="5">
        <f>IF(L285,1+SUMPRODUCT(--(calc!$L$3:$L$306=TRUE),--(calc!$M$3:$M$306&gt;M285))+(SUMPRODUCT(--(calc!$L$3:$L$306=TRUE),--(calc!$M$3:$M$306=M285))-1)/2,"")</f>
        <v/>
      </c>
      <c r="R285" s="5">
        <f>IF(L285,1+SUMPRODUCT(--(calc!$L$3:$L$306=TRUE),--(calc!$N$3:$N$306&gt;N285))+(SUMPRODUCT(--(calc!$L$3:$L$306=TRUE),--(calc!$N$3:$N$306=N285))-1)/2,"")</f>
        <v/>
      </c>
      <c r="S285" s="5">
        <f>IF(L285,SUMPRODUCT(--(calc!$L$3:$L$306=TRUE),--(ROW(calc!$L$3:$L$306)&gt;ROW(L285)),--(((calc!$Q$3:$Q$306&gt;Q285)*(calc!$R$3:$R$306&gt;R285)+(calc!$Q$3:$Q$306&lt;Q285)*(calc!$R$3:$R$306&lt;R285))&gt;0))-SUMPRODUCT(--(calc!$L$3:$L$306=TRUE),--(ROW(calc!$L$3:$L$306)&gt;ROW(L285)),--(((calc!$Q$3:$Q$306&gt;Q285)*(calc!$R$3:$R$306&lt;R285)+(calc!$Q$3:$Q$306&lt;Q285)*(calc!$R$3:$R$306&gt;R285))&gt;0)),0)</f>
        <v/>
      </c>
      <c r="T285" s="5">
        <f>IF(mos_metrics!H284="","",mos_metrics!H284)</f>
        <v/>
      </c>
      <c r="U285" s="2">
        <f>AND($J285,ISNUMBER(T285),correlation!$I$27=1)</f>
        <v/>
      </c>
      <c r="V285" s="5">
        <f>IF(U285,$F285,"")</f>
        <v/>
      </c>
      <c r="W285" s="5">
        <f>IF(U285,T285*correlation!$J$27,"")</f>
        <v/>
      </c>
      <c r="X285" s="5">
        <f>IF(AND(U285,ISNUMBER(correlation!$F$27)),W285*correlation!$F$27+correlation!$G$27,"")</f>
        <v/>
      </c>
      <c r="Y285" s="5">
        <f>IF(AND(U285,ISNUMBER(X285)),(V285-X285)^2,"")</f>
        <v/>
      </c>
      <c r="Z285" s="5">
        <f>IF(U285,1+SUMPRODUCT(--(calc!$U$3:$U$306=TRUE),--(calc!$V$3:$V$306&gt;V285))+(SUMPRODUCT(--(calc!$U$3:$U$306=TRUE),--(calc!$V$3:$V$306=V285))-1)/2,"")</f>
        <v/>
      </c>
      <c r="AA285" s="5">
        <f>IF(U285,1+SUMPRODUCT(--(calc!$U$3:$U$306=TRUE),--(calc!$W$3:$W$306&gt;W285))+(SUMPRODUCT(--(calc!$U$3:$U$306=TRUE),--(calc!$W$3:$W$306=W285))-1)/2,"")</f>
        <v/>
      </c>
      <c r="AB285" s="5">
        <f>IF(U285,SUMPRODUCT(--(calc!$U$3:$U$306=TRUE),--(ROW(calc!$U$3:$U$306)&gt;ROW(U285)),--(((calc!$Z$3:$Z$306&gt;Z285)*(calc!$AA$3:$AA$306&gt;AA285)+(calc!$Z$3:$Z$306&lt;Z285)*(calc!$AA$3:$AA$306&lt;AA285))&gt;0))-SUMPRODUCT(--(calc!$U$3:$U$306=TRUE),--(ROW(calc!$U$3:$U$306)&gt;ROW(U285)),--(((calc!$Z$3:$Z$306&gt;Z285)*(calc!$AA$3:$AA$306&lt;AA285)+(calc!$Z$3:$Z$306&lt;Z285)*(calc!$AA$3:$AA$306&gt;AA285))&gt;0)),0)</f>
        <v/>
      </c>
      <c r="AC285" s="5">
        <f>IF(mos_metrics!I284="","",mos_metrics!I284)</f>
        <v/>
      </c>
      <c r="AD285" s="2">
        <f>AND($J285,ISNUMBER(AC285),correlation!$I$28=1)</f>
        <v/>
      </c>
      <c r="AE285" s="5">
        <f>IF(AD285,$F285,"")</f>
        <v/>
      </c>
      <c r="AF285" s="5">
        <f>IF(AD285,AC285*correlation!$J$28,"")</f>
        <v/>
      </c>
      <c r="AG285" s="5">
        <f>IF(AND(AD285,ISNUMBER(correlation!$F$28)),AF285*correlation!$F$28+correlation!$G$28,"")</f>
        <v/>
      </c>
      <c r="AH285" s="5">
        <f>IF(AND(AD285,ISNUMBER(AG285)),(AE285-AG285)^2,"")</f>
        <v/>
      </c>
      <c r="AI285" s="5">
        <f>IF(AD285,1+SUMPRODUCT(--(calc!$AD$3:$AD$306=TRUE),--(calc!$AE$3:$AE$306&gt;AE285))+(SUMPRODUCT(--(calc!$AD$3:$AD$306=TRUE),--(calc!$AE$3:$AE$306=AE285))-1)/2,"")</f>
        <v/>
      </c>
      <c r="AJ285" s="5">
        <f>IF(AD285,1+SUMPRODUCT(--(calc!$AD$3:$AD$306=TRUE),--(calc!$AF$3:$AF$306&gt;AF285))+(SUMPRODUCT(--(calc!$AD$3:$AD$306=TRUE),--(calc!$AF$3:$AF$306=AF285))-1)/2,"")</f>
        <v/>
      </c>
      <c r="AK285" s="5">
        <f>IF(AD285,SUMPRODUCT(--(calc!$AD$3:$AD$306=TRUE),--(ROW(calc!$AD$3:$AD$306)&gt;ROW(AD285)),--(((calc!$AI$3:$AI$306&gt;AI285)*(calc!$AJ$3:$AJ$306&gt;AJ285)+(calc!$AI$3:$AI$306&lt;AI285)*(calc!$AJ$3:$AJ$306&lt;AJ285))&gt;0))-SUMPRODUCT(--(calc!$AD$3:$AD$306=TRUE),--(ROW(calc!$AD$3:$AD$306)&gt;ROW(AD285)),--(((calc!$AI$3:$AI$306&gt;AI285)*(calc!$AJ$3:$AJ$306&lt;AJ285)+(calc!$AI$3:$AI$306&lt;AI285)*(calc!$AJ$3:$AJ$306&gt;AJ285))&gt;0)),0)</f>
        <v/>
      </c>
      <c r="AL285" s="5">
        <f>IF(mos_metrics!J284="","",mos_metrics!J284)</f>
        <v/>
      </c>
      <c r="AM285" s="2">
        <f>AND($J285,ISNUMBER(AL285),correlation!$I$29=1)</f>
        <v/>
      </c>
      <c r="AN285" s="5">
        <f>IF(AM285,$F285,"")</f>
        <v/>
      </c>
      <c r="AO285" s="5">
        <f>IF(AM285,AL285*correlation!$J$29,"")</f>
        <v/>
      </c>
      <c r="AP285" s="5">
        <f>IF(AND(AM285,ISNUMBER(correlation!$F$29)),AO285*correlation!$F$29+correlation!$G$29,"")</f>
        <v/>
      </c>
      <c r="AQ285" s="5">
        <f>IF(AND(AM285,ISNUMBER(AP285)),(AN285-AP285)^2,"")</f>
        <v/>
      </c>
      <c r="AR285" s="5">
        <f>IF(AM285,1+SUMPRODUCT(--(calc!$AM$3:$AM$306=TRUE),--(calc!$AN$3:$AN$306&gt;AN285))+(SUMPRODUCT(--(calc!$AM$3:$AM$306=TRUE),--(calc!$AN$3:$AN$306=AN285))-1)/2,"")</f>
        <v/>
      </c>
      <c r="AS285" s="5">
        <f>IF(AM285,1+SUMPRODUCT(--(calc!$AM$3:$AM$306=TRUE),--(calc!$AO$3:$AO$306&gt;AO285))+(SUMPRODUCT(--(calc!$AM$3:$AM$306=TRUE),--(calc!$AO$3:$AO$306=AO285))-1)/2,"")</f>
        <v/>
      </c>
      <c r="AT285" s="5">
        <f>IF(AM285,SUMPRODUCT(--(calc!$AM$3:$AM$306=TRUE),--(ROW(calc!$AM$3:$AM$306)&gt;ROW(AM285)),--(((calc!$AR$3:$AR$306&gt;AR285)*(calc!$AS$3:$AS$306&gt;AS285)+(calc!$AR$3:$AR$306&lt;AR285)*(calc!$AS$3:$AS$306&lt;AS285))&gt;0))-SUMPRODUCT(--(calc!$AM$3:$AM$306=TRUE),--(ROW(calc!$AM$3:$AM$306)&gt;ROW(AM285)),--(((calc!$AR$3:$AR$306&gt;AR285)*(calc!$AS$3:$AS$306&lt;AS285)+(calc!$AR$3:$AR$306&lt;AR285)*(calc!$AS$3:$AS$306&gt;AS285))&gt;0)),0)</f>
        <v/>
      </c>
      <c r="AU285" s="5">
        <f>IF(mos_metrics!K284="","",mos_metrics!K284)</f>
        <v/>
      </c>
      <c r="AV285" s="2">
        <f>AND($J285,ISNUMBER(AU285),correlation!$I$30=1)</f>
        <v/>
      </c>
      <c r="AW285" s="5">
        <f>IF(AV285,$F285,"")</f>
        <v/>
      </c>
      <c r="AX285" s="5">
        <f>IF(AV285,AU285*correlation!$J$30,"")</f>
        <v/>
      </c>
      <c r="AY285" s="5">
        <f>IF(AND(AV285,ISNUMBER(correlation!$F$30)),AX285*correlation!$F$30+correlation!$G$30,"")</f>
        <v/>
      </c>
      <c r="AZ285" s="5">
        <f>IF(AND(AV285,ISNUMBER(AY285)),(AW285-AY285)^2,"")</f>
        <v/>
      </c>
      <c r="BA285" s="5">
        <f>IF(AV285,1+SUMPRODUCT(--(calc!$AV$3:$AV$306=TRUE),--(calc!$AW$3:$AW$306&gt;AW285))+(SUMPRODUCT(--(calc!$AV$3:$AV$306=TRUE),--(calc!$AW$3:$AW$306=AW285))-1)/2,"")</f>
        <v/>
      </c>
      <c r="BB285" s="5">
        <f>IF(AV285,1+SUMPRODUCT(--(calc!$AV$3:$AV$306=TRUE),--(calc!$AX$3:$AX$306&gt;AX285))+(SUMPRODUCT(--(calc!$AV$3:$AV$306=TRUE),--(calc!$AX$3:$AX$306=AX285))-1)/2,"")</f>
        <v/>
      </c>
      <c r="BC285" s="5">
        <f>IF(AV285,SUMPRODUCT(--(calc!$AV$3:$AV$306=TRUE),--(ROW(calc!$AV$3:$AV$306)&gt;ROW(AV285)),--(((calc!$BA$3:$BA$306&gt;BA285)*(calc!$BB$3:$BB$306&gt;BB285)+(calc!$BA$3:$BA$306&lt;BA285)*(calc!$BB$3:$BB$306&lt;BB285))&gt;0))-SUMPRODUCT(--(calc!$AV$3:$AV$306=TRUE),--(ROW(calc!$AV$3:$AV$306)&gt;ROW(AV285)),--(((calc!$BA$3:$BA$306&gt;BA285)*(calc!$BB$3:$BB$306&lt;BB285)+(calc!$BA$3:$BA$306&lt;BA285)*(calc!$BB$3:$BB$306&gt;BB285))&gt;0)),0)</f>
        <v/>
      </c>
      <c r="BD285" s="5">
        <f>IF(mos_metrics!L284="","",mos_metrics!L284)</f>
        <v/>
      </c>
      <c r="BE285" s="2">
        <f>AND($J285,ISNUMBER(BD285),correlation!$I$31=1)</f>
        <v/>
      </c>
      <c r="BF285" s="5">
        <f>IF(BE285,$F285,"")</f>
        <v/>
      </c>
      <c r="BG285" s="5">
        <f>IF(BE285,BD285*correlation!$J$31,"")</f>
        <v/>
      </c>
      <c r="BH285" s="5">
        <f>IF(AND(BE285,ISNUMBER(correlation!$F$31)),BG285*correlation!$F$31+correlation!$G$31,"")</f>
        <v/>
      </c>
      <c r="BI285" s="5">
        <f>IF(AND(BE285,ISNUMBER(BH285)),(BF285-BH285)^2,"")</f>
        <v/>
      </c>
      <c r="BJ285" s="5">
        <f>IF(BE285,1+SUMPRODUCT(--(calc!$BE$3:$BE$306=TRUE),--(calc!$BF$3:$BF$306&gt;BF285))+(SUMPRODUCT(--(calc!$BE$3:$BE$306=TRUE),--(calc!$BF$3:$BF$306=BF285))-1)/2,"")</f>
        <v/>
      </c>
      <c r="BK285" s="5">
        <f>IF(BE285,1+SUMPRODUCT(--(calc!$BE$3:$BE$306=TRUE),--(calc!$BG$3:$BG$306&gt;BG285))+(SUMPRODUCT(--(calc!$BE$3:$BE$306=TRUE),--(calc!$BG$3:$BG$306=BG285))-1)/2,"")</f>
        <v/>
      </c>
      <c r="BL285" s="5">
        <f>IF(BE285,SUMPRODUCT(--(calc!$BE$3:$BE$306=TRUE),--(ROW(calc!$BE$3:$BE$306)&gt;ROW(BE285)),--(((calc!$BJ$3:$BJ$306&gt;BJ285)*(calc!$BK$3:$BK$306&gt;BK285)+(calc!$BJ$3:$BJ$306&lt;BJ285)*(calc!$BK$3:$BK$306&lt;BK285))&gt;0))-SUMPRODUCT(--(calc!$BE$3:$BE$306=TRUE),--(ROW(calc!$BE$3:$BE$306)&gt;ROW(BE285)),--(((calc!$BJ$3:$BJ$306&gt;BJ285)*(calc!$BK$3:$BK$306&lt;BK285)+(calc!$BJ$3:$BJ$306&lt;BJ285)*(calc!$BK$3:$BK$306&gt;BK285))&gt;0)),0)</f>
        <v/>
      </c>
      <c r="BM285" s="5">
        <f>IF(mos_metrics!M284="","",mos_metrics!M284)</f>
        <v/>
      </c>
      <c r="BN285" s="2">
        <f>AND($J285,ISNUMBER(BM285),correlation!$I$32=1)</f>
        <v/>
      </c>
      <c r="BO285" s="5">
        <f>IF(BN285,$F285,"")</f>
        <v/>
      </c>
      <c r="BP285" s="5">
        <f>IF(BN285,BM285*correlation!$J$32,"")</f>
        <v/>
      </c>
      <c r="BQ285" s="5">
        <f>IF(AND(BN285,ISNUMBER(correlation!$F$32)),BP285*correlation!$F$32+correlation!$G$32,"")</f>
        <v/>
      </c>
      <c r="BR285" s="5">
        <f>IF(AND(BN285,ISNUMBER(BQ285)),(BO285-BQ285)^2,"")</f>
        <v/>
      </c>
      <c r="BS285" s="5">
        <f>IF(BN285,1+SUMPRODUCT(--(calc!$BN$3:$BN$306=TRUE),--(calc!$BO$3:$BO$306&gt;BO285))+(SUMPRODUCT(--(calc!$BN$3:$BN$306=TRUE),--(calc!$BO$3:$BO$306=BO285))-1)/2,"")</f>
        <v/>
      </c>
      <c r="BT285" s="5">
        <f>IF(BN285,1+SUMPRODUCT(--(calc!$BN$3:$BN$306=TRUE),--(calc!$BP$3:$BP$306&gt;BP285))+(SUMPRODUCT(--(calc!$BN$3:$BN$306=TRUE),--(calc!$BP$3:$BP$306=BP285))-1)/2,"")</f>
        <v/>
      </c>
      <c r="BU285" s="5">
        <f>IF(BN285,SUMPRODUCT(--(calc!$BN$3:$BN$306=TRUE),--(ROW(calc!$BN$3:$BN$306)&gt;ROW(BN285)),--(((calc!$BS$3:$BS$306&gt;BS285)*(calc!$BT$3:$BT$306&gt;BT285)+(calc!$BS$3:$BS$306&lt;BS285)*(calc!$BT$3:$BT$306&lt;BT285))&gt;0))-SUMPRODUCT(--(calc!$BN$3:$BN$306=TRUE),--(ROW(calc!$BN$3:$BN$306)&gt;ROW(BN285)),--(((calc!$BS$3:$BS$306&gt;BS285)*(calc!$BT$3:$BT$306&lt;BT285)+(calc!$BS$3:$BS$306&lt;BS285)*(calc!$BT$3:$BT$306&gt;BT285))&gt;0)),0)</f>
        <v/>
      </c>
    </row>
    <row r="286">
      <c r="A286" s="2">
        <f>mos_metrics!A285</f>
        <v/>
      </c>
      <c r="B286" s="2">
        <f>mos_metrics!B285</f>
        <v/>
      </c>
      <c r="C286" s="2">
        <f>mos_metrics!C285</f>
        <v/>
      </c>
      <c r="D286" s="2">
        <f>mos_metrics!D285</f>
        <v/>
      </c>
      <c r="E286" s="2">
        <f>mos_metrics!E285</f>
        <v/>
      </c>
      <c r="F286" s="2">
        <f>mos_metrics!F285</f>
        <v/>
      </c>
      <c r="G286" s="2">
        <f>IF($B286="","",IFERROR(VLOOKUP($B286,correlation!$A$2:$B$16,2,FALSE),1))</f>
        <v/>
      </c>
      <c r="H286" s="2">
        <f>IF($E286="","",IFERROR(VLOOKUP($E286,correlation!$D$2:$E$8,2,FALSE),1))</f>
        <v/>
      </c>
      <c r="I286" s="2">
        <f>ISNUMBER($F286)</f>
        <v/>
      </c>
      <c r="J286" s="2">
        <f>AND($G286=1,$H286=1,$I286)</f>
        <v/>
      </c>
      <c r="K286" s="5">
        <f>IF(mos_metrics!G285="","",mos_metrics!G285)</f>
        <v/>
      </c>
      <c r="L286" s="2">
        <f>AND($J286,ISNUMBER(K286),correlation!$I$26=1)</f>
        <v/>
      </c>
      <c r="M286" s="5">
        <f>IF(L286,$F286,"")</f>
        <v/>
      </c>
      <c r="N286" s="5">
        <f>IF(L286,K286*correlation!$J$26,"")</f>
        <v/>
      </c>
      <c r="O286" s="5">
        <f>IF(AND(L286,ISNUMBER(correlation!$F$26)),N286*correlation!$F$26+correlation!$G$26,"")</f>
        <v/>
      </c>
      <c r="P286" s="5">
        <f>IF(AND(L286,ISNUMBER(O286)),(M286-O286)^2,"")</f>
        <v/>
      </c>
      <c r="Q286" s="5">
        <f>IF(L286,1+SUMPRODUCT(--(calc!$L$3:$L$306=TRUE),--(calc!$M$3:$M$306&gt;M286))+(SUMPRODUCT(--(calc!$L$3:$L$306=TRUE),--(calc!$M$3:$M$306=M286))-1)/2,"")</f>
        <v/>
      </c>
      <c r="R286" s="5">
        <f>IF(L286,1+SUMPRODUCT(--(calc!$L$3:$L$306=TRUE),--(calc!$N$3:$N$306&gt;N286))+(SUMPRODUCT(--(calc!$L$3:$L$306=TRUE),--(calc!$N$3:$N$306=N286))-1)/2,"")</f>
        <v/>
      </c>
      <c r="S286" s="5">
        <f>IF(L286,SUMPRODUCT(--(calc!$L$3:$L$306=TRUE),--(ROW(calc!$L$3:$L$306)&gt;ROW(L286)),--(((calc!$Q$3:$Q$306&gt;Q286)*(calc!$R$3:$R$306&gt;R286)+(calc!$Q$3:$Q$306&lt;Q286)*(calc!$R$3:$R$306&lt;R286))&gt;0))-SUMPRODUCT(--(calc!$L$3:$L$306=TRUE),--(ROW(calc!$L$3:$L$306)&gt;ROW(L286)),--(((calc!$Q$3:$Q$306&gt;Q286)*(calc!$R$3:$R$306&lt;R286)+(calc!$Q$3:$Q$306&lt;Q286)*(calc!$R$3:$R$306&gt;R286))&gt;0)),0)</f>
        <v/>
      </c>
      <c r="T286" s="5">
        <f>IF(mos_metrics!H285="","",mos_metrics!H285)</f>
        <v/>
      </c>
      <c r="U286" s="2">
        <f>AND($J286,ISNUMBER(T286),correlation!$I$27=1)</f>
        <v/>
      </c>
      <c r="V286" s="5">
        <f>IF(U286,$F286,"")</f>
        <v/>
      </c>
      <c r="W286" s="5">
        <f>IF(U286,T286*correlation!$J$27,"")</f>
        <v/>
      </c>
      <c r="X286" s="5">
        <f>IF(AND(U286,ISNUMBER(correlation!$F$27)),W286*correlation!$F$27+correlation!$G$27,"")</f>
        <v/>
      </c>
      <c r="Y286" s="5">
        <f>IF(AND(U286,ISNUMBER(X286)),(V286-X286)^2,"")</f>
        <v/>
      </c>
      <c r="Z286" s="5">
        <f>IF(U286,1+SUMPRODUCT(--(calc!$U$3:$U$306=TRUE),--(calc!$V$3:$V$306&gt;V286))+(SUMPRODUCT(--(calc!$U$3:$U$306=TRUE),--(calc!$V$3:$V$306=V286))-1)/2,"")</f>
        <v/>
      </c>
      <c r="AA286" s="5">
        <f>IF(U286,1+SUMPRODUCT(--(calc!$U$3:$U$306=TRUE),--(calc!$W$3:$W$306&gt;W286))+(SUMPRODUCT(--(calc!$U$3:$U$306=TRUE),--(calc!$W$3:$W$306=W286))-1)/2,"")</f>
        <v/>
      </c>
      <c r="AB286" s="5">
        <f>IF(U286,SUMPRODUCT(--(calc!$U$3:$U$306=TRUE),--(ROW(calc!$U$3:$U$306)&gt;ROW(U286)),--(((calc!$Z$3:$Z$306&gt;Z286)*(calc!$AA$3:$AA$306&gt;AA286)+(calc!$Z$3:$Z$306&lt;Z286)*(calc!$AA$3:$AA$306&lt;AA286))&gt;0))-SUMPRODUCT(--(calc!$U$3:$U$306=TRUE),--(ROW(calc!$U$3:$U$306)&gt;ROW(U286)),--(((calc!$Z$3:$Z$306&gt;Z286)*(calc!$AA$3:$AA$306&lt;AA286)+(calc!$Z$3:$Z$306&lt;Z286)*(calc!$AA$3:$AA$306&gt;AA286))&gt;0)),0)</f>
        <v/>
      </c>
      <c r="AC286" s="5">
        <f>IF(mos_metrics!I285="","",mos_metrics!I285)</f>
        <v/>
      </c>
      <c r="AD286" s="2">
        <f>AND($J286,ISNUMBER(AC286),correlation!$I$28=1)</f>
        <v/>
      </c>
      <c r="AE286" s="5">
        <f>IF(AD286,$F286,"")</f>
        <v/>
      </c>
      <c r="AF286" s="5">
        <f>IF(AD286,AC286*correlation!$J$28,"")</f>
        <v/>
      </c>
      <c r="AG286" s="5">
        <f>IF(AND(AD286,ISNUMBER(correlation!$F$28)),AF286*correlation!$F$28+correlation!$G$28,"")</f>
        <v/>
      </c>
      <c r="AH286" s="5">
        <f>IF(AND(AD286,ISNUMBER(AG286)),(AE286-AG286)^2,"")</f>
        <v/>
      </c>
      <c r="AI286" s="5">
        <f>IF(AD286,1+SUMPRODUCT(--(calc!$AD$3:$AD$306=TRUE),--(calc!$AE$3:$AE$306&gt;AE286))+(SUMPRODUCT(--(calc!$AD$3:$AD$306=TRUE),--(calc!$AE$3:$AE$306=AE286))-1)/2,"")</f>
        <v/>
      </c>
      <c r="AJ286" s="5">
        <f>IF(AD286,1+SUMPRODUCT(--(calc!$AD$3:$AD$306=TRUE),--(calc!$AF$3:$AF$306&gt;AF286))+(SUMPRODUCT(--(calc!$AD$3:$AD$306=TRUE),--(calc!$AF$3:$AF$306=AF286))-1)/2,"")</f>
        <v/>
      </c>
      <c r="AK286" s="5">
        <f>IF(AD286,SUMPRODUCT(--(calc!$AD$3:$AD$306=TRUE),--(ROW(calc!$AD$3:$AD$306)&gt;ROW(AD286)),--(((calc!$AI$3:$AI$306&gt;AI286)*(calc!$AJ$3:$AJ$306&gt;AJ286)+(calc!$AI$3:$AI$306&lt;AI286)*(calc!$AJ$3:$AJ$306&lt;AJ286))&gt;0))-SUMPRODUCT(--(calc!$AD$3:$AD$306=TRUE),--(ROW(calc!$AD$3:$AD$306)&gt;ROW(AD286)),--(((calc!$AI$3:$AI$306&gt;AI286)*(calc!$AJ$3:$AJ$306&lt;AJ286)+(calc!$AI$3:$AI$306&lt;AI286)*(calc!$AJ$3:$AJ$306&gt;AJ286))&gt;0)),0)</f>
        <v/>
      </c>
      <c r="AL286" s="5">
        <f>IF(mos_metrics!J285="","",mos_metrics!J285)</f>
        <v/>
      </c>
      <c r="AM286" s="2">
        <f>AND($J286,ISNUMBER(AL286),correlation!$I$29=1)</f>
        <v/>
      </c>
      <c r="AN286" s="5">
        <f>IF(AM286,$F286,"")</f>
        <v/>
      </c>
      <c r="AO286" s="5">
        <f>IF(AM286,AL286*correlation!$J$29,"")</f>
        <v/>
      </c>
      <c r="AP286" s="5">
        <f>IF(AND(AM286,ISNUMBER(correlation!$F$29)),AO286*correlation!$F$29+correlation!$G$29,"")</f>
        <v/>
      </c>
      <c r="AQ286" s="5">
        <f>IF(AND(AM286,ISNUMBER(AP286)),(AN286-AP286)^2,"")</f>
        <v/>
      </c>
      <c r="AR286" s="5">
        <f>IF(AM286,1+SUMPRODUCT(--(calc!$AM$3:$AM$306=TRUE),--(calc!$AN$3:$AN$306&gt;AN286))+(SUMPRODUCT(--(calc!$AM$3:$AM$306=TRUE),--(calc!$AN$3:$AN$306=AN286))-1)/2,"")</f>
        <v/>
      </c>
      <c r="AS286" s="5">
        <f>IF(AM286,1+SUMPRODUCT(--(calc!$AM$3:$AM$306=TRUE),--(calc!$AO$3:$AO$306&gt;AO286))+(SUMPRODUCT(--(calc!$AM$3:$AM$306=TRUE),--(calc!$AO$3:$AO$306=AO286))-1)/2,"")</f>
        <v/>
      </c>
      <c r="AT286" s="5">
        <f>IF(AM286,SUMPRODUCT(--(calc!$AM$3:$AM$306=TRUE),--(ROW(calc!$AM$3:$AM$306)&gt;ROW(AM286)),--(((calc!$AR$3:$AR$306&gt;AR286)*(calc!$AS$3:$AS$306&gt;AS286)+(calc!$AR$3:$AR$306&lt;AR286)*(calc!$AS$3:$AS$306&lt;AS286))&gt;0))-SUMPRODUCT(--(calc!$AM$3:$AM$306=TRUE),--(ROW(calc!$AM$3:$AM$306)&gt;ROW(AM286)),--(((calc!$AR$3:$AR$306&gt;AR286)*(calc!$AS$3:$AS$306&lt;AS286)+(calc!$AR$3:$AR$306&lt;AR286)*(calc!$AS$3:$AS$306&gt;AS286))&gt;0)),0)</f>
        <v/>
      </c>
      <c r="AU286" s="5">
        <f>IF(mos_metrics!K285="","",mos_metrics!K285)</f>
        <v/>
      </c>
      <c r="AV286" s="2">
        <f>AND($J286,ISNUMBER(AU286),correlation!$I$30=1)</f>
        <v/>
      </c>
      <c r="AW286" s="5">
        <f>IF(AV286,$F286,"")</f>
        <v/>
      </c>
      <c r="AX286" s="5">
        <f>IF(AV286,AU286*correlation!$J$30,"")</f>
        <v/>
      </c>
      <c r="AY286" s="5">
        <f>IF(AND(AV286,ISNUMBER(correlation!$F$30)),AX286*correlation!$F$30+correlation!$G$30,"")</f>
        <v/>
      </c>
      <c r="AZ286" s="5">
        <f>IF(AND(AV286,ISNUMBER(AY286)),(AW286-AY286)^2,"")</f>
        <v/>
      </c>
      <c r="BA286" s="5">
        <f>IF(AV286,1+SUMPRODUCT(--(calc!$AV$3:$AV$306=TRUE),--(calc!$AW$3:$AW$306&gt;AW286))+(SUMPRODUCT(--(calc!$AV$3:$AV$306=TRUE),--(calc!$AW$3:$AW$306=AW286))-1)/2,"")</f>
        <v/>
      </c>
      <c r="BB286" s="5">
        <f>IF(AV286,1+SUMPRODUCT(--(calc!$AV$3:$AV$306=TRUE),--(calc!$AX$3:$AX$306&gt;AX286))+(SUMPRODUCT(--(calc!$AV$3:$AV$306=TRUE),--(calc!$AX$3:$AX$306=AX286))-1)/2,"")</f>
        <v/>
      </c>
      <c r="BC286" s="5">
        <f>IF(AV286,SUMPRODUCT(--(calc!$AV$3:$AV$306=TRUE),--(ROW(calc!$AV$3:$AV$306)&gt;ROW(AV286)),--(((calc!$BA$3:$BA$306&gt;BA286)*(calc!$BB$3:$BB$306&gt;BB286)+(calc!$BA$3:$BA$306&lt;BA286)*(calc!$BB$3:$BB$306&lt;BB286))&gt;0))-SUMPRODUCT(--(calc!$AV$3:$AV$306=TRUE),--(ROW(calc!$AV$3:$AV$306)&gt;ROW(AV286)),--(((calc!$BA$3:$BA$306&gt;BA286)*(calc!$BB$3:$BB$306&lt;BB286)+(calc!$BA$3:$BA$306&lt;BA286)*(calc!$BB$3:$BB$306&gt;BB286))&gt;0)),0)</f>
        <v/>
      </c>
      <c r="BD286" s="5">
        <f>IF(mos_metrics!L285="","",mos_metrics!L285)</f>
        <v/>
      </c>
      <c r="BE286" s="2">
        <f>AND($J286,ISNUMBER(BD286),correlation!$I$31=1)</f>
        <v/>
      </c>
      <c r="BF286" s="5">
        <f>IF(BE286,$F286,"")</f>
        <v/>
      </c>
      <c r="BG286" s="5">
        <f>IF(BE286,BD286*correlation!$J$31,"")</f>
        <v/>
      </c>
      <c r="BH286" s="5">
        <f>IF(AND(BE286,ISNUMBER(correlation!$F$31)),BG286*correlation!$F$31+correlation!$G$31,"")</f>
        <v/>
      </c>
      <c r="BI286" s="5">
        <f>IF(AND(BE286,ISNUMBER(BH286)),(BF286-BH286)^2,"")</f>
        <v/>
      </c>
      <c r="BJ286" s="5">
        <f>IF(BE286,1+SUMPRODUCT(--(calc!$BE$3:$BE$306=TRUE),--(calc!$BF$3:$BF$306&gt;BF286))+(SUMPRODUCT(--(calc!$BE$3:$BE$306=TRUE),--(calc!$BF$3:$BF$306=BF286))-1)/2,"")</f>
        <v/>
      </c>
      <c r="BK286" s="5">
        <f>IF(BE286,1+SUMPRODUCT(--(calc!$BE$3:$BE$306=TRUE),--(calc!$BG$3:$BG$306&gt;BG286))+(SUMPRODUCT(--(calc!$BE$3:$BE$306=TRUE),--(calc!$BG$3:$BG$306=BG286))-1)/2,"")</f>
        <v/>
      </c>
      <c r="BL286" s="5">
        <f>IF(BE286,SUMPRODUCT(--(calc!$BE$3:$BE$306=TRUE),--(ROW(calc!$BE$3:$BE$306)&gt;ROW(BE286)),--(((calc!$BJ$3:$BJ$306&gt;BJ286)*(calc!$BK$3:$BK$306&gt;BK286)+(calc!$BJ$3:$BJ$306&lt;BJ286)*(calc!$BK$3:$BK$306&lt;BK286))&gt;0))-SUMPRODUCT(--(calc!$BE$3:$BE$306=TRUE),--(ROW(calc!$BE$3:$BE$306)&gt;ROW(BE286)),--(((calc!$BJ$3:$BJ$306&gt;BJ286)*(calc!$BK$3:$BK$306&lt;BK286)+(calc!$BJ$3:$BJ$306&lt;BJ286)*(calc!$BK$3:$BK$306&gt;BK286))&gt;0)),0)</f>
        <v/>
      </c>
      <c r="BM286" s="5">
        <f>IF(mos_metrics!M285="","",mos_metrics!M285)</f>
        <v/>
      </c>
      <c r="BN286" s="2">
        <f>AND($J286,ISNUMBER(BM286),correlation!$I$32=1)</f>
        <v/>
      </c>
      <c r="BO286" s="5">
        <f>IF(BN286,$F286,"")</f>
        <v/>
      </c>
      <c r="BP286" s="5">
        <f>IF(BN286,BM286*correlation!$J$32,"")</f>
        <v/>
      </c>
      <c r="BQ286" s="5">
        <f>IF(AND(BN286,ISNUMBER(correlation!$F$32)),BP286*correlation!$F$32+correlation!$G$32,"")</f>
        <v/>
      </c>
      <c r="BR286" s="5">
        <f>IF(AND(BN286,ISNUMBER(BQ286)),(BO286-BQ286)^2,"")</f>
        <v/>
      </c>
      <c r="BS286" s="5">
        <f>IF(BN286,1+SUMPRODUCT(--(calc!$BN$3:$BN$306=TRUE),--(calc!$BO$3:$BO$306&gt;BO286))+(SUMPRODUCT(--(calc!$BN$3:$BN$306=TRUE),--(calc!$BO$3:$BO$306=BO286))-1)/2,"")</f>
        <v/>
      </c>
      <c r="BT286" s="5">
        <f>IF(BN286,1+SUMPRODUCT(--(calc!$BN$3:$BN$306=TRUE),--(calc!$BP$3:$BP$306&gt;BP286))+(SUMPRODUCT(--(calc!$BN$3:$BN$306=TRUE),--(calc!$BP$3:$BP$306=BP286))-1)/2,"")</f>
        <v/>
      </c>
      <c r="BU286" s="5">
        <f>IF(BN286,SUMPRODUCT(--(calc!$BN$3:$BN$306=TRUE),--(ROW(calc!$BN$3:$BN$306)&gt;ROW(BN286)),--(((calc!$BS$3:$BS$306&gt;BS286)*(calc!$BT$3:$BT$306&gt;BT286)+(calc!$BS$3:$BS$306&lt;BS286)*(calc!$BT$3:$BT$306&lt;BT286))&gt;0))-SUMPRODUCT(--(calc!$BN$3:$BN$306=TRUE),--(ROW(calc!$BN$3:$BN$306)&gt;ROW(BN286)),--(((calc!$BS$3:$BS$306&gt;BS286)*(calc!$BT$3:$BT$306&lt;BT286)+(calc!$BS$3:$BS$306&lt;BS286)*(calc!$BT$3:$BT$306&gt;BT286))&gt;0)),0)</f>
        <v/>
      </c>
    </row>
    <row r="287">
      <c r="A287" s="2">
        <f>mos_metrics!A286</f>
        <v/>
      </c>
      <c r="B287" s="2">
        <f>mos_metrics!B286</f>
        <v/>
      </c>
      <c r="C287" s="2">
        <f>mos_metrics!C286</f>
        <v/>
      </c>
      <c r="D287" s="2">
        <f>mos_metrics!D286</f>
        <v/>
      </c>
      <c r="E287" s="2">
        <f>mos_metrics!E286</f>
        <v/>
      </c>
      <c r="F287" s="2">
        <f>mos_metrics!F286</f>
        <v/>
      </c>
      <c r="G287" s="2">
        <f>IF($B287="","",IFERROR(VLOOKUP($B287,correlation!$A$2:$B$16,2,FALSE),1))</f>
        <v/>
      </c>
      <c r="H287" s="2">
        <f>IF($E287="","",IFERROR(VLOOKUP($E287,correlation!$D$2:$E$8,2,FALSE),1))</f>
        <v/>
      </c>
      <c r="I287" s="2">
        <f>ISNUMBER($F287)</f>
        <v/>
      </c>
      <c r="J287" s="2">
        <f>AND($G287=1,$H287=1,$I287)</f>
        <v/>
      </c>
      <c r="K287" s="5">
        <f>IF(mos_metrics!G286="","",mos_metrics!G286)</f>
        <v/>
      </c>
      <c r="L287" s="2">
        <f>AND($J287,ISNUMBER(K287),correlation!$I$26=1)</f>
        <v/>
      </c>
      <c r="M287" s="5">
        <f>IF(L287,$F287,"")</f>
        <v/>
      </c>
      <c r="N287" s="5">
        <f>IF(L287,K287*correlation!$J$26,"")</f>
        <v/>
      </c>
      <c r="O287" s="5">
        <f>IF(AND(L287,ISNUMBER(correlation!$F$26)),N287*correlation!$F$26+correlation!$G$26,"")</f>
        <v/>
      </c>
      <c r="P287" s="5">
        <f>IF(AND(L287,ISNUMBER(O287)),(M287-O287)^2,"")</f>
        <v/>
      </c>
      <c r="Q287" s="5">
        <f>IF(L287,1+SUMPRODUCT(--(calc!$L$3:$L$306=TRUE),--(calc!$M$3:$M$306&gt;M287))+(SUMPRODUCT(--(calc!$L$3:$L$306=TRUE),--(calc!$M$3:$M$306=M287))-1)/2,"")</f>
        <v/>
      </c>
      <c r="R287" s="5">
        <f>IF(L287,1+SUMPRODUCT(--(calc!$L$3:$L$306=TRUE),--(calc!$N$3:$N$306&gt;N287))+(SUMPRODUCT(--(calc!$L$3:$L$306=TRUE),--(calc!$N$3:$N$306=N287))-1)/2,"")</f>
        <v/>
      </c>
      <c r="S287" s="5">
        <f>IF(L287,SUMPRODUCT(--(calc!$L$3:$L$306=TRUE),--(ROW(calc!$L$3:$L$306)&gt;ROW(L287)),--(((calc!$Q$3:$Q$306&gt;Q287)*(calc!$R$3:$R$306&gt;R287)+(calc!$Q$3:$Q$306&lt;Q287)*(calc!$R$3:$R$306&lt;R287))&gt;0))-SUMPRODUCT(--(calc!$L$3:$L$306=TRUE),--(ROW(calc!$L$3:$L$306)&gt;ROW(L287)),--(((calc!$Q$3:$Q$306&gt;Q287)*(calc!$R$3:$R$306&lt;R287)+(calc!$Q$3:$Q$306&lt;Q287)*(calc!$R$3:$R$306&gt;R287))&gt;0)),0)</f>
        <v/>
      </c>
      <c r="T287" s="5">
        <f>IF(mos_metrics!H286="","",mos_metrics!H286)</f>
        <v/>
      </c>
      <c r="U287" s="2">
        <f>AND($J287,ISNUMBER(T287),correlation!$I$27=1)</f>
        <v/>
      </c>
      <c r="V287" s="5">
        <f>IF(U287,$F287,"")</f>
        <v/>
      </c>
      <c r="W287" s="5">
        <f>IF(U287,T287*correlation!$J$27,"")</f>
        <v/>
      </c>
      <c r="X287" s="5">
        <f>IF(AND(U287,ISNUMBER(correlation!$F$27)),W287*correlation!$F$27+correlation!$G$27,"")</f>
        <v/>
      </c>
      <c r="Y287" s="5">
        <f>IF(AND(U287,ISNUMBER(X287)),(V287-X287)^2,"")</f>
        <v/>
      </c>
      <c r="Z287" s="5">
        <f>IF(U287,1+SUMPRODUCT(--(calc!$U$3:$U$306=TRUE),--(calc!$V$3:$V$306&gt;V287))+(SUMPRODUCT(--(calc!$U$3:$U$306=TRUE),--(calc!$V$3:$V$306=V287))-1)/2,"")</f>
        <v/>
      </c>
      <c r="AA287" s="5">
        <f>IF(U287,1+SUMPRODUCT(--(calc!$U$3:$U$306=TRUE),--(calc!$W$3:$W$306&gt;W287))+(SUMPRODUCT(--(calc!$U$3:$U$306=TRUE),--(calc!$W$3:$W$306=W287))-1)/2,"")</f>
        <v/>
      </c>
      <c r="AB287" s="5">
        <f>IF(U287,SUMPRODUCT(--(calc!$U$3:$U$306=TRUE),--(ROW(calc!$U$3:$U$306)&gt;ROW(U287)),--(((calc!$Z$3:$Z$306&gt;Z287)*(calc!$AA$3:$AA$306&gt;AA287)+(calc!$Z$3:$Z$306&lt;Z287)*(calc!$AA$3:$AA$306&lt;AA287))&gt;0))-SUMPRODUCT(--(calc!$U$3:$U$306=TRUE),--(ROW(calc!$U$3:$U$306)&gt;ROW(U287)),--(((calc!$Z$3:$Z$306&gt;Z287)*(calc!$AA$3:$AA$306&lt;AA287)+(calc!$Z$3:$Z$306&lt;Z287)*(calc!$AA$3:$AA$306&gt;AA287))&gt;0)),0)</f>
        <v/>
      </c>
      <c r="AC287" s="5">
        <f>IF(mos_metrics!I286="","",mos_metrics!I286)</f>
        <v/>
      </c>
      <c r="AD287" s="2">
        <f>AND($J287,ISNUMBER(AC287),correlation!$I$28=1)</f>
        <v/>
      </c>
      <c r="AE287" s="5">
        <f>IF(AD287,$F287,"")</f>
        <v/>
      </c>
      <c r="AF287" s="5">
        <f>IF(AD287,AC287*correlation!$J$28,"")</f>
        <v/>
      </c>
      <c r="AG287" s="5">
        <f>IF(AND(AD287,ISNUMBER(correlation!$F$28)),AF287*correlation!$F$28+correlation!$G$28,"")</f>
        <v/>
      </c>
      <c r="AH287" s="5">
        <f>IF(AND(AD287,ISNUMBER(AG287)),(AE287-AG287)^2,"")</f>
        <v/>
      </c>
      <c r="AI287" s="5">
        <f>IF(AD287,1+SUMPRODUCT(--(calc!$AD$3:$AD$306=TRUE),--(calc!$AE$3:$AE$306&gt;AE287))+(SUMPRODUCT(--(calc!$AD$3:$AD$306=TRUE),--(calc!$AE$3:$AE$306=AE287))-1)/2,"")</f>
        <v/>
      </c>
      <c r="AJ287" s="5">
        <f>IF(AD287,1+SUMPRODUCT(--(calc!$AD$3:$AD$306=TRUE),--(calc!$AF$3:$AF$306&gt;AF287))+(SUMPRODUCT(--(calc!$AD$3:$AD$306=TRUE),--(calc!$AF$3:$AF$306=AF287))-1)/2,"")</f>
        <v/>
      </c>
      <c r="AK287" s="5">
        <f>IF(AD287,SUMPRODUCT(--(calc!$AD$3:$AD$306=TRUE),--(ROW(calc!$AD$3:$AD$306)&gt;ROW(AD287)),--(((calc!$AI$3:$AI$306&gt;AI287)*(calc!$AJ$3:$AJ$306&gt;AJ287)+(calc!$AI$3:$AI$306&lt;AI287)*(calc!$AJ$3:$AJ$306&lt;AJ287))&gt;0))-SUMPRODUCT(--(calc!$AD$3:$AD$306=TRUE),--(ROW(calc!$AD$3:$AD$306)&gt;ROW(AD287)),--(((calc!$AI$3:$AI$306&gt;AI287)*(calc!$AJ$3:$AJ$306&lt;AJ287)+(calc!$AI$3:$AI$306&lt;AI287)*(calc!$AJ$3:$AJ$306&gt;AJ287))&gt;0)),0)</f>
        <v/>
      </c>
      <c r="AL287" s="5">
        <f>IF(mos_metrics!J286="","",mos_metrics!J286)</f>
        <v/>
      </c>
      <c r="AM287" s="2">
        <f>AND($J287,ISNUMBER(AL287),correlation!$I$29=1)</f>
        <v/>
      </c>
      <c r="AN287" s="5">
        <f>IF(AM287,$F287,"")</f>
        <v/>
      </c>
      <c r="AO287" s="5">
        <f>IF(AM287,AL287*correlation!$J$29,"")</f>
        <v/>
      </c>
      <c r="AP287" s="5">
        <f>IF(AND(AM287,ISNUMBER(correlation!$F$29)),AO287*correlation!$F$29+correlation!$G$29,"")</f>
        <v/>
      </c>
      <c r="AQ287" s="5">
        <f>IF(AND(AM287,ISNUMBER(AP287)),(AN287-AP287)^2,"")</f>
        <v/>
      </c>
      <c r="AR287" s="5">
        <f>IF(AM287,1+SUMPRODUCT(--(calc!$AM$3:$AM$306=TRUE),--(calc!$AN$3:$AN$306&gt;AN287))+(SUMPRODUCT(--(calc!$AM$3:$AM$306=TRUE),--(calc!$AN$3:$AN$306=AN287))-1)/2,"")</f>
        <v/>
      </c>
      <c r="AS287" s="5">
        <f>IF(AM287,1+SUMPRODUCT(--(calc!$AM$3:$AM$306=TRUE),--(calc!$AO$3:$AO$306&gt;AO287))+(SUMPRODUCT(--(calc!$AM$3:$AM$306=TRUE),--(calc!$AO$3:$AO$306=AO287))-1)/2,"")</f>
        <v/>
      </c>
      <c r="AT287" s="5">
        <f>IF(AM287,SUMPRODUCT(--(calc!$AM$3:$AM$306=TRUE),--(ROW(calc!$AM$3:$AM$306)&gt;ROW(AM287)),--(((calc!$AR$3:$AR$306&gt;AR287)*(calc!$AS$3:$AS$306&gt;AS287)+(calc!$AR$3:$AR$306&lt;AR287)*(calc!$AS$3:$AS$306&lt;AS287))&gt;0))-SUMPRODUCT(--(calc!$AM$3:$AM$306=TRUE),--(ROW(calc!$AM$3:$AM$306)&gt;ROW(AM287)),--(((calc!$AR$3:$AR$306&gt;AR287)*(calc!$AS$3:$AS$306&lt;AS287)+(calc!$AR$3:$AR$306&lt;AR287)*(calc!$AS$3:$AS$306&gt;AS287))&gt;0)),0)</f>
        <v/>
      </c>
      <c r="AU287" s="5">
        <f>IF(mos_metrics!K286="","",mos_metrics!K286)</f>
        <v/>
      </c>
      <c r="AV287" s="2">
        <f>AND($J287,ISNUMBER(AU287),correlation!$I$30=1)</f>
        <v/>
      </c>
      <c r="AW287" s="5">
        <f>IF(AV287,$F287,"")</f>
        <v/>
      </c>
      <c r="AX287" s="5">
        <f>IF(AV287,AU287*correlation!$J$30,"")</f>
        <v/>
      </c>
      <c r="AY287" s="5">
        <f>IF(AND(AV287,ISNUMBER(correlation!$F$30)),AX287*correlation!$F$30+correlation!$G$30,"")</f>
        <v/>
      </c>
      <c r="AZ287" s="5">
        <f>IF(AND(AV287,ISNUMBER(AY287)),(AW287-AY287)^2,"")</f>
        <v/>
      </c>
      <c r="BA287" s="5">
        <f>IF(AV287,1+SUMPRODUCT(--(calc!$AV$3:$AV$306=TRUE),--(calc!$AW$3:$AW$306&gt;AW287))+(SUMPRODUCT(--(calc!$AV$3:$AV$306=TRUE),--(calc!$AW$3:$AW$306=AW287))-1)/2,"")</f>
        <v/>
      </c>
      <c r="BB287" s="5">
        <f>IF(AV287,1+SUMPRODUCT(--(calc!$AV$3:$AV$306=TRUE),--(calc!$AX$3:$AX$306&gt;AX287))+(SUMPRODUCT(--(calc!$AV$3:$AV$306=TRUE),--(calc!$AX$3:$AX$306=AX287))-1)/2,"")</f>
        <v/>
      </c>
      <c r="BC287" s="5">
        <f>IF(AV287,SUMPRODUCT(--(calc!$AV$3:$AV$306=TRUE),--(ROW(calc!$AV$3:$AV$306)&gt;ROW(AV287)),--(((calc!$BA$3:$BA$306&gt;BA287)*(calc!$BB$3:$BB$306&gt;BB287)+(calc!$BA$3:$BA$306&lt;BA287)*(calc!$BB$3:$BB$306&lt;BB287))&gt;0))-SUMPRODUCT(--(calc!$AV$3:$AV$306=TRUE),--(ROW(calc!$AV$3:$AV$306)&gt;ROW(AV287)),--(((calc!$BA$3:$BA$306&gt;BA287)*(calc!$BB$3:$BB$306&lt;BB287)+(calc!$BA$3:$BA$306&lt;BA287)*(calc!$BB$3:$BB$306&gt;BB287))&gt;0)),0)</f>
        <v/>
      </c>
      <c r="BD287" s="5">
        <f>IF(mos_metrics!L286="","",mos_metrics!L286)</f>
        <v/>
      </c>
      <c r="BE287" s="2">
        <f>AND($J287,ISNUMBER(BD287),correlation!$I$31=1)</f>
        <v/>
      </c>
      <c r="BF287" s="5">
        <f>IF(BE287,$F287,"")</f>
        <v/>
      </c>
      <c r="BG287" s="5">
        <f>IF(BE287,BD287*correlation!$J$31,"")</f>
        <v/>
      </c>
      <c r="BH287" s="5">
        <f>IF(AND(BE287,ISNUMBER(correlation!$F$31)),BG287*correlation!$F$31+correlation!$G$31,"")</f>
        <v/>
      </c>
      <c r="BI287" s="5">
        <f>IF(AND(BE287,ISNUMBER(BH287)),(BF287-BH287)^2,"")</f>
        <v/>
      </c>
      <c r="BJ287" s="5">
        <f>IF(BE287,1+SUMPRODUCT(--(calc!$BE$3:$BE$306=TRUE),--(calc!$BF$3:$BF$306&gt;BF287))+(SUMPRODUCT(--(calc!$BE$3:$BE$306=TRUE),--(calc!$BF$3:$BF$306=BF287))-1)/2,"")</f>
        <v/>
      </c>
      <c r="BK287" s="5">
        <f>IF(BE287,1+SUMPRODUCT(--(calc!$BE$3:$BE$306=TRUE),--(calc!$BG$3:$BG$306&gt;BG287))+(SUMPRODUCT(--(calc!$BE$3:$BE$306=TRUE),--(calc!$BG$3:$BG$306=BG287))-1)/2,"")</f>
        <v/>
      </c>
      <c r="BL287" s="5">
        <f>IF(BE287,SUMPRODUCT(--(calc!$BE$3:$BE$306=TRUE),--(ROW(calc!$BE$3:$BE$306)&gt;ROW(BE287)),--(((calc!$BJ$3:$BJ$306&gt;BJ287)*(calc!$BK$3:$BK$306&gt;BK287)+(calc!$BJ$3:$BJ$306&lt;BJ287)*(calc!$BK$3:$BK$306&lt;BK287))&gt;0))-SUMPRODUCT(--(calc!$BE$3:$BE$306=TRUE),--(ROW(calc!$BE$3:$BE$306)&gt;ROW(BE287)),--(((calc!$BJ$3:$BJ$306&gt;BJ287)*(calc!$BK$3:$BK$306&lt;BK287)+(calc!$BJ$3:$BJ$306&lt;BJ287)*(calc!$BK$3:$BK$306&gt;BK287))&gt;0)),0)</f>
        <v/>
      </c>
      <c r="BM287" s="5">
        <f>IF(mos_metrics!M286="","",mos_metrics!M286)</f>
        <v/>
      </c>
      <c r="BN287" s="2">
        <f>AND($J287,ISNUMBER(BM287),correlation!$I$32=1)</f>
        <v/>
      </c>
      <c r="BO287" s="5">
        <f>IF(BN287,$F287,"")</f>
        <v/>
      </c>
      <c r="BP287" s="5">
        <f>IF(BN287,BM287*correlation!$J$32,"")</f>
        <v/>
      </c>
      <c r="BQ287" s="5">
        <f>IF(AND(BN287,ISNUMBER(correlation!$F$32)),BP287*correlation!$F$32+correlation!$G$32,"")</f>
        <v/>
      </c>
      <c r="BR287" s="5">
        <f>IF(AND(BN287,ISNUMBER(BQ287)),(BO287-BQ287)^2,"")</f>
        <v/>
      </c>
      <c r="BS287" s="5">
        <f>IF(BN287,1+SUMPRODUCT(--(calc!$BN$3:$BN$306=TRUE),--(calc!$BO$3:$BO$306&gt;BO287))+(SUMPRODUCT(--(calc!$BN$3:$BN$306=TRUE),--(calc!$BO$3:$BO$306=BO287))-1)/2,"")</f>
        <v/>
      </c>
      <c r="BT287" s="5">
        <f>IF(BN287,1+SUMPRODUCT(--(calc!$BN$3:$BN$306=TRUE),--(calc!$BP$3:$BP$306&gt;BP287))+(SUMPRODUCT(--(calc!$BN$3:$BN$306=TRUE),--(calc!$BP$3:$BP$306=BP287))-1)/2,"")</f>
        <v/>
      </c>
      <c r="BU287" s="5">
        <f>IF(BN287,SUMPRODUCT(--(calc!$BN$3:$BN$306=TRUE),--(ROW(calc!$BN$3:$BN$306)&gt;ROW(BN287)),--(((calc!$BS$3:$BS$306&gt;BS287)*(calc!$BT$3:$BT$306&gt;BT287)+(calc!$BS$3:$BS$306&lt;BS287)*(calc!$BT$3:$BT$306&lt;BT287))&gt;0))-SUMPRODUCT(--(calc!$BN$3:$BN$306=TRUE),--(ROW(calc!$BN$3:$BN$306)&gt;ROW(BN287)),--(((calc!$BS$3:$BS$306&gt;BS287)*(calc!$BT$3:$BT$306&lt;BT287)+(calc!$BS$3:$BS$306&lt;BS287)*(calc!$BT$3:$BT$306&gt;BT287))&gt;0)),0)</f>
        <v/>
      </c>
    </row>
    <row r="288">
      <c r="A288" s="2">
        <f>mos_metrics!A287</f>
        <v/>
      </c>
      <c r="B288" s="2">
        <f>mos_metrics!B287</f>
        <v/>
      </c>
      <c r="C288" s="2">
        <f>mos_metrics!C287</f>
        <v/>
      </c>
      <c r="D288" s="2">
        <f>mos_metrics!D287</f>
        <v/>
      </c>
      <c r="E288" s="2">
        <f>mos_metrics!E287</f>
        <v/>
      </c>
      <c r="F288" s="2">
        <f>mos_metrics!F287</f>
        <v/>
      </c>
      <c r="G288" s="2">
        <f>IF($B288="","",IFERROR(VLOOKUP($B288,correlation!$A$2:$B$16,2,FALSE),1))</f>
        <v/>
      </c>
      <c r="H288" s="2">
        <f>IF($E288="","",IFERROR(VLOOKUP($E288,correlation!$D$2:$E$8,2,FALSE),1))</f>
        <v/>
      </c>
      <c r="I288" s="2">
        <f>ISNUMBER($F288)</f>
        <v/>
      </c>
      <c r="J288" s="2">
        <f>AND($G288=1,$H288=1,$I288)</f>
        <v/>
      </c>
      <c r="K288" s="5">
        <f>IF(mos_metrics!G287="","",mos_metrics!G287)</f>
        <v/>
      </c>
      <c r="L288" s="2">
        <f>AND($J288,ISNUMBER(K288),correlation!$I$26=1)</f>
        <v/>
      </c>
      <c r="M288" s="5">
        <f>IF(L288,$F288,"")</f>
        <v/>
      </c>
      <c r="N288" s="5">
        <f>IF(L288,K288*correlation!$J$26,"")</f>
        <v/>
      </c>
      <c r="O288" s="5">
        <f>IF(AND(L288,ISNUMBER(correlation!$F$26)),N288*correlation!$F$26+correlation!$G$26,"")</f>
        <v/>
      </c>
      <c r="P288" s="5">
        <f>IF(AND(L288,ISNUMBER(O288)),(M288-O288)^2,"")</f>
        <v/>
      </c>
      <c r="Q288" s="5">
        <f>IF(L288,1+SUMPRODUCT(--(calc!$L$3:$L$306=TRUE),--(calc!$M$3:$M$306&gt;M288))+(SUMPRODUCT(--(calc!$L$3:$L$306=TRUE),--(calc!$M$3:$M$306=M288))-1)/2,"")</f>
        <v/>
      </c>
      <c r="R288" s="5">
        <f>IF(L288,1+SUMPRODUCT(--(calc!$L$3:$L$306=TRUE),--(calc!$N$3:$N$306&gt;N288))+(SUMPRODUCT(--(calc!$L$3:$L$306=TRUE),--(calc!$N$3:$N$306=N288))-1)/2,"")</f>
        <v/>
      </c>
      <c r="S288" s="5">
        <f>IF(L288,SUMPRODUCT(--(calc!$L$3:$L$306=TRUE),--(ROW(calc!$L$3:$L$306)&gt;ROW(L288)),--(((calc!$Q$3:$Q$306&gt;Q288)*(calc!$R$3:$R$306&gt;R288)+(calc!$Q$3:$Q$306&lt;Q288)*(calc!$R$3:$R$306&lt;R288))&gt;0))-SUMPRODUCT(--(calc!$L$3:$L$306=TRUE),--(ROW(calc!$L$3:$L$306)&gt;ROW(L288)),--(((calc!$Q$3:$Q$306&gt;Q288)*(calc!$R$3:$R$306&lt;R288)+(calc!$Q$3:$Q$306&lt;Q288)*(calc!$R$3:$R$306&gt;R288))&gt;0)),0)</f>
        <v/>
      </c>
      <c r="T288" s="5">
        <f>IF(mos_metrics!H287="","",mos_metrics!H287)</f>
        <v/>
      </c>
      <c r="U288" s="2">
        <f>AND($J288,ISNUMBER(T288),correlation!$I$27=1)</f>
        <v/>
      </c>
      <c r="V288" s="5">
        <f>IF(U288,$F288,"")</f>
        <v/>
      </c>
      <c r="W288" s="5">
        <f>IF(U288,T288*correlation!$J$27,"")</f>
        <v/>
      </c>
      <c r="X288" s="5">
        <f>IF(AND(U288,ISNUMBER(correlation!$F$27)),W288*correlation!$F$27+correlation!$G$27,"")</f>
        <v/>
      </c>
      <c r="Y288" s="5">
        <f>IF(AND(U288,ISNUMBER(X288)),(V288-X288)^2,"")</f>
        <v/>
      </c>
      <c r="Z288" s="5">
        <f>IF(U288,1+SUMPRODUCT(--(calc!$U$3:$U$306=TRUE),--(calc!$V$3:$V$306&gt;V288))+(SUMPRODUCT(--(calc!$U$3:$U$306=TRUE),--(calc!$V$3:$V$306=V288))-1)/2,"")</f>
        <v/>
      </c>
      <c r="AA288" s="5">
        <f>IF(U288,1+SUMPRODUCT(--(calc!$U$3:$U$306=TRUE),--(calc!$W$3:$W$306&gt;W288))+(SUMPRODUCT(--(calc!$U$3:$U$306=TRUE),--(calc!$W$3:$W$306=W288))-1)/2,"")</f>
        <v/>
      </c>
      <c r="AB288" s="5">
        <f>IF(U288,SUMPRODUCT(--(calc!$U$3:$U$306=TRUE),--(ROW(calc!$U$3:$U$306)&gt;ROW(U288)),--(((calc!$Z$3:$Z$306&gt;Z288)*(calc!$AA$3:$AA$306&gt;AA288)+(calc!$Z$3:$Z$306&lt;Z288)*(calc!$AA$3:$AA$306&lt;AA288))&gt;0))-SUMPRODUCT(--(calc!$U$3:$U$306=TRUE),--(ROW(calc!$U$3:$U$306)&gt;ROW(U288)),--(((calc!$Z$3:$Z$306&gt;Z288)*(calc!$AA$3:$AA$306&lt;AA288)+(calc!$Z$3:$Z$306&lt;Z288)*(calc!$AA$3:$AA$306&gt;AA288))&gt;0)),0)</f>
        <v/>
      </c>
      <c r="AC288" s="5">
        <f>IF(mos_metrics!I287="","",mos_metrics!I287)</f>
        <v/>
      </c>
      <c r="AD288" s="2">
        <f>AND($J288,ISNUMBER(AC288),correlation!$I$28=1)</f>
        <v/>
      </c>
      <c r="AE288" s="5">
        <f>IF(AD288,$F288,"")</f>
        <v/>
      </c>
      <c r="AF288" s="5">
        <f>IF(AD288,AC288*correlation!$J$28,"")</f>
        <v/>
      </c>
      <c r="AG288" s="5">
        <f>IF(AND(AD288,ISNUMBER(correlation!$F$28)),AF288*correlation!$F$28+correlation!$G$28,"")</f>
        <v/>
      </c>
      <c r="AH288" s="5">
        <f>IF(AND(AD288,ISNUMBER(AG288)),(AE288-AG288)^2,"")</f>
        <v/>
      </c>
      <c r="AI288" s="5">
        <f>IF(AD288,1+SUMPRODUCT(--(calc!$AD$3:$AD$306=TRUE),--(calc!$AE$3:$AE$306&gt;AE288))+(SUMPRODUCT(--(calc!$AD$3:$AD$306=TRUE),--(calc!$AE$3:$AE$306=AE288))-1)/2,"")</f>
        <v/>
      </c>
      <c r="AJ288" s="5">
        <f>IF(AD288,1+SUMPRODUCT(--(calc!$AD$3:$AD$306=TRUE),--(calc!$AF$3:$AF$306&gt;AF288))+(SUMPRODUCT(--(calc!$AD$3:$AD$306=TRUE),--(calc!$AF$3:$AF$306=AF288))-1)/2,"")</f>
        <v/>
      </c>
      <c r="AK288" s="5">
        <f>IF(AD288,SUMPRODUCT(--(calc!$AD$3:$AD$306=TRUE),--(ROW(calc!$AD$3:$AD$306)&gt;ROW(AD288)),--(((calc!$AI$3:$AI$306&gt;AI288)*(calc!$AJ$3:$AJ$306&gt;AJ288)+(calc!$AI$3:$AI$306&lt;AI288)*(calc!$AJ$3:$AJ$306&lt;AJ288))&gt;0))-SUMPRODUCT(--(calc!$AD$3:$AD$306=TRUE),--(ROW(calc!$AD$3:$AD$306)&gt;ROW(AD288)),--(((calc!$AI$3:$AI$306&gt;AI288)*(calc!$AJ$3:$AJ$306&lt;AJ288)+(calc!$AI$3:$AI$306&lt;AI288)*(calc!$AJ$3:$AJ$306&gt;AJ288))&gt;0)),0)</f>
        <v/>
      </c>
      <c r="AL288" s="5">
        <f>IF(mos_metrics!J287="","",mos_metrics!J287)</f>
        <v/>
      </c>
      <c r="AM288" s="2">
        <f>AND($J288,ISNUMBER(AL288),correlation!$I$29=1)</f>
        <v/>
      </c>
      <c r="AN288" s="5">
        <f>IF(AM288,$F288,"")</f>
        <v/>
      </c>
      <c r="AO288" s="5">
        <f>IF(AM288,AL288*correlation!$J$29,"")</f>
        <v/>
      </c>
      <c r="AP288" s="5">
        <f>IF(AND(AM288,ISNUMBER(correlation!$F$29)),AO288*correlation!$F$29+correlation!$G$29,"")</f>
        <v/>
      </c>
      <c r="AQ288" s="5">
        <f>IF(AND(AM288,ISNUMBER(AP288)),(AN288-AP288)^2,"")</f>
        <v/>
      </c>
      <c r="AR288" s="5">
        <f>IF(AM288,1+SUMPRODUCT(--(calc!$AM$3:$AM$306=TRUE),--(calc!$AN$3:$AN$306&gt;AN288))+(SUMPRODUCT(--(calc!$AM$3:$AM$306=TRUE),--(calc!$AN$3:$AN$306=AN288))-1)/2,"")</f>
        <v/>
      </c>
      <c r="AS288" s="5">
        <f>IF(AM288,1+SUMPRODUCT(--(calc!$AM$3:$AM$306=TRUE),--(calc!$AO$3:$AO$306&gt;AO288))+(SUMPRODUCT(--(calc!$AM$3:$AM$306=TRUE),--(calc!$AO$3:$AO$306=AO288))-1)/2,"")</f>
        <v/>
      </c>
      <c r="AT288" s="5">
        <f>IF(AM288,SUMPRODUCT(--(calc!$AM$3:$AM$306=TRUE),--(ROW(calc!$AM$3:$AM$306)&gt;ROW(AM288)),--(((calc!$AR$3:$AR$306&gt;AR288)*(calc!$AS$3:$AS$306&gt;AS288)+(calc!$AR$3:$AR$306&lt;AR288)*(calc!$AS$3:$AS$306&lt;AS288))&gt;0))-SUMPRODUCT(--(calc!$AM$3:$AM$306=TRUE),--(ROW(calc!$AM$3:$AM$306)&gt;ROW(AM288)),--(((calc!$AR$3:$AR$306&gt;AR288)*(calc!$AS$3:$AS$306&lt;AS288)+(calc!$AR$3:$AR$306&lt;AR288)*(calc!$AS$3:$AS$306&gt;AS288))&gt;0)),0)</f>
        <v/>
      </c>
      <c r="AU288" s="5">
        <f>IF(mos_metrics!K287="","",mos_metrics!K287)</f>
        <v/>
      </c>
      <c r="AV288" s="2">
        <f>AND($J288,ISNUMBER(AU288),correlation!$I$30=1)</f>
        <v/>
      </c>
      <c r="AW288" s="5">
        <f>IF(AV288,$F288,"")</f>
        <v/>
      </c>
      <c r="AX288" s="5">
        <f>IF(AV288,AU288*correlation!$J$30,"")</f>
        <v/>
      </c>
      <c r="AY288" s="5">
        <f>IF(AND(AV288,ISNUMBER(correlation!$F$30)),AX288*correlation!$F$30+correlation!$G$30,"")</f>
        <v/>
      </c>
      <c r="AZ288" s="5">
        <f>IF(AND(AV288,ISNUMBER(AY288)),(AW288-AY288)^2,"")</f>
        <v/>
      </c>
      <c r="BA288" s="5">
        <f>IF(AV288,1+SUMPRODUCT(--(calc!$AV$3:$AV$306=TRUE),--(calc!$AW$3:$AW$306&gt;AW288))+(SUMPRODUCT(--(calc!$AV$3:$AV$306=TRUE),--(calc!$AW$3:$AW$306=AW288))-1)/2,"")</f>
        <v/>
      </c>
      <c r="BB288" s="5">
        <f>IF(AV288,1+SUMPRODUCT(--(calc!$AV$3:$AV$306=TRUE),--(calc!$AX$3:$AX$306&gt;AX288))+(SUMPRODUCT(--(calc!$AV$3:$AV$306=TRUE),--(calc!$AX$3:$AX$306=AX288))-1)/2,"")</f>
        <v/>
      </c>
      <c r="BC288" s="5">
        <f>IF(AV288,SUMPRODUCT(--(calc!$AV$3:$AV$306=TRUE),--(ROW(calc!$AV$3:$AV$306)&gt;ROW(AV288)),--(((calc!$BA$3:$BA$306&gt;BA288)*(calc!$BB$3:$BB$306&gt;BB288)+(calc!$BA$3:$BA$306&lt;BA288)*(calc!$BB$3:$BB$306&lt;BB288))&gt;0))-SUMPRODUCT(--(calc!$AV$3:$AV$306=TRUE),--(ROW(calc!$AV$3:$AV$306)&gt;ROW(AV288)),--(((calc!$BA$3:$BA$306&gt;BA288)*(calc!$BB$3:$BB$306&lt;BB288)+(calc!$BA$3:$BA$306&lt;BA288)*(calc!$BB$3:$BB$306&gt;BB288))&gt;0)),0)</f>
        <v/>
      </c>
      <c r="BD288" s="5">
        <f>IF(mos_metrics!L287="","",mos_metrics!L287)</f>
        <v/>
      </c>
      <c r="BE288" s="2">
        <f>AND($J288,ISNUMBER(BD288),correlation!$I$31=1)</f>
        <v/>
      </c>
      <c r="BF288" s="5">
        <f>IF(BE288,$F288,"")</f>
        <v/>
      </c>
      <c r="BG288" s="5">
        <f>IF(BE288,BD288*correlation!$J$31,"")</f>
        <v/>
      </c>
      <c r="BH288" s="5">
        <f>IF(AND(BE288,ISNUMBER(correlation!$F$31)),BG288*correlation!$F$31+correlation!$G$31,"")</f>
        <v/>
      </c>
      <c r="BI288" s="5">
        <f>IF(AND(BE288,ISNUMBER(BH288)),(BF288-BH288)^2,"")</f>
        <v/>
      </c>
      <c r="BJ288" s="5">
        <f>IF(BE288,1+SUMPRODUCT(--(calc!$BE$3:$BE$306=TRUE),--(calc!$BF$3:$BF$306&gt;BF288))+(SUMPRODUCT(--(calc!$BE$3:$BE$306=TRUE),--(calc!$BF$3:$BF$306=BF288))-1)/2,"")</f>
        <v/>
      </c>
      <c r="BK288" s="5">
        <f>IF(BE288,1+SUMPRODUCT(--(calc!$BE$3:$BE$306=TRUE),--(calc!$BG$3:$BG$306&gt;BG288))+(SUMPRODUCT(--(calc!$BE$3:$BE$306=TRUE),--(calc!$BG$3:$BG$306=BG288))-1)/2,"")</f>
        <v/>
      </c>
      <c r="BL288" s="5">
        <f>IF(BE288,SUMPRODUCT(--(calc!$BE$3:$BE$306=TRUE),--(ROW(calc!$BE$3:$BE$306)&gt;ROW(BE288)),--(((calc!$BJ$3:$BJ$306&gt;BJ288)*(calc!$BK$3:$BK$306&gt;BK288)+(calc!$BJ$3:$BJ$306&lt;BJ288)*(calc!$BK$3:$BK$306&lt;BK288))&gt;0))-SUMPRODUCT(--(calc!$BE$3:$BE$306=TRUE),--(ROW(calc!$BE$3:$BE$306)&gt;ROW(BE288)),--(((calc!$BJ$3:$BJ$306&gt;BJ288)*(calc!$BK$3:$BK$306&lt;BK288)+(calc!$BJ$3:$BJ$306&lt;BJ288)*(calc!$BK$3:$BK$306&gt;BK288))&gt;0)),0)</f>
        <v/>
      </c>
      <c r="BM288" s="5">
        <f>IF(mos_metrics!M287="","",mos_metrics!M287)</f>
        <v/>
      </c>
      <c r="BN288" s="2">
        <f>AND($J288,ISNUMBER(BM288),correlation!$I$32=1)</f>
        <v/>
      </c>
      <c r="BO288" s="5">
        <f>IF(BN288,$F288,"")</f>
        <v/>
      </c>
      <c r="BP288" s="5">
        <f>IF(BN288,BM288*correlation!$J$32,"")</f>
        <v/>
      </c>
      <c r="BQ288" s="5">
        <f>IF(AND(BN288,ISNUMBER(correlation!$F$32)),BP288*correlation!$F$32+correlation!$G$32,"")</f>
        <v/>
      </c>
      <c r="BR288" s="5">
        <f>IF(AND(BN288,ISNUMBER(BQ288)),(BO288-BQ288)^2,"")</f>
        <v/>
      </c>
      <c r="BS288" s="5">
        <f>IF(BN288,1+SUMPRODUCT(--(calc!$BN$3:$BN$306=TRUE),--(calc!$BO$3:$BO$306&gt;BO288))+(SUMPRODUCT(--(calc!$BN$3:$BN$306=TRUE),--(calc!$BO$3:$BO$306=BO288))-1)/2,"")</f>
        <v/>
      </c>
      <c r="BT288" s="5">
        <f>IF(BN288,1+SUMPRODUCT(--(calc!$BN$3:$BN$306=TRUE),--(calc!$BP$3:$BP$306&gt;BP288))+(SUMPRODUCT(--(calc!$BN$3:$BN$306=TRUE),--(calc!$BP$3:$BP$306=BP288))-1)/2,"")</f>
        <v/>
      </c>
      <c r="BU288" s="5">
        <f>IF(BN288,SUMPRODUCT(--(calc!$BN$3:$BN$306=TRUE),--(ROW(calc!$BN$3:$BN$306)&gt;ROW(BN288)),--(((calc!$BS$3:$BS$306&gt;BS288)*(calc!$BT$3:$BT$306&gt;BT288)+(calc!$BS$3:$BS$306&lt;BS288)*(calc!$BT$3:$BT$306&lt;BT288))&gt;0))-SUMPRODUCT(--(calc!$BN$3:$BN$306=TRUE),--(ROW(calc!$BN$3:$BN$306)&gt;ROW(BN288)),--(((calc!$BS$3:$BS$306&gt;BS288)*(calc!$BT$3:$BT$306&lt;BT288)+(calc!$BS$3:$BS$306&lt;BS288)*(calc!$BT$3:$BT$306&gt;BT288))&gt;0)),0)</f>
        <v/>
      </c>
    </row>
    <row r="289">
      <c r="A289" s="2">
        <f>mos_metrics!A288</f>
        <v/>
      </c>
      <c r="B289" s="2">
        <f>mos_metrics!B288</f>
        <v/>
      </c>
      <c r="C289" s="2">
        <f>mos_metrics!C288</f>
        <v/>
      </c>
      <c r="D289" s="2">
        <f>mos_metrics!D288</f>
        <v/>
      </c>
      <c r="E289" s="2">
        <f>mos_metrics!E288</f>
        <v/>
      </c>
      <c r="F289" s="2">
        <f>mos_metrics!F288</f>
        <v/>
      </c>
      <c r="G289" s="2">
        <f>IF($B289="","",IFERROR(VLOOKUP($B289,correlation!$A$2:$B$16,2,FALSE),1))</f>
        <v/>
      </c>
      <c r="H289" s="2">
        <f>IF($E289="","",IFERROR(VLOOKUP($E289,correlation!$D$2:$E$8,2,FALSE),1))</f>
        <v/>
      </c>
      <c r="I289" s="2">
        <f>ISNUMBER($F289)</f>
        <v/>
      </c>
      <c r="J289" s="2">
        <f>AND($G289=1,$H289=1,$I289)</f>
        <v/>
      </c>
      <c r="K289" s="5">
        <f>IF(mos_metrics!G288="","",mos_metrics!G288)</f>
        <v/>
      </c>
      <c r="L289" s="2">
        <f>AND($J289,ISNUMBER(K289),correlation!$I$26=1)</f>
        <v/>
      </c>
      <c r="M289" s="5">
        <f>IF(L289,$F289,"")</f>
        <v/>
      </c>
      <c r="N289" s="5">
        <f>IF(L289,K289*correlation!$J$26,"")</f>
        <v/>
      </c>
      <c r="O289" s="5">
        <f>IF(AND(L289,ISNUMBER(correlation!$F$26)),N289*correlation!$F$26+correlation!$G$26,"")</f>
        <v/>
      </c>
      <c r="P289" s="5">
        <f>IF(AND(L289,ISNUMBER(O289)),(M289-O289)^2,"")</f>
        <v/>
      </c>
      <c r="Q289" s="5">
        <f>IF(L289,1+SUMPRODUCT(--(calc!$L$3:$L$306=TRUE),--(calc!$M$3:$M$306&gt;M289))+(SUMPRODUCT(--(calc!$L$3:$L$306=TRUE),--(calc!$M$3:$M$306=M289))-1)/2,"")</f>
        <v/>
      </c>
      <c r="R289" s="5">
        <f>IF(L289,1+SUMPRODUCT(--(calc!$L$3:$L$306=TRUE),--(calc!$N$3:$N$306&gt;N289))+(SUMPRODUCT(--(calc!$L$3:$L$306=TRUE),--(calc!$N$3:$N$306=N289))-1)/2,"")</f>
        <v/>
      </c>
      <c r="S289" s="5">
        <f>IF(L289,SUMPRODUCT(--(calc!$L$3:$L$306=TRUE),--(ROW(calc!$L$3:$L$306)&gt;ROW(L289)),--(((calc!$Q$3:$Q$306&gt;Q289)*(calc!$R$3:$R$306&gt;R289)+(calc!$Q$3:$Q$306&lt;Q289)*(calc!$R$3:$R$306&lt;R289))&gt;0))-SUMPRODUCT(--(calc!$L$3:$L$306=TRUE),--(ROW(calc!$L$3:$L$306)&gt;ROW(L289)),--(((calc!$Q$3:$Q$306&gt;Q289)*(calc!$R$3:$R$306&lt;R289)+(calc!$Q$3:$Q$306&lt;Q289)*(calc!$R$3:$R$306&gt;R289))&gt;0)),0)</f>
        <v/>
      </c>
      <c r="T289" s="5">
        <f>IF(mos_metrics!H288="","",mos_metrics!H288)</f>
        <v/>
      </c>
      <c r="U289" s="2">
        <f>AND($J289,ISNUMBER(T289),correlation!$I$27=1)</f>
        <v/>
      </c>
      <c r="V289" s="5">
        <f>IF(U289,$F289,"")</f>
        <v/>
      </c>
      <c r="W289" s="5">
        <f>IF(U289,T289*correlation!$J$27,"")</f>
        <v/>
      </c>
      <c r="X289" s="5">
        <f>IF(AND(U289,ISNUMBER(correlation!$F$27)),W289*correlation!$F$27+correlation!$G$27,"")</f>
        <v/>
      </c>
      <c r="Y289" s="5">
        <f>IF(AND(U289,ISNUMBER(X289)),(V289-X289)^2,"")</f>
        <v/>
      </c>
      <c r="Z289" s="5">
        <f>IF(U289,1+SUMPRODUCT(--(calc!$U$3:$U$306=TRUE),--(calc!$V$3:$V$306&gt;V289))+(SUMPRODUCT(--(calc!$U$3:$U$306=TRUE),--(calc!$V$3:$V$306=V289))-1)/2,"")</f>
        <v/>
      </c>
      <c r="AA289" s="5">
        <f>IF(U289,1+SUMPRODUCT(--(calc!$U$3:$U$306=TRUE),--(calc!$W$3:$W$306&gt;W289))+(SUMPRODUCT(--(calc!$U$3:$U$306=TRUE),--(calc!$W$3:$W$306=W289))-1)/2,"")</f>
        <v/>
      </c>
      <c r="AB289" s="5">
        <f>IF(U289,SUMPRODUCT(--(calc!$U$3:$U$306=TRUE),--(ROW(calc!$U$3:$U$306)&gt;ROW(U289)),--(((calc!$Z$3:$Z$306&gt;Z289)*(calc!$AA$3:$AA$306&gt;AA289)+(calc!$Z$3:$Z$306&lt;Z289)*(calc!$AA$3:$AA$306&lt;AA289))&gt;0))-SUMPRODUCT(--(calc!$U$3:$U$306=TRUE),--(ROW(calc!$U$3:$U$306)&gt;ROW(U289)),--(((calc!$Z$3:$Z$306&gt;Z289)*(calc!$AA$3:$AA$306&lt;AA289)+(calc!$Z$3:$Z$306&lt;Z289)*(calc!$AA$3:$AA$306&gt;AA289))&gt;0)),0)</f>
        <v/>
      </c>
      <c r="AC289" s="5">
        <f>IF(mos_metrics!I288="","",mos_metrics!I288)</f>
        <v/>
      </c>
      <c r="AD289" s="2">
        <f>AND($J289,ISNUMBER(AC289),correlation!$I$28=1)</f>
        <v/>
      </c>
      <c r="AE289" s="5">
        <f>IF(AD289,$F289,"")</f>
        <v/>
      </c>
      <c r="AF289" s="5">
        <f>IF(AD289,AC289*correlation!$J$28,"")</f>
        <v/>
      </c>
      <c r="AG289" s="5">
        <f>IF(AND(AD289,ISNUMBER(correlation!$F$28)),AF289*correlation!$F$28+correlation!$G$28,"")</f>
        <v/>
      </c>
      <c r="AH289" s="5">
        <f>IF(AND(AD289,ISNUMBER(AG289)),(AE289-AG289)^2,"")</f>
        <v/>
      </c>
      <c r="AI289" s="5">
        <f>IF(AD289,1+SUMPRODUCT(--(calc!$AD$3:$AD$306=TRUE),--(calc!$AE$3:$AE$306&gt;AE289))+(SUMPRODUCT(--(calc!$AD$3:$AD$306=TRUE),--(calc!$AE$3:$AE$306=AE289))-1)/2,"")</f>
        <v/>
      </c>
      <c r="AJ289" s="5">
        <f>IF(AD289,1+SUMPRODUCT(--(calc!$AD$3:$AD$306=TRUE),--(calc!$AF$3:$AF$306&gt;AF289))+(SUMPRODUCT(--(calc!$AD$3:$AD$306=TRUE),--(calc!$AF$3:$AF$306=AF289))-1)/2,"")</f>
        <v/>
      </c>
      <c r="AK289" s="5">
        <f>IF(AD289,SUMPRODUCT(--(calc!$AD$3:$AD$306=TRUE),--(ROW(calc!$AD$3:$AD$306)&gt;ROW(AD289)),--(((calc!$AI$3:$AI$306&gt;AI289)*(calc!$AJ$3:$AJ$306&gt;AJ289)+(calc!$AI$3:$AI$306&lt;AI289)*(calc!$AJ$3:$AJ$306&lt;AJ289))&gt;0))-SUMPRODUCT(--(calc!$AD$3:$AD$306=TRUE),--(ROW(calc!$AD$3:$AD$306)&gt;ROW(AD289)),--(((calc!$AI$3:$AI$306&gt;AI289)*(calc!$AJ$3:$AJ$306&lt;AJ289)+(calc!$AI$3:$AI$306&lt;AI289)*(calc!$AJ$3:$AJ$306&gt;AJ289))&gt;0)),0)</f>
        <v/>
      </c>
      <c r="AL289" s="5">
        <f>IF(mos_metrics!J288="","",mos_metrics!J288)</f>
        <v/>
      </c>
      <c r="AM289" s="2">
        <f>AND($J289,ISNUMBER(AL289),correlation!$I$29=1)</f>
        <v/>
      </c>
      <c r="AN289" s="5">
        <f>IF(AM289,$F289,"")</f>
        <v/>
      </c>
      <c r="AO289" s="5">
        <f>IF(AM289,AL289*correlation!$J$29,"")</f>
        <v/>
      </c>
      <c r="AP289" s="5">
        <f>IF(AND(AM289,ISNUMBER(correlation!$F$29)),AO289*correlation!$F$29+correlation!$G$29,"")</f>
        <v/>
      </c>
      <c r="AQ289" s="5">
        <f>IF(AND(AM289,ISNUMBER(AP289)),(AN289-AP289)^2,"")</f>
        <v/>
      </c>
      <c r="AR289" s="5">
        <f>IF(AM289,1+SUMPRODUCT(--(calc!$AM$3:$AM$306=TRUE),--(calc!$AN$3:$AN$306&gt;AN289))+(SUMPRODUCT(--(calc!$AM$3:$AM$306=TRUE),--(calc!$AN$3:$AN$306=AN289))-1)/2,"")</f>
        <v/>
      </c>
      <c r="AS289" s="5">
        <f>IF(AM289,1+SUMPRODUCT(--(calc!$AM$3:$AM$306=TRUE),--(calc!$AO$3:$AO$306&gt;AO289))+(SUMPRODUCT(--(calc!$AM$3:$AM$306=TRUE),--(calc!$AO$3:$AO$306=AO289))-1)/2,"")</f>
        <v/>
      </c>
      <c r="AT289" s="5">
        <f>IF(AM289,SUMPRODUCT(--(calc!$AM$3:$AM$306=TRUE),--(ROW(calc!$AM$3:$AM$306)&gt;ROW(AM289)),--(((calc!$AR$3:$AR$306&gt;AR289)*(calc!$AS$3:$AS$306&gt;AS289)+(calc!$AR$3:$AR$306&lt;AR289)*(calc!$AS$3:$AS$306&lt;AS289))&gt;0))-SUMPRODUCT(--(calc!$AM$3:$AM$306=TRUE),--(ROW(calc!$AM$3:$AM$306)&gt;ROW(AM289)),--(((calc!$AR$3:$AR$306&gt;AR289)*(calc!$AS$3:$AS$306&lt;AS289)+(calc!$AR$3:$AR$306&lt;AR289)*(calc!$AS$3:$AS$306&gt;AS289))&gt;0)),0)</f>
        <v/>
      </c>
      <c r="AU289" s="5">
        <f>IF(mos_metrics!K288="","",mos_metrics!K288)</f>
        <v/>
      </c>
      <c r="AV289" s="2">
        <f>AND($J289,ISNUMBER(AU289),correlation!$I$30=1)</f>
        <v/>
      </c>
      <c r="AW289" s="5">
        <f>IF(AV289,$F289,"")</f>
        <v/>
      </c>
      <c r="AX289" s="5">
        <f>IF(AV289,AU289*correlation!$J$30,"")</f>
        <v/>
      </c>
      <c r="AY289" s="5">
        <f>IF(AND(AV289,ISNUMBER(correlation!$F$30)),AX289*correlation!$F$30+correlation!$G$30,"")</f>
        <v/>
      </c>
      <c r="AZ289" s="5">
        <f>IF(AND(AV289,ISNUMBER(AY289)),(AW289-AY289)^2,"")</f>
        <v/>
      </c>
      <c r="BA289" s="5">
        <f>IF(AV289,1+SUMPRODUCT(--(calc!$AV$3:$AV$306=TRUE),--(calc!$AW$3:$AW$306&gt;AW289))+(SUMPRODUCT(--(calc!$AV$3:$AV$306=TRUE),--(calc!$AW$3:$AW$306=AW289))-1)/2,"")</f>
        <v/>
      </c>
      <c r="BB289" s="5">
        <f>IF(AV289,1+SUMPRODUCT(--(calc!$AV$3:$AV$306=TRUE),--(calc!$AX$3:$AX$306&gt;AX289))+(SUMPRODUCT(--(calc!$AV$3:$AV$306=TRUE),--(calc!$AX$3:$AX$306=AX289))-1)/2,"")</f>
        <v/>
      </c>
      <c r="BC289" s="5">
        <f>IF(AV289,SUMPRODUCT(--(calc!$AV$3:$AV$306=TRUE),--(ROW(calc!$AV$3:$AV$306)&gt;ROW(AV289)),--(((calc!$BA$3:$BA$306&gt;BA289)*(calc!$BB$3:$BB$306&gt;BB289)+(calc!$BA$3:$BA$306&lt;BA289)*(calc!$BB$3:$BB$306&lt;BB289))&gt;0))-SUMPRODUCT(--(calc!$AV$3:$AV$306=TRUE),--(ROW(calc!$AV$3:$AV$306)&gt;ROW(AV289)),--(((calc!$BA$3:$BA$306&gt;BA289)*(calc!$BB$3:$BB$306&lt;BB289)+(calc!$BA$3:$BA$306&lt;BA289)*(calc!$BB$3:$BB$306&gt;BB289))&gt;0)),0)</f>
        <v/>
      </c>
      <c r="BD289" s="5">
        <f>IF(mos_metrics!L288="","",mos_metrics!L288)</f>
        <v/>
      </c>
      <c r="BE289" s="2">
        <f>AND($J289,ISNUMBER(BD289),correlation!$I$31=1)</f>
        <v/>
      </c>
      <c r="BF289" s="5">
        <f>IF(BE289,$F289,"")</f>
        <v/>
      </c>
      <c r="BG289" s="5">
        <f>IF(BE289,BD289*correlation!$J$31,"")</f>
        <v/>
      </c>
      <c r="BH289" s="5">
        <f>IF(AND(BE289,ISNUMBER(correlation!$F$31)),BG289*correlation!$F$31+correlation!$G$31,"")</f>
        <v/>
      </c>
      <c r="BI289" s="5">
        <f>IF(AND(BE289,ISNUMBER(BH289)),(BF289-BH289)^2,"")</f>
        <v/>
      </c>
      <c r="BJ289" s="5">
        <f>IF(BE289,1+SUMPRODUCT(--(calc!$BE$3:$BE$306=TRUE),--(calc!$BF$3:$BF$306&gt;BF289))+(SUMPRODUCT(--(calc!$BE$3:$BE$306=TRUE),--(calc!$BF$3:$BF$306=BF289))-1)/2,"")</f>
        <v/>
      </c>
      <c r="BK289" s="5">
        <f>IF(BE289,1+SUMPRODUCT(--(calc!$BE$3:$BE$306=TRUE),--(calc!$BG$3:$BG$306&gt;BG289))+(SUMPRODUCT(--(calc!$BE$3:$BE$306=TRUE),--(calc!$BG$3:$BG$306=BG289))-1)/2,"")</f>
        <v/>
      </c>
      <c r="BL289" s="5">
        <f>IF(BE289,SUMPRODUCT(--(calc!$BE$3:$BE$306=TRUE),--(ROW(calc!$BE$3:$BE$306)&gt;ROW(BE289)),--(((calc!$BJ$3:$BJ$306&gt;BJ289)*(calc!$BK$3:$BK$306&gt;BK289)+(calc!$BJ$3:$BJ$306&lt;BJ289)*(calc!$BK$3:$BK$306&lt;BK289))&gt;0))-SUMPRODUCT(--(calc!$BE$3:$BE$306=TRUE),--(ROW(calc!$BE$3:$BE$306)&gt;ROW(BE289)),--(((calc!$BJ$3:$BJ$306&gt;BJ289)*(calc!$BK$3:$BK$306&lt;BK289)+(calc!$BJ$3:$BJ$306&lt;BJ289)*(calc!$BK$3:$BK$306&gt;BK289))&gt;0)),0)</f>
        <v/>
      </c>
      <c r="BM289" s="5">
        <f>IF(mos_metrics!M288="","",mos_metrics!M288)</f>
        <v/>
      </c>
      <c r="BN289" s="2">
        <f>AND($J289,ISNUMBER(BM289),correlation!$I$32=1)</f>
        <v/>
      </c>
      <c r="BO289" s="5">
        <f>IF(BN289,$F289,"")</f>
        <v/>
      </c>
      <c r="BP289" s="5">
        <f>IF(BN289,BM289*correlation!$J$32,"")</f>
        <v/>
      </c>
      <c r="BQ289" s="5">
        <f>IF(AND(BN289,ISNUMBER(correlation!$F$32)),BP289*correlation!$F$32+correlation!$G$32,"")</f>
        <v/>
      </c>
      <c r="BR289" s="5">
        <f>IF(AND(BN289,ISNUMBER(BQ289)),(BO289-BQ289)^2,"")</f>
        <v/>
      </c>
      <c r="BS289" s="5">
        <f>IF(BN289,1+SUMPRODUCT(--(calc!$BN$3:$BN$306=TRUE),--(calc!$BO$3:$BO$306&gt;BO289))+(SUMPRODUCT(--(calc!$BN$3:$BN$306=TRUE),--(calc!$BO$3:$BO$306=BO289))-1)/2,"")</f>
        <v/>
      </c>
      <c r="BT289" s="5">
        <f>IF(BN289,1+SUMPRODUCT(--(calc!$BN$3:$BN$306=TRUE),--(calc!$BP$3:$BP$306&gt;BP289))+(SUMPRODUCT(--(calc!$BN$3:$BN$306=TRUE),--(calc!$BP$3:$BP$306=BP289))-1)/2,"")</f>
        <v/>
      </c>
      <c r="BU289" s="5">
        <f>IF(BN289,SUMPRODUCT(--(calc!$BN$3:$BN$306=TRUE),--(ROW(calc!$BN$3:$BN$306)&gt;ROW(BN289)),--(((calc!$BS$3:$BS$306&gt;BS289)*(calc!$BT$3:$BT$306&gt;BT289)+(calc!$BS$3:$BS$306&lt;BS289)*(calc!$BT$3:$BT$306&lt;BT289))&gt;0))-SUMPRODUCT(--(calc!$BN$3:$BN$306=TRUE),--(ROW(calc!$BN$3:$BN$306)&gt;ROW(BN289)),--(((calc!$BS$3:$BS$306&gt;BS289)*(calc!$BT$3:$BT$306&lt;BT289)+(calc!$BS$3:$BS$306&lt;BS289)*(calc!$BT$3:$BT$306&gt;BT289))&gt;0)),0)</f>
        <v/>
      </c>
    </row>
    <row r="290">
      <c r="A290" s="2">
        <f>mos_metrics!A289</f>
        <v/>
      </c>
      <c r="B290" s="2">
        <f>mos_metrics!B289</f>
        <v/>
      </c>
      <c r="C290" s="2">
        <f>mos_metrics!C289</f>
        <v/>
      </c>
      <c r="D290" s="2">
        <f>mos_metrics!D289</f>
        <v/>
      </c>
      <c r="E290" s="2">
        <f>mos_metrics!E289</f>
        <v/>
      </c>
      <c r="F290" s="2">
        <f>mos_metrics!F289</f>
        <v/>
      </c>
      <c r="G290" s="2">
        <f>IF($B290="","",IFERROR(VLOOKUP($B290,correlation!$A$2:$B$16,2,FALSE),1))</f>
        <v/>
      </c>
      <c r="H290" s="2">
        <f>IF($E290="","",IFERROR(VLOOKUP($E290,correlation!$D$2:$E$8,2,FALSE),1))</f>
        <v/>
      </c>
      <c r="I290" s="2">
        <f>ISNUMBER($F290)</f>
        <v/>
      </c>
      <c r="J290" s="2">
        <f>AND($G290=1,$H290=1,$I290)</f>
        <v/>
      </c>
      <c r="K290" s="5">
        <f>IF(mos_metrics!G289="","",mos_metrics!G289)</f>
        <v/>
      </c>
      <c r="L290" s="2">
        <f>AND($J290,ISNUMBER(K290),correlation!$I$26=1)</f>
        <v/>
      </c>
      <c r="M290" s="5">
        <f>IF(L290,$F290,"")</f>
        <v/>
      </c>
      <c r="N290" s="5">
        <f>IF(L290,K290*correlation!$J$26,"")</f>
        <v/>
      </c>
      <c r="O290" s="5">
        <f>IF(AND(L290,ISNUMBER(correlation!$F$26)),N290*correlation!$F$26+correlation!$G$26,"")</f>
        <v/>
      </c>
      <c r="P290" s="5">
        <f>IF(AND(L290,ISNUMBER(O290)),(M290-O290)^2,"")</f>
        <v/>
      </c>
      <c r="Q290" s="5">
        <f>IF(L290,1+SUMPRODUCT(--(calc!$L$3:$L$306=TRUE),--(calc!$M$3:$M$306&gt;M290))+(SUMPRODUCT(--(calc!$L$3:$L$306=TRUE),--(calc!$M$3:$M$306=M290))-1)/2,"")</f>
        <v/>
      </c>
      <c r="R290" s="5">
        <f>IF(L290,1+SUMPRODUCT(--(calc!$L$3:$L$306=TRUE),--(calc!$N$3:$N$306&gt;N290))+(SUMPRODUCT(--(calc!$L$3:$L$306=TRUE),--(calc!$N$3:$N$306=N290))-1)/2,"")</f>
        <v/>
      </c>
      <c r="S290" s="5">
        <f>IF(L290,SUMPRODUCT(--(calc!$L$3:$L$306=TRUE),--(ROW(calc!$L$3:$L$306)&gt;ROW(L290)),--(((calc!$Q$3:$Q$306&gt;Q290)*(calc!$R$3:$R$306&gt;R290)+(calc!$Q$3:$Q$306&lt;Q290)*(calc!$R$3:$R$306&lt;R290))&gt;0))-SUMPRODUCT(--(calc!$L$3:$L$306=TRUE),--(ROW(calc!$L$3:$L$306)&gt;ROW(L290)),--(((calc!$Q$3:$Q$306&gt;Q290)*(calc!$R$3:$R$306&lt;R290)+(calc!$Q$3:$Q$306&lt;Q290)*(calc!$R$3:$R$306&gt;R290))&gt;0)),0)</f>
        <v/>
      </c>
      <c r="T290" s="5">
        <f>IF(mos_metrics!H289="","",mos_metrics!H289)</f>
        <v/>
      </c>
      <c r="U290" s="2">
        <f>AND($J290,ISNUMBER(T290),correlation!$I$27=1)</f>
        <v/>
      </c>
      <c r="V290" s="5">
        <f>IF(U290,$F290,"")</f>
        <v/>
      </c>
      <c r="W290" s="5">
        <f>IF(U290,T290*correlation!$J$27,"")</f>
        <v/>
      </c>
      <c r="X290" s="5">
        <f>IF(AND(U290,ISNUMBER(correlation!$F$27)),W290*correlation!$F$27+correlation!$G$27,"")</f>
        <v/>
      </c>
      <c r="Y290" s="5">
        <f>IF(AND(U290,ISNUMBER(X290)),(V290-X290)^2,"")</f>
        <v/>
      </c>
      <c r="Z290" s="5">
        <f>IF(U290,1+SUMPRODUCT(--(calc!$U$3:$U$306=TRUE),--(calc!$V$3:$V$306&gt;V290))+(SUMPRODUCT(--(calc!$U$3:$U$306=TRUE),--(calc!$V$3:$V$306=V290))-1)/2,"")</f>
        <v/>
      </c>
      <c r="AA290" s="5">
        <f>IF(U290,1+SUMPRODUCT(--(calc!$U$3:$U$306=TRUE),--(calc!$W$3:$W$306&gt;W290))+(SUMPRODUCT(--(calc!$U$3:$U$306=TRUE),--(calc!$W$3:$W$306=W290))-1)/2,"")</f>
        <v/>
      </c>
      <c r="AB290" s="5">
        <f>IF(U290,SUMPRODUCT(--(calc!$U$3:$U$306=TRUE),--(ROW(calc!$U$3:$U$306)&gt;ROW(U290)),--(((calc!$Z$3:$Z$306&gt;Z290)*(calc!$AA$3:$AA$306&gt;AA290)+(calc!$Z$3:$Z$306&lt;Z290)*(calc!$AA$3:$AA$306&lt;AA290))&gt;0))-SUMPRODUCT(--(calc!$U$3:$U$306=TRUE),--(ROW(calc!$U$3:$U$306)&gt;ROW(U290)),--(((calc!$Z$3:$Z$306&gt;Z290)*(calc!$AA$3:$AA$306&lt;AA290)+(calc!$Z$3:$Z$306&lt;Z290)*(calc!$AA$3:$AA$306&gt;AA290))&gt;0)),0)</f>
        <v/>
      </c>
      <c r="AC290" s="5">
        <f>IF(mos_metrics!I289="","",mos_metrics!I289)</f>
        <v/>
      </c>
      <c r="AD290" s="2">
        <f>AND($J290,ISNUMBER(AC290),correlation!$I$28=1)</f>
        <v/>
      </c>
      <c r="AE290" s="5">
        <f>IF(AD290,$F290,"")</f>
        <v/>
      </c>
      <c r="AF290" s="5">
        <f>IF(AD290,AC290*correlation!$J$28,"")</f>
        <v/>
      </c>
      <c r="AG290" s="5">
        <f>IF(AND(AD290,ISNUMBER(correlation!$F$28)),AF290*correlation!$F$28+correlation!$G$28,"")</f>
        <v/>
      </c>
      <c r="AH290" s="5">
        <f>IF(AND(AD290,ISNUMBER(AG290)),(AE290-AG290)^2,"")</f>
        <v/>
      </c>
      <c r="AI290" s="5">
        <f>IF(AD290,1+SUMPRODUCT(--(calc!$AD$3:$AD$306=TRUE),--(calc!$AE$3:$AE$306&gt;AE290))+(SUMPRODUCT(--(calc!$AD$3:$AD$306=TRUE),--(calc!$AE$3:$AE$306=AE290))-1)/2,"")</f>
        <v/>
      </c>
      <c r="AJ290" s="5">
        <f>IF(AD290,1+SUMPRODUCT(--(calc!$AD$3:$AD$306=TRUE),--(calc!$AF$3:$AF$306&gt;AF290))+(SUMPRODUCT(--(calc!$AD$3:$AD$306=TRUE),--(calc!$AF$3:$AF$306=AF290))-1)/2,"")</f>
        <v/>
      </c>
      <c r="AK290" s="5">
        <f>IF(AD290,SUMPRODUCT(--(calc!$AD$3:$AD$306=TRUE),--(ROW(calc!$AD$3:$AD$306)&gt;ROW(AD290)),--(((calc!$AI$3:$AI$306&gt;AI290)*(calc!$AJ$3:$AJ$306&gt;AJ290)+(calc!$AI$3:$AI$306&lt;AI290)*(calc!$AJ$3:$AJ$306&lt;AJ290))&gt;0))-SUMPRODUCT(--(calc!$AD$3:$AD$306=TRUE),--(ROW(calc!$AD$3:$AD$306)&gt;ROW(AD290)),--(((calc!$AI$3:$AI$306&gt;AI290)*(calc!$AJ$3:$AJ$306&lt;AJ290)+(calc!$AI$3:$AI$306&lt;AI290)*(calc!$AJ$3:$AJ$306&gt;AJ290))&gt;0)),0)</f>
        <v/>
      </c>
      <c r="AL290" s="5">
        <f>IF(mos_metrics!J289="","",mos_metrics!J289)</f>
        <v/>
      </c>
      <c r="AM290" s="2">
        <f>AND($J290,ISNUMBER(AL290),correlation!$I$29=1)</f>
        <v/>
      </c>
      <c r="AN290" s="5">
        <f>IF(AM290,$F290,"")</f>
        <v/>
      </c>
      <c r="AO290" s="5">
        <f>IF(AM290,AL290*correlation!$J$29,"")</f>
        <v/>
      </c>
      <c r="AP290" s="5">
        <f>IF(AND(AM290,ISNUMBER(correlation!$F$29)),AO290*correlation!$F$29+correlation!$G$29,"")</f>
        <v/>
      </c>
      <c r="AQ290" s="5">
        <f>IF(AND(AM290,ISNUMBER(AP290)),(AN290-AP290)^2,"")</f>
        <v/>
      </c>
      <c r="AR290" s="5">
        <f>IF(AM290,1+SUMPRODUCT(--(calc!$AM$3:$AM$306=TRUE),--(calc!$AN$3:$AN$306&gt;AN290))+(SUMPRODUCT(--(calc!$AM$3:$AM$306=TRUE),--(calc!$AN$3:$AN$306=AN290))-1)/2,"")</f>
        <v/>
      </c>
      <c r="AS290" s="5">
        <f>IF(AM290,1+SUMPRODUCT(--(calc!$AM$3:$AM$306=TRUE),--(calc!$AO$3:$AO$306&gt;AO290))+(SUMPRODUCT(--(calc!$AM$3:$AM$306=TRUE),--(calc!$AO$3:$AO$306=AO290))-1)/2,"")</f>
        <v/>
      </c>
      <c r="AT290" s="5">
        <f>IF(AM290,SUMPRODUCT(--(calc!$AM$3:$AM$306=TRUE),--(ROW(calc!$AM$3:$AM$306)&gt;ROW(AM290)),--(((calc!$AR$3:$AR$306&gt;AR290)*(calc!$AS$3:$AS$306&gt;AS290)+(calc!$AR$3:$AR$306&lt;AR290)*(calc!$AS$3:$AS$306&lt;AS290))&gt;0))-SUMPRODUCT(--(calc!$AM$3:$AM$306=TRUE),--(ROW(calc!$AM$3:$AM$306)&gt;ROW(AM290)),--(((calc!$AR$3:$AR$306&gt;AR290)*(calc!$AS$3:$AS$306&lt;AS290)+(calc!$AR$3:$AR$306&lt;AR290)*(calc!$AS$3:$AS$306&gt;AS290))&gt;0)),0)</f>
        <v/>
      </c>
      <c r="AU290" s="5">
        <f>IF(mos_metrics!K289="","",mos_metrics!K289)</f>
        <v/>
      </c>
      <c r="AV290" s="2">
        <f>AND($J290,ISNUMBER(AU290),correlation!$I$30=1)</f>
        <v/>
      </c>
      <c r="AW290" s="5">
        <f>IF(AV290,$F290,"")</f>
        <v/>
      </c>
      <c r="AX290" s="5">
        <f>IF(AV290,AU290*correlation!$J$30,"")</f>
        <v/>
      </c>
      <c r="AY290" s="5">
        <f>IF(AND(AV290,ISNUMBER(correlation!$F$30)),AX290*correlation!$F$30+correlation!$G$30,"")</f>
        <v/>
      </c>
      <c r="AZ290" s="5">
        <f>IF(AND(AV290,ISNUMBER(AY290)),(AW290-AY290)^2,"")</f>
        <v/>
      </c>
      <c r="BA290" s="5">
        <f>IF(AV290,1+SUMPRODUCT(--(calc!$AV$3:$AV$306=TRUE),--(calc!$AW$3:$AW$306&gt;AW290))+(SUMPRODUCT(--(calc!$AV$3:$AV$306=TRUE),--(calc!$AW$3:$AW$306=AW290))-1)/2,"")</f>
        <v/>
      </c>
      <c r="BB290" s="5">
        <f>IF(AV290,1+SUMPRODUCT(--(calc!$AV$3:$AV$306=TRUE),--(calc!$AX$3:$AX$306&gt;AX290))+(SUMPRODUCT(--(calc!$AV$3:$AV$306=TRUE),--(calc!$AX$3:$AX$306=AX290))-1)/2,"")</f>
        <v/>
      </c>
      <c r="BC290" s="5">
        <f>IF(AV290,SUMPRODUCT(--(calc!$AV$3:$AV$306=TRUE),--(ROW(calc!$AV$3:$AV$306)&gt;ROW(AV290)),--(((calc!$BA$3:$BA$306&gt;BA290)*(calc!$BB$3:$BB$306&gt;BB290)+(calc!$BA$3:$BA$306&lt;BA290)*(calc!$BB$3:$BB$306&lt;BB290))&gt;0))-SUMPRODUCT(--(calc!$AV$3:$AV$306=TRUE),--(ROW(calc!$AV$3:$AV$306)&gt;ROW(AV290)),--(((calc!$BA$3:$BA$306&gt;BA290)*(calc!$BB$3:$BB$306&lt;BB290)+(calc!$BA$3:$BA$306&lt;BA290)*(calc!$BB$3:$BB$306&gt;BB290))&gt;0)),0)</f>
        <v/>
      </c>
      <c r="BD290" s="5">
        <f>IF(mos_metrics!L289="","",mos_metrics!L289)</f>
        <v/>
      </c>
      <c r="BE290" s="2">
        <f>AND($J290,ISNUMBER(BD290),correlation!$I$31=1)</f>
        <v/>
      </c>
      <c r="BF290" s="5">
        <f>IF(BE290,$F290,"")</f>
        <v/>
      </c>
      <c r="BG290" s="5">
        <f>IF(BE290,BD290*correlation!$J$31,"")</f>
        <v/>
      </c>
      <c r="BH290" s="5">
        <f>IF(AND(BE290,ISNUMBER(correlation!$F$31)),BG290*correlation!$F$31+correlation!$G$31,"")</f>
        <v/>
      </c>
      <c r="BI290" s="5">
        <f>IF(AND(BE290,ISNUMBER(BH290)),(BF290-BH290)^2,"")</f>
        <v/>
      </c>
      <c r="BJ290" s="5">
        <f>IF(BE290,1+SUMPRODUCT(--(calc!$BE$3:$BE$306=TRUE),--(calc!$BF$3:$BF$306&gt;BF290))+(SUMPRODUCT(--(calc!$BE$3:$BE$306=TRUE),--(calc!$BF$3:$BF$306=BF290))-1)/2,"")</f>
        <v/>
      </c>
      <c r="BK290" s="5">
        <f>IF(BE290,1+SUMPRODUCT(--(calc!$BE$3:$BE$306=TRUE),--(calc!$BG$3:$BG$306&gt;BG290))+(SUMPRODUCT(--(calc!$BE$3:$BE$306=TRUE),--(calc!$BG$3:$BG$306=BG290))-1)/2,"")</f>
        <v/>
      </c>
      <c r="BL290" s="5">
        <f>IF(BE290,SUMPRODUCT(--(calc!$BE$3:$BE$306=TRUE),--(ROW(calc!$BE$3:$BE$306)&gt;ROW(BE290)),--(((calc!$BJ$3:$BJ$306&gt;BJ290)*(calc!$BK$3:$BK$306&gt;BK290)+(calc!$BJ$3:$BJ$306&lt;BJ290)*(calc!$BK$3:$BK$306&lt;BK290))&gt;0))-SUMPRODUCT(--(calc!$BE$3:$BE$306=TRUE),--(ROW(calc!$BE$3:$BE$306)&gt;ROW(BE290)),--(((calc!$BJ$3:$BJ$306&gt;BJ290)*(calc!$BK$3:$BK$306&lt;BK290)+(calc!$BJ$3:$BJ$306&lt;BJ290)*(calc!$BK$3:$BK$306&gt;BK290))&gt;0)),0)</f>
        <v/>
      </c>
      <c r="BM290" s="5">
        <f>IF(mos_metrics!M289="","",mos_metrics!M289)</f>
        <v/>
      </c>
      <c r="BN290" s="2">
        <f>AND($J290,ISNUMBER(BM290),correlation!$I$32=1)</f>
        <v/>
      </c>
      <c r="BO290" s="5">
        <f>IF(BN290,$F290,"")</f>
        <v/>
      </c>
      <c r="BP290" s="5">
        <f>IF(BN290,BM290*correlation!$J$32,"")</f>
        <v/>
      </c>
      <c r="BQ290" s="5">
        <f>IF(AND(BN290,ISNUMBER(correlation!$F$32)),BP290*correlation!$F$32+correlation!$G$32,"")</f>
        <v/>
      </c>
      <c r="BR290" s="5">
        <f>IF(AND(BN290,ISNUMBER(BQ290)),(BO290-BQ290)^2,"")</f>
        <v/>
      </c>
      <c r="BS290" s="5">
        <f>IF(BN290,1+SUMPRODUCT(--(calc!$BN$3:$BN$306=TRUE),--(calc!$BO$3:$BO$306&gt;BO290))+(SUMPRODUCT(--(calc!$BN$3:$BN$306=TRUE),--(calc!$BO$3:$BO$306=BO290))-1)/2,"")</f>
        <v/>
      </c>
      <c r="BT290" s="5">
        <f>IF(BN290,1+SUMPRODUCT(--(calc!$BN$3:$BN$306=TRUE),--(calc!$BP$3:$BP$306&gt;BP290))+(SUMPRODUCT(--(calc!$BN$3:$BN$306=TRUE),--(calc!$BP$3:$BP$306=BP290))-1)/2,"")</f>
        <v/>
      </c>
      <c r="BU290" s="5">
        <f>IF(BN290,SUMPRODUCT(--(calc!$BN$3:$BN$306=TRUE),--(ROW(calc!$BN$3:$BN$306)&gt;ROW(BN290)),--(((calc!$BS$3:$BS$306&gt;BS290)*(calc!$BT$3:$BT$306&gt;BT290)+(calc!$BS$3:$BS$306&lt;BS290)*(calc!$BT$3:$BT$306&lt;BT290))&gt;0))-SUMPRODUCT(--(calc!$BN$3:$BN$306=TRUE),--(ROW(calc!$BN$3:$BN$306)&gt;ROW(BN290)),--(((calc!$BS$3:$BS$306&gt;BS290)*(calc!$BT$3:$BT$306&lt;BT290)+(calc!$BS$3:$BS$306&lt;BS290)*(calc!$BT$3:$BT$306&gt;BT290))&gt;0)),0)</f>
        <v/>
      </c>
    </row>
    <row r="291">
      <c r="A291" s="2">
        <f>mos_metrics!A290</f>
        <v/>
      </c>
      <c r="B291" s="2">
        <f>mos_metrics!B290</f>
        <v/>
      </c>
      <c r="C291" s="2">
        <f>mos_metrics!C290</f>
        <v/>
      </c>
      <c r="D291" s="2">
        <f>mos_metrics!D290</f>
        <v/>
      </c>
      <c r="E291" s="2">
        <f>mos_metrics!E290</f>
        <v/>
      </c>
      <c r="F291" s="2">
        <f>mos_metrics!F290</f>
        <v/>
      </c>
      <c r="G291" s="2">
        <f>IF($B291="","",IFERROR(VLOOKUP($B291,correlation!$A$2:$B$16,2,FALSE),1))</f>
        <v/>
      </c>
      <c r="H291" s="2">
        <f>IF($E291="","",IFERROR(VLOOKUP($E291,correlation!$D$2:$E$8,2,FALSE),1))</f>
        <v/>
      </c>
      <c r="I291" s="2">
        <f>ISNUMBER($F291)</f>
        <v/>
      </c>
      <c r="J291" s="2">
        <f>AND($G291=1,$H291=1,$I291)</f>
        <v/>
      </c>
      <c r="K291" s="5">
        <f>IF(mos_metrics!G290="","",mos_metrics!G290)</f>
        <v/>
      </c>
      <c r="L291" s="2">
        <f>AND($J291,ISNUMBER(K291),correlation!$I$26=1)</f>
        <v/>
      </c>
      <c r="M291" s="5">
        <f>IF(L291,$F291,"")</f>
        <v/>
      </c>
      <c r="N291" s="5">
        <f>IF(L291,K291*correlation!$J$26,"")</f>
        <v/>
      </c>
      <c r="O291" s="5">
        <f>IF(AND(L291,ISNUMBER(correlation!$F$26)),N291*correlation!$F$26+correlation!$G$26,"")</f>
        <v/>
      </c>
      <c r="P291" s="5">
        <f>IF(AND(L291,ISNUMBER(O291)),(M291-O291)^2,"")</f>
        <v/>
      </c>
      <c r="Q291" s="5">
        <f>IF(L291,1+SUMPRODUCT(--(calc!$L$3:$L$306=TRUE),--(calc!$M$3:$M$306&gt;M291))+(SUMPRODUCT(--(calc!$L$3:$L$306=TRUE),--(calc!$M$3:$M$306=M291))-1)/2,"")</f>
        <v/>
      </c>
      <c r="R291" s="5">
        <f>IF(L291,1+SUMPRODUCT(--(calc!$L$3:$L$306=TRUE),--(calc!$N$3:$N$306&gt;N291))+(SUMPRODUCT(--(calc!$L$3:$L$306=TRUE),--(calc!$N$3:$N$306=N291))-1)/2,"")</f>
        <v/>
      </c>
      <c r="S291" s="5">
        <f>IF(L291,SUMPRODUCT(--(calc!$L$3:$L$306=TRUE),--(ROW(calc!$L$3:$L$306)&gt;ROW(L291)),--(((calc!$Q$3:$Q$306&gt;Q291)*(calc!$R$3:$R$306&gt;R291)+(calc!$Q$3:$Q$306&lt;Q291)*(calc!$R$3:$R$306&lt;R291))&gt;0))-SUMPRODUCT(--(calc!$L$3:$L$306=TRUE),--(ROW(calc!$L$3:$L$306)&gt;ROW(L291)),--(((calc!$Q$3:$Q$306&gt;Q291)*(calc!$R$3:$R$306&lt;R291)+(calc!$Q$3:$Q$306&lt;Q291)*(calc!$R$3:$R$306&gt;R291))&gt;0)),0)</f>
        <v/>
      </c>
      <c r="T291" s="5">
        <f>IF(mos_metrics!H290="","",mos_metrics!H290)</f>
        <v/>
      </c>
      <c r="U291" s="2">
        <f>AND($J291,ISNUMBER(T291),correlation!$I$27=1)</f>
        <v/>
      </c>
      <c r="V291" s="5">
        <f>IF(U291,$F291,"")</f>
        <v/>
      </c>
      <c r="W291" s="5">
        <f>IF(U291,T291*correlation!$J$27,"")</f>
        <v/>
      </c>
      <c r="X291" s="5">
        <f>IF(AND(U291,ISNUMBER(correlation!$F$27)),W291*correlation!$F$27+correlation!$G$27,"")</f>
        <v/>
      </c>
      <c r="Y291" s="5">
        <f>IF(AND(U291,ISNUMBER(X291)),(V291-X291)^2,"")</f>
        <v/>
      </c>
      <c r="Z291" s="5">
        <f>IF(U291,1+SUMPRODUCT(--(calc!$U$3:$U$306=TRUE),--(calc!$V$3:$V$306&gt;V291))+(SUMPRODUCT(--(calc!$U$3:$U$306=TRUE),--(calc!$V$3:$V$306=V291))-1)/2,"")</f>
        <v/>
      </c>
      <c r="AA291" s="5">
        <f>IF(U291,1+SUMPRODUCT(--(calc!$U$3:$U$306=TRUE),--(calc!$W$3:$W$306&gt;W291))+(SUMPRODUCT(--(calc!$U$3:$U$306=TRUE),--(calc!$W$3:$W$306=W291))-1)/2,"")</f>
        <v/>
      </c>
      <c r="AB291" s="5">
        <f>IF(U291,SUMPRODUCT(--(calc!$U$3:$U$306=TRUE),--(ROW(calc!$U$3:$U$306)&gt;ROW(U291)),--(((calc!$Z$3:$Z$306&gt;Z291)*(calc!$AA$3:$AA$306&gt;AA291)+(calc!$Z$3:$Z$306&lt;Z291)*(calc!$AA$3:$AA$306&lt;AA291))&gt;0))-SUMPRODUCT(--(calc!$U$3:$U$306=TRUE),--(ROW(calc!$U$3:$U$306)&gt;ROW(U291)),--(((calc!$Z$3:$Z$306&gt;Z291)*(calc!$AA$3:$AA$306&lt;AA291)+(calc!$Z$3:$Z$306&lt;Z291)*(calc!$AA$3:$AA$306&gt;AA291))&gt;0)),0)</f>
        <v/>
      </c>
      <c r="AC291" s="5">
        <f>IF(mos_metrics!I290="","",mos_metrics!I290)</f>
        <v/>
      </c>
      <c r="AD291" s="2">
        <f>AND($J291,ISNUMBER(AC291),correlation!$I$28=1)</f>
        <v/>
      </c>
      <c r="AE291" s="5">
        <f>IF(AD291,$F291,"")</f>
        <v/>
      </c>
      <c r="AF291" s="5">
        <f>IF(AD291,AC291*correlation!$J$28,"")</f>
        <v/>
      </c>
      <c r="AG291" s="5">
        <f>IF(AND(AD291,ISNUMBER(correlation!$F$28)),AF291*correlation!$F$28+correlation!$G$28,"")</f>
        <v/>
      </c>
      <c r="AH291" s="5">
        <f>IF(AND(AD291,ISNUMBER(AG291)),(AE291-AG291)^2,"")</f>
        <v/>
      </c>
      <c r="AI291" s="5">
        <f>IF(AD291,1+SUMPRODUCT(--(calc!$AD$3:$AD$306=TRUE),--(calc!$AE$3:$AE$306&gt;AE291))+(SUMPRODUCT(--(calc!$AD$3:$AD$306=TRUE),--(calc!$AE$3:$AE$306=AE291))-1)/2,"")</f>
        <v/>
      </c>
      <c r="AJ291" s="5">
        <f>IF(AD291,1+SUMPRODUCT(--(calc!$AD$3:$AD$306=TRUE),--(calc!$AF$3:$AF$306&gt;AF291))+(SUMPRODUCT(--(calc!$AD$3:$AD$306=TRUE),--(calc!$AF$3:$AF$306=AF291))-1)/2,"")</f>
        <v/>
      </c>
      <c r="AK291" s="5">
        <f>IF(AD291,SUMPRODUCT(--(calc!$AD$3:$AD$306=TRUE),--(ROW(calc!$AD$3:$AD$306)&gt;ROW(AD291)),--(((calc!$AI$3:$AI$306&gt;AI291)*(calc!$AJ$3:$AJ$306&gt;AJ291)+(calc!$AI$3:$AI$306&lt;AI291)*(calc!$AJ$3:$AJ$306&lt;AJ291))&gt;0))-SUMPRODUCT(--(calc!$AD$3:$AD$306=TRUE),--(ROW(calc!$AD$3:$AD$306)&gt;ROW(AD291)),--(((calc!$AI$3:$AI$306&gt;AI291)*(calc!$AJ$3:$AJ$306&lt;AJ291)+(calc!$AI$3:$AI$306&lt;AI291)*(calc!$AJ$3:$AJ$306&gt;AJ291))&gt;0)),0)</f>
        <v/>
      </c>
      <c r="AL291" s="5">
        <f>IF(mos_metrics!J290="","",mos_metrics!J290)</f>
        <v/>
      </c>
      <c r="AM291" s="2">
        <f>AND($J291,ISNUMBER(AL291),correlation!$I$29=1)</f>
        <v/>
      </c>
      <c r="AN291" s="5">
        <f>IF(AM291,$F291,"")</f>
        <v/>
      </c>
      <c r="AO291" s="5">
        <f>IF(AM291,AL291*correlation!$J$29,"")</f>
        <v/>
      </c>
      <c r="AP291" s="5">
        <f>IF(AND(AM291,ISNUMBER(correlation!$F$29)),AO291*correlation!$F$29+correlation!$G$29,"")</f>
        <v/>
      </c>
      <c r="AQ291" s="5">
        <f>IF(AND(AM291,ISNUMBER(AP291)),(AN291-AP291)^2,"")</f>
        <v/>
      </c>
      <c r="AR291" s="5">
        <f>IF(AM291,1+SUMPRODUCT(--(calc!$AM$3:$AM$306=TRUE),--(calc!$AN$3:$AN$306&gt;AN291))+(SUMPRODUCT(--(calc!$AM$3:$AM$306=TRUE),--(calc!$AN$3:$AN$306=AN291))-1)/2,"")</f>
        <v/>
      </c>
      <c r="AS291" s="5">
        <f>IF(AM291,1+SUMPRODUCT(--(calc!$AM$3:$AM$306=TRUE),--(calc!$AO$3:$AO$306&gt;AO291))+(SUMPRODUCT(--(calc!$AM$3:$AM$306=TRUE),--(calc!$AO$3:$AO$306=AO291))-1)/2,"")</f>
        <v/>
      </c>
      <c r="AT291" s="5">
        <f>IF(AM291,SUMPRODUCT(--(calc!$AM$3:$AM$306=TRUE),--(ROW(calc!$AM$3:$AM$306)&gt;ROW(AM291)),--(((calc!$AR$3:$AR$306&gt;AR291)*(calc!$AS$3:$AS$306&gt;AS291)+(calc!$AR$3:$AR$306&lt;AR291)*(calc!$AS$3:$AS$306&lt;AS291))&gt;0))-SUMPRODUCT(--(calc!$AM$3:$AM$306=TRUE),--(ROW(calc!$AM$3:$AM$306)&gt;ROW(AM291)),--(((calc!$AR$3:$AR$306&gt;AR291)*(calc!$AS$3:$AS$306&lt;AS291)+(calc!$AR$3:$AR$306&lt;AR291)*(calc!$AS$3:$AS$306&gt;AS291))&gt;0)),0)</f>
        <v/>
      </c>
      <c r="AU291" s="5">
        <f>IF(mos_metrics!K290="","",mos_metrics!K290)</f>
        <v/>
      </c>
      <c r="AV291" s="2">
        <f>AND($J291,ISNUMBER(AU291),correlation!$I$30=1)</f>
        <v/>
      </c>
      <c r="AW291" s="5">
        <f>IF(AV291,$F291,"")</f>
        <v/>
      </c>
      <c r="AX291" s="5">
        <f>IF(AV291,AU291*correlation!$J$30,"")</f>
        <v/>
      </c>
      <c r="AY291" s="5">
        <f>IF(AND(AV291,ISNUMBER(correlation!$F$30)),AX291*correlation!$F$30+correlation!$G$30,"")</f>
        <v/>
      </c>
      <c r="AZ291" s="5">
        <f>IF(AND(AV291,ISNUMBER(AY291)),(AW291-AY291)^2,"")</f>
        <v/>
      </c>
      <c r="BA291" s="5">
        <f>IF(AV291,1+SUMPRODUCT(--(calc!$AV$3:$AV$306=TRUE),--(calc!$AW$3:$AW$306&gt;AW291))+(SUMPRODUCT(--(calc!$AV$3:$AV$306=TRUE),--(calc!$AW$3:$AW$306=AW291))-1)/2,"")</f>
        <v/>
      </c>
      <c r="BB291" s="5">
        <f>IF(AV291,1+SUMPRODUCT(--(calc!$AV$3:$AV$306=TRUE),--(calc!$AX$3:$AX$306&gt;AX291))+(SUMPRODUCT(--(calc!$AV$3:$AV$306=TRUE),--(calc!$AX$3:$AX$306=AX291))-1)/2,"")</f>
        <v/>
      </c>
      <c r="BC291" s="5">
        <f>IF(AV291,SUMPRODUCT(--(calc!$AV$3:$AV$306=TRUE),--(ROW(calc!$AV$3:$AV$306)&gt;ROW(AV291)),--(((calc!$BA$3:$BA$306&gt;BA291)*(calc!$BB$3:$BB$306&gt;BB291)+(calc!$BA$3:$BA$306&lt;BA291)*(calc!$BB$3:$BB$306&lt;BB291))&gt;0))-SUMPRODUCT(--(calc!$AV$3:$AV$306=TRUE),--(ROW(calc!$AV$3:$AV$306)&gt;ROW(AV291)),--(((calc!$BA$3:$BA$306&gt;BA291)*(calc!$BB$3:$BB$306&lt;BB291)+(calc!$BA$3:$BA$306&lt;BA291)*(calc!$BB$3:$BB$306&gt;BB291))&gt;0)),0)</f>
        <v/>
      </c>
      <c r="BD291" s="5">
        <f>IF(mos_metrics!L290="","",mos_metrics!L290)</f>
        <v/>
      </c>
      <c r="BE291" s="2">
        <f>AND($J291,ISNUMBER(BD291),correlation!$I$31=1)</f>
        <v/>
      </c>
      <c r="BF291" s="5">
        <f>IF(BE291,$F291,"")</f>
        <v/>
      </c>
      <c r="BG291" s="5">
        <f>IF(BE291,BD291*correlation!$J$31,"")</f>
        <v/>
      </c>
      <c r="BH291" s="5">
        <f>IF(AND(BE291,ISNUMBER(correlation!$F$31)),BG291*correlation!$F$31+correlation!$G$31,"")</f>
        <v/>
      </c>
      <c r="BI291" s="5">
        <f>IF(AND(BE291,ISNUMBER(BH291)),(BF291-BH291)^2,"")</f>
        <v/>
      </c>
      <c r="BJ291" s="5">
        <f>IF(BE291,1+SUMPRODUCT(--(calc!$BE$3:$BE$306=TRUE),--(calc!$BF$3:$BF$306&gt;BF291))+(SUMPRODUCT(--(calc!$BE$3:$BE$306=TRUE),--(calc!$BF$3:$BF$306=BF291))-1)/2,"")</f>
        <v/>
      </c>
      <c r="BK291" s="5">
        <f>IF(BE291,1+SUMPRODUCT(--(calc!$BE$3:$BE$306=TRUE),--(calc!$BG$3:$BG$306&gt;BG291))+(SUMPRODUCT(--(calc!$BE$3:$BE$306=TRUE),--(calc!$BG$3:$BG$306=BG291))-1)/2,"")</f>
        <v/>
      </c>
      <c r="BL291" s="5">
        <f>IF(BE291,SUMPRODUCT(--(calc!$BE$3:$BE$306=TRUE),--(ROW(calc!$BE$3:$BE$306)&gt;ROW(BE291)),--(((calc!$BJ$3:$BJ$306&gt;BJ291)*(calc!$BK$3:$BK$306&gt;BK291)+(calc!$BJ$3:$BJ$306&lt;BJ291)*(calc!$BK$3:$BK$306&lt;BK291))&gt;0))-SUMPRODUCT(--(calc!$BE$3:$BE$306=TRUE),--(ROW(calc!$BE$3:$BE$306)&gt;ROW(BE291)),--(((calc!$BJ$3:$BJ$306&gt;BJ291)*(calc!$BK$3:$BK$306&lt;BK291)+(calc!$BJ$3:$BJ$306&lt;BJ291)*(calc!$BK$3:$BK$306&gt;BK291))&gt;0)),0)</f>
        <v/>
      </c>
      <c r="BM291" s="5">
        <f>IF(mos_metrics!M290="","",mos_metrics!M290)</f>
        <v/>
      </c>
      <c r="BN291" s="2">
        <f>AND($J291,ISNUMBER(BM291),correlation!$I$32=1)</f>
        <v/>
      </c>
      <c r="BO291" s="5">
        <f>IF(BN291,$F291,"")</f>
        <v/>
      </c>
      <c r="BP291" s="5">
        <f>IF(BN291,BM291*correlation!$J$32,"")</f>
        <v/>
      </c>
      <c r="BQ291" s="5">
        <f>IF(AND(BN291,ISNUMBER(correlation!$F$32)),BP291*correlation!$F$32+correlation!$G$32,"")</f>
        <v/>
      </c>
      <c r="BR291" s="5">
        <f>IF(AND(BN291,ISNUMBER(BQ291)),(BO291-BQ291)^2,"")</f>
        <v/>
      </c>
      <c r="BS291" s="5">
        <f>IF(BN291,1+SUMPRODUCT(--(calc!$BN$3:$BN$306=TRUE),--(calc!$BO$3:$BO$306&gt;BO291))+(SUMPRODUCT(--(calc!$BN$3:$BN$306=TRUE),--(calc!$BO$3:$BO$306=BO291))-1)/2,"")</f>
        <v/>
      </c>
      <c r="BT291" s="5">
        <f>IF(BN291,1+SUMPRODUCT(--(calc!$BN$3:$BN$306=TRUE),--(calc!$BP$3:$BP$306&gt;BP291))+(SUMPRODUCT(--(calc!$BN$3:$BN$306=TRUE),--(calc!$BP$3:$BP$306=BP291))-1)/2,"")</f>
        <v/>
      </c>
      <c r="BU291" s="5">
        <f>IF(BN291,SUMPRODUCT(--(calc!$BN$3:$BN$306=TRUE),--(ROW(calc!$BN$3:$BN$306)&gt;ROW(BN291)),--(((calc!$BS$3:$BS$306&gt;BS291)*(calc!$BT$3:$BT$306&gt;BT291)+(calc!$BS$3:$BS$306&lt;BS291)*(calc!$BT$3:$BT$306&lt;BT291))&gt;0))-SUMPRODUCT(--(calc!$BN$3:$BN$306=TRUE),--(ROW(calc!$BN$3:$BN$306)&gt;ROW(BN291)),--(((calc!$BS$3:$BS$306&gt;BS291)*(calc!$BT$3:$BT$306&lt;BT291)+(calc!$BS$3:$BS$306&lt;BS291)*(calc!$BT$3:$BT$306&gt;BT291))&gt;0)),0)</f>
        <v/>
      </c>
    </row>
    <row r="292">
      <c r="A292" s="2">
        <f>mos_metrics!A291</f>
        <v/>
      </c>
      <c r="B292" s="2">
        <f>mos_metrics!B291</f>
        <v/>
      </c>
      <c r="C292" s="2">
        <f>mos_metrics!C291</f>
        <v/>
      </c>
      <c r="D292" s="2">
        <f>mos_metrics!D291</f>
        <v/>
      </c>
      <c r="E292" s="2">
        <f>mos_metrics!E291</f>
        <v/>
      </c>
      <c r="F292" s="2">
        <f>mos_metrics!F291</f>
        <v/>
      </c>
      <c r="G292" s="2">
        <f>IF($B292="","",IFERROR(VLOOKUP($B292,correlation!$A$2:$B$16,2,FALSE),1))</f>
        <v/>
      </c>
      <c r="H292" s="2">
        <f>IF($E292="","",IFERROR(VLOOKUP($E292,correlation!$D$2:$E$8,2,FALSE),1))</f>
        <v/>
      </c>
      <c r="I292" s="2">
        <f>ISNUMBER($F292)</f>
        <v/>
      </c>
      <c r="J292" s="2">
        <f>AND($G292=1,$H292=1,$I292)</f>
        <v/>
      </c>
      <c r="K292" s="5">
        <f>IF(mos_metrics!G291="","",mos_metrics!G291)</f>
        <v/>
      </c>
      <c r="L292" s="2">
        <f>AND($J292,ISNUMBER(K292),correlation!$I$26=1)</f>
        <v/>
      </c>
      <c r="M292" s="5">
        <f>IF(L292,$F292,"")</f>
        <v/>
      </c>
      <c r="N292" s="5">
        <f>IF(L292,K292*correlation!$J$26,"")</f>
        <v/>
      </c>
      <c r="O292" s="5">
        <f>IF(AND(L292,ISNUMBER(correlation!$F$26)),N292*correlation!$F$26+correlation!$G$26,"")</f>
        <v/>
      </c>
      <c r="P292" s="5">
        <f>IF(AND(L292,ISNUMBER(O292)),(M292-O292)^2,"")</f>
        <v/>
      </c>
      <c r="Q292" s="5">
        <f>IF(L292,1+SUMPRODUCT(--(calc!$L$3:$L$306=TRUE),--(calc!$M$3:$M$306&gt;M292))+(SUMPRODUCT(--(calc!$L$3:$L$306=TRUE),--(calc!$M$3:$M$306=M292))-1)/2,"")</f>
        <v/>
      </c>
      <c r="R292" s="5">
        <f>IF(L292,1+SUMPRODUCT(--(calc!$L$3:$L$306=TRUE),--(calc!$N$3:$N$306&gt;N292))+(SUMPRODUCT(--(calc!$L$3:$L$306=TRUE),--(calc!$N$3:$N$306=N292))-1)/2,"")</f>
        <v/>
      </c>
      <c r="S292" s="5">
        <f>IF(L292,SUMPRODUCT(--(calc!$L$3:$L$306=TRUE),--(ROW(calc!$L$3:$L$306)&gt;ROW(L292)),--(((calc!$Q$3:$Q$306&gt;Q292)*(calc!$R$3:$R$306&gt;R292)+(calc!$Q$3:$Q$306&lt;Q292)*(calc!$R$3:$R$306&lt;R292))&gt;0))-SUMPRODUCT(--(calc!$L$3:$L$306=TRUE),--(ROW(calc!$L$3:$L$306)&gt;ROW(L292)),--(((calc!$Q$3:$Q$306&gt;Q292)*(calc!$R$3:$R$306&lt;R292)+(calc!$Q$3:$Q$306&lt;Q292)*(calc!$R$3:$R$306&gt;R292))&gt;0)),0)</f>
        <v/>
      </c>
      <c r="T292" s="5">
        <f>IF(mos_metrics!H291="","",mos_metrics!H291)</f>
        <v/>
      </c>
      <c r="U292" s="2">
        <f>AND($J292,ISNUMBER(T292),correlation!$I$27=1)</f>
        <v/>
      </c>
      <c r="V292" s="5">
        <f>IF(U292,$F292,"")</f>
        <v/>
      </c>
      <c r="W292" s="5">
        <f>IF(U292,T292*correlation!$J$27,"")</f>
        <v/>
      </c>
      <c r="X292" s="5">
        <f>IF(AND(U292,ISNUMBER(correlation!$F$27)),W292*correlation!$F$27+correlation!$G$27,"")</f>
        <v/>
      </c>
      <c r="Y292" s="5">
        <f>IF(AND(U292,ISNUMBER(X292)),(V292-X292)^2,"")</f>
        <v/>
      </c>
      <c r="Z292" s="5">
        <f>IF(U292,1+SUMPRODUCT(--(calc!$U$3:$U$306=TRUE),--(calc!$V$3:$V$306&gt;V292))+(SUMPRODUCT(--(calc!$U$3:$U$306=TRUE),--(calc!$V$3:$V$306=V292))-1)/2,"")</f>
        <v/>
      </c>
      <c r="AA292" s="5">
        <f>IF(U292,1+SUMPRODUCT(--(calc!$U$3:$U$306=TRUE),--(calc!$W$3:$W$306&gt;W292))+(SUMPRODUCT(--(calc!$U$3:$U$306=TRUE),--(calc!$W$3:$W$306=W292))-1)/2,"")</f>
        <v/>
      </c>
      <c r="AB292" s="5">
        <f>IF(U292,SUMPRODUCT(--(calc!$U$3:$U$306=TRUE),--(ROW(calc!$U$3:$U$306)&gt;ROW(U292)),--(((calc!$Z$3:$Z$306&gt;Z292)*(calc!$AA$3:$AA$306&gt;AA292)+(calc!$Z$3:$Z$306&lt;Z292)*(calc!$AA$3:$AA$306&lt;AA292))&gt;0))-SUMPRODUCT(--(calc!$U$3:$U$306=TRUE),--(ROW(calc!$U$3:$U$306)&gt;ROW(U292)),--(((calc!$Z$3:$Z$306&gt;Z292)*(calc!$AA$3:$AA$306&lt;AA292)+(calc!$Z$3:$Z$306&lt;Z292)*(calc!$AA$3:$AA$306&gt;AA292))&gt;0)),0)</f>
        <v/>
      </c>
      <c r="AC292" s="5">
        <f>IF(mos_metrics!I291="","",mos_metrics!I291)</f>
        <v/>
      </c>
      <c r="AD292" s="2">
        <f>AND($J292,ISNUMBER(AC292),correlation!$I$28=1)</f>
        <v/>
      </c>
      <c r="AE292" s="5">
        <f>IF(AD292,$F292,"")</f>
        <v/>
      </c>
      <c r="AF292" s="5">
        <f>IF(AD292,AC292*correlation!$J$28,"")</f>
        <v/>
      </c>
      <c r="AG292" s="5">
        <f>IF(AND(AD292,ISNUMBER(correlation!$F$28)),AF292*correlation!$F$28+correlation!$G$28,"")</f>
        <v/>
      </c>
      <c r="AH292" s="5">
        <f>IF(AND(AD292,ISNUMBER(AG292)),(AE292-AG292)^2,"")</f>
        <v/>
      </c>
      <c r="AI292" s="5">
        <f>IF(AD292,1+SUMPRODUCT(--(calc!$AD$3:$AD$306=TRUE),--(calc!$AE$3:$AE$306&gt;AE292))+(SUMPRODUCT(--(calc!$AD$3:$AD$306=TRUE),--(calc!$AE$3:$AE$306=AE292))-1)/2,"")</f>
        <v/>
      </c>
      <c r="AJ292" s="5">
        <f>IF(AD292,1+SUMPRODUCT(--(calc!$AD$3:$AD$306=TRUE),--(calc!$AF$3:$AF$306&gt;AF292))+(SUMPRODUCT(--(calc!$AD$3:$AD$306=TRUE),--(calc!$AF$3:$AF$306=AF292))-1)/2,"")</f>
        <v/>
      </c>
      <c r="AK292" s="5">
        <f>IF(AD292,SUMPRODUCT(--(calc!$AD$3:$AD$306=TRUE),--(ROW(calc!$AD$3:$AD$306)&gt;ROW(AD292)),--(((calc!$AI$3:$AI$306&gt;AI292)*(calc!$AJ$3:$AJ$306&gt;AJ292)+(calc!$AI$3:$AI$306&lt;AI292)*(calc!$AJ$3:$AJ$306&lt;AJ292))&gt;0))-SUMPRODUCT(--(calc!$AD$3:$AD$306=TRUE),--(ROW(calc!$AD$3:$AD$306)&gt;ROW(AD292)),--(((calc!$AI$3:$AI$306&gt;AI292)*(calc!$AJ$3:$AJ$306&lt;AJ292)+(calc!$AI$3:$AI$306&lt;AI292)*(calc!$AJ$3:$AJ$306&gt;AJ292))&gt;0)),0)</f>
        <v/>
      </c>
      <c r="AL292" s="5">
        <f>IF(mos_metrics!J291="","",mos_metrics!J291)</f>
        <v/>
      </c>
      <c r="AM292" s="2">
        <f>AND($J292,ISNUMBER(AL292),correlation!$I$29=1)</f>
        <v/>
      </c>
      <c r="AN292" s="5">
        <f>IF(AM292,$F292,"")</f>
        <v/>
      </c>
      <c r="AO292" s="5">
        <f>IF(AM292,AL292*correlation!$J$29,"")</f>
        <v/>
      </c>
      <c r="AP292" s="5">
        <f>IF(AND(AM292,ISNUMBER(correlation!$F$29)),AO292*correlation!$F$29+correlation!$G$29,"")</f>
        <v/>
      </c>
      <c r="AQ292" s="5">
        <f>IF(AND(AM292,ISNUMBER(AP292)),(AN292-AP292)^2,"")</f>
        <v/>
      </c>
      <c r="AR292" s="5">
        <f>IF(AM292,1+SUMPRODUCT(--(calc!$AM$3:$AM$306=TRUE),--(calc!$AN$3:$AN$306&gt;AN292))+(SUMPRODUCT(--(calc!$AM$3:$AM$306=TRUE),--(calc!$AN$3:$AN$306=AN292))-1)/2,"")</f>
        <v/>
      </c>
      <c r="AS292" s="5">
        <f>IF(AM292,1+SUMPRODUCT(--(calc!$AM$3:$AM$306=TRUE),--(calc!$AO$3:$AO$306&gt;AO292))+(SUMPRODUCT(--(calc!$AM$3:$AM$306=TRUE),--(calc!$AO$3:$AO$306=AO292))-1)/2,"")</f>
        <v/>
      </c>
      <c r="AT292" s="5">
        <f>IF(AM292,SUMPRODUCT(--(calc!$AM$3:$AM$306=TRUE),--(ROW(calc!$AM$3:$AM$306)&gt;ROW(AM292)),--(((calc!$AR$3:$AR$306&gt;AR292)*(calc!$AS$3:$AS$306&gt;AS292)+(calc!$AR$3:$AR$306&lt;AR292)*(calc!$AS$3:$AS$306&lt;AS292))&gt;0))-SUMPRODUCT(--(calc!$AM$3:$AM$306=TRUE),--(ROW(calc!$AM$3:$AM$306)&gt;ROW(AM292)),--(((calc!$AR$3:$AR$306&gt;AR292)*(calc!$AS$3:$AS$306&lt;AS292)+(calc!$AR$3:$AR$306&lt;AR292)*(calc!$AS$3:$AS$306&gt;AS292))&gt;0)),0)</f>
        <v/>
      </c>
      <c r="AU292" s="5">
        <f>IF(mos_metrics!K291="","",mos_metrics!K291)</f>
        <v/>
      </c>
      <c r="AV292" s="2">
        <f>AND($J292,ISNUMBER(AU292),correlation!$I$30=1)</f>
        <v/>
      </c>
      <c r="AW292" s="5">
        <f>IF(AV292,$F292,"")</f>
        <v/>
      </c>
      <c r="AX292" s="5">
        <f>IF(AV292,AU292*correlation!$J$30,"")</f>
        <v/>
      </c>
      <c r="AY292" s="5">
        <f>IF(AND(AV292,ISNUMBER(correlation!$F$30)),AX292*correlation!$F$30+correlation!$G$30,"")</f>
        <v/>
      </c>
      <c r="AZ292" s="5">
        <f>IF(AND(AV292,ISNUMBER(AY292)),(AW292-AY292)^2,"")</f>
        <v/>
      </c>
      <c r="BA292" s="5">
        <f>IF(AV292,1+SUMPRODUCT(--(calc!$AV$3:$AV$306=TRUE),--(calc!$AW$3:$AW$306&gt;AW292))+(SUMPRODUCT(--(calc!$AV$3:$AV$306=TRUE),--(calc!$AW$3:$AW$306=AW292))-1)/2,"")</f>
        <v/>
      </c>
      <c r="BB292" s="5">
        <f>IF(AV292,1+SUMPRODUCT(--(calc!$AV$3:$AV$306=TRUE),--(calc!$AX$3:$AX$306&gt;AX292))+(SUMPRODUCT(--(calc!$AV$3:$AV$306=TRUE),--(calc!$AX$3:$AX$306=AX292))-1)/2,"")</f>
        <v/>
      </c>
      <c r="BC292" s="5">
        <f>IF(AV292,SUMPRODUCT(--(calc!$AV$3:$AV$306=TRUE),--(ROW(calc!$AV$3:$AV$306)&gt;ROW(AV292)),--(((calc!$BA$3:$BA$306&gt;BA292)*(calc!$BB$3:$BB$306&gt;BB292)+(calc!$BA$3:$BA$306&lt;BA292)*(calc!$BB$3:$BB$306&lt;BB292))&gt;0))-SUMPRODUCT(--(calc!$AV$3:$AV$306=TRUE),--(ROW(calc!$AV$3:$AV$306)&gt;ROW(AV292)),--(((calc!$BA$3:$BA$306&gt;BA292)*(calc!$BB$3:$BB$306&lt;BB292)+(calc!$BA$3:$BA$306&lt;BA292)*(calc!$BB$3:$BB$306&gt;BB292))&gt;0)),0)</f>
        <v/>
      </c>
      <c r="BD292" s="5">
        <f>IF(mos_metrics!L291="","",mos_metrics!L291)</f>
        <v/>
      </c>
      <c r="BE292" s="2">
        <f>AND($J292,ISNUMBER(BD292),correlation!$I$31=1)</f>
        <v/>
      </c>
      <c r="BF292" s="5">
        <f>IF(BE292,$F292,"")</f>
        <v/>
      </c>
      <c r="BG292" s="5">
        <f>IF(BE292,BD292*correlation!$J$31,"")</f>
        <v/>
      </c>
      <c r="BH292" s="5">
        <f>IF(AND(BE292,ISNUMBER(correlation!$F$31)),BG292*correlation!$F$31+correlation!$G$31,"")</f>
        <v/>
      </c>
      <c r="BI292" s="5">
        <f>IF(AND(BE292,ISNUMBER(BH292)),(BF292-BH292)^2,"")</f>
        <v/>
      </c>
      <c r="BJ292" s="5">
        <f>IF(BE292,1+SUMPRODUCT(--(calc!$BE$3:$BE$306=TRUE),--(calc!$BF$3:$BF$306&gt;BF292))+(SUMPRODUCT(--(calc!$BE$3:$BE$306=TRUE),--(calc!$BF$3:$BF$306=BF292))-1)/2,"")</f>
        <v/>
      </c>
      <c r="BK292" s="5">
        <f>IF(BE292,1+SUMPRODUCT(--(calc!$BE$3:$BE$306=TRUE),--(calc!$BG$3:$BG$306&gt;BG292))+(SUMPRODUCT(--(calc!$BE$3:$BE$306=TRUE),--(calc!$BG$3:$BG$306=BG292))-1)/2,"")</f>
        <v/>
      </c>
      <c r="BL292" s="5">
        <f>IF(BE292,SUMPRODUCT(--(calc!$BE$3:$BE$306=TRUE),--(ROW(calc!$BE$3:$BE$306)&gt;ROW(BE292)),--(((calc!$BJ$3:$BJ$306&gt;BJ292)*(calc!$BK$3:$BK$306&gt;BK292)+(calc!$BJ$3:$BJ$306&lt;BJ292)*(calc!$BK$3:$BK$306&lt;BK292))&gt;0))-SUMPRODUCT(--(calc!$BE$3:$BE$306=TRUE),--(ROW(calc!$BE$3:$BE$306)&gt;ROW(BE292)),--(((calc!$BJ$3:$BJ$306&gt;BJ292)*(calc!$BK$3:$BK$306&lt;BK292)+(calc!$BJ$3:$BJ$306&lt;BJ292)*(calc!$BK$3:$BK$306&gt;BK292))&gt;0)),0)</f>
        <v/>
      </c>
      <c r="BM292" s="5">
        <f>IF(mos_metrics!M291="","",mos_metrics!M291)</f>
        <v/>
      </c>
      <c r="BN292" s="2">
        <f>AND($J292,ISNUMBER(BM292),correlation!$I$32=1)</f>
        <v/>
      </c>
      <c r="BO292" s="5">
        <f>IF(BN292,$F292,"")</f>
        <v/>
      </c>
      <c r="BP292" s="5">
        <f>IF(BN292,BM292*correlation!$J$32,"")</f>
        <v/>
      </c>
      <c r="BQ292" s="5">
        <f>IF(AND(BN292,ISNUMBER(correlation!$F$32)),BP292*correlation!$F$32+correlation!$G$32,"")</f>
        <v/>
      </c>
      <c r="BR292" s="5">
        <f>IF(AND(BN292,ISNUMBER(BQ292)),(BO292-BQ292)^2,"")</f>
        <v/>
      </c>
      <c r="BS292" s="5">
        <f>IF(BN292,1+SUMPRODUCT(--(calc!$BN$3:$BN$306=TRUE),--(calc!$BO$3:$BO$306&gt;BO292))+(SUMPRODUCT(--(calc!$BN$3:$BN$306=TRUE),--(calc!$BO$3:$BO$306=BO292))-1)/2,"")</f>
        <v/>
      </c>
      <c r="BT292" s="5">
        <f>IF(BN292,1+SUMPRODUCT(--(calc!$BN$3:$BN$306=TRUE),--(calc!$BP$3:$BP$306&gt;BP292))+(SUMPRODUCT(--(calc!$BN$3:$BN$306=TRUE),--(calc!$BP$3:$BP$306=BP292))-1)/2,"")</f>
        <v/>
      </c>
      <c r="BU292" s="5">
        <f>IF(BN292,SUMPRODUCT(--(calc!$BN$3:$BN$306=TRUE),--(ROW(calc!$BN$3:$BN$306)&gt;ROW(BN292)),--(((calc!$BS$3:$BS$306&gt;BS292)*(calc!$BT$3:$BT$306&gt;BT292)+(calc!$BS$3:$BS$306&lt;BS292)*(calc!$BT$3:$BT$306&lt;BT292))&gt;0))-SUMPRODUCT(--(calc!$BN$3:$BN$306=TRUE),--(ROW(calc!$BN$3:$BN$306)&gt;ROW(BN292)),--(((calc!$BS$3:$BS$306&gt;BS292)*(calc!$BT$3:$BT$306&lt;BT292)+(calc!$BS$3:$BS$306&lt;BS292)*(calc!$BT$3:$BT$306&gt;BT292))&gt;0)),0)</f>
        <v/>
      </c>
    </row>
    <row r="293">
      <c r="A293" s="2">
        <f>mos_metrics!A292</f>
        <v/>
      </c>
      <c r="B293" s="2">
        <f>mos_metrics!B292</f>
        <v/>
      </c>
      <c r="C293" s="2">
        <f>mos_metrics!C292</f>
        <v/>
      </c>
      <c r="D293" s="2">
        <f>mos_metrics!D292</f>
        <v/>
      </c>
      <c r="E293" s="2">
        <f>mos_metrics!E292</f>
        <v/>
      </c>
      <c r="F293" s="2">
        <f>mos_metrics!F292</f>
        <v/>
      </c>
      <c r="G293" s="2">
        <f>IF($B293="","",IFERROR(VLOOKUP($B293,correlation!$A$2:$B$16,2,FALSE),1))</f>
        <v/>
      </c>
      <c r="H293" s="2">
        <f>IF($E293="","",IFERROR(VLOOKUP($E293,correlation!$D$2:$E$8,2,FALSE),1))</f>
        <v/>
      </c>
      <c r="I293" s="2">
        <f>ISNUMBER($F293)</f>
        <v/>
      </c>
      <c r="J293" s="2">
        <f>AND($G293=1,$H293=1,$I293)</f>
        <v/>
      </c>
      <c r="K293" s="5">
        <f>IF(mos_metrics!G292="","",mos_metrics!G292)</f>
        <v/>
      </c>
      <c r="L293" s="2">
        <f>AND($J293,ISNUMBER(K293),correlation!$I$26=1)</f>
        <v/>
      </c>
      <c r="M293" s="5">
        <f>IF(L293,$F293,"")</f>
        <v/>
      </c>
      <c r="N293" s="5">
        <f>IF(L293,K293*correlation!$J$26,"")</f>
        <v/>
      </c>
      <c r="O293" s="5">
        <f>IF(AND(L293,ISNUMBER(correlation!$F$26)),N293*correlation!$F$26+correlation!$G$26,"")</f>
        <v/>
      </c>
      <c r="P293" s="5">
        <f>IF(AND(L293,ISNUMBER(O293)),(M293-O293)^2,"")</f>
        <v/>
      </c>
      <c r="Q293" s="5">
        <f>IF(L293,1+SUMPRODUCT(--(calc!$L$3:$L$306=TRUE),--(calc!$M$3:$M$306&gt;M293))+(SUMPRODUCT(--(calc!$L$3:$L$306=TRUE),--(calc!$M$3:$M$306=M293))-1)/2,"")</f>
        <v/>
      </c>
      <c r="R293" s="5">
        <f>IF(L293,1+SUMPRODUCT(--(calc!$L$3:$L$306=TRUE),--(calc!$N$3:$N$306&gt;N293))+(SUMPRODUCT(--(calc!$L$3:$L$306=TRUE),--(calc!$N$3:$N$306=N293))-1)/2,"")</f>
        <v/>
      </c>
      <c r="S293" s="5">
        <f>IF(L293,SUMPRODUCT(--(calc!$L$3:$L$306=TRUE),--(ROW(calc!$L$3:$L$306)&gt;ROW(L293)),--(((calc!$Q$3:$Q$306&gt;Q293)*(calc!$R$3:$R$306&gt;R293)+(calc!$Q$3:$Q$306&lt;Q293)*(calc!$R$3:$R$306&lt;R293))&gt;0))-SUMPRODUCT(--(calc!$L$3:$L$306=TRUE),--(ROW(calc!$L$3:$L$306)&gt;ROW(L293)),--(((calc!$Q$3:$Q$306&gt;Q293)*(calc!$R$3:$R$306&lt;R293)+(calc!$Q$3:$Q$306&lt;Q293)*(calc!$R$3:$R$306&gt;R293))&gt;0)),0)</f>
        <v/>
      </c>
      <c r="T293" s="5">
        <f>IF(mos_metrics!H292="","",mos_metrics!H292)</f>
        <v/>
      </c>
      <c r="U293" s="2">
        <f>AND($J293,ISNUMBER(T293),correlation!$I$27=1)</f>
        <v/>
      </c>
      <c r="V293" s="5">
        <f>IF(U293,$F293,"")</f>
        <v/>
      </c>
      <c r="W293" s="5">
        <f>IF(U293,T293*correlation!$J$27,"")</f>
        <v/>
      </c>
      <c r="X293" s="5">
        <f>IF(AND(U293,ISNUMBER(correlation!$F$27)),W293*correlation!$F$27+correlation!$G$27,"")</f>
        <v/>
      </c>
      <c r="Y293" s="5">
        <f>IF(AND(U293,ISNUMBER(X293)),(V293-X293)^2,"")</f>
        <v/>
      </c>
      <c r="Z293" s="5">
        <f>IF(U293,1+SUMPRODUCT(--(calc!$U$3:$U$306=TRUE),--(calc!$V$3:$V$306&gt;V293))+(SUMPRODUCT(--(calc!$U$3:$U$306=TRUE),--(calc!$V$3:$V$306=V293))-1)/2,"")</f>
        <v/>
      </c>
      <c r="AA293" s="5">
        <f>IF(U293,1+SUMPRODUCT(--(calc!$U$3:$U$306=TRUE),--(calc!$W$3:$W$306&gt;W293))+(SUMPRODUCT(--(calc!$U$3:$U$306=TRUE),--(calc!$W$3:$W$306=W293))-1)/2,"")</f>
        <v/>
      </c>
      <c r="AB293" s="5">
        <f>IF(U293,SUMPRODUCT(--(calc!$U$3:$U$306=TRUE),--(ROW(calc!$U$3:$U$306)&gt;ROW(U293)),--(((calc!$Z$3:$Z$306&gt;Z293)*(calc!$AA$3:$AA$306&gt;AA293)+(calc!$Z$3:$Z$306&lt;Z293)*(calc!$AA$3:$AA$306&lt;AA293))&gt;0))-SUMPRODUCT(--(calc!$U$3:$U$306=TRUE),--(ROW(calc!$U$3:$U$306)&gt;ROW(U293)),--(((calc!$Z$3:$Z$306&gt;Z293)*(calc!$AA$3:$AA$306&lt;AA293)+(calc!$Z$3:$Z$306&lt;Z293)*(calc!$AA$3:$AA$306&gt;AA293))&gt;0)),0)</f>
        <v/>
      </c>
      <c r="AC293" s="5">
        <f>IF(mos_metrics!I292="","",mos_metrics!I292)</f>
        <v/>
      </c>
      <c r="AD293" s="2">
        <f>AND($J293,ISNUMBER(AC293),correlation!$I$28=1)</f>
        <v/>
      </c>
      <c r="AE293" s="5">
        <f>IF(AD293,$F293,"")</f>
        <v/>
      </c>
      <c r="AF293" s="5">
        <f>IF(AD293,AC293*correlation!$J$28,"")</f>
        <v/>
      </c>
      <c r="AG293" s="5">
        <f>IF(AND(AD293,ISNUMBER(correlation!$F$28)),AF293*correlation!$F$28+correlation!$G$28,"")</f>
        <v/>
      </c>
      <c r="AH293" s="5">
        <f>IF(AND(AD293,ISNUMBER(AG293)),(AE293-AG293)^2,"")</f>
        <v/>
      </c>
      <c r="AI293" s="5">
        <f>IF(AD293,1+SUMPRODUCT(--(calc!$AD$3:$AD$306=TRUE),--(calc!$AE$3:$AE$306&gt;AE293))+(SUMPRODUCT(--(calc!$AD$3:$AD$306=TRUE),--(calc!$AE$3:$AE$306=AE293))-1)/2,"")</f>
        <v/>
      </c>
      <c r="AJ293" s="5">
        <f>IF(AD293,1+SUMPRODUCT(--(calc!$AD$3:$AD$306=TRUE),--(calc!$AF$3:$AF$306&gt;AF293))+(SUMPRODUCT(--(calc!$AD$3:$AD$306=TRUE),--(calc!$AF$3:$AF$306=AF293))-1)/2,"")</f>
        <v/>
      </c>
      <c r="AK293" s="5">
        <f>IF(AD293,SUMPRODUCT(--(calc!$AD$3:$AD$306=TRUE),--(ROW(calc!$AD$3:$AD$306)&gt;ROW(AD293)),--(((calc!$AI$3:$AI$306&gt;AI293)*(calc!$AJ$3:$AJ$306&gt;AJ293)+(calc!$AI$3:$AI$306&lt;AI293)*(calc!$AJ$3:$AJ$306&lt;AJ293))&gt;0))-SUMPRODUCT(--(calc!$AD$3:$AD$306=TRUE),--(ROW(calc!$AD$3:$AD$306)&gt;ROW(AD293)),--(((calc!$AI$3:$AI$306&gt;AI293)*(calc!$AJ$3:$AJ$306&lt;AJ293)+(calc!$AI$3:$AI$306&lt;AI293)*(calc!$AJ$3:$AJ$306&gt;AJ293))&gt;0)),0)</f>
        <v/>
      </c>
      <c r="AL293" s="5">
        <f>IF(mos_metrics!J292="","",mos_metrics!J292)</f>
        <v/>
      </c>
      <c r="AM293" s="2">
        <f>AND($J293,ISNUMBER(AL293),correlation!$I$29=1)</f>
        <v/>
      </c>
      <c r="AN293" s="5">
        <f>IF(AM293,$F293,"")</f>
        <v/>
      </c>
      <c r="AO293" s="5">
        <f>IF(AM293,AL293*correlation!$J$29,"")</f>
        <v/>
      </c>
      <c r="AP293" s="5">
        <f>IF(AND(AM293,ISNUMBER(correlation!$F$29)),AO293*correlation!$F$29+correlation!$G$29,"")</f>
        <v/>
      </c>
      <c r="AQ293" s="5">
        <f>IF(AND(AM293,ISNUMBER(AP293)),(AN293-AP293)^2,"")</f>
        <v/>
      </c>
      <c r="AR293" s="5">
        <f>IF(AM293,1+SUMPRODUCT(--(calc!$AM$3:$AM$306=TRUE),--(calc!$AN$3:$AN$306&gt;AN293))+(SUMPRODUCT(--(calc!$AM$3:$AM$306=TRUE),--(calc!$AN$3:$AN$306=AN293))-1)/2,"")</f>
        <v/>
      </c>
      <c r="AS293" s="5">
        <f>IF(AM293,1+SUMPRODUCT(--(calc!$AM$3:$AM$306=TRUE),--(calc!$AO$3:$AO$306&gt;AO293))+(SUMPRODUCT(--(calc!$AM$3:$AM$306=TRUE),--(calc!$AO$3:$AO$306=AO293))-1)/2,"")</f>
        <v/>
      </c>
      <c r="AT293" s="5">
        <f>IF(AM293,SUMPRODUCT(--(calc!$AM$3:$AM$306=TRUE),--(ROW(calc!$AM$3:$AM$306)&gt;ROW(AM293)),--(((calc!$AR$3:$AR$306&gt;AR293)*(calc!$AS$3:$AS$306&gt;AS293)+(calc!$AR$3:$AR$306&lt;AR293)*(calc!$AS$3:$AS$306&lt;AS293))&gt;0))-SUMPRODUCT(--(calc!$AM$3:$AM$306=TRUE),--(ROW(calc!$AM$3:$AM$306)&gt;ROW(AM293)),--(((calc!$AR$3:$AR$306&gt;AR293)*(calc!$AS$3:$AS$306&lt;AS293)+(calc!$AR$3:$AR$306&lt;AR293)*(calc!$AS$3:$AS$306&gt;AS293))&gt;0)),0)</f>
        <v/>
      </c>
      <c r="AU293" s="5">
        <f>IF(mos_metrics!K292="","",mos_metrics!K292)</f>
        <v/>
      </c>
      <c r="AV293" s="2">
        <f>AND($J293,ISNUMBER(AU293),correlation!$I$30=1)</f>
        <v/>
      </c>
      <c r="AW293" s="5">
        <f>IF(AV293,$F293,"")</f>
        <v/>
      </c>
      <c r="AX293" s="5">
        <f>IF(AV293,AU293*correlation!$J$30,"")</f>
        <v/>
      </c>
      <c r="AY293" s="5">
        <f>IF(AND(AV293,ISNUMBER(correlation!$F$30)),AX293*correlation!$F$30+correlation!$G$30,"")</f>
        <v/>
      </c>
      <c r="AZ293" s="5">
        <f>IF(AND(AV293,ISNUMBER(AY293)),(AW293-AY293)^2,"")</f>
        <v/>
      </c>
      <c r="BA293" s="5">
        <f>IF(AV293,1+SUMPRODUCT(--(calc!$AV$3:$AV$306=TRUE),--(calc!$AW$3:$AW$306&gt;AW293))+(SUMPRODUCT(--(calc!$AV$3:$AV$306=TRUE),--(calc!$AW$3:$AW$306=AW293))-1)/2,"")</f>
        <v/>
      </c>
      <c r="BB293" s="5">
        <f>IF(AV293,1+SUMPRODUCT(--(calc!$AV$3:$AV$306=TRUE),--(calc!$AX$3:$AX$306&gt;AX293))+(SUMPRODUCT(--(calc!$AV$3:$AV$306=TRUE),--(calc!$AX$3:$AX$306=AX293))-1)/2,"")</f>
        <v/>
      </c>
      <c r="BC293" s="5">
        <f>IF(AV293,SUMPRODUCT(--(calc!$AV$3:$AV$306=TRUE),--(ROW(calc!$AV$3:$AV$306)&gt;ROW(AV293)),--(((calc!$BA$3:$BA$306&gt;BA293)*(calc!$BB$3:$BB$306&gt;BB293)+(calc!$BA$3:$BA$306&lt;BA293)*(calc!$BB$3:$BB$306&lt;BB293))&gt;0))-SUMPRODUCT(--(calc!$AV$3:$AV$306=TRUE),--(ROW(calc!$AV$3:$AV$306)&gt;ROW(AV293)),--(((calc!$BA$3:$BA$306&gt;BA293)*(calc!$BB$3:$BB$306&lt;BB293)+(calc!$BA$3:$BA$306&lt;BA293)*(calc!$BB$3:$BB$306&gt;BB293))&gt;0)),0)</f>
        <v/>
      </c>
      <c r="BD293" s="5">
        <f>IF(mos_metrics!L292="","",mos_metrics!L292)</f>
        <v/>
      </c>
      <c r="BE293" s="2">
        <f>AND($J293,ISNUMBER(BD293),correlation!$I$31=1)</f>
        <v/>
      </c>
      <c r="BF293" s="5">
        <f>IF(BE293,$F293,"")</f>
        <v/>
      </c>
      <c r="BG293" s="5">
        <f>IF(BE293,BD293*correlation!$J$31,"")</f>
        <v/>
      </c>
      <c r="BH293" s="5">
        <f>IF(AND(BE293,ISNUMBER(correlation!$F$31)),BG293*correlation!$F$31+correlation!$G$31,"")</f>
        <v/>
      </c>
      <c r="BI293" s="5">
        <f>IF(AND(BE293,ISNUMBER(BH293)),(BF293-BH293)^2,"")</f>
        <v/>
      </c>
      <c r="BJ293" s="5">
        <f>IF(BE293,1+SUMPRODUCT(--(calc!$BE$3:$BE$306=TRUE),--(calc!$BF$3:$BF$306&gt;BF293))+(SUMPRODUCT(--(calc!$BE$3:$BE$306=TRUE),--(calc!$BF$3:$BF$306=BF293))-1)/2,"")</f>
        <v/>
      </c>
      <c r="BK293" s="5">
        <f>IF(BE293,1+SUMPRODUCT(--(calc!$BE$3:$BE$306=TRUE),--(calc!$BG$3:$BG$306&gt;BG293))+(SUMPRODUCT(--(calc!$BE$3:$BE$306=TRUE),--(calc!$BG$3:$BG$306=BG293))-1)/2,"")</f>
        <v/>
      </c>
      <c r="BL293" s="5">
        <f>IF(BE293,SUMPRODUCT(--(calc!$BE$3:$BE$306=TRUE),--(ROW(calc!$BE$3:$BE$306)&gt;ROW(BE293)),--(((calc!$BJ$3:$BJ$306&gt;BJ293)*(calc!$BK$3:$BK$306&gt;BK293)+(calc!$BJ$3:$BJ$306&lt;BJ293)*(calc!$BK$3:$BK$306&lt;BK293))&gt;0))-SUMPRODUCT(--(calc!$BE$3:$BE$306=TRUE),--(ROW(calc!$BE$3:$BE$306)&gt;ROW(BE293)),--(((calc!$BJ$3:$BJ$306&gt;BJ293)*(calc!$BK$3:$BK$306&lt;BK293)+(calc!$BJ$3:$BJ$306&lt;BJ293)*(calc!$BK$3:$BK$306&gt;BK293))&gt;0)),0)</f>
        <v/>
      </c>
      <c r="BM293" s="5">
        <f>IF(mos_metrics!M292="","",mos_metrics!M292)</f>
        <v/>
      </c>
      <c r="BN293" s="2">
        <f>AND($J293,ISNUMBER(BM293),correlation!$I$32=1)</f>
        <v/>
      </c>
      <c r="BO293" s="5">
        <f>IF(BN293,$F293,"")</f>
        <v/>
      </c>
      <c r="BP293" s="5">
        <f>IF(BN293,BM293*correlation!$J$32,"")</f>
        <v/>
      </c>
      <c r="BQ293" s="5">
        <f>IF(AND(BN293,ISNUMBER(correlation!$F$32)),BP293*correlation!$F$32+correlation!$G$32,"")</f>
        <v/>
      </c>
      <c r="BR293" s="5">
        <f>IF(AND(BN293,ISNUMBER(BQ293)),(BO293-BQ293)^2,"")</f>
        <v/>
      </c>
      <c r="BS293" s="5">
        <f>IF(BN293,1+SUMPRODUCT(--(calc!$BN$3:$BN$306=TRUE),--(calc!$BO$3:$BO$306&gt;BO293))+(SUMPRODUCT(--(calc!$BN$3:$BN$306=TRUE),--(calc!$BO$3:$BO$306=BO293))-1)/2,"")</f>
        <v/>
      </c>
      <c r="BT293" s="5">
        <f>IF(BN293,1+SUMPRODUCT(--(calc!$BN$3:$BN$306=TRUE),--(calc!$BP$3:$BP$306&gt;BP293))+(SUMPRODUCT(--(calc!$BN$3:$BN$306=TRUE),--(calc!$BP$3:$BP$306=BP293))-1)/2,"")</f>
        <v/>
      </c>
      <c r="BU293" s="5">
        <f>IF(BN293,SUMPRODUCT(--(calc!$BN$3:$BN$306=TRUE),--(ROW(calc!$BN$3:$BN$306)&gt;ROW(BN293)),--(((calc!$BS$3:$BS$306&gt;BS293)*(calc!$BT$3:$BT$306&gt;BT293)+(calc!$BS$3:$BS$306&lt;BS293)*(calc!$BT$3:$BT$306&lt;BT293))&gt;0))-SUMPRODUCT(--(calc!$BN$3:$BN$306=TRUE),--(ROW(calc!$BN$3:$BN$306)&gt;ROW(BN293)),--(((calc!$BS$3:$BS$306&gt;BS293)*(calc!$BT$3:$BT$306&lt;BT293)+(calc!$BS$3:$BS$306&lt;BS293)*(calc!$BT$3:$BT$306&gt;BT293))&gt;0)),0)</f>
        <v/>
      </c>
    </row>
    <row r="294">
      <c r="A294" s="2">
        <f>mos_metrics!A293</f>
        <v/>
      </c>
      <c r="B294" s="2">
        <f>mos_metrics!B293</f>
        <v/>
      </c>
      <c r="C294" s="2">
        <f>mos_metrics!C293</f>
        <v/>
      </c>
      <c r="D294" s="2">
        <f>mos_metrics!D293</f>
        <v/>
      </c>
      <c r="E294" s="2">
        <f>mos_metrics!E293</f>
        <v/>
      </c>
      <c r="F294" s="2">
        <f>mos_metrics!F293</f>
        <v/>
      </c>
      <c r="G294" s="2">
        <f>IF($B294="","",IFERROR(VLOOKUP($B294,correlation!$A$2:$B$16,2,FALSE),1))</f>
        <v/>
      </c>
      <c r="H294" s="2">
        <f>IF($E294="","",IFERROR(VLOOKUP($E294,correlation!$D$2:$E$8,2,FALSE),1))</f>
        <v/>
      </c>
      <c r="I294" s="2">
        <f>ISNUMBER($F294)</f>
        <v/>
      </c>
      <c r="J294" s="2">
        <f>AND($G294=1,$H294=1,$I294)</f>
        <v/>
      </c>
      <c r="K294" s="5">
        <f>IF(mos_metrics!G293="","",mos_metrics!G293)</f>
        <v/>
      </c>
      <c r="L294" s="2">
        <f>AND($J294,ISNUMBER(K294),correlation!$I$26=1)</f>
        <v/>
      </c>
      <c r="M294" s="5">
        <f>IF(L294,$F294,"")</f>
        <v/>
      </c>
      <c r="N294" s="5">
        <f>IF(L294,K294*correlation!$J$26,"")</f>
        <v/>
      </c>
      <c r="O294" s="5">
        <f>IF(AND(L294,ISNUMBER(correlation!$F$26)),N294*correlation!$F$26+correlation!$G$26,"")</f>
        <v/>
      </c>
      <c r="P294" s="5">
        <f>IF(AND(L294,ISNUMBER(O294)),(M294-O294)^2,"")</f>
        <v/>
      </c>
      <c r="Q294" s="5">
        <f>IF(L294,1+SUMPRODUCT(--(calc!$L$3:$L$306=TRUE),--(calc!$M$3:$M$306&gt;M294))+(SUMPRODUCT(--(calc!$L$3:$L$306=TRUE),--(calc!$M$3:$M$306=M294))-1)/2,"")</f>
        <v/>
      </c>
      <c r="R294" s="5">
        <f>IF(L294,1+SUMPRODUCT(--(calc!$L$3:$L$306=TRUE),--(calc!$N$3:$N$306&gt;N294))+(SUMPRODUCT(--(calc!$L$3:$L$306=TRUE),--(calc!$N$3:$N$306=N294))-1)/2,"")</f>
        <v/>
      </c>
      <c r="S294" s="5">
        <f>IF(L294,SUMPRODUCT(--(calc!$L$3:$L$306=TRUE),--(ROW(calc!$L$3:$L$306)&gt;ROW(L294)),--(((calc!$Q$3:$Q$306&gt;Q294)*(calc!$R$3:$R$306&gt;R294)+(calc!$Q$3:$Q$306&lt;Q294)*(calc!$R$3:$R$306&lt;R294))&gt;0))-SUMPRODUCT(--(calc!$L$3:$L$306=TRUE),--(ROW(calc!$L$3:$L$306)&gt;ROW(L294)),--(((calc!$Q$3:$Q$306&gt;Q294)*(calc!$R$3:$R$306&lt;R294)+(calc!$Q$3:$Q$306&lt;Q294)*(calc!$R$3:$R$306&gt;R294))&gt;0)),0)</f>
        <v/>
      </c>
      <c r="T294" s="5">
        <f>IF(mos_metrics!H293="","",mos_metrics!H293)</f>
        <v/>
      </c>
      <c r="U294" s="2">
        <f>AND($J294,ISNUMBER(T294),correlation!$I$27=1)</f>
        <v/>
      </c>
      <c r="V294" s="5">
        <f>IF(U294,$F294,"")</f>
        <v/>
      </c>
      <c r="W294" s="5">
        <f>IF(U294,T294*correlation!$J$27,"")</f>
        <v/>
      </c>
      <c r="X294" s="5">
        <f>IF(AND(U294,ISNUMBER(correlation!$F$27)),W294*correlation!$F$27+correlation!$G$27,"")</f>
        <v/>
      </c>
      <c r="Y294" s="5">
        <f>IF(AND(U294,ISNUMBER(X294)),(V294-X294)^2,"")</f>
        <v/>
      </c>
      <c r="Z294" s="5">
        <f>IF(U294,1+SUMPRODUCT(--(calc!$U$3:$U$306=TRUE),--(calc!$V$3:$V$306&gt;V294))+(SUMPRODUCT(--(calc!$U$3:$U$306=TRUE),--(calc!$V$3:$V$306=V294))-1)/2,"")</f>
        <v/>
      </c>
      <c r="AA294" s="5">
        <f>IF(U294,1+SUMPRODUCT(--(calc!$U$3:$U$306=TRUE),--(calc!$W$3:$W$306&gt;W294))+(SUMPRODUCT(--(calc!$U$3:$U$306=TRUE),--(calc!$W$3:$W$306=W294))-1)/2,"")</f>
        <v/>
      </c>
      <c r="AB294" s="5">
        <f>IF(U294,SUMPRODUCT(--(calc!$U$3:$U$306=TRUE),--(ROW(calc!$U$3:$U$306)&gt;ROW(U294)),--(((calc!$Z$3:$Z$306&gt;Z294)*(calc!$AA$3:$AA$306&gt;AA294)+(calc!$Z$3:$Z$306&lt;Z294)*(calc!$AA$3:$AA$306&lt;AA294))&gt;0))-SUMPRODUCT(--(calc!$U$3:$U$306=TRUE),--(ROW(calc!$U$3:$U$306)&gt;ROW(U294)),--(((calc!$Z$3:$Z$306&gt;Z294)*(calc!$AA$3:$AA$306&lt;AA294)+(calc!$Z$3:$Z$306&lt;Z294)*(calc!$AA$3:$AA$306&gt;AA294))&gt;0)),0)</f>
        <v/>
      </c>
      <c r="AC294" s="5">
        <f>IF(mos_metrics!I293="","",mos_metrics!I293)</f>
        <v/>
      </c>
      <c r="AD294" s="2">
        <f>AND($J294,ISNUMBER(AC294),correlation!$I$28=1)</f>
        <v/>
      </c>
      <c r="AE294" s="5">
        <f>IF(AD294,$F294,"")</f>
        <v/>
      </c>
      <c r="AF294" s="5">
        <f>IF(AD294,AC294*correlation!$J$28,"")</f>
        <v/>
      </c>
      <c r="AG294" s="5">
        <f>IF(AND(AD294,ISNUMBER(correlation!$F$28)),AF294*correlation!$F$28+correlation!$G$28,"")</f>
        <v/>
      </c>
      <c r="AH294" s="5">
        <f>IF(AND(AD294,ISNUMBER(AG294)),(AE294-AG294)^2,"")</f>
        <v/>
      </c>
      <c r="AI294" s="5">
        <f>IF(AD294,1+SUMPRODUCT(--(calc!$AD$3:$AD$306=TRUE),--(calc!$AE$3:$AE$306&gt;AE294))+(SUMPRODUCT(--(calc!$AD$3:$AD$306=TRUE),--(calc!$AE$3:$AE$306=AE294))-1)/2,"")</f>
        <v/>
      </c>
      <c r="AJ294" s="5">
        <f>IF(AD294,1+SUMPRODUCT(--(calc!$AD$3:$AD$306=TRUE),--(calc!$AF$3:$AF$306&gt;AF294))+(SUMPRODUCT(--(calc!$AD$3:$AD$306=TRUE),--(calc!$AF$3:$AF$306=AF294))-1)/2,"")</f>
        <v/>
      </c>
      <c r="AK294" s="5">
        <f>IF(AD294,SUMPRODUCT(--(calc!$AD$3:$AD$306=TRUE),--(ROW(calc!$AD$3:$AD$306)&gt;ROW(AD294)),--(((calc!$AI$3:$AI$306&gt;AI294)*(calc!$AJ$3:$AJ$306&gt;AJ294)+(calc!$AI$3:$AI$306&lt;AI294)*(calc!$AJ$3:$AJ$306&lt;AJ294))&gt;0))-SUMPRODUCT(--(calc!$AD$3:$AD$306=TRUE),--(ROW(calc!$AD$3:$AD$306)&gt;ROW(AD294)),--(((calc!$AI$3:$AI$306&gt;AI294)*(calc!$AJ$3:$AJ$306&lt;AJ294)+(calc!$AI$3:$AI$306&lt;AI294)*(calc!$AJ$3:$AJ$306&gt;AJ294))&gt;0)),0)</f>
        <v/>
      </c>
      <c r="AL294" s="5">
        <f>IF(mos_metrics!J293="","",mos_metrics!J293)</f>
        <v/>
      </c>
      <c r="AM294" s="2">
        <f>AND($J294,ISNUMBER(AL294),correlation!$I$29=1)</f>
        <v/>
      </c>
      <c r="AN294" s="5">
        <f>IF(AM294,$F294,"")</f>
        <v/>
      </c>
      <c r="AO294" s="5">
        <f>IF(AM294,AL294*correlation!$J$29,"")</f>
        <v/>
      </c>
      <c r="AP294" s="5">
        <f>IF(AND(AM294,ISNUMBER(correlation!$F$29)),AO294*correlation!$F$29+correlation!$G$29,"")</f>
        <v/>
      </c>
      <c r="AQ294" s="5">
        <f>IF(AND(AM294,ISNUMBER(AP294)),(AN294-AP294)^2,"")</f>
        <v/>
      </c>
      <c r="AR294" s="5">
        <f>IF(AM294,1+SUMPRODUCT(--(calc!$AM$3:$AM$306=TRUE),--(calc!$AN$3:$AN$306&gt;AN294))+(SUMPRODUCT(--(calc!$AM$3:$AM$306=TRUE),--(calc!$AN$3:$AN$306=AN294))-1)/2,"")</f>
        <v/>
      </c>
      <c r="AS294" s="5">
        <f>IF(AM294,1+SUMPRODUCT(--(calc!$AM$3:$AM$306=TRUE),--(calc!$AO$3:$AO$306&gt;AO294))+(SUMPRODUCT(--(calc!$AM$3:$AM$306=TRUE),--(calc!$AO$3:$AO$306=AO294))-1)/2,"")</f>
        <v/>
      </c>
      <c r="AT294" s="5">
        <f>IF(AM294,SUMPRODUCT(--(calc!$AM$3:$AM$306=TRUE),--(ROW(calc!$AM$3:$AM$306)&gt;ROW(AM294)),--(((calc!$AR$3:$AR$306&gt;AR294)*(calc!$AS$3:$AS$306&gt;AS294)+(calc!$AR$3:$AR$306&lt;AR294)*(calc!$AS$3:$AS$306&lt;AS294))&gt;0))-SUMPRODUCT(--(calc!$AM$3:$AM$306=TRUE),--(ROW(calc!$AM$3:$AM$306)&gt;ROW(AM294)),--(((calc!$AR$3:$AR$306&gt;AR294)*(calc!$AS$3:$AS$306&lt;AS294)+(calc!$AR$3:$AR$306&lt;AR294)*(calc!$AS$3:$AS$306&gt;AS294))&gt;0)),0)</f>
        <v/>
      </c>
      <c r="AU294" s="5">
        <f>IF(mos_metrics!K293="","",mos_metrics!K293)</f>
        <v/>
      </c>
      <c r="AV294" s="2">
        <f>AND($J294,ISNUMBER(AU294),correlation!$I$30=1)</f>
        <v/>
      </c>
      <c r="AW294" s="5">
        <f>IF(AV294,$F294,"")</f>
        <v/>
      </c>
      <c r="AX294" s="5">
        <f>IF(AV294,AU294*correlation!$J$30,"")</f>
        <v/>
      </c>
      <c r="AY294" s="5">
        <f>IF(AND(AV294,ISNUMBER(correlation!$F$30)),AX294*correlation!$F$30+correlation!$G$30,"")</f>
        <v/>
      </c>
      <c r="AZ294" s="5">
        <f>IF(AND(AV294,ISNUMBER(AY294)),(AW294-AY294)^2,"")</f>
        <v/>
      </c>
      <c r="BA294" s="5">
        <f>IF(AV294,1+SUMPRODUCT(--(calc!$AV$3:$AV$306=TRUE),--(calc!$AW$3:$AW$306&gt;AW294))+(SUMPRODUCT(--(calc!$AV$3:$AV$306=TRUE),--(calc!$AW$3:$AW$306=AW294))-1)/2,"")</f>
        <v/>
      </c>
      <c r="BB294" s="5">
        <f>IF(AV294,1+SUMPRODUCT(--(calc!$AV$3:$AV$306=TRUE),--(calc!$AX$3:$AX$306&gt;AX294))+(SUMPRODUCT(--(calc!$AV$3:$AV$306=TRUE),--(calc!$AX$3:$AX$306=AX294))-1)/2,"")</f>
        <v/>
      </c>
      <c r="BC294" s="5">
        <f>IF(AV294,SUMPRODUCT(--(calc!$AV$3:$AV$306=TRUE),--(ROW(calc!$AV$3:$AV$306)&gt;ROW(AV294)),--(((calc!$BA$3:$BA$306&gt;BA294)*(calc!$BB$3:$BB$306&gt;BB294)+(calc!$BA$3:$BA$306&lt;BA294)*(calc!$BB$3:$BB$306&lt;BB294))&gt;0))-SUMPRODUCT(--(calc!$AV$3:$AV$306=TRUE),--(ROW(calc!$AV$3:$AV$306)&gt;ROW(AV294)),--(((calc!$BA$3:$BA$306&gt;BA294)*(calc!$BB$3:$BB$306&lt;BB294)+(calc!$BA$3:$BA$306&lt;BA294)*(calc!$BB$3:$BB$306&gt;BB294))&gt;0)),0)</f>
        <v/>
      </c>
      <c r="BD294" s="5">
        <f>IF(mos_metrics!L293="","",mos_metrics!L293)</f>
        <v/>
      </c>
      <c r="BE294" s="2">
        <f>AND($J294,ISNUMBER(BD294),correlation!$I$31=1)</f>
        <v/>
      </c>
      <c r="BF294" s="5">
        <f>IF(BE294,$F294,"")</f>
        <v/>
      </c>
      <c r="BG294" s="5">
        <f>IF(BE294,BD294*correlation!$J$31,"")</f>
        <v/>
      </c>
      <c r="BH294" s="5">
        <f>IF(AND(BE294,ISNUMBER(correlation!$F$31)),BG294*correlation!$F$31+correlation!$G$31,"")</f>
        <v/>
      </c>
      <c r="BI294" s="5">
        <f>IF(AND(BE294,ISNUMBER(BH294)),(BF294-BH294)^2,"")</f>
        <v/>
      </c>
      <c r="BJ294" s="5">
        <f>IF(BE294,1+SUMPRODUCT(--(calc!$BE$3:$BE$306=TRUE),--(calc!$BF$3:$BF$306&gt;BF294))+(SUMPRODUCT(--(calc!$BE$3:$BE$306=TRUE),--(calc!$BF$3:$BF$306=BF294))-1)/2,"")</f>
        <v/>
      </c>
      <c r="BK294" s="5">
        <f>IF(BE294,1+SUMPRODUCT(--(calc!$BE$3:$BE$306=TRUE),--(calc!$BG$3:$BG$306&gt;BG294))+(SUMPRODUCT(--(calc!$BE$3:$BE$306=TRUE),--(calc!$BG$3:$BG$306=BG294))-1)/2,"")</f>
        <v/>
      </c>
      <c r="BL294" s="5">
        <f>IF(BE294,SUMPRODUCT(--(calc!$BE$3:$BE$306=TRUE),--(ROW(calc!$BE$3:$BE$306)&gt;ROW(BE294)),--(((calc!$BJ$3:$BJ$306&gt;BJ294)*(calc!$BK$3:$BK$306&gt;BK294)+(calc!$BJ$3:$BJ$306&lt;BJ294)*(calc!$BK$3:$BK$306&lt;BK294))&gt;0))-SUMPRODUCT(--(calc!$BE$3:$BE$306=TRUE),--(ROW(calc!$BE$3:$BE$306)&gt;ROW(BE294)),--(((calc!$BJ$3:$BJ$306&gt;BJ294)*(calc!$BK$3:$BK$306&lt;BK294)+(calc!$BJ$3:$BJ$306&lt;BJ294)*(calc!$BK$3:$BK$306&gt;BK294))&gt;0)),0)</f>
        <v/>
      </c>
      <c r="BM294" s="5">
        <f>IF(mos_metrics!M293="","",mos_metrics!M293)</f>
        <v/>
      </c>
      <c r="BN294" s="2">
        <f>AND($J294,ISNUMBER(BM294),correlation!$I$32=1)</f>
        <v/>
      </c>
      <c r="BO294" s="5">
        <f>IF(BN294,$F294,"")</f>
        <v/>
      </c>
      <c r="BP294" s="5">
        <f>IF(BN294,BM294*correlation!$J$32,"")</f>
        <v/>
      </c>
      <c r="BQ294" s="5">
        <f>IF(AND(BN294,ISNUMBER(correlation!$F$32)),BP294*correlation!$F$32+correlation!$G$32,"")</f>
        <v/>
      </c>
      <c r="BR294" s="5">
        <f>IF(AND(BN294,ISNUMBER(BQ294)),(BO294-BQ294)^2,"")</f>
        <v/>
      </c>
      <c r="BS294" s="5">
        <f>IF(BN294,1+SUMPRODUCT(--(calc!$BN$3:$BN$306=TRUE),--(calc!$BO$3:$BO$306&gt;BO294))+(SUMPRODUCT(--(calc!$BN$3:$BN$306=TRUE),--(calc!$BO$3:$BO$306=BO294))-1)/2,"")</f>
        <v/>
      </c>
      <c r="BT294" s="5">
        <f>IF(BN294,1+SUMPRODUCT(--(calc!$BN$3:$BN$306=TRUE),--(calc!$BP$3:$BP$306&gt;BP294))+(SUMPRODUCT(--(calc!$BN$3:$BN$306=TRUE),--(calc!$BP$3:$BP$306=BP294))-1)/2,"")</f>
        <v/>
      </c>
      <c r="BU294" s="5">
        <f>IF(BN294,SUMPRODUCT(--(calc!$BN$3:$BN$306=TRUE),--(ROW(calc!$BN$3:$BN$306)&gt;ROW(BN294)),--(((calc!$BS$3:$BS$306&gt;BS294)*(calc!$BT$3:$BT$306&gt;BT294)+(calc!$BS$3:$BS$306&lt;BS294)*(calc!$BT$3:$BT$306&lt;BT294))&gt;0))-SUMPRODUCT(--(calc!$BN$3:$BN$306=TRUE),--(ROW(calc!$BN$3:$BN$306)&gt;ROW(BN294)),--(((calc!$BS$3:$BS$306&gt;BS294)*(calc!$BT$3:$BT$306&lt;BT294)+(calc!$BS$3:$BS$306&lt;BS294)*(calc!$BT$3:$BT$306&gt;BT294))&gt;0)),0)</f>
        <v/>
      </c>
    </row>
    <row r="295">
      <c r="A295" s="2">
        <f>mos_metrics!A294</f>
        <v/>
      </c>
      <c r="B295" s="2">
        <f>mos_metrics!B294</f>
        <v/>
      </c>
      <c r="C295" s="2">
        <f>mos_metrics!C294</f>
        <v/>
      </c>
      <c r="D295" s="2">
        <f>mos_metrics!D294</f>
        <v/>
      </c>
      <c r="E295" s="2">
        <f>mos_metrics!E294</f>
        <v/>
      </c>
      <c r="F295" s="2">
        <f>mos_metrics!F294</f>
        <v/>
      </c>
      <c r="G295" s="2">
        <f>IF($B295="","",IFERROR(VLOOKUP($B295,correlation!$A$2:$B$16,2,FALSE),1))</f>
        <v/>
      </c>
      <c r="H295" s="2">
        <f>IF($E295="","",IFERROR(VLOOKUP($E295,correlation!$D$2:$E$8,2,FALSE),1))</f>
        <v/>
      </c>
      <c r="I295" s="2">
        <f>ISNUMBER($F295)</f>
        <v/>
      </c>
      <c r="J295" s="2">
        <f>AND($G295=1,$H295=1,$I295)</f>
        <v/>
      </c>
      <c r="K295" s="5">
        <f>IF(mos_metrics!G294="","",mos_metrics!G294)</f>
        <v/>
      </c>
      <c r="L295" s="2">
        <f>AND($J295,ISNUMBER(K295),correlation!$I$26=1)</f>
        <v/>
      </c>
      <c r="M295" s="5">
        <f>IF(L295,$F295,"")</f>
        <v/>
      </c>
      <c r="N295" s="5">
        <f>IF(L295,K295*correlation!$J$26,"")</f>
        <v/>
      </c>
      <c r="O295" s="5">
        <f>IF(AND(L295,ISNUMBER(correlation!$F$26)),N295*correlation!$F$26+correlation!$G$26,"")</f>
        <v/>
      </c>
      <c r="P295" s="5">
        <f>IF(AND(L295,ISNUMBER(O295)),(M295-O295)^2,"")</f>
        <v/>
      </c>
      <c r="Q295" s="5">
        <f>IF(L295,1+SUMPRODUCT(--(calc!$L$3:$L$306=TRUE),--(calc!$M$3:$M$306&gt;M295))+(SUMPRODUCT(--(calc!$L$3:$L$306=TRUE),--(calc!$M$3:$M$306=M295))-1)/2,"")</f>
        <v/>
      </c>
      <c r="R295" s="5">
        <f>IF(L295,1+SUMPRODUCT(--(calc!$L$3:$L$306=TRUE),--(calc!$N$3:$N$306&gt;N295))+(SUMPRODUCT(--(calc!$L$3:$L$306=TRUE),--(calc!$N$3:$N$306=N295))-1)/2,"")</f>
        <v/>
      </c>
      <c r="S295" s="5">
        <f>IF(L295,SUMPRODUCT(--(calc!$L$3:$L$306=TRUE),--(ROW(calc!$L$3:$L$306)&gt;ROW(L295)),--(((calc!$Q$3:$Q$306&gt;Q295)*(calc!$R$3:$R$306&gt;R295)+(calc!$Q$3:$Q$306&lt;Q295)*(calc!$R$3:$R$306&lt;R295))&gt;0))-SUMPRODUCT(--(calc!$L$3:$L$306=TRUE),--(ROW(calc!$L$3:$L$306)&gt;ROW(L295)),--(((calc!$Q$3:$Q$306&gt;Q295)*(calc!$R$3:$R$306&lt;R295)+(calc!$Q$3:$Q$306&lt;Q295)*(calc!$R$3:$R$306&gt;R295))&gt;0)),0)</f>
        <v/>
      </c>
      <c r="T295" s="5">
        <f>IF(mos_metrics!H294="","",mos_metrics!H294)</f>
        <v/>
      </c>
      <c r="U295" s="2">
        <f>AND($J295,ISNUMBER(T295),correlation!$I$27=1)</f>
        <v/>
      </c>
      <c r="V295" s="5">
        <f>IF(U295,$F295,"")</f>
        <v/>
      </c>
      <c r="W295" s="5">
        <f>IF(U295,T295*correlation!$J$27,"")</f>
        <v/>
      </c>
      <c r="X295" s="5">
        <f>IF(AND(U295,ISNUMBER(correlation!$F$27)),W295*correlation!$F$27+correlation!$G$27,"")</f>
        <v/>
      </c>
      <c r="Y295" s="5">
        <f>IF(AND(U295,ISNUMBER(X295)),(V295-X295)^2,"")</f>
        <v/>
      </c>
      <c r="Z295" s="5">
        <f>IF(U295,1+SUMPRODUCT(--(calc!$U$3:$U$306=TRUE),--(calc!$V$3:$V$306&gt;V295))+(SUMPRODUCT(--(calc!$U$3:$U$306=TRUE),--(calc!$V$3:$V$306=V295))-1)/2,"")</f>
        <v/>
      </c>
      <c r="AA295" s="5">
        <f>IF(U295,1+SUMPRODUCT(--(calc!$U$3:$U$306=TRUE),--(calc!$W$3:$W$306&gt;W295))+(SUMPRODUCT(--(calc!$U$3:$U$306=TRUE),--(calc!$W$3:$W$306=W295))-1)/2,"")</f>
        <v/>
      </c>
      <c r="AB295" s="5">
        <f>IF(U295,SUMPRODUCT(--(calc!$U$3:$U$306=TRUE),--(ROW(calc!$U$3:$U$306)&gt;ROW(U295)),--(((calc!$Z$3:$Z$306&gt;Z295)*(calc!$AA$3:$AA$306&gt;AA295)+(calc!$Z$3:$Z$306&lt;Z295)*(calc!$AA$3:$AA$306&lt;AA295))&gt;0))-SUMPRODUCT(--(calc!$U$3:$U$306=TRUE),--(ROW(calc!$U$3:$U$306)&gt;ROW(U295)),--(((calc!$Z$3:$Z$306&gt;Z295)*(calc!$AA$3:$AA$306&lt;AA295)+(calc!$Z$3:$Z$306&lt;Z295)*(calc!$AA$3:$AA$306&gt;AA295))&gt;0)),0)</f>
        <v/>
      </c>
      <c r="AC295" s="5">
        <f>IF(mos_metrics!I294="","",mos_metrics!I294)</f>
        <v/>
      </c>
      <c r="AD295" s="2">
        <f>AND($J295,ISNUMBER(AC295),correlation!$I$28=1)</f>
        <v/>
      </c>
      <c r="AE295" s="5">
        <f>IF(AD295,$F295,"")</f>
        <v/>
      </c>
      <c r="AF295" s="5">
        <f>IF(AD295,AC295*correlation!$J$28,"")</f>
        <v/>
      </c>
      <c r="AG295" s="5">
        <f>IF(AND(AD295,ISNUMBER(correlation!$F$28)),AF295*correlation!$F$28+correlation!$G$28,"")</f>
        <v/>
      </c>
      <c r="AH295" s="5">
        <f>IF(AND(AD295,ISNUMBER(AG295)),(AE295-AG295)^2,"")</f>
        <v/>
      </c>
      <c r="AI295" s="5">
        <f>IF(AD295,1+SUMPRODUCT(--(calc!$AD$3:$AD$306=TRUE),--(calc!$AE$3:$AE$306&gt;AE295))+(SUMPRODUCT(--(calc!$AD$3:$AD$306=TRUE),--(calc!$AE$3:$AE$306=AE295))-1)/2,"")</f>
        <v/>
      </c>
      <c r="AJ295" s="5">
        <f>IF(AD295,1+SUMPRODUCT(--(calc!$AD$3:$AD$306=TRUE),--(calc!$AF$3:$AF$306&gt;AF295))+(SUMPRODUCT(--(calc!$AD$3:$AD$306=TRUE),--(calc!$AF$3:$AF$306=AF295))-1)/2,"")</f>
        <v/>
      </c>
      <c r="AK295" s="5">
        <f>IF(AD295,SUMPRODUCT(--(calc!$AD$3:$AD$306=TRUE),--(ROW(calc!$AD$3:$AD$306)&gt;ROW(AD295)),--(((calc!$AI$3:$AI$306&gt;AI295)*(calc!$AJ$3:$AJ$306&gt;AJ295)+(calc!$AI$3:$AI$306&lt;AI295)*(calc!$AJ$3:$AJ$306&lt;AJ295))&gt;0))-SUMPRODUCT(--(calc!$AD$3:$AD$306=TRUE),--(ROW(calc!$AD$3:$AD$306)&gt;ROW(AD295)),--(((calc!$AI$3:$AI$306&gt;AI295)*(calc!$AJ$3:$AJ$306&lt;AJ295)+(calc!$AI$3:$AI$306&lt;AI295)*(calc!$AJ$3:$AJ$306&gt;AJ295))&gt;0)),0)</f>
        <v/>
      </c>
      <c r="AL295" s="5">
        <f>IF(mos_metrics!J294="","",mos_metrics!J294)</f>
        <v/>
      </c>
      <c r="AM295" s="2">
        <f>AND($J295,ISNUMBER(AL295),correlation!$I$29=1)</f>
        <v/>
      </c>
      <c r="AN295" s="5">
        <f>IF(AM295,$F295,"")</f>
        <v/>
      </c>
      <c r="AO295" s="5">
        <f>IF(AM295,AL295*correlation!$J$29,"")</f>
        <v/>
      </c>
      <c r="AP295" s="5">
        <f>IF(AND(AM295,ISNUMBER(correlation!$F$29)),AO295*correlation!$F$29+correlation!$G$29,"")</f>
        <v/>
      </c>
      <c r="AQ295" s="5">
        <f>IF(AND(AM295,ISNUMBER(AP295)),(AN295-AP295)^2,"")</f>
        <v/>
      </c>
      <c r="AR295" s="5">
        <f>IF(AM295,1+SUMPRODUCT(--(calc!$AM$3:$AM$306=TRUE),--(calc!$AN$3:$AN$306&gt;AN295))+(SUMPRODUCT(--(calc!$AM$3:$AM$306=TRUE),--(calc!$AN$3:$AN$306=AN295))-1)/2,"")</f>
        <v/>
      </c>
      <c r="AS295" s="5">
        <f>IF(AM295,1+SUMPRODUCT(--(calc!$AM$3:$AM$306=TRUE),--(calc!$AO$3:$AO$306&gt;AO295))+(SUMPRODUCT(--(calc!$AM$3:$AM$306=TRUE),--(calc!$AO$3:$AO$306=AO295))-1)/2,"")</f>
        <v/>
      </c>
      <c r="AT295" s="5">
        <f>IF(AM295,SUMPRODUCT(--(calc!$AM$3:$AM$306=TRUE),--(ROW(calc!$AM$3:$AM$306)&gt;ROW(AM295)),--(((calc!$AR$3:$AR$306&gt;AR295)*(calc!$AS$3:$AS$306&gt;AS295)+(calc!$AR$3:$AR$306&lt;AR295)*(calc!$AS$3:$AS$306&lt;AS295))&gt;0))-SUMPRODUCT(--(calc!$AM$3:$AM$306=TRUE),--(ROW(calc!$AM$3:$AM$306)&gt;ROW(AM295)),--(((calc!$AR$3:$AR$306&gt;AR295)*(calc!$AS$3:$AS$306&lt;AS295)+(calc!$AR$3:$AR$306&lt;AR295)*(calc!$AS$3:$AS$306&gt;AS295))&gt;0)),0)</f>
        <v/>
      </c>
      <c r="AU295" s="5">
        <f>IF(mos_metrics!K294="","",mos_metrics!K294)</f>
        <v/>
      </c>
      <c r="AV295" s="2">
        <f>AND($J295,ISNUMBER(AU295),correlation!$I$30=1)</f>
        <v/>
      </c>
      <c r="AW295" s="5">
        <f>IF(AV295,$F295,"")</f>
        <v/>
      </c>
      <c r="AX295" s="5">
        <f>IF(AV295,AU295*correlation!$J$30,"")</f>
        <v/>
      </c>
      <c r="AY295" s="5">
        <f>IF(AND(AV295,ISNUMBER(correlation!$F$30)),AX295*correlation!$F$30+correlation!$G$30,"")</f>
        <v/>
      </c>
      <c r="AZ295" s="5">
        <f>IF(AND(AV295,ISNUMBER(AY295)),(AW295-AY295)^2,"")</f>
        <v/>
      </c>
      <c r="BA295" s="5">
        <f>IF(AV295,1+SUMPRODUCT(--(calc!$AV$3:$AV$306=TRUE),--(calc!$AW$3:$AW$306&gt;AW295))+(SUMPRODUCT(--(calc!$AV$3:$AV$306=TRUE),--(calc!$AW$3:$AW$306=AW295))-1)/2,"")</f>
        <v/>
      </c>
      <c r="BB295" s="5">
        <f>IF(AV295,1+SUMPRODUCT(--(calc!$AV$3:$AV$306=TRUE),--(calc!$AX$3:$AX$306&gt;AX295))+(SUMPRODUCT(--(calc!$AV$3:$AV$306=TRUE),--(calc!$AX$3:$AX$306=AX295))-1)/2,"")</f>
        <v/>
      </c>
      <c r="BC295" s="5">
        <f>IF(AV295,SUMPRODUCT(--(calc!$AV$3:$AV$306=TRUE),--(ROW(calc!$AV$3:$AV$306)&gt;ROW(AV295)),--(((calc!$BA$3:$BA$306&gt;BA295)*(calc!$BB$3:$BB$306&gt;BB295)+(calc!$BA$3:$BA$306&lt;BA295)*(calc!$BB$3:$BB$306&lt;BB295))&gt;0))-SUMPRODUCT(--(calc!$AV$3:$AV$306=TRUE),--(ROW(calc!$AV$3:$AV$306)&gt;ROW(AV295)),--(((calc!$BA$3:$BA$306&gt;BA295)*(calc!$BB$3:$BB$306&lt;BB295)+(calc!$BA$3:$BA$306&lt;BA295)*(calc!$BB$3:$BB$306&gt;BB295))&gt;0)),0)</f>
        <v/>
      </c>
      <c r="BD295" s="5">
        <f>IF(mos_metrics!L294="","",mos_metrics!L294)</f>
        <v/>
      </c>
      <c r="BE295" s="2">
        <f>AND($J295,ISNUMBER(BD295),correlation!$I$31=1)</f>
        <v/>
      </c>
      <c r="BF295" s="5">
        <f>IF(BE295,$F295,"")</f>
        <v/>
      </c>
      <c r="BG295" s="5">
        <f>IF(BE295,BD295*correlation!$J$31,"")</f>
        <v/>
      </c>
      <c r="BH295" s="5">
        <f>IF(AND(BE295,ISNUMBER(correlation!$F$31)),BG295*correlation!$F$31+correlation!$G$31,"")</f>
        <v/>
      </c>
      <c r="BI295" s="5">
        <f>IF(AND(BE295,ISNUMBER(BH295)),(BF295-BH295)^2,"")</f>
        <v/>
      </c>
      <c r="BJ295" s="5">
        <f>IF(BE295,1+SUMPRODUCT(--(calc!$BE$3:$BE$306=TRUE),--(calc!$BF$3:$BF$306&gt;BF295))+(SUMPRODUCT(--(calc!$BE$3:$BE$306=TRUE),--(calc!$BF$3:$BF$306=BF295))-1)/2,"")</f>
        <v/>
      </c>
      <c r="BK295" s="5">
        <f>IF(BE295,1+SUMPRODUCT(--(calc!$BE$3:$BE$306=TRUE),--(calc!$BG$3:$BG$306&gt;BG295))+(SUMPRODUCT(--(calc!$BE$3:$BE$306=TRUE),--(calc!$BG$3:$BG$306=BG295))-1)/2,"")</f>
        <v/>
      </c>
      <c r="BL295" s="5">
        <f>IF(BE295,SUMPRODUCT(--(calc!$BE$3:$BE$306=TRUE),--(ROW(calc!$BE$3:$BE$306)&gt;ROW(BE295)),--(((calc!$BJ$3:$BJ$306&gt;BJ295)*(calc!$BK$3:$BK$306&gt;BK295)+(calc!$BJ$3:$BJ$306&lt;BJ295)*(calc!$BK$3:$BK$306&lt;BK295))&gt;0))-SUMPRODUCT(--(calc!$BE$3:$BE$306=TRUE),--(ROW(calc!$BE$3:$BE$306)&gt;ROW(BE295)),--(((calc!$BJ$3:$BJ$306&gt;BJ295)*(calc!$BK$3:$BK$306&lt;BK295)+(calc!$BJ$3:$BJ$306&lt;BJ295)*(calc!$BK$3:$BK$306&gt;BK295))&gt;0)),0)</f>
        <v/>
      </c>
      <c r="BM295" s="5">
        <f>IF(mos_metrics!M294="","",mos_metrics!M294)</f>
        <v/>
      </c>
      <c r="BN295" s="2">
        <f>AND($J295,ISNUMBER(BM295),correlation!$I$32=1)</f>
        <v/>
      </c>
      <c r="BO295" s="5">
        <f>IF(BN295,$F295,"")</f>
        <v/>
      </c>
      <c r="BP295" s="5">
        <f>IF(BN295,BM295*correlation!$J$32,"")</f>
        <v/>
      </c>
      <c r="BQ295" s="5">
        <f>IF(AND(BN295,ISNUMBER(correlation!$F$32)),BP295*correlation!$F$32+correlation!$G$32,"")</f>
        <v/>
      </c>
      <c r="BR295" s="5">
        <f>IF(AND(BN295,ISNUMBER(BQ295)),(BO295-BQ295)^2,"")</f>
        <v/>
      </c>
      <c r="BS295" s="5">
        <f>IF(BN295,1+SUMPRODUCT(--(calc!$BN$3:$BN$306=TRUE),--(calc!$BO$3:$BO$306&gt;BO295))+(SUMPRODUCT(--(calc!$BN$3:$BN$306=TRUE),--(calc!$BO$3:$BO$306=BO295))-1)/2,"")</f>
        <v/>
      </c>
      <c r="BT295" s="5">
        <f>IF(BN295,1+SUMPRODUCT(--(calc!$BN$3:$BN$306=TRUE),--(calc!$BP$3:$BP$306&gt;BP295))+(SUMPRODUCT(--(calc!$BN$3:$BN$306=TRUE),--(calc!$BP$3:$BP$306=BP295))-1)/2,"")</f>
        <v/>
      </c>
      <c r="BU295" s="5">
        <f>IF(BN295,SUMPRODUCT(--(calc!$BN$3:$BN$306=TRUE),--(ROW(calc!$BN$3:$BN$306)&gt;ROW(BN295)),--(((calc!$BS$3:$BS$306&gt;BS295)*(calc!$BT$3:$BT$306&gt;BT295)+(calc!$BS$3:$BS$306&lt;BS295)*(calc!$BT$3:$BT$306&lt;BT295))&gt;0))-SUMPRODUCT(--(calc!$BN$3:$BN$306=TRUE),--(ROW(calc!$BN$3:$BN$306)&gt;ROW(BN295)),--(((calc!$BS$3:$BS$306&gt;BS295)*(calc!$BT$3:$BT$306&lt;BT295)+(calc!$BS$3:$BS$306&lt;BS295)*(calc!$BT$3:$BT$306&gt;BT295))&gt;0)),0)</f>
        <v/>
      </c>
    </row>
    <row r="296">
      <c r="A296" s="2">
        <f>mos_metrics!A295</f>
        <v/>
      </c>
      <c r="B296" s="2">
        <f>mos_metrics!B295</f>
        <v/>
      </c>
      <c r="C296" s="2">
        <f>mos_metrics!C295</f>
        <v/>
      </c>
      <c r="D296" s="2">
        <f>mos_metrics!D295</f>
        <v/>
      </c>
      <c r="E296" s="2">
        <f>mos_metrics!E295</f>
        <v/>
      </c>
      <c r="F296" s="2">
        <f>mos_metrics!F295</f>
        <v/>
      </c>
      <c r="G296" s="2">
        <f>IF($B296="","",IFERROR(VLOOKUP($B296,correlation!$A$2:$B$16,2,FALSE),1))</f>
        <v/>
      </c>
      <c r="H296" s="2">
        <f>IF($E296="","",IFERROR(VLOOKUP($E296,correlation!$D$2:$E$8,2,FALSE),1))</f>
        <v/>
      </c>
      <c r="I296" s="2">
        <f>ISNUMBER($F296)</f>
        <v/>
      </c>
      <c r="J296" s="2">
        <f>AND($G296=1,$H296=1,$I296)</f>
        <v/>
      </c>
      <c r="K296" s="5">
        <f>IF(mos_metrics!G295="","",mos_metrics!G295)</f>
        <v/>
      </c>
      <c r="L296" s="2">
        <f>AND($J296,ISNUMBER(K296),correlation!$I$26=1)</f>
        <v/>
      </c>
      <c r="M296" s="5">
        <f>IF(L296,$F296,"")</f>
        <v/>
      </c>
      <c r="N296" s="5">
        <f>IF(L296,K296*correlation!$J$26,"")</f>
        <v/>
      </c>
      <c r="O296" s="5">
        <f>IF(AND(L296,ISNUMBER(correlation!$F$26)),N296*correlation!$F$26+correlation!$G$26,"")</f>
        <v/>
      </c>
      <c r="P296" s="5">
        <f>IF(AND(L296,ISNUMBER(O296)),(M296-O296)^2,"")</f>
        <v/>
      </c>
      <c r="Q296" s="5">
        <f>IF(L296,1+SUMPRODUCT(--(calc!$L$3:$L$306=TRUE),--(calc!$M$3:$M$306&gt;M296))+(SUMPRODUCT(--(calc!$L$3:$L$306=TRUE),--(calc!$M$3:$M$306=M296))-1)/2,"")</f>
        <v/>
      </c>
      <c r="R296" s="5">
        <f>IF(L296,1+SUMPRODUCT(--(calc!$L$3:$L$306=TRUE),--(calc!$N$3:$N$306&gt;N296))+(SUMPRODUCT(--(calc!$L$3:$L$306=TRUE),--(calc!$N$3:$N$306=N296))-1)/2,"")</f>
        <v/>
      </c>
      <c r="S296" s="5">
        <f>IF(L296,SUMPRODUCT(--(calc!$L$3:$L$306=TRUE),--(ROW(calc!$L$3:$L$306)&gt;ROW(L296)),--(((calc!$Q$3:$Q$306&gt;Q296)*(calc!$R$3:$R$306&gt;R296)+(calc!$Q$3:$Q$306&lt;Q296)*(calc!$R$3:$R$306&lt;R296))&gt;0))-SUMPRODUCT(--(calc!$L$3:$L$306=TRUE),--(ROW(calc!$L$3:$L$306)&gt;ROW(L296)),--(((calc!$Q$3:$Q$306&gt;Q296)*(calc!$R$3:$R$306&lt;R296)+(calc!$Q$3:$Q$306&lt;Q296)*(calc!$R$3:$R$306&gt;R296))&gt;0)),0)</f>
        <v/>
      </c>
      <c r="T296" s="5">
        <f>IF(mos_metrics!H295="","",mos_metrics!H295)</f>
        <v/>
      </c>
      <c r="U296" s="2">
        <f>AND($J296,ISNUMBER(T296),correlation!$I$27=1)</f>
        <v/>
      </c>
      <c r="V296" s="5">
        <f>IF(U296,$F296,"")</f>
        <v/>
      </c>
      <c r="W296" s="5">
        <f>IF(U296,T296*correlation!$J$27,"")</f>
        <v/>
      </c>
      <c r="X296" s="5">
        <f>IF(AND(U296,ISNUMBER(correlation!$F$27)),W296*correlation!$F$27+correlation!$G$27,"")</f>
        <v/>
      </c>
      <c r="Y296" s="5">
        <f>IF(AND(U296,ISNUMBER(X296)),(V296-X296)^2,"")</f>
        <v/>
      </c>
      <c r="Z296" s="5">
        <f>IF(U296,1+SUMPRODUCT(--(calc!$U$3:$U$306=TRUE),--(calc!$V$3:$V$306&gt;V296))+(SUMPRODUCT(--(calc!$U$3:$U$306=TRUE),--(calc!$V$3:$V$306=V296))-1)/2,"")</f>
        <v/>
      </c>
      <c r="AA296" s="5">
        <f>IF(U296,1+SUMPRODUCT(--(calc!$U$3:$U$306=TRUE),--(calc!$W$3:$W$306&gt;W296))+(SUMPRODUCT(--(calc!$U$3:$U$306=TRUE),--(calc!$W$3:$W$306=W296))-1)/2,"")</f>
        <v/>
      </c>
      <c r="AB296" s="5">
        <f>IF(U296,SUMPRODUCT(--(calc!$U$3:$U$306=TRUE),--(ROW(calc!$U$3:$U$306)&gt;ROW(U296)),--(((calc!$Z$3:$Z$306&gt;Z296)*(calc!$AA$3:$AA$306&gt;AA296)+(calc!$Z$3:$Z$306&lt;Z296)*(calc!$AA$3:$AA$306&lt;AA296))&gt;0))-SUMPRODUCT(--(calc!$U$3:$U$306=TRUE),--(ROW(calc!$U$3:$U$306)&gt;ROW(U296)),--(((calc!$Z$3:$Z$306&gt;Z296)*(calc!$AA$3:$AA$306&lt;AA296)+(calc!$Z$3:$Z$306&lt;Z296)*(calc!$AA$3:$AA$306&gt;AA296))&gt;0)),0)</f>
        <v/>
      </c>
      <c r="AC296" s="5">
        <f>IF(mos_metrics!I295="","",mos_metrics!I295)</f>
        <v/>
      </c>
      <c r="AD296" s="2">
        <f>AND($J296,ISNUMBER(AC296),correlation!$I$28=1)</f>
        <v/>
      </c>
      <c r="AE296" s="5">
        <f>IF(AD296,$F296,"")</f>
        <v/>
      </c>
      <c r="AF296" s="5">
        <f>IF(AD296,AC296*correlation!$J$28,"")</f>
        <v/>
      </c>
      <c r="AG296" s="5">
        <f>IF(AND(AD296,ISNUMBER(correlation!$F$28)),AF296*correlation!$F$28+correlation!$G$28,"")</f>
        <v/>
      </c>
      <c r="AH296" s="5">
        <f>IF(AND(AD296,ISNUMBER(AG296)),(AE296-AG296)^2,"")</f>
        <v/>
      </c>
      <c r="AI296" s="5">
        <f>IF(AD296,1+SUMPRODUCT(--(calc!$AD$3:$AD$306=TRUE),--(calc!$AE$3:$AE$306&gt;AE296))+(SUMPRODUCT(--(calc!$AD$3:$AD$306=TRUE),--(calc!$AE$3:$AE$306=AE296))-1)/2,"")</f>
        <v/>
      </c>
      <c r="AJ296" s="5">
        <f>IF(AD296,1+SUMPRODUCT(--(calc!$AD$3:$AD$306=TRUE),--(calc!$AF$3:$AF$306&gt;AF296))+(SUMPRODUCT(--(calc!$AD$3:$AD$306=TRUE),--(calc!$AF$3:$AF$306=AF296))-1)/2,"")</f>
        <v/>
      </c>
      <c r="AK296" s="5">
        <f>IF(AD296,SUMPRODUCT(--(calc!$AD$3:$AD$306=TRUE),--(ROW(calc!$AD$3:$AD$306)&gt;ROW(AD296)),--(((calc!$AI$3:$AI$306&gt;AI296)*(calc!$AJ$3:$AJ$306&gt;AJ296)+(calc!$AI$3:$AI$306&lt;AI296)*(calc!$AJ$3:$AJ$306&lt;AJ296))&gt;0))-SUMPRODUCT(--(calc!$AD$3:$AD$306=TRUE),--(ROW(calc!$AD$3:$AD$306)&gt;ROW(AD296)),--(((calc!$AI$3:$AI$306&gt;AI296)*(calc!$AJ$3:$AJ$306&lt;AJ296)+(calc!$AI$3:$AI$306&lt;AI296)*(calc!$AJ$3:$AJ$306&gt;AJ296))&gt;0)),0)</f>
        <v/>
      </c>
      <c r="AL296" s="5">
        <f>IF(mos_metrics!J295="","",mos_metrics!J295)</f>
        <v/>
      </c>
      <c r="AM296" s="2">
        <f>AND($J296,ISNUMBER(AL296),correlation!$I$29=1)</f>
        <v/>
      </c>
      <c r="AN296" s="5">
        <f>IF(AM296,$F296,"")</f>
        <v/>
      </c>
      <c r="AO296" s="5">
        <f>IF(AM296,AL296*correlation!$J$29,"")</f>
        <v/>
      </c>
      <c r="AP296" s="5">
        <f>IF(AND(AM296,ISNUMBER(correlation!$F$29)),AO296*correlation!$F$29+correlation!$G$29,"")</f>
        <v/>
      </c>
      <c r="AQ296" s="5">
        <f>IF(AND(AM296,ISNUMBER(AP296)),(AN296-AP296)^2,"")</f>
        <v/>
      </c>
      <c r="AR296" s="5">
        <f>IF(AM296,1+SUMPRODUCT(--(calc!$AM$3:$AM$306=TRUE),--(calc!$AN$3:$AN$306&gt;AN296))+(SUMPRODUCT(--(calc!$AM$3:$AM$306=TRUE),--(calc!$AN$3:$AN$306=AN296))-1)/2,"")</f>
        <v/>
      </c>
      <c r="AS296" s="5">
        <f>IF(AM296,1+SUMPRODUCT(--(calc!$AM$3:$AM$306=TRUE),--(calc!$AO$3:$AO$306&gt;AO296))+(SUMPRODUCT(--(calc!$AM$3:$AM$306=TRUE),--(calc!$AO$3:$AO$306=AO296))-1)/2,"")</f>
        <v/>
      </c>
      <c r="AT296" s="5">
        <f>IF(AM296,SUMPRODUCT(--(calc!$AM$3:$AM$306=TRUE),--(ROW(calc!$AM$3:$AM$306)&gt;ROW(AM296)),--(((calc!$AR$3:$AR$306&gt;AR296)*(calc!$AS$3:$AS$306&gt;AS296)+(calc!$AR$3:$AR$306&lt;AR296)*(calc!$AS$3:$AS$306&lt;AS296))&gt;0))-SUMPRODUCT(--(calc!$AM$3:$AM$306=TRUE),--(ROW(calc!$AM$3:$AM$306)&gt;ROW(AM296)),--(((calc!$AR$3:$AR$306&gt;AR296)*(calc!$AS$3:$AS$306&lt;AS296)+(calc!$AR$3:$AR$306&lt;AR296)*(calc!$AS$3:$AS$306&gt;AS296))&gt;0)),0)</f>
        <v/>
      </c>
      <c r="AU296" s="5">
        <f>IF(mos_metrics!K295="","",mos_metrics!K295)</f>
        <v/>
      </c>
      <c r="AV296" s="2">
        <f>AND($J296,ISNUMBER(AU296),correlation!$I$30=1)</f>
        <v/>
      </c>
      <c r="AW296" s="5">
        <f>IF(AV296,$F296,"")</f>
        <v/>
      </c>
      <c r="AX296" s="5">
        <f>IF(AV296,AU296*correlation!$J$30,"")</f>
        <v/>
      </c>
      <c r="AY296" s="5">
        <f>IF(AND(AV296,ISNUMBER(correlation!$F$30)),AX296*correlation!$F$30+correlation!$G$30,"")</f>
        <v/>
      </c>
      <c r="AZ296" s="5">
        <f>IF(AND(AV296,ISNUMBER(AY296)),(AW296-AY296)^2,"")</f>
        <v/>
      </c>
      <c r="BA296" s="5">
        <f>IF(AV296,1+SUMPRODUCT(--(calc!$AV$3:$AV$306=TRUE),--(calc!$AW$3:$AW$306&gt;AW296))+(SUMPRODUCT(--(calc!$AV$3:$AV$306=TRUE),--(calc!$AW$3:$AW$306=AW296))-1)/2,"")</f>
        <v/>
      </c>
      <c r="BB296" s="5">
        <f>IF(AV296,1+SUMPRODUCT(--(calc!$AV$3:$AV$306=TRUE),--(calc!$AX$3:$AX$306&gt;AX296))+(SUMPRODUCT(--(calc!$AV$3:$AV$306=TRUE),--(calc!$AX$3:$AX$306=AX296))-1)/2,"")</f>
        <v/>
      </c>
      <c r="BC296" s="5">
        <f>IF(AV296,SUMPRODUCT(--(calc!$AV$3:$AV$306=TRUE),--(ROW(calc!$AV$3:$AV$306)&gt;ROW(AV296)),--(((calc!$BA$3:$BA$306&gt;BA296)*(calc!$BB$3:$BB$306&gt;BB296)+(calc!$BA$3:$BA$306&lt;BA296)*(calc!$BB$3:$BB$306&lt;BB296))&gt;0))-SUMPRODUCT(--(calc!$AV$3:$AV$306=TRUE),--(ROW(calc!$AV$3:$AV$306)&gt;ROW(AV296)),--(((calc!$BA$3:$BA$306&gt;BA296)*(calc!$BB$3:$BB$306&lt;BB296)+(calc!$BA$3:$BA$306&lt;BA296)*(calc!$BB$3:$BB$306&gt;BB296))&gt;0)),0)</f>
        <v/>
      </c>
      <c r="BD296" s="5">
        <f>IF(mos_metrics!L295="","",mos_metrics!L295)</f>
        <v/>
      </c>
      <c r="BE296" s="2">
        <f>AND($J296,ISNUMBER(BD296),correlation!$I$31=1)</f>
        <v/>
      </c>
      <c r="BF296" s="5">
        <f>IF(BE296,$F296,"")</f>
        <v/>
      </c>
      <c r="BG296" s="5">
        <f>IF(BE296,BD296*correlation!$J$31,"")</f>
        <v/>
      </c>
      <c r="BH296" s="5">
        <f>IF(AND(BE296,ISNUMBER(correlation!$F$31)),BG296*correlation!$F$31+correlation!$G$31,"")</f>
        <v/>
      </c>
      <c r="BI296" s="5">
        <f>IF(AND(BE296,ISNUMBER(BH296)),(BF296-BH296)^2,"")</f>
        <v/>
      </c>
      <c r="BJ296" s="5">
        <f>IF(BE296,1+SUMPRODUCT(--(calc!$BE$3:$BE$306=TRUE),--(calc!$BF$3:$BF$306&gt;BF296))+(SUMPRODUCT(--(calc!$BE$3:$BE$306=TRUE),--(calc!$BF$3:$BF$306=BF296))-1)/2,"")</f>
        <v/>
      </c>
      <c r="BK296" s="5">
        <f>IF(BE296,1+SUMPRODUCT(--(calc!$BE$3:$BE$306=TRUE),--(calc!$BG$3:$BG$306&gt;BG296))+(SUMPRODUCT(--(calc!$BE$3:$BE$306=TRUE),--(calc!$BG$3:$BG$306=BG296))-1)/2,"")</f>
        <v/>
      </c>
      <c r="BL296" s="5">
        <f>IF(BE296,SUMPRODUCT(--(calc!$BE$3:$BE$306=TRUE),--(ROW(calc!$BE$3:$BE$306)&gt;ROW(BE296)),--(((calc!$BJ$3:$BJ$306&gt;BJ296)*(calc!$BK$3:$BK$306&gt;BK296)+(calc!$BJ$3:$BJ$306&lt;BJ296)*(calc!$BK$3:$BK$306&lt;BK296))&gt;0))-SUMPRODUCT(--(calc!$BE$3:$BE$306=TRUE),--(ROW(calc!$BE$3:$BE$306)&gt;ROW(BE296)),--(((calc!$BJ$3:$BJ$306&gt;BJ296)*(calc!$BK$3:$BK$306&lt;BK296)+(calc!$BJ$3:$BJ$306&lt;BJ296)*(calc!$BK$3:$BK$306&gt;BK296))&gt;0)),0)</f>
        <v/>
      </c>
      <c r="BM296" s="5">
        <f>IF(mos_metrics!M295="","",mos_metrics!M295)</f>
        <v/>
      </c>
      <c r="BN296" s="2">
        <f>AND($J296,ISNUMBER(BM296),correlation!$I$32=1)</f>
        <v/>
      </c>
      <c r="BO296" s="5">
        <f>IF(BN296,$F296,"")</f>
        <v/>
      </c>
      <c r="BP296" s="5">
        <f>IF(BN296,BM296*correlation!$J$32,"")</f>
        <v/>
      </c>
      <c r="BQ296" s="5">
        <f>IF(AND(BN296,ISNUMBER(correlation!$F$32)),BP296*correlation!$F$32+correlation!$G$32,"")</f>
        <v/>
      </c>
      <c r="BR296" s="5">
        <f>IF(AND(BN296,ISNUMBER(BQ296)),(BO296-BQ296)^2,"")</f>
        <v/>
      </c>
      <c r="BS296" s="5">
        <f>IF(BN296,1+SUMPRODUCT(--(calc!$BN$3:$BN$306=TRUE),--(calc!$BO$3:$BO$306&gt;BO296))+(SUMPRODUCT(--(calc!$BN$3:$BN$306=TRUE),--(calc!$BO$3:$BO$306=BO296))-1)/2,"")</f>
        <v/>
      </c>
      <c r="BT296" s="5">
        <f>IF(BN296,1+SUMPRODUCT(--(calc!$BN$3:$BN$306=TRUE),--(calc!$BP$3:$BP$306&gt;BP296))+(SUMPRODUCT(--(calc!$BN$3:$BN$306=TRUE),--(calc!$BP$3:$BP$306=BP296))-1)/2,"")</f>
        <v/>
      </c>
      <c r="BU296" s="5">
        <f>IF(BN296,SUMPRODUCT(--(calc!$BN$3:$BN$306=TRUE),--(ROW(calc!$BN$3:$BN$306)&gt;ROW(BN296)),--(((calc!$BS$3:$BS$306&gt;BS296)*(calc!$BT$3:$BT$306&gt;BT296)+(calc!$BS$3:$BS$306&lt;BS296)*(calc!$BT$3:$BT$306&lt;BT296))&gt;0))-SUMPRODUCT(--(calc!$BN$3:$BN$306=TRUE),--(ROW(calc!$BN$3:$BN$306)&gt;ROW(BN296)),--(((calc!$BS$3:$BS$306&gt;BS296)*(calc!$BT$3:$BT$306&lt;BT296)+(calc!$BS$3:$BS$306&lt;BS296)*(calc!$BT$3:$BT$306&gt;BT296))&gt;0)),0)</f>
        <v/>
      </c>
    </row>
    <row r="297">
      <c r="A297" s="2">
        <f>mos_metrics!A296</f>
        <v/>
      </c>
      <c r="B297" s="2">
        <f>mos_metrics!B296</f>
        <v/>
      </c>
      <c r="C297" s="2">
        <f>mos_metrics!C296</f>
        <v/>
      </c>
      <c r="D297" s="2">
        <f>mos_metrics!D296</f>
        <v/>
      </c>
      <c r="E297" s="2">
        <f>mos_metrics!E296</f>
        <v/>
      </c>
      <c r="F297" s="2">
        <f>mos_metrics!F296</f>
        <v/>
      </c>
      <c r="G297" s="2">
        <f>IF($B297="","",IFERROR(VLOOKUP($B297,correlation!$A$2:$B$16,2,FALSE),1))</f>
        <v/>
      </c>
      <c r="H297" s="2">
        <f>IF($E297="","",IFERROR(VLOOKUP($E297,correlation!$D$2:$E$8,2,FALSE),1))</f>
        <v/>
      </c>
      <c r="I297" s="2">
        <f>ISNUMBER($F297)</f>
        <v/>
      </c>
      <c r="J297" s="2">
        <f>AND($G297=1,$H297=1,$I297)</f>
        <v/>
      </c>
      <c r="K297" s="5">
        <f>IF(mos_metrics!G296="","",mos_metrics!G296)</f>
        <v/>
      </c>
      <c r="L297" s="2">
        <f>AND($J297,ISNUMBER(K297),correlation!$I$26=1)</f>
        <v/>
      </c>
      <c r="M297" s="5">
        <f>IF(L297,$F297,"")</f>
        <v/>
      </c>
      <c r="N297" s="5">
        <f>IF(L297,K297*correlation!$J$26,"")</f>
        <v/>
      </c>
      <c r="O297" s="5">
        <f>IF(AND(L297,ISNUMBER(correlation!$F$26)),N297*correlation!$F$26+correlation!$G$26,"")</f>
        <v/>
      </c>
      <c r="P297" s="5">
        <f>IF(AND(L297,ISNUMBER(O297)),(M297-O297)^2,"")</f>
        <v/>
      </c>
      <c r="Q297" s="5">
        <f>IF(L297,1+SUMPRODUCT(--(calc!$L$3:$L$306=TRUE),--(calc!$M$3:$M$306&gt;M297))+(SUMPRODUCT(--(calc!$L$3:$L$306=TRUE),--(calc!$M$3:$M$306=M297))-1)/2,"")</f>
        <v/>
      </c>
      <c r="R297" s="5">
        <f>IF(L297,1+SUMPRODUCT(--(calc!$L$3:$L$306=TRUE),--(calc!$N$3:$N$306&gt;N297))+(SUMPRODUCT(--(calc!$L$3:$L$306=TRUE),--(calc!$N$3:$N$306=N297))-1)/2,"")</f>
        <v/>
      </c>
      <c r="S297" s="5">
        <f>IF(L297,SUMPRODUCT(--(calc!$L$3:$L$306=TRUE),--(ROW(calc!$L$3:$L$306)&gt;ROW(L297)),--(((calc!$Q$3:$Q$306&gt;Q297)*(calc!$R$3:$R$306&gt;R297)+(calc!$Q$3:$Q$306&lt;Q297)*(calc!$R$3:$R$306&lt;R297))&gt;0))-SUMPRODUCT(--(calc!$L$3:$L$306=TRUE),--(ROW(calc!$L$3:$L$306)&gt;ROW(L297)),--(((calc!$Q$3:$Q$306&gt;Q297)*(calc!$R$3:$R$306&lt;R297)+(calc!$Q$3:$Q$306&lt;Q297)*(calc!$R$3:$R$306&gt;R297))&gt;0)),0)</f>
        <v/>
      </c>
      <c r="T297" s="5">
        <f>IF(mos_metrics!H296="","",mos_metrics!H296)</f>
        <v/>
      </c>
      <c r="U297" s="2">
        <f>AND($J297,ISNUMBER(T297),correlation!$I$27=1)</f>
        <v/>
      </c>
      <c r="V297" s="5">
        <f>IF(U297,$F297,"")</f>
        <v/>
      </c>
      <c r="W297" s="5">
        <f>IF(U297,T297*correlation!$J$27,"")</f>
        <v/>
      </c>
      <c r="X297" s="5">
        <f>IF(AND(U297,ISNUMBER(correlation!$F$27)),W297*correlation!$F$27+correlation!$G$27,"")</f>
        <v/>
      </c>
      <c r="Y297" s="5">
        <f>IF(AND(U297,ISNUMBER(X297)),(V297-X297)^2,"")</f>
        <v/>
      </c>
      <c r="Z297" s="5">
        <f>IF(U297,1+SUMPRODUCT(--(calc!$U$3:$U$306=TRUE),--(calc!$V$3:$V$306&gt;V297))+(SUMPRODUCT(--(calc!$U$3:$U$306=TRUE),--(calc!$V$3:$V$306=V297))-1)/2,"")</f>
        <v/>
      </c>
      <c r="AA297" s="5">
        <f>IF(U297,1+SUMPRODUCT(--(calc!$U$3:$U$306=TRUE),--(calc!$W$3:$W$306&gt;W297))+(SUMPRODUCT(--(calc!$U$3:$U$306=TRUE),--(calc!$W$3:$W$306=W297))-1)/2,"")</f>
        <v/>
      </c>
      <c r="AB297" s="5">
        <f>IF(U297,SUMPRODUCT(--(calc!$U$3:$U$306=TRUE),--(ROW(calc!$U$3:$U$306)&gt;ROW(U297)),--(((calc!$Z$3:$Z$306&gt;Z297)*(calc!$AA$3:$AA$306&gt;AA297)+(calc!$Z$3:$Z$306&lt;Z297)*(calc!$AA$3:$AA$306&lt;AA297))&gt;0))-SUMPRODUCT(--(calc!$U$3:$U$306=TRUE),--(ROW(calc!$U$3:$U$306)&gt;ROW(U297)),--(((calc!$Z$3:$Z$306&gt;Z297)*(calc!$AA$3:$AA$306&lt;AA297)+(calc!$Z$3:$Z$306&lt;Z297)*(calc!$AA$3:$AA$306&gt;AA297))&gt;0)),0)</f>
        <v/>
      </c>
      <c r="AC297" s="5">
        <f>IF(mos_metrics!I296="","",mos_metrics!I296)</f>
        <v/>
      </c>
      <c r="AD297" s="2">
        <f>AND($J297,ISNUMBER(AC297),correlation!$I$28=1)</f>
        <v/>
      </c>
      <c r="AE297" s="5">
        <f>IF(AD297,$F297,"")</f>
        <v/>
      </c>
      <c r="AF297" s="5">
        <f>IF(AD297,AC297*correlation!$J$28,"")</f>
        <v/>
      </c>
      <c r="AG297" s="5">
        <f>IF(AND(AD297,ISNUMBER(correlation!$F$28)),AF297*correlation!$F$28+correlation!$G$28,"")</f>
        <v/>
      </c>
      <c r="AH297" s="5">
        <f>IF(AND(AD297,ISNUMBER(AG297)),(AE297-AG297)^2,"")</f>
        <v/>
      </c>
      <c r="AI297" s="5">
        <f>IF(AD297,1+SUMPRODUCT(--(calc!$AD$3:$AD$306=TRUE),--(calc!$AE$3:$AE$306&gt;AE297))+(SUMPRODUCT(--(calc!$AD$3:$AD$306=TRUE),--(calc!$AE$3:$AE$306=AE297))-1)/2,"")</f>
        <v/>
      </c>
      <c r="AJ297" s="5">
        <f>IF(AD297,1+SUMPRODUCT(--(calc!$AD$3:$AD$306=TRUE),--(calc!$AF$3:$AF$306&gt;AF297))+(SUMPRODUCT(--(calc!$AD$3:$AD$306=TRUE),--(calc!$AF$3:$AF$306=AF297))-1)/2,"")</f>
        <v/>
      </c>
      <c r="AK297" s="5">
        <f>IF(AD297,SUMPRODUCT(--(calc!$AD$3:$AD$306=TRUE),--(ROW(calc!$AD$3:$AD$306)&gt;ROW(AD297)),--(((calc!$AI$3:$AI$306&gt;AI297)*(calc!$AJ$3:$AJ$306&gt;AJ297)+(calc!$AI$3:$AI$306&lt;AI297)*(calc!$AJ$3:$AJ$306&lt;AJ297))&gt;0))-SUMPRODUCT(--(calc!$AD$3:$AD$306=TRUE),--(ROW(calc!$AD$3:$AD$306)&gt;ROW(AD297)),--(((calc!$AI$3:$AI$306&gt;AI297)*(calc!$AJ$3:$AJ$306&lt;AJ297)+(calc!$AI$3:$AI$306&lt;AI297)*(calc!$AJ$3:$AJ$306&gt;AJ297))&gt;0)),0)</f>
        <v/>
      </c>
      <c r="AL297" s="5">
        <f>IF(mos_metrics!J296="","",mos_metrics!J296)</f>
        <v/>
      </c>
      <c r="AM297" s="2">
        <f>AND($J297,ISNUMBER(AL297),correlation!$I$29=1)</f>
        <v/>
      </c>
      <c r="AN297" s="5">
        <f>IF(AM297,$F297,"")</f>
        <v/>
      </c>
      <c r="AO297" s="5">
        <f>IF(AM297,AL297*correlation!$J$29,"")</f>
        <v/>
      </c>
      <c r="AP297" s="5">
        <f>IF(AND(AM297,ISNUMBER(correlation!$F$29)),AO297*correlation!$F$29+correlation!$G$29,"")</f>
        <v/>
      </c>
      <c r="AQ297" s="5">
        <f>IF(AND(AM297,ISNUMBER(AP297)),(AN297-AP297)^2,"")</f>
        <v/>
      </c>
      <c r="AR297" s="5">
        <f>IF(AM297,1+SUMPRODUCT(--(calc!$AM$3:$AM$306=TRUE),--(calc!$AN$3:$AN$306&gt;AN297))+(SUMPRODUCT(--(calc!$AM$3:$AM$306=TRUE),--(calc!$AN$3:$AN$306=AN297))-1)/2,"")</f>
        <v/>
      </c>
      <c r="AS297" s="5">
        <f>IF(AM297,1+SUMPRODUCT(--(calc!$AM$3:$AM$306=TRUE),--(calc!$AO$3:$AO$306&gt;AO297))+(SUMPRODUCT(--(calc!$AM$3:$AM$306=TRUE),--(calc!$AO$3:$AO$306=AO297))-1)/2,"")</f>
        <v/>
      </c>
      <c r="AT297" s="5">
        <f>IF(AM297,SUMPRODUCT(--(calc!$AM$3:$AM$306=TRUE),--(ROW(calc!$AM$3:$AM$306)&gt;ROW(AM297)),--(((calc!$AR$3:$AR$306&gt;AR297)*(calc!$AS$3:$AS$306&gt;AS297)+(calc!$AR$3:$AR$306&lt;AR297)*(calc!$AS$3:$AS$306&lt;AS297))&gt;0))-SUMPRODUCT(--(calc!$AM$3:$AM$306=TRUE),--(ROW(calc!$AM$3:$AM$306)&gt;ROW(AM297)),--(((calc!$AR$3:$AR$306&gt;AR297)*(calc!$AS$3:$AS$306&lt;AS297)+(calc!$AR$3:$AR$306&lt;AR297)*(calc!$AS$3:$AS$306&gt;AS297))&gt;0)),0)</f>
        <v/>
      </c>
      <c r="AU297" s="5">
        <f>IF(mos_metrics!K296="","",mos_metrics!K296)</f>
        <v/>
      </c>
      <c r="AV297" s="2">
        <f>AND($J297,ISNUMBER(AU297),correlation!$I$30=1)</f>
        <v/>
      </c>
      <c r="AW297" s="5">
        <f>IF(AV297,$F297,"")</f>
        <v/>
      </c>
      <c r="AX297" s="5">
        <f>IF(AV297,AU297*correlation!$J$30,"")</f>
        <v/>
      </c>
      <c r="AY297" s="5">
        <f>IF(AND(AV297,ISNUMBER(correlation!$F$30)),AX297*correlation!$F$30+correlation!$G$30,"")</f>
        <v/>
      </c>
      <c r="AZ297" s="5">
        <f>IF(AND(AV297,ISNUMBER(AY297)),(AW297-AY297)^2,"")</f>
        <v/>
      </c>
      <c r="BA297" s="5">
        <f>IF(AV297,1+SUMPRODUCT(--(calc!$AV$3:$AV$306=TRUE),--(calc!$AW$3:$AW$306&gt;AW297))+(SUMPRODUCT(--(calc!$AV$3:$AV$306=TRUE),--(calc!$AW$3:$AW$306=AW297))-1)/2,"")</f>
        <v/>
      </c>
      <c r="BB297" s="5">
        <f>IF(AV297,1+SUMPRODUCT(--(calc!$AV$3:$AV$306=TRUE),--(calc!$AX$3:$AX$306&gt;AX297))+(SUMPRODUCT(--(calc!$AV$3:$AV$306=TRUE),--(calc!$AX$3:$AX$306=AX297))-1)/2,"")</f>
        <v/>
      </c>
      <c r="BC297" s="5">
        <f>IF(AV297,SUMPRODUCT(--(calc!$AV$3:$AV$306=TRUE),--(ROW(calc!$AV$3:$AV$306)&gt;ROW(AV297)),--(((calc!$BA$3:$BA$306&gt;BA297)*(calc!$BB$3:$BB$306&gt;BB297)+(calc!$BA$3:$BA$306&lt;BA297)*(calc!$BB$3:$BB$306&lt;BB297))&gt;0))-SUMPRODUCT(--(calc!$AV$3:$AV$306=TRUE),--(ROW(calc!$AV$3:$AV$306)&gt;ROW(AV297)),--(((calc!$BA$3:$BA$306&gt;BA297)*(calc!$BB$3:$BB$306&lt;BB297)+(calc!$BA$3:$BA$306&lt;BA297)*(calc!$BB$3:$BB$306&gt;BB297))&gt;0)),0)</f>
        <v/>
      </c>
      <c r="BD297" s="5">
        <f>IF(mos_metrics!L296="","",mos_metrics!L296)</f>
        <v/>
      </c>
      <c r="BE297" s="2">
        <f>AND($J297,ISNUMBER(BD297),correlation!$I$31=1)</f>
        <v/>
      </c>
      <c r="BF297" s="5">
        <f>IF(BE297,$F297,"")</f>
        <v/>
      </c>
      <c r="BG297" s="5">
        <f>IF(BE297,BD297*correlation!$J$31,"")</f>
        <v/>
      </c>
      <c r="BH297" s="5">
        <f>IF(AND(BE297,ISNUMBER(correlation!$F$31)),BG297*correlation!$F$31+correlation!$G$31,"")</f>
        <v/>
      </c>
      <c r="BI297" s="5">
        <f>IF(AND(BE297,ISNUMBER(BH297)),(BF297-BH297)^2,"")</f>
        <v/>
      </c>
      <c r="BJ297" s="5">
        <f>IF(BE297,1+SUMPRODUCT(--(calc!$BE$3:$BE$306=TRUE),--(calc!$BF$3:$BF$306&gt;BF297))+(SUMPRODUCT(--(calc!$BE$3:$BE$306=TRUE),--(calc!$BF$3:$BF$306=BF297))-1)/2,"")</f>
        <v/>
      </c>
      <c r="BK297" s="5">
        <f>IF(BE297,1+SUMPRODUCT(--(calc!$BE$3:$BE$306=TRUE),--(calc!$BG$3:$BG$306&gt;BG297))+(SUMPRODUCT(--(calc!$BE$3:$BE$306=TRUE),--(calc!$BG$3:$BG$306=BG297))-1)/2,"")</f>
        <v/>
      </c>
      <c r="BL297" s="5">
        <f>IF(BE297,SUMPRODUCT(--(calc!$BE$3:$BE$306=TRUE),--(ROW(calc!$BE$3:$BE$306)&gt;ROW(BE297)),--(((calc!$BJ$3:$BJ$306&gt;BJ297)*(calc!$BK$3:$BK$306&gt;BK297)+(calc!$BJ$3:$BJ$306&lt;BJ297)*(calc!$BK$3:$BK$306&lt;BK297))&gt;0))-SUMPRODUCT(--(calc!$BE$3:$BE$306=TRUE),--(ROW(calc!$BE$3:$BE$306)&gt;ROW(BE297)),--(((calc!$BJ$3:$BJ$306&gt;BJ297)*(calc!$BK$3:$BK$306&lt;BK297)+(calc!$BJ$3:$BJ$306&lt;BJ297)*(calc!$BK$3:$BK$306&gt;BK297))&gt;0)),0)</f>
        <v/>
      </c>
      <c r="BM297" s="5">
        <f>IF(mos_metrics!M296="","",mos_metrics!M296)</f>
        <v/>
      </c>
      <c r="BN297" s="2">
        <f>AND($J297,ISNUMBER(BM297),correlation!$I$32=1)</f>
        <v/>
      </c>
      <c r="BO297" s="5">
        <f>IF(BN297,$F297,"")</f>
        <v/>
      </c>
      <c r="BP297" s="5">
        <f>IF(BN297,BM297*correlation!$J$32,"")</f>
        <v/>
      </c>
      <c r="BQ297" s="5">
        <f>IF(AND(BN297,ISNUMBER(correlation!$F$32)),BP297*correlation!$F$32+correlation!$G$32,"")</f>
        <v/>
      </c>
      <c r="BR297" s="5">
        <f>IF(AND(BN297,ISNUMBER(BQ297)),(BO297-BQ297)^2,"")</f>
        <v/>
      </c>
      <c r="BS297" s="5">
        <f>IF(BN297,1+SUMPRODUCT(--(calc!$BN$3:$BN$306=TRUE),--(calc!$BO$3:$BO$306&gt;BO297))+(SUMPRODUCT(--(calc!$BN$3:$BN$306=TRUE),--(calc!$BO$3:$BO$306=BO297))-1)/2,"")</f>
        <v/>
      </c>
      <c r="BT297" s="5">
        <f>IF(BN297,1+SUMPRODUCT(--(calc!$BN$3:$BN$306=TRUE),--(calc!$BP$3:$BP$306&gt;BP297))+(SUMPRODUCT(--(calc!$BN$3:$BN$306=TRUE),--(calc!$BP$3:$BP$306=BP297))-1)/2,"")</f>
        <v/>
      </c>
      <c r="BU297" s="5">
        <f>IF(BN297,SUMPRODUCT(--(calc!$BN$3:$BN$306=TRUE),--(ROW(calc!$BN$3:$BN$306)&gt;ROW(BN297)),--(((calc!$BS$3:$BS$306&gt;BS297)*(calc!$BT$3:$BT$306&gt;BT297)+(calc!$BS$3:$BS$306&lt;BS297)*(calc!$BT$3:$BT$306&lt;BT297))&gt;0))-SUMPRODUCT(--(calc!$BN$3:$BN$306=TRUE),--(ROW(calc!$BN$3:$BN$306)&gt;ROW(BN297)),--(((calc!$BS$3:$BS$306&gt;BS297)*(calc!$BT$3:$BT$306&lt;BT297)+(calc!$BS$3:$BS$306&lt;BS297)*(calc!$BT$3:$BT$306&gt;BT297))&gt;0)),0)</f>
        <v/>
      </c>
    </row>
    <row r="298">
      <c r="A298" s="2">
        <f>mos_metrics!A297</f>
        <v/>
      </c>
      <c r="B298" s="2">
        <f>mos_metrics!B297</f>
        <v/>
      </c>
      <c r="C298" s="2">
        <f>mos_metrics!C297</f>
        <v/>
      </c>
      <c r="D298" s="2">
        <f>mos_metrics!D297</f>
        <v/>
      </c>
      <c r="E298" s="2">
        <f>mos_metrics!E297</f>
        <v/>
      </c>
      <c r="F298" s="2">
        <f>mos_metrics!F297</f>
        <v/>
      </c>
      <c r="G298" s="2">
        <f>IF($B298="","",IFERROR(VLOOKUP($B298,correlation!$A$2:$B$16,2,FALSE),1))</f>
        <v/>
      </c>
      <c r="H298" s="2">
        <f>IF($E298="","",IFERROR(VLOOKUP($E298,correlation!$D$2:$E$8,2,FALSE),1))</f>
        <v/>
      </c>
      <c r="I298" s="2">
        <f>ISNUMBER($F298)</f>
        <v/>
      </c>
      <c r="J298" s="2">
        <f>AND($G298=1,$H298=1,$I298)</f>
        <v/>
      </c>
      <c r="K298" s="5">
        <f>IF(mos_metrics!G297="","",mos_metrics!G297)</f>
        <v/>
      </c>
      <c r="L298" s="2">
        <f>AND($J298,ISNUMBER(K298),correlation!$I$26=1)</f>
        <v/>
      </c>
      <c r="M298" s="5">
        <f>IF(L298,$F298,"")</f>
        <v/>
      </c>
      <c r="N298" s="5">
        <f>IF(L298,K298*correlation!$J$26,"")</f>
        <v/>
      </c>
      <c r="O298" s="5">
        <f>IF(AND(L298,ISNUMBER(correlation!$F$26)),N298*correlation!$F$26+correlation!$G$26,"")</f>
        <v/>
      </c>
      <c r="P298" s="5">
        <f>IF(AND(L298,ISNUMBER(O298)),(M298-O298)^2,"")</f>
        <v/>
      </c>
      <c r="Q298" s="5">
        <f>IF(L298,1+SUMPRODUCT(--(calc!$L$3:$L$306=TRUE),--(calc!$M$3:$M$306&gt;M298))+(SUMPRODUCT(--(calc!$L$3:$L$306=TRUE),--(calc!$M$3:$M$306=M298))-1)/2,"")</f>
        <v/>
      </c>
      <c r="R298" s="5">
        <f>IF(L298,1+SUMPRODUCT(--(calc!$L$3:$L$306=TRUE),--(calc!$N$3:$N$306&gt;N298))+(SUMPRODUCT(--(calc!$L$3:$L$306=TRUE),--(calc!$N$3:$N$306=N298))-1)/2,"")</f>
        <v/>
      </c>
      <c r="S298" s="5">
        <f>IF(L298,SUMPRODUCT(--(calc!$L$3:$L$306=TRUE),--(ROW(calc!$L$3:$L$306)&gt;ROW(L298)),--(((calc!$Q$3:$Q$306&gt;Q298)*(calc!$R$3:$R$306&gt;R298)+(calc!$Q$3:$Q$306&lt;Q298)*(calc!$R$3:$R$306&lt;R298))&gt;0))-SUMPRODUCT(--(calc!$L$3:$L$306=TRUE),--(ROW(calc!$L$3:$L$306)&gt;ROW(L298)),--(((calc!$Q$3:$Q$306&gt;Q298)*(calc!$R$3:$R$306&lt;R298)+(calc!$Q$3:$Q$306&lt;Q298)*(calc!$R$3:$R$306&gt;R298))&gt;0)),0)</f>
        <v/>
      </c>
      <c r="T298" s="5">
        <f>IF(mos_metrics!H297="","",mos_metrics!H297)</f>
        <v/>
      </c>
      <c r="U298" s="2">
        <f>AND($J298,ISNUMBER(T298),correlation!$I$27=1)</f>
        <v/>
      </c>
      <c r="V298" s="5">
        <f>IF(U298,$F298,"")</f>
        <v/>
      </c>
      <c r="W298" s="5">
        <f>IF(U298,T298*correlation!$J$27,"")</f>
        <v/>
      </c>
      <c r="X298" s="5">
        <f>IF(AND(U298,ISNUMBER(correlation!$F$27)),W298*correlation!$F$27+correlation!$G$27,"")</f>
        <v/>
      </c>
      <c r="Y298" s="5">
        <f>IF(AND(U298,ISNUMBER(X298)),(V298-X298)^2,"")</f>
        <v/>
      </c>
      <c r="Z298" s="5">
        <f>IF(U298,1+SUMPRODUCT(--(calc!$U$3:$U$306=TRUE),--(calc!$V$3:$V$306&gt;V298))+(SUMPRODUCT(--(calc!$U$3:$U$306=TRUE),--(calc!$V$3:$V$306=V298))-1)/2,"")</f>
        <v/>
      </c>
      <c r="AA298" s="5">
        <f>IF(U298,1+SUMPRODUCT(--(calc!$U$3:$U$306=TRUE),--(calc!$W$3:$W$306&gt;W298))+(SUMPRODUCT(--(calc!$U$3:$U$306=TRUE),--(calc!$W$3:$W$306=W298))-1)/2,"")</f>
        <v/>
      </c>
      <c r="AB298" s="5">
        <f>IF(U298,SUMPRODUCT(--(calc!$U$3:$U$306=TRUE),--(ROW(calc!$U$3:$U$306)&gt;ROW(U298)),--(((calc!$Z$3:$Z$306&gt;Z298)*(calc!$AA$3:$AA$306&gt;AA298)+(calc!$Z$3:$Z$306&lt;Z298)*(calc!$AA$3:$AA$306&lt;AA298))&gt;0))-SUMPRODUCT(--(calc!$U$3:$U$306=TRUE),--(ROW(calc!$U$3:$U$306)&gt;ROW(U298)),--(((calc!$Z$3:$Z$306&gt;Z298)*(calc!$AA$3:$AA$306&lt;AA298)+(calc!$Z$3:$Z$306&lt;Z298)*(calc!$AA$3:$AA$306&gt;AA298))&gt;0)),0)</f>
        <v/>
      </c>
      <c r="AC298" s="5">
        <f>IF(mos_metrics!I297="","",mos_metrics!I297)</f>
        <v/>
      </c>
      <c r="AD298" s="2">
        <f>AND($J298,ISNUMBER(AC298),correlation!$I$28=1)</f>
        <v/>
      </c>
      <c r="AE298" s="5">
        <f>IF(AD298,$F298,"")</f>
        <v/>
      </c>
      <c r="AF298" s="5">
        <f>IF(AD298,AC298*correlation!$J$28,"")</f>
        <v/>
      </c>
      <c r="AG298" s="5">
        <f>IF(AND(AD298,ISNUMBER(correlation!$F$28)),AF298*correlation!$F$28+correlation!$G$28,"")</f>
        <v/>
      </c>
      <c r="AH298" s="5">
        <f>IF(AND(AD298,ISNUMBER(AG298)),(AE298-AG298)^2,"")</f>
        <v/>
      </c>
      <c r="AI298" s="5">
        <f>IF(AD298,1+SUMPRODUCT(--(calc!$AD$3:$AD$306=TRUE),--(calc!$AE$3:$AE$306&gt;AE298))+(SUMPRODUCT(--(calc!$AD$3:$AD$306=TRUE),--(calc!$AE$3:$AE$306=AE298))-1)/2,"")</f>
        <v/>
      </c>
      <c r="AJ298" s="5">
        <f>IF(AD298,1+SUMPRODUCT(--(calc!$AD$3:$AD$306=TRUE),--(calc!$AF$3:$AF$306&gt;AF298))+(SUMPRODUCT(--(calc!$AD$3:$AD$306=TRUE),--(calc!$AF$3:$AF$306=AF298))-1)/2,"")</f>
        <v/>
      </c>
      <c r="AK298" s="5">
        <f>IF(AD298,SUMPRODUCT(--(calc!$AD$3:$AD$306=TRUE),--(ROW(calc!$AD$3:$AD$306)&gt;ROW(AD298)),--(((calc!$AI$3:$AI$306&gt;AI298)*(calc!$AJ$3:$AJ$306&gt;AJ298)+(calc!$AI$3:$AI$306&lt;AI298)*(calc!$AJ$3:$AJ$306&lt;AJ298))&gt;0))-SUMPRODUCT(--(calc!$AD$3:$AD$306=TRUE),--(ROW(calc!$AD$3:$AD$306)&gt;ROW(AD298)),--(((calc!$AI$3:$AI$306&gt;AI298)*(calc!$AJ$3:$AJ$306&lt;AJ298)+(calc!$AI$3:$AI$306&lt;AI298)*(calc!$AJ$3:$AJ$306&gt;AJ298))&gt;0)),0)</f>
        <v/>
      </c>
      <c r="AL298" s="5">
        <f>IF(mos_metrics!J297="","",mos_metrics!J297)</f>
        <v/>
      </c>
      <c r="AM298" s="2">
        <f>AND($J298,ISNUMBER(AL298),correlation!$I$29=1)</f>
        <v/>
      </c>
      <c r="AN298" s="5">
        <f>IF(AM298,$F298,"")</f>
        <v/>
      </c>
      <c r="AO298" s="5">
        <f>IF(AM298,AL298*correlation!$J$29,"")</f>
        <v/>
      </c>
      <c r="AP298" s="5">
        <f>IF(AND(AM298,ISNUMBER(correlation!$F$29)),AO298*correlation!$F$29+correlation!$G$29,"")</f>
        <v/>
      </c>
      <c r="AQ298" s="5">
        <f>IF(AND(AM298,ISNUMBER(AP298)),(AN298-AP298)^2,"")</f>
        <v/>
      </c>
      <c r="AR298" s="5">
        <f>IF(AM298,1+SUMPRODUCT(--(calc!$AM$3:$AM$306=TRUE),--(calc!$AN$3:$AN$306&gt;AN298))+(SUMPRODUCT(--(calc!$AM$3:$AM$306=TRUE),--(calc!$AN$3:$AN$306=AN298))-1)/2,"")</f>
        <v/>
      </c>
      <c r="AS298" s="5">
        <f>IF(AM298,1+SUMPRODUCT(--(calc!$AM$3:$AM$306=TRUE),--(calc!$AO$3:$AO$306&gt;AO298))+(SUMPRODUCT(--(calc!$AM$3:$AM$306=TRUE),--(calc!$AO$3:$AO$306=AO298))-1)/2,"")</f>
        <v/>
      </c>
      <c r="AT298" s="5">
        <f>IF(AM298,SUMPRODUCT(--(calc!$AM$3:$AM$306=TRUE),--(ROW(calc!$AM$3:$AM$306)&gt;ROW(AM298)),--(((calc!$AR$3:$AR$306&gt;AR298)*(calc!$AS$3:$AS$306&gt;AS298)+(calc!$AR$3:$AR$306&lt;AR298)*(calc!$AS$3:$AS$306&lt;AS298))&gt;0))-SUMPRODUCT(--(calc!$AM$3:$AM$306=TRUE),--(ROW(calc!$AM$3:$AM$306)&gt;ROW(AM298)),--(((calc!$AR$3:$AR$306&gt;AR298)*(calc!$AS$3:$AS$306&lt;AS298)+(calc!$AR$3:$AR$306&lt;AR298)*(calc!$AS$3:$AS$306&gt;AS298))&gt;0)),0)</f>
        <v/>
      </c>
      <c r="AU298" s="5">
        <f>IF(mos_metrics!K297="","",mos_metrics!K297)</f>
        <v/>
      </c>
      <c r="AV298" s="2">
        <f>AND($J298,ISNUMBER(AU298),correlation!$I$30=1)</f>
        <v/>
      </c>
      <c r="AW298" s="5">
        <f>IF(AV298,$F298,"")</f>
        <v/>
      </c>
      <c r="AX298" s="5">
        <f>IF(AV298,AU298*correlation!$J$30,"")</f>
        <v/>
      </c>
      <c r="AY298" s="5">
        <f>IF(AND(AV298,ISNUMBER(correlation!$F$30)),AX298*correlation!$F$30+correlation!$G$30,"")</f>
        <v/>
      </c>
      <c r="AZ298" s="5">
        <f>IF(AND(AV298,ISNUMBER(AY298)),(AW298-AY298)^2,"")</f>
        <v/>
      </c>
      <c r="BA298" s="5">
        <f>IF(AV298,1+SUMPRODUCT(--(calc!$AV$3:$AV$306=TRUE),--(calc!$AW$3:$AW$306&gt;AW298))+(SUMPRODUCT(--(calc!$AV$3:$AV$306=TRUE),--(calc!$AW$3:$AW$306=AW298))-1)/2,"")</f>
        <v/>
      </c>
      <c r="BB298" s="5">
        <f>IF(AV298,1+SUMPRODUCT(--(calc!$AV$3:$AV$306=TRUE),--(calc!$AX$3:$AX$306&gt;AX298))+(SUMPRODUCT(--(calc!$AV$3:$AV$306=TRUE),--(calc!$AX$3:$AX$306=AX298))-1)/2,"")</f>
        <v/>
      </c>
      <c r="BC298" s="5">
        <f>IF(AV298,SUMPRODUCT(--(calc!$AV$3:$AV$306=TRUE),--(ROW(calc!$AV$3:$AV$306)&gt;ROW(AV298)),--(((calc!$BA$3:$BA$306&gt;BA298)*(calc!$BB$3:$BB$306&gt;BB298)+(calc!$BA$3:$BA$306&lt;BA298)*(calc!$BB$3:$BB$306&lt;BB298))&gt;0))-SUMPRODUCT(--(calc!$AV$3:$AV$306=TRUE),--(ROW(calc!$AV$3:$AV$306)&gt;ROW(AV298)),--(((calc!$BA$3:$BA$306&gt;BA298)*(calc!$BB$3:$BB$306&lt;BB298)+(calc!$BA$3:$BA$306&lt;BA298)*(calc!$BB$3:$BB$306&gt;BB298))&gt;0)),0)</f>
        <v/>
      </c>
      <c r="BD298" s="5">
        <f>IF(mos_metrics!L297="","",mos_metrics!L297)</f>
        <v/>
      </c>
      <c r="BE298" s="2">
        <f>AND($J298,ISNUMBER(BD298),correlation!$I$31=1)</f>
        <v/>
      </c>
      <c r="BF298" s="5">
        <f>IF(BE298,$F298,"")</f>
        <v/>
      </c>
      <c r="BG298" s="5">
        <f>IF(BE298,BD298*correlation!$J$31,"")</f>
        <v/>
      </c>
      <c r="BH298" s="5">
        <f>IF(AND(BE298,ISNUMBER(correlation!$F$31)),BG298*correlation!$F$31+correlation!$G$31,"")</f>
        <v/>
      </c>
      <c r="BI298" s="5">
        <f>IF(AND(BE298,ISNUMBER(BH298)),(BF298-BH298)^2,"")</f>
        <v/>
      </c>
      <c r="BJ298" s="5">
        <f>IF(BE298,1+SUMPRODUCT(--(calc!$BE$3:$BE$306=TRUE),--(calc!$BF$3:$BF$306&gt;BF298))+(SUMPRODUCT(--(calc!$BE$3:$BE$306=TRUE),--(calc!$BF$3:$BF$306=BF298))-1)/2,"")</f>
        <v/>
      </c>
      <c r="BK298" s="5">
        <f>IF(BE298,1+SUMPRODUCT(--(calc!$BE$3:$BE$306=TRUE),--(calc!$BG$3:$BG$306&gt;BG298))+(SUMPRODUCT(--(calc!$BE$3:$BE$306=TRUE),--(calc!$BG$3:$BG$306=BG298))-1)/2,"")</f>
        <v/>
      </c>
      <c r="BL298" s="5">
        <f>IF(BE298,SUMPRODUCT(--(calc!$BE$3:$BE$306=TRUE),--(ROW(calc!$BE$3:$BE$306)&gt;ROW(BE298)),--(((calc!$BJ$3:$BJ$306&gt;BJ298)*(calc!$BK$3:$BK$306&gt;BK298)+(calc!$BJ$3:$BJ$306&lt;BJ298)*(calc!$BK$3:$BK$306&lt;BK298))&gt;0))-SUMPRODUCT(--(calc!$BE$3:$BE$306=TRUE),--(ROW(calc!$BE$3:$BE$306)&gt;ROW(BE298)),--(((calc!$BJ$3:$BJ$306&gt;BJ298)*(calc!$BK$3:$BK$306&lt;BK298)+(calc!$BJ$3:$BJ$306&lt;BJ298)*(calc!$BK$3:$BK$306&gt;BK298))&gt;0)),0)</f>
        <v/>
      </c>
      <c r="BM298" s="5">
        <f>IF(mos_metrics!M297="","",mos_metrics!M297)</f>
        <v/>
      </c>
      <c r="BN298" s="2">
        <f>AND($J298,ISNUMBER(BM298),correlation!$I$32=1)</f>
        <v/>
      </c>
      <c r="BO298" s="5">
        <f>IF(BN298,$F298,"")</f>
        <v/>
      </c>
      <c r="BP298" s="5">
        <f>IF(BN298,BM298*correlation!$J$32,"")</f>
        <v/>
      </c>
      <c r="BQ298" s="5">
        <f>IF(AND(BN298,ISNUMBER(correlation!$F$32)),BP298*correlation!$F$32+correlation!$G$32,"")</f>
        <v/>
      </c>
      <c r="BR298" s="5">
        <f>IF(AND(BN298,ISNUMBER(BQ298)),(BO298-BQ298)^2,"")</f>
        <v/>
      </c>
      <c r="BS298" s="5">
        <f>IF(BN298,1+SUMPRODUCT(--(calc!$BN$3:$BN$306=TRUE),--(calc!$BO$3:$BO$306&gt;BO298))+(SUMPRODUCT(--(calc!$BN$3:$BN$306=TRUE),--(calc!$BO$3:$BO$306=BO298))-1)/2,"")</f>
        <v/>
      </c>
      <c r="BT298" s="5">
        <f>IF(BN298,1+SUMPRODUCT(--(calc!$BN$3:$BN$306=TRUE),--(calc!$BP$3:$BP$306&gt;BP298))+(SUMPRODUCT(--(calc!$BN$3:$BN$306=TRUE),--(calc!$BP$3:$BP$306=BP298))-1)/2,"")</f>
        <v/>
      </c>
      <c r="BU298" s="5">
        <f>IF(BN298,SUMPRODUCT(--(calc!$BN$3:$BN$306=TRUE),--(ROW(calc!$BN$3:$BN$306)&gt;ROW(BN298)),--(((calc!$BS$3:$BS$306&gt;BS298)*(calc!$BT$3:$BT$306&gt;BT298)+(calc!$BS$3:$BS$306&lt;BS298)*(calc!$BT$3:$BT$306&lt;BT298))&gt;0))-SUMPRODUCT(--(calc!$BN$3:$BN$306=TRUE),--(ROW(calc!$BN$3:$BN$306)&gt;ROW(BN298)),--(((calc!$BS$3:$BS$306&gt;BS298)*(calc!$BT$3:$BT$306&lt;BT298)+(calc!$BS$3:$BS$306&lt;BS298)*(calc!$BT$3:$BT$306&gt;BT298))&gt;0)),0)</f>
        <v/>
      </c>
    </row>
    <row r="299">
      <c r="A299" s="2">
        <f>mos_metrics!A298</f>
        <v/>
      </c>
      <c r="B299" s="2">
        <f>mos_metrics!B298</f>
        <v/>
      </c>
      <c r="C299" s="2">
        <f>mos_metrics!C298</f>
        <v/>
      </c>
      <c r="D299" s="2">
        <f>mos_metrics!D298</f>
        <v/>
      </c>
      <c r="E299" s="2">
        <f>mos_metrics!E298</f>
        <v/>
      </c>
      <c r="F299" s="2">
        <f>mos_metrics!F298</f>
        <v/>
      </c>
      <c r="G299" s="2">
        <f>IF($B299="","",IFERROR(VLOOKUP($B299,correlation!$A$2:$B$16,2,FALSE),1))</f>
        <v/>
      </c>
      <c r="H299" s="2">
        <f>IF($E299="","",IFERROR(VLOOKUP($E299,correlation!$D$2:$E$8,2,FALSE),1))</f>
        <v/>
      </c>
      <c r="I299" s="2">
        <f>ISNUMBER($F299)</f>
        <v/>
      </c>
      <c r="J299" s="2">
        <f>AND($G299=1,$H299=1,$I299)</f>
        <v/>
      </c>
      <c r="K299" s="5">
        <f>IF(mos_metrics!G298="","",mos_metrics!G298)</f>
        <v/>
      </c>
      <c r="L299" s="2">
        <f>AND($J299,ISNUMBER(K299),correlation!$I$26=1)</f>
        <v/>
      </c>
      <c r="M299" s="5">
        <f>IF(L299,$F299,"")</f>
        <v/>
      </c>
      <c r="N299" s="5">
        <f>IF(L299,K299*correlation!$J$26,"")</f>
        <v/>
      </c>
      <c r="O299" s="5">
        <f>IF(AND(L299,ISNUMBER(correlation!$F$26)),N299*correlation!$F$26+correlation!$G$26,"")</f>
        <v/>
      </c>
      <c r="P299" s="5">
        <f>IF(AND(L299,ISNUMBER(O299)),(M299-O299)^2,"")</f>
        <v/>
      </c>
      <c r="Q299" s="5">
        <f>IF(L299,1+SUMPRODUCT(--(calc!$L$3:$L$306=TRUE),--(calc!$M$3:$M$306&gt;M299))+(SUMPRODUCT(--(calc!$L$3:$L$306=TRUE),--(calc!$M$3:$M$306=M299))-1)/2,"")</f>
        <v/>
      </c>
      <c r="R299" s="5">
        <f>IF(L299,1+SUMPRODUCT(--(calc!$L$3:$L$306=TRUE),--(calc!$N$3:$N$306&gt;N299))+(SUMPRODUCT(--(calc!$L$3:$L$306=TRUE),--(calc!$N$3:$N$306=N299))-1)/2,"")</f>
        <v/>
      </c>
      <c r="S299" s="5">
        <f>IF(L299,SUMPRODUCT(--(calc!$L$3:$L$306=TRUE),--(ROW(calc!$L$3:$L$306)&gt;ROW(L299)),--(((calc!$Q$3:$Q$306&gt;Q299)*(calc!$R$3:$R$306&gt;R299)+(calc!$Q$3:$Q$306&lt;Q299)*(calc!$R$3:$R$306&lt;R299))&gt;0))-SUMPRODUCT(--(calc!$L$3:$L$306=TRUE),--(ROW(calc!$L$3:$L$306)&gt;ROW(L299)),--(((calc!$Q$3:$Q$306&gt;Q299)*(calc!$R$3:$R$306&lt;R299)+(calc!$Q$3:$Q$306&lt;Q299)*(calc!$R$3:$R$306&gt;R299))&gt;0)),0)</f>
        <v/>
      </c>
      <c r="T299" s="5">
        <f>IF(mos_metrics!H298="","",mos_metrics!H298)</f>
        <v/>
      </c>
      <c r="U299" s="2">
        <f>AND($J299,ISNUMBER(T299),correlation!$I$27=1)</f>
        <v/>
      </c>
      <c r="V299" s="5">
        <f>IF(U299,$F299,"")</f>
        <v/>
      </c>
      <c r="W299" s="5">
        <f>IF(U299,T299*correlation!$J$27,"")</f>
        <v/>
      </c>
      <c r="X299" s="5">
        <f>IF(AND(U299,ISNUMBER(correlation!$F$27)),W299*correlation!$F$27+correlation!$G$27,"")</f>
        <v/>
      </c>
      <c r="Y299" s="5">
        <f>IF(AND(U299,ISNUMBER(X299)),(V299-X299)^2,"")</f>
        <v/>
      </c>
      <c r="Z299" s="5">
        <f>IF(U299,1+SUMPRODUCT(--(calc!$U$3:$U$306=TRUE),--(calc!$V$3:$V$306&gt;V299))+(SUMPRODUCT(--(calc!$U$3:$U$306=TRUE),--(calc!$V$3:$V$306=V299))-1)/2,"")</f>
        <v/>
      </c>
      <c r="AA299" s="5">
        <f>IF(U299,1+SUMPRODUCT(--(calc!$U$3:$U$306=TRUE),--(calc!$W$3:$W$306&gt;W299))+(SUMPRODUCT(--(calc!$U$3:$U$306=TRUE),--(calc!$W$3:$W$306=W299))-1)/2,"")</f>
        <v/>
      </c>
      <c r="AB299" s="5">
        <f>IF(U299,SUMPRODUCT(--(calc!$U$3:$U$306=TRUE),--(ROW(calc!$U$3:$U$306)&gt;ROW(U299)),--(((calc!$Z$3:$Z$306&gt;Z299)*(calc!$AA$3:$AA$306&gt;AA299)+(calc!$Z$3:$Z$306&lt;Z299)*(calc!$AA$3:$AA$306&lt;AA299))&gt;0))-SUMPRODUCT(--(calc!$U$3:$U$306=TRUE),--(ROW(calc!$U$3:$U$306)&gt;ROW(U299)),--(((calc!$Z$3:$Z$306&gt;Z299)*(calc!$AA$3:$AA$306&lt;AA299)+(calc!$Z$3:$Z$306&lt;Z299)*(calc!$AA$3:$AA$306&gt;AA299))&gt;0)),0)</f>
        <v/>
      </c>
      <c r="AC299" s="5">
        <f>IF(mos_metrics!I298="","",mos_metrics!I298)</f>
        <v/>
      </c>
      <c r="AD299" s="2">
        <f>AND($J299,ISNUMBER(AC299),correlation!$I$28=1)</f>
        <v/>
      </c>
      <c r="AE299" s="5">
        <f>IF(AD299,$F299,"")</f>
        <v/>
      </c>
      <c r="AF299" s="5">
        <f>IF(AD299,AC299*correlation!$J$28,"")</f>
        <v/>
      </c>
      <c r="AG299" s="5">
        <f>IF(AND(AD299,ISNUMBER(correlation!$F$28)),AF299*correlation!$F$28+correlation!$G$28,"")</f>
        <v/>
      </c>
      <c r="AH299" s="5">
        <f>IF(AND(AD299,ISNUMBER(AG299)),(AE299-AG299)^2,"")</f>
        <v/>
      </c>
      <c r="AI299" s="5">
        <f>IF(AD299,1+SUMPRODUCT(--(calc!$AD$3:$AD$306=TRUE),--(calc!$AE$3:$AE$306&gt;AE299))+(SUMPRODUCT(--(calc!$AD$3:$AD$306=TRUE),--(calc!$AE$3:$AE$306=AE299))-1)/2,"")</f>
        <v/>
      </c>
      <c r="AJ299" s="5">
        <f>IF(AD299,1+SUMPRODUCT(--(calc!$AD$3:$AD$306=TRUE),--(calc!$AF$3:$AF$306&gt;AF299))+(SUMPRODUCT(--(calc!$AD$3:$AD$306=TRUE),--(calc!$AF$3:$AF$306=AF299))-1)/2,"")</f>
        <v/>
      </c>
      <c r="AK299" s="5">
        <f>IF(AD299,SUMPRODUCT(--(calc!$AD$3:$AD$306=TRUE),--(ROW(calc!$AD$3:$AD$306)&gt;ROW(AD299)),--(((calc!$AI$3:$AI$306&gt;AI299)*(calc!$AJ$3:$AJ$306&gt;AJ299)+(calc!$AI$3:$AI$306&lt;AI299)*(calc!$AJ$3:$AJ$306&lt;AJ299))&gt;0))-SUMPRODUCT(--(calc!$AD$3:$AD$306=TRUE),--(ROW(calc!$AD$3:$AD$306)&gt;ROW(AD299)),--(((calc!$AI$3:$AI$306&gt;AI299)*(calc!$AJ$3:$AJ$306&lt;AJ299)+(calc!$AI$3:$AI$306&lt;AI299)*(calc!$AJ$3:$AJ$306&gt;AJ299))&gt;0)),0)</f>
        <v/>
      </c>
      <c r="AL299" s="5">
        <f>IF(mos_metrics!J298="","",mos_metrics!J298)</f>
        <v/>
      </c>
      <c r="AM299" s="2">
        <f>AND($J299,ISNUMBER(AL299),correlation!$I$29=1)</f>
        <v/>
      </c>
      <c r="AN299" s="5">
        <f>IF(AM299,$F299,"")</f>
        <v/>
      </c>
      <c r="AO299" s="5">
        <f>IF(AM299,AL299*correlation!$J$29,"")</f>
        <v/>
      </c>
      <c r="AP299" s="5">
        <f>IF(AND(AM299,ISNUMBER(correlation!$F$29)),AO299*correlation!$F$29+correlation!$G$29,"")</f>
        <v/>
      </c>
      <c r="AQ299" s="5">
        <f>IF(AND(AM299,ISNUMBER(AP299)),(AN299-AP299)^2,"")</f>
        <v/>
      </c>
      <c r="AR299" s="5">
        <f>IF(AM299,1+SUMPRODUCT(--(calc!$AM$3:$AM$306=TRUE),--(calc!$AN$3:$AN$306&gt;AN299))+(SUMPRODUCT(--(calc!$AM$3:$AM$306=TRUE),--(calc!$AN$3:$AN$306=AN299))-1)/2,"")</f>
        <v/>
      </c>
      <c r="AS299" s="5">
        <f>IF(AM299,1+SUMPRODUCT(--(calc!$AM$3:$AM$306=TRUE),--(calc!$AO$3:$AO$306&gt;AO299))+(SUMPRODUCT(--(calc!$AM$3:$AM$306=TRUE),--(calc!$AO$3:$AO$306=AO299))-1)/2,"")</f>
        <v/>
      </c>
      <c r="AT299" s="5">
        <f>IF(AM299,SUMPRODUCT(--(calc!$AM$3:$AM$306=TRUE),--(ROW(calc!$AM$3:$AM$306)&gt;ROW(AM299)),--(((calc!$AR$3:$AR$306&gt;AR299)*(calc!$AS$3:$AS$306&gt;AS299)+(calc!$AR$3:$AR$306&lt;AR299)*(calc!$AS$3:$AS$306&lt;AS299))&gt;0))-SUMPRODUCT(--(calc!$AM$3:$AM$306=TRUE),--(ROW(calc!$AM$3:$AM$306)&gt;ROW(AM299)),--(((calc!$AR$3:$AR$306&gt;AR299)*(calc!$AS$3:$AS$306&lt;AS299)+(calc!$AR$3:$AR$306&lt;AR299)*(calc!$AS$3:$AS$306&gt;AS299))&gt;0)),0)</f>
        <v/>
      </c>
      <c r="AU299" s="5">
        <f>IF(mos_metrics!K298="","",mos_metrics!K298)</f>
        <v/>
      </c>
      <c r="AV299" s="2">
        <f>AND($J299,ISNUMBER(AU299),correlation!$I$30=1)</f>
        <v/>
      </c>
      <c r="AW299" s="5">
        <f>IF(AV299,$F299,"")</f>
        <v/>
      </c>
      <c r="AX299" s="5">
        <f>IF(AV299,AU299*correlation!$J$30,"")</f>
        <v/>
      </c>
      <c r="AY299" s="5">
        <f>IF(AND(AV299,ISNUMBER(correlation!$F$30)),AX299*correlation!$F$30+correlation!$G$30,"")</f>
        <v/>
      </c>
      <c r="AZ299" s="5">
        <f>IF(AND(AV299,ISNUMBER(AY299)),(AW299-AY299)^2,"")</f>
        <v/>
      </c>
      <c r="BA299" s="5">
        <f>IF(AV299,1+SUMPRODUCT(--(calc!$AV$3:$AV$306=TRUE),--(calc!$AW$3:$AW$306&gt;AW299))+(SUMPRODUCT(--(calc!$AV$3:$AV$306=TRUE),--(calc!$AW$3:$AW$306=AW299))-1)/2,"")</f>
        <v/>
      </c>
      <c r="BB299" s="5">
        <f>IF(AV299,1+SUMPRODUCT(--(calc!$AV$3:$AV$306=TRUE),--(calc!$AX$3:$AX$306&gt;AX299))+(SUMPRODUCT(--(calc!$AV$3:$AV$306=TRUE),--(calc!$AX$3:$AX$306=AX299))-1)/2,"")</f>
        <v/>
      </c>
      <c r="BC299" s="5">
        <f>IF(AV299,SUMPRODUCT(--(calc!$AV$3:$AV$306=TRUE),--(ROW(calc!$AV$3:$AV$306)&gt;ROW(AV299)),--(((calc!$BA$3:$BA$306&gt;BA299)*(calc!$BB$3:$BB$306&gt;BB299)+(calc!$BA$3:$BA$306&lt;BA299)*(calc!$BB$3:$BB$306&lt;BB299))&gt;0))-SUMPRODUCT(--(calc!$AV$3:$AV$306=TRUE),--(ROW(calc!$AV$3:$AV$306)&gt;ROW(AV299)),--(((calc!$BA$3:$BA$306&gt;BA299)*(calc!$BB$3:$BB$306&lt;BB299)+(calc!$BA$3:$BA$306&lt;BA299)*(calc!$BB$3:$BB$306&gt;BB299))&gt;0)),0)</f>
        <v/>
      </c>
      <c r="BD299" s="5">
        <f>IF(mos_metrics!L298="","",mos_metrics!L298)</f>
        <v/>
      </c>
      <c r="BE299" s="2">
        <f>AND($J299,ISNUMBER(BD299),correlation!$I$31=1)</f>
        <v/>
      </c>
      <c r="BF299" s="5">
        <f>IF(BE299,$F299,"")</f>
        <v/>
      </c>
      <c r="BG299" s="5">
        <f>IF(BE299,BD299*correlation!$J$31,"")</f>
        <v/>
      </c>
      <c r="BH299" s="5">
        <f>IF(AND(BE299,ISNUMBER(correlation!$F$31)),BG299*correlation!$F$31+correlation!$G$31,"")</f>
        <v/>
      </c>
      <c r="BI299" s="5">
        <f>IF(AND(BE299,ISNUMBER(BH299)),(BF299-BH299)^2,"")</f>
        <v/>
      </c>
      <c r="BJ299" s="5">
        <f>IF(BE299,1+SUMPRODUCT(--(calc!$BE$3:$BE$306=TRUE),--(calc!$BF$3:$BF$306&gt;BF299))+(SUMPRODUCT(--(calc!$BE$3:$BE$306=TRUE),--(calc!$BF$3:$BF$306=BF299))-1)/2,"")</f>
        <v/>
      </c>
      <c r="BK299" s="5">
        <f>IF(BE299,1+SUMPRODUCT(--(calc!$BE$3:$BE$306=TRUE),--(calc!$BG$3:$BG$306&gt;BG299))+(SUMPRODUCT(--(calc!$BE$3:$BE$306=TRUE),--(calc!$BG$3:$BG$306=BG299))-1)/2,"")</f>
        <v/>
      </c>
      <c r="BL299" s="5">
        <f>IF(BE299,SUMPRODUCT(--(calc!$BE$3:$BE$306=TRUE),--(ROW(calc!$BE$3:$BE$306)&gt;ROW(BE299)),--(((calc!$BJ$3:$BJ$306&gt;BJ299)*(calc!$BK$3:$BK$306&gt;BK299)+(calc!$BJ$3:$BJ$306&lt;BJ299)*(calc!$BK$3:$BK$306&lt;BK299))&gt;0))-SUMPRODUCT(--(calc!$BE$3:$BE$306=TRUE),--(ROW(calc!$BE$3:$BE$306)&gt;ROW(BE299)),--(((calc!$BJ$3:$BJ$306&gt;BJ299)*(calc!$BK$3:$BK$306&lt;BK299)+(calc!$BJ$3:$BJ$306&lt;BJ299)*(calc!$BK$3:$BK$306&gt;BK299))&gt;0)),0)</f>
        <v/>
      </c>
      <c r="BM299" s="5">
        <f>IF(mos_metrics!M298="","",mos_metrics!M298)</f>
        <v/>
      </c>
      <c r="BN299" s="2">
        <f>AND($J299,ISNUMBER(BM299),correlation!$I$32=1)</f>
        <v/>
      </c>
      <c r="BO299" s="5">
        <f>IF(BN299,$F299,"")</f>
        <v/>
      </c>
      <c r="BP299" s="5">
        <f>IF(BN299,BM299*correlation!$J$32,"")</f>
        <v/>
      </c>
      <c r="BQ299" s="5">
        <f>IF(AND(BN299,ISNUMBER(correlation!$F$32)),BP299*correlation!$F$32+correlation!$G$32,"")</f>
        <v/>
      </c>
      <c r="BR299" s="5">
        <f>IF(AND(BN299,ISNUMBER(BQ299)),(BO299-BQ299)^2,"")</f>
        <v/>
      </c>
      <c r="BS299" s="5">
        <f>IF(BN299,1+SUMPRODUCT(--(calc!$BN$3:$BN$306=TRUE),--(calc!$BO$3:$BO$306&gt;BO299))+(SUMPRODUCT(--(calc!$BN$3:$BN$306=TRUE),--(calc!$BO$3:$BO$306=BO299))-1)/2,"")</f>
        <v/>
      </c>
      <c r="BT299" s="5">
        <f>IF(BN299,1+SUMPRODUCT(--(calc!$BN$3:$BN$306=TRUE),--(calc!$BP$3:$BP$306&gt;BP299))+(SUMPRODUCT(--(calc!$BN$3:$BN$306=TRUE),--(calc!$BP$3:$BP$306=BP299))-1)/2,"")</f>
        <v/>
      </c>
      <c r="BU299" s="5">
        <f>IF(BN299,SUMPRODUCT(--(calc!$BN$3:$BN$306=TRUE),--(ROW(calc!$BN$3:$BN$306)&gt;ROW(BN299)),--(((calc!$BS$3:$BS$306&gt;BS299)*(calc!$BT$3:$BT$306&gt;BT299)+(calc!$BS$3:$BS$306&lt;BS299)*(calc!$BT$3:$BT$306&lt;BT299))&gt;0))-SUMPRODUCT(--(calc!$BN$3:$BN$306=TRUE),--(ROW(calc!$BN$3:$BN$306)&gt;ROW(BN299)),--(((calc!$BS$3:$BS$306&gt;BS299)*(calc!$BT$3:$BT$306&lt;BT299)+(calc!$BS$3:$BS$306&lt;BS299)*(calc!$BT$3:$BT$306&gt;BT299))&gt;0)),0)</f>
        <v/>
      </c>
    </row>
    <row r="300">
      <c r="A300" s="2">
        <f>mos_metrics!A299</f>
        <v/>
      </c>
      <c r="B300" s="2">
        <f>mos_metrics!B299</f>
        <v/>
      </c>
      <c r="C300" s="2">
        <f>mos_metrics!C299</f>
        <v/>
      </c>
      <c r="D300" s="2">
        <f>mos_metrics!D299</f>
        <v/>
      </c>
      <c r="E300" s="2">
        <f>mos_metrics!E299</f>
        <v/>
      </c>
      <c r="F300" s="2">
        <f>mos_metrics!F299</f>
        <v/>
      </c>
      <c r="G300" s="2">
        <f>IF($B300="","",IFERROR(VLOOKUP($B300,correlation!$A$2:$B$16,2,FALSE),1))</f>
        <v/>
      </c>
      <c r="H300" s="2">
        <f>IF($E300="","",IFERROR(VLOOKUP($E300,correlation!$D$2:$E$8,2,FALSE),1))</f>
        <v/>
      </c>
      <c r="I300" s="2">
        <f>ISNUMBER($F300)</f>
        <v/>
      </c>
      <c r="J300" s="2">
        <f>AND($G300=1,$H300=1,$I300)</f>
        <v/>
      </c>
      <c r="K300" s="5">
        <f>IF(mos_metrics!G299="","",mos_metrics!G299)</f>
        <v/>
      </c>
      <c r="L300" s="2">
        <f>AND($J300,ISNUMBER(K300),correlation!$I$26=1)</f>
        <v/>
      </c>
      <c r="M300" s="5">
        <f>IF(L300,$F300,"")</f>
        <v/>
      </c>
      <c r="N300" s="5">
        <f>IF(L300,K300*correlation!$J$26,"")</f>
        <v/>
      </c>
      <c r="O300" s="5">
        <f>IF(AND(L300,ISNUMBER(correlation!$F$26)),N300*correlation!$F$26+correlation!$G$26,"")</f>
        <v/>
      </c>
      <c r="P300" s="5">
        <f>IF(AND(L300,ISNUMBER(O300)),(M300-O300)^2,"")</f>
        <v/>
      </c>
      <c r="Q300" s="5">
        <f>IF(L300,1+SUMPRODUCT(--(calc!$L$3:$L$306=TRUE),--(calc!$M$3:$M$306&gt;M300))+(SUMPRODUCT(--(calc!$L$3:$L$306=TRUE),--(calc!$M$3:$M$306=M300))-1)/2,"")</f>
        <v/>
      </c>
      <c r="R300" s="5">
        <f>IF(L300,1+SUMPRODUCT(--(calc!$L$3:$L$306=TRUE),--(calc!$N$3:$N$306&gt;N300))+(SUMPRODUCT(--(calc!$L$3:$L$306=TRUE),--(calc!$N$3:$N$306=N300))-1)/2,"")</f>
        <v/>
      </c>
      <c r="S300" s="5">
        <f>IF(L300,SUMPRODUCT(--(calc!$L$3:$L$306=TRUE),--(ROW(calc!$L$3:$L$306)&gt;ROW(L300)),--(((calc!$Q$3:$Q$306&gt;Q300)*(calc!$R$3:$R$306&gt;R300)+(calc!$Q$3:$Q$306&lt;Q300)*(calc!$R$3:$R$306&lt;R300))&gt;0))-SUMPRODUCT(--(calc!$L$3:$L$306=TRUE),--(ROW(calc!$L$3:$L$306)&gt;ROW(L300)),--(((calc!$Q$3:$Q$306&gt;Q300)*(calc!$R$3:$R$306&lt;R300)+(calc!$Q$3:$Q$306&lt;Q300)*(calc!$R$3:$R$306&gt;R300))&gt;0)),0)</f>
        <v/>
      </c>
      <c r="T300" s="5">
        <f>IF(mos_metrics!H299="","",mos_metrics!H299)</f>
        <v/>
      </c>
      <c r="U300" s="2">
        <f>AND($J300,ISNUMBER(T300),correlation!$I$27=1)</f>
        <v/>
      </c>
      <c r="V300" s="5">
        <f>IF(U300,$F300,"")</f>
        <v/>
      </c>
      <c r="W300" s="5">
        <f>IF(U300,T300*correlation!$J$27,"")</f>
        <v/>
      </c>
      <c r="X300" s="5">
        <f>IF(AND(U300,ISNUMBER(correlation!$F$27)),W300*correlation!$F$27+correlation!$G$27,"")</f>
        <v/>
      </c>
      <c r="Y300" s="5">
        <f>IF(AND(U300,ISNUMBER(X300)),(V300-X300)^2,"")</f>
        <v/>
      </c>
      <c r="Z300" s="5">
        <f>IF(U300,1+SUMPRODUCT(--(calc!$U$3:$U$306=TRUE),--(calc!$V$3:$V$306&gt;V300))+(SUMPRODUCT(--(calc!$U$3:$U$306=TRUE),--(calc!$V$3:$V$306=V300))-1)/2,"")</f>
        <v/>
      </c>
      <c r="AA300" s="5">
        <f>IF(U300,1+SUMPRODUCT(--(calc!$U$3:$U$306=TRUE),--(calc!$W$3:$W$306&gt;W300))+(SUMPRODUCT(--(calc!$U$3:$U$306=TRUE),--(calc!$W$3:$W$306=W300))-1)/2,"")</f>
        <v/>
      </c>
      <c r="AB300" s="5">
        <f>IF(U300,SUMPRODUCT(--(calc!$U$3:$U$306=TRUE),--(ROW(calc!$U$3:$U$306)&gt;ROW(U300)),--(((calc!$Z$3:$Z$306&gt;Z300)*(calc!$AA$3:$AA$306&gt;AA300)+(calc!$Z$3:$Z$306&lt;Z300)*(calc!$AA$3:$AA$306&lt;AA300))&gt;0))-SUMPRODUCT(--(calc!$U$3:$U$306=TRUE),--(ROW(calc!$U$3:$U$306)&gt;ROW(U300)),--(((calc!$Z$3:$Z$306&gt;Z300)*(calc!$AA$3:$AA$306&lt;AA300)+(calc!$Z$3:$Z$306&lt;Z300)*(calc!$AA$3:$AA$306&gt;AA300))&gt;0)),0)</f>
        <v/>
      </c>
      <c r="AC300" s="5">
        <f>IF(mos_metrics!I299="","",mos_metrics!I299)</f>
        <v/>
      </c>
      <c r="AD300" s="2">
        <f>AND($J300,ISNUMBER(AC300),correlation!$I$28=1)</f>
        <v/>
      </c>
      <c r="AE300" s="5">
        <f>IF(AD300,$F300,"")</f>
        <v/>
      </c>
      <c r="AF300" s="5">
        <f>IF(AD300,AC300*correlation!$J$28,"")</f>
        <v/>
      </c>
      <c r="AG300" s="5">
        <f>IF(AND(AD300,ISNUMBER(correlation!$F$28)),AF300*correlation!$F$28+correlation!$G$28,"")</f>
        <v/>
      </c>
      <c r="AH300" s="5">
        <f>IF(AND(AD300,ISNUMBER(AG300)),(AE300-AG300)^2,"")</f>
        <v/>
      </c>
      <c r="AI300" s="5">
        <f>IF(AD300,1+SUMPRODUCT(--(calc!$AD$3:$AD$306=TRUE),--(calc!$AE$3:$AE$306&gt;AE300))+(SUMPRODUCT(--(calc!$AD$3:$AD$306=TRUE),--(calc!$AE$3:$AE$306=AE300))-1)/2,"")</f>
        <v/>
      </c>
      <c r="AJ300" s="5">
        <f>IF(AD300,1+SUMPRODUCT(--(calc!$AD$3:$AD$306=TRUE),--(calc!$AF$3:$AF$306&gt;AF300))+(SUMPRODUCT(--(calc!$AD$3:$AD$306=TRUE),--(calc!$AF$3:$AF$306=AF300))-1)/2,"")</f>
        <v/>
      </c>
      <c r="AK300" s="5">
        <f>IF(AD300,SUMPRODUCT(--(calc!$AD$3:$AD$306=TRUE),--(ROW(calc!$AD$3:$AD$306)&gt;ROW(AD300)),--(((calc!$AI$3:$AI$306&gt;AI300)*(calc!$AJ$3:$AJ$306&gt;AJ300)+(calc!$AI$3:$AI$306&lt;AI300)*(calc!$AJ$3:$AJ$306&lt;AJ300))&gt;0))-SUMPRODUCT(--(calc!$AD$3:$AD$306=TRUE),--(ROW(calc!$AD$3:$AD$306)&gt;ROW(AD300)),--(((calc!$AI$3:$AI$306&gt;AI300)*(calc!$AJ$3:$AJ$306&lt;AJ300)+(calc!$AI$3:$AI$306&lt;AI300)*(calc!$AJ$3:$AJ$306&gt;AJ300))&gt;0)),0)</f>
        <v/>
      </c>
      <c r="AL300" s="5">
        <f>IF(mos_metrics!J299="","",mos_metrics!J299)</f>
        <v/>
      </c>
      <c r="AM300" s="2">
        <f>AND($J300,ISNUMBER(AL300),correlation!$I$29=1)</f>
        <v/>
      </c>
      <c r="AN300" s="5">
        <f>IF(AM300,$F300,"")</f>
        <v/>
      </c>
      <c r="AO300" s="5">
        <f>IF(AM300,AL300*correlation!$J$29,"")</f>
        <v/>
      </c>
      <c r="AP300" s="5">
        <f>IF(AND(AM300,ISNUMBER(correlation!$F$29)),AO300*correlation!$F$29+correlation!$G$29,"")</f>
        <v/>
      </c>
      <c r="AQ300" s="5">
        <f>IF(AND(AM300,ISNUMBER(AP300)),(AN300-AP300)^2,"")</f>
        <v/>
      </c>
      <c r="AR300" s="5">
        <f>IF(AM300,1+SUMPRODUCT(--(calc!$AM$3:$AM$306=TRUE),--(calc!$AN$3:$AN$306&gt;AN300))+(SUMPRODUCT(--(calc!$AM$3:$AM$306=TRUE),--(calc!$AN$3:$AN$306=AN300))-1)/2,"")</f>
        <v/>
      </c>
      <c r="AS300" s="5">
        <f>IF(AM300,1+SUMPRODUCT(--(calc!$AM$3:$AM$306=TRUE),--(calc!$AO$3:$AO$306&gt;AO300))+(SUMPRODUCT(--(calc!$AM$3:$AM$306=TRUE),--(calc!$AO$3:$AO$306=AO300))-1)/2,"")</f>
        <v/>
      </c>
      <c r="AT300" s="5">
        <f>IF(AM300,SUMPRODUCT(--(calc!$AM$3:$AM$306=TRUE),--(ROW(calc!$AM$3:$AM$306)&gt;ROW(AM300)),--(((calc!$AR$3:$AR$306&gt;AR300)*(calc!$AS$3:$AS$306&gt;AS300)+(calc!$AR$3:$AR$306&lt;AR300)*(calc!$AS$3:$AS$306&lt;AS300))&gt;0))-SUMPRODUCT(--(calc!$AM$3:$AM$306=TRUE),--(ROW(calc!$AM$3:$AM$306)&gt;ROW(AM300)),--(((calc!$AR$3:$AR$306&gt;AR300)*(calc!$AS$3:$AS$306&lt;AS300)+(calc!$AR$3:$AR$306&lt;AR300)*(calc!$AS$3:$AS$306&gt;AS300))&gt;0)),0)</f>
        <v/>
      </c>
      <c r="AU300" s="5">
        <f>IF(mos_metrics!K299="","",mos_metrics!K299)</f>
        <v/>
      </c>
      <c r="AV300" s="2">
        <f>AND($J300,ISNUMBER(AU300),correlation!$I$30=1)</f>
        <v/>
      </c>
      <c r="AW300" s="5">
        <f>IF(AV300,$F300,"")</f>
        <v/>
      </c>
      <c r="AX300" s="5">
        <f>IF(AV300,AU300*correlation!$J$30,"")</f>
        <v/>
      </c>
      <c r="AY300" s="5">
        <f>IF(AND(AV300,ISNUMBER(correlation!$F$30)),AX300*correlation!$F$30+correlation!$G$30,"")</f>
        <v/>
      </c>
      <c r="AZ300" s="5">
        <f>IF(AND(AV300,ISNUMBER(AY300)),(AW300-AY300)^2,"")</f>
        <v/>
      </c>
      <c r="BA300" s="5">
        <f>IF(AV300,1+SUMPRODUCT(--(calc!$AV$3:$AV$306=TRUE),--(calc!$AW$3:$AW$306&gt;AW300))+(SUMPRODUCT(--(calc!$AV$3:$AV$306=TRUE),--(calc!$AW$3:$AW$306=AW300))-1)/2,"")</f>
        <v/>
      </c>
      <c r="BB300" s="5">
        <f>IF(AV300,1+SUMPRODUCT(--(calc!$AV$3:$AV$306=TRUE),--(calc!$AX$3:$AX$306&gt;AX300))+(SUMPRODUCT(--(calc!$AV$3:$AV$306=TRUE),--(calc!$AX$3:$AX$306=AX300))-1)/2,"")</f>
        <v/>
      </c>
      <c r="BC300" s="5">
        <f>IF(AV300,SUMPRODUCT(--(calc!$AV$3:$AV$306=TRUE),--(ROW(calc!$AV$3:$AV$306)&gt;ROW(AV300)),--(((calc!$BA$3:$BA$306&gt;BA300)*(calc!$BB$3:$BB$306&gt;BB300)+(calc!$BA$3:$BA$306&lt;BA300)*(calc!$BB$3:$BB$306&lt;BB300))&gt;0))-SUMPRODUCT(--(calc!$AV$3:$AV$306=TRUE),--(ROW(calc!$AV$3:$AV$306)&gt;ROW(AV300)),--(((calc!$BA$3:$BA$306&gt;BA300)*(calc!$BB$3:$BB$306&lt;BB300)+(calc!$BA$3:$BA$306&lt;BA300)*(calc!$BB$3:$BB$306&gt;BB300))&gt;0)),0)</f>
        <v/>
      </c>
      <c r="BD300" s="5">
        <f>IF(mos_metrics!L299="","",mos_metrics!L299)</f>
        <v/>
      </c>
      <c r="BE300" s="2">
        <f>AND($J300,ISNUMBER(BD300),correlation!$I$31=1)</f>
        <v/>
      </c>
      <c r="BF300" s="5">
        <f>IF(BE300,$F300,"")</f>
        <v/>
      </c>
      <c r="BG300" s="5">
        <f>IF(BE300,BD300*correlation!$J$31,"")</f>
        <v/>
      </c>
      <c r="BH300" s="5">
        <f>IF(AND(BE300,ISNUMBER(correlation!$F$31)),BG300*correlation!$F$31+correlation!$G$31,"")</f>
        <v/>
      </c>
      <c r="BI300" s="5">
        <f>IF(AND(BE300,ISNUMBER(BH300)),(BF300-BH300)^2,"")</f>
        <v/>
      </c>
      <c r="BJ300" s="5">
        <f>IF(BE300,1+SUMPRODUCT(--(calc!$BE$3:$BE$306=TRUE),--(calc!$BF$3:$BF$306&gt;BF300))+(SUMPRODUCT(--(calc!$BE$3:$BE$306=TRUE),--(calc!$BF$3:$BF$306=BF300))-1)/2,"")</f>
        <v/>
      </c>
      <c r="BK300" s="5">
        <f>IF(BE300,1+SUMPRODUCT(--(calc!$BE$3:$BE$306=TRUE),--(calc!$BG$3:$BG$306&gt;BG300))+(SUMPRODUCT(--(calc!$BE$3:$BE$306=TRUE),--(calc!$BG$3:$BG$306=BG300))-1)/2,"")</f>
        <v/>
      </c>
      <c r="BL300" s="5">
        <f>IF(BE300,SUMPRODUCT(--(calc!$BE$3:$BE$306=TRUE),--(ROW(calc!$BE$3:$BE$306)&gt;ROW(BE300)),--(((calc!$BJ$3:$BJ$306&gt;BJ300)*(calc!$BK$3:$BK$306&gt;BK300)+(calc!$BJ$3:$BJ$306&lt;BJ300)*(calc!$BK$3:$BK$306&lt;BK300))&gt;0))-SUMPRODUCT(--(calc!$BE$3:$BE$306=TRUE),--(ROW(calc!$BE$3:$BE$306)&gt;ROW(BE300)),--(((calc!$BJ$3:$BJ$306&gt;BJ300)*(calc!$BK$3:$BK$306&lt;BK300)+(calc!$BJ$3:$BJ$306&lt;BJ300)*(calc!$BK$3:$BK$306&gt;BK300))&gt;0)),0)</f>
        <v/>
      </c>
      <c r="BM300" s="5">
        <f>IF(mos_metrics!M299="","",mos_metrics!M299)</f>
        <v/>
      </c>
      <c r="BN300" s="2">
        <f>AND($J300,ISNUMBER(BM300),correlation!$I$32=1)</f>
        <v/>
      </c>
      <c r="BO300" s="5">
        <f>IF(BN300,$F300,"")</f>
        <v/>
      </c>
      <c r="BP300" s="5">
        <f>IF(BN300,BM300*correlation!$J$32,"")</f>
        <v/>
      </c>
      <c r="BQ300" s="5">
        <f>IF(AND(BN300,ISNUMBER(correlation!$F$32)),BP300*correlation!$F$32+correlation!$G$32,"")</f>
        <v/>
      </c>
      <c r="BR300" s="5">
        <f>IF(AND(BN300,ISNUMBER(BQ300)),(BO300-BQ300)^2,"")</f>
        <v/>
      </c>
      <c r="BS300" s="5">
        <f>IF(BN300,1+SUMPRODUCT(--(calc!$BN$3:$BN$306=TRUE),--(calc!$BO$3:$BO$306&gt;BO300))+(SUMPRODUCT(--(calc!$BN$3:$BN$306=TRUE),--(calc!$BO$3:$BO$306=BO300))-1)/2,"")</f>
        <v/>
      </c>
      <c r="BT300" s="5">
        <f>IF(BN300,1+SUMPRODUCT(--(calc!$BN$3:$BN$306=TRUE),--(calc!$BP$3:$BP$306&gt;BP300))+(SUMPRODUCT(--(calc!$BN$3:$BN$306=TRUE),--(calc!$BP$3:$BP$306=BP300))-1)/2,"")</f>
        <v/>
      </c>
      <c r="BU300" s="5">
        <f>IF(BN300,SUMPRODUCT(--(calc!$BN$3:$BN$306=TRUE),--(ROW(calc!$BN$3:$BN$306)&gt;ROW(BN300)),--(((calc!$BS$3:$BS$306&gt;BS300)*(calc!$BT$3:$BT$306&gt;BT300)+(calc!$BS$3:$BS$306&lt;BS300)*(calc!$BT$3:$BT$306&lt;BT300))&gt;0))-SUMPRODUCT(--(calc!$BN$3:$BN$306=TRUE),--(ROW(calc!$BN$3:$BN$306)&gt;ROW(BN300)),--(((calc!$BS$3:$BS$306&gt;BS300)*(calc!$BT$3:$BT$306&lt;BT300)+(calc!$BS$3:$BS$306&lt;BS300)*(calc!$BT$3:$BT$306&gt;BT300))&gt;0)),0)</f>
        <v/>
      </c>
    </row>
    <row r="301">
      <c r="A301" s="2">
        <f>mos_metrics!A300</f>
        <v/>
      </c>
      <c r="B301" s="2">
        <f>mos_metrics!B300</f>
        <v/>
      </c>
      <c r="C301" s="2">
        <f>mos_metrics!C300</f>
        <v/>
      </c>
      <c r="D301" s="2">
        <f>mos_metrics!D300</f>
        <v/>
      </c>
      <c r="E301" s="2">
        <f>mos_metrics!E300</f>
        <v/>
      </c>
      <c r="F301" s="2">
        <f>mos_metrics!F300</f>
        <v/>
      </c>
      <c r="G301" s="2">
        <f>IF($B301="","",IFERROR(VLOOKUP($B301,correlation!$A$2:$B$16,2,FALSE),1))</f>
        <v/>
      </c>
      <c r="H301" s="2">
        <f>IF($E301="","",IFERROR(VLOOKUP($E301,correlation!$D$2:$E$8,2,FALSE),1))</f>
        <v/>
      </c>
      <c r="I301" s="2">
        <f>ISNUMBER($F301)</f>
        <v/>
      </c>
      <c r="J301" s="2">
        <f>AND($G301=1,$H301=1,$I301)</f>
        <v/>
      </c>
      <c r="K301" s="5">
        <f>IF(mos_metrics!G300="","",mos_metrics!G300)</f>
        <v/>
      </c>
      <c r="L301" s="2">
        <f>AND($J301,ISNUMBER(K301),correlation!$I$26=1)</f>
        <v/>
      </c>
      <c r="M301" s="5">
        <f>IF(L301,$F301,"")</f>
        <v/>
      </c>
      <c r="N301" s="5">
        <f>IF(L301,K301*correlation!$J$26,"")</f>
        <v/>
      </c>
      <c r="O301" s="5">
        <f>IF(AND(L301,ISNUMBER(correlation!$F$26)),N301*correlation!$F$26+correlation!$G$26,"")</f>
        <v/>
      </c>
      <c r="P301" s="5">
        <f>IF(AND(L301,ISNUMBER(O301)),(M301-O301)^2,"")</f>
        <v/>
      </c>
      <c r="Q301" s="5">
        <f>IF(L301,1+SUMPRODUCT(--(calc!$L$3:$L$306=TRUE),--(calc!$M$3:$M$306&gt;M301))+(SUMPRODUCT(--(calc!$L$3:$L$306=TRUE),--(calc!$M$3:$M$306=M301))-1)/2,"")</f>
        <v/>
      </c>
      <c r="R301" s="5">
        <f>IF(L301,1+SUMPRODUCT(--(calc!$L$3:$L$306=TRUE),--(calc!$N$3:$N$306&gt;N301))+(SUMPRODUCT(--(calc!$L$3:$L$306=TRUE),--(calc!$N$3:$N$306=N301))-1)/2,"")</f>
        <v/>
      </c>
      <c r="S301" s="5">
        <f>IF(L301,SUMPRODUCT(--(calc!$L$3:$L$306=TRUE),--(ROW(calc!$L$3:$L$306)&gt;ROW(L301)),--(((calc!$Q$3:$Q$306&gt;Q301)*(calc!$R$3:$R$306&gt;R301)+(calc!$Q$3:$Q$306&lt;Q301)*(calc!$R$3:$R$306&lt;R301))&gt;0))-SUMPRODUCT(--(calc!$L$3:$L$306=TRUE),--(ROW(calc!$L$3:$L$306)&gt;ROW(L301)),--(((calc!$Q$3:$Q$306&gt;Q301)*(calc!$R$3:$R$306&lt;R301)+(calc!$Q$3:$Q$306&lt;Q301)*(calc!$R$3:$R$306&gt;R301))&gt;0)),0)</f>
        <v/>
      </c>
      <c r="T301" s="5">
        <f>IF(mos_metrics!H300="","",mos_metrics!H300)</f>
        <v/>
      </c>
      <c r="U301" s="2">
        <f>AND($J301,ISNUMBER(T301),correlation!$I$27=1)</f>
        <v/>
      </c>
      <c r="V301" s="5">
        <f>IF(U301,$F301,"")</f>
        <v/>
      </c>
      <c r="W301" s="5">
        <f>IF(U301,T301*correlation!$J$27,"")</f>
        <v/>
      </c>
      <c r="X301" s="5">
        <f>IF(AND(U301,ISNUMBER(correlation!$F$27)),W301*correlation!$F$27+correlation!$G$27,"")</f>
        <v/>
      </c>
      <c r="Y301" s="5">
        <f>IF(AND(U301,ISNUMBER(X301)),(V301-X301)^2,"")</f>
        <v/>
      </c>
      <c r="Z301" s="5">
        <f>IF(U301,1+SUMPRODUCT(--(calc!$U$3:$U$306=TRUE),--(calc!$V$3:$V$306&gt;V301))+(SUMPRODUCT(--(calc!$U$3:$U$306=TRUE),--(calc!$V$3:$V$306=V301))-1)/2,"")</f>
        <v/>
      </c>
      <c r="AA301" s="5">
        <f>IF(U301,1+SUMPRODUCT(--(calc!$U$3:$U$306=TRUE),--(calc!$W$3:$W$306&gt;W301))+(SUMPRODUCT(--(calc!$U$3:$U$306=TRUE),--(calc!$W$3:$W$306=W301))-1)/2,"")</f>
        <v/>
      </c>
      <c r="AB301" s="5">
        <f>IF(U301,SUMPRODUCT(--(calc!$U$3:$U$306=TRUE),--(ROW(calc!$U$3:$U$306)&gt;ROW(U301)),--(((calc!$Z$3:$Z$306&gt;Z301)*(calc!$AA$3:$AA$306&gt;AA301)+(calc!$Z$3:$Z$306&lt;Z301)*(calc!$AA$3:$AA$306&lt;AA301))&gt;0))-SUMPRODUCT(--(calc!$U$3:$U$306=TRUE),--(ROW(calc!$U$3:$U$306)&gt;ROW(U301)),--(((calc!$Z$3:$Z$306&gt;Z301)*(calc!$AA$3:$AA$306&lt;AA301)+(calc!$Z$3:$Z$306&lt;Z301)*(calc!$AA$3:$AA$306&gt;AA301))&gt;0)),0)</f>
        <v/>
      </c>
      <c r="AC301" s="5">
        <f>IF(mos_metrics!I300="","",mos_metrics!I300)</f>
        <v/>
      </c>
      <c r="AD301" s="2">
        <f>AND($J301,ISNUMBER(AC301),correlation!$I$28=1)</f>
        <v/>
      </c>
      <c r="AE301" s="5">
        <f>IF(AD301,$F301,"")</f>
        <v/>
      </c>
      <c r="AF301" s="5">
        <f>IF(AD301,AC301*correlation!$J$28,"")</f>
        <v/>
      </c>
      <c r="AG301" s="5">
        <f>IF(AND(AD301,ISNUMBER(correlation!$F$28)),AF301*correlation!$F$28+correlation!$G$28,"")</f>
        <v/>
      </c>
      <c r="AH301" s="5">
        <f>IF(AND(AD301,ISNUMBER(AG301)),(AE301-AG301)^2,"")</f>
        <v/>
      </c>
      <c r="AI301" s="5">
        <f>IF(AD301,1+SUMPRODUCT(--(calc!$AD$3:$AD$306=TRUE),--(calc!$AE$3:$AE$306&gt;AE301))+(SUMPRODUCT(--(calc!$AD$3:$AD$306=TRUE),--(calc!$AE$3:$AE$306=AE301))-1)/2,"")</f>
        <v/>
      </c>
      <c r="AJ301" s="5">
        <f>IF(AD301,1+SUMPRODUCT(--(calc!$AD$3:$AD$306=TRUE),--(calc!$AF$3:$AF$306&gt;AF301))+(SUMPRODUCT(--(calc!$AD$3:$AD$306=TRUE),--(calc!$AF$3:$AF$306=AF301))-1)/2,"")</f>
        <v/>
      </c>
      <c r="AK301" s="5">
        <f>IF(AD301,SUMPRODUCT(--(calc!$AD$3:$AD$306=TRUE),--(ROW(calc!$AD$3:$AD$306)&gt;ROW(AD301)),--(((calc!$AI$3:$AI$306&gt;AI301)*(calc!$AJ$3:$AJ$306&gt;AJ301)+(calc!$AI$3:$AI$306&lt;AI301)*(calc!$AJ$3:$AJ$306&lt;AJ301))&gt;0))-SUMPRODUCT(--(calc!$AD$3:$AD$306=TRUE),--(ROW(calc!$AD$3:$AD$306)&gt;ROW(AD301)),--(((calc!$AI$3:$AI$306&gt;AI301)*(calc!$AJ$3:$AJ$306&lt;AJ301)+(calc!$AI$3:$AI$306&lt;AI301)*(calc!$AJ$3:$AJ$306&gt;AJ301))&gt;0)),0)</f>
        <v/>
      </c>
      <c r="AL301" s="5">
        <f>IF(mos_metrics!J300="","",mos_metrics!J300)</f>
        <v/>
      </c>
      <c r="AM301" s="2">
        <f>AND($J301,ISNUMBER(AL301),correlation!$I$29=1)</f>
        <v/>
      </c>
      <c r="AN301" s="5">
        <f>IF(AM301,$F301,"")</f>
        <v/>
      </c>
      <c r="AO301" s="5">
        <f>IF(AM301,AL301*correlation!$J$29,"")</f>
        <v/>
      </c>
      <c r="AP301" s="5">
        <f>IF(AND(AM301,ISNUMBER(correlation!$F$29)),AO301*correlation!$F$29+correlation!$G$29,"")</f>
        <v/>
      </c>
      <c r="AQ301" s="5">
        <f>IF(AND(AM301,ISNUMBER(AP301)),(AN301-AP301)^2,"")</f>
        <v/>
      </c>
      <c r="AR301" s="5">
        <f>IF(AM301,1+SUMPRODUCT(--(calc!$AM$3:$AM$306=TRUE),--(calc!$AN$3:$AN$306&gt;AN301))+(SUMPRODUCT(--(calc!$AM$3:$AM$306=TRUE),--(calc!$AN$3:$AN$306=AN301))-1)/2,"")</f>
        <v/>
      </c>
      <c r="AS301" s="5">
        <f>IF(AM301,1+SUMPRODUCT(--(calc!$AM$3:$AM$306=TRUE),--(calc!$AO$3:$AO$306&gt;AO301))+(SUMPRODUCT(--(calc!$AM$3:$AM$306=TRUE),--(calc!$AO$3:$AO$306=AO301))-1)/2,"")</f>
        <v/>
      </c>
      <c r="AT301" s="5">
        <f>IF(AM301,SUMPRODUCT(--(calc!$AM$3:$AM$306=TRUE),--(ROW(calc!$AM$3:$AM$306)&gt;ROW(AM301)),--(((calc!$AR$3:$AR$306&gt;AR301)*(calc!$AS$3:$AS$306&gt;AS301)+(calc!$AR$3:$AR$306&lt;AR301)*(calc!$AS$3:$AS$306&lt;AS301))&gt;0))-SUMPRODUCT(--(calc!$AM$3:$AM$306=TRUE),--(ROW(calc!$AM$3:$AM$306)&gt;ROW(AM301)),--(((calc!$AR$3:$AR$306&gt;AR301)*(calc!$AS$3:$AS$306&lt;AS301)+(calc!$AR$3:$AR$306&lt;AR301)*(calc!$AS$3:$AS$306&gt;AS301))&gt;0)),0)</f>
        <v/>
      </c>
      <c r="AU301" s="5">
        <f>IF(mos_metrics!K300="","",mos_metrics!K300)</f>
        <v/>
      </c>
      <c r="AV301" s="2">
        <f>AND($J301,ISNUMBER(AU301),correlation!$I$30=1)</f>
        <v/>
      </c>
      <c r="AW301" s="5">
        <f>IF(AV301,$F301,"")</f>
        <v/>
      </c>
      <c r="AX301" s="5">
        <f>IF(AV301,AU301*correlation!$J$30,"")</f>
        <v/>
      </c>
      <c r="AY301" s="5">
        <f>IF(AND(AV301,ISNUMBER(correlation!$F$30)),AX301*correlation!$F$30+correlation!$G$30,"")</f>
        <v/>
      </c>
      <c r="AZ301" s="5">
        <f>IF(AND(AV301,ISNUMBER(AY301)),(AW301-AY301)^2,"")</f>
        <v/>
      </c>
      <c r="BA301" s="5">
        <f>IF(AV301,1+SUMPRODUCT(--(calc!$AV$3:$AV$306=TRUE),--(calc!$AW$3:$AW$306&gt;AW301))+(SUMPRODUCT(--(calc!$AV$3:$AV$306=TRUE),--(calc!$AW$3:$AW$306=AW301))-1)/2,"")</f>
        <v/>
      </c>
      <c r="BB301" s="5">
        <f>IF(AV301,1+SUMPRODUCT(--(calc!$AV$3:$AV$306=TRUE),--(calc!$AX$3:$AX$306&gt;AX301))+(SUMPRODUCT(--(calc!$AV$3:$AV$306=TRUE),--(calc!$AX$3:$AX$306=AX301))-1)/2,"")</f>
        <v/>
      </c>
      <c r="BC301" s="5">
        <f>IF(AV301,SUMPRODUCT(--(calc!$AV$3:$AV$306=TRUE),--(ROW(calc!$AV$3:$AV$306)&gt;ROW(AV301)),--(((calc!$BA$3:$BA$306&gt;BA301)*(calc!$BB$3:$BB$306&gt;BB301)+(calc!$BA$3:$BA$306&lt;BA301)*(calc!$BB$3:$BB$306&lt;BB301))&gt;0))-SUMPRODUCT(--(calc!$AV$3:$AV$306=TRUE),--(ROW(calc!$AV$3:$AV$306)&gt;ROW(AV301)),--(((calc!$BA$3:$BA$306&gt;BA301)*(calc!$BB$3:$BB$306&lt;BB301)+(calc!$BA$3:$BA$306&lt;BA301)*(calc!$BB$3:$BB$306&gt;BB301))&gt;0)),0)</f>
        <v/>
      </c>
      <c r="BD301" s="5">
        <f>IF(mos_metrics!L300="","",mos_metrics!L300)</f>
        <v/>
      </c>
      <c r="BE301" s="2">
        <f>AND($J301,ISNUMBER(BD301),correlation!$I$31=1)</f>
        <v/>
      </c>
      <c r="BF301" s="5">
        <f>IF(BE301,$F301,"")</f>
        <v/>
      </c>
      <c r="BG301" s="5">
        <f>IF(BE301,BD301*correlation!$J$31,"")</f>
        <v/>
      </c>
      <c r="BH301" s="5">
        <f>IF(AND(BE301,ISNUMBER(correlation!$F$31)),BG301*correlation!$F$31+correlation!$G$31,"")</f>
        <v/>
      </c>
      <c r="BI301" s="5">
        <f>IF(AND(BE301,ISNUMBER(BH301)),(BF301-BH301)^2,"")</f>
        <v/>
      </c>
      <c r="BJ301" s="5">
        <f>IF(BE301,1+SUMPRODUCT(--(calc!$BE$3:$BE$306=TRUE),--(calc!$BF$3:$BF$306&gt;BF301))+(SUMPRODUCT(--(calc!$BE$3:$BE$306=TRUE),--(calc!$BF$3:$BF$306=BF301))-1)/2,"")</f>
        <v/>
      </c>
      <c r="BK301" s="5">
        <f>IF(BE301,1+SUMPRODUCT(--(calc!$BE$3:$BE$306=TRUE),--(calc!$BG$3:$BG$306&gt;BG301))+(SUMPRODUCT(--(calc!$BE$3:$BE$306=TRUE),--(calc!$BG$3:$BG$306=BG301))-1)/2,"")</f>
        <v/>
      </c>
      <c r="BL301" s="5">
        <f>IF(BE301,SUMPRODUCT(--(calc!$BE$3:$BE$306=TRUE),--(ROW(calc!$BE$3:$BE$306)&gt;ROW(BE301)),--(((calc!$BJ$3:$BJ$306&gt;BJ301)*(calc!$BK$3:$BK$306&gt;BK301)+(calc!$BJ$3:$BJ$306&lt;BJ301)*(calc!$BK$3:$BK$306&lt;BK301))&gt;0))-SUMPRODUCT(--(calc!$BE$3:$BE$306=TRUE),--(ROW(calc!$BE$3:$BE$306)&gt;ROW(BE301)),--(((calc!$BJ$3:$BJ$306&gt;BJ301)*(calc!$BK$3:$BK$306&lt;BK301)+(calc!$BJ$3:$BJ$306&lt;BJ301)*(calc!$BK$3:$BK$306&gt;BK301))&gt;0)),0)</f>
        <v/>
      </c>
      <c r="BM301" s="5">
        <f>IF(mos_metrics!M300="","",mos_metrics!M300)</f>
        <v/>
      </c>
      <c r="BN301" s="2">
        <f>AND($J301,ISNUMBER(BM301),correlation!$I$32=1)</f>
        <v/>
      </c>
      <c r="BO301" s="5">
        <f>IF(BN301,$F301,"")</f>
        <v/>
      </c>
      <c r="BP301" s="5">
        <f>IF(BN301,BM301*correlation!$J$32,"")</f>
        <v/>
      </c>
      <c r="BQ301" s="5">
        <f>IF(AND(BN301,ISNUMBER(correlation!$F$32)),BP301*correlation!$F$32+correlation!$G$32,"")</f>
        <v/>
      </c>
      <c r="BR301" s="5">
        <f>IF(AND(BN301,ISNUMBER(BQ301)),(BO301-BQ301)^2,"")</f>
        <v/>
      </c>
      <c r="BS301" s="5">
        <f>IF(BN301,1+SUMPRODUCT(--(calc!$BN$3:$BN$306=TRUE),--(calc!$BO$3:$BO$306&gt;BO301))+(SUMPRODUCT(--(calc!$BN$3:$BN$306=TRUE),--(calc!$BO$3:$BO$306=BO301))-1)/2,"")</f>
        <v/>
      </c>
      <c r="BT301" s="5">
        <f>IF(BN301,1+SUMPRODUCT(--(calc!$BN$3:$BN$306=TRUE),--(calc!$BP$3:$BP$306&gt;BP301))+(SUMPRODUCT(--(calc!$BN$3:$BN$306=TRUE),--(calc!$BP$3:$BP$306=BP301))-1)/2,"")</f>
        <v/>
      </c>
      <c r="BU301" s="5">
        <f>IF(BN301,SUMPRODUCT(--(calc!$BN$3:$BN$306=TRUE),--(ROW(calc!$BN$3:$BN$306)&gt;ROW(BN301)),--(((calc!$BS$3:$BS$306&gt;BS301)*(calc!$BT$3:$BT$306&gt;BT301)+(calc!$BS$3:$BS$306&lt;BS301)*(calc!$BT$3:$BT$306&lt;BT301))&gt;0))-SUMPRODUCT(--(calc!$BN$3:$BN$306=TRUE),--(ROW(calc!$BN$3:$BN$306)&gt;ROW(BN301)),--(((calc!$BS$3:$BS$306&gt;BS301)*(calc!$BT$3:$BT$306&lt;BT301)+(calc!$BS$3:$BS$306&lt;BS301)*(calc!$BT$3:$BT$306&gt;BT301))&gt;0)),0)</f>
        <v/>
      </c>
    </row>
    <row r="302">
      <c r="A302" s="2">
        <f>mos_metrics!A301</f>
        <v/>
      </c>
      <c r="B302" s="2">
        <f>mos_metrics!B301</f>
        <v/>
      </c>
      <c r="C302" s="2">
        <f>mos_metrics!C301</f>
        <v/>
      </c>
      <c r="D302" s="2">
        <f>mos_metrics!D301</f>
        <v/>
      </c>
      <c r="E302" s="2">
        <f>mos_metrics!E301</f>
        <v/>
      </c>
      <c r="F302" s="2">
        <f>mos_metrics!F301</f>
        <v/>
      </c>
      <c r="G302" s="2">
        <f>IF($B302="","",IFERROR(VLOOKUP($B302,correlation!$A$2:$B$16,2,FALSE),1))</f>
        <v/>
      </c>
      <c r="H302" s="2">
        <f>IF($E302="","",IFERROR(VLOOKUP($E302,correlation!$D$2:$E$8,2,FALSE),1))</f>
        <v/>
      </c>
      <c r="I302" s="2">
        <f>ISNUMBER($F302)</f>
        <v/>
      </c>
      <c r="J302" s="2">
        <f>AND($G302=1,$H302=1,$I302)</f>
        <v/>
      </c>
      <c r="K302" s="5">
        <f>IF(mos_metrics!G301="","",mos_metrics!G301)</f>
        <v/>
      </c>
      <c r="L302" s="2">
        <f>AND($J302,ISNUMBER(K302),correlation!$I$26=1)</f>
        <v/>
      </c>
      <c r="M302" s="5">
        <f>IF(L302,$F302,"")</f>
        <v/>
      </c>
      <c r="N302" s="5">
        <f>IF(L302,K302*correlation!$J$26,"")</f>
        <v/>
      </c>
      <c r="O302" s="5">
        <f>IF(AND(L302,ISNUMBER(correlation!$F$26)),N302*correlation!$F$26+correlation!$G$26,"")</f>
        <v/>
      </c>
      <c r="P302" s="5">
        <f>IF(AND(L302,ISNUMBER(O302)),(M302-O302)^2,"")</f>
        <v/>
      </c>
      <c r="Q302" s="5">
        <f>IF(L302,1+SUMPRODUCT(--(calc!$L$3:$L$306=TRUE),--(calc!$M$3:$M$306&gt;M302))+(SUMPRODUCT(--(calc!$L$3:$L$306=TRUE),--(calc!$M$3:$M$306=M302))-1)/2,"")</f>
        <v/>
      </c>
      <c r="R302" s="5">
        <f>IF(L302,1+SUMPRODUCT(--(calc!$L$3:$L$306=TRUE),--(calc!$N$3:$N$306&gt;N302))+(SUMPRODUCT(--(calc!$L$3:$L$306=TRUE),--(calc!$N$3:$N$306=N302))-1)/2,"")</f>
        <v/>
      </c>
      <c r="S302" s="5">
        <f>IF(L302,SUMPRODUCT(--(calc!$L$3:$L$306=TRUE),--(ROW(calc!$L$3:$L$306)&gt;ROW(L302)),--(((calc!$Q$3:$Q$306&gt;Q302)*(calc!$R$3:$R$306&gt;R302)+(calc!$Q$3:$Q$306&lt;Q302)*(calc!$R$3:$R$306&lt;R302))&gt;0))-SUMPRODUCT(--(calc!$L$3:$L$306=TRUE),--(ROW(calc!$L$3:$L$306)&gt;ROW(L302)),--(((calc!$Q$3:$Q$306&gt;Q302)*(calc!$R$3:$R$306&lt;R302)+(calc!$Q$3:$Q$306&lt;Q302)*(calc!$R$3:$R$306&gt;R302))&gt;0)),0)</f>
        <v/>
      </c>
      <c r="T302" s="5">
        <f>IF(mos_metrics!H301="","",mos_metrics!H301)</f>
        <v/>
      </c>
      <c r="U302" s="2">
        <f>AND($J302,ISNUMBER(T302),correlation!$I$27=1)</f>
        <v/>
      </c>
      <c r="V302" s="5">
        <f>IF(U302,$F302,"")</f>
        <v/>
      </c>
      <c r="W302" s="5">
        <f>IF(U302,T302*correlation!$J$27,"")</f>
        <v/>
      </c>
      <c r="X302" s="5">
        <f>IF(AND(U302,ISNUMBER(correlation!$F$27)),W302*correlation!$F$27+correlation!$G$27,"")</f>
        <v/>
      </c>
      <c r="Y302" s="5">
        <f>IF(AND(U302,ISNUMBER(X302)),(V302-X302)^2,"")</f>
        <v/>
      </c>
      <c r="Z302" s="5">
        <f>IF(U302,1+SUMPRODUCT(--(calc!$U$3:$U$306=TRUE),--(calc!$V$3:$V$306&gt;V302))+(SUMPRODUCT(--(calc!$U$3:$U$306=TRUE),--(calc!$V$3:$V$306=V302))-1)/2,"")</f>
        <v/>
      </c>
      <c r="AA302" s="5">
        <f>IF(U302,1+SUMPRODUCT(--(calc!$U$3:$U$306=TRUE),--(calc!$W$3:$W$306&gt;W302))+(SUMPRODUCT(--(calc!$U$3:$U$306=TRUE),--(calc!$W$3:$W$306=W302))-1)/2,"")</f>
        <v/>
      </c>
      <c r="AB302" s="5">
        <f>IF(U302,SUMPRODUCT(--(calc!$U$3:$U$306=TRUE),--(ROW(calc!$U$3:$U$306)&gt;ROW(U302)),--(((calc!$Z$3:$Z$306&gt;Z302)*(calc!$AA$3:$AA$306&gt;AA302)+(calc!$Z$3:$Z$306&lt;Z302)*(calc!$AA$3:$AA$306&lt;AA302))&gt;0))-SUMPRODUCT(--(calc!$U$3:$U$306=TRUE),--(ROW(calc!$U$3:$U$306)&gt;ROW(U302)),--(((calc!$Z$3:$Z$306&gt;Z302)*(calc!$AA$3:$AA$306&lt;AA302)+(calc!$Z$3:$Z$306&lt;Z302)*(calc!$AA$3:$AA$306&gt;AA302))&gt;0)),0)</f>
        <v/>
      </c>
      <c r="AC302" s="5">
        <f>IF(mos_metrics!I301="","",mos_metrics!I301)</f>
        <v/>
      </c>
      <c r="AD302" s="2">
        <f>AND($J302,ISNUMBER(AC302),correlation!$I$28=1)</f>
        <v/>
      </c>
      <c r="AE302" s="5">
        <f>IF(AD302,$F302,"")</f>
        <v/>
      </c>
      <c r="AF302" s="5">
        <f>IF(AD302,AC302*correlation!$J$28,"")</f>
        <v/>
      </c>
      <c r="AG302" s="5">
        <f>IF(AND(AD302,ISNUMBER(correlation!$F$28)),AF302*correlation!$F$28+correlation!$G$28,"")</f>
        <v/>
      </c>
      <c r="AH302" s="5">
        <f>IF(AND(AD302,ISNUMBER(AG302)),(AE302-AG302)^2,"")</f>
        <v/>
      </c>
      <c r="AI302" s="5">
        <f>IF(AD302,1+SUMPRODUCT(--(calc!$AD$3:$AD$306=TRUE),--(calc!$AE$3:$AE$306&gt;AE302))+(SUMPRODUCT(--(calc!$AD$3:$AD$306=TRUE),--(calc!$AE$3:$AE$306=AE302))-1)/2,"")</f>
        <v/>
      </c>
      <c r="AJ302" s="5">
        <f>IF(AD302,1+SUMPRODUCT(--(calc!$AD$3:$AD$306=TRUE),--(calc!$AF$3:$AF$306&gt;AF302))+(SUMPRODUCT(--(calc!$AD$3:$AD$306=TRUE),--(calc!$AF$3:$AF$306=AF302))-1)/2,"")</f>
        <v/>
      </c>
      <c r="AK302" s="5">
        <f>IF(AD302,SUMPRODUCT(--(calc!$AD$3:$AD$306=TRUE),--(ROW(calc!$AD$3:$AD$306)&gt;ROW(AD302)),--(((calc!$AI$3:$AI$306&gt;AI302)*(calc!$AJ$3:$AJ$306&gt;AJ302)+(calc!$AI$3:$AI$306&lt;AI302)*(calc!$AJ$3:$AJ$306&lt;AJ302))&gt;0))-SUMPRODUCT(--(calc!$AD$3:$AD$306=TRUE),--(ROW(calc!$AD$3:$AD$306)&gt;ROW(AD302)),--(((calc!$AI$3:$AI$306&gt;AI302)*(calc!$AJ$3:$AJ$306&lt;AJ302)+(calc!$AI$3:$AI$306&lt;AI302)*(calc!$AJ$3:$AJ$306&gt;AJ302))&gt;0)),0)</f>
        <v/>
      </c>
      <c r="AL302" s="5">
        <f>IF(mos_metrics!J301="","",mos_metrics!J301)</f>
        <v/>
      </c>
      <c r="AM302" s="2">
        <f>AND($J302,ISNUMBER(AL302),correlation!$I$29=1)</f>
        <v/>
      </c>
      <c r="AN302" s="5">
        <f>IF(AM302,$F302,"")</f>
        <v/>
      </c>
      <c r="AO302" s="5">
        <f>IF(AM302,AL302*correlation!$J$29,"")</f>
        <v/>
      </c>
      <c r="AP302" s="5">
        <f>IF(AND(AM302,ISNUMBER(correlation!$F$29)),AO302*correlation!$F$29+correlation!$G$29,"")</f>
        <v/>
      </c>
      <c r="AQ302" s="5">
        <f>IF(AND(AM302,ISNUMBER(AP302)),(AN302-AP302)^2,"")</f>
        <v/>
      </c>
      <c r="AR302" s="5">
        <f>IF(AM302,1+SUMPRODUCT(--(calc!$AM$3:$AM$306=TRUE),--(calc!$AN$3:$AN$306&gt;AN302))+(SUMPRODUCT(--(calc!$AM$3:$AM$306=TRUE),--(calc!$AN$3:$AN$306=AN302))-1)/2,"")</f>
        <v/>
      </c>
      <c r="AS302" s="5">
        <f>IF(AM302,1+SUMPRODUCT(--(calc!$AM$3:$AM$306=TRUE),--(calc!$AO$3:$AO$306&gt;AO302))+(SUMPRODUCT(--(calc!$AM$3:$AM$306=TRUE),--(calc!$AO$3:$AO$306=AO302))-1)/2,"")</f>
        <v/>
      </c>
      <c r="AT302" s="5">
        <f>IF(AM302,SUMPRODUCT(--(calc!$AM$3:$AM$306=TRUE),--(ROW(calc!$AM$3:$AM$306)&gt;ROW(AM302)),--(((calc!$AR$3:$AR$306&gt;AR302)*(calc!$AS$3:$AS$306&gt;AS302)+(calc!$AR$3:$AR$306&lt;AR302)*(calc!$AS$3:$AS$306&lt;AS302))&gt;0))-SUMPRODUCT(--(calc!$AM$3:$AM$306=TRUE),--(ROW(calc!$AM$3:$AM$306)&gt;ROW(AM302)),--(((calc!$AR$3:$AR$306&gt;AR302)*(calc!$AS$3:$AS$306&lt;AS302)+(calc!$AR$3:$AR$306&lt;AR302)*(calc!$AS$3:$AS$306&gt;AS302))&gt;0)),0)</f>
        <v/>
      </c>
      <c r="AU302" s="5">
        <f>IF(mos_metrics!K301="","",mos_metrics!K301)</f>
        <v/>
      </c>
      <c r="AV302" s="2">
        <f>AND($J302,ISNUMBER(AU302),correlation!$I$30=1)</f>
        <v/>
      </c>
      <c r="AW302" s="5">
        <f>IF(AV302,$F302,"")</f>
        <v/>
      </c>
      <c r="AX302" s="5">
        <f>IF(AV302,AU302*correlation!$J$30,"")</f>
        <v/>
      </c>
      <c r="AY302" s="5">
        <f>IF(AND(AV302,ISNUMBER(correlation!$F$30)),AX302*correlation!$F$30+correlation!$G$30,"")</f>
        <v/>
      </c>
      <c r="AZ302" s="5">
        <f>IF(AND(AV302,ISNUMBER(AY302)),(AW302-AY302)^2,"")</f>
        <v/>
      </c>
      <c r="BA302" s="5">
        <f>IF(AV302,1+SUMPRODUCT(--(calc!$AV$3:$AV$306=TRUE),--(calc!$AW$3:$AW$306&gt;AW302))+(SUMPRODUCT(--(calc!$AV$3:$AV$306=TRUE),--(calc!$AW$3:$AW$306=AW302))-1)/2,"")</f>
        <v/>
      </c>
      <c r="BB302" s="5">
        <f>IF(AV302,1+SUMPRODUCT(--(calc!$AV$3:$AV$306=TRUE),--(calc!$AX$3:$AX$306&gt;AX302))+(SUMPRODUCT(--(calc!$AV$3:$AV$306=TRUE),--(calc!$AX$3:$AX$306=AX302))-1)/2,"")</f>
        <v/>
      </c>
      <c r="BC302" s="5">
        <f>IF(AV302,SUMPRODUCT(--(calc!$AV$3:$AV$306=TRUE),--(ROW(calc!$AV$3:$AV$306)&gt;ROW(AV302)),--(((calc!$BA$3:$BA$306&gt;BA302)*(calc!$BB$3:$BB$306&gt;BB302)+(calc!$BA$3:$BA$306&lt;BA302)*(calc!$BB$3:$BB$306&lt;BB302))&gt;0))-SUMPRODUCT(--(calc!$AV$3:$AV$306=TRUE),--(ROW(calc!$AV$3:$AV$306)&gt;ROW(AV302)),--(((calc!$BA$3:$BA$306&gt;BA302)*(calc!$BB$3:$BB$306&lt;BB302)+(calc!$BA$3:$BA$306&lt;BA302)*(calc!$BB$3:$BB$306&gt;BB302))&gt;0)),0)</f>
        <v/>
      </c>
      <c r="BD302" s="5">
        <f>IF(mos_metrics!L301="","",mos_metrics!L301)</f>
        <v/>
      </c>
      <c r="BE302" s="2">
        <f>AND($J302,ISNUMBER(BD302),correlation!$I$31=1)</f>
        <v/>
      </c>
      <c r="BF302" s="5">
        <f>IF(BE302,$F302,"")</f>
        <v/>
      </c>
      <c r="BG302" s="5">
        <f>IF(BE302,BD302*correlation!$J$31,"")</f>
        <v/>
      </c>
      <c r="BH302" s="5">
        <f>IF(AND(BE302,ISNUMBER(correlation!$F$31)),BG302*correlation!$F$31+correlation!$G$31,"")</f>
        <v/>
      </c>
      <c r="BI302" s="5">
        <f>IF(AND(BE302,ISNUMBER(BH302)),(BF302-BH302)^2,"")</f>
        <v/>
      </c>
      <c r="BJ302" s="5">
        <f>IF(BE302,1+SUMPRODUCT(--(calc!$BE$3:$BE$306=TRUE),--(calc!$BF$3:$BF$306&gt;BF302))+(SUMPRODUCT(--(calc!$BE$3:$BE$306=TRUE),--(calc!$BF$3:$BF$306=BF302))-1)/2,"")</f>
        <v/>
      </c>
      <c r="BK302" s="5">
        <f>IF(BE302,1+SUMPRODUCT(--(calc!$BE$3:$BE$306=TRUE),--(calc!$BG$3:$BG$306&gt;BG302))+(SUMPRODUCT(--(calc!$BE$3:$BE$306=TRUE),--(calc!$BG$3:$BG$306=BG302))-1)/2,"")</f>
        <v/>
      </c>
      <c r="BL302" s="5">
        <f>IF(BE302,SUMPRODUCT(--(calc!$BE$3:$BE$306=TRUE),--(ROW(calc!$BE$3:$BE$306)&gt;ROW(BE302)),--(((calc!$BJ$3:$BJ$306&gt;BJ302)*(calc!$BK$3:$BK$306&gt;BK302)+(calc!$BJ$3:$BJ$306&lt;BJ302)*(calc!$BK$3:$BK$306&lt;BK302))&gt;0))-SUMPRODUCT(--(calc!$BE$3:$BE$306=TRUE),--(ROW(calc!$BE$3:$BE$306)&gt;ROW(BE302)),--(((calc!$BJ$3:$BJ$306&gt;BJ302)*(calc!$BK$3:$BK$306&lt;BK302)+(calc!$BJ$3:$BJ$306&lt;BJ302)*(calc!$BK$3:$BK$306&gt;BK302))&gt;0)),0)</f>
        <v/>
      </c>
      <c r="BM302" s="5">
        <f>IF(mos_metrics!M301="","",mos_metrics!M301)</f>
        <v/>
      </c>
      <c r="BN302" s="2">
        <f>AND($J302,ISNUMBER(BM302),correlation!$I$32=1)</f>
        <v/>
      </c>
      <c r="BO302" s="5">
        <f>IF(BN302,$F302,"")</f>
        <v/>
      </c>
      <c r="BP302" s="5">
        <f>IF(BN302,BM302*correlation!$J$32,"")</f>
        <v/>
      </c>
      <c r="BQ302" s="5">
        <f>IF(AND(BN302,ISNUMBER(correlation!$F$32)),BP302*correlation!$F$32+correlation!$G$32,"")</f>
        <v/>
      </c>
      <c r="BR302" s="5">
        <f>IF(AND(BN302,ISNUMBER(BQ302)),(BO302-BQ302)^2,"")</f>
        <v/>
      </c>
      <c r="BS302" s="5">
        <f>IF(BN302,1+SUMPRODUCT(--(calc!$BN$3:$BN$306=TRUE),--(calc!$BO$3:$BO$306&gt;BO302))+(SUMPRODUCT(--(calc!$BN$3:$BN$306=TRUE),--(calc!$BO$3:$BO$306=BO302))-1)/2,"")</f>
        <v/>
      </c>
      <c r="BT302" s="5">
        <f>IF(BN302,1+SUMPRODUCT(--(calc!$BN$3:$BN$306=TRUE),--(calc!$BP$3:$BP$306&gt;BP302))+(SUMPRODUCT(--(calc!$BN$3:$BN$306=TRUE),--(calc!$BP$3:$BP$306=BP302))-1)/2,"")</f>
        <v/>
      </c>
      <c r="BU302" s="5">
        <f>IF(BN302,SUMPRODUCT(--(calc!$BN$3:$BN$306=TRUE),--(ROW(calc!$BN$3:$BN$306)&gt;ROW(BN302)),--(((calc!$BS$3:$BS$306&gt;BS302)*(calc!$BT$3:$BT$306&gt;BT302)+(calc!$BS$3:$BS$306&lt;BS302)*(calc!$BT$3:$BT$306&lt;BT302))&gt;0))-SUMPRODUCT(--(calc!$BN$3:$BN$306=TRUE),--(ROW(calc!$BN$3:$BN$306)&gt;ROW(BN302)),--(((calc!$BS$3:$BS$306&gt;BS302)*(calc!$BT$3:$BT$306&lt;BT302)+(calc!$BS$3:$BS$306&lt;BS302)*(calc!$BT$3:$BT$306&gt;BT302))&gt;0)),0)</f>
        <v/>
      </c>
    </row>
    <row r="303">
      <c r="A303" s="2">
        <f>mos_metrics!A302</f>
        <v/>
      </c>
      <c r="B303" s="2">
        <f>mos_metrics!B302</f>
        <v/>
      </c>
      <c r="C303" s="2">
        <f>mos_metrics!C302</f>
        <v/>
      </c>
      <c r="D303" s="2">
        <f>mos_metrics!D302</f>
        <v/>
      </c>
      <c r="E303" s="2">
        <f>mos_metrics!E302</f>
        <v/>
      </c>
      <c r="F303" s="2">
        <f>mos_metrics!F302</f>
        <v/>
      </c>
      <c r="G303" s="2">
        <f>IF($B303="","",IFERROR(VLOOKUP($B303,correlation!$A$2:$B$16,2,FALSE),1))</f>
        <v/>
      </c>
      <c r="H303" s="2">
        <f>IF($E303="","",IFERROR(VLOOKUP($E303,correlation!$D$2:$E$8,2,FALSE),1))</f>
        <v/>
      </c>
      <c r="I303" s="2">
        <f>ISNUMBER($F303)</f>
        <v/>
      </c>
      <c r="J303" s="2">
        <f>AND($G303=1,$H303=1,$I303)</f>
        <v/>
      </c>
      <c r="K303" s="5">
        <f>IF(mos_metrics!G302="","",mos_metrics!G302)</f>
        <v/>
      </c>
      <c r="L303" s="2">
        <f>AND($J303,ISNUMBER(K303),correlation!$I$26=1)</f>
        <v/>
      </c>
      <c r="M303" s="5">
        <f>IF(L303,$F303,"")</f>
        <v/>
      </c>
      <c r="N303" s="5">
        <f>IF(L303,K303*correlation!$J$26,"")</f>
        <v/>
      </c>
      <c r="O303" s="5">
        <f>IF(AND(L303,ISNUMBER(correlation!$F$26)),N303*correlation!$F$26+correlation!$G$26,"")</f>
        <v/>
      </c>
      <c r="P303" s="5">
        <f>IF(AND(L303,ISNUMBER(O303)),(M303-O303)^2,"")</f>
        <v/>
      </c>
      <c r="Q303" s="5">
        <f>IF(L303,1+SUMPRODUCT(--(calc!$L$3:$L$306=TRUE),--(calc!$M$3:$M$306&gt;M303))+(SUMPRODUCT(--(calc!$L$3:$L$306=TRUE),--(calc!$M$3:$M$306=M303))-1)/2,"")</f>
        <v/>
      </c>
      <c r="R303" s="5">
        <f>IF(L303,1+SUMPRODUCT(--(calc!$L$3:$L$306=TRUE),--(calc!$N$3:$N$306&gt;N303))+(SUMPRODUCT(--(calc!$L$3:$L$306=TRUE),--(calc!$N$3:$N$306=N303))-1)/2,"")</f>
        <v/>
      </c>
      <c r="S303" s="5">
        <f>IF(L303,SUMPRODUCT(--(calc!$L$3:$L$306=TRUE),--(ROW(calc!$L$3:$L$306)&gt;ROW(L303)),--(((calc!$Q$3:$Q$306&gt;Q303)*(calc!$R$3:$R$306&gt;R303)+(calc!$Q$3:$Q$306&lt;Q303)*(calc!$R$3:$R$306&lt;R303))&gt;0))-SUMPRODUCT(--(calc!$L$3:$L$306=TRUE),--(ROW(calc!$L$3:$L$306)&gt;ROW(L303)),--(((calc!$Q$3:$Q$306&gt;Q303)*(calc!$R$3:$R$306&lt;R303)+(calc!$Q$3:$Q$306&lt;Q303)*(calc!$R$3:$R$306&gt;R303))&gt;0)),0)</f>
        <v/>
      </c>
      <c r="T303" s="5">
        <f>IF(mos_metrics!H302="","",mos_metrics!H302)</f>
        <v/>
      </c>
      <c r="U303" s="2">
        <f>AND($J303,ISNUMBER(T303),correlation!$I$27=1)</f>
        <v/>
      </c>
      <c r="V303" s="5">
        <f>IF(U303,$F303,"")</f>
        <v/>
      </c>
      <c r="W303" s="5">
        <f>IF(U303,T303*correlation!$J$27,"")</f>
        <v/>
      </c>
      <c r="X303" s="5">
        <f>IF(AND(U303,ISNUMBER(correlation!$F$27)),W303*correlation!$F$27+correlation!$G$27,"")</f>
        <v/>
      </c>
      <c r="Y303" s="5">
        <f>IF(AND(U303,ISNUMBER(X303)),(V303-X303)^2,"")</f>
        <v/>
      </c>
      <c r="Z303" s="5">
        <f>IF(U303,1+SUMPRODUCT(--(calc!$U$3:$U$306=TRUE),--(calc!$V$3:$V$306&gt;V303))+(SUMPRODUCT(--(calc!$U$3:$U$306=TRUE),--(calc!$V$3:$V$306=V303))-1)/2,"")</f>
        <v/>
      </c>
      <c r="AA303" s="5">
        <f>IF(U303,1+SUMPRODUCT(--(calc!$U$3:$U$306=TRUE),--(calc!$W$3:$W$306&gt;W303))+(SUMPRODUCT(--(calc!$U$3:$U$306=TRUE),--(calc!$W$3:$W$306=W303))-1)/2,"")</f>
        <v/>
      </c>
      <c r="AB303" s="5">
        <f>IF(U303,SUMPRODUCT(--(calc!$U$3:$U$306=TRUE),--(ROW(calc!$U$3:$U$306)&gt;ROW(U303)),--(((calc!$Z$3:$Z$306&gt;Z303)*(calc!$AA$3:$AA$306&gt;AA303)+(calc!$Z$3:$Z$306&lt;Z303)*(calc!$AA$3:$AA$306&lt;AA303))&gt;0))-SUMPRODUCT(--(calc!$U$3:$U$306=TRUE),--(ROW(calc!$U$3:$U$306)&gt;ROW(U303)),--(((calc!$Z$3:$Z$306&gt;Z303)*(calc!$AA$3:$AA$306&lt;AA303)+(calc!$Z$3:$Z$306&lt;Z303)*(calc!$AA$3:$AA$306&gt;AA303))&gt;0)),0)</f>
        <v/>
      </c>
      <c r="AC303" s="5">
        <f>IF(mos_metrics!I302="","",mos_metrics!I302)</f>
        <v/>
      </c>
      <c r="AD303" s="2">
        <f>AND($J303,ISNUMBER(AC303),correlation!$I$28=1)</f>
        <v/>
      </c>
      <c r="AE303" s="5">
        <f>IF(AD303,$F303,"")</f>
        <v/>
      </c>
      <c r="AF303" s="5">
        <f>IF(AD303,AC303*correlation!$J$28,"")</f>
        <v/>
      </c>
      <c r="AG303" s="5">
        <f>IF(AND(AD303,ISNUMBER(correlation!$F$28)),AF303*correlation!$F$28+correlation!$G$28,"")</f>
        <v/>
      </c>
      <c r="AH303" s="5">
        <f>IF(AND(AD303,ISNUMBER(AG303)),(AE303-AG303)^2,"")</f>
        <v/>
      </c>
      <c r="AI303" s="5">
        <f>IF(AD303,1+SUMPRODUCT(--(calc!$AD$3:$AD$306=TRUE),--(calc!$AE$3:$AE$306&gt;AE303))+(SUMPRODUCT(--(calc!$AD$3:$AD$306=TRUE),--(calc!$AE$3:$AE$306=AE303))-1)/2,"")</f>
        <v/>
      </c>
      <c r="AJ303" s="5">
        <f>IF(AD303,1+SUMPRODUCT(--(calc!$AD$3:$AD$306=TRUE),--(calc!$AF$3:$AF$306&gt;AF303))+(SUMPRODUCT(--(calc!$AD$3:$AD$306=TRUE),--(calc!$AF$3:$AF$306=AF303))-1)/2,"")</f>
        <v/>
      </c>
      <c r="AK303" s="5">
        <f>IF(AD303,SUMPRODUCT(--(calc!$AD$3:$AD$306=TRUE),--(ROW(calc!$AD$3:$AD$306)&gt;ROW(AD303)),--(((calc!$AI$3:$AI$306&gt;AI303)*(calc!$AJ$3:$AJ$306&gt;AJ303)+(calc!$AI$3:$AI$306&lt;AI303)*(calc!$AJ$3:$AJ$306&lt;AJ303))&gt;0))-SUMPRODUCT(--(calc!$AD$3:$AD$306=TRUE),--(ROW(calc!$AD$3:$AD$306)&gt;ROW(AD303)),--(((calc!$AI$3:$AI$306&gt;AI303)*(calc!$AJ$3:$AJ$306&lt;AJ303)+(calc!$AI$3:$AI$306&lt;AI303)*(calc!$AJ$3:$AJ$306&gt;AJ303))&gt;0)),0)</f>
        <v/>
      </c>
      <c r="AL303" s="5">
        <f>IF(mos_metrics!J302="","",mos_metrics!J302)</f>
        <v/>
      </c>
      <c r="AM303" s="2">
        <f>AND($J303,ISNUMBER(AL303),correlation!$I$29=1)</f>
        <v/>
      </c>
      <c r="AN303" s="5">
        <f>IF(AM303,$F303,"")</f>
        <v/>
      </c>
      <c r="AO303" s="5">
        <f>IF(AM303,AL303*correlation!$J$29,"")</f>
        <v/>
      </c>
      <c r="AP303" s="5">
        <f>IF(AND(AM303,ISNUMBER(correlation!$F$29)),AO303*correlation!$F$29+correlation!$G$29,"")</f>
        <v/>
      </c>
      <c r="AQ303" s="5">
        <f>IF(AND(AM303,ISNUMBER(AP303)),(AN303-AP303)^2,"")</f>
        <v/>
      </c>
      <c r="AR303" s="5">
        <f>IF(AM303,1+SUMPRODUCT(--(calc!$AM$3:$AM$306=TRUE),--(calc!$AN$3:$AN$306&gt;AN303))+(SUMPRODUCT(--(calc!$AM$3:$AM$306=TRUE),--(calc!$AN$3:$AN$306=AN303))-1)/2,"")</f>
        <v/>
      </c>
      <c r="AS303" s="5">
        <f>IF(AM303,1+SUMPRODUCT(--(calc!$AM$3:$AM$306=TRUE),--(calc!$AO$3:$AO$306&gt;AO303))+(SUMPRODUCT(--(calc!$AM$3:$AM$306=TRUE),--(calc!$AO$3:$AO$306=AO303))-1)/2,"")</f>
        <v/>
      </c>
      <c r="AT303" s="5">
        <f>IF(AM303,SUMPRODUCT(--(calc!$AM$3:$AM$306=TRUE),--(ROW(calc!$AM$3:$AM$306)&gt;ROW(AM303)),--(((calc!$AR$3:$AR$306&gt;AR303)*(calc!$AS$3:$AS$306&gt;AS303)+(calc!$AR$3:$AR$306&lt;AR303)*(calc!$AS$3:$AS$306&lt;AS303))&gt;0))-SUMPRODUCT(--(calc!$AM$3:$AM$306=TRUE),--(ROW(calc!$AM$3:$AM$306)&gt;ROW(AM303)),--(((calc!$AR$3:$AR$306&gt;AR303)*(calc!$AS$3:$AS$306&lt;AS303)+(calc!$AR$3:$AR$306&lt;AR303)*(calc!$AS$3:$AS$306&gt;AS303))&gt;0)),0)</f>
        <v/>
      </c>
      <c r="AU303" s="5">
        <f>IF(mos_metrics!K302="","",mos_metrics!K302)</f>
        <v/>
      </c>
      <c r="AV303" s="2">
        <f>AND($J303,ISNUMBER(AU303),correlation!$I$30=1)</f>
        <v/>
      </c>
      <c r="AW303" s="5">
        <f>IF(AV303,$F303,"")</f>
        <v/>
      </c>
      <c r="AX303" s="5">
        <f>IF(AV303,AU303*correlation!$J$30,"")</f>
        <v/>
      </c>
      <c r="AY303" s="5">
        <f>IF(AND(AV303,ISNUMBER(correlation!$F$30)),AX303*correlation!$F$30+correlation!$G$30,"")</f>
        <v/>
      </c>
      <c r="AZ303" s="5">
        <f>IF(AND(AV303,ISNUMBER(AY303)),(AW303-AY303)^2,"")</f>
        <v/>
      </c>
      <c r="BA303" s="5">
        <f>IF(AV303,1+SUMPRODUCT(--(calc!$AV$3:$AV$306=TRUE),--(calc!$AW$3:$AW$306&gt;AW303))+(SUMPRODUCT(--(calc!$AV$3:$AV$306=TRUE),--(calc!$AW$3:$AW$306=AW303))-1)/2,"")</f>
        <v/>
      </c>
      <c r="BB303" s="5">
        <f>IF(AV303,1+SUMPRODUCT(--(calc!$AV$3:$AV$306=TRUE),--(calc!$AX$3:$AX$306&gt;AX303))+(SUMPRODUCT(--(calc!$AV$3:$AV$306=TRUE),--(calc!$AX$3:$AX$306=AX303))-1)/2,"")</f>
        <v/>
      </c>
      <c r="BC303" s="5">
        <f>IF(AV303,SUMPRODUCT(--(calc!$AV$3:$AV$306=TRUE),--(ROW(calc!$AV$3:$AV$306)&gt;ROW(AV303)),--(((calc!$BA$3:$BA$306&gt;BA303)*(calc!$BB$3:$BB$306&gt;BB303)+(calc!$BA$3:$BA$306&lt;BA303)*(calc!$BB$3:$BB$306&lt;BB303))&gt;0))-SUMPRODUCT(--(calc!$AV$3:$AV$306=TRUE),--(ROW(calc!$AV$3:$AV$306)&gt;ROW(AV303)),--(((calc!$BA$3:$BA$306&gt;BA303)*(calc!$BB$3:$BB$306&lt;BB303)+(calc!$BA$3:$BA$306&lt;BA303)*(calc!$BB$3:$BB$306&gt;BB303))&gt;0)),0)</f>
        <v/>
      </c>
      <c r="BD303" s="5">
        <f>IF(mos_metrics!L302="","",mos_metrics!L302)</f>
        <v/>
      </c>
      <c r="BE303" s="2">
        <f>AND($J303,ISNUMBER(BD303),correlation!$I$31=1)</f>
        <v/>
      </c>
      <c r="BF303" s="5">
        <f>IF(BE303,$F303,"")</f>
        <v/>
      </c>
      <c r="BG303" s="5">
        <f>IF(BE303,BD303*correlation!$J$31,"")</f>
        <v/>
      </c>
      <c r="BH303" s="5">
        <f>IF(AND(BE303,ISNUMBER(correlation!$F$31)),BG303*correlation!$F$31+correlation!$G$31,"")</f>
        <v/>
      </c>
      <c r="BI303" s="5">
        <f>IF(AND(BE303,ISNUMBER(BH303)),(BF303-BH303)^2,"")</f>
        <v/>
      </c>
      <c r="BJ303" s="5">
        <f>IF(BE303,1+SUMPRODUCT(--(calc!$BE$3:$BE$306=TRUE),--(calc!$BF$3:$BF$306&gt;BF303))+(SUMPRODUCT(--(calc!$BE$3:$BE$306=TRUE),--(calc!$BF$3:$BF$306=BF303))-1)/2,"")</f>
        <v/>
      </c>
      <c r="BK303" s="5">
        <f>IF(BE303,1+SUMPRODUCT(--(calc!$BE$3:$BE$306=TRUE),--(calc!$BG$3:$BG$306&gt;BG303))+(SUMPRODUCT(--(calc!$BE$3:$BE$306=TRUE),--(calc!$BG$3:$BG$306=BG303))-1)/2,"")</f>
        <v/>
      </c>
      <c r="BL303" s="5">
        <f>IF(BE303,SUMPRODUCT(--(calc!$BE$3:$BE$306=TRUE),--(ROW(calc!$BE$3:$BE$306)&gt;ROW(BE303)),--(((calc!$BJ$3:$BJ$306&gt;BJ303)*(calc!$BK$3:$BK$306&gt;BK303)+(calc!$BJ$3:$BJ$306&lt;BJ303)*(calc!$BK$3:$BK$306&lt;BK303))&gt;0))-SUMPRODUCT(--(calc!$BE$3:$BE$306=TRUE),--(ROW(calc!$BE$3:$BE$306)&gt;ROW(BE303)),--(((calc!$BJ$3:$BJ$306&gt;BJ303)*(calc!$BK$3:$BK$306&lt;BK303)+(calc!$BJ$3:$BJ$306&lt;BJ303)*(calc!$BK$3:$BK$306&gt;BK303))&gt;0)),0)</f>
        <v/>
      </c>
      <c r="BM303" s="5">
        <f>IF(mos_metrics!M302="","",mos_metrics!M302)</f>
        <v/>
      </c>
      <c r="BN303" s="2">
        <f>AND($J303,ISNUMBER(BM303),correlation!$I$32=1)</f>
        <v/>
      </c>
      <c r="BO303" s="5">
        <f>IF(BN303,$F303,"")</f>
        <v/>
      </c>
      <c r="BP303" s="5">
        <f>IF(BN303,BM303*correlation!$J$32,"")</f>
        <v/>
      </c>
      <c r="BQ303" s="5">
        <f>IF(AND(BN303,ISNUMBER(correlation!$F$32)),BP303*correlation!$F$32+correlation!$G$32,"")</f>
        <v/>
      </c>
      <c r="BR303" s="5">
        <f>IF(AND(BN303,ISNUMBER(BQ303)),(BO303-BQ303)^2,"")</f>
        <v/>
      </c>
      <c r="BS303" s="5">
        <f>IF(BN303,1+SUMPRODUCT(--(calc!$BN$3:$BN$306=TRUE),--(calc!$BO$3:$BO$306&gt;BO303))+(SUMPRODUCT(--(calc!$BN$3:$BN$306=TRUE),--(calc!$BO$3:$BO$306=BO303))-1)/2,"")</f>
        <v/>
      </c>
      <c r="BT303" s="5">
        <f>IF(BN303,1+SUMPRODUCT(--(calc!$BN$3:$BN$306=TRUE),--(calc!$BP$3:$BP$306&gt;BP303))+(SUMPRODUCT(--(calc!$BN$3:$BN$306=TRUE),--(calc!$BP$3:$BP$306=BP303))-1)/2,"")</f>
        <v/>
      </c>
      <c r="BU303" s="5">
        <f>IF(BN303,SUMPRODUCT(--(calc!$BN$3:$BN$306=TRUE),--(ROW(calc!$BN$3:$BN$306)&gt;ROW(BN303)),--(((calc!$BS$3:$BS$306&gt;BS303)*(calc!$BT$3:$BT$306&gt;BT303)+(calc!$BS$3:$BS$306&lt;BS303)*(calc!$BT$3:$BT$306&lt;BT303))&gt;0))-SUMPRODUCT(--(calc!$BN$3:$BN$306=TRUE),--(ROW(calc!$BN$3:$BN$306)&gt;ROW(BN303)),--(((calc!$BS$3:$BS$306&gt;BS303)*(calc!$BT$3:$BT$306&lt;BT303)+(calc!$BS$3:$BS$306&lt;BS303)*(calc!$BT$3:$BT$306&gt;BT303))&gt;0)),0)</f>
        <v/>
      </c>
    </row>
    <row r="304">
      <c r="A304" s="2">
        <f>mos_metrics!A303</f>
        <v/>
      </c>
      <c r="B304" s="2">
        <f>mos_metrics!B303</f>
        <v/>
      </c>
      <c r="C304" s="2">
        <f>mos_metrics!C303</f>
        <v/>
      </c>
      <c r="D304" s="2">
        <f>mos_metrics!D303</f>
        <v/>
      </c>
      <c r="E304" s="2">
        <f>mos_metrics!E303</f>
        <v/>
      </c>
      <c r="F304" s="2">
        <f>mos_metrics!F303</f>
        <v/>
      </c>
      <c r="G304" s="2">
        <f>IF($B304="","",IFERROR(VLOOKUP($B304,correlation!$A$2:$B$16,2,FALSE),1))</f>
        <v/>
      </c>
      <c r="H304" s="2">
        <f>IF($E304="","",IFERROR(VLOOKUP($E304,correlation!$D$2:$E$8,2,FALSE),1))</f>
        <v/>
      </c>
      <c r="I304" s="2">
        <f>ISNUMBER($F304)</f>
        <v/>
      </c>
      <c r="J304" s="2">
        <f>AND($G304=1,$H304=1,$I304)</f>
        <v/>
      </c>
      <c r="K304" s="5">
        <f>IF(mos_metrics!G303="","",mos_metrics!G303)</f>
        <v/>
      </c>
      <c r="L304" s="2">
        <f>AND($J304,ISNUMBER(K304),correlation!$I$26=1)</f>
        <v/>
      </c>
      <c r="M304" s="5">
        <f>IF(L304,$F304,"")</f>
        <v/>
      </c>
      <c r="N304" s="5">
        <f>IF(L304,K304*correlation!$J$26,"")</f>
        <v/>
      </c>
      <c r="O304" s="5">
        <f>IF(AND(L304,ISNUMBER(correlation!$F$26)),N304*correlation!$F$26+correlation!$G$26,"")</f>
        <v/>
      </c>
      <c r="P304" s="5">
        <f>IF(AND(L304,ISNUMBER(O304)),(M304-O304)^2,"")</f>
        <v/>
      </c>
      <c r="Q304" s="5">
        <f>IF(L304,1+SUMPRODUCT(--(calc!$L$3:$L$306=TRUE),--(calc!$M$3:$M$306&gt;M304))+(SUMPRODUCT(--(calc!$L$3:$L$306=TRUE),--(calc!$M$3:$M$306=M304))-1)/2,"")</f>
        <v/>
      </c>
      <c r="R304" s="5">
        <f>IF(L304,1+SUMPRODUCT(--(calc!$L$3:$L$306=TRUE),--(calc!$N$3:$N$306&gt;N304))+(SUMPRODUCT(--(calc!$L$3:$L$306=TRUE),--(calc!$N$3:$N$306=N304))-1)/2,"")</f>
        <v/>
      </c>
      <c r="S304" s="5">
        <f>IF(L304,SUMPRODUCT(--(calc!$L$3:$L$306=TRUE),--(ROW(calc!$L$3:$L$306)&gt;ROW(L304)),--(((calc!$Q$3:$Q$306&gt;Q304)*(calc!$R$3:$R$306&gt;R304)+(calc!$Q$3:$Q$306&lt;Q304)*(calc!$R$3:$R$306&lt;R304))&gt;0))-SUMPRODUCT(--(calc!$L$3:$L$306=TRUE),--(ROW(calc!$L$3:$L$306)&gt;ROW(L304)),--(((calc!$Q$3:$Q$306&gt;Q304)*(calc!$R$3:$R$306&lt;R304)+(calc!$Q$3:$Q$306&lt;Q304)*(calc!$R$3:$R$306&gt;R304))&gt;0)),0)</f>
        <v/>
      </c>
      <c r="T304" s="5">
        <f>IF(mos_metrics!H303="","",mos_metrics!H303)</f>
        <v/>
      </c>
      <c r="U304" s="2">
        <f>AND($J304,ISNUMBER(T304),correlation!$I$27=1)</f>
        <v/>
      </c>
      <c r="V304" s="5">
        <f>IF(U304,$F304,"")</f>
        <v/>
      </c>
      <c r="W304" s="5">
        <f>IF(U304,T304*correlation!$J$27,"")</f>
        <v/>
      </c>
      <c r="X304" s="5">
        <f>IF(AND(U304,ISNUMBER(correlation!$F$27)),W304*correlation!$F$27+correlation!$G$27,"")</f>
        <v/>
      </c>
      <c r="Y304" s="5">
        <f>IF(AND(U304,ISNUMBER(X304)),(V304-X304)^2,"")</f>
        <v/>
      </c>
      <c r="Z304" s="5">
        <f>IF(U304,1+SUMPRODUCT(--(calc!$U$3:$U$306=TRUE),--(calc!$V$3:$V$306&gt;V304))+(SUMPRODUCT(--(calc!$U$3:$U$306=TRUE),--(calc!$V$3:$V$306=V304))-1)/2,"")</f>
        <v/>
      </c>
      <c r="AA304" s="5">
        <f>IF(U304,1+SUMPRODUCT(--(calc!$U$3:$U$306=TRUE),--(calc!$W$3:$W$306&gt;W304))+(SUMPRODUCT(--(calc!$U$3:$U$306=TRUE),--(calc!$W$3:$W$306=W304))-1)/2,"")</f>
        <v/>
      </c>
      <c r="AB304" s="5">
        <f>IF(U304,SUMPRODUCT(--(calc!$U$3:$U$306=TRUE),--(ROW(calc!$U$3:$U$306)&gt;ROW(U304)),--(((calc!$Z$3:$Z$306&gt;Z304)*(calc!$AA$3:$AA$306&gt;AA304)+(calc!$Z$3:$Z$306&lt;Z304)*(calc!$AA$3:$AA$306&lt;AA304))&gt;0))-SUMPRODUCT(--(calc!$U$3:$U$306=TRUE),--(ROW(calc!$U$3:$U$306)&gt;ROW(U304)),--(((calc!$Z$3:$Z$306&gt;Z304)*(calc!$AA$3:$AA$306&lt;AA304)+(calc!$Z$3:$Z$306&lt;Z304)*(calc!$AA$3:$AA$306&gt;AA304))&gt;0)),0)</f>
        <v/>
      </c>
      <c r="AC304" s="5">
        <f>IF(mos_metrics!I303="","",mos_metrics!I303)</f>
        <v/>
      </c>
      <c r="AD304" s="2">
        <f>AND($J304,ISNUMBER(AC304),correlation!$I$28=1)</f>
        <v/>
      </c>
      <c r="AE304" s="5">
        <f>IF(AD304,$F304,"")</f>
        <v/>
      </c>
      <c r="AF304" s="5">
        <f>IF(AD304,AC304*correlation!$J$28,"")</f>
        <v/>
      </c>
      <c r="AG304" s="5">
        <f>IF(AND(AD304,ISNUMBER(correlation!$F$28)),AF304*correlation!$F$28+correlation!$G$28,"")</f>
        <v/>
      </c>
      <c r="AH304" s="5">
        <f>IF(AND(AD304,ISNUMBER(AG304)),(AE304-AG304)^2,"")</f>
        <v/>
      </c>
      <c r="AI304" s="5">
        <f>IF(AD304,1+SUMPRODUCT(--(calc!$AD$3:$AD$306=TRUE),--(calc!$AE$3:$AE$306&gt;AE304))+(SUMPRODUCT(--(calc!$AD$3:$AD$306=TRUE),--(calc!$AE$3:$AE$306=AE304))-1)/2,"")</f>
        <v/>
      </c>
      <c r="AJ304" s="5">
        <f>IF(AD304,1+SUMPRODUCT(--(calc!$AD$3:$AD$306=TRUE),--(calc!$AF$3:$AF$306&gt;AF304))+(SUMPRODUCT(--(calc!$AD$3:$AD$306=TRUE),--(calc!$AF$3:$AF$306=AF304))-1)/2,"")</f>
        <v/>
      </c>
      <c r="AK304" s="5">
        <f>IF(AD304,SUMPRODUCT(--(calc!$AD$3:$AD$306=TRUE),--(ROW(calc!$AD$3:$AD$306)&gt;ROW(AD304)),--(((calc!$AI$3:$AI$306&gt;AI304)*(calc!$AJ$3:$AJ$306&gt;AJ304)+(calc!$AI$3:$AI$306&lt;AI304)*(calc!$AJ$3:$AJ$306&lt;AJ304))&gt;0))-SUMPRODUCT(--(calc!$AD$3:$AD$306=TRUE),--(ROW(calc!$AD$3:$AD$306)&gt;ROW(AD304)),--(((calc!$AI$3:$AI$306&gt;AI304)*(calc!$AJ$3:$AJ$306&lt;AJ304)+(calc!$AI$3:$AI$306&lt;AI304)*(calc!$AJ$3:$AJ$306&gt;AJ304))&gt;0)),0)</f>
        <v/>
      </c>
      <c r="AL304" s="5">
        <f>IF(mos_metrics!J303="","",mos_metrics!J303)</f>
        <v/>
      </c>
      <c r="AM304" s="2">
        <f>AND($J304,ISNUMBER(AL304),correlation!$I$29=1)</f>
        <v/>
      </c>
      <c r="AN304" s="5">
        <f>IF(AM304,$F304,"")</f>
        <v/>
      </c>
      <c r="AO304" s="5">
        <f>IF(AM304,AL304*correlation!$J$29,"")</f>
        <v/>
      </c>
      <c r="AP304" s="5">
        <f>IF(AND(AM304,ISNUMBER(correlation!$F$29)),AO304*correlation!$F$29+correlation!$G$29,"")</f>
        <v/>
      </c>
      <c r="AQ304" s="5">
        <f>IF(AND(AM304,ISNUMBER(AP304)),(AN304-AP304)^2,"")</f>
        <v/>
      </c>
      <c r="AR304" s="5">
        <f>IF(AM304,1+SUMPRODUCT(--(calc!$AM$3:$AM$306=TRUE),--(calc!$AN$3:$AN$306&gt;AN304))+(SUMPRODUCT(--(calc!$AM$3:$AM$306=TRUE),--(calc!$AN$3:$AN$306=AN304))-1)/2,"")</f>
        <v/>
      </c>
      <c r="AS304" s="5">
        <f>IF(AM304,1+SUMPRODUCT(--(calc!$AM$3:$AM$306=TRUE),--(calc!$AO$3:$AO$306&gt;AO304))+(SUMPRODUCT(--(calc!$AM$3:$AM$306=TRUE),--(calc!$AO$3:$AO$306=AO304))-1)/2,"")</f>
        <v/>
      </c>
      <c r="AT304" s="5">
        <f>IF(AM304,SUMPRODUCT(--(calc!$AM$3:$AM$306=TRUE),--(ROW(calc!$AM$3:$AM$306)&gt;ROW(AM304)),--(((calc!$AR$3:$AR$306&gt;AR304)*(calc!$AS$3:$AS$306&gt;AS304)+(calc!$AR$3:$AR$306&lt;AR304)*(calc!$AS$3:$AS$306&lt;AS304))&gt;0))-SUMPRODUCT(--(calc!$AM$3:$AM$306=TRUE),--(ROW(calc!$AM$3:$AM$306)&gt;ROW(AM304)),--(((calc!$AR$3:$AR$306&gt;AR304)*(calc!$AS$3:$AS$306&lt;AS304)+(calc!$AR$3:$AR$306&lt;AR304)*(calc!$AS$3:$AS$306&gt;AS304))&gt;0)),0)</f>
        <v/>
      </c>
      <c r="AU304" s="5">
        <f>IF(mos_metrics!K303="","",mos_metrics!K303)</f>
        <v/>
      </c>
      <c r="AV304" s="2">
        <f>AND($J304,ISNUMBER(AU304),correlation!$I$30=1)</f>
        <v/>
      </c>
      <c r="AW304" s="5">
        <f>IF(AV304,$F304,"")</f>
        <v/>
      </c>
      <c r="AX304" s="5">
        <f>IF(AV304,AU304*correlation!$J$30,"")</f>
        <v/>
      </c>
      <c r="AY304" s="5">
        <f>IF(AND(AV304,ISNUMBER(correlation!$F$30)),AX304*correlation!$F$30+correlation!$G$30,"")</f>
        <v/>
      </c>
      <c r="AZ304" s="5">
        <f>IF(AND(AV304,ISNUMBER(AY304)),(AW304-AY304)^2,"")</f>
        <v/>
      </c>
      <c r="BA304" s="5">
        <f>IF(AV304,1+SUMPRODUCT(--(calc!$AV$3:$AV$306=TRUE),--(calc!$AW$3:$AW$306&gt;AW304))+(SUMPRODUCT(--(calc!$AV$3:$AV$306=TRUE),--(calc!$AW$3:$AW$306=AW304))-1)/2,"")</f>
        <v/>
      </c>
      <c r="BB304" s="5">
        <f>IF(AV304,1+SUMPRODUCT(--(calc!$AV$3:$AV$306=TRUE),--(calc!$AX$3:$AX$306&gt;AX304))+(SUMPRODUCT(--(calc!$AV$3:$AV$306=TRUE),--(calc!$AX$3:$AX$306=AX304))-1)/2,"")</f>
        <v/>
      </c>
      <c r="BC304" s="5">
        <f>IF(AV304,SUMPRODUCT(--(calc!$AV$3:$AV$306=TRUE),--(ROW(calc!$AV$3:$AV$306)&gt;ROW(AV304)),--(((calc!$BA$3:$BA$306&gt;BA304)*(calc!$BB$3:$BB$306&gt;BB304)+(calc!$BA$3:$BA$306&lt;BA304)*(calc!$BB$3:$BB$306&lt;BB304))&gt;0))-SUMPRODUCT(--(calc!$AV$3:$AV$306=TRUE),--(ROW(calc!$AV$3:$AV$306)&gt;ROW(AV304)),--(((calc!$BA$3:$BA$306&gt;BA304)*(calc!$BB$3:$BB$306&lt;BB304)+(calc!$BA$3:$BA$306&lt;BA304)*(calc!$BB$3:$BB$306&gt;BB304))&gt;0)),0)</f>
        <v/>
      </c>
      <c r="BD304" s="5">
        <f>IF(mos_metrics!L303="","",mos_metrics!L303)</f>
        <v/>
      </c>
      <c r="BE304" s="2">
        <f>AND($J304,ISNUMBER(BD304),correlation!$I$31=1)</f>
        <v/>
      </c>
      <c r="BF304" s="5">
        <f>IF(BE304,$F304,"")</f>
        <v/>
      </c>
      <c r="BG304" s="5">
        <f>IF(BE304,BD304*correlation!$J$31,"")</f>
        <v/>
      </c>
      <c r="BH304" s="5">
        <f>IF(AND(BE304,ISNUMBER(correlation!$F$31)),BG304*correlation!$F$31+correlation!$G$31,"")</f>
        <v/>
      </c>
      <c r="BI304" s="5">
        <f>IF(AND(BE304,ISNUMBER(BH304)),(BF304-BH304)^2,"")</f>
        <v/>
      </c>
      <c r="BJ304" s="5">
        <f>IF(BE304,1+SUMPRODUCT(--(calc!$BE$3:$BE$306=TRUE),--(calc!$BF$3:$BF$306&gt;BF304))+(SUMPRODUCT(--(calc!$BE$3:$BE$306=TRUE),--(calc!$BF$3:$BF$306=BF304))-1)/2,"")</f>
        <v/>
      </c>
      <c r="BK304" s="5">
        <f>IF(BE304,1+SUMPRODUCT(--(calc!$BE$3:$BE$306=TRUE),--(calc!$BG$3:$BG$306&gt;BG304))+(SUMPRODUCT(--(calc!$BE$3:$BE$306=TRUE),--(calc!$BG$3:$BG$306=BG304))-1)/2,"")</f>
        <v/>
      </c>
      <c r="BL304" s="5">
        <f>IF(BE304,SUMPRODUCT(--(calc!$BE$3:$BE$306=TRUE),--(ROW(calc!$BE$3:$BE$306)&gt;ROW(BE304)),--(((calc!$BJ$3:$BJ$306&gt;BJ304)*(calc!$BK$3:$BK$306&gt;BK304)+(calc!$BJ$3:$BJ$306&lt;BJ304)*(calc!$BK$3:$BK$306&lt;BK304))&gt;0))-SUMPRODUCT(--(calc!$BE$3:$BE$306=TRUE),--(ROW(calc!$BE$3:$BE$306)&gt;ROW(BE304)),--(((calc!$BJ$3:$BJ$306&gt;BJ304)*(calc!$BK$3:$BK$306&lt;BK304)+(calc!$BJ$3:$BJ$306&lt;BJ304)*(calc!$BK$3:$BK$306&gt;BK304))&gt;0)),0)</f>
        <v/>
      </c>
      <c r="BM304" s="5">
        <f>IF(mos_metrics!M303="","",mos_metrics!M303)</f>
        <v/>
      </c>
      <c r="BN304" s="2">
        <f>AND($J304,ISNUMBER(BM304),correlation!$I$32=1)</f>
        <v/>
      </c>
      <c r="BO304" s="5">
        <f>IF(BN304,$F304,"")</f>
        <v/>
      </c>
      <c r="BP304" s="5">
        <f>IF(BN304,BM304*correlation!$J$32,"")</f>
        <v/>
      </c>
      <c r="BQ304" s="5">
        <f>IF(AND(BN304,ISNUMBER(correlation!$F$32)),BP304*correlation!$F$32+correlation!$G$32,"")</f>
        <v/>
      </c>
      <c r="BR304" s="5">
        <f>IF(AND(BN304,ISNUMBER(BQ304)),(BO304-BQ304)^2,"")</f>
        <v/>
      </c>
      <c r="BS304" s="5">
        <f>IF(BN304,1+SUMPRODUCT(--(calc!$BN$3:$BN$306=TRUE),--(calc!$BO$3:$BO$306&gt;BO304))+(SUMPRODUCT(--(calc!$BN$3:$BN$306=TRUE),--(calc!$BO$3:$BO$306=BO304))-1)/2,"")</f>
        <v/>
      </c>
      <c r="BT304" s="5">
        <f>IF(BN304,1+SUMPRODUCT(--(calc!$BN$3:$BN$306=TRUE),--(calc!$BP$3:$BP$306&gt;BP304))+(SUMPRODUCT(--(calc!$BN$3:$BN$306=TRUE),--(calc!$BP$3:$BP$306=BP304))-1)/2,"")</f>
        <v/>
      </c>
      <c r="BU304" s="5">
        <f>IF(BN304,SUMPRODUCT(--(calc!$BN$3:$BN$306=TRUE),--(ROW(calc!$BN$3:$BN$306)&gt;ROW(BN304)),--(((calc!$BS$3:$BS$306&gt;BS304)*(calc!$BT$3:$BT$306&gt;BT304)+(calc!$BS$3:$BS$306&lt;BS304)*(calc!$BT$3:$BT$306&lt;BT304))&gt;0))-SUMPRODUCT(--(calc!$BN$3:$BN$306=TRUE),--(ROW(calc!$BN$3:$BN$306)&gt;ROW(BN304)),--(((calc!$BS$3:$BS$306&gt;BS304)*(calc!$BT$3:$BT$306&lt;BT304)+(calc!$BS$3:$BS$306&lt;BS304)*(calc!$BT$3:$BT$306&gt;BT304))&gt;0)),0)</f>
        <v/>
      </c>
    </row>
    <row r="305">
      <c r="A305" s="2">
        <f>mos_metrics!A304</f>
        <v/>
      </c>
      <c r="B305" s="2">
        <f>mos_metrics!B304</f>
        <v/>
      </c>
      <c r="C305" s="2">
        <f>mos_metrics!C304</f>
        <v/>
      </c>
      <c r="D305" s="2">
        <f>mos_metrics!D304</f>
        <v/>
      </c>
      <c r="E305" s="2">
        <f>mos_metrics!E304</f>
        <v/>
      </c>
      <c r="F305" s="2">
        <f>mos_metrics!F304</f>
        <v/>
      </c>
      <c r="G305" s="2">
        <f>IF($B305="","",IFERROR(VLOOKUP($B305,correlation!$A$2:$B$16,2,FALSE),1))</f>
        <v/>
      </c>
      <c r="H305" s="2">
        <f>IF($E305="","",IFERROR(VLOOKUP($E305,correlation!$D$2:$E$8,2,FALSE),1))</f>
        <v/>
      </c>
      <c r="I305" s="2">
        <f>ISNUMBER($F305)</f>
        <v/>
      </c>
      <c r="J305" s="2">
        <f>AND($G305=1,$H305=1,$I305)</f>
        <v/>
      </c>
      <c r="K305" s="5">
        <f>IF(mos_metrics!G304="","",mos_metrics!G304)</f>
        <v/>
      </c>
      <c r="L305" s="2">
        <f>AND($J305,ISNUMBER(K305),correlation!$I$26=1)</f>
        <v/>
      </c>
      <c r="M305" s="5">
        <f>IF(L305,$F305,"")</f>
        <v/>
      </c>
      <c r="N305" s="5">
        <f>IF(L305,K305*correlation!$J$26,"")</f>
        <v/>
      </c>
      <c r="O305" s="5">
        <f>IF(AND(L305,ISNUMBER(correlation!$F$26)),N305*correlation!$F$26+correlation!$G$26,"")</f>
        <v/>
      </c>
      <c r="P305" s="5">
        <f>IF(AND(L305,ISNUMBER(O305)),(M305-O305)^2,"")</f>
        <v/>
      </c>
      <c r="Q305" s="5">
        <f>IF(L305,1+SUMPRODUCT(--(calc!$L$3:$L$306=TRUE),--(calc!$M$3:$M$306&gt;M305))+(SUMPRODUCT(--(calc!$L$3:$L$306=TRUE),--(calc!$M$3:$M$306=M305))-1)/2,"")</f>
        <v/>
      </c>
      <c r="R305" s="5">
        <f>IF(L305,1+SUMPRODUCT(--(calc!$L$3:$L$306=TRUE),--(calc!$N$3:$N$306&gt;N305))+(SUMPRODUCT(--(calc!$L$3:$L$306=TRUE),--(calc!$N$3:$N$306=N305))-1)/2,"")</f>
        <v/>
      </c>
      <c r="S305" s="5">
        <f>IF(L305,SUMPRODUCT(--(calc!$L$3:$L$306=TRUE),--(ROW(calc!$L$3:$L$306)&gt;ROW(L305)),--(((calc!$Q$3:$Q$306&gt;Q305)*(calc!$R$3:$R$306&gt;R305)+(calc!$Q$3:$Q$306&lt;Q305)*(calc!$R$3:$R$306&lt;R305))&gt;0))-SUMPRODUCT(--(calc!$L$3:$L$306=TRUE),--(ROW(calc!$L$3:$L$306)&gt;ROW(L305)),--(((calc!$Q$3:$Q$306&gt;Q305)*(calc!$R$3:$R$306&lt;R305)+(calc!$Q$3:$Q$306&lt;Q305)*(calc!$R$3:$R$306&gt;R305))&gt;0)),0)</f>
        <v/>
      </c>
      <c r="T305" s="5">
        <f>IF(mos_metrics!H304="","",mos_metrics!H304)</f>
        <v/>
      </c>
      <c r="U305" s="2">
        <f>AND($J305,ISNUMBER(T305),correlation!$I$27=1)</f>
        <v/>
      </c>
      <c r="V305" s="5">
        <f>IF(U305,$F305,"")</f>
        <v/>
      </c>
      <c r="W305" s="5">
        <f>IF(U305,T305*correlation!$J$27,"")</f>
        <v/>
      </c>
      <c r="X305" s="5">
        <f>IF(AND(U305,ISNUMBER(correlation!$F$27)),W305*correlation!$F$27+correlation!$G$27,"")</f>
        <v/>
      </c>
      <c r="Y305" s="5">
        <f>IF(AND(U305,ISNUMBER(X305)),(V305-X305)^2,"")</f>
        <v/>
      </c>
      <c r="Z305" s="5">
        <f>IF(U305,1+SUMPRODUCT(--(calc!$U$3:$U$306=TRUE),--(calc!$V$3:$V$306&gt;V305))+(SUMPRODUCT(--(calc!$U$3:$U$306=TRUE),--(calc!$V$3:$V$306=V305))-1)/2,"")</f>
        <v/>
      </c>
      <c r="AA305" s="5">
        <f>IF(U305,1+SUMPRODUCT(--(calc!$U$3:$U$306=TRUE),--(calc!$W$3:$W$306&gt;W305))+(SUMPRODUCT(--(calc!$U$3:$U$306=TRUE),--(calc!$W$3:$W$306=W305))-1)/2,"")</f>
        <v/>
      </c>
      <c r="AB305" s="5">
        <f>IF(U305,SUMPRODUCT(--(calc!$U$3:$U$306=TRUE),--(ROW(calc!$U$3:$U$306)&gt;ROW(U305)),--(((calc!$Z$3:$Z$306&gt;Z305)*(calc!$AA$3:$AA$306&gt;AA305)+(calc!$Z$3:$Z$306&lt;Z305)*(calc!$AA$3:$AA$306&lt;AA305))&gt;0))-SUMPRODUCT(--(calc!$U$3:$U$306=TRUE),--(ROW(calc!$U$3:$U$306)&gt;ROW(U305)),--(((calc!$Z$3:$Z$306&gt;Z305)*(calc!$AA$3:$AA$306&lt;AA305)+(calc!$Z$3:$Z$306&lt;Z305)*(calc!$AA$3:$AA$306&gt;AA305))&gt;0)),0)</f>
        <v/>
      </c>
      <c r="AC305" s="5">
        <f>IF(mos_metrics!I304="","",mos_metrics!I304)</f>
        <v/>
      </c>
      <c r="AD305" s="2">
        <f>AND($J305,ISNUMBER(AC305),correlation!$I$28=1)</f>
        <v/>
      </c>
      <c r="AE305" s="5">
        <f>IF(AD305,$F305,"")</f>
        <v/>
      </c>
      <c r="AF305" s="5">
        <f>IF(AD305,AC305*correlation!$J$28,"")</f>
        <v/>
      </c>
      <c r="AG305" s="5">
        <f>IF(AND(AD305,ISNUMBER(correlation!$F$28)),AF305*correlation!$F$28+correlation!$G$28,"")</f>
        <v/>
      </c>
      <c r="AH305" s="5">
        <f>IF(AND(AD305,ISNUMBER(AG305)),(AE305-AG305)^2,"")</f>
        <v/>
      </c>
      <c r="AI305" s="5">
        <f>IF(AD305,1+SUMPRODUCT(--(calc!$AD$3:$AD$306=TRUE),--(calc!$AE$3:$AE$306&gt;AE305))+(SUMPRODUCT(--(calc!$AD$3:$AD$306=TRUE),--(calc!$AE$3:$AE$306=AE305))-1)/2,"")</f>
        <v/>
      </c>
      <c r="AJ305" s="5">
        <f>IF(AD305,1+SUMPRODUCT(--(calc!$AD$3:$AD$306=TRUE),--(calc!$AF$3:$AF$306&gt;AF305))+(SUMPRODUCT(--(calc!$AD$3:$AD$306=TRUE),--(calc!$AF$3:$AF$306=AF305))-1)/2,"")</f>
        <v/>
      </c>
      <c r="AK305" s="5">
        <f>IF(AD305,SUMPRODUCT(--(calc!$AD$3:$AD$306=TRUE),--(ROW(calc!$AD$3:$AD$306)&gt;ROW(AD305)),--(((calc!$AI$3:$AI$306&gt;AI305)*(calc!$AJ$3:$AJ$306&gt;AJ305)+(calc!$AI$3:$AI$306&lt;AI305)*(calc!$AJ$3:$AJ$306&lt;AJ305))&gt;0))-SUMPRODUCT(--(calc!$AD$3:$AD$306=TRUE),--(ROW(calc!$AD$3:$AD$306)&gt;ROW(AD305)),--(((calc!$AI$3:$AI$306&gt;AI305)*(calc!$AJ$3:$AJ$306&lt;AJ305)+(calc!$AI$3:$AI$306&lt;AI305)*(calc!$AJ$3:$AJ$306&gt;AJ305))&gt;0)),0)</f>
        <v/>
      </c>
      <c r="AL305" s="5">
        <f>IF(mos_metrics!J304="","",mos_metrics!J304)</f>
        <v/>
      </c>
      <c r="AM305" s="2">
        <f>AND($J305,ISNUMBER(AL305),correlation!$I$29=1)</f>
        <v/>
      </c>
      <c r="AN305" s="5">
        <f>IF(AM305,$F305,"")</f>
        <v/>
      </c>
      <c r="AO305" s="5">
        <f>IF(AM305,AL305*correlation!$J$29,"")</f>
        <v/>
      </c>
      <c r="AP305" s="5">
        <f>IF(AND(AM305,ISNUMBER(correlation!$F$29)),AO305*correlation!$F$29+correlation!$G$29,"")</f>
        <v/>
      </c>
      <c r="AQ305" s="5">
        <f>IF(AND(AM305,ISNUMBER(AP305)),(AN305-AP305)^2,"")</f>
        <v/>
      </c>
      <c r="AR305" s="5">
        <f>IF(AM305,1+SUMPRODUCT(--(calc!$AM$3:$AM$306=TRUE),--(calc!$AN$3:$AN$306&gt;AN305))+(SUMPRODUCT(--(calc!$AM$3:$AM$306=TRUE),--(calc!$AN$3:$AN$306=AN305))-1)/2,"")</f>
        <v/>
      </c>
      <c r="AS305" s="5">
        <f>IF(AM305,1+SUMPRODUCT(--(calc!$AM$3:$AM$306=TRUE),--(calc!$AO$3:$AO$306&gt;AO305))+(SUMPRODUCT(--(calc!$AM$3:$AM$306=TRUE),--(calc!$AO$3:$AO$306=AO305))-1)/2,"")</f>
        <v/>
      </c>
      <c r="AT305" s="5">
        <f>IF(AM305,SUMPRODUCT(--(calc!$AM$3:$AM$306=TRUE),--(ROW(calc!$AM$3:$AM$306)&gt;ROW(AM305)),--(((calc!$AR$3:$AR$306&gt;AR305)*(calc!$AS$3:$AS$306&gt;AS305)+(calc!$AR$3:$AR$306&lt;AR305)*(calc!$AS$3:$AS$306&lt;AS305))&gt;0))-SUMPRODUCT(--(calc!$AM$3:$AM$306=TRUE),--(ROW(calc!$AM$3:$AM$306)&gt;ROW(AM305)),--(((calc!$AR$3:$AR$306&gt;AR305)*(calc!$AS$3:$AS$306&lt;AS305)+(calc!$AR$3:$AR$306&lt;AR305)*(calc!$AS$3:$AS$306&gt;AS305))&gt;0)),0)</f>
        <v/>
      </c>
      <c r="AU305" s="5">
        <f>IF(mos_metrics!K304="","",mos_metrics!K304)</f>
        <v/>
      </c>
      <c r="AV305" s="2">
        <f>AND($J305,ISNUMBER(AU305),correlation!$I$30=1)</f>
        <v/>
      </c>
      <c r="AW305" s="5">
        <f>IF(AV305,$F305,"")</f>
        <v/>
      </c>
      <c r="AX305" s="5">
        <f>IF(AV305,AU305*correlation!$J$30,"")</f>
        <v/>
      </c>
      <c r="AY305" s="5">
        <f>IF(AND(AV305,ISNUMBER(correlation!$F$30)),AX305*correlation!$F$30+correlation!$G$30,"")</f>
        <v/>
      </c>
      <c r="AZ305" s="5">
        <f>IF(AND(AV305,ISNUMBER(AY305)),(AW305-AY305)^2,"")</f>
        <v/>
      </c>
      <c r="BA305" s="5">
        <f>IF(AV305,1+SUMPRODUCT(--(calc!$AV$3:$AV$306=TRUE),--(calc!$AW$3:$AW$306&gt;AW305))+(SUMPRODUCT(--(calc!$AV$3:$AV$306=TRUE),--(calc!$AW$3:$AW$306=AW305))-1)/2,"")</f>
        <v/>
      </c>
      <c r="BB305" s="5">
        <f>IF(AV305,1+SUMPRODUCT(--(calc!$AV$3:$AV$306=TRUE),--(calc!$AX$3:$AX$306&gt;AX305))+(SUMPRODUCT(--(calc!$AV$3:$AV$306=TRUE),--(calc!$AX$3:$AX$306=AX305))-1)/2,"")</f>
        <v/>
      </c>
      <c r="BC305" s="5">
        <f>IF(AV305,SUMPRODUCT(--(calc!$AV$3:$AV$306=TRUE),--(ROW(calc!$AV$3:$AV$306)&gt;ROW(AV305)),--(((calc!$BA$3:$BA$306&gt;BA305)*(calc!$BB$3:$BB$306&gt;BB305)+(calc!$BA$3:$BA$306&lt;BA305)*(calc!$BB$3:$BB$306&lt;BB305))&gt;0))-SUMPRODUCT(--(calc!$AV$3:$AV$306=TRUE),--(ROW(calc!$AV$3:$AV$306)&gt;ROW(AV305)),--(((calc!$BA$3:$BA$306&gt;BA305)*(calc!$BB$3:$BB$306&lt;BB305)+(calc!$BA$3:$BA$306&lt;BA305)*(calc!$BB$3:$BB$306&gt;BB305))&gt;0)),0)</f>
        <v/>
      </c>
      <c r="BD305" s="5">
        <f>IF(mos_metrics!L304="","",mos_metrics!L304)</f>
        <v/>
      </c>
      <c r="BE305" s="2">
        <f>AND($J305,ISNUMBER(BD305),correlation!$I$31=1)</f>
        <v/>
      </c>
      <c r="BF305" s="5">
        <f>IF(BE305,$F305,"")</f>
        <v/>
      </c>
      <c r="BG305" s="5">
        <f>IF(BE305,BD305*correlation!$J$31,"")</f>
        <v/>
      </c>
      <c r="BH305" s="5">
        <f>IF(AND(BE305,ISNUMBER(correlation!$F$31)),BG305*correlation!$F$31+correlation!$G$31,"")</f>
        <v/>
      </c>
      <c r="BI305" s="5">
        <f>IF(AND(BE305,ISNUMBER(BH305)),(BF305-BH305)^2,"")</f>
        <v/>
      </c>
      <c r="BJ305" s="5">
        <f>IF(BE305,1+SUMPRODUCT(--(calc!$BE$3:$BE$306=TRUE),--(calc!$BF$3:$BF$306&gt;BF305))+(SUMPRODUCT(--(calc!$BE$3:$BE$306=TRUE),--(calc!$BF$3:$BF$306=BF305))-1)/2,"")</f>
        <v/>
      </c>
      <c r="BK305" s="5">
        <f>IF(BE305,1+SUMPRODUCT(--(calc!$BE$3:$BE$306=TRUE),--(calc!$BG$3:$BG$306&gt;BG305))+(SUMPRODUCT(--(calc!$BE$3:$BE$306=TRUE),--(calc!$BG$3:$BG$306=BG305))-1)/2,"")</f>
        <v/>
      </c>
      <c r="BL305" s="5">
        <f>IF(BE305,SUMPRODUCT(--(calc!$BE$3:$BE$306=TRUE),--(ROW(calc!$BE$3:$BE$306)&gt;ROW(BE305)),--(((calc!$BJ$3:$BJ$306&gt;BJ305)*(calc!$BK$3:$BK$306&gt;BK305)+(calc!$BJ$3:$BJ$306&lt;BJ305)*(calc!$BK$3:$BK$306&lt;BK305))&gt;0))-SUMPRODUCT(--(calc!$BE$3:$BE$306=TRUE),--(ROW(calc!$BE$3:$BE$306)&gt;ROW(BE305)),--(((calc!$BJ$3:$BJ$306&gt;BJ305)*(calc!$BK$3:$BK$306&lt;BK305)+(calc!$BJ$3:$BJ$306&lt;BJ305)*(calc!$BK$3:$BK$306&gt;BK305))&gt;0)),0)</f>
        <v/>
      </c>
      <c r="BM305" s="5">
        <f>IF(mos_metrics!M304="","",mos_metrics!M304)</f>
        <v/>
      </c>
      <c r="BN305" s="2">
        <f>AND($J305,ISNUMBER(BM305),correlation!$I$32=1)</f>
        <v/>
      </c>
      <c r="BO305" s="5">
        <f>IF(BN305,$F305,"")</f>
        <v/>
      </c>
      <c r="BP305" s="5">
        <f>IF(BN305,BM305*correlation!$J$32,"")</f>
        <v/>
      </c>
      <c r="BQ305" s="5">
        <f>IF(AND(BN305,ISNUMBER(correlation!$F$32)),BP305*correlation!$F$32+correlation!$G$32,"")</f>
        <v/>
      </c>
      <c r="BR305" s="5">
        <f>IF(AND(BN305,ISNUMBER(BQ305)),(BO305-BQ305)^2,"")</f>
        <v/>
      </c>
      <c r="BS305" s="5">
        <f>IF(BN305,1+SUMPRODUCT(--(calc!$BN$3:$BN$306=TRUE),--(calc!$BO$3:$BO$306&gt;BO305))+(SUMPRODUCT(--(calc!$BN$3:$BN$306=TRUE),--(calc!$BO$3:$BO$306=BO305))-1)/2,"")</f>
        <v/>
      </c>
      <c r="BT305" s="5">
        <f>IF(BN305,1+SUMPRODUCT(--(calc!$BN$3:$BN$306=TRUE),--(calc!$BP$3:$BP$306&gt;BP305))+(SUMPRODUCT(--(calc!$BN$3:$BN$306=TRUE),--(calc!$BP$3:$BP$306=BP305))-1)/2,"")</f>
        <v/>
      </c>
      <c r="BU305" s="5">
        <f>IF(BN305,SUMPRODUCT(--(calc!$BN$3:$BN$306=TRUE),--(ROW(calc!$BN$3:$BN$306)&gt;ROW(BN305)),--(((calc!$BS$3:$BS$306&gt;BS305)*(calc!$BT$3:$BT$306&gt;BT305)+(calc!$BS$3:$BS$306&lt;BS305)*(calc!$BT$3:$BT$306&lt;BT305))&gt;0))-SUMPRODUCT(--(calc!$BN$3:$BN$306=TRUE),--(ROW(calc!$BN$3:$BN$306)&gt;ROW(BN305)),--(((calc!$BS$3:$BS$306&gt;BS305)*(calc!$BT$3:$BT$306&lt;BT305)+(calc!$BS$3:$BS$306&lt;BS305)*(calc!$BT$3:$BT$306&gt;BT305))&gt;0)),0)</f>
        <v/>
      </c>
    </row>
    <row r="306">
      <c r="A306" s="2">
        <f>mos_metrics!A305</f>
        <v/>
      </c>
      <c r="B306" s="2">
        <f>mos_metrics!B305</f>
        <v/>
      </c>
      <c r="C306" s="2">
        <f>mos_metrics!C305</f>
        <v/>
      </c>
      <c r="D306" s="2">
        <f>mos_metrics!D305</f>
        <v/>
      </c>
      <c r="E306" s="2">
        <f>mos_metrics!E305</f>
        <v/>
      </c>
      <c r="F306" s="2">
        <f>mos_metrics!F305</f>
        <v/>
      </c>
      <c r="G306" s="2">
        <f>IF($B306="","",IFERROR(VLOOKUP($B306,correlation!$A$2:$B$16,2,FALSE),1))</f>
        <v/>
      </c>
      <c r="H306" s="2">
        <f>IF($E306="","",IFERROR(VLOOKUP($E306,correlation!$D$2:$E$8,2,FALSE),1))</f>
        <v/>
      </c>
      <c r="I306" s="2">
        <f>ISNUMBER($F306)</f>
        <v/>
      </c>
      <c r="J306" s="2">
        <f>AND($G306=1,$H306=1,$I306)</f>
        <v/>
      </c>
      <c r="K306" s="5">
        <f>IF(mos_metrics!G305="","",mos_metrics!G305)</f>
        <v/>
      </c>
      <c r="L306" s="2">
        <f>AND($J306,ISNUMBER(K306),correlation!$I$26=1)</f>
        <v/>
      </c>
      <c r="M306" s="5">
        <f>IF(L306,$F306,"")</f>
        <v/>
      </c>
      <c r="N306" s="5">
        <f>IF(L306,K306*correlation!$J$26,"")</f>
        <v/>
      </c>
      <c r="O306" s="5">
        <f>IF(AND(L306,ISNUMBER(correlation!$F$26)),N306*correlation!$F$26+correlation!$G$26,"")</f>
        <v/>
      </c>
      <c r="P306" s="5">
        <f>IF(AND(L306,ISNUMBER(O306)),(M306-O306)^2,"")</f>
        <v/>
      </c>
      <c r="Q306" s="5">
        <f>IF(L306,1+SUMPRODUCT(--(calc!$L$3:$L$306=TRUE),--(calc!$M$3:$M$306&gt;M306))+(SUMPRODUCT(--(calc!$L$3:$L$306=TRUE),--(calc!$M$3:$M$306=M306))-1)/2,"")</f>
        <v/>
      </c>
      <c r="R306" s="5">
        <f>IF(L306,1+SUMPRODUCT(--(calc!$L$3:$L$306=TRUE),--(calc!$N$3:$N$306&gt;N306))+(SUMPRODUCT(--(calc!$L$3:$L$306=TRUE),--(calc!$N$3:$N$306=N306))-1)/2,"")</f>
        <v/>
      </c>
      <c r="S306" s="5">
        <f>IF(L306,SUMPRODUCT(--(calc!$L$3:$L$306=TRUE),--(ROW(calc!$L$3:$L$306)&gt;ROW(L306)),--(((calc!$Q$3:$Q$306&gt;Q306)*(calc!$R$3:$R$306&gt;R306)+(calc!$Q$3:$Q$306&lt;Q306)*(calc!$R$3:$R$306&lt;R306))&gt;0))-SUMPRODUCT(--(calc!$L$3:$L$306=TRUE),--(ROW(calc!$L$3:$L$306)&gt;ROW(L306)),--(((calc!$Q$3:$Q$306&gt;Q306)*(calc!$R$3:$R$306&lt;R306)+(calc!$Q$3:$Q$306&lt;Q306)*(calc!$R$3:$R$306&gt;R306))&gt;0)),0)</f>
        <v/>
      </c>
      <c r="T306" s="5">
        <f>IF(mos_metrics!H305="","",mos_metrics!H305)</f>
        <v/>
      </c>
      <c r="U306" s="2">
        <f>AND($J306,ISNUMBER(T306),correlation!$I$27=1)</f>
        <v/>
      </c>
      <c r="V306" s="5">
        <f>IF(U306,$F306,"")</f>
        <v/>
      </c>
      <c r="W306" s="5">
        <f>IF(U306,T306*correlation!$J$27,"")</f>
        <v/>
      </c>
      <c r="X306" s="5">
        <f>IF(AND(U306,ISNUMBER(correlation!$F$27)),W306*correlation!$F$27+correlation!$G$27,"")</f>
        <v/>
      </c>
      <c r="Y306" s="5">
        <f>IF(AND(U306,ISNUMBER(X306)),(V306-X306)^2,"")</f>
        <v/>
      </c>
      <c r="Z306" s="5">
        <f>IF(U306,1+SUMPRODUCT(--(calc!$U$3:$U$306=TRUE),--(calc!$V$3:$V$306&gt;V306))+(SUMPRODUCT(--(calc!$U$3:$U$306=TRUE),--(calc!$V$3:$V$306=V306))-1)/2,"")</f>
        <v/>
      </c>
      <c r="AA306" s="5">
        <f>IF(U306,1+SUMPRODUCT(--(calc!$U$3:$U$306=TRUE),--(calc!$W$3:$W$306&gt;W306))+(SUMPRODUCT(--(calc!$U$3:$U$306=TRUE),--(calc!$W$3:$W$306=W306))-1)/2,"")</f>
        <v/>
      </c>
      <c r="AB306" s="5">
        <f>IF(U306,SUMPRODUCT(--(calc!$U$3:$U$306=TRUE),--(ROW(calc!$U$3:$U$306)&gt;ROW(U306)),--(((calc!$Z$3:$Z$306&gt;Z306)*(calc!$AA$3:$AA$306&gt;AA306)+(calc!$Z$3:$Z$306&lt;Z306)*(calc!$AA$3:$AA$306&lt;AA306))&gt;0))-SUMPRODUCT(--(calc!$U$3:$U$306=TRUE),--(ROW(calc!$U$3:$U$306)&gt;ROW(U306)),--(((calc!$Z$3:$Z$306&gt;Z306)*(calc!$AA$3:$AA$306&lt;AA306)+(calc!$Z$3:$Z$306&lt;Z306)*(calc!$AA$3:$AA$306&gt;AA306))&gt;0)),0)</f>
        <v/>
      </c>
      <c r="AC306" s="5">
        <f>IF(mos_metrics!I305="","",mos_metrics!I305)</f>
        <v/>
      </c>
      <c r="AD306" s="2">
        <f>AND($J306,ISNUMBER(AC306),correlation!$I$28=1)</f>
        <v/>
      </c>
      <c r="AE306" s="5">
        <f>IF(AD306,$F306,"")</f>
        <v/>
      </c>
      <c r="AF306" s="5">
        <f>IF(AD306,AC306*correlation!$J$28,"")</f>
        <v/>
      </c>
      <c r="AG306" s="5">
        <f>IF(AND(AD306,ISNUMBER(correlation!$F$28)),AF306*correlation!$F$28+correlation!$G$28,"")</f>
        <v/>
      </c>
      <c r="AH306" s="5">
        <f>IF(AND(AD306,ISNUMBER(AG306)),(AE306-AG306)^2,"")</f>
        <v/>
      </c>
      <c r="AI306" s="5">
        <f>IF(AD306,1+SUMPRODUCT(--(calc!$AD$3:$AD$306=TRUE),--(calc!$AE$3:$AE$306&gt;AE306))+(SUMPRODUCT(--(calc!$AD$3:$AD$306=TRUE),--(calc!$AE$3:$AE$306=AE306))-1)/2,"")</f>
        <v/>
      </c>
      <c r="AJ306" s="5">
        <f>IF(AD306,1+SUMPRODUCT(--(calc!$AD$3:$AD$306=TRUE),--(calc!$AF$3:$AF$306&gt;AF306))+(SUMPRODUCT(--(calc!$AD$3:$AD$306=TRUE),--(calc!$AF$3:$AF$306=AF306))-1)/2,"")</f>
        <v/>
      </c>
      <c r="AK306" s="5">
        <f>IF(AD306,SUMPRODUCT(--(calc!$AD$3:$AD$306=TRUE),--(ROW(calc!$AD$3:$AD$306)&gt;ROW(AD306)),--(((calc!$AI$3:$AI$306&gt;AI306)*(calc!$AJ$3:$AJ$306&gt;AJ306)+(calc!$AI$3:$AI$306&lt;AI306)*(calc!$AJ$3:$AJ$306&lt;AJ306))&gt;0))-SUMPRODUCT(--(calc!$AD$3:$AD$306=TRUE),--(ROW(calc!$AD$3:$AD$306)&gt;ROW(AD306)),--(((calc!$AI$3:$AI$306&gt;AI306)*(calc!$AJ$3:$AJ$306&lt;AJ306)+(calc!$AI$3:$AI$306&lt;AI306)*(calc!$AJ$3:$AJ$306&gt;AJ306))&gt;0)),0)</f>
        <v/>
      </c>
      <c r="AL306" s="5">
        <f>IF(mos_metrics!J305="","",mos_metrics!J305)</f>
        <v/>
      </c>
      <c r="AM306" s="2">
        <f>AND($J306,ISNUMBER(AL306),correlation!$I$29=1)</f>
        <v/>
      </c>
      <c r="AN306" s="5">
        <f>IF(AM306,$F306,"")</f>
        <v/>
      </c>
      <c r="AO306" s="5">
        <f>IF(AM306,AL306*correlation!$J$29,"")</f>
        <v/>
      </c>
      <c r="AP306" s="5">
        <f>IF(AND(AM306,ISNUMBER(correlation!$F$29)),AO306*correlation!$F$29+correlation!$G$29,"")</f>
        <v/>
      </c>
      <c r="AQ306" s="5">
        <f>IF(AND(AM306,ISNUMBER(AP306)),(AN306-AP306)^2,"")</f>
        <v/>
      </c>
      <c r="AR306" s="5">
        <f>IF(AM306,1+SUMPRODUCT(--(calc!$AM$3:$AM$306=TRUE),--(calc!$AN$3:$AN$306&gt;AN306))+(SUMPRODUCT(--(calc!$AM$3:$AM$306=TRUE),--(calc!$AN$3:$AN$306=AN306))-1)/2,"")</f>
        <v/>
      </c>
      <c r="AS306" s="5">
        <f>IF(AM306,1+SUMPRODUCT(--(calc!$AM$3:$AM$306=TRUE),--(calc!$AO$3:$AO$306&gt;AO306))+(SUMPRODUCT(--(calc!$AM$3:$AM$306=TRUE),--(calc!$AO$3:$AO$306=AO306))-1)/2,"")</f>
        <v/>
      </c>
      <c r="AT306" s="5">
        <f>IF(AM306,SUMPRODUCT(--(calc!$AM$3:$AM$306=TRUE),--(ROW(calc!$AM$3:$AM$306)&gt;ROW(AM306)),--(((calc!$AR$3:$AR$306&gt;AR306)*(calc!$AS$3:$AS$306&gt;AS306)+(calc!$AR$3:$AR$306&lt;AR306)*(calc!$AS$3:$AS$306&lt;AS306))&gt;0))-SUMPRODUCT(--(calc!$AM$3:$AM$306=TRUE),--(ROW(calc!$AM$3:$AM$306)&gt;ROW(AM306)),--(((calc!$AR$3:$AR$306&gt;AR306)*(calc!$AS$3:$AS$306&lt;AS306)+(calc!$AR$3:$AR$306&lt;AR306)*(calc!$AS$3:$AS$306&gt;AS306))&gt;0)),0)</f>
        <v/>
      </c>
      <c r="AU306" s="5">
        <f>IF(mos_metrics!K305="","",mos_metrics!K305)</f>
        <v/>
      </c>
      <c r="AV306" s="2">
        <f>AND($J306,ISNUMBER(AU306),correlation!$I$30=1)</f>
        <v/>
      </c>
      <c r="AW306" s="5">
        <f>IF(AV306,$F306,"")</f>
        <v/>
      </c>
      <c r="AX306" s="5">
        <f>IF(AV306,AU306*correlation!$J$30,"")</f>
        <v/>
      </c>
      <c r="AY306" s="5">
        <f>IF(AND(AV306,ISNUMBER(correlation!$F$30)),AX306*correlation!$F$30+correlation!$G$30,"")</f>
        <v/>
      </c>
      <c r="AZ306" s="5">
        <f>IF(AND(AV306,ISNUMBER(AY306)),(AW306-AY306)^2,"")</f>
        <v/>
      </c>
      <c r="BA306" s="5">
        <f>IF(AV306,1+SUMPRODUCT(--(calc!$AV$3:$AV$306=TRUE),--(calc!$AW$3:$AW$306&gt;AW306))+(SUMPRODUCT(--(calc!$AV$3:$AV$306=TRUE),--(calc!$AW$3:$AW$306=AW306))-1)/2,"")</f>
        <v/>
      </c>
      <c r="BB306" s="5">
        <f>IF(AV306,1+SUMPRODUCT(--(calc!$AV$3:$AV$306=TRUE),--(calc!$AX$3:$AX$306&gt;AX306))+(SUMPRODUCT(--(calc!$AV$3:$AV$306=TRUE),--(calc!$AX$3:$AX$306=AX306))-1)/2,"")</f>
        <v/>
      </c>
      <c r="BC306" s="5">
        <f>IF(AV306,SUMPRODUCT(--(calc!$AV$3:$AV$306=TRUE),--(ROW(calc!$AV$3:$AV$306)&gt;ROW(AV306)),--(((calc!$BA$3:$BA$306&gt;BA306)*(calc!$BB$3:$BB$306&gt;BB306)+(calc!$BA$3:$BA$306&lt;BA306)*(calc!$BB$3:$BB$306&lt;BB306))&gt;0))-SUMPRODUCT(--(calc!$AV$3:$AV$306=TRUE),--(ROW(calc!$AV$3:$AV$306)&gt;ROW(AV306)),--(((calc!$BA$3:$BA$306&gt;BA306)*(calc!$BB$3:$BB$306&lt;BB306)+(calc!$BA$3:$BA$306&lt;BA306)*(calc!$BB$3:$BB$306&gt;BB306))&gt;0)),0)</f>
        <v/>
      </c>
      <c r="BD306" s="5">
        <f>IF(mos_metrics!L305="","",mos_metrics!L305)</f>
        <v/>
      </c>
      <c r="BE306" s="2">
        <f>AND($J306,ISNUMBER(BD306),correlation!$I$31=1)</f>
        <v/>
      </c>
      <c r="BF306" s="5">
        <f>IF(BE306,$F306,"")</f>
        <v/>
      </c>
      <c r="BG306" s="5">
        <f>IF(BE306,BD306*correlation!$J$31,"")</f>
        <v/>
      </c>
      <c r="BH306" s="5">
        <f>IF(AND(BE306,ISNUMBER(correlation!$F$31)),BG306*correlation!$F$31+correlation!$G$31,"")</f>
        <v/>
      </c>
      <c r="BI306" s="5">
        <f>IF(AND(BE306,ISNUMBER(BH306)),(BF306-BH306)^2,"")</f>
        <v/>
      </c>
      <c r="BJ306" s="5">
        <f>IF(BE306,1+SUMPRODUCT(--(calc!$BE$3:$BE$306=TRUE),--(calc!$BF$3:$BF$306&gt;BF306))+(SUMPRODUCT(--(calc!$BE$3:$BE$306=TRUE),--(calc!$BF$3:$BF$306=BF306))-1)/2,"")</f>
        <v/>
      </c>
      <c r="BK306" s="5">
        <f>IF(BE306,1+SUMPRODUCT(--(calc!$BE$3:$BE$306=TRUE),--(calc!$BG$3:$BG$306&gt;BG306))+(SUMPRODUCT(--(calc!$BE$3:$BE$306=TRUE),--(calc!$BG$3:$BG$306=BG306))-1)/2,"")</f>
        <v/>
      </c>
      <c r="BL306" s="5">
        <f>IF(BE306,SUMPRODUCT(--(calc!$BE$3:$BE$306=TRUE),--(ROW(calc!$BE$3:$BE$306)&gt;ROW(BE306)),--(((calc!$BJ$3:$BJ$306&gt;BJ306)*(calc!$BK$3:$BK$306&gt;BK306)+(calc!$BJ$3:$BJ$306&lt;BJ306)*(calc!$BK$3:$BK$306&lt;BK306))&gt;0))-SUMPRODUCT(--(calc!$BE$3:$BE$306=TRUE),--(ROW(calc!$BE$3:$BE$306)&gt;ROW(BE306)),--(((calc!$BJ$3:$BJ$306&gt;BJ306)*(calc!$BK$3:$BK$306&lt;BK306)+(calc!$BJ$3:$BJ$306&lt;BJ306)*(calc!$BK$3:$BK$306&gt;BK306))&gt;0)),0)</f>
        <v/>
      </c>
      <c r="BM306" s="5">
        <f>IF(mos_metrics!M305="","",mos_metrics!M305)</f>
        <v/>
      </c>
      <c r="BN306" s="2">
        <f>AND($J306,ISNUMBER(BM306),correlation!$I$32=1)</f>
        <v/>
      </c>
      <c r="BO306" s="5">
        <f>IF(BN306,$F306,"")</f>
        <v/>
      </c>
      <c r="BP306" s="5">
        <f>IF(BN306,BM306*correlation!$J$32,"")</f>
        <v/>
      </c>
      <c r="BQ306" s="5">
        <f>IF(AND(BN306,ISNUMBER(correlation!$F$32)),BP306*correlation!$F$32+correlation!$G$32,"")</f>
        <v/>
      </c>
      <c r="BR306" s="5">
        <f>IF(AND(BN306,ISNUMBER(BQ306)),(BO306-BQ306)^2,"")</f>
        <v/>
      </c>
      <c r="BS306" s="5">
        <f>IF(BN306,1+SUMPRODUCT(--(calc!$BN$3:$BN$306=TRUE),--(calc!$BO$3:$BO$306&gt;BO306))+(SUMPRODUCT(--(calc!$BN$3:$BN$306=TRUE),--(calc!$BO$3:$BO$306=BO306))-1)/2,"")</f>
        <v/>
      </c>
      <c r="BT306" s="5">
        <f>IF(BN306,1+SUMPRODUCT(--(calc!$BN$3:$BN$306=TRUE),--(calc!$BP$3:$BP$306&gt;BP306))+(SUMPRODUCT(--(calc!$BN$3:$BN$306=TRUE),--(calc!$BP$3:$BP$306=BP306))-1)/2,"")</f>
        <v/>
      </c>
      <c r="BU306" s="5">
        <f>IF(BN306,SUMPRODUCT(--(calc!$BN$3:$BN$306=TRUE),--(ROW(calc!$BN$3:$BN$306)&gt;ROW(BN306)),--(((calc!$BS$3:$BS$306&gt;BS306)*(calc!$BT$3:$BT$306&gt;BT306)+(calc!$BS$3:$BS$306&lt;BS306)*(calc!$BT$3:$BT$306&lt;BT306))&gt;0))-SUMPRODUCT(--(calc!$BN$3:$BN$306=TRUE),--(ROW(calc!$BN$3:$BN$306)&gt;ROW(BN306)),--(((calc!$BS$3:$BS$306&gt;BS306)*(calc!$BT$3:$BT$306&lt;BT306)+(calc!$BS$3:$BS$306&lt;BS306)*(calc!$BT$3:$BT$306&gt;BT306))&gt;0)),0)</f>
        <v/>
      </c>
    </row>
    <row r="307">
      <c r="A307" s="2">
        <f>mos_metrics!A306</f>
        <v/>
      </c>
      <c r="B307" s="2">
        <f>mos_metrics!B306</f>
        <v/>
      </c>
      <c r="C307" s="2">
        <f>mos_metrics!C306</f>
        <v/>
      </c>
      <c r="D307" s="2">
        <f>mos_metrics!D306</f>
        <v/>
      </c>
      <c r="E307" s="2">
        <f>mos_metrics!E306</f>
        <v/>
      </c>
      <c r="F307" s="2">
        <f>mos_metrics!F306</f>
        <v/>
      </c>
      <c r="G307" s="2">
        <f>IF($B307="","",IFERROR(VLOOKUP($B307,correlation!$A$2:$B$16,2,FALSE),1))</f>
        <v/>
      </c>
      <c r="H307" s="2">
        <f>IF($E307="","",IFERROR(VLOOKUP($E307,correlation!$D$2:$E$8,2,FALSE),1))</f>
        <v/>
      </c>
      <c r="I307" s="2">
        <f>ISNUMBER($F307)</f>
        <v/>
      </c>
      <c r="J307" s="2">
        <f>AND($G307=1,$H307=1,$I307)</f>
        <v/>
      </c>
      <c r="K307" s="5">
        <f>IF(mos_metrics!G306="","",mos_metrics!G306)</f>
        <v/>
      </c>
      <c r="L307" s="2">
        <f>AND($J307,ISNUMBER(K307),correlation!$I$26=1)</f>
        <v/>
      </c>
      <c r="M307" s="5">
        <f>IF(L307,$F307,"")</f>
        <v/>
      </c>
      <c r="N307" s="5">
        <f>IF(L307,K307*correlation!$J$26,"")</f>
        <v/>
      </c>
      <c r="O307" s="5">
        <f>IF(AND(L307,ISNUMBER(correlation!$F$26)),N307*correlation!$F$26+correlation!$G$26,"")</f>
        <v/>
      </c>
      <c r="P307" s="5">
        <f>IF(AND(L307,ISNUMBER(O307)),(M307-O307)^2,"")</f>
        <v/>
      </c>
      <c r="Q307" s="5">
        <f>IF(L307,1+SUMPRODUCT(--(calc!$L$3:$L$306=TRUE),--(calc!$M$3:$M$306&gt;M307))+(SUMPRODUCT(--(calc!$L$3:$L$306=TRUE),--(calc!$M$3:$M$306=M307))-1)/2,"")</f>
        <v/>
      </c>
      <c r="R307" s="5">
        <f>IF(L307,1+SUMPRODUCT(--(calc!$L$3:$L$306=TRUE),--(calc!$N$3:$N$306&gt;N307))+(SUMPRODUCT(--(calc!$L$3:$L$306=TRUE),--(calc!$N$3:$N$306=N307))-1)/2,"")</f>
        <v/>
      </c>
      <c r="S307" s="5">
        <f>IF(L307,SUMPRODUCT(--(calc!$L$3:$L$306=TRUE),--(ROW(calc!$L$3:$L$306)&gt;ROW(L307)),--(((calc!$Q$3:$Q$306&gt;Q307)*(calc!$R$3:$R$306&gt;R307)+(calc!$Q$3:$Q$306&lt;Q307)*(calc!$R$3:$R$306&lt;R307))&gt;0))-SUMPRODUCT(--(calc!$L$3:$L$306=TRUE),--(ROW(calc!$L$3:$L$306)&gt;ROW(L307)),--(((calc!$Q$3:$Q$306&gt;Q307)*(calc!$R$3:$R$306&lt;R307)+(calc!$Q$3:$Q$306&lt;Q307)*(calc!$R$3:$R$306&gt;R307))&gt;0)),0)</f>
        <v/>
      </c>
      <c r="T307" s="5">
        <f>IF(mos_metrics!H306="","",mos_metrics!H306)</f>
        <v/>
      </c>
      <c r="U307" s="2">
        <f>AND($J307,ISNUMBER(T307),correlation!$I$27=1)</f>
        <v/>
      </c>
      <c r="V307" s="5">
        <f>IF(U307,$F307,"")</f>
        <v/>
      </c>
      <c r="W307" s="5">
        <f>IF(U307,T307*correlation!$J$27,"")</f>
        <v/>
      </c>
      <c r="X307" s="5">
        <f>IF(AND(U307,ISNUMBER(correlation!$F$27)),W307*correlation!$F$27+correlation!$G$27,"")</f>
        <v/>
      </c>
      <c r="Y307" s="5">
        <f>IF(AND(U307,ISNUMBER(X307)),(V307-X307)^2,"")</f>
        <v/>
      </c>
      <c r="Z307" s="5">
        <f>IF(U307,1+SUMPRODUCT(--(calc!$U$3:$U$306=TRUE),--(calc!$V$3:$V$306&gt;V307))+(SUMPRODUCT(--(calc!$U$3:$U$306=TRUE),--(calc!$V$3:$V$306=V307))-1)/2,"")</f>
        <v/>
      </c>
      <c r="AA307" s="5">
        <f>IF(U307,1+SUMPRODUCT(--(calc!$U$3:$U$306=TRUE),--(calc!$W$3:$W$306&gt;W307))+(SUMPRODUCT(--(calc!$U$3:$U$306=TRUE),--(calc!$W$3:$W$306=W307))-1)/2,"")</f>
        <v/>
      </c>
      <c r="AB307" s="5">
        <f>IF(U307,SUMPRODUCT(--(calc!$U$3:$U$306=TRUE),--(ROW(calc!$U$3:$U$306)&gt;ROW(U307)),--(((calc!$Z$3:$Z$306&gt;Z307)*(calc!$AA$3:$AA$306&gt;AA307)+(calc!$Z$3:$Z$306&lt;Z307)*(calc!$AA$3:$AA$306&lt;AA307))&gt;0))-SUMPRODUCT(--(calc!$U$3:$U$306=TRUE),--(ROW(calc!$U$3:$U$306)&gt;ROW(U307)),--(((calc!$Z$3:$Z$306&gt;Z307)*(calc!$AA$3:$AA$306&lt;AA307)+(calc!$Z$3:$Z$306&lt;Z307)*(calc!$AA$3:$AA$306&gt;AA307))&gt;0)),0)</f>
        <v/>
      </c>
      <c r="AC307" s="5">
        <f>IF(mos_metrics!I306="","",mos_metrics!I306)</f>
        <v/>
      </c>
      <c r="AD307" s="2">
        <f>AND($J307,ISNUMBER(AC307),correlation!$I$28=1)</f>
        <v/>
      </c>
      <c r="AE307" s="5">
        <f>IF(AD307,$F307,"")</f>
        <v/>
      </c>
      <c r="AF307" s="5">
        <f>IF(AD307,AC307*correlation!$J$28,"")</f>
        <v/>
      </c>
      <c r="AG307" s="5">
        <f>IF(AND(AD307,ISNUMBER(correlation!$F$28)),AF307*correlation!$F$28+correlation!$G$28,"")</f>
        <v/>
      </c>
      <c r="AH307" s="5">
        <f>IF(AND(AD307,ISNUMBER(AG307)),(AE307-AG307)^2,"")</f>
        <v/>
      </c>
      <c r="AI307" s="5">
        <f>IF(AD307,1+SUMPRODUCT(--(calc!$AD$3:$AD$306=TRUE),--(calc!$AE$3:$AE$306&gt;AE307))+(SUMPRODUCT(--(calc!$AD$3:$AD$306=TRUE),--(calc!$AE$3:$AE$306=AE307))-1)/2,"")</f>
        <v/>
      </c>
      <c r="AJ307" s="5">
        <f>IF(AD307,1+SUMPRODUCT(--(calc!$AD$3:$AD$306=TRUE),--(calc!$AF$3:$AF$306&gt;AF307))+(SUMPRODUCT(--(calc!$AD$3:$AD$306=TRUE),--(calc!$AF$3:$AF$306=AF307))-1)/2,"")</f>
        <v/>
      </c>
      <c r="AK307" s="5">
        <f>IF(AD307,SUMPRODUCT(--(calc!$AD$3:$AD$306=TRUE),--(ROW(calc!$AD$3:$AD$306)&gt;ROW(AD307)),--(((calc!$AI$3:$AI$306&gt;AI307)*(calc!$AJ$3:$AJ$306&gt;AJ307)+(calc!$AI$3:$AI$306&lt;AI307)*(calc!$AJ$3:$AJ$306&lt;AJ307))&gt;0))-SUMPRODUCT(--(calc!$AD$3:$AD$306=TRUE),--(ROW(calc!$AD$3:$AD$306)&gt;ROW(AD307)),--(((calc!$AI$3:$AI$306&gt;AI307)*(calc!$AJ$3:$AJ$306&lt;AJ307)+(calc!$AI$3:$AI$306&lt;AI307)*(calc!$AJ$3:$AJ$306&gt;AJ307))&gt;0)),0)</f>
        <v/>
      </c>
      <c r="AL307" s="5">
        <f>IF(mos_metrics!J306="","",mos_metrics!J306)</f>
        <v/>
      </c>
      <c r="AM307" s="2">
        <f>AND($J307,ISNUMBER(AL307),correlation!$I$29=1)</f>
        <v/>
      </c>
      <c r="AN307" s="5">
        <f>IF(AM307,$F307,"")</f>
        <v/>
      </c>
      <c r="AO307" s="5">
        <f>IF(AM307,AL307*correlation!$J$29,"")</f>
        <v/>
      </c>
      <c r="AP307" s="5">
        <f>IF(AND(AM307,ISNUMBER(correlation!$F$29)),AO307*correlation!$F$29+correlation!$G$29,"")</f>
        <v/>
      </c>
      <c r="AQ307" s="5">
        <f>IF(AND(AM307,ISNUMBER(AP307)),(AN307-AP307)^2,"")</f>
        <v/>
      </c>
      <c r="AR307" s="5">
        <f>IF(AM307,1+SUMPRODUCT(--(calc!$AM$3:$AM$306=TRUE),--(calc!$AN$3:$AN$306&gt;AN307))+(SUMPRODUCT(--(calc!$AM$3:$AM$306=TRUE),--(calc!$AN$3:$AN$306=AN307))-1)/2,"")</f>
        <v/>
      </c>
      <c r="AS307" s="5">
        <f>IF(AM307,1+SUMPRODUCT(--(calc!$AM$3:$AM$306=TRUE),--(calc!$AO$3:$AO$306&gt;AO307))+(SUMPRODUCT(--(calc!$AM$3:$AM$306=TRUE),--(calc!$AO$3:$AO$306=AO307))-1)/2,"")</f>
        <v/>
      </c>
      <c r="AT307" s="5">
        <f>IF(AM307,SUMPRODUCT(--(calc!$AM$3:$AM$306=TRUE),--(ROW(calc!$AM$3:$AM$306)&gt;ROW(AM307)),--(((calc!$AR$3:$AR$306&gt;AR307)*(calc!$AS$3:$AS$306&gt;AS307)+(calc!$AR$3:$AR$306&lt;AR307)*(calc!$AS$3:$AS$306&lt;AS307))&gt;0))-SUMPRODUCT(--(calc!$AM$3:$AM$306=TRUE),--(ROW(calc!$AM$3:$AM$306)&gt;ROW(AM307)),--(((calc!$AR$3:$AR$306&gt;AR307)*(calc!$AS$3:$AS$306&lt;AS307)+(calc!$AR$3:$AR$306&lt;AR307)*(calc!$AS$3:$AS$306&gt;AS307))&gt;0)),0)</f>
        <v/>
      </c>
      <c r="AU307" s="5">
        <f>IF(mos_metrics!K306="","",mos_metrics!K306)</f>
        <v/>
      </c>
      <c r="AV307" s="2">
        <f>AND($J307,ISNUMBER(AU307),correlation!$I$30=1)</f>
        <v/>
      </c>
      <c r="AW307" s="5">
        <f>IF(AV307,$F307,"")</f>
        <v/>
      </c>
      <c r="AX307" s="5">
        <f>IF(AV307,AU307*correlation!$J$30,"")</f>
        <v/>
      </c>
      <c r="AY307" s="5">
        <f>IF(AND(AV307,ISNUMBER(correlation!$F$30)),AX307*correlation!$F$30+correlation!$G$30,"")</f>
        <v/>
      </c>
      <c r="AZ307" s="5">
        <f>IF(AND(AV307,ISNUMBER(AY307)),(AW307-AY307)^2,"")</f>
        <v/>
      </c>
      <c r="BA307" s="5">
        <f>IF(AV307,1+SUMPRODUCT(--(calc!$AV$3:$AV$306=TRUE),--(calc!$AW$3:$AW$306&gt;AW307))+(SUMPRODUCT(--(calc!$AV$3:$AV$306=TRUE),--(calc!$AW$3:$AW$306=AW307))-1)/2,"")</f>
        <v/>
      </c>
      <c r="BB307" s="5">
        <f>IF(AV307,1+SUMPRODUCT(--(calc!$AV$3:$AV$306=TRUE),--(calc!$AX$3:$AX$306&gt;AX307))+(SUMPRODUCT(--(calc!$AV$3:$AV$306=TRUE),--(calc!$AX$3:$AX$306=AX307))-1)/2,"")</f>
        <v/>
      </c>
      <c r="BC307" s="5">
        <f>IF(AV307,SUMPRODUCT(--(calc!$AV$3:$AV$306=TRUE),--(ROW(calc!$AV$3:$AV$306)&gt;ROW(AV307)),--(((calc!$BA$3:$BA$306&gt;BA307)*(calc!$BB$3:$BB$306&gt;BB307)+(calc!$BA$3:$BA$306&lt;BA307)*(calc!$BB$3:$BB$306&lt;BB307))&gt;0))-SUMPRODUCT(--(calc!$AV$3:$AV$306=TRUE),--(ROW(calc!$AV$3:$AV$306)&gt;ROW(AV307)),--(((calc!$BA$3:$BA$306&gt;BA307)*(calc!$BB$3:$BB$306&lt;BB307)+(calc!$BA$3:$BA$306&lt;BA307)*(calc!$BB$3:$BB$306&gt;BB307))&gt;0)),0)</f>
        <v/>
      </c>
      <c r="BD307" s="5">
        <f>IF(mos_metrics!L306="","",mos_metrics!L306)</f>
        <v/>
      </c>
      <c r="BE307" s="2">
        <f>AND($J307,ISNUMBER(BD307),correlation!$I$31=1)</f>
        <v/>
      </c>
      <c r="BF307" s="5">
        <f>IF(BE307,$F307,"")</f>
        <v/>
      </c>
      <c r="BG307" s="5">
        <f>IF(BE307,BD307*correlation!$J$31,"")</f>
        <v/>
      </c>
      <c r="BH307" s="5">
        <f>IF(AND(BE307,ISNUMBER(correlation!$F$31)),BG307*correlation!$F$31+correlation!$G$31,"")</f>
        <v/>
      </c>
      <c r="BI307" s="5">
        <f>IF(AND(BE307,ISNUMBER(BH307)),(BF307-BH307)^2,"")</f>
        <v/>
      </c>
      <c r="BJ307" s="5">
        <f>IF(BE307,1+SUMPRODUCT(--(calc!$BE$3:$BE$306=TRUE),--(calc!$BF$3:$BF$306&gt;BF307))+(SUMPRODUCT(--(calc!$BE$3:$BE$306=TRUE),--(calc!$BF$3:$BF$306=BF307))-1)/2,"")</f>
        <v/>
      </c>
      <c r="BK307" s="5">
        <f>IF(BE307,1+SUMPRODUCT(--(calc!$BE$3:$BE$306=TRUE),--(calc!$BG$3:$BG$306&gt;BG307))+(SUMPRODUCT(--(calc!$BE$3:$BE$306=TRUE),--(calc!$BG$3:$BG$306=BG307))-1)/2,"")</f>
        <v/>
      </c>
      <c r="BL307" s="5">
        <f>IF(BE307,SUMPRODUCT(--(calc!$BE$3:$BE$306=TRUE),--(ROW(calc!$BE$3:$BE$306)&gt;ROW(BE307)),--(((calc!$BJ$3:$BJ$306&gt;BJ307)*(calc!$BK$3:$BK$306&gt;BK307)+(calc!$BJ$3:$BJ$306&lt;BJ307)*(calc!$BK$3:$BK$306&lt;BK307))&gt;0))-SUMPRODUCT(--(calc!$BE$3:$BE$306=TRUE),--(ROW(calc!$BE$3:$BE$306)&gt;ROW(BE307)),--(((calc!$BJ$3:$BJ$306&gt;BJ307)*(calc!$BK$3:$BK$306&lt;BK307)+(calc!$BJ$3:$BJ$306&lt;BJ307)*(calc!$BK$3:$BK$306&gt;BK307))&gt;0)),0)</f>
        <v/>
      </c>
      <c r="BM307" s="5">
        <f>IF(mos_metrics!M306="","",mos_metrics!M306)</f>
        <v/>
      </c>
      <c r="BN307" s="2">
        <f>AND($J307,ISNUMBER(BM307),correlation!$I$32=1)</f>
        <v/>
      </c>
      <c r="BO307" s="5">
        <f>IF(BN307,$F307,"")</f>
        <v/>
      </c>
      <c r="BP307" s="5">
        <f>IF(BN307,BM307*correlation!$J$32,"")</f>
        <v/>
      </c>
      <c r="BQ307" s="5">
        <f>IF(AND(BN307,ISNUMBER(correlation!$F$32)),BP307*correlation!$F$32+correlation!$G$32,"")</f>
        <v/>
      </c>
      <c r="BR307" s="5">
        <f>IF(AND(BN307,ISNUMBER(BQ307)),(BO307-BQ307)^2,"")</f>
        <v/>
      </c>
      <c r="BS307" s="5">
        <f>IF(BN307,1+SUMPRODUCT(--(calc!$BN$3:$BN$306=TRUE),--(calc!$BO$3:$BO$306&gt;BO307))+(SUMPRODUCT(--(calc!$BN$3:$BN$306=TRUE),--(calc!$BO$3:$BO$306=BO307))-1)/2,"")</f>
        <v/>
      </c>
      <c r="BT307" s="5">
        <f>IF(BN307,1+SUMPRODUCT(--(calc!$BN$3:$BN$306=TRUE),--(calc!$BP$3:$BP$306&gt;BP307))+(SUMPRODUCT(--(calc!$BN$3:$BN$306=TRUE),--(calc!$BP$3:$BP$306=BP307))-1)/2,"")</f>
        <v/>
      </c>
      <c r="BU307" s="5">
        <f>IF(BN307,SUMPRODUCT(--(calc!$BN$3:$BN$306=TRUE),--(ROW(calc!$BN$3:$BN$306)&gt;ROW(BN307)),--(((calc!$BS$3:$BS$306&gt;BS307)*(calc!$BT$3:$BT$306&gt;BT307)+(calc!$BS$3:$BS$306&lt;BS307)*(calc!$BT$3:$BT$306&lt;BT307))&gt;0))-SUMPRODUCT(--(calc!$BN$3:$BN$306=TRUE),--(ROW(calc!$BN$3:$BN$306)&gt;ROW(BN307)),--(((calc!$BS$3:$BS$306&gt;BS307)*(calc!$BT$3:$BT$306&lt;BT307)+(calc!$BS$3:$BS$306&lt;BS307)*(calc!$BT$3:$BT$306&gt;BT307))&gt;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6"/>
  <sheetViews>
    <sheetView workbookViewId="0">
      <selection activeCell="A1" sqref="A1"/>
    </sheetView>
  </sheetViews>
  <sheetFormatPr baseColWidth="8" defaultRowHeight="15"/>
  <cols>
    <col width="34" customWidth="1" min="1" max="1"/>
    <col width="30" customWidth="1" min="2" max="2"/>
    <col width="12" customWidth="1" min="4" max="4"/>
    <col width="15"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KEY</t>
        </is>
      </c>
      <c r="B1" s="1" t="inlineStr">
        <is>
          <t>ref_name</t>
        </is>
      </c>
      <c r="C1" s="1" t="inlineStr">
        <is>
          <t>dis_name</t>
        </is>
      </c>
      <c r="D1" s="1" t="inlineStr">
        <is>
          <t>trc</t>
        </is>
      </c>
      <c r="E1" s="1" t="inlineStr">
        <is>
          <t>codec</t>
        </is>
      </c>
      <c r="F1" s="1" t="inlineStr">
        <is>
          <t>MOS</t>
        </is>
      </c>
      <c r="G1" s="1" t="inlineStr">
        <is>
          <t>PSNR_avg</t>
        </is>
      </c>
      <c r="H1" s="1" t="inlineStr">
        <is>
          <t>ColorVideoVDP</t>
        </is>
      </c>
      <c r="I1" s="1" t="inlineStr">
        <is>
          <t>VMAF</t>
        </is>
      </c>
      <c r="J1" s="1" t="inlineStr">
        <is>
          <t>WTPSNR</t>
        </is>
      </c>
      <c r="K1" s="1" t="inlineStr">
        <is>
          <t>DeltaE</t>
        </is>
      </c>
      <c r="L1" s="1" t="inlineStr">
        <is>
          <t>PSNR_L0100</t>
        </is>
      </c>
      <c r="M1" s="1" t="inlineStr">
        <is>
          <t>FDIM</t>
        </is>
      </c>
    </row>
    <row r="2">
      <c r="A2" s="2" t="inlineStr">
        <is>
          <t>Buildings2.mp4|Buildings2_AVS3_QP40.mp4|HLG|AVS</t>
        </is>
      </c>
      <c r="B2" s="2" t="inlineStr">
        <is>
          <t>Buildings2.mp4</t>
        </is>
      </c>
      <c r="C2" s="2" t="inlineStr">
        <is>
          <t>Buildings2_AVS3_QP40.mp4</t>
        </is>
      </c>
      <c r="D2" s="2" t="inlineStr">
        <is>
          <t>HLG</t>
        </is>
      </c>
      <c r="E2" s="2" t="inlineStr">
        <is>
          <t>AVS</t>
        </is>
      </c>
      <c r="F2" s="5" t="n">
        <v>4.496046376046191</v>
      </c>
      <c r="G2" s="5" t="n">
        <v>43.858879</v>
      </c>
      <c r="H2" s="5" t="n">
        <v>9.096529006999999</v>
      </c>
      <c r="I2" s="5" t="n">
        <v>91.045407</v>
      </c>
      <c r="J2" s="5" t="n">
        <v>132.696</v>
      </c>
      <c r="K2" s="5" t="n">
        <v>25.961</v>
      </c>
      <c r="L2" s="5" t="n">
        <v>27.233</v>
      </c>
      <c r="M2" s="5" t="n">
        <v>4.323646402852702</v>
      </c>
    </row>
    <row r="3">
      <c r="A3" s="2" t="inlineStr">
        <is>
          <t>Buildings2.mp4|Buildings2_AVS3_QP44.mp4|HLG|AVS</t>
        </is>
      </c>
      <c r="B3" s="2" t="inlineStr">
        <is>
          <t>Buildings2.mp4</t>
        </is>
      </c>
      <c r="C3" s="2" t="inlineStr">
        <is>
          <t>Buildings2_AVS3_QP44.mp4</t>
        </is>
      </c>
      <c r="D3" s="2" t="inlineStr">
        <is>
          <t>HLG</t>
        </is>
      </c>
      <c r="E3" s="2" t="inlineStr">
        <is>
          <t>AVS</t>
        </is>
      </c>
      <c r="F3" s="5" t="n">
        <v>4.401615269785199</v>
      </c>
      <c r="G3" s="5" t="n">
        <v>42.821227</v>
      </c>
      <c r="H3" s="5" t="n">
        <v>8.708719254</v>
      </c>
      <c r="I3" s="5" t="n">
        <v>88.19470699999999</v>
      </c>
      <c r="J3" s="5" t="n">
        <v>129.466</v>
      </c>
      <c r="K3" s="5" t="n">
        <v>25.41</v>
      </c>
      <c r="L3" s="5" t="n">
        <v>26.59</v>
      </c>
      <c r="M3" s="5" t="n">
        <v>4.075778722316335</v>
      </c>
    </row>
    <row r="4">
      <c r="A4" s="2" t="inlineStr">
        <is>
          <t>Buildings2.mp4|Buildings2_AVS3_QP48.mp4|HLG|AVS</t>
        </is>
      </c>
      <c r="B4" s="2" t="inlineStr">
        <is>
          <t>Buildings2.mp4</t>
        </is>
      </c>
      <c r="C4" s="2" t="inlineStr">
        <is>
          <t>Buildings2_AVS3_QP48.mp4</t>
        </is>
      </c>
      <c r="D4" s="2" t="inlineStr">
        <is>
          <t>HLG</t>
        </is>
      </c>
      <c r="E4" s="2" t="inlineStr">
        <is>
          <t>AVS</t>
        </is>
      </c>
      <c r="F4" s="5" t="n">
        <v>4.00215759943179</v>
      </c>
      <c r="G4" s="5" t="n">
        <v>41.837196</v>
      </c>
      <c r="H4" s="5" t="n">
        <v>8.188391684999999</v>
      </c>
      <c r="I4" s="5" t="n">
        <v>84.297169</v>
      </c>
      <c r="J4" s="5" t="n">
        <v>126.38</v>
      </c>
      <c r="K4" s="5" t="n">
        <v>24.869</v>
      </c>
      <c r="L4" s="5" t="n">
        <v>25.882</v>
      </c>
      <c r="M4" s="5" t="n">
        <v>3.740852533996202</v>
      </c>
    </row>
    <row r="5">
      <c r="A5" s="2" t="inlineStr">
        <is>
          <t>Buildings2.mp4|Buildings2_DCVC-RT_QP0.mp4|HLG|DCVC-RT</t>
        </is>
      </c>
      <c r="B5" s="2" t="inlineStr">
        <is>
          <t>Buildings2.mp4</t>
        </is>
      </c>
      <c r="C5" s="2" t="inlineStr">
        <is>
          <t>Buildings2_DCVC-RT_QP0.mp4</t>
        </is>
      </c>
      <c r="D5" s="2" t="inlineStr">
        <is>
          <t>HLG</t>
        </is>
      </c>
      <c r="E5" s="2" t="inlineStr">
        <is>
          <t>DCVC-RT</t>
        </is>
      </c>
      <c r="F5" s="5" t="n">
        <v>1.914827036678879</v>
      </c>
      <c r="G5" s="5" t="n">
        <v>39.014969</v>
      </c>
      <c r="H5" s="5" t="n">
        <v>6.551369667</v>
      </c>
      <c r="I5" s="5" t="n">
        <v>69.51295</v>
      </c>
      <c r="J5" s="5" t="n">
        <v>117.192</v>
      </c>
      <c r="K5" s="5" t="n">
        <v>23.321</v>
      </c>
      <c r="L5" s="5" t="n">
        <v>23.862</v>
      </c>
      <c r="M5" s="5" t="n">
        <v>2.681519574189508</v>
      </c>
    </row>
    <row r="6">
      <c r="A6" s="2" t="inlineStr">
        <is>
          <t>Buildings2.mp4|Buildings2_DCVC-RT_QP10.mp4|HLG|DCVC-RT</t>
        </is>
      </c>
      <c r="B6" s="2" t="inlineStr">
        <is>
          <t>Buildings2.mp4</t>
        </is>
      </c>
      <c r="C6" s="2" t="inlineStr">
        <is>
          <t>Buildings2_DCVC-RT_QP10.mp4</t>
        </is>
      </c>
      <c r="D6" s="2" t="inlineStr">
        <is>
          <t>HLG</t>
        </is>
      </c>
      <c r="E6" s="2" t="inlineStr">
        <is>
          <t>DCVC-RT</t>
        </is>
      </c>
      <c r="F6" s="5" t="n">
        <v>3.453114023792753</v>
      </c>
      <c r="G6" s="5" t="n">
        <v>41.751657</v>
      </c>
      <c r="H6" s="5" t="n">
        <v>7.907775402</v>
      </c>
      <c r="I6" s="5" t="n">
        <v>80.89346500000001</v>
      </c>
      <c r="J6" s="5" t="n">
        <v>126.061</v>
      </c>
      <c r="K6" s="5" t="n">
        <v>24.785</v>
      </c>
      <c r="L6" s="5" t="n">
        <v>25.46</v>
      </c>
      <c r="M6" s="5" t="n">
        <v>3.550133196202625</v>
      </c>
    </row>
    <row r="7">
      <c r="A7" s="2" t="inlineStr">
        <is>
          <t>Buildings2.mp4|Buildings2_DCVC-RT_QP21.mp4|HLG|DCVC-RT</t>
        </is>
      </c>
      <c r="B7" s="2" t="inlineStr">
        <is>
          <t>Buildings2.mp4</t>
        </is>
      </c>
      <c r="C7" s="2" t="inlineStr">
        <is>
          <t>Buildings2_DCVC-RT_QP21.mp4</t>
        </is>
      </c>
      <c r="D7" s="2" t="inlineStr">
        <is>
          <t>HLG</t>
        </is>
      </c>
      <c r="E7" s="2" t="inlineStr">
        <is>
          <t>DCVC-RT</t>
        </is>
      </c>
      <c r="F7" s="5" t="n">
        <v>3.530725560277549</v>
      </c>
      <c r="G7" s="5" t="n">
        <v>43.087609</v>
      </c>
      <c r="H7" s="5" t="n">
        <v>8.509783745</v>
      </c>
      <c r="I7" s="5" t="n">
        <v>85.242065</v>
      </c>
      <c r="J7" s="5" t="n">
        <v>130.162</v>
      </c>
      <c r="K7" s="5" t="n">
        <v>25.498</v>
      </c>
      <c r="L7" s="5" t="n">
        <v>26.245</v>
      </c>
      <c r="M7" s="5" t="n">
        <v>3.907815861967926</v>
      </c>
    </row>
    <row r="8">
      <c r="A8" s="2" t="inlineStr">
        <is>
          <t>Buildings2.mp4|Buildings2_DCVC-RT_QP42.mp4|HLG|DCVC-RT</t>
        </is>
      </c>
      <c r="B8" s="2" t="inlineStr">
        <is>
          <t>Buildings2.mp4</t>
        </is>
      </c>
      <c r="C8" s="2" t="inlineStr">
        <is>
          <t>Buildings2_DCVC-RT_QP42.mp4</t>
        </is>
      </c>
      <c r="D8" s="2" t="inlineStr">
        <is>
          <t>HLG</t>
        </is>
      </c>
      <c r="E8" s="2" t="inlineStr">
        <is>
          <t>DCVC-RT</t>
        </is>
      </c>
      <c r="F8" s="5" t="n">
        <v>4.4641893067093</v>
      </c>
      <c r="G8" s="5" t="n">
        <v>45.439723</v>
      </c>
      <c r="H8" s="5" t="n">
        <v>9.331110954</v>
      </c>
      <c r="I8" s="5" t="n">
        <v>92.569858</v>
      </c>
      <c r="J8" s="5" t="n">
        <v>137.509</v>
      </c>
      <c r="K8" s="5" t="n">
        <v>26.749</v>
      </c>
      <c r="L8" s="5" t="n">
        <v>27.703</v>
      </c>
      <c r="M8" s="5" t="n">
        <v>4.42674909094238</v>
      </c>
    </row>
    <row r="9">
      <c r="A9" s="2" t="inlineStr">
        <is>
          <t>Buildings2.mp4|Buildings2_EEM_QP0.mp4|HLG|EEM</t>
        </is>
      </c>
      <c r="B9" s="2" t="inlineStr">
        <is>
          <t>Buildings2.mp4</t>
        </is>
      </c>
      <c r="C9" s="2" t="inlineStr">
        <is>
          <t>Buildings2_EEM_QP0.mp4</t>
        </is>
      </c>
      <c r="D9" s="2" t="inlineStr">
        <is>
          <t>HLG</t>
        </is>
      </c>
      <c r="E9" s="2" t="inlineStr">
        <is>
          <t>EEM</t>
        </is>
      </c>
      <c r="F9" s="5" t="n">
        <v>4.062378059075413</v>
      </c>
      <c r="G9" s="5" t="n">
        <v>45.379253</v>
      </c>
      <c r="H9" s="5" t="n">
        <v>9.487068175999999</v>
      </c>
      <c r="I9" s="5" t="n">
        <v>94.22166300000001</v>
      </c>
      <c r="J9" s="5" t="n">
        <v>136.558</v>
      </c>
      <c r="K9" s="5" t="n">
        <v>26.475</v>
      </c>
      <c r="L9" s="5" t="n">
        <v>27.717</v>
      </c>
      <c r="M9" s="5" t="n">
        <v>4.499541576796126</v>
      </c>
    </row>
    <row r="10">
      <c r="A10" s="2" t="inlineStr">
        <is>
          <t>Buildings2.mp4|Buildings2_EEM_QP1.mp4|HLG|EEM</t>
        </is>
      </c>
      <c r="B10" s="2" t="inlineStr">
        <is>
          <t>Buildings2.mp4</t>
        </is>
      </c>
      <c r="C10" s="2" t="inlineStr">
        <is>
          <t>Buildings2_EEM_QP1.mp4</t>
        </is>
      </c>
      <c r="D10" s="2" t="inlineStr">
        <is>
          <t>HLG</t>
        </is>
      </c>
      <c r="E10" s="2" t="inlineStr">
        <is>
          <t>EEM</t>
        </is>
      </c>
      <c r="F10" s="5" t="n">
        <v>3.520791404796303</v>
      </c>
      <c r="G10" s="5" t="n">
        <v>43.142963</v>
      </c>
      <c r="H10" s="5" t="n">
        <v>9.09695816</v>
      </c>
      <c r="I10" s="5" t="n">
        <v>90.69909699999999</v>
      </c>
      <c r="J10" s="5" t="n">
        <v>129.969</v>
      </c>
      <c r="K10" s="5" t="n">
        <v>25.707</v>
      </c>
      <c r="L10" s="5" t="n">
        <v>26.875</v>
      </c>
      <c r="M10" s="5" t="n">
        <v>4.296372735231536</v>
      </c>
    </row>
    <row r="11">
      <c r="A11" s="2" t="inlineStr">
        <is>
          <t>Buildings2.mp4|Buildings2_EEM_QP2.mp4|HLG|EEM</t>
        </is>
      </c>
      <c r="B11" s="2" t="inlineStr">
        <is>
          <t>Buildings2.mp4</t>
        </is>
      </c>
      <c r="C11" s="2" t="inlineStr">
        <is>
          <t>Buildings2_EEM_QP2.mp4</t>
        </is>
      </c>
      <c r="D11" s="2" t="inlineStr">
        <is>
          <t>HLG</t>
        </is>
      </c>
      <c r="E11" s="2" t="inlineStr">
        <is>
          <t>EEM</t>
        </is>
      </c>
      <c r="F11" s="5" t="n">
        <v>3.137620875797243</v>
      </c>
      <c r="G11" s="5" t="n">
        <v>42.303602</v>
      </c>
      <c r="H11" s="5" t="n">
        <v>8.777627945000001</v>
      </c>
      <c r="I11" s="5" t="n">
        <v>88.506851</v>
      </c>
      <c r="J11" s="5" t="n">
        <v>127.126</v>
      </c>
      <c r="K11" s="5" t="n">
        <v>25.176</v>
      </c>
      <c r="L11" s="5" t="n">
        <v>26.372</v>
      </c>
      <c r="M11" s="5" t="n">
        <v>4.085442421948555</v>
      </c>
    </row>
    <row r="12">
      <c r="A12" s="2" t="inlineStr">
        <is>
          <t>Buildings2.mp4|Buildings2_EEM_QP3.mp4|HLG|EEM</t>
        </is>
      </c>
      <c r="B12" s="2" t="inlineStr">
        <is>
          <t>Buildings2.mp4</t>
        </is>
      </c>
      <c r="C12" s="2" t="inlineStr">
        <is>
          <t>Buildings2_EEM_QP3.mp4</t>
        </is>
      </c>
      <c r="D12" s="2" t="inlineStr">
        <is>
          <t>HLG</t>
        </is>
      </c>
      <c r="E12" s="2" t="inlineStr">
        <is>
          <t>EEM</t>
        </is>
      </c>
      <c r="F12" s="5" t="n">
        <v>1.54126033848564</v>
      </c>
      <c r="G12" s="5" t="n">
        <v>40.005582</v>
      </c>
      <c r="H12" s="5" t="n">
        <v>7.620444298</v>
      </c>
      <c r="I12" s="5" t="n">
        <v>79.12266099999999</v>
      </c>
      <c r="J12" s="5" t="n">
        <v>119.486</v>
      </c>
      <c r="K12" s="5" t="n">
        <v>23.64</v>
      </c>
      <c r="L12" s="5" t="n">
        <v>24.792</v>
      </c>
      <c r="M12" s="5" t="n">
        <v>3.30576258087562</v>
      </c>
    </row>
    <row r="13">
      <c r="A13" s="2" t="inlineStr">
        <is>
          <t>Buildings2.mp4|Buildings2_LTM_QP21_2910.mp4|HLG|LTM</t>
        </is>
      </c>
      <c r="B13" s="2" t="inlineStr">
        <is>
          <t>Buildings2.mp4</t>
        </is>
      </c>
      <c r="C13" s="2" t="inlineStr">
        <is>
          <t>Buildings2_LTM_QP21_2910.mp4</t>
        </is>
      </c>
      <c r="D13" s="2" t="inlineStr">
        <is>
          <t>HLG</t>
        </is>
      </c>
      <c r="E13" s="2" t="inlineStr">
        <is>
          <t>LTM</t>
        </is>
      </c>
      <c r="F13" s="5" t="n">
        <v>4.61336197085402</v>
      </c>
      <c r="G13" s="5" t="n">
        <v>45.31473</v>
      </c>
      <c r="H13" s="5" t="n">
        <v>9.516956328999999</v>
      </c>
      <c r="I13" s="5" t="n">
        <v>95.74893400000001</v>
      </c>
      <c r="J13" s="5" t="n">
        <v>136.825</v>
      </c>
      <c r="K13" s="5" t="n">
        <v>26.752</v>
      </c>
      <c r="L13" s="5" t="n">
        <v>27.775</v>
      </c>
      <c r="M13" s="5" t="n">
        <v>4.483757068153313</v>
      </c>
    </row>
    <row r="14">
      <c r="A14" s="2" t="inlineStr">
        <is>
          <t>Buildings2.mp4|Buildings2_LTM_QP38_4059.mp4|HLG|LTM</t>
        </is>
      </c>
      <c r="B14" s="2" t="inlineStr">
        <is>
          <t>Buildings2.mp4</t>
        </is>
      </c>
      <c r="C14" s="2" t="inlineStr">
        <is>
          <t>Buildings2_LTM_QP38_4059.mp4</t>
        </is>
      </c>
      <c r="D14" s="2" t="inlineStr">
        <is>
          <t>HLG</t>
        </is>
      </c>
      <c r="E14" s="2" t="inlineStr">
        <is>
          <t>LTM</t>
        </is>
      </c>
      <c r="F14" s="5" t="n">
        <v>3.22875039187874</v>
      </c>
      <c r="G14" s="5" t="n">
        <v>40.332432</v>
      </c>
      <c r="H14" s="5" t="n">
        <v>7.351512909</v>
      </c>
      <c r="I14" s="5" t="n">
        <v>77.958108</v>
      </c>
      <c r="J14" s="5" t="n">
        <v>121.487</v>
      </c>
      <c r="K14" s="5" t="n">
        <v>24.092</v>
      </c>
      <c r="L14" s="5" t="n">
        <v>24.884</v>
      </c>
      <c r="M14" s="5" t="n">
        <v>3.173216066292831</v>
      </c>
    </row>
    <row r="15">
      <c r="A15" s="2" t="inlineStr">
        <is>
          <t>Buildings2.mp4|Buildings2_NNVC_QP27.mp4|HLG|NNVC</t>
        </is>
      </c>
      <c r="B15" s="2" t="inlineStr">
        <is>
          <t>Buildings2.mp4</t>
        </is>
      </c>
      <c r="C15" s="2" t="inlineStr">
        <is>
          <t>Buildings2_NNVC_QP27.mp4</t>
        </is>
      </c>
      <c r="D15" s="2" t="inlineStr">
        <is>
          <t>HLG</t>
        </is>
      </c>
      <c r="E15" s="2" t="inlineStr">
        <is>
          <t>NNVC</t>
        </is>
      </c>
      <c r="F15" s="5" t="n">
        <v>4.703698389034223</v>
      </c>
      <c r="G15" s="5" t="n">
        <v>45.946026</v>
      </c>
      <c r="H15" s="5" t="n">
        <v>9.595535278</v>
      </c>
      <c r="I15" s="5" t="n">
        <v>95.124691</v>
      </c>
      <c r="J15" s="5" t="n">
        <v>138.96</v>
      </c>
      <c r="K15" s="5" t="n">
        <v>27.064</v>
      </c>
      <c r="L15" s="5" t="n">
        <v>28.533</v>
      </c>
      <c r="M15" s="5" t="n">
        <v>4.556224102619243</v>
      </c>
    </row>
    <row r="16">
      <c r="A16" s="2" t="inlineStr">
        <is>
          <t>Buildings2.mp4|Buildings2_NNVC_QP42.mp4|HLG|NNVC</t>
        </is>
      </c>
      <c r="B16" s="2" t="inlineStr">
        <is>
          <t>Buildings2.mp4</t>
        </is>
      </c>
      <c r="C16" s="2" t="inlineStr">
        <is>
          <t>Buildings2_NNVC_QP42.mp4</t>
        </is>
      </c>
      <c r="D16" s="2" t="inlineStr">
        <is>
          <t>HLG</t>
        </is>
      </c>
      <c r="E16" s="2" t="inlineStr">
        <is>
          <t>NNVC</t>
        </is>
      </c>
      <c r="F16" s="5" t="n">
        <v>3.670324299662302</v>
      </c>
      <c r="G16" s="5" t="n">
        <v>41.285803</v>
      </c>
      <c r="H16" s="5" t="n">
        <v>7.827912331</v>
      </c>
      <c r="I16" s="5" t="n">
        <v>81.56269500000001</v>
      </c>
      <c r="J16" s="5" t="n">
        <v>124.222</v>
      </c>
      <c r="K16" s="5" t="n">
        <v>24.519</v>
      </c>
      <c r="L16" s="5" t="n">
        <v>25.515</v>
      </c>
      <c r="M16" s="5" t="n">
        <v>3.626955960756479</v>
      </c>
    </row>
    <row r="17">
      <c r="A17" s="2" t="inlineStr">
        <is>
          <t>Buildings2.mp4|Buildings2_VTM_QP27.mp4|HLG|VTM</t>
        </is>
      </c>
      <c r="B17" s="2" t="inlineStr">
        <is>
          <t>Buildings2.mp4</t>
        </is>
      </c>
      <c r="C17" s="2" t="inlineStr">
        <is>
          <t>Buildings2_VTM_QP27.mp4</t>
        </is>
      </c>
      <c r="D17" s="2" t="inlineStr">
        <is>
          <t>HLG</t>
        </is>
      </c>
      <c r="E17" s="2" t="inlineStr">
        <is>
          <t>VTM</t>
        </is>
      </c>
      <c r="F17" s="5" t="n">
        <v>4.584682643339584</v>
      </c>
      <c r="G17" s="5" t="n">
        <v>45.740895</v>
      </c>
      <c r="H17" s="5" t="n">
        <v>9.577051163</v>
      </c>
      <c r="I17" s="5" t="n">
        <v>94.91713799999999</v>
      </c>
      <c r="J17" s="5" t="n">
        <v>138.353</v>
      </c>
      <c r="K17" s="5" t="n">
        <v>26.963</v>
      </c>
      <c r="L17" s="5" t="n">
        <v>28.446</v>
      </c>
      <c r="M17" s="5" t="n">
        <v>4.553572435209484</v>
      </c>
    </row>
    <row r="18">
      <c r="A18" s="2" t="inlineStr">
        <is>
          <t>Buildings2.mp4|Buildings2_VTM_QP37.mp4|HLG|VTM</t>
        </is>
      </c>
      <c r="B18" s="2" t="inlineStr">
        <is>
          <t>Buildings2.mp4</t>
        </is>
      </c>
      <c r="C18" s="2" t="inlineStr">
        <is>
          <t>Buildings2_VTM_QP37.mp4</t>
        </is>
      </c>
      <c r="D18" s="2" t="inlineStr">
        <is>
          <t>HLG</t>
        </is>
      </c>
      <c r="E18" s="2" t="inlineStr">
        <is>
          <t>VTM</t>
        </is>
      </c>
      <c r="F18" s="5" t="n">
        <v>4.157481874096672</v>
      </c>
      <c r="G18" s="5" t="n">
        <v>42.865832</v>
      </c>
      <c r="H18" s="5" t="n">
        <v>8.744153023000001</v>
      </c>
      <c r="I18" s="5" t="n">
        <v>88.321074</v>
      </c>
      <c r="J18" s="5" t="n">
        <v>129.317</v>
      </c>
      <c r="K18" s="5" t="n">
        <v>25.414</v>
      </c>
      <c r="L18" s="5" t="n">
        <v>26.623</v>
      </c>
      <c r="M18" s="5" t="n">
        <v>4.130634141886301</v>
      </c>
    </row>
    <row r="19">
      <c r="A19" s="2" t="inlineStr">
        <is>
          <t>Buildings2.mp4|Buildings2_VTM_QP42.mp4|HLG|VTM</t>
        </is>
      </c>
      <c r="B19" s="2" t="inlineStr">
        <is>
          <t>Buildings2.mp4</t>
        </is>
      </c>
      <c r="C19" s="2" t="inlineStr">
        <is>
          <t>Buildings2_VTM_QP42.mp4</t>
        </is>
      </c>
      <c r="D19" s="2" t="inlineStr">
        <is>
          <t>HLG</t>
        </is>
      </c>
      <c r="E19" s="2" t="inlineStr">
        <is>
          <t>VTM</t>
        </is>
      </c>
      <c r="F19" s="5" t="n">
        <v>3.58817646878699</v>
      </c>
      <c r="G19" s="5" t="n">
        <v>41.356893</v>
      </c>
      <c r="H19" s="5" t="n">
        <v>7.80163002</v>
      </c>
      <c r="I19" s="5" t="n">
        <v>81.306423</v>
      </c>
      <c r="J19" s="5" t="n">
        <v>124.551</v>
      </c>
      <c r="K19" s="5" t="n">
        <v>24.548</v>
      </c>
      <c r="L19" s="5" t="n">
        <v>25.423</v>
      </c>
      <c r="M19" s="5" t="n">
        <v>3.510537457076918</v>
      </c>
    </row>
    <row r="20">
      <c r="A20" s="2" t="inlineStr">
        <is>
          <t>Buildings2.mp4|Buildings2_VTM_QP47.mp4|HLG|VTM</t>
        </is>
      </c>
      <c r="B20" s="2" t="inlineStr">
        <is>
          <t>Buildings2.mp4</t>
        </is>
      </c>
      <c r="C20" s="2" t="inlineStr">
        <is>
          <t>Buildings2_VTM_QP47.mp4</t>
        </is>
      </c>
      <c r="D20" s="2" t="inlineStr">
        <is>
          <t>HLG</t>
        </is>
      </c>
      <c r="E20" s="2" t="inlineStr">
        <is>
          <t>VTM</t>
        </is>
      </c>
      <c r="F20" s="5" t="n">
        <v>2.324639855941646</v>
      </c>
      <c r="G20" s="5" t="n">
        <v>39.673283</v>
      </c>
      <c r="H20" s="5" t="n">
        <v>6.41831398</v>
      </c>
      <c r="I20" s="5" t="n">
        <v>69.977137</v>
      </c>
      <c r="J20" s="5" t="n">
        <v>119.159</v>
      </c>
      <c r="K20" s="5" t="n">
        <v>23.526</v>
      </c>
      <c r="L20" s="5" t="n">
        <v>24.074</v>
      </c>
      <c r="M20" s="5" t="n">
        <v>2.621477901955502</v>
      </c>
    </row>
    <row r="21">
      <c r="A21" s="2" t="inlineStr">
        <is>
          <t>Chimera13_1000nit.mp4|Chimera13_1000nit_AlphaVC-P_QP1.mp4|PQ|AlphaVC-P</t>
        </is>
      </c>
      <c r="B21" s="2" t="inlineStr">
        <is>
          <t>Chimera13_1000nit.mp4</t>
        </is>
      </c>
      <c r="C21" s="2" t="inlineStr">
        <is>
          <t>Chimera13_1000nit_AlphaVC-P_QP1.mp4</t>
        </is>
      </c>
      <c r="D21" s="2" t="inlineStr">
        <is>
          <t>PQ</t>
        </is>
      </c>
      <c r="E21" s="2" t="inlineStr">
        <is>
          <t>AlphaVC-P</t>
        </is>
      </c>
      <c r="F21" s="5" t="n">
        <v>4.456014388008281</v>
      </c>
      <c r="G21" s="5" t="n">
        <v>46.849197</v>
      </c>
      <c r="H21" s="5" t="n">
        <v>9.331897736</v>
      </c>
      <c r="I21" s="5" t="n">
        <v>92.347301</v>
      </c>
      <c r="J21" s="5" t="n">
        <v>144.347</v>
      </c>
      <c r="K21" s="5" t="n">
        <v>33.817</v>
      </c>
      <c r="L21" s="5" t="n">
        <v>38.07</v>
      </c>
      <c r="M21" s="5" t="n">
        <v>4.440311651666256</v>
      </c>
    </row>
    <row r="22">
      <c r="A22" s="2" t="inlineStr">
        <is>
          <t>Chimera13_1000nit.mp4|Chimera13_1000nit_AlphaVC-P_QP2.mp4|PQ|AlphaVC-P</t>
        </is>
      </c>
      <c r="B22" s="2" t="inlineStr">
        <is>
          <t>Chimera13_1000nit.mp4</t>
        </is>
      </c>
      <c r="C22" s="2" t="inlineStr">
        <is>
          <t>Chimera13_1000nit_AlphaVC-P_QP2.mp4</t>
        </is>
      </c>
      <c r="D22" s="2" t="inlineStr">
        <is>
          <t>PQ</t>
        </is>
      </c>
      <c r="E22" s="2" t="inlineStr">
        <is>
          <t>AlphaVC-P</t>
        </is>
      </c>
      <c r="F22" s="5" t="n">
        <v>4.142019375373004</v>
      </c>
      <c r="G22" s="5" t="n">
        <v>46.168953</v>
      </c>
      <c r="H22" s="5" t="n">
        <v>9.183850288</v>
      </c>
      <c r="I22" s="5" t="n">
        <v>89.482939</v>
      </c>
      <c r="J22" s="5" t="n">
        <v>142.307</v>
      </c>
      <c r="K22" s="5" t="n">
        <v>33.618</v>
      </c>
      <c r="L22" s="5" t="n">
        <v>37.651</v>
      </c>
      <c r="M22" s="5" t="n">
        <v>4.286168209596903</v>
      </c>
    </row>
    <row r="23">
      <c r="A23" s="2" t="inlineStr">
        <is>
          <t>Chimera13_1000nit.mp4|Chimera13_1000nit_AlphaVC-P_QP3.mp4|PQ|AlphaVC-P</t>
        </is>
      </c>
      <c r="B23" s="2" t="inlineStr">
        <is>
          <t>Chimera13_1000nit.mp4</t>
        </is>
      </c>
      <c r="C23" s="2" t="inlineStr">
        <is>
          <t>Chimera13_1000nit_AlphaVC-P_QP3.mp4</t>
        </is>
      </c>
      <c r="D23" s="2" t="inlineStr">
        <is>
          <t>PQ</t>
        </is>
      </c>
      <c r="E23" s="2" t="inlineStr">
        <is>
          <t>AlphaVC-P</t>
        </is>
      </c>
      <c r="F23" s="5" t="n">
        <v>3.410835409491598</v>
      </c>
      <c r="G23" s="5" t="n">
        <v>44.732023</v>
      </c>
      <c r="H23" s="5" t="n">
        <v>8.83525753</v>
      </c>
      <c r="I23" s="5" t="n">
        <v>84.074281</v>
      </c>
      <c r="J23" s="5" t="n">
        <v>138.005</v>
      </c>
      <c r="K23" s="5" t="n">
        <v>33.349</v>
      </c>
      <c r="L23" s="5" t="n">
        <v>36.717</v>
      </c>
      <c r="M23" s="5" t="n">
        <v>3.87888600478767</v>
      </c>
    </row>
    <row r="24">
      <c r="A24" s="2" t="inlineStr">
        <is>
          <t>Chimera13_1000nit.mp4|Chimera13_1000nit_AlphaVC-P_QP4.mp4|PQ|AlphaVC-P</t>
        </is>
      </c>
      <c r="B24" s="2" t="inlineStr">
        <is>
          <t>Chimera13_1000nit.mp4</t>
        </is>
      </c>
      <c r="C24" s="2" t="inlineStr">
        <is>
          <t>Chimera13_1000nit_AlphaVC-P_QP4.mp4</t>
        </is>
      </c>
      <c r="D24" s="2" t="inlineStr">
        <is>
          <t>PQ</t>
        </is>
      </c>
      <c r="E24" s="2" t="inlineStr">
        <is>
          <t>AlphaVC-P</t>
        </is>
      </c>
      <c r="F24" s="5" t="n">
        <v>2.917382720092144</v>
      </c>
      <c r="G24" s="5" t="n">
        <v>43.256132</v>
      </c>
      <c r="H24" s="5" t="n">
        <v>8.363632202</v>
      </c>
      <c r="I24" s="5" t="n">
        <v>76.94923799999999</v>
      </c>
      <c r="J24" s="5" t="n">
        <v>133.541</v>
      </c>
      <c r="K24" s="5" t="n">
        <v>32.967</v>
      </c>
      <c r="L24" s="5" t="n">
        <v>35.786</v>
      </c>
      <c r="M24" s="5" t="n">
        <v>3.305016859298811</v>
      </c>
    </row>
    <row r="25">
      <c r="A25" s="2" t="inlineStr">
        <is>
          <t>Chimera13_1000nit.mp4|Chimera13_1000nit_AlphaVC-P_QP5.mp4|PQ|AlphaVC-P</t>
        </is>
      </c>
      <c r="B25" s="2" t="inlineStr">
        <is>
          <t>Chimera13_1000nit.mp4</t>
        </is>
      </c>
      <c r="C25" s="2" t="inlineStr">
        <is>
          <t>Chimera13_1000nit_AlphaVC-P_QP5.mp4</t>
        </is>
      </c>
      <c r="D25" s="2" t="inlineStr">
        <is>
          <t>PQ</t>
        </is>
      </c>
      <c r="E25" s="2" t="inlineStr">
        <is>
          <t>AlphaVC-P</t>
        </is>
      </c>
      <c r="F25" s="5" t="n">
        <v>1.771669502760444</v>
      </c>
      <c r="G25" s="5" t="n">
        <v>41.643736</v>
      </c>
      <c r="H25" s="5" t="n">
        <v>7.699179173</v>
      </c>
      <c r="I25" s="5" t="n">
        <v>67.828813</v>
      </c>
      <c r="J25" s="5" t="n">
        <v>128.651</v>
      </c>
      <c r="K25" s="5" t="n">
        <v>32.427</v>
      </c>
      <c r="L25" s="5" t="n">
        <v>34.687</v>
      </c>
      <c r="M25" s="5" t="n">
        <v>2.597215477860928</v>
      </c>
    </row>
    <row r="26">
      <c r="A26" s="2" t="inlineStr">
        <is>
          <t>Chimera13_1000nit.mp4|Chimera13_1000nit_AVS3_QP36.mp4|PQ|AVS</t>
        </is>
      </c>
      <c r="B26" s="2" t="inlineStr">
        <is>
          <t>Chimera13_1000nit.mp4</t>
        </is>
      </c>
      <c r="C26" s="2" t="inlineStr">
        <is>
          <t>Chimera13_1000nit_AVS3_QP36.mp4</t>
        </is>
      </c>
      <c r="D26" s="2" t="inlineStr">
        <is>
          <t>PQ</t>
        </is>
      </c>
      <c r="E26" s="2" t="inlineStr">
        <is>
          <t>AVS</t>
        </is>
      </c>
      <c r="F26" s="5" t="n">
        <v>4.309474988007297</v>
      </c>
      <c r="G26" s="5" t="n">
        <v>48.025987</v>
      </c>
      <c r="H26" s="5" t="n">
        <v>9.305871964</v>
      </c>
      <c r="I26" s="5" t="n">
        <v>94.64424</v>
      </c>
      <c r="J26" s="5" t="n">
        <v>148.579</v>
      </c>
      <c r="K26" s="5" t="n">
        <v>35.067</v>
      </c>
      <c r="L26" s="5" t="n">
        <v>39.027</v>
      </c>
      <c r="M26" s="5" t="n">
        <v>4.224353424117693</v>
      </c>
    </row>
    <row r="27">
      <c r="A27" s="2" t="inlineStr">
        <is>
          <t>Chimera13_1000nit.mp4|Chimera13_1000nit_AVS3_QP40.mp4|PQ|AVS</t>
        </is>
      </c>
      <c r="B27" s="2" t="inlineStr">
        <is>
          <t>Chimera13_1000nit.mp4</t>
        </is>
      </c>
      <c r="C27" s="2" t="inlineStr">
        <is>
          <t>Chimera13_1000nit_AVS3_QP40.mp4</t>
        </is>
      </c>
      <c r="D27" s="2" t="inlineStr">
        <is>
          <t>PQ</t>
        </is>
      </c>
      <c r="E27" s="2" t="inlineStr">
        <is>
          <t>AVS</t>
        </is>
      </c>
      <c r="F27" s="5" t="n">
        <v>3.703820867706544</v>
      </c>
      <c r="G27" s="5" t="n">
        <v>46.958387</v>
      </c>
      <c r="H27" s="5" t="n">
        <v>9.051500320000001</v>
      </c>
      <c r="I27" s="5" t="n">
        <v>91.30112800000001</v>
      </c>
      <c r="J27" s="5" t="n">
        <v>145.151</v>
      </c>
      <c r="K27" s="5" t="n">
        <v>34.579</v>
      </c>
      <c r="L27" s="5" t="n">
        <v>38.246</v>
      </c>
      <c r="M27" s="5" t="n">
        <v>3.920365581799449</v>
      </c>
    </row>
    <row r="28">
      <c r="A28" s="2" t="inlineStr">
        <is>
          <t>Chimera13_1000nit.mp4|Chimera13_1000nit_AVS3_QP44.mp4|PQ|AVS</t>
        </is>
      </c>
      <c r="B28" s="2" t="inlineStr">
        <is>
          <t>Chimera13_1000nit.mp4</t>
        </is>
      </c>
      <c r="C28" s="2" t="inlineStr">
        <is>
          <t>Chimera13_1000nit_AVS3_QP44.mp4</t>
        </is>
      </c>
      <c r="D28" s="2" t="inlineStr">
        <is>
          <t>PQ</t>
        </is>
      </c>
      <c r="E28" s="2" t="inlineStr">
        <is>
          <t>AVS</t>
        </is>
      </c>
      <c r="F28" s="5" t="n">
        <v>3.479666748373504</v>
      </c>
      <c r="G28" s="5" t="n">
        <v>45.869167</v>
      </c>
      <c r="H28" s="5" t="n">
        <v>8.719532966999999</v>
      </c>
      <c r="I28" s="5" t="n">
        <v>86.413977</v>
      </c>
      <c r="J28" s="5" t="n">
        <v>141.676</v>
      </c>
      <c r="K28" s="5" t="n">
        <v>34.091</v>
      </c>
      <c r="L28" s="5" t="n">
        <v>37.377</v>
      </c>
      <c r="M28" s="5" t="n">
        <v>3.509192566760748</v>
      </c>
    </row>
    <row r="29">
      <c r="A29" s="2" t="inlineStr">
        <is>
          <t>Chimera13_1000nit.mp4|Chimera13_1000nit_AVS3_QP48.mp4|PQ|AVS</t>
        </is>
      </c>
      <c r="B29" s="2" t="inlineStr">
        <is>
          <t>Chimera13_1000nit.mp4</t>
        </is>
      </c>
      <c r="C29" s="2" t="inlineStr">
        <is>
          <t>Chimera13_1000nit_AVS3_QP48.mp4</t>
        </is>
      </c>
      <c r="D29" s="2" t="inlineStr">
        <is>
          <t>PQ</t>
        </is>
      </c>
      <c r="E29" s="2" t="inlineStr">
        <is>
          <t>AVS</t>
        </is>
      </c>
      <c r="F29" s="5" t="n">
        <v>2.617152050658995</v>
      </c>
      <c r="G29" s="5" t="n">
        <v>44.68459</v>
      </c>
      <c r="H29" s="5" t="n">
        <v>8.349643707</v>
      </c>
      <c r="I29" s="5" t="n">
        <v>80.749852</v>
      </c>
      <c r="J29" s="5" t="n">
        <v>137.914</v>
      </c>
      <c r="K29" s="5" t="n">
        <v>33.562</v>
      </c>
      <c r="L29" s="5" t="n">
        <v>36.545</v>
      </c>
      <c r="M29" s="5" t="n">
        <v>3.067010706861116</v>
      </c>
    </row>
    <row r="30">
      <c r="A30" s="2" t="inlineStr">
        <is>
          <t>Chimera13_1000nit.mp4|Chimera13_1000nit_DCVC-RT_QP13.mp4|PQ|DCVC-RT</t>
        </is>
      </c>
      <c r="B30" s="2" t="inlineStr">
        <is>
          <t>Chimera13_1000nit.mp4</t>
        </is>
      </c>
      <c r="C30" s="2" t="inlineStr">
        <is>
          <t>Chimera13_1000nit_DCVC-RT_QP13.mp4</t>
        </is>
      </c>
      <c r="D30" s="2" t="inlineStr">
        <is>
          <t>PQ</t>
        </is>
      </c>
      <c r="E30" s="2" t="inlineStr">
        <is>
          <t>DCVC-RT</t>
        </is>
      </c>
      <c r="F30" s="5" t="n">
        <v>2.044849519662648</v>
      </c>
      <c r="G30" s="5" t="n">
        <v>42.435289</v>
      </c>
      <c r="H30" s="5" t="n">
        <v>7.387237549</v>
      </c>
      <c r="I30" s="5" t="n">
        <v>71.750423</v>
      </c>
      <c r="J30" s="5" t="n">
        <v>130.957</v>
      </c>
      <c r="K30" s="5" t="n">
        <v>32.747</v>
      </c>
      <c r="L30" s="5" t="n">
        <v>35.036</v>
      </c>
      <c r="M30" s="5" t="n">
        <v>2.440116624424572</v>
      </c>
    </row>
    <row r="31">
      <c r="A31" s="2" t="inlineStr">
        <is>
          <t>Chimera13_1000nit.mp4|Chimera13_1000nit_DCVC-RT_QP25.mp4|PQ|DCVC-RT</t>
        </is>
      </c>
      <c r="B31" s="2" t="inlineStr">
        <is>
          <t>Chimera13_1000nit.mp4</t>
        </is>
      </c>
      <c r="C31" s="2" t="inlineStr">
        <is>
          <t>Chimera13_1000nit_DCVC-RT_QP25.mp4</t>
        </is>
      </c>
      <c r="D31" s="2" t="inlineStr">
        <is>
          <t>PQ</t>
        </is>
      </c>
      <c r="E31" s="2" t="inlineStr">
        <is>
          <t>DCVC-RT</t>
        </is>
      </c>
      <c r="F31" s="5" t="n">
        <v>3.121262688614025</v>
      </c>
      <c r="G31" s="5" t="n">
        <v>44.473734</v>
      </c>
      <c r="H31" s="5" t="n">
        <v>8.199653625</v>
      </c>
      <c r="I31" s="5" t="n">
        <v>82.649784</v>
      </c>
      <c r="J31" s="5" t="n">
        <v>137.298</v>
      </c>
      <c r="K31" s="5" t="n">
        <v>33.648</v>
      </c>
      <c r="L31" s="5" t="n">
        <v>36.489</v>
      </c>
      <c r="M31" s="5" t="n">
        <v>3.113913164112284</v>
      </c>
    </row>
    <row r="32">
      <c r="A32" s="2" t="inlineStr">
        <is>
          <t>Chimera13_1000nit.mp4|Chimera13_1000nit_DCVC-RT_QP38.mp4|PQ|DCVC-RT</t>
        </is>
      </c>
      <c r="B32" s="2" t="inlineStr">
        <is>
          <t>Chimera13_1000nit.mp4</t>
        </is>
      </c>
      <c r="C32" s="2" t="inlineStr">
        <is>
          <t>Chimera13_1000nit_DCVC-RT_QP38.mp4</t>
        </is>
      </c>
      <c r="D32" s="2" t="inlineStr">
        <is>
          <t>PQ</t>
        </is>
      </c>
      <c r="E32" s="2" t="inlineStr">
        <is>
          <t>DCVC-RT</t>
        </is>
      </c>
      <c r="F32" s="5" t="n">
        <v>4.284685507795723</v>
      </c>
      <c r="G32" s="5" t="n">
        <v>46.441704</v>
      </c>
      <c r="H32" s="5" t="n">
        <v>8.825710297000001</v>
      </c>
      <c r="I32" s="5" t="n">
        <v>91.305069</v>
      </c>
      <c r="J32" s="5" t="n">
        <v>143.498</v>
      </c>
      <c r="K32" s="5" t="n">
        <v>34.428</v>
      </c>
      <c r="L32" s="5" t="n">
        <v>37.954</v>
      </c>
      <c r="M32" s="5" t="n">
        <v>3.773431872143417</v>
      </c>
    </row>
    <row r="33">
      <c r="A33" s="2" t="inlineStr">
        <is>
          <t>Chimera13_1000nit.mp4|Chimera13_1000nit_DCVC-RT_QP50.mp4|PQ|DCVC-RT</t>
        </is>
      </c>
      <c r="B33" s="2" t="inlineStr">
        <is>
          <t>Chimera13_1000nit.mp4</t>
        </is>
      </c>
      <c r="C33" s="2" t="inlineStr">
        <is>
          <t>Chimera13_1000nit_DCVC-RT_QP50.mp4</t>
        </is>
      </c>
      <c r="D33" s="2" t="inlineStr">
        <is>
          <t>PQ</t>
        </is>
      </c>
      <c r="E33" s="2" t="inlineStr">
        <is>
          <t>DCVC-RT</t>
        </is>
      </c>
      <c r="F33" s="5" t="n">
        <v>4.500196829066807</v>
      </c>
      <c r="G33" s="5" t="n">
        <v>48.043798</v>
      </c>
      <c r="H33" s="5" t="n">
        <v>9.245664596999999</v>
      </c>
      <c r="I33" s="5" t="n">
        <v>96.288472</v>
      </c>
      <c r="J33" s="5" t="n">
        <v>148.592</v>
      </c>
      <c r="K33" s="5" t="n">
        <v>35.078</v>
      </c>
      <c r="L33" s="5" t="n">
        <v>39.167</v>
      </c>
      <c r="M33" s="5" t="n">
        <v>4.230890580199361</v>
      </c>
    </row>
    <row r="34">
      <c r="A34" s="2" t="inlineStr">
        <is>
          <t>Chimera13_1000nit.mp4|Chimera13_1000nit_EEM_QP0.mp4|PQ|EEM</t>
        </is>
      </c>
      <c r="B34" s="2" t="inlineStr">
        <is>
          <t>Chimera13_1000nit.mp4</t>
        </is>
      </c>
      <c r="C34" s="2" t="inlineStr">
        <is>
          <t>Chimera13_1000nit_EEM_QP0.mp4</t>
        </is>
      </c>
      <c r="D34" s="2" t="inlineStr">
        <is>
          <t>PQ</t>
        </is>
      </c>
      <c r="E34" s="2" t="inlineStr">
        <is>
          <t>EEM</t>
        </is>
      </c>
      <c r="F34" s="5" t="n">
        <v>4.133723946402235</v>
      </c>
      <c r="G34" s="5" t="n">
        <v>48.132814</v>
      </c>
      <c r="H34" s="5" t="n">
        <v>9.32827282</v>
      </c>
      <c r="I34" s="5" t="n">
        <v>96.72148799999999</v>
      </c>
      <c r="J34" s="5" t="n">
        <v>148.642</v>
      </c>
      <c r="K34" s="5" t="n">
        <v>34.556</v>
      </c>
      <c r="L34" s="5" t="n">
        <v>38.901</v>
      </c>
      <c r="M34" s="5" t="n">
        <v>4.292855320141063</v>
      </c>
    </row>
    <row r="35">
      <c r="A35" s="2" t="inlineStr">
        <is>
          <t>Chimera13_1000nit.mp4|Chimera13_1000nit_EEM_QP1.mp4|PQ|EEM</t>
        </is>
      </c>
      <c r="B35" s="2" t="inlineStr">
        <is>
          <t>Chimera13_1000nit.mp4</t>
        </is>
      </c>
      <c r="C35" s="2" t="inlineStr">
        <is>
          <t>Chimera13_1000nit_EEM_QP1.mp4</t>
        </is>
      </c>
      <c r="D35" s="2" t="inlineStr">
        <is>
          <t>PQ</t>
        </is>
      </c>
      <c r="E35" s="2" t="inlineStr">
        <is>
          <t>EEM</t>
        </is>
      </c>
      <c r="F35" s="5" t="n">
        <v>3.399401396555207</v>
      </c>
      <c r="G35" s="5" t="n">
        <v>46.310077</v>
      </c>
      <c r="H35" s="5" t="n">
        <v>8.851117134000001</v>
      </c>
      <c r="I35" s="5" t="n">
        <v>91.738311</v>
      </c>
      <c r="J35" s="5" t="n">
        <v>142.88</v>
      </c>
      <c r="K35" s="5" t="n">
        <v>33.865</v>
      </c>
      <c r="L35" s="5" t="n">
        <v>37.66</v>
      </c>
      <c r="M35" s="5" t="n">
        <v>3.820732723863022</v>
      </c>
    </row>
    <row r="36">
      <c r="A36" s="2" t="inlineStr">
        <is>
          <t>Chimera13_1000nit.mp4|Chimera13_1000nit_EEM_QP2.mp4|PQ|EEM</t>
        </is>
      </c>
      <c r="B36" s="2" t="inlineStr">
        <is>
          <t>Chimera13_1000nit.mp4</t>
        </is>
      </c>
      <c r="C36" s="2" t="inlineStr">
        <is>
          <t>Chimera13_1000nit_EEM_QP2.mp4</t>
        </is>
      </c>
      <c r="D36" s="2" t="inlineStr">
        <is>
          <t>PQ</t>
        </is>
      </c>
      <c r="E36" s="2" t="inlineStr">
        <is>
          <t>EEM</t>
        </is>
      </c>
      <c r="F36" s="5" t="n">
        <v>3.037398186023045</v>
      </c>
      <c r="G36" s="5" t="n">
        <v>45.205878</v>
      </c>
      <c r="H36" s="5" t="n">
        <v>8.581366538999999</v>
      </c>
      <c r="I36" s="5" t="n">
        <v>88.18741799999999</v>
      </c>
      <c r="J36" s="5" t="n">
        <v>139.265</v>
      </c>
      <c r="K36" s="5" t="n">
        <v>33.002</v>
      </c>
      <c r="L36" s="5" t="n">
        <v>37.013</v>
      </c>
      <c r="M36" s="5" t="n">
        <v>3.516935820190847</v>
      </c>
    </row>
    <row r="37">
      <c r="A37" s="2" t="inlineStr">
        <is>
          <t>Chimera13_1000nit.mp4|Chimera13_1000nit_EEM_QP3.mp4|PQ|EEM</t>
        </is>
      </c>
      <c r="B37" s="2" t="inlineStr">
        <is>
          <t>Chimera13_1000nit.mp4</t>
        </is>
      </c>
      <c r="C37" s="2" t="inlineStr">
        <is>
          <t>Chimera13_1000nit_EEM_QP3.mp4</t>
        </is>
      </c>
      <c r="D37" s="2" t="inlineStr">
        <is>
          <t>PQ</t>
        </is>
      </c>
      <c r="E37" s="2" t="inlineStr">
        <is>
          <t>EEM</t>
        </is>
      </c>
      <c r="F37" s="5" t="n">
        <v>1.607341707763135</v>
      </c>
      <c r="G37" s="5" t="n">
        <v>42.181088</v>
      </c>
      <c r="H37" s="5" t="n">
        <v>7.764291763</v>
      </c>
      <c r="I37" s="5" t="n">
        <v>76.242065</v>
      </c>
      <c r="J37" s="5" t="n">
        <v>129.039</v>
      </c>
      <c r="K37" s="5" t="n">
        <v>30.478</v>
      </c>
      <c r="L37" s="5" t="n">
        <v>35.277</v>
      </c>
      <c r="M37" s="5" t="n">
        <v>2.689995695310071</v>
      </c>
    </row>
    <row r="38">
      <c r="A38" s="2" t="inlineStr">
        <is>
          <t>Chimera13_1000nit.mp4|Chimera13_1000nit_NNVC_QP22.mp4|PQ|NNVC</t>
        </is>
      </c>
      <c r="B38" s="2" t="inlineStr">
        <is>
          <t>Chimera13_1000nit.mp4</t>
        </is>
      </c>
      <c r="C38" s="2" t="inlineStr">
        <is>
          <t>Chimera13_1000nit_NNVC_QP22.mp4</t>
        </is>
      </c>
      <c r="D38" s="2" t="inlineStr">
        <is>
          <t>PQ</t>
        </is>
      </c>
      <c r="E38" s="2" t="inlineStr">
        <is>
          <t>NNVC</t>
        </is>
      </c>
      <c r="F38" s="5" t="n">
        <v>4.564827331905065</v>
      </c>
      <c r="G38" s="5" t="n">
        <v>50.633063</v>
      </c>
      <c r="H38" s="5" t="n">
        <v>9.812083244</v>
      </c>
      <c r="I38" s="5" t="n">
        <v>99.620818</v>
      </c>
      <c r="J38" s="5" t="n">
        <v>157.309</v>
      </c>
      <c r="K38" s="5" t="n">
        <v>36.503</v>
      </c>
      <c r="L38" s="5" t="n">
        <v>41.447</v>
      </c>
      <c r="M38" s="5" t="n">
        <v>4.640475792544144</v>
      </c>
    </row>
    <row r="39">
      <c r="A39" s="2" t="inlineStr">
        <is>
          <t>Chimera13_1000nit.mp4|Chimera13_1000nit_NNVC_QP27.mp4|PQ|NNVC</t>
        </is>
      </c>
      <c r="B39" s="2" t="inlineStr">
        <is>
          <t>Chimera13_1000nit.mp4</t>
        </is>
      </c>
      <c r="C39" s="2" t="inlineStr">
        <is>
          <t>Chimera13_1000nit_NNVC_QP27.mp4</t>
        </is>
      </c>
      <c r="D39" s="2" t="inlineStr">
        <is>
          <t>PQ</t>
        </is>
      </c>
      <c r="E39" s="2" t="inlineStr">
        <is>
          <t>NNVC</t>
        </is>
      </c>
      <c r="F39" s="5" t="n">
        <v>4.489552777589231</v>
      </c>
      <c r="G39" s="5" t="n">
        <v>49.201891</v>
      </c>
      <c r="H39" s="5" t="n">
        <v>9.640176773</v>
      </c>
      <c r="I39" s="5" t="n">
        <v>97.95628000000001</v>
      </c>
      <c r="J39" s="5" t="n">
        <v>152.655</v>
      </c>
      <c r="K39" s="5" t="n">
        <v>35.783</v>
      </c>
      <c r="L39" s="5" t="n">
        <v>40.353</v>
      </c>
      <c r="M39" s="5" t="n">
        <v>4.493823268686766</v>
      </c>
    </row>
    <row r="40">
      <c r="A40" s="2" t="inlineStr">
        <is>
          <t>Chimera13_1000nit.mp4|Chimera13_1000nit_NNVC_QP32.mp4|PQ|NNVC</t>
        </is>
      </c>
      <c r="B40" s="2" t="inlineStr">
        <is>
          <t>Chimera13_1000nit.mp4</t>
        </is>
      </c>
      <c r="C40" s="2" t="inlineStr">
        <is>
          <t>Chimera13_1000nit_NNVC_QP32.mp4</t>
        </is>
      </c>
      <c r="D40" s="2" t="inlineStr">
        <is>
          <t>PQ</t>
        </is>
      </c>
      <c r="E40" s="2" t="inlineStr">
        <is>
          <t>NNVC</t>
        </is>
      </c>
      <c r="F40" s="5" t="n">
        <v>4.535972393450604</v>
      </c>
      <c r="G40" s="5" t="n">
        <v>47.499853</v>
      </c>
      <c r="H40" s="5" t="n">
        <v>9.327386856</v>
      </c>
      <c r="I40" s="5" t="n">
        <v>94.42438799999999</v>
      </c>
      <c r="J40" s="5" t="n">
        <v>147.167</v>
      </c>
      <c r="K40" s="5" t="n">
        <v>35.01</v>
      </c>
      <c r="L40" s="5" t="n">
        <v>39.105</v>
      </c>
      <c r="M40" s="5" t="n">
        <v>4.16960697542542</v>
      </c>
    </row>
    <row r="41">
      <c r="A41" s="2" t="inlineStr">
        <is>
          <t>Chimera13_1000nit.mp4|Chimera13_1000nit_NNVC_QP42.mp4|PQ|NNVC</t>
        </is>
      </c>
      <c r="B41" s="2" t="inlineStr">
        <is>
          <t>Chimera13_1000nit.mp4</t>
        </is>
      </c>
      <c r="C41" s="2" t="inlineStr">
        <is>
          <t>Chimera13_1000nit_NNVC_QP42.mp4</t>
        </is>
      </c>
      <c r="D41" s="2" t="inlineStr">
        <is>
          <t>PQ</t>
        </is>
      </c>
      <c r="E41" s="2" t="inlineStr">
        <is>
          <t>NNVC</t>
        </is>
      </c>
      <c r="F41" s="5" t="n">
        <v>2.090012420552291</v>
      </c>
      <c r="G41" s="5" t="n">
        <v>43.750026</v>
      </c>
      <c r="H41" s="5" t="n">
        <v>8.275495529000001</v>
      </c>
      <c r="I41" s="5" t="n">
        <v>79.914282</v>
      </c>
      <c r="J41" s="5" t="n">
        <v>135.177</v>
      </c>
      <c r="K41" s="5" t="n">
        <v>33.083</v>
      </c>
      <c r="L41" s="5" t="n">
        <v>36.477</v>
      </c>
      <c r="M41" s="5" t="n">
        <v>2.974282730084654</v>
      </c>
    </row>
    <row r="42">
      <c r="A42" s="2" t="inlineStr">
        <is>
          <t>Chimera13_1000nit.mp4|Chimera13_1000nit_QP27_3316.mp4|PQ|LTM</t>
        </is>
      </c>
      <c r="B42" s="2" t="inlineStr">
        <is>
          <t>Chimera13_1000nit.mp4</t>
        </is>
      </c>
      <c r="C42" s="2" t="inlineStr">
        <is>
          <t>Chimera13_1000nit_QP27_3316.mp4</t>
        </is>
      </c>
      <c r="D42" s="2" t="inlineStr">
        <is>
          <t>PQ</t>
        </is>
      </c>
      <c r="E42" s="2" t="inlineStr">
        <is>
          <t>LTM</t>
        </is>
      </c>
      <c r="F42" s="5" t="n">
        <v>4.609916727900448</v>
      </c>
      <c r="G42" s="5" t="n">
        <v>46.772213</v>
      </c>
      <c r="H42" s="5" t="n">
        <v>9.199300766</v>
      </c>
      <c r="I42" s="5" t="n">
        <v>92.570939</v>
      </c>
      <c r="J42" s="5" t="n">
        <v>145.181</v>
      </c>
      <c r="K42" s="5" t="n">
        <v>34.966</v>
      </c>
      <c r="L42" s="5" t="n">
        <v>38.554</v>
      </c>
      <c r="M42" s="5" t="n">
        <v>3.945620649641573</v>
      </c>
    </row>
    <row r="43">
      <c r="A43" s="2" t="inlineStr">
        <is>
          <t>Chimera13_1000nit.mp4|Chimera13_1000nit_QP35_3856.mp4|PQ|LTM</t>
        </is>
      </c>
      <c r="B43" s="2" t="inlineStr">
        <is>
          <t>Chimera13_1000nit.mp4</t>
        </is>
      </c>
      <c r="C43" s="2" t="inlineStr">
        <is>
          <t>Chimera13_1000nit_QP35_3856.mp4</t>
        </is>
      </c>
      <c r="D43" s="2" t="inlineStr">
        <is>
          <t>PQ</t>
        </is>
      </c>
      <c r="E43" s="2" t="inlineStr">
        <is>
          <t>LTM</t>
        </is>
      </c>
      <c r="F43" s="5" t="n">
        <v>3.020668012996645</v>
      </c>
      <c r="G43" s="5" t="n">
        <v>44.480113</v>
      </c>
      <c r="H43" s="5" t="n">
        <v>8.318604469</v>
      </c>
      <c r="I43" s="5" t="n">
        <v>78.840807</v>
      </c>
      <c r="J43" s="5" t="n">
        <v>138.097</v>
      </c>
      <c r="K43" s="5" t="n">
        <v>34.103</v>
      </c>
      <c r="L43" s="5" t="n">
        <v>36.424</v>
      </c>
      <c r="M43" s="5" t="n">
        <v>2.917637614219908</v>
      </c>
    </row>
    <row r="44">
      <c r="A44" s="2" t="inlineStr">
        <is>
          <t>Chimera13_1000nit.mp4|Chimera13_1000nit_QP37_3991.mp4|PQ|LTM</t>
        </is>
      </c>
      <c r="B44" s="2" t="inlineStr">
        <is>
          <t>Chimera13_1000nit.mp4</t>
        </is>
      </c>
      <c r="C44" s="2" t="inlineStr">
        <is>
          <t>Chimera13_1000nit_QP37_3991.mp4</t>
        </is>
      </c>
      <c r="D44" s="2" t="inlineStr">
        <is>
          <t>PQ</t>
        </is>
      </c>
      <c r="E44" s="2" t="inlineStr">
        <is>
          <t>LTM</t>
        </is>
      </c>
      <c r="F44" s="5" t="n">
        <v>3.038035046810136</v>
      </c>
      <c r="G44" s="5" t="n">
        <v>43.679641</v>
      </c>
      <c r="H44" s="5" t="n">
        <v>8.01792717</v>
      </c>
      <c r="I44" s="5" t="n">
        <v>74.539348</v>
      </c>
      <c r="J44" s="5" t="n">
        <v>135.549</v>
      </c>
      <c r="K44" s="5" t="n">
        <v>33.719</v>
      </c>
      <c r="L44" s="5" t="n">
        <v>35.874</v>
      </c>
      <c r="M44" s="5" t="n">
        <v>2.623244847537588</v>
      </c>
    </row>
    <row r="45">
      <c r="A45" s="2" t="inlineStr">
        <is>
          <t>Chimera13_1000nit.mp4|Chimera13_1000nit_QP42_4329.mp4|PQ|LTM</t>
        </is>
      </c>
      <c r="B45" s="2" t="inlineStr">
        <is>
          <t>Chimera13_1000nit.mp4</t>
        </is>
      </c>
      <c r="C45" s="2" t="inlineStr">
        <is>
          <t>Chimera13_1000nit_QP42_4329.mp4</t>
        </is>
      </c>
      <c r="D45" s="2" t="inlineStr">
        <is>
          <t>PQ</t>
        </is>
      </c>
      <c r="E45" s="2" t="inlineStr">
        <is>
          <t>LTM</t>
        </is>
      </c>
      <c r="F45" s="5" t="n">
        <v>1.717888235788874</v>
      </c>
      <c r="G45" s="5" t="n">
        <v>42.238563</v>
      </c>
      <c r="H45" s="5" t="n">
        <v>7.194344044</v>
      </c>
      <c r="I45" s="5" t="n">
        <v>62.681388</v>
      </c>
      <c r="J45" s="5" t="n">
        <v>131.101</v>
      </c>
      <c r="K45" s="5" t="n">
        <v>33.087</v>
      </c>
      <c r="L45" s="5" t="n">
        <v>34.557</v>
      </c>
      <c r="M45" s="5" t="n">
        <v>2.006889670059344</v>
      </c>
    </row>
    <row r="46">
      <c r="A46" s="2" t="inlineStr">
        <is>
          <t>Chimera13_1000nit.mp4|Chimera13_1000nit_VTM_QP27.mp4|PQ|VTM</t>
        </is>
      </c>
      <c r="B46" s="2" t="inlineStr">
        <is>
          <t>Chimera13_1000nit.mp4</t>
        </is>
      </c>
      <c r="C46" s="2" t="inlineStr">
        <is>
          <t>Chimera13_1000nit_VTM_QP27.mp4</t>
        </is>
      </c>
      <c r="D46" s="2" t="inlineStr">
        <is>
          <t>PQ</t>
        </is>
      </c>
      <c r="E46" s="2" t="inlineStr">
        <is>
          <t>VTM</t>
        </is>
      </c>
      <c r="F46" s="5" t="n">
        <v>4.614988683958166</v>
      </c>
      <c r="G46" s="5" t="n">
        <v>48.834871</v>
      </c>
      <c r="H46" s="5" t="n">
        <v>9.606402397</v>
      </c>
      <c r="I46" s="5" t="n">
        <v>96.696725</v>
      </c>
      <c r="J46" s="5" t="n">
        <v>151.817</v>
      </c>
      <c r="K46" s="5" t="n">
        <v>35.879</v>
      </c>
      <c r="L46" s="5" t="n">
        <v>39.971</v>
      </c>
      <c r="M46" s="5" t="n">
        <v>4.417525051267992</v>
      </c>
    </row>
    <row r="47">
      <c r="A47" s="2" t="inlineStr">
        <is>
          <t>Chimera13_1000nit.mp4|Chimera13_1000nit_VTM_QP35.mp4|PQ|VTM</t>
        </is>
      </c>
      <c r="B47" s="2" t="inlineStr">
        <is>
          <t>Chimera13_1000nit.mp4</t>
        </is>
      </c>
      <c r="C47" s="2" t="inlineStr">
        <is>
          <t>Chimera13_1000nit_VTM_QP35.mp4</t>
        </is>
      </c>
      <c r="D47" s="2" t="inlineStr">
        <is>
          <t>PQ</t>
        </is>
      </c>
      <c r="E47" s="2" t="inlineStr">
        <is>
          <t>VTM</t>
        </is>
      </c>
      <c r="F47" s="5" t="n">
        <v>3.823418144312973</v>
      </c>
      <c r="G47" s="5" t="n">
        <v>46.694228</v>
      </c>
      <c r="H47" s="5" t="n">
        <v>8.976873398</v>
      </c>
      <c r="I47" s="5" t="n">
        <v>87.597317</v>
      </c>
      <c r="J47" s="5" t="n">
        <v>145.067</v>
      </c>
      <c r="K47" s="5" t="n">
        <v>35.057</v>
      </c>
      <c r="L47" s="5" t="n">
        <v>37.871</v>
      </c>
      <c r="M47" s="5" t="n">
        <v>3.661894762549873</v>
      </c>
    </row>
    <row r="48">
      <c r="A48" s="2" t="inlineStr">
        <is>
          <t>Chimera13_1000nit.mp4|Chimera13_1000nit_VTM_QP37.mp4|PQ|VTM</t>
        </is>
      </c>
      <c r="B48" s="2" t="inlineStr">
        <is>
          <t>Chimera13_1000nit.mp4</t>
        </is>
      </c>
      <c r="C48" s="2" t="inlineStr">
        <is>
          <t>Chimera13_1000nit_VTM_QP37.mp4</t>
        </is>
      </c>
      <c r="D48" s="2" t="inlineStr">
        <is>
          <t>PQ</t>
        </is>
      </c>
      <c r="E48" s="2" t="inlineStr">
        <is>
          <t>VTM</t>
        </is>
      </c>
      <c r="F48" s="5" t="n">
        <v>4.042461076539308</v>
      </c>
      <c r="G48" s="5" t="n">
        <v>45.895474</v>
      </c>
      <c r="H48" s="5" t="n">
        <v>8.736330986</v>
      </c>
      <c r="I48" s="5" t="n">
        <v>84.0633</v>
      </c>
      <c r="J48" s="5" t="n">
        <v>142.502</v>
      </c>
      <c r="K48" s="5" t="n">
        <v>34.657</v>
      </c>
      <c r="L48" s="5" t="n">
        <v>37.306</v>
      </c>
      <c r="M48" s="5" t="n">
        <v>3.366809699099869</v>
      </c>
    </row>
    <row r="49">
      <c r="A49" s="2" t="inlineStr">
        <is>
          <t>Chimera13_1000nit.mp4|Chimera13_1000nit_VTM_QP42.mp4|PQ|VTM</t>
        </is>
      </c>
      <c r="B49" s="2" t="inlineStr">
        <is>
          <t>Chimera13_1000nit.mp4</t>
        </is>
      </c>
      <c r="C49" s="2" t="inlineStr">
        <is>
          <t>Chimera13_1000nit_VTM_QP42.mp4</t>
        </is>
      </c>
      <c r="D49" s="2" t="inlineStr">
        <is>
          <t>PQ</t>
        </is>
      </c>
      <c r="E49" s="2" t="inlineStr">
        <is>
          <t>VTM</t>
        </is>
      </c>
      <c r="F49" s="5" t="n">
        <v>2.692483859134442</v>
      </c>
      <c r="G49" s="5" t="n">
        <v>44.441029</v>
      </c>
      <c r="H49" s="5" t="n">
        <v>8.073206902000001</v>
      </c>
      <c r="I49" s="5" t="n">
        <v>74.146801</v>
      </c>
      <c r="J49" s="5" t="n">
        <v>137.95</v>
      </c>
      <c r="K49" s="5" t="n">
        <v>34.029</v>
      </c>
      <c r="L49" s="5" t="n">
        <v>35.945</v>
      </c>
      <c r="M49" s="5" t="n">
        <v>2.668923582710697</v>
      </c>
    </row>
    <row r="50">
      <c r="A50" s="2" t="inlineStr">
        <is>
          <t>Chimera13_1000nit.mp4|Chimera13_1000nit_VTM_QP47.mp4|PQ|VTM</t>
        </is>
      </c>
      <c r="B50" s="2" t="inlineStr">
        <is>
          <t>Chimera13_1000nit.mp4</t>
        </is>
      </c>
      <c r="C50" s="2" t="inlineStr">
        <is>
          <t>Chimera13_1000nit_VTM_QP47.mp4</t>
        </is>
      </c>
      <c r="D50" s="2" t="inlineStr">
        <is>
          <t>PQ</t>
        </is>
      </c>
      <c r="E50" s="2" t="inlineStr">
        <is>
          <t>VTM</t>
        </is>
      </c>
      <c r="F50" s="5" t="n">
        <v>1.401024019771926</v>
      </c>
      <c r="G50" s="5" t="n">
        <v>42.822538</v>
      </c>
      <c r="H50" s="5" t="n">
        <v>7.231945038</v>
      </c>
      <c r="I50" s="5" t="n">
        <v>61.958812</v>
      </c>
      <c r="J50" s="5" t="n">
        <v>132.863</v>
      </c>
      <c r="K50" s="5" t="n">
        <v>33.172</v>
      </c>
      <c r="L50" s="5" t="n">
        <v>34.55</v>
      </c>
      <c r="M50" s="5" t="n">
        <v>2.005495196716373</v>
      </c>
    </row>
    <row r="51">
      <c r="A51" s="2" t="inlineStr">
        <is>
          <t>Chimera2_1000nit.mp4|Chimera2_1000nit_AVS3_r2.mp4|PQ|AVS</t>
        </is>
      </c>
      <c r="B51" s="2" t="inlineStr">
        <is>
          <t>Chimera2_1000nit.mp4</t>
        </is>
      </c>
      <c r="C51" s="2" t="inlineStr">
        <is>
          <t>Chimera2_1000nit_AVS3_r2.mp4</t>
        </is>
      </c>
      <c r="D51" s="2" t="inlineStr">
        <is>
          <t>PQ</t>
        </is>
      </c>
      <c r="E51" s="2" t="inlineStr">
        <is>
          <t>AVS</t>
        </is>
      </c>
      <c r="F51" s="5" t="n">
        <v>4.821162896172297</v>
      </c>
      <c r="G51" s="5" t="n">
        <v>47.453599</v>
      </c>
      <c r="H51" s="5" t="n">
        <v>9.355587006</v>
      </c>
      <c r="I51" s="5" t="n">
        <v>91.393559</v>
      </c>
      <c r="J51" s="5" t="n">
        <v>145.904</v>
      </c>
      <c r="K51" s="5" t="n">
        <v>34.536</v>
      </c>
      <c r="L51" s="5" t="n">
        <v>36.978</v>
      </c>
      <c r="M51" s="5" t="n">
        <v>4.387494658427638</v>
      </c>
    </row>
    <row r="52">
      <c r="A52" s="2" t="inlineStr">
        <is>
          <t>Chimera2_1000nit.mp4|Chimera2_1000nit_AVS3_r4.mp4|PQ|AVS</t>
        </is>
      </c>
      <c r="B52" s="2" t="inlineStr">
        <is>
          <t>Chimera2_1000nit.mp4</t>
        </is>
      </c>
      <c r="C52" s="2" t="inlineStr">
        <is>
          <t>Chimera2_1000nit_AVS3_r4.mp4</t>
        </is>
      </c>
      <c r="D52" s="2" t="inlineStr">
        <is>
          <t>PQ</t>
        </is>
      </c>
      <c r="E52" s="2" t="inlineStr">
        <is>
          <t>AVS</t>
        </is>
      </c>
      <c r="F52" s="5" t="n">
        <v>3.046283081200225</v>
      </c>
      <c r="G52" s="5" t="n">
        <v>45.395753</v>
      </c>
      <c r="H52" s="5" t="n">
        <v>8.244793892000001</v>
      </c>
      <c r="I52" s="5" t="n">
        <v>81.09377600000001</v>
      </c>
      <c r="J52" s="5" t="n">
        <v>139.694</v>
      </c>
      <c r="K52" s="5" t="n">
        <v>33.72</v>
      </c>
      <c r="L52" s="5" t="n">
        <v>35.694</v>
      </c>
      <c r="M52" s="5" t="n">
        <v>3.573640528129722</v>
      </c>
    </row>
    <row r="53">
      <c r="A53" s="2" t="inlineStr">
        <is>
          <t>Chimera2_1000nit.mp4|Chimera2_1000nit_EEM_r4.mp4|PQ|EEM</t>
        </is>
      </c>
      <c r="B53" s="2" t="inlineStr">
        <is>
          <t>Chimera2_1000nit.mp4</t>
        </is>
      </c>
      <c r="C53" s="2" t="inlineStr">
        <is>
          <t>Chimera2_1000nit_EEM_r4.mp4</t>
        </is>
      </c>
      <c r="D53" s="2" t="inlineStr">
        <is>
          <t>PQ</t>
        </is>
      </c>
      <c r="E53" s="2" t="inlineStr">
        <is>
          <t>EEM</t>
        </is>
      </c>
      <c r="F53" s="5" t="n">
        <v>1.101263034168752</v>
      </c>
      <c r="G53" s="5" t="n">
        <v>42.354796</v>
      </c>
      <c r="H53" s="5" t="n">
        <v>6.025280476</v>
      </c>
      <c r="I53" s="5" t="n">
        <v>66.820245</v>
      </c>
      <c r="J53" s="5" t="n">
        <v>130.001</v>
      </c>
      <c r="K53" s="5" t="n">
        <v>32.287</v>
      </c>
      <c r="L53" s="5" t="n">
        <v>34.261</v>
      </c>
      <c r="M53" s="5" t="n">
        <v>2.253507905497511</v>
      </c>
    </row>
    <row r="54">
      <c r="A54" s="2" t="inlineStr">
        <is>
          <t>Chimera2_1000nit.mp4|Chimera2_1000nit_LTM_r1.mp4|PQ|LTM</t>
        </is>
      </c>
      <c r="B54" s="2" t="inlineStr">
        <is>
          <t>Chimera2_1000nit.mp4</t>
        </is>
      </c>
      <c r="C54" s="2" t="inlineStr">
        <is>
          <t>Chimera2_1000nit_LTM_r1.mp4</t>
        </is>
      </c>
      <c r="D54" s="2" t="inlineStr">
        <is>
          <t>PQ</t>
        </is>
      </c>
      <c r="E54" s="2" t="inlineStr">
        <is>
          <t>LTM</t>
        </is>
      </c>
      <c r="F54" s="5" t="n">
        <v>4.843636122865782</v>
      </c>
      <c r="G54" s="5" t="n">
        <v>47.355332</v>
      </c>
      <c r="H54" s="5" t="n">
        <v>9.562423706000001</v>
      </c>
      <c r="I54" s="5" t="n">
        <v>95.05654800000001</v>
      </c>
      <c r="J54" s="5" t="n">
        <v>145.517</v>
      </c>
      <c r="K54" s="5" t="n">
        <v>34.546</v>
      </c>
      <c r="L54" s="5" t="n">
        <v>36.999</v>
      </c>
      <c r="M54" s="5" t="n">
        <v>4.489268551701838</v>
      </c>
    </row>
    <row r="55">
      <c r="A55" s="2" t="inlineStr">
        <is>
          <t>Chimera2_1000nit.mp4|Chimera2_1000nit_LTM_r2.mp4|PQ|LTM</t>
        </is>
      </c>
      <c r="B55" s="2" t="inlineStr">
        <is>
          <t>Chimera2_1000nit.mp4</t>
        </is>
      </c>
      <c r="C55" s="2" t="inlineStr">
        <is>
          <t>Chimera2_1000nit_LTM_r2.mp4</t>
        </is>
      </c>
      <c r="D55" s="2" t="inlineStr">
        <is>
          <t>PQ</t>
        </is>
      </c>
      <c r="E55" s="2" t="inlineStr">
        <is>
          <t>LTM</t>
        </is>
      </c>
      <c r="F55" s="5" t="n">
        <v>4.700807105258277</v>
      </c>
      <c r="G55" s="5" t="n">
        <v>46.37195</v>
      </c>
      <c r="H55" s="5" t="n">
        <v>9.242368698</v>
      </c>
      <c r="I55" s="5" t="n">
        <v>90.813086</v>
      </c>
      <c r="J55" s="5" t="n">
        <v>142.691</v>
      </c>
      <c r="K55" s="5" t="n">
        <v>34.196</v>
      </c>
      <c r="L55" s="5" t="n">
        <v>36.443</v>
      </c>
      <c r="M55" s="5" t="n">
        <v>4.22407115206704</v>
      </c>
    </row>
    <row r="56">
      <c r="A56" s="2" t="inlineStr">
        <is>
          <t>Chimera2_1000nit.mp4|Chimera2_1000nit_LTM_r3.mp4|PQ|LTM</t>
        </is>
      </c>
      <c r="B56" s="2" t="inlineStr">
        <is>
          <t>Chimera2_1000nit.mp4</t>
        </is>
      </c>
      <c r="C56" s="2" t="inlineStr">
        <is>
          <t>Chimera2_1000nit_LTM_r3.mp4</t>
        </is>
      </c>
      <c r="D56" s="2" t="inlineStr">
        <is>
          <t>PQ</t>
        </is>
      </c>
      <c r="E56" s="2" t="inlineStr">
        <is>
          <t>LTM</t>
        </is>
      </c>
      <c r="F56" s="5" t="n">
        <v>3.503214582382031</v>
      </c>
      <c r="G56" s="5" t="n">
        <v>45.388834</v>
      </c>
      <c r="H56" s="5" t="n">
        <v>8.461181641</v>
      </c>
      <c r="I56" s="5" t="n">
        <v>83.20537299999999</v>
      </c>
      <c r="J56" s="5" t="n">
        <v>139.863</v>
      </c>
      <c r="K56" s="5" t="n">
        <v>33.84</v>
      </c>
      <c r="L56" s="5" t="n">
        <v>35.722</v>
      </c>
      <c r="M56" s="5" t="n">
        <v>3.627193587449812</v>
      </c>
    </row>
    <row r="57">
      <c r="A57" s="2" t="inlineStr">
        <is>
          <t>Chimera2_1000nit.mp4|Chimera2_1000nit_LTM_r4.mp4|PQ|LTM</t>
        </is>
      </c>
      <c r="B57" s="2" t="inlineStr">
        <is>
          <t>Chimera2_1000nit.mp4</t>
        </is>
      </c>
      <c r="C57" s="2" t="inlineStr">
        <is>
          <t>Chimera2_1000nit_LTM_r4.mp4</t>
        </is>
      </c>
      <c r="D57" s="2" t="inlineStr">
        <is>
          <t>PQ</t>
        </is>
      </c>
      <c r="E57" s="2" t="inlineStr">
        <is>
          <t>LTM</t>
        </is>
      </c>
      <c r="F57" s="5" t="n">
        <v>2.013171321416924</v>
      </c>
      <c r="G57" s="5" t="n">
        <v>44.447074</v>
      </c>
      <c r="H57" s="5" t="n">
        <v>7.18708992</v>
      </c>
      <c r="I57" s="5" t="n">
        <v>73.975272</v>
      </c>
      <c r="J57" s="5" t="n">
        <v>137.065</v>
      </c>
      <c r="K57" s="5" t="n">
        <v>33.465</v>
      </c>
      <c r="L57" s="5" t="n">
        <v>35.021</v>
      </c>
      <c r="M57" s="5" t="n">
        <v>2.816766830230993</v>
      </c>
    </row>
    <row r="58">
      <c r="A58" s="2" t="inlineStr">
        <is>
          <t>Chimera2_1000nit.mp4|Chimera2_1000nit_VTM_r2.mp4|PQ|VTM</t>
        </is>
      </c>
      <c r="B58" s="2" t="inlineStr">
        <is>
          <t>Chimera2_1000nit.mp4</t>
        </is>
      </c>
      <c r="C58" s="2" t="inlineStr">
        <is>
          <t>Chimera2_1000nit_VTM_r2.mp4</t>
        </is>
      </c>
      <c r="D58" s="2" t="inlineStr">
        <is>
          <t>PQ</t>
        </is>
      </c>
      <c r="E58" s="2" t="inlineStr">
        <is>
          <t>VTM</t>
        </is>
      </c>
      <c r="F58" s="5" t="n">
        <v>4.01866362195129</v>
      </c>
      <c r="G58" s="5" t="n">
        <v>46.330642</v>
      </c>
      <c r="H58" s="5" t="n">
        <v>8.810773849</v>
      </c>
      <c r="I58" s="5" t="n">
        <v>85.43280300000001</v>
      </c>
      <c r="J58" s="5" t="n">
        <v>142.876</v>
      </c>
      <c r="K58" s="5" t="n">
        <v>34.198</v>
      </c>
      <c r="L58" s="5" t="n">
        <v>36.235</v>
      </c>
      <c r="M58" s="5" t="n">
        <v>3.982497275834129</v>
      </c>
    </row>
    <row r="59">
      <c r="A59" s="2" t="inlineStr">
        <is>
          <t>Chimera2_1000nit.mp4|Chimera2_1000nit_VTM_r3.mp4|PQ|VTM</t>
        </is>
      </c>
      <c r="B59" s="2" t="inlineStr">
        <is>
          <t>Chimera2_1000nit.mp4</t>
        </is>
      </c>
      <c r="C59" s="2" t="inlineStr">
        <is>
          <t>Chimera2_1000nit_VTM_r3.mp4</t>
        </is>
      </c>
      <c r="D59" s="2" t="inlineStr">
        <is>
          <t>PQ</t>
        </is>
      </c>
      <c r="E59" s="2" t="inlineStr">
        <is>
          <t>VTM</t>
        </is>
      </c>
      <c r="F59" s="5" t="n">
        <v>2.267068672009934</v>
      </c>
      <c r="G59" s="5" t="n">
        <v>44.561704</v>
      </c>
      <c r="H59" s="5" t="n">
        <v>6.84170866</v>
      </c>
      <c r="I59" s="5" t="n">
        <v>71.32744599999999</v>
      </c>
      <c r="J59" s="5" t="n">
        <v>137.558</v>
      </c>
      <c r="K59" s="5" t="n">
        <v>33.461</v>
      </c>
      <c r="L59" s="5" t="n">
        <v>34.896</v>
      </c>
      <c r="M59" s="5" t="n">
        <v>2.676964918642764</v>
      </c>
    </row>
    <row r="60">
      <c r="A60" s="2" t="inlineStr">
        <is>
          <t>Chimera3_1000nit.mp4|Chimera3_1000nit_AVS3_r3.mp4|PQ|AVS</t>
        </is>
      </c>
      <c r="B60" s="2" t="inlineStr">
        <is>
          <t>Chimera3_1000nit.mp4</t>
        </is>
      </c>
      <c r="C60" s="2" t="inlineStr">
        <is>
          <t>Chimera3_1000nit_AVS3_r3.mp4</t>
        </is>
      </c>
      <c r="D60" s="2" t="inlineStr">
        <is>
          <t>PQ</t>
        </is>
      </c>
      <c r="E60" s="2" t="inlineStr">
        <is>
          <t>AVS</t>
        </is>
      </c>
      <c r="F60" s="5" t="n">
        <v>3.951109755012112</v>
      </c>
      <c r="G60" s="5" t="n">
        <v>41.554221</v>
      </c>
      <c r="H60" s="5" t="n">
        <v>7.324905872</v>
      </c>
      <c r="I60" s="5" t="n">
        <v>84.1027</v>
      </c>
      <c r="J60" s="5" t="n">
        <v>126.437</v>
      </c>
      <c r="K60" s="5" t="n">
        <v>30.798</v>
      </c>
      <c r="L60" s="5" t="n">
        <v>33.098</v>
      </c>
      <c r="M60" s="5" t="n">
        <v>3.742248120143651</v>
      </c>
    </row>
    <row r="61">
      <c r="A61" s="2" t="inlineStr">
        <is>
          <t>Chimera3_1000nit.mp4|Chimera3_1000nit_EEM_r4.mp4|PQ|EEM</t>
        </is>
      </c>
      <c r="B61" s="2" t="inlineStr">
        <is>
          <t>Chimera3_1000nit.mp4</t>
        </is>
      </c>
      <c r="C61" s="2" t="inlineStr">
        <is>
          <t>Chimera3_1000nit_EEM_r4.mp4</t>
        </is>
      </c>
      <c r="D61" s="2" t="inlineStr">
        <is>
          <t>PQ</t>
        </is>
      </c>
      <c r="E61" s="2" t="inlineStr">
        <is>
          <t>EEM</t>
        </is>
      </c>
      <c r="F61" s="5" t="n">
        <v>1.03296780158563</v>
      </c>
      <c r="G61" s="5" t="n">
        <v>37.890342</v>
      </c>
      <c r="H61" s="5" t="n">
        <v>3.855707645</v>
      </c>
      <c r="I61" s="5" t="n">
        <v>53.002857</v>
      </c>
      <c r="J61" s="5" t="n">
        <v>115.605</v>
      </c>
      <c r="K61" s="5" t="n">
        <v>29.29</v>
      </c>
      <c r="L61" s="5" t="n">
        <v>30.63</v>
      </c>
      <c r="M61" s="5" t="n">
        <v>1.729362563673981</v>
      </c>
    </row>
    <row r="62">
      <c r="A62" s="2" t="inlineStr">
        <is>
          <t>Chimera3_1000nit.mp4|Chimera3_1000nit_LTM_r1.mp4|PQ|LTM</t>
        </is>
      </c>
      <c r="B62" s="2" t="inlineStr">
        <is>
          <t>Chimera3_1000nit.mp4</t>
        </is>
      </c>
      <c r="C62" s="2" t="inlineStr">
        <is>
          <t>Chimera3_1000nit_LTM_r1.mp4</t>
        </is>
      </c>
      <c r="D62" s="2" t="inlineStr">
        <is>
          <t>PQ</t>
        </is>
      </c>
      <c r="E62" s="2" t="inlineStr">
        <is>
          <t>LTM</t>
        </is>
      </c>
      <c r="F62" s="5" t="n">
        <v>4.831523287319221</v>
      </c>
      <c r="G62" s="5" t="n">
        <v>43.368188</v>
      </c>
      <c r="H62" s="5" t="n">
        <v>9.359849929999999</v>
      </c>
      <c r="I62" s="5" t="n">
        <v>99.08453900000001</v>
      </c>
      <c r="J62" s="5" t="n">
        <v>132.641</v>
      </c>
      <c r="K62" s="5" t="n">
        <v>31.458</v>
      </c>
      <c r="L62" s="5" t="n">
        <v>35.091</v>
      </c>
      <c r="M62" s="5" t="n">
        <v>4.467761498877497</v>
      </c>
    </row>
    <row r="63">
      <c r="A63" s="2" t="inlineStr">
        <is>
          <t>Chimera3_1000nit.mp4|Chimera3_1000nit_NNVC_r1.mp4|PQ|NNVC</t>
        </is>
      </c>
      <c r="B63" s="2" t="inlineStr">
        <is>
          <t>Chimera3_1000nit.mp4</t>
        </is>
      </c>
      <c r="C63" s="2" t="inlineStr">
        <is>
          <t>Chimera3_1000nit_NNVC_r1.mp4</t>
        </is>
      </c>
      <c r="D63" s="2" t="inlineStr">
        <is>
          <t>PQ</t>
        </is>
      </c>
      <c r="E63" s="2" t="inlineStr">
        <is>
          <t>NNVC</t>
        </is>
      </c>
      <c r="F63" s="5" t="n">
        <v>4.760766422460132</v>
      </c>
      <c r="G63" s="5" t="n">
        <v>47.131062</v>
      </c>
      <c r="H63" s="5" t="n">
        <v>9.832645416</v>
      </c>
      <c r="I63" s="5" t="n">
        <v>99.996056</v>
      </c>
      <c r="J63" s="5" t="n">
        <v>143.752</v>
      </c>
      <c r="K63" s="5" t="n">
        <v>33.026</v>
      </c>
      <c r="L63" s="5" t="n">
        <v>37.423</v>
      </c>
      <c r="M63" s="5" t="n">
        <v>4.706430141850455</v>
      </c>
    </row>
    <row r="64">
      <c r="A64" s="2" t="inlineStr">
        <is>
          <t>Chimera3_1000nit.mp4|Chimera3_1000nit_NNVC_r2.mp4|PQ|NNVC</t>
        </is>
      </c>
      <c r="B64" s="2" t="inlineStr">
        <is>
          <t>Chimera3_1000nit.mp4</t>
        </is>
      </c>
      <c r="C64" s="2" t="inlineStr">
        <is>
          <t>Chimera3_1000nit_NNVC_r2.mp4</t>
        </is>
      </c>
      <c r="D64" s="2" t="inlineStr">
        <is>
          <t>PQ</t>
        </is>
      </c>
      <c r="E64" s="2" t="inlineStr">
        <is>
          <t>NNVC</t>
        </is>
      </c>
      <c r="F64" s="5" t="n">
        <v>4.576855924986001</v>
      </c>
      <c r="G64" s="5" t="n">
        <v>42.81316</v>
      </c>
      <c r="H64" s="5" t="n">
        <v>8.476522446000001</v>
      </c>
      <c r="I64" s="5" t="n">
        <v>93.32311900000001</v>
      </c>
      <c r="J64" s="5" t="n">
        <v>130.37</v>
      </c>
      <c r="K64" s="5" t="n">
        <v>31.385</v>
      </c>
      <c r="L64" s="5" t="n">
        <v>34.25</v>
      </c>
      <c r="M64" s="5" t="n">
        <v>4.29763786869059</v>
      </c>
    </row>
    <row r="65">
      <c r="A65" s="2" t="inlineStr">
        <is>
          <t>Chimera3_1000nit.mp4|Chimera3_1000nit_NNVC_r3.mp4|PQ|NNVC</t>
        </is>
      </c>
      <c r="B65" s="2" t="inlineStr">
        <is>
          <t>Chimera3_1000nit.mp4</t>
        </is>
      </c>
      <c r="C65" s="2" t="inlineStr">
        <is>
          <t>Chimera3_1000nit_NNVC_r3.mp4</t>
        </is>
      </c>
      <c r="D65" s="2" t="inlineStr">
        <is>
          <t>PQ</t>
        </is>
      </c>
      <c r="E65" s="2" t="inlineStr">
        <is>
          <t>NNVC</t>
        </is>
      </c>
      <c r="F65" s="5" t="n">
        <v>3.664137689066252</v>
      </c>
      <c r="G65" s="5" t="n">
        <v>41.226418</v>
      </c>
      <c r="H65" s="5" t="n">
        <v>7.141289234</v>
      </c>
      <c r="I65" s="5" t="n">
        <v>82.836246</v>
      </c>
      <c r="J65" s="5" t="n">
        <v>125.357</v>
      </c>
      <c r="K65" s="5" t="n">
        <v>30.763</v>
      </c>
      <c r="L65" s="5" t="n">
        <v>32.969</v>
      </c>
      <c r="M65" s="5" t="n">
        <v>3.645859039569689</v>
      </c>
    </row>
    <row r="66">
      <c r="A66" s="2" t="inlineStr">
        <is>
          <t>Chimera3_1000nit.mp4|Chimera3_1000nit_VTM_r1.mp4|PQ|VTM</t>
        </is>
      </c>
      <c r="B66" s="2" t="inlineStr">
        <is>
          <t>Chimera3_1000nit.mp4</t>
        </is>
      </c>
      <c r="C66" s="2" t="inlineStr">
        <is>
          <t>Chimera3_1000nit_VTM_r1.mp4</t>
        </is>
      </c>
      <c r="D66" s="2" t="inlineStr">
        <is>
          <t>PQ</t>
        </is>
      </c>
      <c r="E66" s="2" t="inlineStr">
        <is>
          <t>VTM</t>
        </is>
      </c>
      <c r="F66" s="5" t="n">
        <v>4.657643593819143</v>
      </c>
      <c r="G66" s="5" t="n">
        <v>42.837062</v>
      </c>
      <c r="H66" s="5" t="n">
        <v>8.563323021</v>
      </c>
      <c r="I66" s="5" t="n">
        <v>91.039306</v>
      </c>
      <c r="J66" s="5" t="n">
        <v>131.155</v>
      </c>
      <c r="K66" s="5" t="n">
        <v>31.458</v>
      </c>
      <c r="L66" s="5" t="n">
        <v>34.025</v>
      </c>
      <c r="M66" s="5" t="n">
        <v>4.169961841839195</v>
      </c>
    </row>
    <row r="67">
      <c r="A67" s="2" t="inlineStr">
        <is>
          <t>Chimera4_1000nit.mp4|Chimera4_1000nit_AlphaVC-P_r3.mp4|PQ|AlphaVC-P</t>
        </is>
      </c>
      <c r="B67" s="2" t="inlineStr">
        <is>
          <t>Chimera4_1000nit.mp4</t>
        </is>
      </c>
      <c r="C67" s="2" t="inlineStr">
        <is>
          <t>Chimera4_1000nit_AlphaVC-P_r3.mp4</t>
        </is>
      </c>
      <c r="D67" s="2" t="inlineStr">
        <is>
          <t>PQ</t>
        </is>
      </c>
      <c r="E67" s="2" t="inlineStr">
        <is>
          <t>AlphaVC-P</t>
        </is>
      </c>
      <c r="F67" s="5" t="n">
        <v>3.363192838432081</v>
      </c>
      <c r="G67" s="5" t="n">
        <v>42.070546</v>
      </c>
      <c r="H67" s="5" t="n">
        <v>7.830980301</v>
      </c>
      <c r="I67" s="5" t="n">
        <v>67.429513</v>
      </c>
      <c r="J67" s="5" t="n">
        <v>131.82</v>
      </c>
      <c r="K67" s="5" t="n">
        <v>32.358</v>
      </c>
      <c r="L67" s="5" t="n">
        <v>35.128</v>
      </c>
      <c r="M67" s="5" t="n">
        <v>3.314848589996528</v>
      </c>
    </row>
    <row r="68">
      <c r="A68" s="2" t="inlineStr">
        <is>
          <t>Chimera4_1000nit.mp4|Chimera4_1000nit_AlphaVC-P_r4.mp4|PQ|AlphaVC-P</t>
        </is>
      </c>
      <c r="B68" s="2" t="inlineStr">
        <is>
          <t>Chimera4_1000nit.mp4</t>
        </is>
      </c>
      <c r="C68" s="2" t="inlineStr">
        <is>
          <t>Chimera4_1000nit_AlphaVC-P_r4.mp4</t>
        </is>
      </c>
      <c r="D68" s="2" t="inlineStr">
        <is>
          <t>PQ</t>
        </is>
      </c>
      <c r="E68" s="2" t="inlineStr">
        <is>
          <t>AlphaVC-P</t>
        </is>
      </c>
      <c r="F68" s="5" t="n">
        <v>2.037333044816655</v>
      </c>
      <c r="G68" s="5" t="n">
        <v>39.316289</v>
      </c>
      <c r="H68" s="5" t="n">
        <v>5.69632864</v>
      </c>
      <c r="I68" s="5" t="n">
        <v>51.031188</v>
      </c>
      <c r="J68" s="5" t="n">
        <v>123.392</v>
      </c>
      <c r="K68" s="5" t="n">
        <v>31.113</v>
      </c>
      <c r="L68" s="5" t="n">
        <v>33.468</v>
      </c>
      <c r="M68" s="5" t="n">
        <v>2.238577579782194</v>
      </c>
    </row>
    <row r="69">
      <c r="A69" s="2" t="inlineStr">
        <is>
          <t>Chimera4_1000nit.mp4|Chimera4_1000nit_AVS3_r1.mp4|PQ|AVS</t>
        </is>
      </c>
      <c r="B69" s="2" t="inlineStr">
        <is>
          <t>Chimera4_1000nit.mp4</t>
        </is>
      </c>
      <c r="C69" s="2" t="inlineStr">
        <is>
          <t>Chimera4_1000nit_AVS3_r1.mp4</t>
        </is>
      </c>
      <c r="D69" s="2" t="inlineStr">
        <is>
          <t>PQ</t>
        </is>
      </c>
      <c r="E69" s="2" t="inlineStr">
        <is>
          <t>AVS</t>
        </is>
      </c>
      <c r="F69" s="5" t="n">
        <v>4.585902831692321</v>
      </c>
      <c r="G69" s="5" t="n">
        <v>46.987503</v>
      </c>
      <c r="H69" s="5" t="n">
        <v>9.592335701</v>
      </c>
      <c r="I69" s="5" t="n">
        <v>93.654546</v>
      </c>
      <c r="J69" s="5" t="n">
        <v>146.979</v>
      </c>
      <c r="K69" s="5" t="n">
        <v>34.644</v>
      </c>
      <c r="L69" s="5" t="n">
        <v>38.076</v>
      </c>
      <c r="M69" s="5" t="n">
        <v>4.527921520060348</v>
      </c>
    </row>
    <row r="70">
      <c r="A70" s="2" t="inlineStr">
        <is>
          <t>Chimera4_1000nit.mp4|Chimera4_1000nit_AVS3_r2.mp4|PQ|AVS</t>
        </is>
      </c>
      <c r="B70" s="2" t="inlineStr">
        <is>
          <t>Chimera4_1000nit.mp4</t>
        </is>
      </c>
      <c r="C70" s="2" t="inlineStr">
        <is>
          <t>Chimera4_1000nit_AVS3_r2.mp4</t>
        </is>
      </c>
      <c r="D70" s="2" t="inlineStr">
        <is>
          <t>PQ</t>
        </is>
      </c>
      <c r="E70" s="2" t="inlineStr">
        <is>
          <t>AVS</t>
        </is>
      </c>
      <c r="F70" s="5" t="n">
        <v>4.572386051128376</v>
      </c>
      <c r="G70" s="5" t="n">
        <v>46.244556</v>
      </c>
      <c r="H70" s="5" t="n">
        <v>9.378684998000001</v>
      </c>
      <c r="I70" s="5" t="n">
        <v>91.772182</v>
      </c>
      <c r="J70" s="5" t="n">
        <v>144.704</v>
      </c>
      <c r="K70" s="5" t="n">
        <v>34.31</v>
      </c>
      <c r="L70" s="5" t="n">
        <v>37.576</v>
      </c>
      <c r="M70" s="5" t="n">
        <v>4.427536095103011</v>
      </c>
    </row>
    <row r="71">
      <c r="A71" s="2" t="inlineStr">
        <is>
          <t>Chimera4_1000nit.mp4|Chimera4_1000nit_AVS3_r3.mp4|PQ|AVS</t>
        </is>
      </c>
      <c r="B71" s="2" t="inlineStr">
        <is>
          <t>Chimera4_1000nit.mp4</t>
        </is>
      </c>
      <c r="C71" s="2" t="inlineStr">
        <is>
          <t>Chimera4_1000nit_AVS3_r3.mp4</t>
        </is>
      </c>
      <c r="D71" s="2" t="inlineStr">
        <is>
          <t>PQ</t>
        </is>
      </c>
      <c r="E71" s="2" t="inlineStr">
        <is>
          <t>AVS</t>
        </is>
      </c>
      <c r="F71" s="5" t="n">
        <v>4.356802234523775</v>
      </c>
      <c r="G71" s="5" t="n">
        <v>45.351698</v>
      </c>
      <c r="H71" s="5" t="n">
        <v>9.049332618999999</v>
      </c>
      <c r="I71" s="5" t="n">
        <v>89.226738</v>
      </c>
      <c r="J71" s="5" t="n">
        <v>141.964</v>
      </c>
      <c r="K71" s="5" t="n">
        <v>33.899</v>
      </c>
      <c r="L71" s="5" t="n">
        <v>37.027</v>
      </c>
      <c r="M71" s="5" t="n">
        <v>4.271153366496373</v>
      </c>
    </row>
    <row r="72">
      <c r="A72" s="2" t="inlineStr">
        <is>
          <t>Chimera4_1000nit.mp4|Chimera4_1000nit_AVS3_r4.mp4|PQ|AVS</t>
        </is>
      </c>
      <c r="B72" s="2" t="inlineStr">
        <is>
          <t>Chimera4_1000nit.mp4</t>
        </is>
      </c>
      <c r="C72" s="2" t="inlineStr">
        <is>
          <t>Chimera4_1000nit_AVS3_r4.mp4</t>
        </is>
      </c>
      <c r="D72" s="2" t="inlineStr">
        <is>
          <t>PQ</t>
        </is>
      </c>
      <c r="E72" s="2" t="inlineStr">
        <is>
          <t>AVS</t>
        </is>
      </c>
      <c r="F72" s="5" t="n">
        <v>3.083628959949221</v>
      </c>
      <c r="G72" s="5" t="n">
        <v>43.390672</v>
      </c>
      <c r="H72" s="5" t="n">
        <v>7.916736603</v>
      </c>
      <c r="I72" s="5" t="n">
        <v>79.90333099999999</v>
      </c>
      <c r="J72" s="5" t="n">
        <v>135.981</v>
      </c>
      <c r="K72" s="5" t="n">
        <v>33.01</v>
      </c>
      <c r="L72" s="5" t="n">
        <v>35.761</v>
      </c>
      <c r="M72" s="5" t="n">
        <v>3.581156100679844</v>
      </c>
    </row>
    <row r="73">
      <c r="A73" s="2" t="inlineStr">
        <is>
          <t>Chimera4_1000nit.mp4|Chimera4_1000nit_EEM_r4.mp4|PQ|EEM</t>
        </is>
      </c>
      <c r="B73" s="2" t="inlineStr">
        <is>
          <t>Chimera4_1000nit.mp4</t>
        </is>
      </c>
      <c r="C73" s="2" t="inlineStr">
        <is>
          <t>Chimera4_1000nit_EEM_r4.mp4</t>
        </is>
      </c>
      <c r="D73" s="2" t="inlineStr">
        <is>
          <t>PQ</t>
        </is>
      </c>
      <c r="E73" s="2" t="inlineStr">
        <is>
          <t>EEM</t>
        </is>
      </c>
      <c r="F73" s="5" t="n">
        <v>1.571359435509755</v>
      </c>
      <c r="G73" s="5" t="n">
        <v>39.816544</v>
      </c>
      <c r="H73" s="5" t="n">
        <v>5.698754311</v>
      </c>
      <c r="I73" s="5" t="n">
        <v>61.470591</v>
      </c>
      <c r="J73" s="5" t="n">
        <v>124.869</v>
      </c>
      <c r="K73" s="5" t="n">
        <v>31.39</v>
      </c>
      <c r="L73" s="5" t="n">
        <v>34.088</v>
      </c>
      <c r="M73" s="5" t="n">
        <v>2.195362153959864</v>
      </c>
    </row>
    <row r="74">
      <c r="A74" s="2" t="inlineStr">
        <is>
          <t>Chimera4_1000nit.mp4|Chimera4_1000nit_LCEVC_QP31.mp4|PQ|LTM</t>
        </is>
      </c>
      <c r="B74" s="2" t="inlineStr">
        <is>
          <t>Chimera4_1000nit.mp4</t>
        </is>
      </c>
      <c r="C74" s="2" t="inlineStr">
        <is>
          <t>Chimera4_1000nit_LCEVC_QP31.mp4</t>
        </is>
      </c>
      <c r="D74" s="2" t="inlineStr">
        <is>
          <t>PQ</t>
        </is>
      </c>
      <c r="E74" s="2" t="inlineStr">
        <is>
          <t>LTM</t>
        </is>
      </c>
      <c r="F74" s="5" t="n">
        <v>3.142950195035988</v>
      </c>
      <c r="G74" s="5" t="n">
        <v>42.598654</v>
      </c>
      <c r="H74" s="5" t="n">
        <v>7.51699543</v>
      </c>
      <c r="I74" s="5" t="n">
        <v>77.415487</v>
      </c>
      <c r="J74" s="5" t="n">
        <v>133.862</v>
      </c>
      <c r="K74" s="5" t="n">
        <v>32.723</v>
      </c>
      <c r="L74" s="5" t="n">
        <v>35.461</v>
      </c>
      <c r="M74" s="5" t="n">
        <v>3.391159104122435</v>
      </c>
    </row>
    <row r="75">
      <c r="A75" s="2" t="inlineStr">
        <is>
          <t>Chimera4_1000nit.mp4|Chimera4_1000nit_LCEVC_QP33.mp4|PQ|LTM</t>
        </is>
      </c>
      <c r="B75" s="2" t="inlineStr">
        <is>
          <t>Chimera4_1000nit.mp4</t>
        </is>
      </c>
      <c r="C75" s="2" t="inlineStr">
        <is>
          <t>Chimera4_1000nit_LCEVC_QP33.mp4</t>
        </is>
      </c>
      <c r="D75" s="2" t="inlineStr">
        <is>
          <t>PQ</t>
        </is>
      </c>
      <c r="E75" s="2" t="inlineStr">
        <is>
          <t>LTM</t>
        </is>
      </c>
      <c r="F75" s="5" t="n">
        <v>2.896863303077372</v>
      </c>
      <c r="G75" s="5" t="n">
        <v>42.088171</v>
      </c>
      <c r="H75" s="5" t="n">
        <v>6.969055176</v>
      </c>
      <c r="I75" s="5" t="n">
        <v>72.775794</v>
      </c>
      <c r="J75" s="5" t="n">
        <v>132.319</v>
      </c>
      <c r="K75" s="5" t="n">
        <v>32.502</v>
      </c>
      <c r="L75" s="5" t="n">
        <v>35.057</v>
      </c>
      <c r="M75" s="5" t="n">
        <v>3.023280096293128</v>
      </c>
    </row>
    <row r="76">
      <c r="A76" s="2" t="inlineStr">
        <is>
          <t>Chimera4_1000nit.mp4|Chimera4_1000nit_LTM_r1.mp4|PQ|LTM</t>
        </is>
      </c>
      <c r="B76" s="2" t="inlineStr">
        <is>
          <t>Chimera4_1000nit.mp4</t>
        </is>
      </c>
      <c r="C76" s="2" t="inlineStr">
        <is>
          <t>Chimera4_1000nit_LTM_r1.mp4</t>
        </is>
      </c>
      <c r="D76" s="2" t="inlineStr">
        <is>
          <t>PQ</t>
        </is>
      </c>
      <c r="E76" s="2" t="inlineStr">
        <is>
          <t>LTM</t>
        </is>
      </c>
      <c r="F76" s="5" t="n">
        <v>4.631937183068726</v>
      </c>
      <c r="G76" s="5" t="n">
        <v>46.151735</v>
      </c>
      <c r="H76" s="5" t="n">
        <v>9.597673415999999</v>
      </c>
      <c r="I76" s="5" t="n">
        <v>94.488158</v>
      </c>
      <c r="J76" s="5" t="n">
        <v>144.526</v>
      </c>
      <c r="K76" s="5" t="n">
        <v>34.258</v>
      </c>
      <c r="L76" s="5" t="n">
        <v>37.865</v>
      </c>
      <c r="M76" s="5" t="n">
        <v>4.521958285472451</v>
      </c>
    </row>
    <row r="77">
      <c r="A77" s="2" t="inlineStr">
        <is>
          <t>Chimera4_1000nit.mp4|Chimera4_1000nit_LTM_r2.mp4|PQ|LTM</t>
        </is>
      </c>
      <c r="B77" s="2" t="inlineStr">
        <is>
          <t>Chimera4_1000nit.mp4</t>
        </is>
      </c>
      <c r="C77" s="2" t="inlineStr">
        <is>
          <t>Chimera4_1000nit_LTM_r2.mp4</t>
        </is>
      </c>
      <c r="D77" s="2" t="inlineStr">
        <is>
          <t>PQ</t>
        </is>
      </c>
      <c r="E77" s="2" t="inlineStr">
        <is>
          <t>LTM</t>
        </is>
      </c>
      <c r="F77" s="5" t="n">
        <v>3.825283016337219</v>
      </c>
      <c r="G77" s="5" t="n">
        <v>43.101021</v>
      </c>
      <c r="H77" s="5" t="n">
        <v>8.034038544</v>
      </c>
      <c r="I77" s="5" t="n">
        <v>81.453351</v>
      </c>
      <c r="J77" s="5" t="n">
        <v>135.38</v>
      </c>
      <c r="K77" s="5" t="n">
        <v>32.936</v>
      </c>
      <c r="L77" s="5" t="n">
        <v>35.868</v>
      </c>
      <c r="M77" s="5" t="n">
        <v>3.692637973205225</v>
      </c>
    </row>
    <row r="78">
      <c r="A78" s="2" t="inlineStr">
        <is>
          <t>Chimera4_1000nit.mp4|Chimera4_1000nit_LTM_r3.mp4|PQ|LTM</t>
        </is>
      </c>
      <c r="B78" s="2" t="inlineStr">
        <is>
          <t>Chimera4_1000nit.mp4</t>
        </is>
      </c>
      <c r="C78" s="2" t="inlineStr">
        <is>
          <t>Chimera4_1000nit_LTM_r3.mp4</t>
        </is>
      </c>
      <c r="D78" s="2" t="inlineStr">
        <is>
          <t>PQ</t>
        </is>
      </c>
      <c r="E78" s="2" t="inlineStr">
        <is>
          <t>LTM</t>
        </is>
      </c>
      <c r="F78" s="5" t="n">
        <v>2.262993855821296</v>
      </c>
      <c r="G78" s="5" t="n">
        <v>41.657648</v>
      </c>
      <c r="H78" s="5" t="n">
        <v>6.391148567</v>
      </c>
      <c r="I78" s="5" t="n">
        <v>67.746402</v>
      </c>
      <c r="J78" s="5" t="n">
        <v>131.021</v>
      </c>
      <c r="K78" s="5" t="n">
        <v>32.332</v>
      </c>
      <c r="L78" s="5" t="n">
        <v>34.662</v>
      </c>
      <c r="M78" s="5" t="n">
        <v>2.653191889226545</v>
      </c>
    </row>
    <row r="79">
      <c r="A79" s="2" t="inlineStr">
        <is>
          <t>Chimera4_1000nit.mp4|Chimera4_1000nit_LTM_r4.mp4|PQ|LTM</t>
        </is>
      </c>
      <c r="B79" s="2" t="inlineStr">
        <is>
          <t>Chimera4_1000nit.mp4</t>
        </is>
      </c>
      <c r="C79" s="2" t="inlineStr">
        <is>
          <t>Chimera4_1000nit_LTM_r4.mp4</t>
        </is>
      </c>
      <c r="D79" s="2" t="inlineStr">
        <is>
          <t>PQ</t>
        </is>
      </c>
      <c r="E79" s="2" t="inlineStr">
        <is>
          <t>LTM</t>
        </is>
      </c>
      <c r="F79" s="5" t="n">
        <v>1.381953028611268</v>
      </c>
      <c r="G79" s="5" t="n">
        <v>40.792824</v>
      </c>
      <c r="H79" s="5" t="n">
        <v>5.484435081</v>
      </c>
      <c r="I79" s="5" t="n">
        <v>59.63719</v>
      </c>
      <c r="J79" s="5" t="n">
        <v>128.365</v>
      </c>
      <c r="K79" s="5" t="n">
        <v>31.935</v>
      </c>
      <c r="L79" s="5" t="n">
        <v>34.069</v>
      </c>
      <c r="M79" s="5" t="n">
        <v>2.126876010754414</v>
      </c>
    </row>
    <row r="80">
      <c r="A80" s="2" t="inlineStr">
        <is>
          <t>Chimera4_1000nit.mp4|Chimera4_1000nit_NNVC_QP35.mp4|PQ|NNVC</t>
        </is>
      </c>
      <c r="B80" s="2" t="inlineStr">
        <is>
          <t>Chimera4_1000nit.mp4</t>
        </is>
      </c>
      <c r="C80" s="2" t="inlineStr">
        <is>
          <t>Chimera4_1000nit_NNVC_QP35.mp4</t>
        </is>
      </c>
      <c r="D80" s="2" t="inlineStr">
        <is>
          <t>PQ</t>
        </is>
      </c>
      <c r="E80" s="2" t="inlineStr">
        <is>
          <t>NNVC</t>
        </is>
      </c>
      <c r="F80" s="5" t="n">
        <v>3.722053623367162</v>
      </c>
      <c r="G80" s="5" t="n">
        <v>43.45318</v>
      </c>
      <c r="H80" s="5" t="n">
        <v>8.373492240999999</v>
      </c>
      <c r="I80" s="5" t="n">
        <v>83.78681</v>
      </c>
      <c r="J80" s="5" t="n">
        <v>136.201</v>
      </c>
      <c r="K80" s="5" t="n">
        <v>32.957</v>
      </c>
      <c r="L80" s="5" t="n">
        <v>36.269</v>
      </c>
      <c r="M80" s="5" t="n">
        <v>3.899295893343985</v>
      </c>
    </row>
    <row r="81">
      <c r="A81" s="2" t="inlineStr">
        <is>
          <t>Chimera4_1000nit.mp4|Chimera4_1000nit_NNVC_QP37.mp4|PQ|NNVC</t>
        </is>
      </c>
      <c r="B81" s="2" t="inlineStr">
        <is>
          <t>Chimera4_1000nit.mp4</t>
        </is>
      </c>
      <c r="C81" s="2" t="inlineStr">
        <is>
          <t>Chimera4_1000nit_NNVC_QP37.mp4</t>
        </is>
      </c>
      <c r="D81" s="2" t="inlineStr">
        <is>
          <t>PQ</t>
        </is>
      </c>
      <c r="E81" s="2" t="inlineStr">
        <is>
          <t>NNVC</t>
        </is>
      </c>
      <c r="F81" s="5" t="n">
        <v>3.466312459075287</v>
      </c>
      <c r="G81" s="5" t="n">
        <v>42.61754</v>
      </c>
      <c r="H81" s="5" t="n">
        <v>7.926808834</v>
      </c>
      <c r="I81" s="5" t="n">
        <v>80.271862</v>
      </c>
      <c r="J81" s="5" t="n">
        <v>133.62</v>
      </c>
      <c r="K81" s="5" t="n">
        <v>32.537</v>
      </c>
      <c r="L81" s="5" t="n">
        <v>35.846</v>
      </c>
      <c r="M81" s="5" t="n">
        <v>3.590293566194775</v>
      </c>
    </row>
    <row r="82">
      <c r="A82" s="2" t="inlineStr">
        <is>
          <t>Chimera4_1000nit.mp4|Chimera4_1000nit_NNVC_r1.mp4|PQ|NNVC</t>
        </is>
      </c>
      <c r="B82" s="2" t="inlineStr">
        <is>
          <t>Chimera4_1000nit.mp4</t>
        </is>
      </c>
      <c r="C82" s="2" t="inlineStr">
        <is>
          <t>Chimera4_1000nit_NNVC_r1.mp4</t>
        </is>
      </c>
      <c r="D82" s="2" t="inlineStr">
        <is>
          <t>PQ</t>
        </is>
      </c>
      <c r="E82" s="2" t="inlineStr">
        <is>
          <t>NNVC</t>
        </is>
      </c>
      <c r="F82" s="5" t="n">
        <v>4.764718528742923</v>
      </c>
      <c r="G82" s="5" t="n">
        <v>48.716348</v>
      </c>
      <c r="H82" s="5" t="n">
        <v>9.845767021</v>
      </c>
      <c r="I82" s="5" t="n">
        <v>97.159369</v>
      </c>
      <c r="J82" s="5" t="n">
        <v>152.166</v>
      </c>
      <c r="K82" s="5" t="n">
        <v>35.361</v>
      </c>
      <c r="L82" s="5" t="n">
        <v>39.23</v>
      </c>
      <c r="M82" s="5" t="n">
        <v>4.6601504749823</v>
      </c>
    </row>
    <row r="83">
      <c r="A83" s="2" t="inlineStr">
        <is>
          <t>Chimera4_1000nit.mp4|Chimera4_1000nit_NNVC_r2.mp4|PQ|NNVC</t>
        </is>
      </c>
      <c r="B83" s="2" t="inlineStr">
        <is>
          <t>Chimera4_1000nit.mp4</t>
        </is>
      </c>
      <c r="C83" s="2" t="inlineStr">
        <is>
          <t>Chimera4_1000nit_NNVC_r2.mp4</t>
        </is>
      </c>
      <c r="D83" s="2" t="inlineStr">
        <is>
          <t>PQ</t>
        </is>
      </c>
      <c r="E83" s="2" t="inlineStr">
        <is>
          <t>NNVC</t>
        </is>
      </c>
      <c r="F83" s="5" t="n">
        <v>4.419453058044966</v>
      </c>
      <c r="G83" s="5" t="n">
        <v>46.064147</v>
      </c>
      <c r="H83" s="5" t="n">
        <v>9.452536583000001</v>
      </c>
      <c r="I83" s="5" t="n">
        <v>92.26056</v>
      </c>
      <c r="J83" s="5" t="n">
        <v>144.234</v>
      </c>
      <c r="K83" s="5" t="n">
        <v>34.165</v>
      </c>
      <c r="L83" s="5" t="n">
        <v>37.794</v>
      </c>
      <c r="M83" s="5" t="n">
        <v>4.466628986828408</v>
      </c>
    </row>
    <row r="84">
      <c r="A84" s="2" t="inlineStr">
        <is>
          <t>Chimera4_1000nit.mp4|Chimera4_1000nit_NNVC_r3.mp4|PQ|NNVC</t>
        </is>
      </c>
      <c r="B84" s="2" t="inlineStr">
        <is>
          <t>Chimera4_1000nit.mp4</t>
        </is>
      </c>
      <c r="C84" s="2" t="inlineStr">
        <is>
          <t>Chimera4_1000nit_NNVC_r3.mp4</t>
        </is>
      </c>
      <c r="D84" s="2" t="inlineStr">
        <is>
          <t>PQ</t>
        </is>
      </c>
      <c r="E84" s="2" t="inlineStr">
        <is>
          <t>NNVC</t>
        </is>
      </c>
      <c r="F84" s="5" t="n">
        <v>4.385034821768662</v>
      </c>
      <c r="G84" s="5" t="n">
        <v>44.466782</v>
      </c>
      <c r="H84" s="5" t="n">
        <v>8.900782585</v>
      </c>
      <c r="I84" s="5" t="n">
        <v>87.828328</v>
      </c>
      <c r="J84" s="5" t="n">
        <v>139.331</v>
      </c>
      <c r="K84" s="5" t="n">
        <v>33.427</v>
      </c>
      <c r="L84" s="5" t="n">
        <v>36.878</v>
      </c>
      <c r="M84" s="5" t="n">
        <v>4.195182014380943</v>
      </c>
    </row>
    <row r="85">
      <c r="A85" s="2" t="inlineStr">
        <is>
          <t>Chimera4_1000nit.mp4|Chimera4_1000nit_NNVC_r4.mp4|PQ|NNVC</t>
        </is>
      </c>
      <c r="B85" s="2" t="inlineStr">
        <is>
          <t>Chimera4_1000nit.mp4</t>
        </is>
      </c>
      <c r="C85" s="2" t="inlineStr">
        <is>
          <t>Chimera4_1000nit_NNVC_r4.mp4</t>
        </is>
      </c>
      <c r="D85" s="2" t="inlineStr">
        <is>
          <t>PQ</t>
        </is>
      </c>
      <c r="E85" s="2" t="inlineStr">
        <is>
          <t>NNVC</t>
        </is>
      </c>
      <c r="F85" s="5" t="n">
        <v>2.515301525715379</v>
      </c>
      <c r="G85" s="5" t="n">
        <v>41.214567</v>
      </c>
      <c r="H85" s="5" t="n">
        <v>6.555030823</v>
      </c>
      <c r="I85" s="5" t="n">
        <v>68.866147</v>
      </c>
      <c r="J85" s="5" t="n">
        <v>129.293</v>
      </c>
      <c r="K85" s="5" t="n">
        <v>31.925</v>
      </c>
      <c r="L85" s="5" t="n">
        <v>34.791</v>
      </c>
      <c r="M85" s="5" t="n">
        <v>2.697552859074106</v>
      </c>
    </row>
    <row r="86">
      <c r="A86" s="2" t="inlineStr">
        <is>
          <t>Chimera4_1000nit.mp4|Chimera4_1000nit_VTM_QP32.mp4|PQ|VTM</t>
        </is>
      </c>
      <c r="B86" s="2" t="inlineStr">
        <is>
          <t>Chimera4_1000nit.mp4</t>
        </is>
      </c>
      <c r="C86" s="2" t="inlineStr">
        <is>
          <t>Chimera4_1000nit_VTM_QP32.mp4</t>
        </is>
      </c>
      <c r="D86" s="2" t="inlineStr">
        <is>
          <t>PQ</t>
        </is>
      </c>
      <c r="E86" s="2" t="inlineStr">
        <is>
          <t>VTM</t>
        </is>
      </c>
      <c r="F86" s="5" t="n">
        <v>3.951347718461742</v>
      </c>
      <c r="G86" s="5" t="n">
        <v>44.350204</v>
      </c>
      <c r="H86" s="5" t="n">
        <v>8.644785881000001</v>
      </c>
      <c r="I86" s="5" t="n">
        <v>85.010312</v>
      </c>
      <c r="J86" s="5" t="n">
        <v>139.253</v>
      </c>
      <c r="K86" s="5" t="n">
        <v>33.55</v>
      </c>
      <c r="L86" s="5" t="n">
        <v>36.482</v>
      </c>
      <c r="M86" s="5" t="n">
        <v>4.057861476634281</v>
      </c>
    </row>
    <row r="87">
      <c r="A87" s="2" t="inlineStr">
        <is>
          <t>Chimera4_1000nit.mp4|Chimera4_1000nit_VTM_QP40.mp4|PQ|VTM</t>
        </is>
      </c>
      <c r="B87" s="2" t="inlineStr">
        <is>
          <t>Chimera4_1000nit.mp4</t>
        </is>
      </c>
      <c r="C87" s="2" t="inlineStr">
        <is>
          <t>Chimera4_1000nit_VTM_QP40.mp4</t>
        </is>
      </c>
      <c r="D87" s="2" t="inlineStr">
        <is>
          <t>PQ</t>
        </is>
      </c>
      <c r="E87" s="2" t="inlineStr">
        <is>
          <t>VTM</t>
        </is>
      </c>
      <c r="F87" s="5" t="n">
        <v>2.34964886416006</v>
      </c>
      <c r="G87" s="5" t="n">
        <v>42.255915</v>
      </c>
      <c r="H87" s="5" t="n">
        <v>6.573707581</v>
      </c>
      <c r="I87" s="5" t="n">
        <v>68.008836</v>
      </c>
      <c r="J87" s="5" t="n">
        <v>132.879</v>
      </c>
      <c r="K87" s="5" t="n">
        <v>32.639</v>
      </c>
      <c r="L87" s="5" t="n">
        <v>34.79</v>
      </c>
      <c r="M87" s="5" t="n">
        <v>2.762545220117173</v>
      </c>
    </row>
    <row r="88">
      <c r="A88" s="2" t="inlineStr">
        <is>
          <t>Chimera4_1000nit.mp4|Chimera4_1000nit_VTM_r1.mp4|PQ|VTM</t>
        </is>
      </c>
      <c r="B88" s="2" t="inlineStr">
        <is>
          <t>Chimera4_1000nit.mp4</t>
        </is>
      </c>
      <c r="C88" s="2" t="inlineStr">
        <is>
          <t>Chimera4_1000nit_VTM_r1.mp4</t>
        </is>
      </c>
      <c r="D88" s="2" t="inlineStr">
        <is>
          <t>PQ</t>
        </is>
      </c>
      <c r="E88" s="2" t="inlineStr">
        <is>
          <t>VTM</t>
        </is>
      </c>
      <c r="F88" s="5" t="n">
        <v>4.252418748458596</v>
      </c>
      <c r="G88" s="5" t="n">
        <v>45.586543</v>
      </c>
      <c r="H88" s="5" t="n">
        <v>9.330643653999999</v>
      </c>
      <c r="I88" s="5" t="n">
        <v>90.671314</v>
      </c>
      <c r="J88" s="5" t="n">
        <v>142.984</v>
      </c>
      <c r="K88" s="5" t="n">
        <v>34.045</v>
      </c>
      <c r="L88" s="5" t="n">
        <v>37.448</v>
      </c>
      <c r="M88" s="5" t="n">
        <v>4.39017172351112</v>
      </c>
    </row>
    <row r="89">
      <c r="A89" s="2" t="inlineStr">
        <is>
          <t>Chimera4_1000nit.mp4|Chimera4_1000nit_VTM_r2.mp4|PQ|VTM</t>
        </is>
      </c>
      <c r="B89" s="2" t="inlineStr">
        <is>
          <t>Chimera4_1000nit.mp4</t>
        </is>
      </c>
      <c r="C89" s="2" t="inlineStr">
        <is>
          <t>Chimera4_1000nit_VTM_r2.mp4</t>
        </is>
      </c>
      <c r="D89" s="2" t="inlineStr">
        <is>
          <t>PQ</t>
        </is>
      </c>
      <c r="E89" s="2" t="inlineStr">
        <is>
          <t>VTM</t>
        </is>
      </c>
      <c r="F89" s="5" t="n">
        <v>3.126146282297081</v>
      </c>
      <c r="G89" s="5" t="n">
        <v>42.968722</v>
      </c>
      <c r="H89" s="5" t="n">
        <v>7.478316307</v>
      </c>
      <c r="I89" s="5" t="n">
        <v>75.559062</v>
      </c>
      <c r="J89" s="5" t="n">
        <v>135.058</v>
      </c>
      <c r="K89" s="5" t="n">
        <v>32.946</v>
      </c>
      <c r="L89" s="5" t="n">
        <v>35.426</v>
      </c>
      <c r="M89" s="5" t="n">
        <v>3.345915566097724</v>
      </c>
    </row>
    <row r="90">
      <c r="A90" s="2" t="inlineStr">
        <is>
          <t>Chimera4_1000nit.mp4|Chimera4_1000nit_VTM_r3.mp4|PQ|VTM</t>
        </is>
      </c>
      <c r="B90" s="2" t="inlineStr">
        <is>
          <t>Chimera4_1000nit.mp4</t>
        </is>
      </c>
      <c r="C90" s="2" t="inlineStr">
        <is>
          <t>Chimera4_1000nit_VTM_r3.mp4</t>
        </is>
      </c>
      <c r="D90" s="2" t="inlineStr">
        <is>
          <t>PQ</t>
        </is>
      </c>
      <c r="E90" s="2" t="inlineStr">
        <is>
          <t>VTM</t>
        </is>
      </c>
      <c r="F90" s="5" t="n">
        <v>1.927253319438523</v>
      </c>
      <c r="G90" s="5" t="n">
        <v>41.733089</v>
      </c>
      <c r="H90" s="5" t="n">
        <v>5.968474388</v>
      </c>
      <c r="I90" s="5" t="n">
        <v>62.584601</v>
      </c>
      <c r="J90" s="5" t="n">
        <v>131.276</v>
      </c>
      <c r="K90" s="5" t="n">
        <v>32.401</v>
      </c>
      <c r="L90" s="5" t="n">
        <v>34.38</v>
      </c>
      <c r="M90" s="5" t="n">
        <v>2.386832810173137</v>
      </c>
    </row>
    <row r="91">
      <c r="A91" s="2" t="inlineStr">
        <is>
          <t>Chimera4_1000nit.mp4|Chimera4_1000nit_VTM_r4.mp4|PQ|VTM</t>
        </is>
      </c>
      <c r="B91" s="2" t="inlineStr">
        <is>
          <t>Chimera4_1000nit.mp4</t>
        </is>
      </c>
      <c r="C91" s="2" t="inlineStr">
        <is>
          <t>Chimera4_1000nit_VTM_r4.mp4</t>
        </is>
      </c>
      <c r="D91" s="2" t="inlineStr">
        <is>
          <t>PQ</t>
        </is>
      </c>
      <c r="E91" s="2" t="inlineStr">
        <is>
          <t>VTM</t>
        </is>
      </c>
      <c r="F91" s="5" t="n">
        <v>1.082914600204691</v>
      </c>
      <c r="G91" s="5" t="n">
        <v>40.429635</v>
      </c>
      <c r="H91" s="5" t="n">
        <v>4.474041939</v>
      </c>
      <c r="I91" s="5" t="n">
        <v>49.066184</v>
      </c>
      <c r="J91" s="5" t="n">
        <v>127.234</v>
      </c>
      <c r="K91" s="5" t="n">
        <v>31.753</v>
      </c>
      <c r="L91" s="5" t="n">
        <v>33.384</v>
      </c>
      <c r="M91" s="5" t="n">
        <v>1.711913966294397</v>
      </c>
    </row>
    <row r="92">
      <c r="A92" s="2" t="inlineStr">
        <is>
          <t>Coffee1.mp4|Coffee1_AlphaVC-P_QP0.mp4|HLG|AlphaVC-P</t>
        </is>
      </c>
      <c r="B92" s="2" t="inlineStr">
        <is>
          <t>Coffee1.mp4</t>
        </is>
      </c>
      <c r="C92" s="2" t="inlineStr">
        <is>
          <t>Coffee1_AlphaVC-P_QP0.mp4</t>
        </is>
      </c>
      <c r="D92" s="2" t="inlineStr">
        <is>
          <t>HLG</t>
        </is>
      </c>
      <c r="E92" s="2" t="inlineStr">
        <is>
          <t>AlphaVC-P</t>
        </is>
      </c>
      <c r="F92" s="5" t="n">
        <v>4.497427061416098</v>
      </c>
      <c r="G92" s="5" t="n">
        <v>45.44309</v>
      </c>
      <c r="H92" s="5" t="n">
        <v>8.987348557000001</v>
      </c>
      <c r="I92" s="5" t="n">
        <v>89.209461</v>
      </c>
      <c r="J92" s="5" t="n">
        <v>131.878</v>
      </c>
      <c r="K92" s="5" t="n">
        <v>24.531</v>
      </c>
      <c r="L92" s="5" t="n">
        <v>26.24</v>
      </c>
      <c r="M92" s="5" t="n">
        <v>4.510609649978468</v>
      </c>
    </row>
    <row r="93">
      <c r="A93" s="2" t="inlineStr">
        <is>
          <t>Coffee1.mp4|Coffee1_AlphaVC-P_QP1.mp4|HLG|AlphaVC-P</t>
        </is>
      </c>
      <c r="B93" s="2" t="inlineStr">
        <is>
          <t>Coffee1.mp4</t>
        </is>
      </c>
      <c r="C93" s="2" t="inlineStr">
        <is>
          <t>Coffee1_AlphaVC-P_QP1.mp4</t>
        </is>
      </c>
      <c r="D93" s="2" t="inlineStr">
        <is>
          <t>HLG</t>
        </is>
      </c>
      <c r="E93" s="2" t="inlineStr">
        <is>
          <t>AlphaVC-P</t>
        </is>
      </c>
      <c r="F93" s="5" t="n">
        <v>4.306566699557069</v>
      </c>
      <c r="G93" s="5" t="n">
        <v>44.731742</v>
      </c>
      <c r="H93" s="5" t="n">
        <v>8.730607033</v>
      </c>
      <c r="I93" s="5" t="n">
        <v>85.65965199999999</v>
      </c>
      <c r="J93" s="5" t="n">
        <v>129.713</v>
      </c>
      <c r="K93" s="5" t="n">
        <v>24.268</v>
      </c>
      <c r="L93" s="5" t="n">
        <v>25.814</v>
      </c>
      <c r="M93" s="5" t="n">
        <v>4.375345965554838</v>
      </c>
    </row>
    <row r="94">
      <c r="A94" s="2" t="inlineStr">
        <is>
          <t>Coffee1.mp4|Coffee1_AlphaVC-P_QP2.mp4|HLG|AlphaVC-P</t>
        </is>
      </c>
      <c r="B94" s="2" t="inlineStr">
        <is>
          <t>Coffee1.mp4</t>
        </is>
      </c>
      <c r="C94" s="2" t="inlineStr">
        <is>
          <t>Coffee1_AlphaVC-P_QP2.mp4</t>
        </is>
      </c>
      <c r="D94" s="2" t="inlineStr">
        <is>
          <t>HLG</t>
        </is>
      </c>
      <c r="E94" s="2" t="inlineStr">
        <is>
          <t>AlphaVC-P</t>
        </is>
      </c>
      <c r="F94" s="5" t="n">
        <v>4.115810017604665</v>
      </c>
      <c r="G94" s="5" t="n">
        <v>44.146986</v>
      </c>
      <c r="H94" s="5" t="n">
        <v>8.484540939</v>
      </c>
      <c r="I94" s="5" t="n">
        <v>82.38720499999999</v>
      </c>
      <c r="J94" s="5" t="n">
        <v>127.953</v>
      </c>
      <c r="K94" s="5" t="n">
        <v>24.067</v>
      </c>
      <c r="L94" s="5" t="n">
        <v>25.46</v>
      </c>
      <c r="M94" s="5" t="n">
        <v>4.218754806935368</v>
      </c>
    </row>
    <row r="95">
      <c r="A95" s="2" t="inlineStr">
        <is>
          <t>Coffee1.mp4|Coffee1_AlphaVC-P_QP3.mp4|HLG|AlphaVC-P</t>
        </is>
      </c>
      <c r="B95" s="2" t="inlineStr">
        <is>
          <t>Coffee1.mp4</t>
        </is>
      </c>
      <c r="C95" s="2" t="inlineStr">
        <is>
          <t>Coffee1_AlphaVC-P_QP3.mp4</t>
        </is>
      </c>
      <c r="D95" s="2" t="inlineStr">
        <is>
          <t>HLG</t>
        </is>
      </c>
      <c r="E95" s="2" t="inlineStr">
        <is>
          <t>AlphaVC-P</t>
        </is>
      </c>
      <c r="F95" s="5" t="n">
        <v>3.701085975247374</v>
      </c>
      <c r="G95" s="5" t="n">
        <v>42.924228</v>
      </c>
      <c r="H95" s="5" t="n">
        <v>8.039317131000001</v>
      </c>
      <c r="I95" s="5" t="n">
        <v>75.172561</v>
      </c>
      <c r="J95" s="5" t="n">
        <v>123.9</v>
      </c>
      <c r="K95" s="5" t="n">
        <v>23.628</v>
      </c>
      <c r="L95" s="5" t="n">
        <v>24.763</v>
      </c>
      <c r="M95" s="5" t="n">
        <v>3.791014354119678</v>
      </c>
    </row>
    <row r="96">
      <c r="A96" s="2" t="inlineStr">
        <is>
          <t>Coffee1.mp4|Coffee1_AlphaVC-P_QP4.mp4|HLG|AlphaVC-P</t>
        </is>
      </c>
      <c r="B96" s="2" t="inlineStr">
        <is>
          <t>Coffee1.mp4</t>
        </is>
      </c>
      <c r="C96" s="2" t="inlineStr">
        <is>
          <t>Coffee1_AlphaVC-P_QP4.mp4</t>
        </is>
      </c>
      <c r="D96" s="2" t="inlineStr">
        <is>
          <t>HLG</t>
        </is>
      </c>
      <c r="E96" s="2" t="inlineStr">
        <is>
          <t>AlphaVC-P</t>
        </is>
      </c>
      <c r="F96" s="5" t="n">
        <v>3.417025976440018</v>
      </c>
      <c r="G96" s="5" t="n">
        <v>41.653774</v>
      </c>
      <c r="H96" s="5" t="n">
        <v>7.40739727</v>
      </c>
      <c r="I96" s="5" t="n">
        <v>67.696714</v>
      </c>
      <c r="J96" s="5" t="n">
        <v>119.895</v>
      </c>
      <c r="K96" s="5" t="n">
        <v>23.153</v>
      </c>
      <c r="L96" s="5" t="n">
        <v>24.009</v>
      </c>
      <c r="M96" s="5" t="n">
        <v>3.241081919346866</v>
      </c>
    </row>
    <row r="97">
      <c r="A97" s="2" t="inlineStr">
        <is>
          <t>Coffee1.mp4|Coffee1_AVS3_QP32.mp4|HLG|AVS</t>
        </is>
      </c>
      <c r="B97" s="2" t="inlineStr">
        <is>
          <t>Coffee1.mp4</t>
        </is>
      </c>
      <c r="C97" s="2" t="inlineStr">
        <is>
          <t>Coffee1_AVS3_QP32.mp4</t>
        </is>
      </c>
      <c r="D97" s="2" t="inlineStr">
        <is>
          <t>HLG</t>
        </is>
      </c>
      <c r="E97" s="2" t="inlineStr">
        <is>
          <t>AVS</t>
        </is>
      </c>
      <c r="F97" s="5" t="n">
        <v>4.508886559688316</v>
      </c>
      <c r="G97" s="5" t="n">
        <v>47.656013</v>
      </c>
      <c r="H97" s="5" t="n">
        <v>9.304488182</v>
      </c>
      <c r="I97" s="5" t="n">
        <v>94.64180399999999</v>
      </c>
      <c r="J97" s="5" t="n">
        <v>139.004</v>
      </c>
      <c r="K97" s="5" t="n">
        <v>25.902</v>
      </c>
      <c r="L97" s="5" t="n">
        <v>27.436</v>
      </c>
      <c r="M97" s="5" t="n">
        <v>4.548081980494388</v>
      </c>
    </row>
    <row r="98">
      <c r="A98" s="2" t="inlineStr">
        <is>
          <t>Coffee1.mp4|Coffee1_AVS3_QP36.mp4|HLG|AVS</t>
        </is>
      </c>
      <c r="B98" s="2" t="inlineStr">
        <is>
          <t>Coffee1.mp4</t>
        </is>
      </c>
      <c r="C98" s="2" t="inlineStr">
        <is>
          <t>Coffee1_AVS3_QP36.mp4</t>
        </is>
      </c>
      <c r="D98" s="2" t="inlineStr">
        <is>
          <t>HLG</t>
        </is>
      </c>
      <c r="E98" s="2" t="inlineStr">
        <is>
          <t>AVS</t>
        </is>
      </c>
      <c r="F98" s="5" t="n">
        <v>4.30243868733788</v>
      </c>
      <c r="G98" s="5" t="n">
        <v>46.802546</v>
      </c>
      <c r="H98" s="5" t="n">
        <v>9.074221611</v>
      </c>
      <c r="I98" s="5" t="n">
        <v>92.52067700000001</v>
      </c>
      <c r="J98" s="5" t="n">
        <v>136.333</v>
      </c>
      <c r="K98" s="5" t="n">
        <v>25.549</v>
      </c>
      <c r="L98" s="5" t="n">
        <v>26.99</v>
      </c>
      <c r="M98" s="5" t="n">
        <v>4.41542479128244</v>
      </c>
    </row>
    <row r="99">
      <c r="A99" s="2" t="inlineStr">
        <is>
          <t>Coffee1.mp4|Coffee1_AVS3_QP40.mp4|HLG|AVS</t>
        </is>
      </c>
      <c r="B99" s="2" t="inlineStr">
        <is>
          <t>Coffee1.mp4</t>
        </is>
      </c>
      <c r="C99" s="2" t="inlineStr">
        <is>
          <t>Coffee1_AVS3_QP40.mp4</t>
        </is>
      </c>
      <c r="D99" s="2" t="inlineStr">
        <is>
          <t>HLG</t>
        </is>
      </c>
      <c r="E99" s="2" t="inlineStr">
        <is>
          <t>AVS</t>
        </is>
      </c>
      <c r="F99" s="5" t="n">
        <v>3.926396387377824</v>
      </c>
      <c r="G99" s="5" t="n">
        <v>45.883301</v>
      </c>
      <c r="H99" s="5" t="n">
        <v>8.785957335999999</v>
      </c>
      <c r="I99" s="5" t="n">
        <v>89.973341</v>
      </c>
      <c r="J99" s="5" t="n">
        <v>133.389</v>
      </c>
      <c r="K99" s="5" t="n">
        <v>25.155</v>
      </c>
      <c r="L99" s="5" t="n">
        <v>26.521</v>
      </c>
      <c r="M99" s="5" t="n">
        <v>4.225576035398704</v>
      </c>
    </row>
    <row r="100">
      <c r="A100" s="2" t="inlineStr">
        <is>
          <t>Coffee1.mp4|Coffee1_AVS3_QP44.mp4|HLG|AVS</t>
        </is>
      </c>
      <c r="B100" s="2" t="inlineStr">
        <is>
          <t>Coffee1.mp4</t>
        </is>
      </c>
      <c r="C100" s="2" t="inlineStr">
        <is>
          <t>Coffee1_AVS3_QP44.mp4</t>
        </is>
      </c>
      <c r="D100" s="2" t="inlineStr">
        <is>
          <t>HLG</t>
        </is>
      </c>
      <c r="E100" s="2" t="inlineStr">
        <is>
          <t>AVS</t>
        </is>
      </c>
      <c r="F100" s="5" t="n">
        <v>2.713122774928226</v>
      </c>
      <c r="G100" s="5" t="n">
        <v>44.914708</v>
      </c>
      <c r="H100" s="5" t="n">
        <v>8.404985428</v>
      </c>
      <c r="I100" s="5" t="n">
        <v>86.409364</v>
      </c>
      <c r="J100" s="5" t="n">
        <v>130.27</v>
      </c>
      <c r="K100" s="5" t="n">
        <v>24.731</v>
      </c>
      <c r="L100" s="5" t="n">
        <v>25.949</v>
      </c>
      <c r="M100" s="5" t="n">
        <v>3.93170954701931</v>
      </c>
    </row>
    <row r="101">
      <c r="A101" s="2" t="inlineStr">
        <is>
          <t>Coffee1.mp4|Coffee1_AVS3_QP48.mp4|HLG|AVS</t>
        </is>
      </c>
      <c r="B101" s="2" t="inlineStr">
        <is>
          <t>Coffee1.mp4</t>
        </is>
      </c>
      <c r="C101" s="2" t="inlineStr">
        <is>
          <t>Coffee1_AVS3_QP48.mp4</t>
        </is>
      </c>
      <c r="D101" s="2" t="inlineStr">
        <is>
          <t>HLG</t>
        </is>
      </c>
      <c r="E101" s="2" t="inlineStr">
        <is>
          <t>AVS</t>
        </is>
      </c>
      <c r="F101" s="5" t="n">
        <v>2.312398893846308</v>
      </c>
      <c r="G101" s="5" t="n">
        <v>43.982661</v>
      </c>
      <c r="H101" s="5" t="n">
        <v>7.979611397</v>
      </c>
      <c r="I101" s="5" t="n">
        <v>82.19865</v>
      </c>
      <c r="J101" s="5" t="n">
        <v>127.277</v>
      </c>
      <c r="K101" s="5" t="n">
        <v>24.299</v>
      </c>
      <c r="L101" s="5" t="n">
        <v>25.347</v>
      </c>
      <c r="M101" s="5" t="n">
        <v>3.558357159281469</v>
      </c>
    </row>
    <row r="102">
      <c r="A102" s="2" t="inlineStr">
        <is>
          <t>Coffee1.mp4|Coffee1_DCVC-RT_QP0.mp4|HLG|DCVC-RT</t>
        </is>
      </c>
      <c r="B102" s="2" t="inlineStr">
        <is>
          <t>Coffee1.mp4</t>
        </is>
      </c>
      <c r="C102" s="2" t="inlineStr">
        <is>
          <t>Coffee1_DCVC-RT_QP0.mp4</t>
        </is>
      </c>
      <c r="D102" s="2" t="inlineStr">
        <is>
          <t>HLG</t>
        </is>
      </c>
      <c r="E102" s="2" t="inlineStr">
        <is>
          <t>DCVC-RT</t>
        </is>
      </c>
      <c r="F102" s="5" t="n">
        <v>1.349049276534187</v>
      </c>
      <c r="G102" s="5" t="n">
        <v>41.142149</v>
      </c>
      <c r="H102" s="5" t="n">
        <v>5.888772964</v>
      </c>
      <c r="I102" s="5" t="n">
        <v>62.166574</v>
      </c>
      <c r="J102" s="5" t="n">
        <v>118.138</v>
      </c>
      <c r="K102" s="5" t="n">
        <v>22.762</v>
      </c>
      <c r="L102" s="5" t="n">
        <v>23.047</v>
      </c>
      <c r="M102" s="5" t="n">
        <v>2.117409844308309</v>
      </c>
    </row>
    <row r="103">
      <c r="A103" s="2" t="inlineStr">
        <is>
          <t>Coffee1.mp4|Coffee1_DCVC-RT_QP21.mp4|HLG|DCVC-RT</t>
        </is>
      </c>
      <c r="B103" s="2" t="inlineStr">
        <is>
          <t>Coffee1.mp4</t>
        </is>
      </c>
      <c r="C103" s="2" t="inlineStr">
        <is>
          <t>Coffee1_DCVC-RT_QP21.mp4</t>
        </is>
      </c>
      <c r="D103" s="2" t="inlineStr">
        <is>
          <t>HLG</t>
        </is>
      </c>
      <c r="E103" s="2" t="inlineStr">
        <is>
          <t>DCVC-RT</t>
        </is>
      </c>
      <c r="F103" s="5" t="n">
        <v>2.723858328219905</v>
      </c>
      <c r="G103" s="5" t="n">
        <v>45.332871</v>
      </c>
      <c r="H103" s="5" t="n">
        <v>7.812455654</v>
      </c>
      <c r="I103" s="5" t="n">
        <v>81.67497299999999</v>
      </c>
      <c r="J103" s="5" t="n">
        <v>131.525</v>
      </c>
      <c r="K103" s="5" t="n">
        <v>24.837</v>
      </c>
      <c r="L103" s="5" t="n">
        <v>25.29</v>
      </c>
      <c r="M103" s="5" t="n">
        <v>3.472660732394778</v>
      </c>
    </row>
    <row r="104">
      <c r="A104" s="2" t="inlineStr">
        <is>
          <t>Coffee1.mp4|Coffee1_DCVC-RT_QP27.mp4|HLG|DCVC-RT</t>
        </is>
      </c>
      <c r="B104" s="2" t="inlineStr">
        <is>
          <t>Coffee1.mp4</t>
        </is>
      </c>
      <c r="C104" s="2" t="inlineStr">
        <is>
          <t>Coffee1_DCVC-RT_QP27.mp4</t>
        </is>
      </c>
      <c r="D104" s="2" t="inlineStr">
        <is>
          <t>HLG</t>
        </is>
      </c>
      <c r="E104" s="2" t="inlineStr">
        <is>
          <t>DCVC-RT</t>
        </is>
      </c>
      <c r="F104" s="5" t="n">
        <v>3.400864121289553</v>
      </c>
      <c r="G104" s="5" t="n">
        <v>46.479464</v>
      </c>
      <c r="H104" s="5" t="n">
        <v>8.380586623999999</v>
      </c>
      <c r="I104" s="5" t="n">
        <v>86.667509</v>
      </c>
      <c r="J104" s="5" t="n">
        <v>135.156</v>
      </c>
      <c r="K104" s="5" t="n">
        <v>25.327</v>
      </c>
      <c r="L104" s="5" t="n">
        <v>25.976</v>
      </c>
      <c r="M104" s="5" t="n">
        <v>3.904712969886028</v>
      </c>
    </row>
    <row r="105">
      <c r="A105" s="2" t="inlineStr">
        <is>
          <t>Coffee1.mp4|Coffee1_DCVC-RT_QP42.mp4|HLG|DCVC-RT</t>
        </is>
      </c>
      <c r="B105" s="2" t="inlineStr">
        <is>
          <t>Coffee1.mp4</t>
        </is>
      </c>
      <c r="C105" s="2" t="inlineStr">
        <is>
          <t>Coffee1_DCVC-RT_QP42.mp4</t>
        </is>
      </c>
      <c r="D105" s="2" t="inlineStr">
        <is>
          <t>HLG</t>
        </is>
      </c>
      <c r="E105" s="2" t="inlineStr">
        <is>
          <t>DCVC-RT</t>
        </is>
      </c>
      <c r="F105" s="5" t="n">
        <v>4.268263593062615</v>
      </c>
      <c r="G105" s="5" t="n">
        <v>47.886701</v>
      </c>
      <c r="H105" s="5" t="n">
        <v>8.930486678999999</v>
      </c>
      <c r="I105" s="5" t="n">
        <v>92.120052</v>
      </c>
      <c r="J105" s="5" t="n">
        <v>139.625</v>
      </c>
      <c r="K105" s="5" t="n">
        <v>25.923</v>
      </c>
      <c r="L105" s="5" t="n">
        <v>26.821</v>
      </c>
      <c r="M105" s="5" t="n">
        <v>4.342329844684199</v>
      </c>
    </row>
    <row r="106">
      <c r="A106" s="2" t="inlineStr">
        <is>
          <t>Coffee1.mp4|Coffee1_EEM_QP0.mp4|HLG|EEM</t>
        </is>
      </c>
      <c r="B106" s="2" t="inlineStr">
        <is>
          <t>Coffee1.mp4</t>
        </is>
      </c>
      <c r="C106" s="2" t="inlineStr">
        <is>
          <t>Coffee1_EEM_QP0.mp4</t>
        </is>
      </c>
      <c r="D106" s="2" t="inlineStr">
        <is>
          <t>HLG</t>
        </is>
      </c>
      <c r="E106" s="2" t="inlineStr">
        <is>
          <t>EEM</t>
        </is>
      </c>
      <c r="F106" s="5" t="n">
        <v>4.323973281659807</v>
      </c>
      <c r="G106" s="5" t="n">
        <v>47.562972</v>
      </c>
      <c r="H106" s="5" t="n">
        <v>9.208658218</v>
      </c>
      <c r="I106" s="5" t="n">
        <v>94.868841</v>
      </c>
      <c r="J106" s="5" t="n">
        <v>138.436</v>
      </c>
      <c r="K106" s="5" t="n">
        <v>25.316</v>
      </c>
      <c r="L106" s="5" t="n">
        <v>27.126</v>
      </c>
      <c r="M106" s="5" t="n">
        <v>4.512679009449741</v>
      </c>
    </row>
    <row r="107">
      <c r="A107" s="2" t="inlineStr">
        <is>
          <t>Coffee1.mp4|Coffee1_EEM_QP1.mp4|HLG|EEM</t>
        </is>
      </c>
      <c r="B107" s="2" t="inlineStr">
        <is>
          <t>Coffee1.mp4</t>
        </is>
      </c>
      <c r="C107" s="2" t="inlineStr">
        <is>
          <t>Coffee1_EEM_QP1.mp4</t>
        </is>
      </c>
      <c r="D107" s="2" t="inlineStr">
        <is>
          <t>HLG</t>
        </is>
      </c>
      <c r="E107" s="2" t="inlineStr">
        <is>
          <t>EEM</t>
        </is>
      </c>
      <c r="F107" s="5" t="n">
        <v>4.006063933033229</v>
      </c>
      <c r="G107" s="5" t="n">
        <v>46.166729</v>
      </c>
      <c r="H107" s="5" t="n">
        <v>8.728793144000001</v>
      </c>
      <c r="I107" s="5" t="n">
        <v>90.230667</v>
      </c>
      <c r="J107" s="5" t="n">
        <v>134.131</v>
      </c>
      <c r="K107" s="5" t="n">
        <v>24.916</v>
      </c>
      <c r="L107" s="5" t="n">
        <v>26.316</v>
      </c>
      <c r="M107" s="5" t="n">
        <v>4.201399066115735</v>
      </c>
    </row>
    <row r="108">
      <c r="A108" s="2" t="inlineStr">
        <is>
          <t>Coffee1.mp4|Coffee1_EEM_QP2.mp4|HLG|EEM</t>
        </is>
      </c>
      <c r="B108" s="2" t="inlineStr">
        <is>
          <t>Coffee1.mp4</t>
        </is>
      </c>
      <c r="C108" s="2" t="inlineStr">
        <is>
          <t>Coffee1_EEM_QP2.mp4</t>
        </is>
      </c>
      <c r="D108" s="2" t="inlineStr">
        <is>
          <t>HLG</t>
        </is>
      </c>
      <c r="E108" s="2" t="inlineStr">
        <is>
          <t>EEM</t>
        </is>
      </c>
      <c r="F108" s="5" t="n">
        <v>3.936308839187244</v>
      </c>
      <c r="G108" s="5" t="n">
        <v>45.115548</v>
      </c>
      <c r="H108" s="5" t="n">
        <v>8.376434326</v>
      </c>
      <c r="I108" s="5" t="n">
        <v>87.071989</v>
      </c>
      <c r="J108" s="5" t="n">
        <v>130.847</v>
      </c>
      <c r="K108" s="5" t="n">
        <v>24.408</v>
      </c>
      <c r="L108" s="5" t="n">
        <v>25.822</v>
      </c>
      <c r="M108" s="5" t="n">
        <v>3.944246135002771</v>
      </c>
    </row>
    <row r="109">
      <c r="A109" s="2" t="inlineStr">
        <is>
          <t>Coffee1.mp4|Coffee1_EEM_QP3.mp4|HLG|EEM</t>
        </is>
      </c>
      <c r="B109" s="2" t="inlineStr">
        <is>
          <t>Coffee1.mp4</t>
        </is>
      </c>
      <c r="C109" s="2" t="inlineStr">
        <is>
          <t>Coffee1_EEM_QP3.mp4</t>
        </is>
      </c>
      <c r="D109" s="2" t="inlineStr">
        <is>
          <t>HLG</t>
        </is>
      </c>
      <c r="E109" s="2" t="inlineStr">
        <is>
          <t>EEM</t>
        </is>
      </c>
      <c r="F109" s="5" t="n">
        <v>2.381610127941227</v>
      </c>
      <c r="G109" s="5" t="n">
        <v>41.961038</v>
      </c>
      <c r="H109" s="5" t="n">
        <v>7.30731535</v>
      </c>
      <c r="I109" s="5" t="n">
        <v>77.25686399999999</v>
      </c>
      <c r="J109" s="5" t="n">
        <v>120.485</v>
      </c>
      <c r="K109" s="5" t="n">
        <v>22.306</v>
      </c>
      <c r="L109" s="5" t="n">
        <v>24.536</v>
      </c>
      <c r="M109" s="5" t="n">
        <v>3.091008147758735</v>
      </c>
    </row>
    <row r="110">
      <c r="A110" s="2" t="inlineStr">
        <is>
          <t>Coffee1.mp4|Coffee1_LTM_QP21_2910.mp4|HLG|LTM</t>
        </is>
      </c>
      <c r="B110" s="2" t="inlineStr">
        <is>
          <t>Coffee1.mp4</t>
        </is>
      </c>
      <c r="C110" s="2" t="inlineStr">
        <is>
          <t>Coffee1_LTM_QP21_2910.mp4</t>
        </is>
      </c>
      <c r="D110" s="2" t="inlineStr">
        <is>
          <t>HLG</t>
        </is>
      </c>
      <c r="E110" s="2" t="inlineStr">
        <is>
          <t>LTM</t>
        </is>
      </c>
      <c r="F110" s="5" t="n">
        <v>4.439209788010634</v>
      </c>
      <c r="G110" s="5" t="n">
        <v>47.658149</v>
      </c>
      <c r="H110" s="5" t="n">
        <v>9.340768814</v>
      </c>
      <c r="I110" s="5" t="n">
        <v>95.98255</v>
      </c>
      <c r="J110" s="5" t="n">
        <v>138.836</v>
      </c>
      <c r="K110" s="5" t="n">
        <v>26.022</v>
      </c>
      <c r="L110" s="5" t="n">
        <v>27.066</v>
      </c>
      <c r="M110" s="5" t="n">
        <v>4.526247107845858</v>
      </c>
    </row>
    <row r="111">
      <c r="A111" s="2" t="inlineStr">
        <is>
          <t>Coffee1.mp4|Coffee1_LTM_QP29_3451.mp4|HLG|LTM</t>
        </is>
      </c>
      <c r="B111" s="2" t="inlineStr">
        <is>
          <t>Coffee1.mp4</t>
        </is>
      </c>
      <c r="C111" s="2" t="inlineStr">
        <is>
          <t>Coffee1_LTM_QP29_3451.mp4</t>
        </is>
      </c>
      <c r="D111" s="2" t="inlineStr">
        <is>
          <t>HLG</t>
        </is>
      </c>
      <c r="E111" s="2" t="inlineStr">
        <is>
          <t>LTM</t>
        </is>
      </c>
      <c r="F111" s="5" t="n">
        <v>4.079385839542571</v>
      </c>
      <c r="G111" s="5" t="n">
        <v>45.281949</v>
      </c>
      <c r="H111" s="5" t="n">
        <v>8.693157196</v>
      </c>
      <c r="I111" s="5" t="n">
        <v>89.373636</v>
      </c>
      <c r="J111" s="5" t="n">
        <v>131.298</v>
      </c>
      <c r="K111" s="5" t="n">
        <v>24.965</v>
      </c>
      <c r="L111" s="5" t="n">
        <v>26.077</v>
      </c>
      <c r="M111" s="5" t="n">
        <v>4.080844633649253</v>
      </c>
    </row>
    <row r="112">
      <c r="A112" s="2" t="inlineStr">
        <is>
          <t>Coffee1.mp4|Coffee1_LTM_QP38_4059.mp4|HLG|LTM</t>
        </is>
      </c>
      <c r="B112" s="2" t="inlineStr">
        <is>
          <t>Coffee1.mp4</t>
        </is>
      </c>
      <c r="C112" s="2" t="inlineStr">
        <is>
          <t>Coffee1_LTM_QP38_4059.mp4</t>
        </is>
      </c>
      <c r="D112" s="2" t="inlineStr">
        <is>
          <t>HLG</t>
        </is>
      </c>
      <c r="E112" s="2" t="inlineStr">
        <is>
          <t>LTM</t>
        </is>
      </c>
      <c r="F112" s="5" t="n">
        <v>2.039444253546979</v>
      </c>
      <c r="G112" s="5" t="n">
        <v>42.598782</v>
      </c>
      <c r="H112" s="5" t="n">
        <v>7.421704292</v>
      </c>
      <c r="I112" s="5" t="n">
        <v>76.17149499999999</v>
      </c>
      <c r="J112" s="5" t="n">
        <v>122.783</v>
      </c>
      <c r="K112" s="5" t="n">
        <v>23.734</v>
      </c>
      <c r="L112" s="5" t="n">
        <v>24.511</v>
      </c>
      <c r="M112" s="5" t="n">
        <v>3.000615044660369</v>
      </c>
    </row>
    <row r="113">
      <c r="A113" s="2" t="inlineStr">
        <is>
          <t>Coffee1.mp4|Coffee1_NNVC_QP22.mp4|HLG|NNVC</t>
        </is>
      </c>
      <c r="B113" s="2" t="inlineStr">
        <is>
          <t>Coffee1.mp4</t>
        </is>
      </c>
      <c r="C113" s="2" t="inlineStr">
        <is>
          <t>Coffee1_NNVC_QP22.mp4</t>
        </is>
      </c>
      <c r="D113" s="2" t="inlineStr">
        <is>
          <t>HLG</t>
        </is>
      </c>
      <c r="E113" s="2" t="inlineStr">
        <is>
          <t>NNVC</t>
        </is>
      </c>
      <c r="F113" s="5" t="n">
        <v>4.724003488121256</v>
      </c>
      <c r="G113" s="5" t="n">
        <v>49.96239</v>
      </c>
      <c r="H113" s="5" t="n">
        <v>9.63146019</v>
      </c>
      <c r="I113" s="5" t="n">
        <v>98.872855</v>
      </c>
      <c r="J113" s="5" t="n">
        <v>146.072</v>
      </c>
      <c r="K113" s="5" t="n">
        <v>26.915</v>
      </c>
      <c r="L113" s="5" t="n">
        <v>28.644</v>
      </c>
      <c r="M113" s="5" t="n">
        <v>4.709711988309162</v>
      </c>
    </row>
    <row r="114">
      <c r="A114" s="2" t="inlineStr">
        <is>
          <t>Coffee1.mp4|Coffee1_NNVC_QP27.mp4|HLG|NNVC</t>
        </is>
      </c>
      <c r="B114" s="2" t="inlineStr">
        <is>
          <t>Coffee1.mp4</t>
        </is>
      </c>
      <c r="C114" s="2" t="inlineStr">
        <is>
          <t>Coffee1_NNVC_QP27.mp4</t>
        </is>
      </c>
      <c r="D114" s="2" t="inlineStr">
        <is>
          <t>HLG</t>
        </is>
      </c>
      <c r="E114" s="2" t="inlineStr">
        <is>
          <t>NNVC</t>
        </is>
      </c>
      <c r="F114" s="5" t="n">
        <v>4.590607641857575</v>
      </c>
      <c r="G114" s="5" t="n">
        <v>48.231613</v>
      </c>
      <c r="H114" s="5" t="n">
        <v>9.407500267</v>
      </c>
      <c r="I114" s="5" t="n">
        <v>95.776005</v>
      </c>
      <c r="J114" s="5" t="n">
        <v>141.019</v>
      </c>
      <c r="K114" s="5" t="n">
        <v>26.231</v>
      </c>
      <c r="L114" s="5" t="n">
        <v>27.696</v>
      </c>
      <c r="M114" s="5" t="n">
        <v>4.578558593364235</v>
      </c>
    </row>
    <row r="115">
      <c r="A115" s="2" t="inlineStr">
        <is>
          <t>Coffee1.mp4|Coffee1_NNVC_QP32.mp4|HLG|NNVC</t>
        </is>
      </c>
      <c r="B115" s="2" t="inlineStr">
        <is>
          <t>Coffee1.mp4</t>
        </is>
      </c>
      <c r="C115" s="2" t="inlineStr">
        <is>
          <t>Coffee1_NNVC_QP32.mp4</t>
        </is>
      </c>
      <c r="D115" s="2" t="inlineStr">
        <is>
          <t>HLG</t>
        </is>
      </c>
      <c r="E115" s="2" t="inlineStr">
        <is>
          <t>NNVC</t>
        </is>
      </c>
      <c r="F115" s="5" t="n">
        <v>4.643128633989064</v>
      </c>
      <c r="G115" s="5" t="n">
        <v>46.790309</v>
      </c>
      <c r="H115" s="5" t="n">
        <v>9.062315941</v>
      </c>
      <c r="I115" s="5" t="n">
        <v>92.44577200000001</v>
      </c>
      <c r="J115" s="5" t="n">
        <v>136.398</v>
      </c>
      <c r="K115" s="5" t="n">
        <v>25.584</v>
      </c>
      <c r="L115" s="5" t="n">
        <v>27.022</v>
      </c>
      <c r="M115" s="5" t="n">
        <v>4.377889424783206</v>
      </c>
    </row>
    <row r="116">
      <c r="A116" s="2" t="inlineStr">
        <is>
          <t>Coffee1.mp4|Coffee1_NNVC_QP42.mp4|HLG|NNVC</t>
        </is>
      </c>
      <c r="B116" s="2" t="inlineStr">
        <is>
          <t>Coffee1.mp4</t>
        </is>
      </c>
      <c r="C116" s="2" t="inlineStr">
        <is>
          <t>Coffee1_NNVC_QP42.mp4</t>
        </is>
      </c>
      <c r="D116" s="2" t="inlineStr">
        <is>
          <t>HLG</t>
        </is>
      </c>
      <c r="E116" s="2" t="inlineStr">
        <is>
          <t>NNVC</t>
        </is>
      </c>
      <c r="F116" s="5" t="n">
        <v>2.733867695439042</v>
      </c>
      <c r="G116" s="5" t="n">
        <v>43.691981</v>
      </c>
      <c r="H116" s="5" t="n">
        <v>7.916795731</v>
      </c>
      <c r="I116" s="5" t="n">
        <v>81.08973</v>
      </c>
      <c r="J116" s="5" t="n">
        <v>126.399</v>
      </c>
      <c r="K116" s="5" t="n">
        <v>24.128</v>
      </c>
      <c r="L116" s="5" t="n">
        <v>25.304</v>
      </c>
      <c r="M116" s="5" t="n">
        <v>3.482416838371662</v>
      </c>
    </row>
    <row r="117">
      <c r="A117" s="2" t="inlineStr">
        <is>
          <t>Coffee1.mp4|Coffee1_VTM_QP27.mp4|HLG|VTM</t>
        </is>
      </c>
      <c r="B117" s="2" t="inlineStr">
        <is>
          <t>Coffee1.mp4</t>
        </is>
      </c>
      <c r="C117" s="2" t="inlineStr">
        <is>
          <t>Coffee1_VTM_QP27.mp4</t>
        </is>
      </c>
      <c r="D117" s="2" t="inlineStr">
        <is>
          <t>HLG</t>
        </is>
      </c>
      <c r="E117" s="2" t="inlineStr">
        <is>
          <t>VTM</t>
        </is>
      </c>
      <c r="F117" s="5" t="n">
        <v>4.609516411880591</v>
      </c>
      <c r="G117" s="5" t="n">
        <v>47.831362</v>
      </c>
      <c r="H117" s="5" t="n">
        <v>9.348498343999999</v>
      </c>
      <c r="I117" s="5" t="n">
        <v>95.07297</v>
      </c>
      <c r="J117" s="5" t="n">
        <v>139.616</v>
      </c>
      <c r="K117" s="5" t="n">
        <v>25.988</v>
      </c>
      <c r="L117" s="5" t="n">
        <v>27.541</v>
      </c>
      <c r="M117" s="5" t="n">
        <v>4.556895966659752</v>
      </c>
    </row>
    <row r="118">
      <c r="A118" s="2" t="inlineStr">
        <is>
          <t>Coffee1.mp4|Coffee1_VTM_QP32.mp4|HLG|VTM</t>
        </is>
      </c>
      <c r="B118" s="2" t="inlineStr">
        <is>
          <t>Coffee1.mp4</t>
        </is>
      </c>
      <c r="C118" s="2" t="inlineStr">
        <is>
          <t>Coffee1_VTM_QP32.mp4</t>
        </is>
      </c>
      <c r="D118" s="2" t="inlineStr">
        <is>
          <t>HLG</t>
        </is>
      </c>
      <c r="E118" s="2" t="inlineStr">
        <is>
          <t>VTM</t>
        </is>
      </c>
      <c r="F118" s="5" t="n">
        <v>4.426646463975409</v>
      </c>
      <c r="G118" s="5" t="n">
        <v>46.505942</v>
      </c>
      <c r="H118" s="5" t="n">
        <v>8.95433712</v>
      </c>
      <c r="I118" s="5" t="n">
        <v>91.395661</v>
      </c>
      <c r="J118" s="5" t="n">
        <v>135.327</v>
      </c>
      <c r="K118" s="5" t="n">
        <v>25.368</v>
      </c>
      <c r="L118" s="5" t="n">
        <v>26.819</v>
      </c>
      <c r="M118" s="5" t="n">
        <v>4.32357378595871</v>
      </c>
    </row>
    <row r="119">
      <c r="A119" s="2" t="inlineStr">
        <is>
          <t>Coffee1.mp4|Coffee1_VTM_QP35.mp4|HLG|VTM</t>
        </is>
      </c>
      <c r="B119" s="2" t="inlineStr">
        <is>
          <t>Coffee1.mp4</t>
        </is>
      </c>
      <c r="C119" s="2" t="inlineStr">
        <is>
          <t>Coffee1_VTM_QP35.mp4</t>
        </is>
      </c>
      <c r="D119" s="2" t="inlineStr">
        <is>
          <t>HLG</t>
        </is>
      </c>
      <c r="E119" s="2" t="inlineStr">
        <is>
          <t>VTM</t>
        </is>
      </c>
      <c r="F119" s="5" t="n">
        <v>3.947945474069962</v>
      </c>
      <c r="G119" s="5" t="n">
        <v>45.655488</v>
      </c>
      <c r="H119" s="5" t="n">
        <v>8.646038055</v>
      </c>
      <c r="I119" s="5" t="n">
        <v>88.527218</v>
      </c>
      <c r="J119" s="5" t="n">
        <v>132.529</v>
      </c>
      <c r="K119" s="5" t="n">
        <v>24.978</v>
      </c>
      <c r="L119" s="5" t="n">
        <v>26.333</v>
      </c>
      <c r="M119" s="5" t="n">
        <v>4.099345085698723</v>
      </c>
    </row>
    <row r="120">
      <c r="A120" s="2" t="inlineStr">
        <is>
          <t>Coffee1.mp4|Coffee1_VTM_QP42.mp4|HLG|VTM</t>
        </is>
      </c>
      <c r="B120" s="2" t="inlineStr">
        <is>
          <t>Coffee1.mp4</t>
        </is>
      </c>
      <c r="C120" s="2" t="inlineStr">
        <is>
          <t>Coffee1_VTM_QP42.mp4</t>
        </is>
      </c>
      <c r="D120" s="2" t="inlineStr">
        <is>
          <t>HLG</t>
        </is>
      </c>
      <c r="E120" s="2" t="inlineStr">
        <is>
          <t>VTM</t>
        </is>
      </c>
      <c r="F120" s="5" t="n">
        <v>1.879487630132995</v>
      </c>
      <c r="G120" s="5" t="n">
        <v>43.507666</v>
      </c>
      <c r="H120" s="5" t="n">
        <v>7.660633564</v>
      </c>
      <c r="I120" s="5" t="n">
        <v>78.89337999999999</v>
      </c>
      <c r="J120" s="5" t="n">
        <v>125.621</v>
      </c>
      <c r="K120" s="5" t="n">
        <v>23.956</v>
      </c>
      <c r="L120" s="5" t="n">
        <v>24.963</v>
      </c>
      <c r="M120" s="5" t="n">
        <v>3.259348644298482</v>
      </c>
    </row>
    <row r="121">
      <c r="A121" s="2" t="inlineStr">
        <is>
          <t>DroneShowEnding.mp4|DroneShowEnding_AlphaVC-P_QP3.mp4|HLG|AlphaVC-P</t>
        </is>
      </c>
      <c r="B121" s="2" t="inlineStr">
        <is>
          <t>DroneShowEnding.mp4</t>
        </is>
      </c>
      <c r="C121" s="2" t="inlineStr">
        <is>
          <t>DroneShowEnding_AlphaVC-P_QP3.mp4</t>
        </is>
      </c>
      <c r="D121" s="2" t="inlineStr">
        <is>
          <t>HLG</t>
        </is>
      </c>
      <c r="E121" s="2" t="inlineStr">
        <is>
          <t>AlphaVC-P</t>
        </is>
      </c>
      <c r="F121" s="5" t="n">
        <v>3.76150202820412</v>
      </c>
      <c r="G121" s="5" t="n">
        <v>37.713264</v>
      </c>
      <c r="H121" s="5" t="n">
        <v>8.120652199</v>
      </c>
      <c r="I121" s="5" t="n">
        <v>73.9828</v>
      </c>
      <c r="J121" s="5" t="n">
        <v>111.541</v>
      </c>
      <c r="K121" s="5" t="n">
        <v>23.95</v>
      </c>
      <c r="L121" s="5" t="n">
        <v>25.601</v>
      </c>
      <c r="M121" s="5" t="n">
        <v>3.606626623436256</v>
      </c>
    </row>
    <row r="122">
      <c r="A122" s="2" t="inlineStr">
        <is>
          <t>DroneShowEnding.mp4|DroneShowEnding_AlphaVC-P_QP4.mp4|HLG|AlphaVC-P</t>
        </is>
      </c>
      <c r="B122" s="2" t="inlineStr">
        <is>
          <t>DroneShowEnding.mp4</t>
        </is>
      </c>
      <c r="C122" s="2" t="inlineStr">
        <is>
          <t>DroneShowEnding_AlphaVC-P_QP4.mp4</t>
        </is>
      </c>
      <c r="D122" s="2" t="inlineStr">
        <is>
          <t>HLG</t>
        </is>
      </c>
      <c r="E122" s="2" t="inlineStr">
        <is>
          <t>AlphaVC-P</t>
        </is>
      </c>
      <c r="F122" s="5" t="n">
        <v>3.530271921181342</v>
      </c>
      <c r="G122" s="5" t="n">
        <v>36.272935</v>
      </c>
      <c r="H122" s="5" t="n">
        <v>7.468251228</v>
      </c>
      <c r="I122" s="5" t="n">
        <v>65.65000000000001</v>
      </c>
      <c r="J122" s="5" t="n">
        <v>107.036</v>
      </c>
      <c r="K122" s="5" t="n">
        <v>23.365</v>
      </c>
      <c r="L122" s="5" t="n">
        <v>24.871</v>
      </c>
      <c r="M122" s="5" t="n">
        <v>3.031826111559785</v>
      </c>
    </row>
    <row r="123">
      <c r="A123" s="2" t="inlineStr">
        <is>
          <t>DroneShowEnding.mp4|DroneShowEnding_AlphaVC-P_QP5.mp4|HLG|AlphaVC-P</t>
        </is>
      </c>
      <c r="B123" s="2" t="inlineStr">
        <is>
          <t>DroneShowEnding.mp4</t>
        </is>
      </c>
      <c r="C123" s="2" t="inlineStr">
        <is>
          <t>DroneShowEnding_AlphaVC-P_QP5.mp4</t>
        </is>
      </c>
      <c r="D123" s="2" t="inlineStr">
        <is>
          <t>HLG</t>
        </is>
      </c>
      <c r="E123" s="2" t="inlineStr">
        <is>
          <t>AlphaVC-P</t>
        </is>
      </c>
      <c r="F123" s="5" t="n">
        <v>2.847776286747529</v>
      </c>
      <c r="G123" s="5" t="n">
        <v>34.889529</v>
      </c>
      <c r="H123" s="5" t="n">
        <v>6.45880127</v>
      </c>
      <c r="I123" s="5" t="n">
        <v>55.633734</v>
      </c>
      <c r="J123" s="5" t="n">
        <v>102.7</v>
      </c>
      <c r="K123" s="5" t="n">
        <v>22.745</v>
      </c>
      <c r="L123" s="5" t="n">
        <v>24.092</v>
      </c>
      <c r="M123" s="5" t="n">
        <v>2.46296163017487</v>
      </c>
    </row>
    <row r="124">
      <c r="A124" s="2" t="inlineStr">
        <is>
          <t>DroneShowEnding.mp4|DroneShowEnding_AVS3_QP28.mp4|HLG|AVS</t>
        </is>
      </c>
      <c r="B124" s="2" t="inlineStr">
        <is>
          <t>DroneShowEnding.mp4</t>
        </is>
      </c>
      <c r="C124" s="2" t="inlineStr">
        <is>
          <t>DroneShowEnding_AVS3_QP28.mp4</t>
        </is>
      </c>
      <c r="D124" s="2" t="inlineStr">
        <is>
          <t>HLG</t>
        </is>
      </c>
      <c r="E124" s="2" t="inlineStr">
        <is>
          <t>AVS</t>
        </is>
      </c>
      <c r="F124" s="5" t="n">
        <v>4.805927096676628</v>
      </c>
      <c r="G124" s="5" t="n">
        <v>46.010671</v>
      </c>
      <c r="H124" s="5" t="n">
        <v>9.708011626999999</v>
      </c>
      <c r="I124" s="5" t="n">
        <v>98.19938399999999</v>
      </c>
      <c r="J124" s="5" t="n">
        <v>139.247</v>
      </c>
      <c r="K124" s="5" t="n">
        <v>27.122</v>
      </c>
      <c r="L124" s="5" t="n">
        <v>29.601</v>
      </c>
      <c r="M124" s="5" t="n">
        <v>4.668455646125281</v>
      </c>
    </row>
    <row r="125">
      <c r="A125" s="2" t="inlineStr">
        <is>
          <t>DroneShowEnding.mp4|DroneShowEnding_AVS3_QP32.mp4|HLG|AVS</t>
        </is>
      </c>
      <c r="B125" s="2" t="inlineStr">
        <is>
          <t>DroneShowEnding.mp4</t>
        </is>
      </c>
      <c r="C125" s="2" t="inlineStr">
        <is>
          <t>DroneShowEnding_AVS3_QP32.mp4</t>
        </is>
      </c>
      <c r="D125" s="2" t="inlineStr">
        <is>
          <t>HLG</t>
        </is>
      </c>
      <c r="E125" s="2" t="inlineStr">
        <is>
          <t>AVS</t>
        </is>
      </c>
      <c r="F125" s="5" t="n">
        <v>4.74215906844229</v>
      </c>
      <c r="G125" s="5" t="n">
        <v>44.738724</v>
      </c>
      <c r="H125" s="5" t="n">
        <v>9.582486153</v>
      </c>
      <c r="I125" s="5" t="n">
        <v>96.748524</v>
      </c>
      <c r="J125" s="5" t="n">
        <v>135.133</v>
      </c>
      <c r="K125" s="5" t="n">
        <v>26.676</v>
      </c>
      <c r="L125" s="5" t="n">
        <v>29.097</v>
      </c>
      <c r="M125" s="5" t="n">
        <v>4.611375251390882</v>
      </c>
    </row>
    <row r="126">
      <c r="A126" s="2" t="inlineStr">
        <is>
          <t>DroneShowEnding.mp4|DroneShowEnding_AVS3_QP36.mp4|HLG|AVS</t>
        </is>
      </c>
      <c r="B126" s="2" t="inlineStr">
        <is>
          <t>DroneShowEnding.mp4</t>
        </is>
      </c>
      <c r="C126" s="2" t="inlineStr">
        <is>
          <t>DroneShowEnding_AVS3_QP36.mp4</t>
        </is>
      </c>
      <c r="D126" s="2" t="inlineStr">
        <is>
          <t>HLG</t>
        </is>
      </c>
      <c r="E126" s="2" t="inlineStr">
        <is>
          <t>AVS</t>
        </is>
      </c>
      <c r="F126" s="5" t="n">
        <v>4.737649102382099</v>
      </c>
      <c r="G126" s="5" t="n">
        <v>43.59112</v>
      </c>
      <c r="H126" s="5" t="n">
        <v>9.431380272</v>
      </c>
      <c r="I126" s="5" t="n">
        <v>95.164247</v>
      </c>
      <c r="J126" s="5" t="n">
        <v>131.489</v>
      </c>
      <c r="K126" s="5" t="n">
        <v>26.231</v>
      </c>
      <c r="L126" s="5" t="n">
        <v>28.634</v>
      </c>
      <c r="M126" s="5" t="n">
        <v>4.517969480843952</v>
      </c>
    </row>
    <row r="127">
      <c r="A127" s="2" t="inlineStr">
        <is>
          <t>DroneShowEnding.mp4|DroneShowEnding_AVS3_QP40.mp4|HLG|AVS</t>
        </is>
      </c>
      <c r="B127" s="2" t="inlineStr">
        <is>
          <t>DroneShowEnding.mp4</t>
        </is>
      </c>
      <c r="C127" s="2" t="inlineStr">
        <is>
          <t>DroneShowEnding_AVS3_QP40.mp4</t>
        </is>
      </c>
      <c r="D127" s="2" t="inlineStr">
        <is>
          <t>HLG</t>
        </is>
      </c>
      <c r="E127" s="2" t="inlineStr">
        <is>
          <t>AVS</t>
        </is>
      </c>
      <c r="F127" s="5" t="n">
        <v>4.527226037805096</v>
      </c>
      <c r="G127" s="5" t="n">
        <v>42.410493</v>
      </c>
      <c r="H127" s="5" t="n">
        <v>9.244206429</v>
      </c>
      <c r="I127" s="5" t="n">
        <v>93.237082</v>
      </c>
      <c r="J127" s="5" t="n">
        <v>127.787</v>
      </c>
      <c r="K127" s="5" t="n">
        <v>25.735</v>
      </c>
      <c r="L127" s="5" t="n">
        <v>28.14</v>
      </c>
      <c r="M127" s="5" t="n">
        <v>4.383746074832683</v>
      </c>
    </row>
    <row r="128">
      <c r="A128" s="2" t="inlineStr">
        <is>
          <t>DroneShowEnding.mp4|DroneShowEnding_AVS3_QP44.mp4|HLG|AVS</t>
        </is>
      </c>
      <c r="B128" s="2" t="inlineStr">
        <is>
          <t>DroneShowEnding.mp4</t>
        </is>
      </c>
      <c r="C128" s="2" t="inlineStr">
        <is>
          <t>DroneShowEnding_AVS3_QP44.mp4</t>
        </is>
      </c>
      <c r="D128" s="2" t="inlineStr">
        <is>
          <t>HLG</t>
        </is>
      </c>
      <c r="E128" s="2" t="inlineStr">
        <is>
          <t>AVS</t>
        </is>
      </c>
      <c r="F128" s="5" t="n">
        <v>4.394464632794417</v>
      </c>
      <c r="G128" s="5" t="n">
        <v>41.181033</v>
      </c>
      <c r="H128" s="5" t="n">
        <v>8.989625931000001</v>
      </c>
      <c r="I128" s="5" t="n">
        <v>90.489262</v>
      </c>
      <c r="J128" s="5" t="n">
        <v>123.899</v>
      </c>
      <c r="K128" s="5" t="n">
        <v>25.207</v>
      </c>
      <c r="L128" s="5" t="n">
        <v>27.578</v>
      </c>
      <c r="M128" s="5" t="n">
        <v>4.153170828741191</v>
      </c>
    </row>
    <row r="129">
      <c r="A129" s="2" t="inlineStr">
        <is>
          <t>DroneShowEnding.mp4|DroneShowEnding_AVS3_QP48.mp4|HLG|AVS</t>
        </is>
      </c>
      <c r="B129" s="2" t="inlineStr">
        <is>
          <t>DroneShowEnding.mp4</t>
        </is>
      </c>
      <c r="C129" s="2" t="inlineStr">
        <is>
          <t>DroneShowEnding_AVS3_QP48.mp4</t>
        </is>
      </c>
      <c r="D129" s="2" t="inlineStr">
        <is>
          <t>HLG</t>
        </is>
      </c>
      <c r="E129" s="2" t="inlineStr">
        <is>
          <t>AVS</t>
        </is>
      </c>
      <c r="F129" s="5" t="n">
        <v>4.139248119303383</v>
      </c>
      <c r="G129" s="5" t="n">
        <v>40.057667</v>
      </c>
      <c r="H129" s="5" t="n">
        <v>8.693725585999999</v>
      </c>
      <c r="I129" s="5" t="n">
        <v>87.037154</v>
      </c>
      <c r="J129" s="5" t="n">
        <v>120.311</v>
      </c>
      <c r="K129" s="5" t="n">
        <v>24.704</v>
      </c>
      <c r="L129" s="5" t="n">
        <v>26.982</v>
      </c>
      <c r="M129" s="5" t="n">
        <v>3.863979785418735</v>
      </c>
    </row>
    <row r="130">
      <c r="A130" s="2" t="inlineStr">
        <is>
          <t>DroneShowEnding.mp4|DroneShowEnding_DCVC_QP0.mp4|HLG|DCVC-RT</t>
        </is>
      </c>
      <c r="B130" s="2" t="inlineStr">
        <is>
          <t>DroneShowEnding.mp4</t>
        </is>
      </c>
      <c r="C130" s="2" t="inlineStr">
        <is>
          <t>DroneShowEnding_DCVC_QP0.mp4</t>
        </is>
      </c>
      <c r="D130" s="2" t="inlineStr">
        <is>
          <t>HLG</t>
        </is>
      </c>
      <c r="E130" s="2" t="inlineStr">
        <is>
          <t>DCVC-RT</t>
        </is>
      </c>
      <c r="F130" s="5" t="n">
        <v>2.057456311669024</v>
      </c>
      <c r="G130" s="5" t="n">
        <v>36.231764</v>
      </c>
      <c r="H130" s="5" t="n">
        <v>5.456798077</v>
      </c>
      <c r="I130" s="5" t="n">
        <v>64.675094</v>
      </c>
      <c r="J130" s="5" t="n">
        <v>107.049</v>
      </c>
      <c r="K130" s="5" t="n">
        <v>23.115</v>
      </c>
      <c r="L130" s="5" t="n">
        <v>24.638</v>
      </c>
      <c r="M130" s="5" t="n">
        <v>2.357858145839113</v>
      </c>
    </row>
    <row r="131">
      <c r="A131" s="2" t="inlineStr">
        <is>
          <t>DroneShowEnding.mp4|DroneShowEnding_DCVC_QP13.mp4|HLG|DCVC-RT</t>
        </is>
      </c>
      <c r="B131" s="2" t="inlineStr">
        <is>
          <t>DroneShowEnding.mp4</t>
        </is>
      </c>
      <c r="C131" s="2" t="inlineStr">
        <is>
          <t>DroneShowEnding_DCVC_QP13.mp4</t>
        </is>
      </c>
      <c r="D131" s="2" t="inlineStr">
        <is>
          <t>HLG</t>
        </is>
      </c>
      <c r="E131" s="2" t="inlineStr">
        <is>
          <t>DCVC-RT</t>
        </is>
      </c>
      <c r="F131" s="5" t="n">
        <v>3.705506188573187</v>
      </c>
      <c r="G131" s="5" t="n">
        <v>38.960279</v>
      </c>
      <c r="H131" s="5" t="n">
        <v>7.801854134</v>
      </c>
      <c r="I131" s="5" t="n">
        <v>80.201521</v>
      </c>
      <c r="J131" s="5" t="n">
        <v>115.98</v>
      </c>
      <c r="K131" s="5" t="n">
        <v>24.551</v>
      </c>
      <c r="L131" s="5" t="n">
        <v>26.077</v>
      </c>
      <c r="M131" s="5" t="n">
        <v>3.336495074761912</v>
      </c>
    </row>
    <row r="132">
      <c r="A132" s="2" t="inlineStr">
        <is>
          <t>DroneShowEnding.mp4|DroneShowEnding_DCVC_QP25.mp4|HLG|DCVC-RT</t>
        </is>
      </c>
      <c r="B132" s="2" t="inlineStr">
        <is>
          <t>DroneShowEnding.mp4</t>
        </is>
      </c>
      <c r="C132" s="2" t="inlineStr">
        <is>
          <t>DroneShowEnding_DCVC_QP25.mp4</t>
        </is>
      </c>
      <c r="D132" s="2" t="inlineStr">
        <is>
          <t>HLG</t>
        </is>
      </c>
      <c r="E132" s="2" t="inlineStr">
        <is>
          <t>DCVC-RT</t>
        </is>
      </c>
      <c r="F132" s="5" t="n">
        <v>3.956039974742309</v>
      </c>
      <c r="G132" s="5" t="n">
        <v>41.210041</v>
      </c>
      <c r="H132" s="5" t="n">
        <v>8.820410728000001</v>
      </c>
      <c r="I132" s="5" t="n">
        <v>88.586558</v>
      </c>
      <c r="J132" s="5" t="n">
        <v>123.329</v>
      </c>
      <c r="K132" s="5" t="n">
        <v>25.55</v>
      </c>
      <c r="L132" s="5" t="n">
        <v>27.163</v>
      </c>
      <c r="M132" s="5" t="n">
        <v>3.963046795044661</v>
      </c>
    </row>
    <row r="133">
      <c r="A133" s="2" t="inlineStr">
        <is>
          <t>DroneShowEnding.mp4|DroneShowEnding_DCVC_QP38.mp4|HLG|DCVC-RT</t>
        </is>
      </c>
      <c r="B133" s="2" t="inlineStr">
        <is>
          <t>DroneShowEnding.mp4</t>
        </is>
      </c>
      <c r="C133" s="2" t="inlineStr">
        <is>
          <t>DroneShowEnding_DCVC_QP38.mp4</t>
        </is>
      </c>
      <c r="D133" s="2" t="inlineStr">
        <is>
          <t>HLG</t>
        </is>
      </c>
      <c r="E133" s="2" t="inlineStr">
        <is>
          <t>DCVC-RT</t>
        </is>
      </c>
      <c r="F133" s="5" t="n">
        <v>4.375066282807582</v>
      </c>
      <c r="G133" s="5" t="n">
        <v>43.226072</v>
      </c>
      <c r="H133" s="5" t="n">
        <v>9.321675301000001</v>
      </c>
      <c r="I133" s="5" t="n">
        <v>93.835747</v>
      </c>
      <c r="J133" s="5" t="n">
        <v>129.569</v>
      </c>
      <c r="K133" s="5" t="n">
        <v>26.281</v>
      </c>
      <c r="L133" s="5" t="n">
        <v>28.131</v>
      </c>
      <c r="M133" s="5" t="n">
        <v>4.373180582189732</v>
      </c>
    </row>
    <row r="134">
      <c r="A134" s="2" t="inlineStr">
        <is>
          <t>DroneShowEnding.mp4|DroneShowEnding_DCVC-RT_QP6.mp4|HLG|DCVC-RT</t>
        </is>
      </c>
      <c r="B134" s="2" t="inlineStr">
        <is>
          <t>DroneShowEnding.mp4</t>
        </is>
      </c>
      <c r="C134" s="2" t="inlineStr">
        <is>
          <t>DroneShowEnding_DCVC-RT_QP6.mp4</t>
        </is>
      </c>
      <c r="D134" s="2" t="inlineStr">
        <is>
          <t>HLG</t>
        </is>
      </c>
      <c r="E134" s="2" t="inlineStr">
        <is>
          <t>DCVC-RT</t>
        </is>
      </c>
      <c r="F134" s="5" t="n">
        <v>3.691408706425123</v>
      </c>
      <c r="G134" s="5" t="n">
        <v>38.423459</v>
      </c>
      <c r="H134" s="5" t="n">
        <v>7.831216812</v>
      </c>
      <c r="I134" s="5" t="n">
        <v>77.79510000000001</v>
      </c>
      <c r="J134" s="5" t="n">
        <v>114.476</v>
      </c>
      <c r="K134" s="5" t="n">
        <v>24.047</v>
      </c>
      <c r="L134" s="5" t="n">
        <v>25.737</v>
      </c>
      <c r="M134" s="5" t="n">
        <v>3.134938246896705</v>
      </c>
    </row>
    <row r="135">
      <c r="A135" s="2" t="inlineStr">
        <is>
          <t>DroneShowEnding.mp4|DroneShowEnding_EEM_QP2.mp4|HLG|EEM</t>
        </is>
      </c>
      <c r="B135" s="2" t="inlineStr">
        <is>
          <t>DroneShowEnding.mp4</t>
        </is>
      </c>
      <c r="C135" s="2" t="inlineStr">
        <is>
          <t>DroneShowEnding_EEM_QP2.mp4</t>
        </is>
      </c>
      <c r="D135" s="2" t="inlineStr">
        <is>
          <t>HLG</t>
        </is>
      </c>
      <c r="E135" s="2" t="inlineStr">
        <is>
          <t>EEM</t>
        </is>
      </c>
      <c r="F135" s="5" t="n">
        <v>4.065826805133744</v>
      </c>
      <c r="G135" s="5" t="n">
        <v>41.222608</v>
      </c>
      <c r="H135" s="5" t="n">
        <v>8.967414856</v>
      </c>
      <c r="I135" s="5" t="n">
        <v>90.975669</v>
      </c>
      <c r="J135" s="5" t="n">
        <v>123.448</v>
      </c>
      <c r="K135" s="5" t="n">
        <v>24.799</v>
      </c>
      <c r="L135" s="5" t="n">
        <v>27.422</v>
      </c>
      <c r="M135" s="5" t="n">
        <v>4.092674613233966</v>
      </c>
    </row>
    <row r="136">
      <c r="A136" s="2" t="inlineStr">
        <is>
          <t>DroneShowEnding.mp4|DroneShowEnding_EEM_QP3.mp4|HLG|EEM</t>
        </is>
      </c>
      <c r="B136" s="2" t="inlineStr">
        <is>
          <t>DroneShowEnding.mp4</t>
        </is>
      </c>
      <c r="C136" s="2" t="inlineStr">
        <is>
          <t>DroneShowEnding_EEM_QP3.mp4</t>
        </is>
      </c>
      <c r="D136" s="2" t="inlineStr">
        <is>
          <t>HLG</t>
        </is>
      </c>
      <c r="E136" s="2" t="inlineStr">
        <is>
          <t>EEM</t>
        </is>
      </c>
      <c r="F136" s="5" t="n">
        <v>2.924763033750342</v>
      </c>
      <c r="G136" s="5" t="n">
        <v>38.385301</v>
      </c>
      <c r="H136" s="5" t="n">
        <v>8.042757033999999</v>
      </c>
      <c r="I136" s="5" t="n">
        <v>81.38931599999999</v>
      </c>
      <c r="J136" s="5" t="n">
        <v>114.806</v>
      </c>
      <c r="K136" s="5" t="n">
        <v>22.946</v>
      </c>
      <c r="L136" s="5" t="n">
        <v>26.068</v>
      </c>
      <c r="M136" s="5" t="n">
        <v>3.288706755563675</v>
      </c>
    </row>
    <row r="137">
      <c r="A137" s="2" t="inlineStr">
        <is>
          <t>DroneShowEnding.mp4|DroneShowEnding_NNVC_QP42.mp4|HLG|NNVC</t>
        </is>
      </c>
      <c r="B137" s="2" t="inlineStr">
        <is>
          <t>DroneShowEnding.mp4</t>
        </is>
      </c>
      <c r="C137" s="2" t="inlineStr">
        <is>
          <t>DroneShowEnding_NNVC_QP42.mp4</t>
        </is>
      </c>
      <c r="D137" s="2" t="inlineStr">
        <is>
          <t>HLG</t>
        </is>
      </c>
      <c r="E137" s="2" t="inlineStr">
        <is>
          <t>NNVC</t>
        </is>
      </c>
      <c r="F137" s="5" t="n">
        <v>4.260272089577644</v>
      </c>
      <c r="G137" s="5" t="n">
        <v>39.719325</v>
      </c>
      <c r="H137" s="5" t="n">
        <v>8.49557209</v>
      </c>
      <c r="I137" s="5" t="n">
        <v>85.863418</v>
      </c>
      <c r="J137" s="5" t="n">
        <v>119.391</v>
      </c>
      <c r="K137" s="5" t="n">
        <v>24.469</v>
      </c>
      <c r="L137" s="5" t="n">
        <v>26.915</v>
      </c>
      <c r="M137" s="5" t="n">
        <v>3.696842993877542</v>
      </c>
    </row>
    <row r="138">
      <c r="A138" s="2" t="inlineStr">
        <is>
          <t>DroneShowEnding.mp4|DroneShowEnding_QP27_3316.mp4|HLG|LTM</t>
        </is>
      </c>
      <c r="B138" s="2" t="inlineStr">
        <is>
          <t>DroneShowEnding.mp4</t>
        </is>
      </c>
      <c r="C138" s="2" t="inlineStr">
        <is>
          <t>DroneShowEnding_QP27_3316.mp4</t>
        </is>
      </c>
      <c r="D138" s="2" t="inlineStr">
        <is>
          <t>HLG</t>
        </is>
      </c>
      <c r="E138" s="2" t="inlineStr">
        <is>
          <t>LTM</t>
        </is>
      </c>
      <c r="F138" s="5" t="n">
        <v>4.527560327832981</v>
      </c>
      <c r="G138" s="5" t="n">
        <v>40.663567</v>
      </c>
      <c r="H138" s="5" t="n">
        <v>9.103504181</v>
      </c>
      <c r="I138" s="5" t="n">
        <v>92.80973299999999</v>
      </c>
      <c r="J138" s="5" t="n">
        <v>120.501</v>
      </c>
      <c r="K138" s="5" t="n">
        <v>25.31</v>
      </c>
      <c r="L138" s="5" t="n">
        <v>26.826</v>
      </c>
      <c r="M138" s="5" t="n">
        <v>4.247921764093553</v>
      </c>
    </row>
    <row r="139">
      <c r="A139" s="2" t="inlineStr">
        <is>
          <t>DroneShowEnding.mp4|DroneShowEnding_QP35_3856.mp4|HLG|LTM</t>
        </is>
      </c>
      <c r="B139" s="2" t="inlineStr">
        <is>
          <t>DroneShowEnding.mp4</t>
        </is>
      </c>
      <c r="C139" s="2" t="inlineStr">
        <is>
          <t>DroneShowEnding_QP35_3856.mp4</t>
        </is>
      </c>
      <c r="D139" s="2" t="inlineStr">
        <is>
          <t>HLG</t>
        </is>
      </c>
      <c r="E139" s="2" t="inlineStr">
        <is>
          <t>LTM</t>
        </is>
      </c>
      <c r="F139" s="5" t="n">
        <v>4.075400928609107</v>
      </c>
      <c r="G139" s="5" t="n">
        <v>38.455548</v>
      </c>
      <c r="H139" s="5" t="n">
        <v>8.391356468</v>
      </c>
      <c r="I139" s="5" t="n">
        <v>84.38404800000001</v>
      </c>
      <c r="J139" s="5" t="n">
        <v>114.416</v>
      </c>
      <c r="K139" s="5" t="n">
        <v>24.128</v>
      </c>
      <c r="L139" s="5" t="n">
        <v>25.941</v>
      </c>
      <c r="M139" s="5" t="n">
        <v>3.560192335348628</v>
      </c>
    </row>
    <row r="140">
      <c r="A140" s="2" t="inlineStr">
        <is>
          <t>DroneShowEnding.mp4|DroneShowEnding_QP37_3991.mp4|HLG|LTM</t>
        </is>
      </c>
      <c r="B140" s="2" t="inlineStr">
        <is>
          <t>DroneShowEnding.mp4</t>
        </is>
      </c>
      <c r="C140" s="2" t="inlineStr">
        <is>
          <t>DroneShowEnding_QP37_3991.mp4</t>
        </is>
      </c>
      <c r="D140" s="2" t="inlineStr">
        <is>
          <t>HLG</t>
        </is>
      </c>
      <c r="E140" s="2" t="inlineStr">
        <is>
          <t>LTM</t>
        </is>
      </c>
      <c r="F140" s="5" t="n">
        <v>3.549249784672716</v>
      </c>
      <c r="G140" s="5" t="n">
        <v>37.896007</v>
      </c>
      <c r="H140" s="5" t="n">
        <v>8.116099358</v>
      </c>
      <c r="I140" s="5" t="n">
        <v>81.22326099999999</v>
      </c>
      <c r="J140" s="5" t="n">
        <v>112.747</v>
      </c>
      <c r="K140" s="5" t="n">
        <v>23.901</v>
      </c>
      <c r="L140" s="5" t="n">
        <v>25.655</v>
      </c>
      <c r="M140" s="5" t="n">
        <v>3.325782633837239</v>
      </c>
    </row>
    <row r="141">
      <c r="A141" s="2" t="inlineStr">
        <is>
          <t>DroneShowEnding.mp4|DroneShowEnding_QP42_4329.mp4|HLG|LTM</t>
        </is>
      </c>
      <c r="B141" s="2" t="inlineStr">
        <is>
          <t>DroneShowEnding.mp4</t>
        </is>
      </c>
      <c r="C141" s="2" t="inlineStr">
        <is>
          <t>DroneShowEnding_QP42_4329.mp4</t>
        </is>
      </c>
      <c r="D141" s="2" t="inlineStr">
        <is>
          <t>HLG</t>
        </is>
      </c>
      <c r="E141" s="2" t="inlineStr">
        <is>
          <t>LTM</t>
        </is>
      </c>
      <c r="F141" s="5" t="n">
        <v>3.179680618484506</v>
      </c>
      <c r="G141" s="5" t="n">
        <v>36.348016</v>
      </c>
      <c r="H141" s="5" t="n">
        <v>7.209092617</v>
      </c>
      <c r="I141" s="5" t="n">
        <v>71.74420000000001</v>
      </c>
      <c r="J141" s="5" t="n">
        <v>108.089</v>
      </c>
      <c r="K141" s="5" t="n">
        <v>23.177</v>
      </c>
      <c r="L141" s="5" t="n">
        <v>24.839</v>
      </c>
      <c r="M141" s="5" t="n">
        <v>2.679270126933492</v>
      </c>
    </row>
    <row r="142">
      <c r="A142" s="2" t="inlineStr">
        <is>
          <t>DroneShowEnding.mp4|DroneShowEnding_QP47_4667.mp4|HLG|LTM</t>
        </is>
      </c>
      <c r="B142" s="2" t="inlineStr">
        <is>
          <t>DroneShowEnding.mp4</t>
        </is>
      </c>
      <c r="C142" s="2" t="inlineStr">
        <is>
          <t>DroneShowEnding_QP47_4667.mp4</t>
        </is>
      </c>
      <c r="D142" s="2" t="inlineStr">
        <is>
          <t>HLG</t>
        </is>
      </c>
      <c r="E142" s="2" t="inlineStr">
        <is>
          <t>LTM</t>
        </is>
      </c>
      <c r="F142" s="5" t="n">
        <v>1.607582580674086</v>
      </c>
      <c r="G142" s="5" t="n">
        <v>34.784293</v>
      </c>
      <c r="H142" s="5" t="n">
        <v>6.059963226</v>
      </c>
      <c r="I142" s="5" t="n">
        <v>59.273708</v>
      </c>
      <c r="J142" s="5" t="n">
        <v>102.989</v>
      </c>
      <c r="K142" s="5" t="n">
        <v>22.455</v>
      </c>
      <c r="L142" s="5" t="n">
        <v>23.846</v>
      </c>
      <c r="M142" s="5" t="n">
        <v>2.020616028187596</v>
      </c>
    </row>
    <row r="143">
      <c r="A143" s="2" t="inlineStr">
        <is>
          <t>DroneShowEnding.mp4|DroneShowEnding_VTM_QP32.mp4|HLG|VTM</t>
        </is>
      </c>
      <c r="B143" s="2" t="inlineStr">
        <is>
          <t>DroneShowEnding.mp4</t>
        </is>
      </c>
      <c r="C143" s="2" t="inlineStr">
        <is>
          <t>DroneShowEnding_VTM_QP32.mp4</t>
        </is>
      </c>
      <c r="D143" s="2" t="inlineStr">
        <is>
          <t>HLG</t>
        </is>
      </c>
      <c r="E143" s="2" t="inlineStr">
        <is>
          <t>VTM</t>
        </is>
      </c>
      <c r="F143" s="5" t="n">
        <v>4.787930827179769</v>
      </c>
      <c r="G143" s="5" t="n">
        <v>43.300703</v>
      </c>
      <c r="H143" s="5" t="n">
        <v>9.371408463</v>
      </c>
      <c r="I143" s="5" t="n">
        <v>94.590565</v>
      </c>
      <c r="J143" s="5" t="n">
        <v>130.007</v>
      </c>
      <c r="K143" s="5" t="n">
        <v>26.028</v>
      </c>
      <c r="L143" s="5" t="n">
        <v>28.525</v>
      </c>
      <c r="M143" s="5" t="n">
        <v>4.482216992057576</v>
      </c>
    </row>
    <row r="144">
      <c r="A144" s="2" t="inlineStr">
        <is>
          <t>DroneShowEnding.mp4|DroneShowEnding_VTM_QP37.mp4|HLG|VTM</t>
        </is>
      </c>
      <c r="B144" s="2" t="inlineStr">
        <is>
          <t>DroneShowEnding.mp4</t>
        </is>
      </c>
      <c r="C144" s="2" t="inlineStr">
        <is>
          <t>DroneShowEnding_VTM_QP37.mp4</t>
        </is>
      </c>
      <c r="D144" s="2" t="inlineStr">
        <is>
          <t>HLG</t>
        </is>
      </c>
      <c r="E144" s="2" t="inlineStr">
        <is>
          <t>VTM</t>
        </is>
      </c>
      <c r="F144" s="5" t="n">
        <v>4.484355032728053</v>
      </c>
      <c r="G144" s="5" t="n">
        <v>41.452813</v>
      </c>
      <c r="H144" s="5" t="n">
        <v>9.029215813</v>
      </c>
      <c r="I144" s="5" t="n">
        <v>90.80573</v>
      </c>
      <c r="J144" s="5" t="n">
        <v>124.169</v>
      </c>
      <c r="K144" s="5" t="n">
        <v>25.185</v>
      </c>
      <c r="L144" s="5" t="n">
        <v>27.673</v>
      </c>
      <c r="M144" s="5" t="n">
        <v>4.188164936638403</v>
      </c>
    </row>
    <row r="145">
      <c r="A145" s="2" t="inlineStr">
        <is>
          <t>DroneShowEnding.mp4|DroneShowEnding_VTM_QP42.mp4|HLG|VTM</t>
        </is>
      </c>
      <c r="B145" s="2" t="inlineStr">
        <is>
          <t>DroneShowEnding.mp4</t>
        </is>
      </c>
      <c r="C145" s="2" t="inlineStr">
        <is>
          <t>DroneShowEnding_VTM_QP42.mp4</t>
        </is>
      </c>
      <c r="D145" s="2" t="inlineStr">
        <is>
          <t>HLG</t>
        </is>
      </c>
      <c r="E145" s="2" t="inlineStr">
        <is>
          <t>VTM</t>
        </is>
      </c>
      <c r="F145" s="5" t="n">
        <v>3.847264996850927</v>
      </c>
      <c r="G145" s="5" t="n">
        <v>39.6207</v>
      </c>
      <c r="H145" s="5" t="n">
        <v>8.49354744</v>
      </c>
      <c r="I145" s="5" t="n">
        <v>84.875581</v>
      </c>
      <c r="J145" s="5" t="n">
        <v>118.434</v>
      </c>
      <c r="K145" s="5" t="n">
        <v>24.4</v>
      </c>
      <c r="L145" s="5" t="n">
        <v>26.683</v>
      </c>
      <c r="M145" s="5" t="n">
        <v>3.676363998593038</v>
      </c>
    </row>
    <row r="146">
      <c r="A146" s="2" t="inlineStr">
        <is>
          <t>DroneShowEnding.mp4|DroneShowEnding_VTM_QP47.mp4|HLG|VTM</t>
        </is>
      </c>
      <c r="B146" s="2" t="inlineStr">
        <is>
          <t>DroneShowEnding.mp4</t>
        </is>
      </c>
      <c r="C146" s="2" t="inlineStr">
        <is>
          <t>DroneShowEnding_VTM_QP47.mp4</t>
        </is>
      </c>
      <c r="D146" s="2" t="inlineStr">
        <is>
          <t>HLG</t>
        </is>
      </c>
      <c r="E146" s="2" t="inlineStr">
        <is>
          <t>VTM</t>
        </is>
      </c>
      <c r="F146" s="5" t="n">
        <v>3.721402918299342</v>
      </c>
      <c r="G146" s="5" t="n">
        <v>37.61268</v>
      </c>
      <c r="H146" s="5" t="n">
        <v>7.629058838</v>
      </c>
      <c r="I146" s="5" t="n">
        <v>75.61273</v>
      </c>
      <c r="J146" s="5" t="n">
        <v>112.007</v>
      </c>
      <c r="K146" s="5" t="n">
        <v>23.415</v>
      </c>
      <c r="L146" s="5" t="n">
        <v>25.527</v>
      </c>
      <c r="M146" s="5" t="n">
        <v>2.940295609017446</v>
      </c>
    </row>
    <row r="147">
      <c r="A147" s="2" t="inlineStr">
        <is>
          <t>FlyingBirds.mp4|FlyingBirds_AlphaVC-P_QP0.mp4|PQ|AlphaVC-P</t>
        </is>
      </c>
      <c r="B147" s="2" t="inlineStr">
        <is>
          <t>FlyingBirds.mp4</t>
        </is>
      </c>
      <c r="C147" s="2" t="inlineStr">
        <is>
          <t>FlyingBirds_AlphaVC-P_QP0.mp4</t>
        </is>
      </c>
      <c r="D147" s="2" t="inlineStr">
        <is>
          <t>PQ</t>
        </is>
      </c>
      <c r="E147" s="2" t="inlineStr">
        <is>
          <t>AlphaVC-P</t>
        </is>
      </c>
      <c r="F147" s="5" t="n">
        <v>2.849977703537051</v>
      </c>
      <c r="G147" s="5" t="n">
        <v>46.575462</v>
      </c>
      <c r="H147" s="5" t="n">
        <v>8.649273872</v>
      </c>
      <c r="I147" s="5" t="n">
        <v>82.72355</v>
      </c>
      <c r="J147" s="5" t="n">
        <v>140.872</v>
      </c>
      <c r="K147" s="5" t="n">
        <v>34.52</v>
      </c>
      <c r="L147" s="5" t="n">
        <v>36.566</v>
      </c>
      <c r="M147" s="5" t="n">
        <v>4.216534980451953</v>
      </c>
    </row>
    <row r="148">
      <c r="A148" s="2" t="inlineStr">
        <is>
          <t>FlyingBirds.mp4|FlyingBirds_AlphaVC-P_QP2.mp4|PQ|AlphaVC-P</t>
        </is>
      </c>
      <c r="B148" s="2" t="inlineStr">
        <is>
          <t>FlyingBirds.mp4</t>
        </is>
      </c>
      <c r="C148" s="2" t="inlineStr">
        <is>
          <t>FlyingBirds_AlphaVC-P_QP2.mp4</t>
        </is>
      </c>
      <c r="D148" s="2" t="inlineStr">
        <is>
          <t>PQ</t>
        </is>
      </c>
      <c r="E148" s="2" t="inlineStr">
        <is>
          <t>AlphaVC-P</t>
        </is>
      </c>
      <c r="F148" s="5" t="n">
        <v>2.424940612799762</v>
      </c>
      <c r="G148" s="5" t="n">
        <v>44.867357</v>
      </c>
      <c r="H148" s="5" t="n">
        <v>8.100135803000001</v>
      </c>
      <c r="I148" s="5" t="n">
        <v>72.70026900000001</v>
      </c>
      <c r="J148" s="5" t="n">
        <v>135.829</v>
      </c>
      <c r="K148" s="5" t="n">
        <v>33.774</v>
      </c>
      <c r="L148" s="5" t="n">
        <v>35.74</v>
      </c>
      <c r="M148" s="5" t="n">
        <v>3.634391307768028</v>
      </c>
    </row>
    <row r="149">
      <c r="A149" s="2" t="inlineStr">
        <is>
          <t>FlyingBirds.mp4|FlyingBirds_AlphaVC-P_QP3.mp4|PQ|AlphaVC-P</t>
        </is>
      </c>
      <c r="B149" s="2" t="inlineStr">
        <is>
          <t>FlyingBirds.mp4</t>
        </is>
      </c>
      <c r="C149" s="2" t="inlineStr">
        <is>
          <t>FlyingBirds_AlphaVC-P_QP3.mp4</t>
        </is>
      </c>
      <c r="D149" s="2" t="inlineStr">
        <is>
          <t>PQ</t>
        </is>
      </c>
      <c r="E149" s="2" t="inlineStr">
        <is>
          <t>AlphaVC-P</t>
        </is>
      </c>
      <c r="F149" s="5" t="n">
        <v>2.101082609831159</v>
      </c>
      <c r="G149" s="5" t="n">
        <v>42.983106</v>
      </c>
      <c r="H149" s="5" t="n">
        <v>7.522956848</v>
      </c>
      <c r="I149" s="5" t="n">
        <v>64.876572</v>
      </c>
      <c r="J149" s="5" t="n">
        <v>130.346</v>
      </c>
      <c r="K149" s="5" t="n">
        <v>33.101</v>
      </c>
      <c r="L149" s="5" t="n">
        <v>34.749</v>
      </c>
      <c r="M149" s="5" t="n">
        <v>3.057779116863145</v>
      </c>
    </row>
    <row r="150">
      <c r="A150" s="2" t="inlineStr">
        <is>
          <t>FlyingBirds.mp4|FlyingBirds_AVS3_QP36.mp4|PQ|AVS</t>
        </is>
      </c>
      <c r="B150" s="2" t="inlineStr">
        <is>
          <t>FlyingBirds.mp4</t>
        </is>
      </c>
      <c r="C150" s="2" t="inlineStr">
        <is>
          <t>FlyingBirds_AVS3_QP36.mp4</t>
        </is>
      </c>
      <c r="D150" s="2" t="inlineStr">
        <is>
          <t>PQ</t>
        </is>
      </c>
      <c r="E150" s="2" t="inlineStr">
        <is>
          <t>AVS</t>
        </is>
      </c>
      <c r="F150" s="5" t="n">
        <v>3.812944216847754</v>
      </c>
      <c r="G150" s="5" t="n">
        <v>48.222235</v>
      </c>
      <c r="H150" s="5" t="n">
        <v>8.976916313</v>
      </c>
      <c r="I150" s="5" t="n">
        <v>87.126476</v>
      </c>
      <c r="J150" s="5" t="n">
        <v>146.621</v>
      </c>
      <c r="K150" s="5" t="n">
        <v>35.912</v>
      </c>
      <c r="L150" s="5" t="n">
        <v>38.235</v>
      </c>
      <c r="M150" s="5" t="n">
        <v>4.186443908339843</v>
      </c>
    </row>
    <row r="151">
      <c r="A151" s="2" t="inlineStr">
        <is>
          <t>FlyingBirds.mp4|FlyingBirds_AVS3_QP40.mp4|PQ|AVS</t>
        </is>
      </c>
      <c r="B151" s="2" t="inlineStr">
        <is>
          <t>FlyingBirds.mp4</t>
        </is>
      </c>
      <c r="C151" s="2" t="inlineStr">
        <is>
          <t>FlyingBirds_AVS3_QP40.mp4</t>
        </is>
      </c>
      <c r="D151" s="2" t="inlineStr">
        <is>
          <t>PQ</t>
        </is>
      </c>
      <c r="E151" s="2" t="inlineStr">
        <is>
          <t>AVS</t>
        </is>
      </c>
      <c r="F151" s="5" t="n">
        <v>3.47744977049583</v>
      </c>
      <c r="G151" s="5" t="n">
        <v>47.238181</v>
      </c>
      <c r="H151" s="5" t="n">
        <v>8.622612953000001</v>
      </c>
      <c r="I151" s="5" t="n">
        <v>82.526948</v>
      </c>
      <c r="J151" s="5" t="n">
        <v>143.541</v>
      </c>
      <c r="K151" s="5" t="n">
        <v>35.416</v>
      </c>
      <c r="L151" s="5" t="n">
        <v>37.528</v>
      </c>
      <c r="M151" s="5" t="n">
        <v>3.860870619170259</v>
      </c>
    </row>
    <row r="152">
      <c r="A152" s="2" t="inlineStr">
        <is>
          <t>FlyingBirds.mp4|FlyingBirds_AVS3_QP44.mp4|PQ|AVS</t>
        </is>
      </c>
      <c r="B152" s="2" t="inlineStr">
        <is>
          <t>FlyingBirds.mp4</t>
        </is>
      </c>
      <c r="C152" s="2" t="inlineStr">
        <is>
          <t>FlyingBirds_AVS3_QP44.mp4</t>
        </is>
      </c>
      <c r="D152" s="2" t="inlineStr">
        <is>
          <t>PQ</t>
        </is>
      </c>
      <c r="E152" s="2" t="inlineStr">
        <is>
          <t>AVS</t>
        </is>
      </c>
      <c r="F152" s="5" t="n">
        <v>2.93814498783634</v>
      </c>
      <c r="G152" s="5" t="n">
        <v>46.224542</v>
      </c>
      <c r="H152" s="5" t="n">
        <v>8.155530929999999</v>
      </c>
      <c r="I152" s="5" t="n">
        <v>76.124403</v>
      </c>
      <c r="J152" s="5" t="n">
        <v>140.376</v>
      </c>
      <c r="K152" s="5" t="n">
        <v>34.898</v>
      </c>
      <c r="L152" s="5" t="n">
        <v>36.724</v>
      </c>
      <c r="M152" s="5" t="n">
        <v>3.384481344566898</v>
      </c>
    </row>
    <row r="153">
      <c r="A153" s="2" t="inlineStr">
        <is>
          <t>FlyingBirds.mp4|FlyingBirds_AVS3_QP48.mp4|PQ|AVS</t>
        </is>
      </c>
      <c r="B153" s="2" t="inlineStr">
        <is>
          <t>FlyingBirds.mp4</t>
        </is>
      </c>
      <c r="C153" s="2" t="inlineStr">
        <is>
          <t>FlyingBirds_AVS3_QP48.mp4</t>
        </is>
      </c>
      <c r="D153" s="2" t="inlineStr">
        <is>
          <t>PQ</t>
        </is>
      </c>
      <c r="E153" s="2" t="inlineStr">
        <is>
          <t>AVS</t>
        </is>
      </c>
      <c r="F153" s="5" t="n">
        <v>2.260488497025237</v>
      </c>
      <c r="G153" s="5" t="n">
        <v>45.232915</v>
      </c>
      <c r="H153" s="5" t="n">
        <v>7.66556263</v>
      </c>
      <c r="I153" s="5" t="n">
        <v>69.273695</v>
      </c>
      <c r="J153" s="5" t="n">
        <v>137.318</v>
      </c>
      <c r="K153" s="5" t="n">
        <v>34.388</v>
      </c>
      <c r="L153" s="5" t="n">
        <v>35.941</v>
      </c>
      <c r="M153" s="5" t="n">
        <v>2.857511202703515</v>
      </c>
    </row>
    <row r="154">
      <c r="A154" s="2" t="inlineStr">
        <is>
          <t>FlyingBirds.mp4|FlyingBirds_DCVC-RT_QP25.mp4|PQ|DCVC-RT</t>
        </is>
      </c>
      <c r="B154" s="2" t="inlineStr">
        <is>
          <t>FlyingBirds.mp4</t>
        </is>
      </c>
      <c r="C154" s="2" t="inlineStr">
        <is>
          <t>FlyingBirds_DCVC-RT_QP25.mp4</t>
        </is>
      </c>
      <c r="D154" s="2" t="inlineStr">
        <is>
          <t>PQ</t>
        </is>
      </c>
      <c r="E154" s="2" t="inlineStr">
        <is>
          <t>DCVC-RT</t>
        </is>
      </c>
      <c r="F154" s="5" t="n">
        <v>2.236725476072447</v>
      </c>
      <c r="G154" s="5" t="n">
        <v>45.193498</v>
      </c>
      <c r="H154" s="5" t="n">
        <v>7.546164513</v>
      </c>
      <c r="I154" s="5" t="n">
        <v>66.567924</v>
      </c>
      <c r="J154" s="5" t="n">
        <v>137.181</v>
      </c>
      <c r="K154" s="5" t="n">
        <v>34.685</v>
      </c>
      <c r="L154" s="5" t="n">
        <v>35.957</v>
      </c>
      <c r="M154" s="5" t="n">
        <v>2.563935416851014</v>
      </c>
    </row>
    <row r="155">
      <c r="A155" s="2" t="inlineStr">
        <is>
          <t>FlyingBirds.mp4|FlyingBirds_DCVC-RT_QP38.mp4|PQ|DCVC-RT</t>
        </is>
      </c>
      <c r="B155" s="2" t="inlineStr">
        <is>
          <t>FlyingBirds.mp4</t>
        </is>
      </c>
      <c r="C155" s="2" t="inlineStr">
        <is>
          <t>FlyingBirds_DCVC-RT_QP38.mp4</t>
        </is>
      </c>
      <c r="D155" s="2" t="inlineStr">
        <is>
          <t>PQ</t>
        </is>
      </c>
      <c r="E155" s="2" t="inlineStr">
        <is>
          <t>DCVC-RT</t>
        </is>
      </c>
      <c r="F155" s="5" t="n">
        <v>4.123254085616187</v>
      </c>
      <c r="G155" s="5" t="n">
        <v>46.966664</v>
      </c>
      <c r="H155" s="5" t="n">
        <v>8.45786953</v>
      </c>
      <c r="I155" s="5" t="n">
        <v>80.15205400000001</v>
      </c>
      <c r="J155" s="5" t="n">
        <v>142.662</v>
      </c>
      <c r="K155" s="5" t="n">
        <v>35.5</v>
      </c>
      <c r="L155" s="5" t="n">
        <v>37.363</v>
      </c>
      <c r="M155" s="5" t="n">
        <v>3.566093475718365</v>
      </c>
    </row>
    <row r="156">
      <c r="A156" s="2" t="inlineStr">
        <is>
          <t>FlyingBirds.mp4|FlyingBirds_DCVC-RT_QP50.mp4|PQ|DCVC-RT</t>
        </is>
      </c>
      <c r="B156" s="2" t="inlineStr">
        <is>
          <t>FlyingBirds.mp4</t>
        </is>
      </c>
      <c r="C156" s="2" t="inlineStr">
        <is>
          <t>FlyingBirds_DCVC-RT_QP50.mp4</t>
        </is>
      </c>
      <c r="D156" s="2" t="inlineStr">
        <is>
          <t>PQ</t>
        </is>
      </c>
      <c r="E156" s="2" t="inlineStr">
        <is>
          <t>DCVC-RT</t>
        </is>
      </c>
      <c r="F156" s="5" t="n">
        <v>4.591457150848281</v>
      </c>
      <c r="G156" s="5" t="n">
        <v>48.599318</v>
      </c>
      <c r="H156" s="5" t="n">
        <v>9.100605011000001</v>
      </c>
      <c r="I156" s="5" t="n">
        <v>88.68317</v>
      </c>
      <c r="J156" s="5" t="n">
        <v>147.744</v>
      </c>
      <c r="K156" s="5" t="n">
        <v>36.353</v>
      </c>
      <c r="L156" s="5" t="n">
        <v>38.621</v>
      </c>
      <c r="M156" s="5" t="n">
        <v>4.208275282295153</v>
      </c>
    </row>
    <row r="157">
      <c r="A157" s="2" t="inlineStr">
        <is>
          <t>FlyingBirds.mp4|FlyingBirds_DCVC-RT_QP63.mp4|PQ|DCVC-RT</t>
        </is>
      </c>
      <c r="B157" s="2" t="inlineStr">
        <is>
          <t>FlyingBirds.mp4</t>
        </is>
      </c>
      <c r="C157" s="2" t="inlineStr">
        <is>
          <t>FlyingBirds_DCVC-RT_QP63.mp4</t>
        </is>
      </c>
      <c r="D157" s="2" t="inlineStr">
        <is>
          <t>PQ</t>
        </is>
      </c>
      <c r="E157" s="2" t="inlineStr">
        <is>
          <t>DCVC-RT</t>
        </is>
      </c>
      <c r="F157" s="5" t="n">
        <v>4.72442383049049</v>
      </c>
      <c r="G157" s="5" t="n">
        <v>50.255024</v>
      </c>
      <c r="H157" s="5" t="n">
        <v>9.560630798</v>
      </c>
      <c r="I157" s="5" t="n">
        <v>94.687647</v>
      </c>
      <c r="J157" s="5" t="n">
        <v>152.713</v>
      </c>
      <c r="K157" s="5" t="n">
        <v>36.96</v>
      </c>
      <c r="L157" s="5" t="n">
        <v>39.816</v>
      </c>
      <c r="M157" s="5" t="n">
        <v>4.553129130816875</v>
      </c>
    </row>
    <row r="158">
      <c r="A158" s="2" t="inlineStr">
        <is>
          <t>FlyingBirds.mp4|FlyingBirds_EEM_QP0.mp4|PQ|EEM</t>
        </is>
      </c>
      <c r="B158" s="2" t="inlineStr">
        <is>
          <t>FlyingBirds.mp4</t>
        </is>
      </c>
      <c r="C158" s="2" t="inlineStr">
        <is>
          <t>FlyingBirds_EEM_QP0.mp4</t>
        </is>
      </c>
      <c r="D158" s="2" t="inlineStr">
        <is>
          <t>PQ</t>
        </is>
      </c>
      <c r="E158" s="2" t="inlineStr">
        <is>
          <t>EEM</t>
        </is>
      </c>
      <c r="F158" s="5" t="n">
        <v>2.138910319978871</v>
      </c>
      <c r="G158" s="5" t="n">
        <v>47.933944</v>
      </c>
      <c r="H158" s="5" t="n">
        <v>8.979922295</v>
      </c>
      <c r="I158" s="5" t="n">
        <v>90.04282600000001</v>
      </c>
      <c r="J158" s="5" t="n">
        <v>144.873</v>
      </c>
      <c r="K158" s="5" t="n">
        <v>34.705</v>
      </c>
      <c r="L158" s="5" t="n">
        <v>37.39</v>
      </c>
      <c r="M158" s="5" t="n">
        <v>4.191407988740257</v>
      </c>
    </row>
    <row r="159">
      <c r="A159" s="2" t="inlineStr">
        <is>
          <t>FlyingBirds.mp4|FlyingBirds_EEM_QP1.mp4|PQ|EEM</t>
        </is>
      </c>
      <c r="B159" s="2" t="inlineStr">
        <is>
          <t>FlyingBirds.mp4</t>
        </is>
      </c>
      <c r="C159" s="2" t="inlineStr">
        <is>
          <t>FlyingBirds_EEM_QP1.mp4</t>
        </is>
      </c>
      <c r="D159" s="2" t="inlineStr">
        <is>
          <t>PQ</t>
        </is>
      </c>
      <c r="E159" s="2" t="inlineStr">
        <is>
          <t>EEM</t>
        </is>
      </c>
      <c r="F159" s="5" t="n">
        <v>1.592347888500246</v>
      </c>
      <c r="G159" s="5" t="n">
        <v>45.948831</v>
      </c>
      <c r="H159" s="5" t="n">
        <v>8.138992310000001</v>
      </c>
      <c r="I159" s="5" t="n">
        <v>82.00172999999999</v>
      </c>
      <c r="J159" s="5" t="n">
        <v>138.675</v>
      </c>
      <c r="K159" s="5" t="n">
        <v>33.972</v>
      </c>
      <c r="L159" s="5" t="n">
        <v>36.094</v>
      </c>
      <c r="M159" s="5" t="n">
        <v>3.608297526722476</v>
      </c>
    </row>
    <row r="160">
      <c r="A160" s="2" t="inlineStr">
        <is>
          <t>FlyingBirds.mp4|FlyingBirds_EEM_QP2.mp4|PQ|EEM</t>
        </is>
      </c>
      <c r="B160" s="2" t="inlineStr">
        <is>
          <t>FlyingBirds.mp4</t>
        </is>
      </c>
      <c r="C160" s="2" t="inlineStr">
        <is>
          <t>FlyingBirds_EEM_QP2.mp4</t>
        </is>
      </c>
      <c r="D160" s="2" t="inlineStr">
        <is>
          <t>PQ</t>
        </is>
      </c>
      <c r="E160" s="2" t="inlineStr">
        <is>
          <t>EEM</t>
        </is>
      </c>
      <c r="F160" s="5" t="n">
        <v>1.404582705956326</v>
      </c>
      <c r="G160" s="5" t="n">
        <v>44.822855</v>
      </c>
      <c r="H160" s="5" t="n">
        <v>7.698983192</v>
      </c>
      <c r="I160" s="5" t="n">
        <v>76.60040100000001</v>
      </c>
      <c r="J160" s="5" t="n">
        <v>135.008</v>
      </c>
      <c r="K160" s="5" t="n">
        <v>33.235</v>
      </c>
      <c r="L160" s="5" t="n">
        <v>35.467</v>
      </c>
      <c r="M160" s="5" t="n">
        <v>3.186841120690463</v>
      </c>
    </row>
    <row r="161">
      <c r="A161" s="2" t="inlineStr">
        <is>
          <t>FlyingBirds.mp4|FlyingBirds_EEM_QP3.mp4|PQ|EEM</t>
        </is>
      </c>
      <c r="B161" s="2" t="inlineStr">
        <is>
          <t>FlyingBirds.mp4</t>
        </is>
      </c>
      <c r="C161" s="2" t="inlineStr">
        <is>
          <t>FlyingBirds_EEM_QP3.mp4</t>
        </is>
      </c>
      <c r="D161" s="2" t="inlineStr">
        <is>
          <t>PQ</t>
        </is>
      </c>
      <c r="E161" s="2" t="inlineStr">
        <is>
          <t>EEM</t>
        </is>
      </c>
      <c r="F161" s="5" t="n">
        <v>1.058232114689164</v>
      </c>
      <c r="G161" s="5" t="n">
        <v>41.705831</v>
      </c>
      <c r="H161" s="5" t="n">
        <v>6.291294575</v>
      </c>
      <c r="I161" s="5" t="n">
        <v>62.156854</v>
      </c>
      <c r="J161" s="5" t="n">
        <v>124.806</v>
      </c>
      <c r="K161" s="5" t="n">
        <v>31.017</v>
      </c>
      <c r="L161" s="5" t="n">
        <v>33.679</v>
      </c>
      <c r="M161" s="5" t="n">
        <v>2.237049490689185</v>
      </c>
    </row>
    <row r="162">
      <c r="A162" s="2" t="inlineStr">
        <is>
          <t>FlyingBirds.mp4|FlyingBirds_NNVC_QP32.mp4|PQ|NNVC</t>
        </is>
      </c>
      <c r="B162" s="2" t="inlineStr">
        <is>
          <t>FlyingBirds.mp4</t>
        </is>
      </c>
      <c r="C162" s="2" t="inlineStr">
        <is>
          <t>FlyingBirds_NNVC_QP32.mp4</t>
        </is>
      </c>
      <c r="D162" s="2" t="inlineStr">
        <is>
          <t>PQ</t>
        </is>
      </c>
      <c r="E162" s="2" t="inlineStr">
        <is>
          <t>NNVC</t>
        </is>
      </c>
      <c r="F162" s="5" t="n">
        <v>4.524885569946552</v>
      </c>
      <c r="G162" s="5" t="n">
        <v>47.550194</v>
      </c>
      <c r="H162" s="5" t="n">
        <v>8.944849968</v>
      </c>
      <c r="I162" s="5" t="n">
        <v>86.433953</v>
      </c>
      <c r="J162" s="5" t="n">
        <v>144.689</v>
      </c>
      <c r="K162" s="5" t="n">
        <v>35.568</v>
      </c>
      <c r="L162" s="5" t="n">
        <v>38.393</v>
      </c>
      <c r="M162" s="5" t="n">
        <v>4.136533506805756</v>
      </c>
    </row>
    <row r="163">
      <c r="A163" s="2" t="inlineStr">
        <is>
          <t>FlyingBirds.mp4|FlyingBirds_NNVC_QP42.mp4|PQ|NNVC</t>
        </is>
      </c>
      <c r="B163" s="2" t="inlineStr">
        <is>
          <t>FlyingBirds.mp4</t>
        </is>
      </c>
      <c r="C163" s="2" t="inlineStr">
        <is>
          <t>FlyingBirds_NNVC_QP42.mp4</t>
        </is>
      </c>
      <c r="D163" s="2" t="inlineStr">
        <is>
          <t>PQ</t>
        </is>
      </c>
      <c r="E163" s="2" t="inlineStr">
        <is>
          <t>NNVC</t>
        </is>
      </c>
      <c r="F163" s="5" t="n">
        <v>2.845069558815614</v>
      </c>
      <c r="G163" s="5" t="n">
        <v>44.194025</v>
      </c>
      <c r="H163" s="5" t="n">
        <v>7.589010239</v>
      </c>
      <c r="I163" s="5" t="n">
        <v>67.281474</v>
      </c>
      <c r="J163" s="5" t="n">
        <v>134.034</v>
      </c>
      <c r="K163" s="5" t="n">
        <v>33.683</v>
      </c>
      <c r="L163" s="5" t="n">
        <v>36.083</v>
      </c>
      <c r="M163" s="5" t="n">
        <v>2.696297487396988</v>
      </c>
    </row>
    <row r="164">
      <c r="A164" s="2" t="inlineStr">
        <is>
          <t>FlyingBirds.mp4|FlyingBirds_QP27_3316.mp4|PQ|LTM</t>
        </is>
      </c>
      <c r="B164" s="2" t="inlineStr">
        <is>
          <t>FlyingBirds.mp4</t>
        </is>
      </c>
      <c r="C164" s="2" t="inlineStr">
        <is>
          <t>FlyingBirds_QP27_3316.mp4</t>
        </is>
      </c>
      <c r="D164" s="2" t="inlineStr">
        <is>
          <t>PQ</t>
        </is>
      </c>
      <c r="E164" s="2" t="inlineStr">
        <is>
          <t>LTM</t>
        </is>
      </c>
      <c r="F164" s="5" t="n">
        <v>4.484390747063567</v>
      </c>
      <c r="G164" s="5" t="n">
        <v>47.154559</v>
      </c>
      <c r="H164" s="5" t="n">
        <v>8.673969269000001</v>
      </c>
      <c r="I164" s="5" t="n">
        <v>83.62508800000001</v>
      </c>
      <c r="J164" s="5" t="n">
        <v>143.647</v>
      </c>
      <c r="K164" s="5" t="n">
        <v>35.853</v>
      </c>
      <c r="L164" s="5" t="n">
        <v>37.741</v>
      </c>
      <c r="M164" s="5" t="n">
        <v>3.874054184670823</v>
      </c>
    </row>
    <row r="165">
      <c r="A165" s="2" t="inlineStr">
        <is>
          <t>FlyingBirds.mp4|FlyingBirds_QP32_3653.mp4|PQ|LTM</t>
        </is>
      </c>
      <c r="B165" s="2" t="inlineStr">
        <is>
          <t>FlyingBirds.mp4</t>
        </is>
      </c>
      <c r="C165" s="2" t="inlineStr">
        <is>
          <t>FlyingBirds_QP32_3653.mp4</t>
        </is>
      </c>
      <c r="D165" s="2" t="inlineStr">
        <is>
          <t>PQ</t>
        </is>
      </c>
      <c r="E165" s="2" t="inlineStr">
        <is>
          <t>LTM</t>
        </is>
      </c>
      <c r="F165" s="5" t="n">
        <v>4.076814299109089</v>
      </c>
      <c r="G165" s="5" t="n">
        <v>45.947112</v>
      </c>
      <c r="H165" s="5" t="n">
        <v>7.969449043</v>
      </c>
      <c r="I165" s="5" t="n">
        <v>73.244381</v>
      </c>
      <c r="J165" s="5" t="n">
        <v>140.046</v>
      </c>
      <c r="K165" s="5" t="n">
        <v>35.235</v>
      </c>
      <c r="L165" s="5" t="n">
        <v>36.605</v>
      </c>
      <c r="M165" s="5" t="n">
        <v>3.118498122758648</v>
      </c>
    </row>
    <row r="166">
      <c r="A166" s="2" t="inlineStr">
        <is>
          <t>FlyingBirds.mp4|FlyingBirds_QP35_3856.mp4|PQ|LTM</t>
        </is>
      </c>
      <c r="B166" s="2" t="inlineStr">
        <is>
          <t>FlyingBirds.mp4</t>
        </is>
      </c>
      <c r="C166" s="2" t="inlineStr">
        <is>
          <t>FlyingBirds_QP35_3856.mp4</t>
        </is>
      </c>
      <c r="D166" s="2" t="inlineStr">
        <is>
          <t>PQ</t>
        </is>
      </c>
      <c r="E166" s="2" t="inlineStr">
        <is>
          <t>LTM</t>
        </is>
      </c>
      <c r="F166" s="5" t="n">
        <v>2.918319488066977</v>
      </c>
      <c r="G166" s="5" t="n">
        <v>45.311396</v>
      </c>
      <c r="H166" s="5" t="n">
        <v>7.525776863</v>
      </c>
      <c r="I166" s="5" t="n">
        <v>66.415446</v>
      </c>
      <c r="J166" s="5" t="n">
        <v>138.134</v>
      </c>
      <c r="K166" s="5" t="n">
        <v>34.892</v>
      </c>
      <c r="L166" s="5" t="n">
        <v>35.968</v>
      </c>
      <c r="M166" s="5" t="n">
        <v>2.64558686999382</v>
      </c>
    </row>
    <row r="167">
      <c r="A167" s="2" t="inlineStr">
        <is>
          <t>FlyingBirds.mp4|FlyingBirds_QP37_3991.mp4|PQ|LTM</t>
        </is>
      </c>
      <c r="B167" s="2" t="inlineStr">
        <is>
          <t>FlyingBirds.mp4</t>
        </is>
      </c>
      <c r="C167" s="2" t="inlineStr">
        <is>
          <t>FlyingBirds_QP37_3991.mp4</t>
        </is>
      </c>
      <c r="D167" s="2" t="inlineStr">
        <is>
          <t>PQ</t>
        </is>
      </c>
      <c r="E167" s="2" t="inlineStr">
        <is>
          <t>LTM</t>
        </is>
      </c>
      <c r="F167" s="5" t="n">
        <v>2.337877786722713</v>
      </c>
      <c r="G167" s="5" t="n">
        <v>44.786105</v>
      </c>
      <c r="H167" s="5" t="n">
        <v>7.185774803</v>
      </c>
      <c r="I167" s="5" t="n">
        <v>61.083257</v>
      </c>
      <c r="J167" s="5" t="n">
        <v>136.564</v>
      </c>
      <c r="K167" s="5" t="n">
        <v>34.619</v>
      </c>
      <c r="L167" s="5" t="n">
        <v>35.505</v>
      </c>
      <c r="M167" s="5" t="n">
        <v>2.330743274208534</v>
      </c>
    </row>
    <row r="168">
      <c r="A168" s="2" t="inlineStr">
        <is>
          <t>FlyingBirds.mp4|FlyingBirds_QP42_4329.mp4|PQ|LTM</t>
        </is>
      </c>
      <c r="B168" s="2" t="inlineStr">
        <is>
          <t>FlyingBirds.mp4</t>
        </is>
      </c>
      <c r="C168" s="2" t="inlineStr">
        <is>
          <t>FlyingBirds_QP42_4329.mp4</t>
        </is>
      </c>
      <c r="D168" s="2" t="inlineStr">
        <is>
          <t>PQ</t>
        </is>
      </c>
      <c r="E168" s="2" t="inlineStr">
        <is>
          <t>LTM</t>
        </is>
      </c>
      <c r="F168" s="5" t="n">
        <v>1.378500782215643</v>
      </c>
      <c r="G168" s="5" t="n">
        <v>43.709823</v>
      </c>
      <c r="H168" s="5" t="n">
        <v>6.348521233</v>
      </c>
      <c r="I168" s="5" t="n">
        <v>47.200068</v>
      </c>
      <c r="J168" s="5" t="n">
        <v>133.324</v>
      </c>
      <c r="K168" s="5" t="n">
        <v>33.951</v>
      </c>
      <c r="L168" s="5" t="n">
        <v>34.478</v>
      </c>
      <c r="M168" s="5" t="n">
        <v>1.795749362759576</v>
      </c>
    </row>
    <row r="169">
      <c r="A169" s="2" t="inlineStr">
        <is>
          <t>FlyingBirds.mp4|FlyingBirds_VTM_QP32.mp4|PQ|VTM</t>
        </is>
      </c>
      <c r="B169" s="2" t="inlineStr">
        <is>
          <t>FlyingBirds.mp4</t>
        </is>
      </c>
      <c r="C169" s="2" t="inlineStr">
        <is>
          <t>FlyingBirds_VTM_QP32.mp4</t>
        </is>
      </c>
      <c r="D169" s="2" t="inlineStr">
        <is>
          <t>PQ</t>
        </is>
      </c>
      <c r="E169" s="2" t="inlineStr">
        <is>
          <t>VTM</t>
        </is>
      </c>
      <c r="F169" s="5" t="n">
        <v>4.497201500478795</v>
      </c>
      <c r="G169" s="5" t="n">
        <v>47.985557</v>
      </c>
      <c r="H169" s="5" t="n">
        <v>8.735355376999999</v>
      </c>
      <c r="I169" s="5" t="n">
        <v>83.251909</v>
      </c>
      <c r="J169" s="5" t="n">
        <v>146.436</v>
      </c>
      <c r="K169" s="5" t="n">
        <v>36.029</v>
      </c>
      <c r="L169" s="5" t="n">
        <v>37.902</v>
      </c>
      <c r="M169" s="5" t="n">
        <v>3.988540550439645</v>
      </c>
    </row>
    <row r="170">
      <c r="A170" s="2" t="inlineStr">
        <is>
          <t>FlyingBirds.mp4|FlyingBirds_VTM_QP35.mp4|PQ|VTM</t>
        </is>
      </c>
      <c r="B170" s="2" t="inlineStr">
        <is>
          <t>FlyingBirds.mp4</t>
        </is>
      </c>
      <c r="C170" s="2" t="inlineStr">
        <is>
          <t>FlyingBirds_VTM_QP35.mp4</t>
        </is>
      </c>
      <c r="D170" s="2" t="inlineStr">
        <is>
          <t>PQ</t>
        </is>
      </c>
      <c r="E170" s="2" t="inlineStr">
        <is>
          <t>VTM</t>
        </is>
      </c>
      <c r="F170" s="5" t="n">
        <v>3.955716907724959</v>
      </c>
      <c r="G170" s="5" t="n">
        <v>47.278055</v>
      </c>
      <c r="H170" s="5" t="n">
        <v>8.355345725999999</v>
      </c>
      <c r="I170" s="5" t="n">
        <v>78.105092</v>
      </c>
      <c r="J170" s="5" t="n">
        <v>144.274</v>
      </c>
      <c r="K170" s="5" t="n">
        <v>35.655</v>
      </c>
      <c r="L170" s="5" t="n">
        <v>37.174</v>
      </c>
      <c r="M170" s="5" t="n">
        <v>3.616128369955336</v>
      </c>
    </row>
    <row r="171">
      <c r="A171" s="2" t="inlineStr">
        <is>
          <t>FlyingBirds.mp4|FlyingBirds_VTM_QP37.mp4|PQ|VTM</t>
        </is>
      </c>
      <c r="B171" s="2" t="inlineStr">
        <is>
          <t>FlyingBirds.mp4</t>
        </is>
      </c>
      <c r="C171" s="2" t="inlineStr">
        <is>
          <t>FlyingBirds_VTM_QP37.mp4</t>
        </is>
      </c>
      <c r="D171" s="2" t="inlineStr">
        <is>
          <t>PQ</t>
        </is>
      </c>
      <c r="E171" s="2" t="inlineStr">
        <is>
          <t>VTM</t>
        </is>
      </c>
      <c r="F171" s="5" t="n">
        <v>3.697021432462217</v>
      </c>
      <c r="G171" s="5" t="n">
        <v>46.688941</v>
      </c>
      <c r="H171" s="5" t="n">
        <v>8.062221527</v>
      </c>
      <c r="I171" s="5" t="n">
        <v>73.90782</v>
      </c>
      <c r="J171" s="5" t="n">
        <v>142.499</v>
      </c>
      <c r="K171" s="5" t="n">
        <v>35.372</v>
      </c>
      <c r="L171" s="5" t="n">
        <v>36.684</v>
      </c>
      <c r="M171" s="5" t="n">
        <v>3.288277560777413</v>
      </c>
    </row>
    <row r="172">
      <c r="A172" s="2" t="inlineStr">
        <is>
          <t>FlyingBirds.mp4|FlyingBirds_VTM_QP42.mp4|PQ|VTM</t>
        </is>
      </c>
      <c r="B172" s="2" t="inlineStr">
        <is>
          <t>FlyingBirds.mp4</t>
        </is>
      </c>
      <c r="C172" s="2" t="inlineStr">
        <is>
          <t>FlyingBirds_VTM_QP42.mp4</t>
        </is>
      </c>
      <c r="D172" s="2" t="inlineStr">
        <is>
          <t>PQ</t>
        </is>
      </c>
      <c r="E172" s="2" t="inlineStr">
        <is>
          <t>VTM</t>
        </is>
      </c>
      <c r="F172" s="5" t="n">
        <v>2.501182501001969</v>
      </c>
      <c r="G172" s="5" t="n">
        <v>45.457934</v>
      </c>
      <c r="H172" s="5" t="n">
        <v>7.287480354</v>
      </c>
      <c r="I172" s="5" t="n">
        <v>62.114092</v>
      </c>
      <c r="J172" s="5" t="n">
        <v>138.74</v>
      </c>
      <c r="K172" s="5" t="n">
        <v>34.681</v>
      </c>
      <c r="L172" s="5" t="n">
        <v>35.479</v>
      </c>
      <c r="M172" s="5" t="n">
        <v>2.472937242921348</v>
      </c>
    </row>
    <row r="173">
      <c r="A173" s="2" t="inlineStr">
        <is>
          <t>Football1_1000nit.mp4|Football1_1000nit_AlphaVC-P_r2.mp4|PQ|AlphaVC-P</t>
        </is>
      </c>
      <c r="B173" s="2" t="inlineStr">
        <is>
          <t>Football1_1000nit.mp4</t>
        </is>
      </c>
      <c r="C173" s="2" t="inlineStr">
        <is>
          <t>Football1_1000nit_AlphaVC-P_r2.mp4</t>
        </is>
      </c>
      <c r="D173" s="2" t="inlineStr">
        <is>
          <t>PQ</t>
        </is>
      </c>
      <c r="E173" s="2" t="inlineStr">
        <is>
          <t>AlphaVC-P</t>
        </is>
      </c>
      <c r="F173" s="5" t="n">
        <v>3.977169928108073</v>
      </c>
      <c r="G173" s="5" t="n">
        <v>46.01188</v>
      </c>
      <c r="H173" s="5" t="n">
        <v>9.101347923000001</v>
      </c>
      <c r="I173" s="5" t="n">
        <v>87.150198</v>
      </c>
      <c r="J173" s="5" t="n">
        <v>140.051</v>
      </c>
      <c r="K173" s="5" t="n">
        <v>35.403</v>
      </c>
      <c r="L173" s="5" t="n">
        <v>36.811</v>
      </c>
      <c r="M173" s="5" t="n">
        <v>4.413737557124802</v>
      </c>
    </row>
    <row r="174">
      <c r="A174" s="2" t="inlineStr">
        <is>
          <t>Football1_1000nit.mp4|Football1_1000nit_EEM_r3.mp4|PQ|EEM</t>
        </is>
      </c>
      <c r="B174" s="2" t="inlineStr">
        <is>
          <t>Football1_1000nit.mp4</t>
        </is>
      </c>
      <c r="C174" s="2" t="inlineStr">
        <is>
          <t>Football1_1000nit_EEM_r3.mp4</t>
        </is>
      </c>
      <c r="D174" s="2" t="inlineStr">
        <is>
          <t>PQ</t>
        </is>
      </c>
      <c r="E174" s="2" t="inlineStr">
        <is>
          <t>EEM</t>
        </is>
      </c>
      <c r="F174" s="5" t="n">
        <v>1.532605491665149</v>
      </c>
      <c r="G174" s="5" t="n">
        <v>44.038621</v>
      </c>
      <c r="H174" s="5" t="n">
        <v>7.554700851</v>
      </c>
      <c r="I174" s="5" t="n">
        <v>82.53602100000001</v>
      </c>
      <c r="J174" s="5" t="n">
        <v>134.252</v>
      </c>
      <c r="K174" s="5" t="n">
        <v>34.462</v>
      </c>
      <c r="L174" s="5" t="n">
        <v>35.915</v>
      </c>
      <c r="M174" s="5" t="n">
        <v>3.36128473065613</v>
      </c>
    </row>
    <row r="175">
      <c r="A175" s="2" t="inlineStr">
        <is>
          <t>Football1_1000nit.mp4|Football1_1000nit_VTM_r2.mp4|PQ|VTM</t>
        </is>
      </c>
      <c r="B175" s="2" t="inlineStr">
        <is>
          <t>Football1_1000nit.mp4</t>
        </is>
      </c>
      <c r="C175" s="2" t="inlineStr">
        <is>
          <t>Football1_1000nit_VTM_r2.mp4</t>
        </is>
      </c>
      <c r="D175" s="2" t="inlineStr">
        <is>
          <t>PQ</t>
        </is>
      </c>
      <c r="E175" s="2" t="inlineStr">
        <is>
          <t>VTM</t>
        </is>
      </c>
      <c r="F175" s="5" t="n">
        <v>3.781323516818886</v>
      </c>
      <c r="G175" s="5" t="n">
        <v>47.211857</v>
      </c>
      <c r="H175" s="5" t="n">
        <v>8.743079184999999</v>
      </c>
      <c r="I175" s="5" t="n">
        <v>89.824873</v>
      </c>
      <c r="J175" s="5" t="n">
        <v>144.37</v>
      </c>
      <c r="K175" s="5" t="n">
        <v>35.898</v>
      </c>
      <c r="L175" s="5" t="n">
        <v>37.078</v>
      </c>
      <c r="M175" s="5" t="n">
        <v>4.243207976641376</v>
      </c>
    </row>
    <row r="176">
      <c r="A176" s="2" t="inlineStr">
        <is>
          <t>Fountain2.mp4|Fountain2_AlphaVC-P_QP0.mp4|HLG|AlphaVC-P</t>
        </is>
      </c>
      <c r="B176" s="2" t="inlineStr">
        <is>
          <t>Fountain2.mp4</t>
        </is>
      </c>
      <c r="C176" s="2" t="inlineStr">
        <is>
          <t>Fountain2_AlphaVC-P_QP0.mp4</t>
        </is>
      </c>
      <c r="D176" s="2" t="inlineStr">
        <is>
          <t>HLG</t>
        </is>
      </c>
      <c r="E176" s="2" t="inlineStr">
        <is>
          <t>AlphaVC-P</t>
        </is>
      </c>
      <c r="F176" s="5" t="n">
        <v>4.494844713016118</v>
      </c>
      <c r="G176" s="5" t="n">
        <v>39.063239</v>
      </c>
      <c r="H176" s="5" t="n">
        <v>8.264767646999999</v>
      </c>
      <c r="I176" s="5" t="n">
        <v>82.96438000000001</v>
      </c>
      <c r="J176" s="5" t="n">
        <v>114.752</v>
      </c>
      <c r="K176" s="5" t="n">
        <v>23.56</v>
      </c>
      <c r="L176" s="5" t="n">
        <v>24.318</v>
      </c>
      <c r="M176" s="5" t="n">
        <v>4.229044995919979</v>
      </c>
    </row>
    <row r="177">
      <c r="A177" s="2" t="inlineStr">
        <is>
          <t>Fountain2.mp4|Fountain2_AlphaVC-P_QP1.mp4|HLG|AlphaVC-P</t>
        </is>
      </c>
      <c r="B177" s="2" t="inlineStr">
        <is>
          <t>Fountain2.mp4</t>
        </is>
      </c>
      <c r="C177" s="2" t="inlineStr">
        <is>
          <t>Fountain2_AlphaVC-P_QP1.mp4</t>
        </is>
      </c>
      <c r="D177" s="2" t="inlineStr">
        <is>
          <t>HLG</t>
        </is>
      </c>
      <c r="E177" s="2" t="inlineStr">
        <is>
          <t>AlphaVC-P</t>
        </is>
      </c>
      <c r="F177" s="5" t="n">
        <v>4.255975370988615</v>
      </c>
      <c r="G177" s="5" t="n">
        <v>38.159377</v>
      </c>
      <c r="H177" s="5" t="n">
        <v>7.790560246</v>
      </c>
      <c r="I177" s="5" t="n">
        <v>79.09587399999999</v>
      </c>
      <c r="J177" s="5" t="n">
        <v>111.895</v>
      </c>
      <c r="K177" s="5" t="n">
        <v>23.177</v>
      </c>
      <c r="L177" s="5" t="n">
        <v>23.844</v>
      </c>
      <c r="M177" s="5" t="n">
        <v>4.007142454082038</v>
      </c>
    </row>
    <row r="178">
      <c r="A178" s="2" t="inlineStr">
        <is>
          <t>Fountain2.mp4|Fountain2_AlphaVC-P_QP2.mp4|HLG|AlphaVC-P</t>
        </is>
      </c>
      <c r="B178" s="2" t="inlineStr">
        <is>
          <t>Fountain2.mp4</t>
        </is>
      </c>
      <c r="C178" s="2" t="inlineStr">
        <is>
          <t>Fountain2_AlphaVC-P_QP2.mp4</t>
        </is>
      </c>
      <c r="D178" s="2" t="inlineStr">
        <is>
          <t>HLG</t>
        </is>
      </c>
      <c r="E178" s="2" t="inlineStr">
        <is>
          <t>AlphaVC-P</t>
        </is>
      </c>
      <c r="F178" s="5" t="n">
        <v>3.707489974542391</v>
      </c>
      <c r="G178" s="5" t="n">
        <v>37.387502</v>
      </c>
      <c r="H178" s="5" t="n">
        <v>7.411633968</v>
      </c>
      <c r="I178" s="5" t="n">
        <v>75.838573</v>
      </c>
      <c r="J178" s="5" t="n">
        <v>109.526</v>
      </c>
      <c r="K178" s="5" t="n">
        <v>22.857</v>
      </c>
      <c r="L178" s="5" t="n">
        <v>23.49</v>
      </c>
      <c r="M178" s="5" t="n">
        <v>3.793964655474151</v>
      </c>
    </row>
    <row r="179">
      <c r="A179" s="2" t="inlineStr">
        <is>
          <t>Fountain2.mp4|Fountain2_AlphaVC-P_QP3.mp4|HLG|AlphaVC-P</t>
        </is>
      </c>
      <c r="B179" s="2" t="inlineStr">
        <is>
          <t>Fountain2.mp4</t>
        </is>
      </c>
      <c r="C179" s="2" t="inlineStr">
        <is>
          <t>Fountain2_AlphaVC-P_QP3.mp4</t>
        </is>
      </c>
      <c r="D179" s="2" t="inlineStr">
        <is>
          <t>HLG</t>
        </is>
      </c>
      <c r="E179" s="2" t="inlineStr">
        <is>
          <t>AlphaVC-P</t>
        </is>
      </c>
      <c r="F179" s="5" t="n">
        <v>2.860463136189549</v>
      </c>
      <c r="G179" s="5" t="n">
        <v>35.706208</v>
      </c>
      <c r="H179" s="5" t="n">
        <v>6.857647896</v>
      </c>
      <c r="I179" s="5" t="n">
        <v>69.748102</v>
      </c>
      <c r="J179" s="5" t="n">
        <v>104.405</v>
      </c>
      <c r="K179" s="5" t="n">
        <v>22.283</v>
      </c>
      <c r="L179" s="5" t="n">
        <v>22.935</v>
      </c>
      <c r="M179" s="5" t="n">
        <v>3.418007649266225</v>
      </c>
    </row>
    <row r="180">
      <c r="A180" s="2" t="inlineStr">
        <is>
          <t>Fountain2.mp4|Fountain2_AlphaVC-P_QP4.mp4|HLG|AlphaVC-P</t>
        </is>
      </c>
      <c r="B180" s="2" t="inlineStr">
        <is>
          <t>Fountain2.mp4</t>
        </is>
      </c>
      <c r="C180" s="2" t="inlineStr">
        <is>
          <t>Fountain2_AlphaVC-P_QP4.mp4</t>
        </is>
      </c>
      <c r="D180" s="2" t="inlineStr">
        <is>
          <t>HLG</t>
        </is>
      </c>
      <c r="E180" s="2" t="inlineStr">
        <is>
          <t>AlphaVC-P</t>
        </is>
      </c>
      <c r="F180" s="5" t="n">
        <v>2.029254816920291</v>
      </c>
      <c r="G180" s="5" t="n">
        <v>34.385153</v>
      </c>
      <c r="H180" s="5" t="n">
        <v>6.184556961</v>
      </c>
      <c r="I180" s="5" t="n">
        <v>64.22870899999999</v>
      </c>
      <c r="J180" s="5" t="n">
        <v>100.144</v>
      </c>
      <c r="K180" s="5" t="n">
        <v>21.76</v>
      </c>
      <c r="L180" s="5" t="n">
        <v>22.382</v>
      </c>
      <c r="M180" s="5" t="n">
        <v>2.972998017551008</v>
      </c>
    </row>
    <row r="181">
      <c r="A181" s="2" t="inlineStr">
        <is>
          <t>Fountain2.mp4|Fountain2_AlphaVC-P_QP5.mp4|HLG|AlphaVC-P</t>
        </is>
      </c>
      <c r="B181" s="2" t="inlineStr">
        <is>
          <t>Fountain2.mp4</t>
        </is>
      </c>
      <c r="C181" s="2" t="inlineStr">
        <is>
          <t>Fountain2_AlphaVC-P_QP5.mp4</t>
        </is>
      </c>
      <c r="D181" s="2" t="inlineStr">
        <is>
          <t>HLG</t>
        </is>
      </c>
      <c r="E181" s="2" t="inlineStr">
        <is>
          <t>AlphaVC-P</t>
        </is>
      </c>
      <c r="F181" s="5" t="n">
        <v>1.361298252141027</v>
      </c>
      <c r="G181" s="5" t="n">
        <v>33.311197</v>
      </c>
      <c r="H181" s="5" t="n">
        <v>5.317385197</v>
      </c>
      <c r="I181" s="5" t="n">
        <v>57.982217</v>
      </c>
      <c r="J181" s="5" t="n">
        <v>96.622</v>
      </c>
      <c r="K181" s="5" t="n">
        <v>21.23</v>
      </c>
      <c r="L181" s="5" t="n">
        <v>21.769</v>
      </c>
      <c r="M181" s="5" t="n">
        <v>2.525675597636392</v>
      </c>
    </row>
    <row r="182">
      <c r="A182" s="2" t="inlineStr">
        <is>
          <t>Fountain2.mp4|Fountain2_AVS3_QP36.mp4|HLG|AVS</t>
        </is>
      </c>
      <c r="B182" s="2" t="inlineStr">
        <is>
          <t>Fountain2.mp4</t>
        </is>
      </c>
      <c r="C182" s="2" t="inlineStr">
        <is>
          <t>Fountain2_AVS3_QP36.mp4</t>
        </is>
      </c>
      <c r="D182" s="2" t="inlineStr">
        <is>
          <t>HLG</t>
        </is>
      </c>
      <c r="E182" s="2" t="inlineStr">
        <is>
          <t>AVS</t>
        </is>
      </c>
      <c r="F182" s="5" t="n">
        <v>4.438626793290614</v>
      </c>
      <c r="G182" s="5" t="n">
        <v>40.650513</v>
      </c>
      <c r="H182" s="5" t="n">
        <v>8.67675972</v>
      </c>
      <c r="I182" s="5" t="n">
        <v>90.356808</v>
      </c>
      <c r="J182" s="5" t="n">
        <v>120.121</v>
      </c>
      <c r="K182" s="5" t="n">
        <v>24.341</v>
      </c>
      <c r="L182" s="5" t="n">
        <v>25.434</v>
      </c>
      <c r="M182" s="5" t="n">
        <v>4.372494606304466</v>
      </c>
    </row>
    <row r="183">
      <c r="A183" s="2" t="inlineStr">
        <is>
          <t>Fountain2.mp4|Fountain2_AVS3_QP40.mp4|HLG|AVS</t>
        </is>
      </c>
      <c r="B183" s="2" t="inlineStr">
        <is>
          <t>Fountain2.mp4</t>
        </is>
      </c>
      <c r="C183" s="2" t="inlineStr">
        <is>
          <t>Fountain2_AVS3_QP40.mp4</t>
        </is>
      </c>
      <c r="D183" s="2" t="inlineStr">
        <is>
          <t>HLG</t>
        </is>
      </c>
      <c r="E183" s="2" t="inlineStr">
        <is>
          <t>AVS</t>
        </is>
      </c>
      <c r="F183" s="5" t="n">
        <v>4.290156003204155</v>
      </c>
      <c r="G183" s="5" t="n">
        <v>39.69597</v>
      </c>
      <c r="H183" s="5" t="n">
        <v>8.290726662000001</v>
      </c>
      <c r="I183" s="5" t="n">
        <v>86.201229</v>
      </c>
      <c r="J183" s="5" t="n">
        <v>117.061</v>
      </c>
      <c r="K183" s="5" t="n">
        <v>23.899</v>
      </c>
      <c r="L183" s="5" t="n">
        <v>24.823</v>
      </c>
      <c r="M183" s="5" t="n">
        <v>4.132943331894168</v>
      </c>
    </row>
    <row r="184">
      <c r="A184" s="2" t="inlineStr">
        <is>
          <t>Fountain2.mp4|Fountain2_AVS3_QP44.mp4|HLG|AVS</t>
        </is>
      </c>
      <c r="B184" s="2" t="inlineStr">
        <is>
          <t>Fountain2.mp4</t>
        </is>
      </c>
      <c r="C184" s="2" t="inlineStr">
        <is>
          <t>Fountain2_AVS3_QP44.mp4</t>
        </is>
      </c>
      <c r="D184" s="2" t="inlineStr">
        <is>
          <t>HLG</t>
        </is>
      </c>
      <c r="E184" s="2" t="inlineStr">
        <is>
          <t>AVS</t>
        </is>
      </c>
      <c r="F184" s="5" t="n">
        <v>3.374834685440442</v>
      </c>
      <c r="G184" s="5" t="n">
        <v>38.757789</v>
      </c>
      <c r="H184" s="5" t="n">
        <v>7.797146797</v>
      </c>
      <c r="I184" s="5" t="n">
        <v>81.45898</v>
      </c>
      <c r="J184" s="5" t="n">
        <v>114.002</v>
      </c>
      <c r="K184" s="5" t="n">
        <v>23.443</v>
      </c>
      <c r="L184" s="5" t="n">
        <v>24.228</v>
      </c>
      <c r="M184" s="5" t="n">
        <v>3.800151102684319</v>
      </c>
    </row>
    <row r="185">
      <c r="A185" s="2" t="inlineStr">
        <is>
          <t>Fountain2.mp4|Fountain2_AVS3_QP48.mp4|HLG|AVS</t>
        </is>
      </c>
      <c r="B185" s="2" t="inlineStr">
        <is>
          <t>Fountain2.mp4</t>
        </is>
      </c>
      <c r="C185" s="2" t="inlineStr">
        <is>
          <t>Fountain2_AVS3_QP48.mp4</t>
        </is>
      </c>
      <c r="D185" s="2" t="inlineStr">
        <is>
          <t>HLG</t>
        </is>
      </c>
      <c r="E185" s="2" t="inlineStr">
        <is>
          <t>AVS</t>
        </is>
      </c>
      <c r="F185" s="5" t="n">
        <v>3.082703732552185</v>
      </c>
      <c r="G185" s="5" t="n">
        <v>38.010334</v>
      </c>
      <c r="H185" s="5" t="n">
        <v>7.295384407</v>
      </c>
      <c r="I185" s="5" t="n">
        <v>77.169714</v>
      </c>
      <c r="J185" s="5" t="n">
        <v>111.512</v>
      </c>
      <c r="K185" s="5" t="n">
        <v>23.082</v>
      </c>
      <c r="L185" s="5" t="n">
        <v>23.727</v>
      </c>
      <c r="M185" s="5" t="n">
        <v>3.438110345152027</v>
      </c>
    </row>
    <row r="186">
      <c r="A186" s="2" t="inlineStr">
        <is>
          <t>Fountain2.mp4|Fountain2_DCVC-RT_QP0.mp4|HLG|DCVC-RT</t>
        </is>
      </c>
      <c r="B186" s="2" t="inlineStr">
        <is>
          <t>Fountain2.mp4</t>
        </is>
      </c>
      <c r="C186" s="2" t="inlineStr">
        <is>
          <t>Fountain2_DCVC-RT_QP0.mp4</t>
        </is>
      </c>
      <c r="D186" s="2" t="inlineStr">
        <is>
          <t>HLG</t>
        </is>
      </c>
      <c r="E186" s="2" t="inlineStr">
        <is>
          <t>DCVC-RT</t>
        </is>
      </c>
      <c r="F186" s="5" t="n">
        <v>1.454876363334389</v>
      </c>
      <c r="G186" s="5" t="n">
        <v>35.847063</v>
      </c>
      <c r="H186" s="5" t="n">
        <v>5.325935364</v>
      </c>
      <c r="I186" s="5" t="n">
        <v>64.184585</v>
      </c>
      <c r="J186" s="5" t="n">
        <v>104.101</v>
      </c>
      <c r="K186" s="5" t="n">
        <v>21.91</v>
      </c>
      <c r="L186" s="5" t="n">
        <v>22.122</v>
      </c>
      <c r="M186" s="5" t="n">
        <v>2.339288791353159</v>
      </c>
    </row>
    <row r="187">
      <c r="A187" s="2" t="inlineStr">
        <is>
          <t>Fountain2.mp4|Fountain2_DCVC-RT_QP21.mp4|HLG|DCVC-RT</t>
        </is>
      </c>
      <c r="B187" s="2" t="inlineStr">
        <is>
          <t>Fountain2.mp4</t>
        </is>
      </c>
      <c r="C187" s="2" t="inlineStr">
        <is>
          <t>Fountain2_DCVC-RT_QP21.mp4</t>
        </is>
      </c>
      <c r="D187" s="2" t="inlineStr">
        <is>
          <t>HLG</t>
        </is>
      </c>
      <c r="E187" s="2" t="inlineStr">
        <is>
          <t>DCVC-RT</t>
        </is>
      </c>
      <c r="F187" s="5" t="n">
        <v>2.659729650500481</v>
      </c>
      <c r="G187" s="5" t="n">
        <v>38.562583</v>
      </c>
      <c r="H187" s="5" t="n">
        <v>7.101241112</v>
      </c>
      <c r="I187" s="5" t="n">
        <v>76.75500099999999</v>
      </c>
      <c r="J187" s="5" t="n">
        <v>113.011</v>
      </c>
      <c r="K187" s="5" t="n">
        <v>23.361</v>
      </c>
      <c r="L187" s="5" t="n">
        <v>23.642</v>
      </c>
      <c r="M187" s="5" t="n">
        <v>3.330834878496821</v>
      </c>
    </row>
    <row r="188">
      <c r="A188" s="2" t="inlineStr">
        <is>
          <t>Fountain2.mp4|Fountain2_DCVC-RT_QP30.mp4|HLG|DCVC-RT</t>
        </is>
      </c>
      <c r="B188" s="2" t="inlineStr">
        <is>
          <t>Fountain2.mp4</t>
        </is>
      </c>
      <c r="C188" s="2" t="inlineStr">
        <is>
          <t>Fountain2_DCVC-RT_QP30.mp4</t>
        </is>
      </c>
      <c r="D188" s="2" t="inlineStr">
        <is>
          <t>HLG</t>
        </is>
      </c>
      <c r="E188" s="2" t="inlineStr">
        <is>
          <t>DCVC-RT</t>
        </is>
      </c>
      <c r="F188" s="5" t="n">
        <v>3.789952029341935</v>
      </c>
      <c r="G188" s="5" t="n">
        <v>39.738397</v>
      </c>
      <c r="H188" s="5" t="n">
        <v>7.757583618</v>
      </c>
      <c r="I188" s="5" t="n">
        <v>82.112161</v>
      </c>
      <c r="J188" s="5" t="n">
        <v>116.945</v>
      </c>
      <c r="K188" s="5" t="n">
        <v>23.926</v>
      </c>
      <c r="L188" s="5" t="n">
        <v>24.261</v>
      </c>
      <c r="M188" s="5" t="n">
        <v>3.780486514824433</v>
      </c>
    </row>
    <row r="189">
      <c r="A189" s="2" t="inlineStr">
        <is>
          <t>Fountain2.mp4|Fountain2_DCVC-RT_QP42.mp4|HLG|DCVC-RT</t>
        </is>
      </c>
      <c r="B189" s="2" t="inlineStr">
        <is>
          <t>Fountain2.mp4</t>
        </is>
      </c>
      <c r="C189" s="2" t="inlineStr">
        <is>
          <t>Fountain2_DCVC-RT_QP42.mp4</t>
        </is>
      </c>
      <c r="D189" s="2" t="inlineStr">
        <is>
          <t>HLG</t>
        </is>
      </c>
      <c r="E189" s="2" t="inlineStr">
        <is>
          <t>DCVC-RT</t>
        </is>
      </c>
      <c r="F189" s="5" t="n">
        <v>4.042199185830762</v>
      </c>
      <c r="G189" s="5" t="n">
        <v>41.052484</v>
      </c>
      <c r="H189" s="5" t="n">
        <v>8.43419838</v>
      </c>
      <c r="I189" s="5" t="n">
        <v>88.344308</v>
      </c>
      <c r="J189" s="5" t="n">
        <v>121.285</v>
      </c>
      <c r="K189" s="5" t="n">
        <v>24.538</v>
      </c>
      <c r="L189" s="5" t="n">
        <v>25.049</v>
      </c>
      <c r="M189" s="5" t="n">
        <v>4.23222944019961</v>
      </c>
    </row>
    <row r="190">
      <c r="A190" s="2" t="inlineStr">
        <is>
          <t>Fountain2.mp4|Fountain2_EEM_QP0.mp4|HLG|EEM</t>
        </is>
      </c>
      <c r="B190" s="2" t="inlineStr">
        <is>
          <t>Fountain2.mp4</t>
        </is>
      </c>
      <c r="C190" s="2" t="inlineStr">
        <is>
          <t>Fountain2_EEM_QP0.mp4</t>
        </is>
      </c>
      <c r="D190" s="2" t="inlineStr">
        <is>
          <t>HLG</t>
        </is>
      </c>
      <c r="E190" s="2" t="inlineStr">
        <is>
          <t>EEM</t>
        </is>
      </c>
      <c r="F190" s="5" t="n">
        <v>3.784298180820571</v>
      </c>
      <c r="G190" s="5" t="n">
        <v>41.561016</v>
      </c>
      <c r="H190" s="5" t="n">
        <v>8.790734291</v>
      </c>
      <c r="I190" s="5" t="n">
        <v>93.37251999999999</v>
      </c>
      <c r="J190" s="5" t="n">
        <v>122.528</v>
      </c>
      <c r="K190" s="5" t="n">
        <v>24.577</v>
      </c>
      <c r="L190" s="5" t="n">
        <v>25.739</v>
      </c>
      <c r="M190" s="5" t="n">
        <v>4.474871812955353</v>
      </c>
    </row>
    <row r="191">
      <c r="A191" s="2" t="inlineStr">
        <is>
          <t>Fountain2.mp4|Fountain2_EEM_QP1.mp4|HLG|EEM</t>
        </is>
      </c>
      <c r="B191" s="2" t="inlineStr">
        <is>
          <t>Fountain2.mp4</t>
        </is>
      </c>
      <c r="C191" s="2" t="inlineStr">
        <is>
          <t>Fountain2_EEM_QP1.mp4</t>
        </is>
      </c>
      <c r="D191" s="2" t="inlineStr">
        <is>
          <t>HLG</t>
        </is>
      </c>
      <c r="E191" s="2" t="inlineStr">
        <is>
          <t>EEM</t>
        </is>
      </c>
      <c r="F191" s="5" t="n">
        <v>3.43455032818539</v>
      </c>
      <c r="G191" s="5" t="n">
        <v>39.721817</v>
      </c>
      <c r="H191" s="5" t="n">
        <v>8.050588608</v>
      </c>
      <c r="I191" s="5" t="n">
        <v>86.30606299999999</v>
      </c>
      <c r="J191" s="5" t="n">
        <v>116.695</v>
      </c>
      <c r="K191" s="5" t="n">
        <v>23.763</v>
      </c>
      <c r="L191" s="5" t="n">
        <v>24.659</v>
      </c>
      <c r="M191" s="5" t="n">
        <v>4.053821782214724</v>
      </c>
    </row>
    <row r="192">
      <c r="A192" s="2" t="inlineStr">
        <is>
          <t>Fountain2.mp4|Fountain2_EEM_QP2.mp4|HLG|EEM</t>
        </is>
      </c>
      <c r="B192" s="2" t="inlineStr">
        <is>
          <t>Fountain2.mp4</t>
        </is>
      </c>
      <c r="C192" s="2" t="inlineStr">
        <is>
          <t>Fountain2_EEM_QP2.mp4</t>
        </is>
      </c>
      <c r="D192" s="2" t="inlineStr">
        <is>
          <t>HLG</t>
        </is>
      </c>
      <c r="E192" s="2" t="inlineStr">
        <is>
          <t>EEM</t>
        </is>
      </c>
      <c r="F192" s="5" t="n">
        <v>3.169642266150828</v>
      </c>
      <c r="G192" s="5" t="n">
        <v>38.814588</v>
      </c>
      <c r="H192" s="5" t="n">
        <v>7.602427483</v>
      </c>
      <c r="I192" s="5" t="n">
        <v>82.134011</v>
      </c>
      <c r="J192" s="5" t="n">
        <v>113.781</v>
      </c>
      <c r="K192" s="5" t="n">
        <v>23.333</v>
      </c>
      <c r="L192" s="5" t="n">
        <v>24.163</v>
      </c>
      <c r="M192" s="5" t="n">
        <v>3.747121444139689</v>
      </c>
    </row>
    <row r="193">
      <c r="A193" s="2" t="inlineStr">
        <is>
          <t>Fountain2.mp4|Fountain2_EEM_QP3.mp4|HLG|EEM</t>
        </is>
      </c>
      <c r="B193" s="2" t="inlineStr">
        <is>
          <t>Fountain2.mp4</t>
        </is>
      </c>
      <c r="C193" s="2" t="inlineStr">
        <is>
          <t>Fountain2_EEM_QP3.mp4</t>
        </is>
      </c>
      <c r="D193" s="2" t="inlineStr">
        <is>
          <t>HLG</t>
        </is>
      </c>
      <c r="E193" s="2" t="inlineStr">
        <is>
          <t>EEM</t>
        </is>
      </c>
      <c r="F193" s="5" t="n">
        <v>1.526101328891165</v>
      </c>
      <c r="G193" s="5" t="n">
        <v>36.915761</v>
      </c>
      <c r="H193" s="5" t="n">
        <v>6.538975716</v>
      </c>
      <c r="I193" s="5" t="n">
        <v>72.71804299999999</v>
      </c>
      <c r="J193" s="5" t="n">
        <v>107.705</v>
      </c>
      <c r="K193" s="5" t="n">
        <v>22.256</v>
      </c>
      <c r="L193" s="5" t="n">
        <v>23.139</v>
      </c>
      <c r="M193" s="5" t="n">
        <v>2.961137475173275</v>
      </c>
    </row>
    <row r="194">
      <c r="A194" s="2" t="inlineStr">
        <is>
          <t>Fountain2.mp4|Fountain2_LTM_QP21_2910.mp4|HLG|LTM</t>
        </is>
      </c>
      <c r="B194" s="2" t="inlineStr">
        <is>
          <t>Fountain2.mp4</t>
        </is>
      </c>
      <c r="C194" s="2" t="inlineStr">
        <is>
          <t>Fountain2_LTM_QP21_2910.mp4</t>
        </is>
      </c>
      <c r="D194" s="2" t="inlineStr">
        <is>
          <t>HLG</t>
        </is>
      </c>
      <c r="E194" s="2" t="inlineStr">
        <is>
          <t>LTM</t>
        </is>
      </c>
      <c r="F194" s="5" t="n">
        <v>4.48005712159359</v>
      </c>
      <c r="G194" s="5" t="n">
        <v>40.401142</v>
      </c>
      <c r="H194" s="5" t="n">
        <v>8.952098846</v>
      </c>
      <c r="I194" s="5" t="n">
        <v>94.863415</v>
      </c>
      <c r="J194" s="5" t="n">
        <v>118.677</v>
      </c>
      <c r="K194" s="5" t="n">
        <v>24.446</v>
      </c>
      <c r="L194" s="5" t="n">
        <v>25.09</v>
      </c>
      <c r="M194" s="5" t="n">
        <v>4.425666660980904</v>
      </c>
    </row>
    <row r="195">
      <c r="A195" s="2" t="inlineStr">
        <is>
          <t>Fountain2.mp4|Fountain2_LTM_QP29_3451.mp4|HLG|LTM</t>
        </is>
      </c>
      <c r="B195" s="2" t="inlineStr">
        <is>
          <t>Fountain2.mp4</t>
        </is>
      </c>
      <c r="C195" s="2" t="inlineStr">
        <is>
          <t>Fountain2_LTM_QP29_3451.mp4</t>
        </is>
      </c>
      <c r="D195" s="2" t="inlineStr">
        <is>
          <t>HLG</t>
        </is>
      </c>
      <c r="E195" s="2" t="inlineStr">
        <is>
          <t>LTM</t>
        </is>
      </c>
      <c r="F195" s="5" t="n">
        <v>4.162158953241742</v>
      </c>
      <c r="G195" s="5" t="n">
        <v>38.399387</v>
      </c>
      <c r="H195" s="5" t="n">
        <v>7.970373154</v>
      </c>
      <c r="I195" s="5" t="n">
        <v>83.772723</v>
      </c>
      <c r="J195" s="5" t="n">
        <v>112.453</v>
      </c>
      <c r="K195" s="5" t="n">
        <v>23.394</v>
      </c>
      <c r="L195" s="5" t="n">
        <v>23.944</v>
      </c>
      <c r="M195" s="5" t="n">
        <v>3.769008048762135</v>
      </c>
    </row>
    <row r="196">
      <c r="A196" s="2" t="inlineStr">
        <is>
          <t>Fountain2.mp4|Fountain2_LTM_QP38_4059.mp4|HLG|LTM</t>
        </is>
      </c>
      <c r="B196" s="2" t="inlineStr">
        <is>
          <t>Fountain2.mp4</t>
        </is>
      </c>
      <c r="C196" s="2" t="inlineStr">
        <is>
          <t>Fountain2_LTM_QP38_4059.mp4</t>
        </is>
      </c>
      <c r="D196" s="2" t="inlineStr">
        <is>
          <t>HLG</t>
        </is>
      </c>
      <c r="E196" s="2" t="inlineStr">
        <is>
          <t>LTM</t>
        </is>
      </c>
      <c r="F196" s="5" t="n">
        <v>2.322235585168214</v>
      </c>
      <c r="G196" s="5" t="n">
        <v>36.43989</v>
      </c>
      <c r="H196" s="5" t="n">
        <v>6.501345634</v>
      </c>
      <c r="I196" s="5" t="n">
        <v>70.713488</v>
      </c>
      <c r="J196" s="5" t="n">
        <v>106.033</v>
      </c>
      <c r="K196" s="5" t="n">
        <v>22.376</v>
      </c>
      <c r="L196" s="5" t="n">
        <v>22.765</v>
      </c>
      <c r="M196" s="5" t="n">
        <v>2.772911511505208</v>
      </c>
    </row>
    <row r="197">
      <c r="A197" s="2" t="inlineStr">
        <is>
          <t>Fountain2.mp4|Fountain2_NNVC_QP22.mp4|HLG|NNVC</t>
        </is>
      </c>
      <c r="B197" s="2" t="inlineStr">
        <is>
          <t>Fountain2.mp4</t>
        </is>
      </c>
      <c r="C197" s="2" t="inlineStr">
        <is>
          <t>Fountain2_NNVC_QP22.mp4</t>
        </is>
      </c>
      <c r="D197" s="2" t="inlineStr">
        <is>
          <t>HLG</t>
        </is>
      </c>
      <c r="E197" s="2" t="inlineStr">
        <is>
          <t>NNVC</t>
        </is>
      </c>
      <c r="F197" s="5" t="n">
        <v>4.611261793608024</v>
      </c>
      <c r="G197" s="5" t="n">
        <v>44.871553</v>
      </c>
      <c r="H197" s="5" t="n">
        <v>9.568245888</v>
      </c>
      <c r="I197" s="5" t="n">
        <v>99.62065800000001</v>
      </c>
      <c r="J197" s="5" t="n">
        <v>133.632</v>
      </c>
      <c r="K197" s="5" t="n">
        <v>26.134</v>
      </c>
      <c r="L197" s="5" t="n">
        <v>28.181</v>
      </c>
      <c r="M197" s="5" t="n">
        <v>4.722354338326136</v>
      </c>
    </row>
    <row r="198">
      <c r="A198" s="2" t="inlineStr">
        <is>
          <t>Fountain2.mp4|Fountain2_NNVC_QP32.mp4|HLG|NNVC</t>
        </is>
      </c>
      <c r="B198" s="2" t="inlineStr">
        <is>
          <t>Fountain2.mp4</t>
        </is>
      </c>
      <c r="C198" s="2" t="inlineStr">
        <is>
          <t>Fountain2_NNVC_QP32.mp4</t>
        </is>
      </c>
      <c r="D198" s="2" t="inlineStr">
        <is>
          <t>HLG</t>
        </is>
      </c>
      <c r="E198" s="2" t="inlineStr">
        <is>
          <t>NNVC</t>
        </is>
      </c>
      <c r="F198" s="5" t="n">
        <v>4.463116998446776</v>
      </c>
      <c r="G198" s="5" t="n">
        <v>40.470508</v>
      </c>
      <c r="H198" s="5" t="n">
        <v>8.619248389999999</v>
      </c>
      <c r="I198" s="5" t="n">
        <v>89.588853</v>
      </c>
      <c r="J198" s="5" t="n">
        <v>119.733</v>
      </c>
      <c r="K198" s="5" t="n">
        <v>24.264</v>
      </c>
      <c r="L198" s="5" t="n">
        <v>25.355</v>
      </c>
      <c r="M198" s="5" t="n">
        <v>4.314152147107405</v>
      </c>
    </row>
    <row r="199">
      <c r="A199" s="2" t="inlineStr">
        <is>
          <t>Fountain2.mp4|Fountain2_NNVC_QP42.mp4|HLG|NNVC</t>
        </is>
      </c>
      <c r="B199" s="2" t="inlineStr">
        <is>
          <t>Fountain2.mp4</t>
        </is>
      </c>
      <c r="C199" s="2" t="inlineStr">
        <is>
          <t>Fountain2_NNVC_QP42.mp4</t>
        </is>
      </c>
      <c r="D199" s="2" t="inlineStr">
        <is>
          <t>HLG</t>
        </is>
      </c>
      <c r="E199" s="2" t="inlineStr">
        <is>
          <t>NNVC</t>
        </is>
      </c>
      <c r="F199" s="5" t="n">
        <v>3.062263644966836</v>
      </c>
      <c r="G199" s="5" t="n">
        <v>37.668356</v>
      </c>
      <c r="H199" s="5" t="n">
        <v>7.126216412</v>
      </c>
      <c r="I199" s="5" t="n">
        <v>75.892865</v>
      </c>
      <c r="J199" s="5" t="n">
        <v>110.37</v>
      </c>
      <c r="K199" s="5" t="n">
        <v>22.95</v>
      </c>
      <c r="L199" s="5" t="n">
        <v>23.637</v>
      </c>
      <c r="M199" s="5" t="n">
        <v>3.294794014508549</v>
      </c>
    </row>
    <row r="200">
      <c r="A200" s="2" t="inlineStr">
        <is>
          <t>Fountain2.mp4|Fountain2_VTM_QP32.mp4|HLG|VTM</t>
        </is>
      </c>
      <c r="B200" s="2" t="inlineStr">
        <is>
          <t>Fountain2.mp4</t>
        </is>
      </c>
      <c r="C200" s="2" t="inlineStr">
        <is>
          <t>Fountain2_VTM_QP32.mp4</t>
        </is>
      </c>
      <c r="D200" s="2" t="inlineStr">
        <is>
          <t>HLG</t>
        </is>
      </c>
      <c r="E200" s="2" t="inlineStr">
        <is>
          <t>VTM</t>
        </is>
      </c>
      <c r="F200" s="5" t="n">
        <v>4.348191214049796</v>
      </c>
      <c r="G200" s="5" t="n">
        <v>40.23104</v>
      </c>
      <c r="H200" s="5" t="n">
        <v>8.482294082999999</v>
      </c>
      <c r="I200" s="5" t="n">
        <v>88.36069000000001</v>
      </c>
      <c r="J200" s="5" t="n">
        <v>118.661</v>
      </c>
      <c r="K200" s="5" t="n">
        <v>24.142</v>
      </c>
      <c r="L200" s="5" t="n">
        <v>25.127</v>
      </c>
      <c r="M200" s="5" t="n">
        <v>4.261096860683701</v>
      </c>
    </row>
    <row r="201">
      <c r="A201" s="2" t="inlineStr">
        <is>
          <t>Fountain2.mp4|Fountain2_VTM_QP35.mp4|HLG|VTM</t>
        </is>
      </c>
      <c r="B201" s="2" t="inlineStr">
        <is>
          <t>Fountain2.mp4</t>
        </is>
      </c>
      <c r="C201" s="2" t="inlineStr">
        <is>
          <t>Fountain2_VTM_QP35.mp4</t>
        </is>
      </c>
      <c r="D201" s="2" t="inlineStr">
        <is>
          <t>HLG</t>
        </is>
      </c>
      <c r="E201" s="2" t="inlineStr">
        <is>
          <t>VTM</t>
        </is>
      </c>
      <c r="F201" s="5" t="n">
        <v>4.267097173798516</v>
      </c>
      <c r="G201" s="5" t="n">
        <v>39.393933</v>
      </c>
      <c r="H201" s="5" t="n">
        <v>8.081933975</v>
      </c>
      <c r="I201" s="5" t="n">
        <v>84.35278</v>
      </c>
      <c r="J201" s="5" t="n">
        <v>115.93</v>
      </c>
      <c r="K201" s="5" t="n">
        <v>23.742</v>
      </c>
      <c r="L201" s="5" t="n">
        <v>24.586</v>
      </c>
      <c r="M201" s="5" t="n">
        <v>4.003282707265148</v>
      </c>
    </row>
    <row r="202">
      <c r="A202" s="2" t="inlineStr">
        <is>
          <t>Fountain2.mp4|Fountain2_VTM_QP37.mp4|HLG|VTM</t>
        </is>
      </c>
      <c r="B202" s="2" t="inlineStr">
        <is>
          <t>Fountain2.mp4</t>
        </is>
      </c>
      <c r="C202" s="2" t="inlineStr">
        <is>
          <t>Fountain2_VTM_QP37.mp4</t>
        </is>
      </c>
      <c r="D202" s="2" t="inlineStr">
        <is>
          <t>HLG</t>
        </is>
      </c>
      <c r="E202" s="2" t="inlineStr">
        <is>
          <t>VTM</t>
        </is>
      </c>
      <c r="F202" s="5" t="n">
        <v>3.560313135084345</v>
      </c>
      <c r="G202" s="5" t="n">
        <v>38.854567</v>
      </c>
      <c r="H202" s="5" t="n">
        <v>7.771810532</v>
      </c>
      <c r="I202" s="5" t="n">
        <v>81.51926400000001</v>
      </c>
      <c r="J202" s="5" t="n">
        <v>114.058</v>
      </c>
      <c r="K202" s="5" t="n">
        <v>23.5</v>
      </c>
      <c r="L202" s="5" t="n">
        <v>24.238</v>
      </c>
      <c r="M202" s="5" t="n">
        <v>3.786353697919985</v>
      </c>
    </row>
    <row r="203">
      <c r="A203" s="2" t="inlineStr">
        <is>
          <t>Fountain2.mp4|Fountain2_VTM_QP42.mp4|HLG|VTM</t>
        </is>
      </c>
      <c r="B203" s="2" t="inlineStr">
        <is>
          <t>Fountain2.mp4</t>
        </is>
      </c>
      <c r="C203" s="2" t="inlineStr">
        <is>
          <t>Fountain2_VTM_QP42.mp4</t>
        </is>
      </c>
      <c r="D203" s="2" t="inlineStr">
        <is>
          <t>HLG</t>
        </is>
      </c>
      <c r="E203" s="2" t="inlineStr">
        <is>
          <t>VTM</t>
        </is>
      </c>
      <c r="F203" s="5" t="n">
        <v>2.355422225264456</v>
      </c>
      <c r="G203" s="5" t="n">
        <v>37.574577</v>
      </c>
      <c r="H203" s="5" t="n">
        <v>6.941083431</v>
      </c>
      <c r="I203" s="5" t="n">
        <v>74.70095999999999</v>
      </c>
      <c r="J203" s="5" t="n">
        <v>109.796</v>
      </c>
      <c r="K203" s="5" t="n">
        <v>22.871</v>
      </c>
      <c r="L203" s="5" t="n">
        <v>23.442</v>
      </c>
      <c r="M203" s="5" t="n">
        <v>3.197847557308572</v>
      </c>
    </row>
    <row r="204">
      <c r="A204" s="2" t="inlineStr">
        <is>
          <t>Fountain2.mp4|Fountain2_VTM_QP47.mp4|HLG|VTM</t>
        </is>
      </c>
      <c r="B204" s="2" t="inlineStr">
        <is>
          <t>Fountain2.mp4</t>
        </is>
      </c>
      <c r="C204" s="2" t="inlineStr">
        <is>
          <t>Fountain2_VTM_QP47.mp4</t>
        </is>
      </c>
      <c r="D204" s="2" t="inlineStr">
        <is>
          <t>HLG</t>
        </is>
      </c>
      <c r="E204" s="2" t="inlineStr">
        <is>
          <t>VTM</t>
        </is>
      </c>
      <c r="F204" s="5" t="n">
        <v>1.419944863610841</v>
      </c>
      <c r="G204" s="5" t="n">
        <v>36.281177</v>
      </c>
      <c r="H204" s="5" t="n">
        <v>5.976071835</v>
      </c>
      <c r="I204" s="5" t="n">
        <v>67.539773</v>
      </c>
      <c r="J204" s="5" t="n">
        <v>105.519</v>
      </c>
      <c r="K204" s="5" t="n">
        <v>22.183</v>
      </c>
      <c r="L204" s="5" t="n">
        <v>22.619</v>
      </c>
      <c r="M204" s="5" t="n">
        <v>2.582352892577665</v>
      </c>
    </row>
    <row r="205">
      <c r="A205" s="2" t="inlineStr">
        <is>
          <t>Nocturne1_1000nit.mp4|Nocturne1_1000nit_AlphaVC-P_r3.mp4|PQ|AlphaVC-P</t>
        </is>
      </c>
      <c r="B205" s="2" t="inlineStr">
        <is>
          <t>Nocturne1_1000nit.mp4</t>
        </is>
      </c>
      <c r="C205" s="2" t="inlineStr">
        <is>
          <t>Nocturne1_1000nit_AlphaVC-P_r3.mp4</t>
        </is>
      </c>
      <c r="D205" s="2" t="inlineStr">
        <is>
          <t>PQ</t>
        </is>
      </c>
      <c r="E205" s="2" t="inlineStr">
        <is>
          <t>AlphaVC-P</t>
        </is>
      </c>
      <c r="F205" s="5" t="n">
        <v>4.119289493158907</v>
      </c>
      <c r="G205" s="5" t="n">
        <v>45.946132</v>
      </c>
      <c r="H205" s="5" t="n">
        <v>9.306005477999999</v>
      </c>
      <c r="I205" s="5" t="n">
        <v>88.825051</v>
      </c>
      <c r="J205" s="5" t="n">
        <v>144.218</v>
      </c>
      <c r="K205" s="5" t="n">
        <v>35.604</v>
      </c>
      <c r="L205" s="5" t="n">
        <v>39.467</v>
      </c>
      <c r="M205" s="5" t="n">
        <v>4.251382749562994</v>
      </c>
    </row>
    <row r="206">
      <c r="A206" s="2" t="inlineStr">
        <is>
          <t>Nocturne1_1000nit.mp4|Nocturne1_1000nit_AlphaVC-P_r4.mp4|PQ|AlphaVC-P</t>
        </is>
      </c>
      <c r="B206" s="2" t="inlineStr">
        <is>
          <t>Nocturne1_1000nit.mp4</t>
        </is>
      </c>
      <c r="C206" s="2" t="inlineStr">
        <is>
          <t>Nocturne1_1000nit_AlphaVC-P_r4.mp4</t>
        </is>
      </c>
      <c r="D206" s="2" t="inlineStr">
        <is>
          <t>PQ</t>
        </is>
      </c>
      <c r="E206" s="2" t="inlineStr">
        <is>
          <t>AlphaVC-P</t>
        </is>
      </c>
      <c r="F206" s="5" t="n">
        <v>2.985286311145004</v>
      </c>
      <c r="G206" s="5" t="n">
        <v>43.888073</v>
      </c>
      <c r="H206" s="5" t="n">
        <v>8.801956176999999</v>
      </c>
      <c r="I206" s="5" t="n">
        <v>79.36313199999999</v>
      </c>
      <c r="J206" s="5" t="n">
        <v>137.594</v>
      </c>
      <c r="K206" s="5" t="n">
        <v>34.846</v>
      </c>
      <c r="L206" s="5" t="n">
        <v>38.009</v>
      </c>
      <c r="M206" s="5" t="n">
        <v>3.45611302192668</v>
      </c>
    </row>
    <row r="207">
      <c r="A207" s="2" t="inlineStr">
        <is>
          <t>Nocturne1_1000nit.mp4|Nocturne1_1000nit_AVS3_r1.mp4|PQ|AVS</t>
        </is>
      </c>
      <c r="B207" s="2" t="inlineStr">
        <is>
          <t>Nocturne1_1000nit.mp4</t>
        </is>
      </c>
      <c r="C207" s="2" t="inlineStr">
        <is>
          <t>Nocturne1_1000nit_AVS3_r1.mp4</t>
        </is>
      </c>
      <c r="D207" s="2" t="inlineStr">
        <is>
          <t>PQ</t>
        </is>
      </c>
      <c r="E207" s="2" t="inlineStr">
        <is>
          <t>AVS</t>
        </is>
      </c>
      <c r="F207" s="5" t="n">
        <v>4.727799185638379</v>
      </c>
      <c r="G207" s="5" t="n">
        <v>49.067876</v>
      </c>
      <c r="H207" s="5" t="n">
        <v>9.728579521</v>
      </c>
      <c r="I207" s="5" t="n">
        <v>95.887215</v>
      </c>
      <c r="J207" s="5" t="n">
        <v>154.324</v>
      </c>
      <c r="K207" s="5" t="n">
        <v>37.053</v>
      </c>
      <c r="L207" s="5" t="n">
        <v>41.858</v>
      </c>
      <c r="M207" s="5" t="n">
        <v>4.439349902534996</v>
      </c>
    </row>
    <row r="208">
      <c r="A208" s="2" t="inlineStr">
        <is>
          <t>Nocturne1_1000nit.mp4|Nocturne1_1000nit_AVS3_r2.mp4|PQ|AVS</t>
        </is>
      </c>
      <c r="B208" s="2" t="inlineStr">
        <is>
          <t>Nocturne1_1000nit.mp4</t>
        </is>
      </c>
      <c r="C208" s="2" t="inlineStr">
        <is>
          <t>Nocturne1_1000nit_AVS3_r2.mp4</t>
        </is>
      </c>
      <c r="D208" s="2" t="inlineStr">
        <is>
          <t>PQ</t>
        </is>
      </c>
      <c r="E208" s="2" t="inlineStr">
        <is>
          <t>AVS</t>
        </is>
      </c>
      <c r="F208" s="5" t="n">
        <v>4.55528285369516</v>
      </c>
      <c r="G208" s="5" t="n">
        <v>48.282087</v>
      </c>
      <c r="H208" s="5" t="n">
        <v>9.636108397999999</v>
      </c>
      <c r="I208" s="5" t="n">
        <v>93.93787399999999</v>
      </c>
      <c r="J208" s="5" t="n">
        <v>151.787</v>
      </c>
      <c r="K208" s="5" t="n">
        <v>36.763</v>
      </c>
      <c r="L208" s="5" t="n">
        <v>41.385</v>
      </c>
      <c r="M208" s="5" t="n">
        <v>4.293826577945858</v>
      </c>
    </row>
    <row r="209">
      <c r="A209" s="2" t="inlineStr">
        <is>
          <t>Nocturne1_1000nit.mp4|Nocturne1_1000nit_AVS3_r3.mp4|PQ|AVS</t>
        </is>
      </c>
      <c r="B209" s="2" t="inlineStr">
        <is>
          <t>Nocturne1_1000nit.mp4</t>
        </is>
      </c>
      <c r="C209" s="2" t="inlineStr">
        <is>
          <t>Nocturne1_1000nit_AVS3_r3.mp4</t>
        </is>
      </c>
      <c r="D209" s="2" t="inlineStr">
        <is>
          <t>PQ</t>
        </is>
      </c>
      <c r="E209" s="2" t="inlineStr">
        <is>
          <t>AVS</t>
        </is>
      </c>
      <c r="F209" s="5" t="n">
        <v>4.291670189857393</v>
      </c>
      <c r="G209" s="5" t="n">
        <v>47.551921</v>
      </c>
      <c r="H209" s="5" t="n">
        <v>9.508631705999999</v>
      </c>
      <c r="I209" s="5" t="n">
        <v>91.57411399999999</v>
      </c>
      <c r="J209" s="5" t="n">
        <v>149.366</v>
      </c>
      <c r="K209" s="5" t="n">
        <v>36.476</v>
      </c>
      <c r="L209" s="5" t="n">
        <v>40.875</v>
      </c>
      <c r="M209" s="5" t="n">
        <v>4.078136311660644</v>
      </c>
    </row>
    <row r="210">
      <c r="A210" s="2" t="inlineStr">
        <is>
          <t>Nocturne1_1000nit.mp4|Nocturne1_1000nit_EEM_r2.mp4|PQ|EEM</t>
        </is>
      </c>
      <c r="B210" s="2" t="inlineStr">
        <is>
          <t>Nocturne1_1000nit.mp4</t>
        </is>
      </c>
      <c r="C210" s="2" t="inlineStr">
        <is>
          <t>Nocturne1_1000nit_EEM_r2.mp4</t>
        </is>
      </c>
      <c r="D210" s="2" t="inlineStr">
        <is>
          <t>PQ</t>
        </is>
      </c>
      <c r="E210" s="2" t="inlineStr">
        <is>
          <t>EEM</t>
        </is>
      </c>
      <c r="F210" s="5" t="n">
        <v>3.150247230729256</v>
      </c>
      <c r="G210" s="5" t="n">
        <v>46.15081</v>
      </c>
      <c r="H210" s="5" t="n">
        <v>9.150839806</v>
      </c>
      <c r="I210" s="5" t="n">
        <v>90.139195</v>
      </c>
      <c r="J210" s="5" t="n">
        <v>145.086</v>
      </c>
      <c r="K210" s="5" t="n">
        <v>35.67</v>
      </c>
      <c r="L210" s="5" t="n">
        <v>39.937</v>
      </c>
      <c r="M210" s="5" t="n">
        <v>3.625988120801857</v>
      </c>
    </row>
    <row r="211">
      <c r="A211" s="2" t="inlineStr">
        <is>
          <t>Nocturne1_1000nit.mp4|Nocturne1_1000nit_LTM_r2.mp4|PQ|LTM</t>
        </is>
      </c>
      <c r="B211" s="2" t="inlineStr">
        <is>
          <t>Nocturne1_1000nit.mp4</t>
        </is>
      </c>
      <c r="C211" s="2" t="inlineStr">
        <is>
          <t>Nocturne1_1000nit_LTM_r2.mp4</t>
        </is>
      </c>
      <c r="D211" s="2" t="inlineStr">
        <is>
          <t>PQ</t>
        </is>
      </c>
      <c r="E211" s="2" t="inlineStr">
        <is>
          <t>LTM</t>
        </is>
      </c>
      <c r="F211" s="5" t="n">
        <v>3.992001971232044</v>
      </c>
      <c r="G211" s="5" t="n">
        <v>46.284107</v>
      </c>
      <c r="H211" s="5" t="n">
        <v>9.17681694</v>
      </c>
      <c r="I211" s="5" t="n">
        <v>87.63139700000001</v>
      </c>
      <c r="J211" s="5" t="n">
        <v>145.6</v>
      </c>
      <c r="K211" s="5" t="n">
        <v>36.071</v>
      </c>
      <c r="L211" s="5" t="n">
        <v>39.975</v>
      </c>
      <c r="M211" s="5" t="n">
        <v>3.634749956846045</v>
      </c>
    </row>
    <row r="212">
      <c r="A212" s="2" t="inlineStr">
        <is>
          <t>Nocturne1_1000nit.mp4|Nocturne1_1000nit_NNVC_r1.mp4|PQ|NNVC</t>
        </is>
      </c>
      <c r="B212" s="2" t="inlineStr">
        <is>
          <t>Nocturne1_1000nit.mp4</t>
        </is>
      </c>
      <c r="C212" s="2" t="inlineStr">
        <is>
          <t>Nocturne1_1000nit_NNVC_r1.mp4</t>
        </is>
      </c>
      <c r="D212" s="2" t="inlineStr">
        <is>
          <t>PQ</t>
        </is>
      </c>
      <c r="E212" s="2" t="inlineStr">
        <is>
          <t>NNVC</t>
        </is>
      </c>
      <c r="F212" s="5" t="n">
        <v>4.811411895116242</v>
      </c>
      <c r="G212" s="5" t="n">
        <v>51.828471</v>
      </c>
      <c r="H212" s="5" t="n">
        <v>9.912785530000001</v>
      </c>
      <c r="I212" s="5" t="n">
        <v>99.71203300000001</v>
      </c>
      <c r="J212" s="5" t="n">
        <v>162.813</v>
      </c>
      <c r="K212" s="5" t="n">
        <v>38.032</v>
      </c>
      <c r="L212" s="5" t="n">
        <v>43.637</v>
      </c>
      <c r="M212" s="5" t="n">
        <v>4.650222271016265</v>
      </c>
    </row>
    <row r="213">
      <c r="A213" s="2" t="inlineStr">
        <is>
          <t>Nocturne1_1000nit.mp4|Nocturne1_1000nit_NNVC_r2.mp4|PQ|NNVC</t>
        </is>
      </c>
      <c r="B213" s="2" t="inlineStr">
        <is>
          <t>Nocturne1_1000nit.mp4</t>
        </is>
      </c>
      <c r="C213" s="2" t="inlineStr">
        <is>
          <t>Nocturne1_1000nit_NNVC_r2.mp4</t>
        </is>
      </c>
      <c r="D213" s="2" t="inlineStr">
        <is>
          <t>PQ</t>
        </is>
      </c>
      <c r="E213" s="2" t="inlineStr">
        <is>
          <t>NNVC</t>
        </is>
      </c>
      <c r="F213" s="5" t="n">
        <v>4.498769803332617</v>
      </c>
      <c r="G213" s="5" t="n">
        <v>48.419855</v>
      </c>
      <c r="H213" s="5" t="n">
        <v>9.704756737</v>
      </c>
      <c r="I213" s="5" t="n">
        <v>95.37552599999999</v>
      </c>
      <c r="J213" s="5" t="n">
        <v>152.385</v>
      </c>
      <c r="K213" s="5" t="n">
        <v>36.839</v>
      </c>
      <c r="L213" s="5" t="n">
        <v>41.789</v>
      </c>
      <c r="M213" s="5" t="n">
        <v>4.3152494346012</v>
      </c>
    </row>
    <row r="214">
      <c r="A214" s="2" t="inlineStr">
        <is>
          <t>Smithy1_1000nit.mp4|Smithy1_1000nit_AlphaVC-P_r1.mp4|PQ|AlphaVC-P</t>
        </is>
      </c>
      <c r="B214" s="2" t="inlineStr">
        <is>
          <t>Smithy1_1000nit.mp4</t>
        </is>
      </c>
      <c r="C214" s="2" t="inlineStr">
        <is>
          <t>Smithy1_1000nit_AlphaVC-P_r1.mp4</t>
        </is>
      </c>
      <c r="D214" s="2" t="inlineStr">
        <is>
          <t>PQ</t>
        </is>
      </c>
      <c r="E214" s="2" t="inlineStr">
        <is>
          <t>AlphaVC-P</t>
        </is>
      </c>
      <c r="F214" s="5" t="n">
        <v>4.251203283345001</v>
      </c>
      <c r="G214" s="5" t="n">
        <v>41.63329</v>
      </c>
      <c r="H214" s="5" t="n">
        <v>8.183502196999999</v>
      </c>
      <c r="I214" s="5" t="n">
        <v>80.791337</v>
      </c>
      <c r="J214" s="5" t="n">
        <v>124.735</v>
      </c>
      <c r="K214" s="5" t="n">
        <v>32.823</v>
      </c>
      <c r="L214" s="5" t="n">
        <v>33.596</v>
      </c>
      <c r="M214" s="5" t="n">
        <v>4.31900726182163</v>
      </c>
    </row>
    <row r="215">
      <c r="A215" s="2" t="inlineStr">
        <is>
          <t>Smithy1_1000nit.mp4|Smithy1_1000nit_AlphaVC-P_r2.mp4|PQ|AlphaVC-P</t>
        </is>
      </c>
      <c r="B215" s="2" t="inlineStr">
        <is>
          <t>Smithy1_1000nit.mp4</t>
        </is>
      </c>
      <c r="C215" s="2" t="inlineStr">
        <is>
          <t>Smithy1_1000nit_AlphaVC-P_r2.mp4</t>
        </is>
      </c>
      <c r="D215" s="2" t="inlineStr">
        <is>
          <t>PQ</t>
        </is>
      </c>
      <c r="E215" s="2" t="inlineStr">
        <is>
          <t>AlphaVC-P</t>
        </is>
      </c>
      <c r="F215" s="5" t="n">
        <v>4.199836839662206</v>
      </c>
      <c r="G215" s="5" t="n">
        <v>40.627843</v>
      </c>
      <c r="H215" s="5" t="n">
        <v>7.543951511</v>
      </c>
      <c r="I215" s="5" t="n">
        <v>74.69623900000001</v>
      </c>
      <c r="J215" s="5" t="n">
        <v>121.612</v>
      </c>
      <c r="K215" s="5" t="n">
        <v>32.336</v>
      </c>
      <c r="L215" s="5" t="n">
        <v>32.868</v>
      </c>
      <c r="M215" s="5" t="n">
        <v>4.055671096196185</v>
      </c>
    </row>
    <row r="216">
      <c r="A216" s="2" t="inlineStr">
        <is>
          <t>Smithy1_1000nit.mp4|Smithy1_1000nit_AlphaVC-P_r3.mp4|PQ|AlphaVC-P</t>
        </is>
      </c>
      <c r="B216" s="2" t="inlineStr">
        <is>
          <t>Smithy1_1000nit.mp4</t>
        </is>
      </c>
      <c r="C216" s="2" t="inlineStr">
        <is>
          <t>Smithy1_1000nit_AlphaVC-P_r3.mp4</t>
        </is>
      </c>
      <c r="D216" s="2" t="inlineStr">
        <is>
          <t>PQ</t>
        </is>
      </c>
      <c r="E216" s="2" t="inlineStr">
        <is>
          <t>AlphaVC-P</t>
        </is>
      </c>
      <c r="F216" s="5" t="n">
        <v>3.274010789615615</v>
      </c>
      <c r="G216" s="5" t="n">
        <v>39.906987</v>
      </c>
      <c r="H216" s="5" t="n">
        <v>7.03371048</v>
      </c>
      <c r="I216" s="5" t="n">
        <v>70.004807</v>
      </c>
      <c r="J216" s="5" t="n">
        <v>119.368</v>
      </c>
      <c r="K216" s="5" t="n">
        <v>32.004</v>
      </c>
      <c r="L216" s="5" t="n">
        <v>32.385</v>
      </c>
      <c r="M216" s="5" t="n">
        <v>3.829730081298202</v>
      </c>
    </row>
    <row r="217">
      <c r="A217" s="2" t="inlineStr">
        <is>
          <t>Smithy1_1000nit.mp4|Smithy1_1000nit_AlphaVC-P_r4.mp4|PQ|AlphaVC-P</t>
        </is>
      </c>
      <c r="B217" s="2" t="inlineStr">
        <is>
          <t>Smithy1_1000nit.mp4</t>
        </is>
      </c>
      <c r="C217" s="2" t="inlineStr">
        <is>
          <t>Smithy1_1000nit_AlphaVC-P_r4.mp4</t>
        </is>
      </c>
      <c r="D217" s="2" t="inlineStr">
        <is>
          <t>PQ</t>
        </is>
      </c>
      <c r="E217" s="2" t="inlineStr">
        <is>
          <t>AlphaVC-P</t>
        </is>
      </c>
      <c r="F217" s="5" t="n">
        <v>2.73100708802495</v>
      </c>
      <c r="G217" s="5" t="n">
        <v>38.156285</v>
      </c>
      <c r="H217" s="5" t="n">
        <v>5.983862877</v>
      </c>
      <c r="I217" s="5" t="n">
        <v>61.124274</v>
      </c>
      <c r="J217" s="5" t="n">
        <v>114.087</v>
      </c>
      <c r="K217" s="5" t="n">
        <v>31.043</v>
      </c>
      <c r="L217" s="5" t="n">
        <v>31.368</v>
      </c>
      <c r="M217" s="5" t="n">
        <v>3.26069184108592</v>
      </c>
    </row>
    <row r="218">
      <c r="A218" s="2" t="inlineStr">
        <is>
          <t>Smithy1_1000nit.mp4|Smithy1_1000nit_AVS3_r1.mp4|PQ|AVS</t>
        </is>
      </c>
      <c r="B218" s="2" t="inlineStr">
        <is>
          <t>Smithy1_1000nit.mp4</t>
        </is>
      </c>
      <c r="C218" s="2" t="inlineStr">
        <is>
          <t>Smithy1_1000nit_AVS3_r1.mp4</t>
        </is>
      </c>
      <c r="D218" s="2" t="inlineStr">
        <is>
          <t>PQ</t>
        </is>
      </c>
      <c r="E218" s="2" t="inlineStr">
        <is>
          <t>AVS</t>
        </is>
      </c>
      <c r="F218" s="5" t="n">
        <v>4.961499634584394</v>
      </c>
      <c r="G218" s="5" t="n">
        <v>46.668592</v>
      </c>
      <c r="H218" s="5" t="n">
        <v>9.508323668999999</v>
      </c>
      <c r="I218" s="5" t="n">
        <v>95.516014</v>
      </c>
      <c r="J218" s="5" t="n">
        <v>140.725</v>
      </c>
      <c r="K218" s="5" t="n">
        <v>35.003</v>
      </c>
      <c r="L218" s="5" t="n">
        <v>36.903</v>
      </c>
      <c r="M218" s="5" t="n">
        <v>4.673178368999595</v>
      </c>
    </row>
    <row r="219">
      <c r="A219" s="2" t="inlineStr">
        <is>
          <t>Smithy1_1000nit.mp4|Smithy1_1000nit_AVS3_r2.mp4|PQ|AVS</t>
        </is>
      </c>
      <c r="B219" s="2" t="inlineStr">
        <is>
          <t>Smithy1_1000nit.mp4</t>
        </is>
      </c>
      <c r="C219" s="2" t="inlineStr">
        <is>
          <t>Smithy1_1000nit_AVS3_r2.mp4</t>
        </is>
      </c>
      <c r="D219" s="2" t="inlineStr">
        <is>
          <t>PQ</t>
        </is>
      </c>
      <c r="E219" s="2" t="inlineStr">
        <is>
          <t>AVS</t>
        </is>
      </c>
      <c r="F219" s="5" t="n">
        <v>4.819539724956634</v>
      </c>
      <c r="G219" s="5" t="n">
        <v>45.315022</v>
      </c>
      <c r="H219" s="5" t="n">
        <v>9.159676552000001</v>
      </c>
      <c r="I219" s="5" t="n">
        <v>93.218705</v>
      </c>
      <c r="J219" s="5" t="n">
        <v>136.556</v>
      </c>
      <c r="K219" s="5" t="n">
        <v>34.389</v>
      </c>
      <c r="L219" s="5" t="n">
        <v>35.873</v>
      </c>
      <c r="M219" s="5" t="n">
        <v>4.599316405464939</v>
      </c>
    </row>
    <row r="220">
      <c r="A220" s="2" t="inlineStr">
        <is>
          <t>Smithy1_1000nit.mp4|Smithy1_1000nit_AVS3_r3.mp4|PQ|AVS</t>
        </is>
      </c>
      <c r="B220" s="2" t="inlineStr">
        <is>
          <t>Smithy1_1000nit.mp4</t>
        </is>
      </c>
      <c r="C220" s="2" t="inlineStr">
        <is>
          <t>Smithy1_1000nit_AVS3_r3.mp4</t>
        </is>
      </c>
      <c r="D220" s="2" t="inlineStr">
        <is>
          <t>PQ</t>
        </is>
      </c>
      <c r="E220" s="2" t="inlineStr">
        <is>
          <t>AVS</t>
        </is>
      </c>
      <c r="F220" s="5" t="n">
        <v>4.656156538570873</v>
      </c>
      <c r="G220" s="5" t="n">
        <v>44.011547</v>
      </c>
      <c r="H220" s="5" t="n">
        <v>8.650674820000001</v>
      </c>
      <c r="I220" s="5" t="n">
        <v>90.222745</v>
      </c>
      <c r="J220" s="5" t="n">
        <v>132.586</v>
      </c>
      <c r="K220" s="5" t="n">
        <v>33.772</v>
      </c>
      <c r="L220" s="5" t="n">
        <v>34.899</v>
      </c>
      <c r="M220" s="5" t="n">
        <v>4.46729461073206</v>
      </c>
    </row>
    <row r="221">
      <c r="A221" s="2" t="inlineStr">
        <is>
          <t>Smithy1_1000nit.mp4|Smithy1_1000nit_AVS3_r4.mp4|PQ|AVS</t>
        </is>
      </c>
      <c r="B221" s="2" t="inlineStr">
        <is>
          <t>Smithy1_1000nit.mp4</t>
        </is>
      </c>
      <c r="C221" s="2" t="inlineStr">
        <is>
          <t>Smithy1_1000nit_AVS3_r4.mp4</t>
        </is>
      </c>
      <c r="D221" s="2" t="inlineStr">
        <is>
          <t>PQ</t>
        </is>
      </c>
      <c r="E221" s="2" t="inlineStr">
        <is>
          <t>AVS</t>
        </is>
      </c>
      <c r="F221" s="5" t="n">
        <v>4.225442164156276</v>
      </c>
      <c r="G221" s="5" t="n">
        <v>41.693562</v>
      </c>
      <c r="H221" s="5" t="n">
        <v>7.114237309</v>
      </c>
      <c r="I221" s="5" t="n">
        <v>80.710801</v>
      </c>
      <c r="J221" s="5" t="n">
        <v>125.5</v>
      </c>
      <c r="K221" s="5" t="n">
        <v>32.589</v>
      </c>
      <c r="L221" s="5" t="n">
        <v>32.973</v>
      </c>
      <c r="M221" s="5" t="n">
        <v>3.782025796145076</v>
      </c>
    </row>
    <row r="222">
      <c r="A222" s="2" t="inlineStr">
        <is>
          <t>Smithy1_1000nit.mp4|Smithy1_1000nit_EEM_r1.mp4|PQ|EEM</t>
        </is>
      </c>
      <c r="B222" s="2" t="inlineStr">
        <is>
          <t>Smithy1_1000nit.mp4</t>
        </is>
      </c>
      <c r="C222" s="2" t="inlineStr">
        <is>
          <t>Smithy1_1000nit_EEM_r1.mp4</t>
        </is>
      </c>
      <c r="D222" s="2" t="inlineStr">
        <is>
          <t>PQ</t>
        </is>
      </c>
      <c r="E222" s="2" t="inlineStr">
        <is>
          <t>EEM</t>
        </is>
      </c>
      <c r="F222" s="5" t="n">
        <v>4.711080442781959</v>
      </c>
      <c r="G222" s="5" t="n">
        <v>43.557838</v>
      </c>
      <c r="H222" s="5" t="n">
        <v>8.806531906</v>
      </c>
      <c r="I222" s="5" t="n">
        <v>92.700295</v>
      </c>
      <c r="J222" s="5" t="n">
        <v>131.518</v>
      </c>
      <c r="K222" s="5" t="n">
        <v>33.439</v>
      </c>
      <c r="L222" s="5" t="n">
        <v>35.171</v>
      </c>
      <c r="M222" s="5" t="n">
        <v>4.486211809070268</v>
      </c>
    </row>
    <row r="223">
      <c r="A223" s="2" t="inlineStr">
        <is>
          <t>Smithy1_1000nit.mp4|Smithy1_1000nit_EEM_r2.mp4|PQ|EEM</t>
        </is>
      </c>
      <c r="B223" s="2" t="inlineStr">
        <is>
          <t>Smithy1_1000nit.mp4</t>
        </is>
      </c>
      <c r="C223" s="2" t="inlineStr">
        <is>
          <t>Smithy1_1000nit_EEM_r2.mp4</t>
        </is>
      </c>
      <c r="D223" s="2" t="inlineStr">
        <is>
          <t>PQ</t>
        </is>
      </c>
      <c r="E223" s="2" t="inlineStr">
        <is>
          <t>EEM</t>
        </is>
      </c>
      <c r="F223" s="5" t="n">
        <v>4.092610086016985</v>
      </c>
      <c r="G223" s="5" t="n">
        <v>41.256824</v>
      </c>
      <c r="H223" s="5" t="n">
        <v>7.387776852</v>
      </c>
      <c r="I223" s="5" t="n">
        <v>85.797951</v>
      </c>
      <c r="J223" s="5" t="n">
        <v>124.37</v>
      </c>
      <c r="K223" s="5" t="n">
        <v>32.417</v>
      </c>
      <c r="L223" s="5" t="n">
        <v>33.33</v>
      </c>
      <c r="M223" s="5" t="n">
        <v>3.958227222727941</v>
      </c>
    </row>
    <row r="224">
      <c r="A224" s="2" t="inlineStr">
        <is>
          <t>Smithy1_1000nit.mp4|Smithy1_1000nit_EEM_r3.mp4|PQ|EEM</t>
        </is>
      </c>
      <c r="B224" s="2" t="inlineStr">
        <is>
          <t>Smithy1_1000nit.mp4</t>
        </is>
      </c>
      <c r="C224" s="2" t="inlineStr">
        <is>
          <t>Smithy1_1000nit_EEM_r3.mp4</t>
        </is>
      </c>
      <c r="D224" s="2" t="inlineStr">
        <is>
          <t>PQ</t>
        </is>
      </c>
      <c r="E224" s="2" t="inlineStr">
        <is>
          <t>EEM</t>
        </is>
      </c>
      <c r="F224" s="5" t="n">
        <v>3.623181237284824</v>
      </c>
      <c r="G224" s="5" t="n">
        <v>40.299905</v>
      </c>
      <c r="H224" s="5" t="n">
        <v>6.456352234</v>
      </c>
      <c r="I224" s="5" t="n">
        <v>78.492413</v>
      </c>
      <c r="J224" s="5" t="n">
        <v>121.059</v>
      </c>
      <c r="K224" s="5" t="n">
        <v>32.023</v>
      </c>
      <c r="L224" s="5" t="n">
        <v>32.414</v>
      </c>
      <c r="M224" s="5" t="n">
        <v>3.4722276692672</v>
      </c>
    </row>
    <row r="225">
      <c r="A225" s="2" t="inlineStr">
        <is>
          <t>Smithy1_1000nit.mp4|Smithy1_1000nit_EEM_r4.mp4|PQ|EEM</t>
        </is>
      </c>
      <c r="B225" s="2" t="inlineStr">
        <is>
          <t>Smithy1_1000nit.mp4</t>
        </is>
      </c>
      <c r="C225" s="2" t="inlineStr">
        <is>
          <t>Smithy1_1000nit_EEM_r4.mp4</t>
        </is>
      </c>
      <c r="D225" s="2" t="inlineStr">
        <is>
          <t>PQ</t>
        </is>
      </c>
      <c r="E225" s="2" t="inlineStr">
        <is>
          <t>EEM</t>
        </is>
      </c>
      <c r="F225" s="5" t="n">
        <v>1.987289626942792</v>
      </c>
      <c r="G225" s="5" t="n">
        <v>37.301244</v>
      </c>
      <c r="H225" s="5" t="n">
        <v>4.153855801</v>
      </c>
      <c r="I225" s="5" t="n">
        <v>58.919456</v>
      </c>
      <c r="J225" s="5" t="n">
        <v>111.759</v>
      </c>
      <c r="K225" s="5" t="n">
        <v>30.462</v>
      </c>
      <c r="L225" s="5" t="n">
        <v>30.586</v>
      </c>
      <c r="M225" s="5" t="n">
        <v>2.222245249155351</v>
      </c>
    </row>
    <row r="226">
      <c r="A226" s="2" t="inlineStr">
        <is>
          <t>Smithy1_1000nit.mp4|Smithy1_1000nit_LCEVC_QP22.mp4|PQ|LTM</t>
        </is>
      </c>
      <c r="B226" s="2" t="inlineStr">
        <is>
          <t>Smithy1_1000nit.mp4</t>
        </is>
      </c>
      <c r="C226" s="2" t="inlineStr">
        <is>
          <t>Smithy1_1000nit_LCEVC_QP22.mp4</t>
        </is>
      </c>
      <c r="D226" s="2" t="inlineStr">
        <is>
          <t>PQ</t>
        </is>
      </c>
      <c r="E226" s="2" t="inlineStr">
        <is>
          <t>LTM</t>
        </is>
      </c>
      <c r="F226" s="5" t="n">
        <v>4.601483566055285</v>
      </c>
      <c r="G226" s="5" t="n">
        <v>43.107793</v>
      </c>
      <c r="H226" s="5" t="n">
        <v>8.715651512000001</v>
      </c>
      <c r="I226" s="5" t="n">
        <v>92.605733</v>
      </c>
      <c r="J226" s="5" t="n">
        <v>130.051</v>
      </c>
      <c r="K226" s="5" t="n">
        <v>33.344</v>
      </c>
      <c r="L226" s="5" t="n">
        <v>34.298</v>
      </c>
      <c r="M226" s="5" t="n">
        <v>4.396471070998805</v>
      </c>
    </row>
    <row r="227">
      <c r="A227" s="2" t="inlineStr">
        <is>
          <t>Smithy1_1000nit.mp4|Smithy1_1000nit_LCEVC_QP27.mp4|PQ|LTM</t>
        </is>
      </c>
      <c r="B227" s="2" t="inlineStr">
        <is>
          <t>Smithy1_1000nit.mp4</t>
        </is>
      </c>
      <c r="C227" s="2" t="inlineStr">
        <is>
          <t>Smithy1_1000nit_LCEVC_QP27.mp4</t>
        </is>
      </c>
      <c r="D227" s="2" t="inlineStr">
        <is>
          <t>PQ</t>
        </is>
      </c>
      <c r="E227" s="2" t="inlineStr">
        <is>
          <t>LTM</t>
        </is>
      </c>
      <c r="F227" s="5" t="n">
        <v>4.451750724049072</v>
      </c>
      <c r="G227" s="5" t="n">
        <v>42.113291</v>
      </c>
      <c r="H227" s="5" t="n">
        <v>7.823760509</v>
      </c>
      <c r="I227" s="5" t="n">
        <v>86.68174999999999</v>
      </c>
      <c r="J227" s="5" t="n">
        <v>127.115</v>
      </c>
      <c r="K227" s="5" t="n">
        <v>32.805</v>
      </c>
      <c r="L227" s="5" t="n">
        <v>33.36</v>
      </c>
      <c r="M227" s="5" t="n">
        <v>4.01503719009135</v>
      </c>
    </row>
    <row r="228">
      <c r="A228" s="2" t="inlineStr">
        <is>
          <t>Smithy1_1000nit.mp4|Smithy1_1000nit_LTM_r1.mp4|PQ|LTM</t>
        </is>
      </c>
      <c r="B228" s="2" t="inlineStr">
        <is>
          <t>Smithy1_1000nit.mp4</t>
        </is>
      </c>
      <c r="C228" s="2" t="inlineStr">
        <is>
          <t>Smithy1_1000nit_LTM_r1.mp4</t>
        </is>
      </c>
      <c r="D228" s="2" t="inlineStr">
        <is>
          <t>PQ</t>
        </is>
      </c>
      <c r="E228" s="2" t="inlineStr">
        <is>
          <t>LTM</t>
        </is>
      </c>
      <c r="F228" s="5" t="n">
        <v>4.655426868497953</v>
      </c>
      <c r="G228" s="5" t="n">
        <v>44.210495</v>
      </c>
      <c r="H228" s="5" t="n">
        <v>9.172031403</v>
      </c>
      <c r="I228" s="5" t="n">
        <v>95.881163</v>
      </c>
      <c r="J228" s="5" t="n">
        <v>133.228</v>
      </c>
      <c r="K228" s="5" t="n">
        <v>33.965</v>
      </c>
      <c r="L228" s="5" t="n">
        <v>34.934</v>
      </c>
      <c r="M228" s="5" t="n">
        <v>4.586051429538869</v>
      </c>
    </row>
    <row r="229">
      <c r="A229" s="2" t="inlineStr">
        <is>
          <t>Smithy1_1000nit.mp4|Smithy1_1000nit_LTM_r2.mp4|PQ|LTM</t>
        </is>
      </c>
      <c r="B229" s="2" t="inlineStr">
        <is>
          <t>Smithy1_1000nit.mp4</t>
        </is>
      </c>
      <c r="C229" s="2" t="inlineStr">
        <is>
          <t>Smithy1_1000nit_LTM_r2.mp4</t>
        </is>
      </c>
      <c r="D229" s="2" t="inlineStr">
        <is>
          <t>PQ</t>
        </is>
      </c>
      <c r="E229" s="2" t="inlineStr">
        <is>
          <t>LTM</t>
        </is>
      </c>
      <c r="F229" s="5" t="n">
        <v>3.242477996422357</v>
      </c>
      <c r="G229" s="5" t="n">
        <v>40.915797</v>
      </c>
      <c r="H229" s="5" t="n">
        <v>6.472371101</v>
      </c>
      <c r="I229" s="5" t="n">
        <v>77.457016</v>
      </c>
      <c r="J229" s="5" t="n">
        <v>123.51</v>
      </c>
      <c r="K229" s="5" t="n">
        <v>32.114</v>
      </c>
      <c r="L229" s="5" t="n">
        <v>32.221</v>
      </c>
      <c r="M229" s="5" t="n">
        <v>3.318480244442784</v>
      </c>
    </row>
    <row r="230">
      <c r="A230" s="2" t="inlineStr">
        <is>
          <t>Smithy1_1000nit.mp4|Smithy1_1000nit_LTM_r3.mp4|PQ|LTM</t>
        </is>
      </c>
      <c r="B230" s="2" t="inlineStr">
        <is>
          <t>Smithy1_1000nit.mp4</t>
        </is>
      </c>
      <c r="C230" s="2" t="inlineStr">
        <is>
          <t>Smithy1_1000nit_LTM_r3.mp4</t>
        </is>
      </c>
      <c r="D230" s="2" t="inlineStr">
        <is>
          <t>PQ</t>
        </is>
      </c>
      <c r="E230" s="2" t="inlineStr">
        <is>
          <t>LTM</t>
        </is>
      </c>
      <c r="F230" s="5" t="n">
        <v>3.001997432558814</v>
      </c>
      <c r="G230" s="5" t="n">
        <v>40.273598</v>
      </c>
      <c r="H230" s="5" t="n">
        <v>5.518675327</v>
      </c>
      <c r="I230" s="5" t="n">
        <v>70.592387</v>
      </c>
      <c r="J230" s="5" t="n">
        <v>121.548</v>
      </c>
      <c r="K230" s="5" t="n">
        <v>31.684</v>
      </c>
      <c r="L230" s="5" t="n">
        <v>31.521</v>
      </c>
      <c r="M230" s="5" t="n">
        <v>2.736506167349705</v>
      </c>
    </row>
    <row r="231">
      <c r="A231" s="2" t="inlineStr">
        <is>
          <t>Smithy1_1000nit.mp4|Smithy1_1000nit_LTM_r4.mp4|PQ|LTM</t>
        </is>
      </c>
      <c r="B231" s="2" t="inlineStr">
        <is>
          <t>Smithy1_1000nit.mp4</t>
        </is>
      </c>
      <c r="C231" s="2" t="inlineStr">
        <is>
          <t>Smithy1_1000nit_LTM_r4.mp4</t>
        </is>
      </c>
      <c r="D231" s="2" t="inlineStr">
        <is>
          <t>PQ</t>
        </is>
      </c>
      <c r="E231" s="2" t="inlineStr">
        <is>
          <t>LTM</t>
        </is>
      </c>
      <c r="F231" s="5" t="n">
        <v>2.522467189236845</v>
      </c>
      <c r="G231" s="5" t="n">
        <v>39.431609</v>
      </c>
      <c r="H231" s="5" t="n">
        <v>4.533608437</v>
      </c>
      <c r="I231" s="5" t="n">
        <v>63.202961</v>
      </c>
      <c r="J231" s="5" t="n">
        <v>118.93</v>
      </c>
      <c r="K231" s="5" t="n">
        <v>31.18</v>
      </c>
      <c r="L231" s="5" t="n">
        <v>30.848</v>
      </c>
      <c r="M231" s="5" t="n">
        <v>2.267225691999504</v>
      </c>
    </row>
    <row r="232">
      <c r="A232" s="2" t="inlineStr">
        <is>
          <t>Smithy1_1000nit.mp4|Smithy1_1000nit_NNVC_QP35.mp4|PQ|NNVC</t>
        </is>
      </c>
      <c r="B232" s="2" t="inlineStr">
        <is>
          <t>Smithy1_1000nit.mp4</t>
        </is>
      </c>
      <c r="C232" s="2" t="inlineStr">
        <is>
          <t>Smithy1_1000nit_NNVC_QP35.mp4</t>
        </is>
      </c>
      <c r="D232" s="2" t="inlineStr">
        <is>
          <t>PQ</t>
        </is>
      </c>
      <c r="E232" s="2" t="inlineStr">
        <is>
          <t>NNVC</t>
        </is>
      </c>
      <c r="F232" s="5" t="n">
        <v>4.540646233156148</v>
      </c>
      <c r="G232" s="5" t="n">
        <v>41.872236</v>
      </c>
      <c r="H232" s="5" t="n">
        <v>7.766087532</v>
      </c>
      <c r="I232" s="5" t="n">
        <v>84.890942</v>
      </c>
      <c r="J232" s="5" t="n">
        <v>126.022</v>
      </c>
      <c r="K232" s="5" t="n">
        <v>32.789</v>
      </c>
      <c r="L232" s="5" t="n">
        <v>33.722</v>
      </c>
      <c r="M232" s="5" t="n">
        <v>4.099387024757503</v>
      </c>
    </row>
    <row r="233">
      <c r="A233" s="2" t="inlineStr">
        <is>
          <t>Smithy1_1000nit.mp4|Smithy1_1000nit_NNVC_QP37.mp4|PQ|NNVC</t>
        </is>
      </c>
      <c r="B233" s="2" t="inlineStr">
        <is>
          <t>Smithy1_1000nit.mp4</t>
        </is>
      </c>
      <c r="C233" s="2" t="inlineStr">
        <is>
          <t>Smithy1_1000nit_NNVC_QP37.mp4</t>
        </is>
      </c>
      <c r="D233" s="2" t="inlineStr">
        <is>
          <t>PQ</t>
        </is>
      </c>
      <c r="E233" s="2" t="inlineStr">
        <is>
          <t>NNVC</t>
        </is>
      </c>
      <c r="F233" s="5" t="n">
        <v>4.083081926547464</v>
      </c>
      <c r="G233" s="5" t="n">
        <v>40.758551</v>
      </c>
      <c r="H233" s="5" t="n">
        <v>7.187674046</v>
      </c>
      <c r="I233" s="5" t="n">
        <v>81.14328500000001</v>
      </c>
      <c r="J233" s="5" t="n">
        <v>122.629</v>
      </c>
      <c r="K233" s="5" t="n">
        <v>32.218</v>
      </c>
      <c r="L233" s="5" t="n">
        <v>33.083</v>
      </c>
      <c r="M233" s="5" t="n">
        <v>3.824263593526821</v>
      </c>
    </row>
    <row r="234">
      <c r="A234" s="2" t="inlineStr">
        <is>
          <t>Smithy1_1000nit.mp4|Smithy1_1000nit_NNVC_r1.mp4|PQ|NNVC</t>
        </is>
      </c>
      <c r="B234" s="2" t="inlineStr">
        <is>
          <t>Smithy1_1000nit.mp4</t>
        </is>
      </c>
      <c r="C234" s="2" t="inlineStr">
        <is>
          <t>Smithy1_1000nit_NNVC_r1.mp4</t>
        </is>
      </c>
      <c r="D234" s="2" t="inlineStr">
        <is>
          <t>PQ</t>
        </is>
      </c>
      <c r="E234" s="2" t="inlineStr">
        <is>
          <t>NNVC</t>
        </is>
      </c>
      <c r="F234" s="5" t="n">
        <v>4.8463830521269</v>
      </c>
      <c r="G234" s="5" t="n">
        <v>50.507587</v>
      </c>
      <c r="H234" s="5" t="n">
        <v>9.86779213</v>
      </c>
      <c r="I234" s="5" t="n">
        <v>99.116225</v>
      </c>
      <c r="J234" s="5" t="n">
        <v>152.525</v>
      </c>
      <c r="K234" s="5" t="n">
        <v>36.699</v>
      </c>
      <c r="L234" s="5" t="n">
        <v>39.664</v>
      </c>
      <c r="M234" s="5" t="n">
        <v>4.761227276008023</v>
      </c>
    </row>
    <row r="235">
      <c r="A235" s="2" t="inlineStr">
        <is>
          <t>Smithy1_1000nit.mp4|Smithy1_1000nit_NNVC_r2.mp4|PQ|NNVC</t>
        </is>
      </c>
      <c r="B235" s="2" t="inlineStr">
        <is>
          <t>Smithy1_1000nit.mp4</t>
        </is>
      </c>
      <c r="C235" s="2" t="inlineStr">
        <is>
          <t>Smithy1_1000nit_NNVC_r2.mp4</t>
        </is>
      </c>
      <c r="D235" s="2" t="inlineStr">
        <is>
          <t>PQ</t>
        </is>
      </c>
      <c r="E235" s="2" t="inlineStr">
        <is>
          <t>NNVC</t>
        </is>
      </c>
      <c r="F235" s="5" t="n">
        <v>4.901400208094065</v>
      </c>
      <c r="G235" s="5" t="n">
        <v>45.301973</v>
      </c>
      <c r="H235" s="5" t="n">
        <v>9.319931984</v>
      </c>
      <c r="I235" s="5" t="n">
        <v>94.368385</v>
      </c>
      <c r="J235" s="5" t="n">
        <v>136.417</v>
      </c>
      <c r="K235" s="5" t="n">
        <v>34.448</v>
      </c>
      <c r="L235" s="5" t="n">
        <v>36.37</v>
      </c>
      <c r="M235" s="5" t="n">
        <v>4.623209184088953</v>
      </c>
    </row>
    <row r="236">
      <c r="A236" s="2" t="inlineStr">
        <is>
          <t>Smithy1_1000nit.mp4|Smithy1_1000nit_NNVC_r3.mp4|PQ|NNVC</t>
        </is>
      </c>
      <c r="B236" s="2" t="inlineStr">
        <is>
          <t>Smithy1_1000nit.mp4</t>
        </is>
      </c>
      <c r="C236" s="2" t="inlineStr">
        <is>
          <t>Smithy1_1000nit_NNVC_r3.mp4</t>
        </is>
      </c>
      <c r="D236" s="2" t="inlineStr">
        <is>
          <t>PQ</t>
        </is>
      </c>
      <c r="E236" s="2" t="inlineStr">
        <is>
          <t>NNVC</t>
        </is>
      </c>
      <c r="F236" s="5" t="n">
        <v>4.711698067247528</v>
      </c>
      <c r="G236" s="5" t="n">
        <v>43.13131</v>
      </c>
      <c r="H236" s="5" t="n">
        <v>8.486442565999999</v>
      </c>
      <c r="I236" s="5" t="n">
        <v>89.234433</v>
      </c>
      <c r="J236" s="5" t="n">
        <v>129.8</v>
      </c>
      <c r="K236" s="5" t="n">
        <v>33.428</v>
      </c>
      <c r="L236" s="5" t="n">
        <v>34.68</v>
      </c>
      <c r="M236" s="5" t="n">
        <v>4.38368942988793</v>
      </c>
    </row>
    <row r="237">
      <c r="A237" s="2" t="inlineStr">
        <is>
          <t>Smithy1_1000nit.mp4|Smithy1_1000nit_NNVC_r4.mp4|PQ|NNVC</t>
        </is>
      </c>
      <c r="B237" s="2" t="inlineStr">
        <is>
          <t>Smithy1_1000nit.mp4</t>
        </is>
      </c>
      <c r="C237" s="2" t="inlineStr">
        <is>
          <t>Smithy1_1000nit_NNVC_r4.mp4</t>
        </is>
      </c>
      <c r="D237" s="2" t="inlineStr">
        <is>
          <t>PQ</t>
        </is>
      </c>
      <c r="E237" s="2" t="inlineStr">
        <is>
          <t>NNVC</t>
        </is>
      </c>
      <c r="F237" s="5" t="n">
        <v>3.186178002225793</v>
      </c>
      <c r="G237" s="5" t="n">
        <v>39.093869</v>
      </c>
      <c r="H237" s="5" t="n">
        <v>5.540747166</v>
      </c>
      <c r="I237" s="5" t="n">
        <v>70.10176</v>
      </c>
      <c r="J237" s="5" t="n">
        <v>117.536</v>
      </c>
      <c r="K237" s="5" t="n">
        <v>31.31</v>
      </c>
      <c r="L237" s="5" t="n">
        <v>31.65</v>
      </c>
      <c r="M237" s="5" t="n">
        <v>2.886803142154566</v>
      </c>
    </row>
    <row r="238">
      <c r="A238" s="2" t="inlineStr">
        <is>
          <t>Smithy1_1000nit.mp4|Smithy1_1000nit_VTM_QP27.mp4|PQ|VTM</t>
        </is>
      </c>
      <c r="B238" s="2" t="inlineStr">
        <is>
          <t>Smithy1_1000nit.mp4</t>
        </is>
      </c>
      <c r="C238" s="2" t="inlineStr">
        <is>
          <t>Smithy1_1000nit_VTM_QP27.mp4</t>
        </is>
      </c>
      <c r="D238" s="2" t="inlineStr">
        <is>
          <t>PQ</t>
        </is>
      </c>
      <c r="E238" s="2" t="inlineStr">
        <is>
          <t>VTM</t>
        </is>
      </c>
      <c r="F238" s="5" t="n">
        <v>4.771556941724857</v>
      </c>
      <c r="G238" s="5" t="n">
        <v>45.354214</v>
      </c>
      <c r="H238" s="5" t="n">
        <v>9.130863189999999</v>
      </c>
      <c r="I238" s="5" t="n">
        <v>93.453183</v>
      </c>
      <c r="J238" s="5" t="n">
        <v>137.48</v>
      </c>
      <c r="K238" s="5" t="n">
        <v>34.33</v>
      </c>
      <c r="L238" s="5" t="n">
        <v>35.994</v>
      </c>
      <c r="M238" s="5" t="n">
        <v>4.575746929136121</v>
      </c>
    </row>
    <row r="239">
      <c r="A239" s="2" t="inlineStr">
        <is>
          <t>Smithy1_1000nit.mp4|Smithy1_1000nit_VTM_QP40.mp4|PQ|VTM</t>
        </is>
      </c>
      <c r="B239" s="2" t="inlineStr">
        <is>
          <t>Smithy1_1000nit.mp4</t>
        </is>
      </c>
      <c r="C239" s="2" t="inlineStr">
        <is>
          <t>Smithy1_1000nit_VTM_QP40.mp4</t>
        </is>
      </c>
      <c r="D239" s="2" t="inlineStr">
        <is>
          <t>PQ</t>
        </is>
      </c>
      <c r="E239" s="2" t="inlineStr">
        <is>
          <t>VTM</t>
        </is>
      </c>
      <c r="F239" s="5" t="n">
        <v>3.427030363253704</v>
      </c>
      <c r="G239" s="5" t="n">
        <v>41.036247</v>
      </c>
      <c r="H239" s="5" t="n">
        <v>5.823244572</v>
      </c>
      <c r="I239" s="5" t="n">
        <v>72.625513</v>
      </c>
      <c r="J239" s="5" t="n">
        <v>124.131</v>
      </c>
      <c r="K239" s="5" t="n">
        <v>32.021</v>
      </c>
      <c r="L239" s="5" t="n">
        <v>31.97</v>
      </c>
      <c r="M239" s="5" t="n">
        <v>2.993952182790019</v>
      </c>
    </row>
    <row r="240">
      <c r="A240" s="2" t="inlineStr">
        <is>
          <t>Smithy1_1000nit.mp4|Smithy1_1000nit_VTM_r1.mp4|PQ|VTM</t>
        </is>
      </c>
      <c r="B240" s="2" t="inlineStr">
        <is>
          <t>Smithy1_1000nit.mp4</t>
        </is>
      </c>
      <c r="C240" s="2" t="inlineStr">
        <is>
          <t>Smithy1_1000nit_VTM_r1.mp4</t>
        </is>
      </c>
      <c r="D240" s="2" t="inlineStr">
        <is>
          <t>PQ</t>
        </is>
      </c>
      <c r="E240" s="2" t="inlineStr">
        <is>
          <t>VTM</t>
        </is>
      </c>
      <c r="F240" s="5" t="n">
        <v>4.490816123336142</v>
      </c>
      <c r="G240" s="5" t="n">
        <v>43.635122</v>
      </c>
      <c r="H240" s="5" t="n">
        <v>8.179192542999999</v>
      </c>
      <c r="I240" s="5" t="n">
        <v>87.79395700000001</v>
      </c>
      <c r="J240" s="5" t="n">
        <v>132.182</v>
      </c>
      <c r="K240" s="5" t="n">
        <v>33.501</v>
      </c>
      <c r="L240" s="5" t="n">
        <v>34.338</v>
      </c>
      <c r="M240" s="5" t="n">
        <v>4.259209733980073</v>
      </c>
    </row>
    <row r="241">
      <c r="A241" s="2" t="inlineStr">
        <is>
          <t>Smithy1_1000nit.mp4|Smithy1_1000nit_VTM_r2.mp4|PQ|VTM</t>
        </is>
      </c>
      <c r="B241" s="2" t="inlineStr">
        <is>
          <t>Smithy1_1000nit.mp4</t>
        </is>
      </c>
      <c r="C241" s="2" t="inlineStr">
        <is>
          <t>Smithy1_1000nit_VTM_r2.mp4</t>
        </is>
      </c>
      <c r="D241" s="2" t="inlineStr">
        <is>
          <t>PQ</t>
        </is>
      </c>
      <c r="E241" s="2" t="inlineStr">
        <is>
          <t>VTM</t>
        </is>
      </c>
      <c r="F241" s="5" t="n">
        <v>4.143752787623046</v>
      </c>
      <c r="G241" s="5" t="n">
        <v>41.795081</v>
      </c>
      <c r="H241" s="5" t="n">
        <v>6.795246124</v>
      </c>
      <c r="I241" s="5" t="n">
        <v>79.06849699999999</v>
      </c>
      <c r="J241" s="5" t="n">
        <v>126.48</v>
      </c>
      <c r="K241" s="5" t="n">
        <v>32.513</v>
      </c>
      <c r="L241" s="5" t="n">
        <v>32.797</v>
      </c>
      <c r="M241" s="5" t="n">
        <v>3.588192041965961</v>
      </c>
    </row>
    <row r="242">
      <c r="A242" s="2" t="inlineStr">
        <is>
          <t>Smithy1_1000nit.mp4|Smithy1_1000nit_VTM_r3.mp4|PQ|VTM</t>
        </is>
      </c>
      <c r="B242" s="2" t="inlineStr">
        <is>
          <t>Smithy1_1000nit.mp4</t>
        </is>
      </c>
      <c r="C242" s="2" t="inlineStr">
        <is>
          <t>Smithy1_1000nit_VTM_r3.mp4</t>
        </is>
      </c>
      <c r="D242" s="2" t="inlineStr">
        <is>
          <t>PQ</t>
        </is>
      </c>
      <c r="E242" s="2" t="inlineStr">
        <is>
          <t>VTM</t>
        </is>
      </c>
      <c r="F242" s="5" t="n">
        <v>2.943807948998499</v>
      </c>
      <c r="G242" s="5" t="n">
        <v>40.503641</v>
      </c>
      <c r="H242" s="5" t="n">
        <v>5.1447649</v>
      </c>
      <c r="I242" s="5" t="n">
        <v>67.83273199999999</v>
      </c>
      <c r="J242" s="5" t="n">
        <v>122.478</v>
      </c>
      <c r="K242" s="5" t="n">
        <v>31.675</v>
      </c>
      <c r="L242" s="5" t="n">
        <v>31.446</v>
      </c>
      <c r="M242" s="5" t="n">
        <v>2.577877795451421</v>
      </c>
    </row>
    <row r="243">
      <c r="A243" s="2" t="inlineStr">
        <is>
          <t>Smithy1_1000nit.mp4|Smithy1_1000nit_VTM_r4.mp4|PQ|VTM</t>
        </is>
      </c>
      <c r="B243" s="2" t="inlineStr">
        <is>
          <t>Smithy1_1000nit.mp4</t>
        </is>
      </c>
      <c r="C243" s="2" t="inlineStr">
        <is>
          <t>Smithy1_1000nit_VTM_r4.mp4</t>
        </is>
      </c>
      <c r="D243" s="2" t="inlineStr">
        <is>
          <t>PQ</t>
        </is>
      </c>
      <c r="E243" s="2" t="inlineStr">
        <is>
          <t>VTM</t>
        </is>
      </c>
      <c r="F243" s="5" t="n">
        <v>1.711738240254377</v>
      </c>
      <c r="G243" s="5" t="n">
        <v>39.213469</v>
      </c>
      <c r="H243" s="5" t="n">
        <v>3.443620205</v>
      </c>
      <c r="I243" s="5" t="n">
        <v>55.066425</v>
      </c>
      <c r="J243" s="5" t="n">
        <v>118.435</v>
      </c>
      <c r="K243" s="5" t="n">
        <v>30.802</v>
      </c>
      <c r="L243" s="5" t="n">
        <v>30.234</v>
      </c>
      <c r="M243" s="5" t="n">
        <v>1.83231269804518</v>
      </c>
    </row>
    <row r="244">
      <c r="A244" s="2" t="inlineStr">
        <is>
          <t>Sparks2_1000nit.mp4|Sparks2_1000nit_AlphaVC-P_r1.mp4|PQ|AlphaVC-P</t>
        </is>
      </c>
      <c r="B244" s="2" t="inlineStr">
        <is>
          <t>Sparks2_1000nit.mp4</t>
        </is>
      </c>
      <c r="C244" s="2" t="inlineStr">
        <is>
          <t>Sparks2_1000nit_AlphaVC-P_r1.mp4</t>
        </is>
      </c>
      <c r="D244" s="2" t="inlineStr">
        <is>
          <t>PQ</t>
        </is>
      </c>
      <c r="E244" s="2" t="inlineStr">
        <is>
          <t>AlphaVC-P</t>
        </is>
      </c>
      <c r="F244" s="5" t="n">
        <v>4.242732141500918</v>
      </c>
      <c r="G244" s="5" t="n">
        <v>42.692021</v>
      </c>
      <c r="H244" s="5" t="n">
        <v>8.769043922</v>
      </c>
      <c r="I244" s="5" t="n">
        <v>79.66401500000001</v>
      </c>
      <c r="J244" s="5" t="n">
        <v>135.031</v>
      </c>
      <c r="K244" s="5" t="n">
        <v>33.613</v>
      </c>
      <c r="L244" s="5" t="n">
        <v>37.566</v>
      </c>
      <c r="M244" s="5" t="n">
        <v>4.104100812024666</v>
      </c>
    </row>
    <row r="245">
      <c r="A245" s="2" t="inlineStr">
        <is>
          <t>Sparks2_1000nit.mp4|Sparks2_1000nit_AlphaVC-P_r2.mp4|PQ|AlphaVC-P</t>
        </is>
      </c>
      <c r="B245" s="2" t="inlineStr">
        <is>
          <t>Sparks2_1000nit.mp4</t>
        </is>
      </c>
      <c r="C245" s="2" t="inlineStr">
        <is>
          <t>Sparks2_1000nit_AlphaVC-P_r2.mp4</t>
        </is>
      </c>
      <c r="D245" s="2" t="inlineStr">
        <is>
          <t>PQ</t>
        </is>
      </c>
      <c r="E245" s="2" t="inlineStr">
        <is>
          <t>AlphaVC-P</t>
        </is>
      </c>
      <c r="F245" s="5" t="n">
        <v>4.176400283888539</v>
      </c>
      <c r="G245" s="5" t="n">
        <v>42.05102</v>
      </c>
      <c r="H245" s="5" t="n">
        <v>8.334269524</v>
      </c>
      <c r="I245" s="5" t="n">
        <v>73.991176</v>
      </c>
      <c r="J245" s="5" t="n">
        <v>132.898</v>
      </c>
      <c r="K245" s="5" t="n">
        <v>33.359</v>
      </c>
      <c r="L245" s="5" t="n">
        <v>37.113</v>
      </c>
      <c r="M245" s="5" t="n">
        <v>3.783060848553387</v>
      </c>
    </row>
    <row r="246">
      <c r="A246" s="2" t="inlineStr">
        <is>
          <t>Sparks2_1000nit.mp4|Sparks2_1000nit_AlphaVC-P_r3.mp4|PQ|AlphaVC-P</t>
        </is>
      </c>
      <c r="B246" s="2" t="inlineStr">
        <is>
          <t>Sparks2_1000nit.mp4</t>
        </is>
      </c>
      <c r="C246" s="2" t="inlineStr">
        <is>
          <t>Sparks2_1000nit_AlphaVC-P_r3.mp4</t>
        </is>
      </c>
      <c r="D246" s="2" t="inlineStr">
        <is>
          <t>PQ</t>
        </is>
      </c>
      <c r="E246" s="2" t="inlineStr">
        <is>
          <t>AlphaVC-P</t>
        </is>
      </c>
      <c r="F246" s="5" t="n">
        <v>3.074614228778009</v>
      </c>
      <c r="G246" s="5" t="n">
        <v>41.521931</v>
      </c>
      <c r="H246" s="5" t="n">
        <v>7.944834709</v>
      </c>
      <c r="I246" s="5" t="n">
        <v>69.047561</v>
      </c>
      <c r="J246" s="5" t="n">
        <v>131.159</v>
      </c>
      <c r="K246" s="5" t="n">
        <v>33.169</v>
      </c>
      <c r="L246" s="5" t="n">
        <v>36.761</v>
      </c>
      <c r="M246" s="5" t="n">
        <v>3.48248374102767</v>
      </c>
    </row>
    <row r="247">
      <c r="A247" s="2" t="inlineStr">
        <is>
          <t>Sparks2_1000nit.mp4|Sparks2_1000nit_AlphaVC-P_r4.mp4|PQ|AlphaVC-P</t>
        </is>
      </c>
      <c r="B247" s="2" t="inlineStr">
        <is>
          <t>Sparks2_1000nit.mp4</t>
        </is>
      </c>
      <c r="C247" s="2" t="inlineStr">
        <is>
          <t>Sparks2_1000nit_AlphaVC-P_r4.mp4</t>
        </is>
      </c>
      <c r="D247" s="2" t="inlineStr">
        <is>
          <t>PQ</t>
        </is>
      </c>
      <c r="E247" s="2" t="inlineStr">
        <is>
          <t>AlphaVC-P</t>
        </is>
      </c>
      <c r="F247" s="5" t="n">
        <v>1.865565151515222</v>
      </c>
      <c r="G247" s="5" t="n">
        <v>40.003781</v>
      </c>
      <c r="H247" s="5" t="n">
        <v>6.738490105</v>
      </c>
      <c r="I247" s="5" t="n">
        <v>56.102409</v>
      </c>
      <c r="J247" s="5" t="n">
        <v>126.161</v>
      </c>
      <c r="K247" s="5" t="n">
        <v>32.482</v>
      </c>
      <c r="L247" s="5" t="n">
        <v>35.585</v>
      </c>
      <c r="M247" s="5" t="n">
        <v>2.610226057492883</v>
      </c>
    </row>
    <row r="248">
      <c r="A248" s="2" t="inlineStr">
        <is>
          <t>Sparks2_1000nit.mp4|Sparks2_1000nit_AVS3_r1.mp4|PQ|AVS</t>
        </is>
      </c>
      <c r="B248" s="2" t="inlineStr">
        <is>
          <t>Sparks2_1000nit.mp4</t>
        </is>
      </c>
      <c r="C248" s="2" t="inlineStr">
        <is>
          <t>Sparks2_1000nit_AVS3_r1.mp4</t>
        </is>
      </c>
      <c r="D248" s="2" t="inlineStr">
        <is>
          <t>PQ</t>
        </is>
      </c>
      <c r="E248" s="2" t="inlineStr">
        <is>
          <t>AVS</t>
        </is>
      </c>
      <c r="F248" s="5" t="n">
        <v>4.728007415509484</v>
      </c>
      <c r="G248" s="5" t="n">
        <v>44.899584</v>
      </c>
      <c r="H248" s="5" t="n">
        <v>9.454645157</v>
      </c>
      <c r="I248" s="5" t="n">
        <v>91.86832800000001</v>
      </c>
      <c r="J248" s="5" t="n">
        <v>142.218</v>
      </c>
      <c r="K248" s="5" t="n">
        <v>34.711</v>
      </c>
      <c r="L248" s="5" t="n">
        <v>39.006</v>
      </c>
      <c r="M248" s="5" t="n">
        <v>4.425554514625224</v>
      </c>
    </row>
    <row r="249">
      <c r="A249" s="2" t="inlineStr">
        <is>
          <t>Sparks2_1000nit.mp4|Sparks2_1000nit_AVS3_r2.mp4|PQ|AVS</t>
        </is>
      </c>
      <c r="B249" s="2" t="inlineStr">
        <is>
          <t>Sparks2_1000nit.mp4</t>
        </is>
      </c>
      <c r="C249" s="2" t="inlineStr">
        <is>
          <t>Sparks2_1000nit_AVS3_r2.mp4</t>
        </is>
      </c>
      <c r="D249" s="2" t="inlineStr">
        <is>
          <t>PQ</t>
        </is>
      </c>
      <c r="E249" s="2" t="inlineStr">
        <is>
          <t>AVS</t>
        </is>
      </c>
      <c r="F249" s="5" t="n">
        <v>4.341568194000229</v>
      </c>
      <c r="G249" s="5" t="n">
        <v>44.264591</v>
      </c>
      <c r="H249" s="5" t="n">
        <v>9.157292366</v>
      </c>
      <c r="I249" s="5" t="n">
        <v>88.433521</v>
      </c>
      <c r="J249" s="5" t="n">
        <v>140.092</v>
      </c>
      <c r="K249" s="5" t="n">
        <v>34.417</v>
      </c>
      <c r="L249" s="5" t="n">
        <v>38.536</v>
      </c>
      <c r="M249" s="5" t="n">
        <v>4.229355979193458</v>
      </c>
    </row>
    <row r="250">
      <c r="A250" s="2" t="inlineStr">
        <is>
          <t>Sparks2_1000nit.mp4|Sparks2_1000nit_AVS3_r3.mp4|PQ|AVS</t>
        </is>
      </c>
      <c r="B250" s="2" t="inlineStr">
        <is>
          <t>Sparks2_1000nit.mp4</t>
        </is>
      </c>
      <c r="C250" s="2" t="inlineStr">
        <is>
          <t>Sparks2_1000nit_AVS3_r3.mp4</t>
        </is>
      </c>
      <c r="D250" s="2" t="inlineStr">
        <is>
          <t>PQ</t>
        </is>
      </c>
      <c r="E250" s="2" t="inlineStr">
        <is>
          <t>AVS</t>
        </is>
      </c>
      <c r="F250" s="5" t="n">
        <v>3.911932830992011</v>
      </c>
      <c r="G250" s="5" t="n">
        <v>43.606257</v>
      </c>
      <c r="H250" s="5" t="n">
        <v>8.751850127999999</v>
      </c>
      <c r="I250" s="5" t="n">
        <v>83.88251</v>
      </c>
      <c r="J250" s="5" t="n">
        <v>137.829</v>
      </c>
      <c r="K250" s="5" t="n">
        <v>34.095</v>
      </c>
      <c r="L250" s="5" t="n">
        <v>38.026</v>
      </c>
      <c r="M250" s="5" t="n">
        <v>3.920736735375531</v>
      </c>
    </row>
    <row r="251">
      <c r="A251" s="2" t="inlineStr">
        <is>
          <t>Sparks2_1000nit.mp4|Sparks2_1000nit_AVS3_r4.mp4|PQ|AVS</t>
        </is>
      </c>
      <c r="B251" s="2" t="inlineStr">
        <is>
          <t>Sparks2_1000nit.mp4</t>
        </is>
      </c>
      <c r="C251" s="2" t="inlineStr">
        <is>
          <t>Sparks2_1000nit_AVS3_r4.mp4</t>
        </is>
      </c>
      <c r="D251" s="2" t="inlineStr">
        <is>
          <t>PQ</t>
        </is>
      </c>
      <c r="E251" s="2" t="inlineStr">
        <is>
          <t>AVS</t>
        </is>
      </c>
      <c r="F251" s="5" t="n">
        <v>3.038135869260023</v>
      </c>
      <c r="G251" s="5" t="n">
        <v>42.263672</v>
      </c>
      <c r="H251" s="5" t="n">
        <v>7.633012295</v>
      </c>
      <c r="I251" s="5" t="n">
        <v>71.456282</v>
      </c>
      <c r="J251" s="5" t="n">
        <v>133.293</v>
      </c>
      <c r="K251" s="5" t="n">
        <v>33.433</v>
      </c>
      <c r="L251" s="5" t="n">
        <v>36.894</v>
      </c>
      <c r="M251" s="5" t="n">
        <v>2.954564901087082</v>
      </c>
    </row>
    <row r="252">
      <c r="A252" s="2" t="inlineStr">
        <is>
          <t>Sparks2_1000nit.mp4|Sparks2_1000nit_EEM_r1.mp4|PQ|EEM</t>
        </is>
      </c>
      <c r="B252" s="2" t="inlineStr">
        <is>
          <t>Sparks2_1000nit.mp4</t>
        </is>
      </c>
      <c r="C252" s="2" t="inlineStr">
        <is>
          <t>Sparks2_1000nit_EEM_r1.mp4</t>
        </is>
      </c>
      <c r="D252" s="2" t="inlineStr">
        <is>
          <t>PQ</t>
        </is>
      </c>
      <c r="E252" s="2" t="inlineStr">
        <is>
          <t>EEM</t>
        </is>
      </c>
      <c r="F252" s="5" t="n">
        <v>4.121288218742548</v>
      </c>
      <c r="G252" s="5" t="n">
        <v>43.806882</v>
      </c>
      <c r="H252" s="5" t="n">
        <v>8.809309959</v>
      </c>
      <c r="I252" s="5" t="n">
        <v>88.060256</v>
      </c>
      <c r="J252" s="5" t="n">
        <v>138.391</v>
      </c>
      <c r="K252" s="5" t="n">
        <v>33.816</v>
      </c>
      <c r="L252" s="5" t="n">
        <v>38.274</v>
      </c>
      <c r="M252" s="5" t="n">
        <v>4.054488195991459</v>
      </c>
    </row>
    <row r="253">
      <c r="A253" s="2" t="inlineStr">
        <is>
          <t>Sparks2_1000nit.mp4|Sparks2_1000nit_EEM_r2.mp4|PQ|EEM</t>
        </is>
      </c>
      <c r="B253" s="2" t="inlineStr">
        <is>
          <t>Sparks2_1000nit.mp4</t>
        </is>
      </c>
      <c r="C253" s="2" t="inlineStr">
        <is>
          <t>Sparks2_1000nit_EEM_r2.mp4</t>
        </is>
      </c>
      <c r="D253" s="2" t="inlineStr">
        <is>
          <t>PQ</t>
        </is>
      </c>
      <c r="E253" s="2" t="inlineStr">
        <is>
          <t>EEM</t>
        </is>
      </c>
      <c r="F253" s="5" t="n">
        <v>3.588332836881118</v>
      </c>
      <c r="G253" s="5" t="n">
        <v>42.416877</v>
      </c>
      <c r="H253" s="5" t="n">
        <v>7.827985287</v>
      </c>
      <c r="I253" s="5" t="n">
        <v>78.54662500000001</v>
      </c>
      <c r="J253" s="5" t="n">
        <v>133.789</v>
      </c>
      <c r="K253" s="5" t="n">
        <v>33.205</v>
      </c>
      <c r="L253" s="5" t="n">
        <v>37.209</v>
      </c>
      <c r="M253" s="5" t="n">
        <v>3.269353573244725</v>
      </c>
    </row>
    <row r="254">
      <c r="A254" s="2" t="inlineStr">
        <is>
          <t>Sparks2_1000nit.mp4|Sparks2_1000nit_EEM_r3.mp4|PQ|EEM</t>
        </is>
      </c>
      <c r="B254" s="2" t="inlineStr">
        <is>
          <t>Sparks2_1000nit.mp4</t>
        </is>
      </c>
      <c r="C254" s="2" t="inlineStr">
        <is>
          <t>Sparks2_1000nit_EEM_r3.mp4</t>
        </is>
      </c>
      <c r="D254" s="2" t="inlineStr">
        <is>
          <t>PQ</t>
        </is>
      </c>
      <c r="E254" s="2" t="inlineStr">
        <is>
          <t>EEM</t>
        </is>
      </c>
      <c r="F254" s="5" t="n">
        <v>2.737134262242751</v>
      </c>
      <c r="G254" s="5" t="n">
        <v>41.714373</v>
      </c>
      <c r="H254" s="5" t="n">
        <v>7.204088211</v>
      </c>
      <c r="I254" s="5" t="n">
        <v>71.86658300000001</v>
      </c>
      <c r="J254" s="5" t="n">
        <v>131.503</v>
      </c>
      <c r="K254" s="5" t="n">
        <v>32.925</v>
      </c>
      <c r="L254" s="5" t="n">
        <v>36.617</v>
      </c>
      <c r="M254" s="5" t="n">
        <v>2.817243096155785</v>
      </c>
    </row>
    <row r="255">
      <c r="A255" s="2" t="inlineStr">
        <is>
          <t>Sparks2_1000nit.mp4|Sparks2_1000nit_EEM_r4.mp4|PQ|EEM</t>
        </is>
      </c>
      <c r="B255" s="2" t="inlineStr">
        <is>
          <t>Sparks2_1000nit.mp4</t>
        </is>
      </c>
      <c r="C255" s="2" t="inlineStr">
        <is>
          <t>Sparks2_1000nit_EEM_r4.mp4</t>
        </is>
      </c>
      <c r="D255" s="2" t="inlineStr">
        <is>
          <t>PQ</t>
        </is>
      </c>
      <c r="E255" s="2" t="inlineStr">
        <is>
          <t>EEM</t>
        </is>
      </c>
      <c r="F255" s="5" t="n">
        <v>1.470398447449344</v>
      </c>
      <c r="G255" s="5" t="n">
        <v>39.881472</v>
      </c>
      <c r="H255" s="5" t="n">
        <v>5.83573246</v>
      </c>
      <c r="I255" s="5" t="n">
        <v>56.604799</v>
      </c>
      <c r="J255" s="5" t="n">
        <v>125.614</v>
      </c>
      <c r="K255" s="5" t="n">
        <v>32.061</v>
      </c>
      <c r="L255" s="5" t="n">
        <v>35.458</v>
      </c>
      <c r="M255" s="5" t="n">
        <v>1.93185815839814</v>
      </c>
    </row>
    <row r="256">
      <c r="A256" s="2" t="inlineStr">
        <is>
          <t>Sparks2_1000nit.mp4|Sparks2_1000nit_LCEVC_QP21.mp4|PQ|LTM</t>
        </is>
      </c>
      <c r="B256" s="2" t="inlineStr">
        <is>
          <t>Sparks2_1000nit.mp4</t>
        </is>
      </c>
      <c r="C256" s="2" t="inlineStr">
        <is>
          <t>Sparks2_1000nit_LCEVC_QP21.mp4</t>
        </is>
      </c>
      <c r="D256" s="2" t="inlineStr">
        <is>
          <t>PQ</t>
        </is>
      </c>
      <c r="E256" s="2" t="inlineStr">
        <is>
          <t>LTM</t>
        </is>
      </c>
      <c r="F256" s="5" t="n">
        <v>4.5112056536008</v>
      </c>
      <c r="G256" s="5" t="n">
        <v>43.807214</v>
      </c>
      <c r="H256" s="5" t="n">
        <v>9.237388611</v>
      </c>
      <c r="I256" s="5" t="n">
        <v>89.40755</v>
      </c>
      <c r="J256" s="5" t="n">
        <v>138.713</v>
      </c>
      <c r="K256" s="5" t="n">
        <v>34.15</v>
      </c>
      <c r="L256" s="5" t="n">
        <v>38.483</v>
      </c>
      <c r="M256" s="5" t="n">
        <v>4.206852925292242</v>
      </c>
    </row>
    <row r="257">
      <c r="A257" s="2" t="inlineStr">
        <is>
          <t>Sparks2_1000nit.mp4|Sparks2_1000nit_LCEVC_QP25.mp4|PQ|LTM</t>
        </is>
      </c>
      <c r="B257" s="2" t="inlineStr">
        <is>
          <t>Sparks2_1000nit.mp4</t>
        </is>
      </c>
      <c r="C257" s="2" t="inlineStr">
        <is>
          <t>Sparks2_1000nit_LCEVC_QP25.mp4</t>
        </is>
      </c>
      <c r="D257" s="2" t="inlineStr">
        <is>
          <t>PQ</t>
        </is>
      </c>
      <c r="E257" s="2" t="inlineStr">
        <is>
          <t>LTM</t>
        </is>
      </c>
      <c r="F257" s="5" t="n">
        <v>4.273146246736619</v>
      </c>
      <c r="G257" s="5" t="n">
        <v>43.090608</v>
      </c>
      <c r="H257" s="5" t="n">
        <v>8.699155807</v>
      </c>
      <c r="I257" s="5" t="n">
        <v>83.594461</v>
      </c>
      <c r="J257" s="5" t="n">
        <v>136.295</v>
      </c>
      <c r="K257" s="5" t="n">
        <v>33.813</v>
      </c>
      <c r="L257" s="5" t="n">
        <v>37.838</v>
      </c>
      <c r="M257" s="5" t="n">
        <v>3.810680949893104</v>
      </c>
    </row>
    <row r="258">
      <c r="A258" s="2" t="inlineStr">
        <is>
          <t>Sparks2_1000nit.mp4|Sparks2_1000nit_LTM_r1.mp4|PQ|LTM</t>
        </is>
      </c>
      <c r="B258" s="2" t="inlineStr">
        <is>
          <t>Sparks2_1000nit.mp4</t>
        </is>
      </c>
      <c r="C258" s="2" t="inlineStr">
        <is>
          <t>Sparks2_1000nit_LTM_r1.mp4</t>
        </is>
      </c>
      <c r="D258" s="2" t="inlineStr">
        <is>
          <t>PQ</t>
        </is>
      </c>
      <c r="E258" s="2" t="inlineStr">
        <is>
          <t>LTM</t>
        </is>
      </c>
      <c r="F258" s="5" t="n">
        <v>4.667897112242606</v>
      </c>
      <c r="G258" s="5" t="n">
        <v>44.495523</v>
      </c>
      <c r="H258" s="5" t="n">
        <v>9.574297905</v>
      </c>
      <c r="I258" s="5" t="n">
        <v>93.556084</v>
      </c>
      <c r="J258" s="5" t="n">
        <v>141.028</v>
      </c>
      <c r="K258" s="5" t="n">
        <v>34.525</v>
      </c>
      <c r="L258" s="5" t="n">
        <v>39.029</v>
      </c>
      <c r="M258" s="5" t="n">
        <v>4.436095527239301</v>
      </c>
    </row>
    <row r="259">
      <c r="A259" s="2" t="inlineStr">
        <is>
          <t>Sparks2_1000nit.mp4|Sparks2_1000nit_LTM_r2.mp4|PQ|LTM</t>
        </is>
      </c>
      <c r="B259" s="2" t="inlineStr">
        <is>
          <t>Sparks2_1000nit.mp4</t>
        </is>
      </c>
      <c r="C259" s="2" t="inlineStr">
        <is>
          <t>Sparks2_1000nit_LTM_r2.mp4</t>
        </is>
      </c>
      <c r="D259" s="2" t="inlineStr">
        <is>
          <t>PQ</t>
        </is>
      </c>
      <c r="E259" s="2" t="inlineStr">
        <is>
          <t>LTM</t>
        </is>
      </c>
      <c r="F259" s="5" t="n">
        <v>3.179842783374026</v>
      </c>
      <c r="G259" s="5" t="n">
        <v>42.303321</v>
      </c>
      <c r="H259" s="5" t="n">
        <v>7.899346352</v>
      </c>
      <c r="I259" s="5" t="n">
        <v>74.74333300000001</v>
      </c>
      <c r="J259" s="5" t="n">
        <v>133.678</v>
      </c>
      <c r="K259" s="5" t="n">
        <v>33.507</v>
      </c>
      <c r="L259" s="5" t="n">
        <v>37.059</v>
      </c>
      <c r="M259" s="5" t="n">
        <v>3.1424471788829</v>
      </c>
    </row>
    <row r="260">
      <c r="A260" s="2" t="inlineStr">
        <is>
          <t>Sparks2_1000nit.mp4|Sparks2_1000nit_LTM_r3.mp4|PQ|LTM</t>
        </is>
      </c>
      <c r="B260" s="2" t="inlineStr">
        <is>
          <t>Sparks2_1000nit.mp4</t>
        </is>
      </c>
      <c r="C260" s="2" t="inlineStr">
        <is>
          <t>Sparks2_1000nit_LTM_r3.mp4</t>
        </is>
      </c>
      <c r="D260" s="2" t="inlineStr">
        <is>
          <t>PQ</t>
        </is>
      </c>
      <c r="E260" s="2" t="inlineStr">
        <is>
          <t>LTM</t>
        </is>
      </c>
      <c r="F260" s="5" t="n">
        <v>2.40996165833698</v>
      </c>
      <c r="G260" s="5" t="n">
        <v>41.669759</v>
      </c>
      <c r="H260" s="5" t="n">
        <v>7.211408138</v>
      </c>
      <c r="I260" s="5" t="n">
        <v>67.474689</v>
      </c>
      <c r="J260" s="5" t="n">
        <v>131.599</v>
      </c>
      <c r="K260" s="5" t="n">
        <v>33.241</v>
      </c>
      <c r="L260" s="5" t="n">
        <v>36.466</v>
      </c>
      <c r="M260" s="5" t="n">
        <v>2.60796126144244</v>
      </c>
    </row>
    <row r="261">
      <c r="A261" s="2" t="inlineStr">
        <is>
          <t>Sparks2_1000nit.mp4|Sparks2_1000nit_LTM_r4.mp4|PQ|LTM</t>
        </is>
      </c>
      <c r="B261" s="2" t="inlineStr">
        <is>
          <t>Sparks2_1000nit.mp4</t>
        </is>
      </c>
      <c r="C261" s="2" t="inlineStr">
        <is>
          <t>Sparks2_1000nit_LTM_r4.mp4</t>
        </is>
      </c>
      <c r="D261" s="2" t="inlineStr">
        <is>
          <t>PQ</t>
        </is>
      </c>
      <c r="E261" s="2" t="inlineStr">
        <is>
          <t>LTM</t>
        </is>
      </c>
      <c r="F261" s="5" t="n">
        <v>1.695460882676779</v>
      </c>
      <c r="G261" s="5" t="n">
        <v>40.435442</v>
      </c>
      <c r="H261" s="5" t="n">
        <v>5.758188725</v>
      </c>
      <c r="I261" s="5" t="n">
        <v>53.659698</v>
      </c>
      <c r="J261" s="5" t="n">
        <v>127.638</v>
      </c>
      <c r="K261" s="5" t="n">
        <v>32.689</v>
      </c>
      <c r="L261" s="5" t="n">
        <v>35.308</v>
      </c>
      <c r="M261" s="5" t="n">
        <v>1.873596432326164</v>
      </c>
    </row>
    <row r="262">
      <c r="A262" s="2" t="inlineStr">
        <is>
          <t>Sparks2_1000nit.mp4|Sparks2_1000nit_NNVC_QP35.mp4|PQ|NNVC</t>
        </is>
      </c>
      <c r="B262" s="2" t="inlineStr">
        <is>
          <t>Sparks2_1000nit.mp4</t>
        </is>
      </c>
      <c r="C262" s="2" t="inlineStr">
        <is>
          <t>Sparks2_1000nit_NNVC_QP35.mp4</t>
        </is>
      </c>
      <c r="D262" s="2" t="inlineStr">
        <is>
          <t>PQ</t>
        </is>
      </c>
      <c r="E262" s="2" t="inlineStr">
        <is>
          <t>NNVC</t>
        </is>
      </c>
      <c r="F262" s="5" t="n">
        <v>3.486191404900258</v>
      </c>
      <c r="G262" s="5" t="n">
        <v>42.523944</v>
      </c>
      <c r="H262" s="5" t="n">
        <v>8.136409759999999</v>
      </c>
      <c r="I262" s="5" t="n">
        <v>78.60065</v>
      </c>
      <c r="J262" s="5" t="n">
        <v>134.126</v>
      </c>
      <c r="K262" s="5" t="n">
        <v>33.401</v>
      </c>
      <c r="L262" s="5" t="n">
        <v>37.436</v>
      </c>
      <c r="M262" s="5" t="n">
        <v>3.438869202358904</v>
      </c>
    </row>
    <row r="263">
      <c r="A263" s="2" t="inlineStr">
        <is>
          <t>Sparks2_1000nit.mp4|Sparks2_1000nit_NNVC_QP37.mp4|PQ|NNVC</t>
        </is>
      </c>
      <c r="B263" s="2" t="inlineStr">
        <is>
          <t>Sparks2_1000nit.mp4</t>
        </is>
      </c>
      <c r="C263" s="2" t="inlineStr">
        <is>
          <t>Sparks2_1000nit_NNVC_QP37.mp4</t>
        </is>
      </c>
      <c r="D263" s="2" t="inlineStr">
        <is>
          <t>PQ</t>
        </is>
      </c>
      <c r="E263" s="2" t="inlineStr">
        <is>
          <t>NNVC</t>
        </is>
      </c>
      <c r="F263" s="5" t="n">
        <v>3.232085993944088</v>
      </c>
      <c r="G263" s="5" t="n">
        <v>41.953019</v>
      </c>
      <c r="H263" s="5" t="n">
        <v>7.726260185</v>
      </c>
      <c r="I263" s="5" t="n">
        <v>74.39140399999999</v>
      </c>
      <c r="J263" s="5" t="n">
        <v>132.236</v>
      </c>
      <c r="K263" s="5" t="n">
        <v>33.11</v>
      </c>
      <c r="L263" s="5" t="n">
        <v>37.05</v>
      </c>
      <c r="M263" s="5" t="n">
        <v>3.050519058454376</v>
      </c>
    </row>
    <row r="264">
      <c r="A264" s="2" t="inlineStr">
        <is>
          <t>Sparks2_1000nit.mp4|Sparks2_1000nit_NNVC_r1.mp4|PQ|NNVC</t>
        </is>
      </c>
      <c r="B264" s="2" t="inlineStr">
        <is>
          <t>Sparks2_1000nit.mp4</t>
        </is>
      </c>
      <c r="C264" s="2" t="inlineStr">
        <is>
          <t>Sparks2_1000nit_NNVC_r1.mp4</t>
        </is>
      </c>
      <c r="D264" s="2" t="inlineStr">
        <is>
          <t>PQ</t>
        </is>
      </c>
      <c r="E264" s="2" t="inlineStr">
        <is>
          <t>NNVC</t>
        </is>
      </c>
      <c r="F264" s="5" t="n">
        <v>4.752078503094322</v>
      </c>
      <c r="G264" s="5" t="n">
        <v>47.172756</v>
      </c>
      <c r="H264" s="5" t="n">
        <v>9.864068984999999</v>
      </c>
      <c r="I264" s="5" t="n">
        <v>97.900856</v>
      </c>
      <c r="J264" s="5" t="n">
        <v>149.234</v>
      </c>
      <c r="K264" s="5" t="n">
        <v>35.497</v>
      </c>
      <c r="L264" s="5" t="n">
        <v>40.321</v>
      </c>
      <c r="M264" s="5" t="n">
        <v>4.695608454793272</v>
      </c>
    </row>
    <row r="265">
      <c r="A265" s="2" t="inlineStr">
        <is>
          <t>Sparks2_1000nit.mp4|Sparks2_1000nit_NNVC_r2.mp4|PQ|NNVC</t>
        </is>
      </c>
      <c r="B265" s="2" t="inlineStr">
        <is>
          <t>Sparks2_1000nit.mp4</t>
        </is>
      </c>
      <c r="C265" s="2" t="inlineStr">
        <is>
          <t>Sparks2_1000nit_NNVC_r2.mp4</t>
        </is>
      </c>
      <c r="D265" s="2" t="inlineStr">
        <is>
          <t>PQ</t>
        </is>
      </c>
      <c r="E265" s="2" t="inlineStr">
        <is>
          <t>NNVC</t>
        </is>
      </c>
      <c r="F265" s="5" t="n">
        <v>4.642332279936823</v>
      </c>
      <c r="G265" s="5" t="n">
        <v>44.281331</v>
      </c>
      <c r="H265" s="5" t="n">
        <v>9.317228317</v>
      </c>
      <c r="I265" s="5" t="n">
        <v>90.03094400000001</v>
      </c>
      <c r="J265" s="5" t="n">
        <v>140.151</v>
      </c>
      <c r="K265" s="5" t="n">
        <v>34.359</v>
      </c>
      <c r="L265" s="5" t="n">
        <v>38.793</v>
      </c>
      <c r="M265" s="5" t="n">
        <v>4.322558994876756</v>
      </c>
    </row>
    <row r="266">
      <c r="A266" s="2" t="inlineStr">
        <is>
          <t>Sparks2_1000nit.mp4|Sparks2_1000nit_NNVC_r3.mp4|PQ|NNVC</t>
        </is>
      </c>
      <c r="B266" s="2" t="inlineStr">
        <is>
          <t>Sparks2_1000nit.mp4</t>
        </is>
      </c>
      <c r="C266" s="2" t="inlineStr">
        <is>
          <t>Sparks2_1000nit_NNVC_r3.mp4</t>
        </is>
      </c>
      <c r="D266" s="2" t="inlineStr">
        <is>
          <t>PQ</t>
        </is>
      </c>
      <c r="E266" s="2" t="inlineStr">
        <is>
          <t>NNVC</t>
        </is>
      </c>
      <c r="F266" s="5" t="n">
        <v>4.034978068043023</v>
      </c>
      <c r="G266" s="5" t="n">
        <v>43.229929</v>
      </c>
      <c r="H266" s="5" t="n">
        <v>8.666128158999999</v>
      </c>
      <c r="I266" s="5" t="n">
        <v>83.612115</v>
      </c>
      <c r="J266" s="5" t="n">
        <v>136.515</v>
      </c>
      <c r="K266" s="5" t="n">
        <v>33.781</v>
      </c>
      <c r="L266" s="5" t="n">
        <v>37.978</v>
      </c>
      <c r="M266" s="5" t="n">
        <v>3.874764077393776</v>
      </c>
    </row>
    <row r="267">
      <c r="A267" s="2" t="inlineStr">
        <is>
          <t>Sparks2_1000nit.mp4|Sparks2_1000nit_NNVC_r4.mp4|PQ|NNVC</t>
        </is>
      </c>
      <c r="B267" s="2" t="inlineStr">
        <is>
          <t>Sparks2_1000nit.mp4</t>
        </is>
      </c>
      <c r="C267" s="2" t="inlineStr">
        <is>
          <t>Sparks2_1000nit_NNVC_r4.mp4</t>
        </is>
      </c>
      <c r="D267" s="2" t="inlineStr">
        <is>
          <t>PQ</t>
        </is>
      </c>
      <c r="E267" s="2" t="inlineStr">
        <is>
          <t>NNVC</t>
        </is>
      </c>
      <c r="F267" s="5" t="n">
        <v>2.042839040018084</v>
      </c>
      <c r="G267" s="5" t="n">
        <v>40.661223</v>
      </c>
      <c r="H267" s="5" t="n">
        <v>6.588225365</v>
      </c>
      <c r="I267" s="5" t="n">
        <v>62.424422</v>
      </c>
      <c r="J267" s="5" t="n">
        <v>128.03</v>
      </c>
      <c r="K267" s="5" t="n">
        <v>32.512</v>
      </c>
      <c r="L267" s="5" t="n">
        <v>36.058</v>
      </c>
      <c r="M267" s="5" t="n">
        <v>2.240777145796239</v>
      </c>
    </row>
    <row r="268">
      <c r="A268" s="2" t="inlineStr">
        <is>
          <t>Sparks2_1000nit.mp4|Sparks2_1000nit_VTM_QP22.mp4|PQ|VTM</t>
        </is>
      </c>
      <c r="B268" s="2" t="inlineStr">
        <is>
          <t>Sparks2_1000nit.mp4</t>
        </is>
      </c>
      <c r="C268" s="2" t="inlineStr">
        <is>
          <t>Sparks2_1000nit_VTM_QP22.mp4</t>
        </is>
      </c>
      <c r="D268" s="2" t="inlineStr">
        <is>
          <t>PQ</t>
        </is>
      </c>
      <c r="E268" s="2" t="inlineStr">
        <is>
          <t>VTM</t>
        </is>
      </c>
      <c r="F268" s="5" t="n">
        <v>4.737070929245403</v>
      </c>
      <c r="G268" s="5" t="n">
        <v>44.912528</v>
      </c>
      <c r="H268" s="5" t="n">
        <v>9.635828018</v>
      </c>
      <c r="I268" s="5" t="n">
        <v>93.01511000000001</v>
      </c>
      <c r="J268" s="5" t="n">
        <v>142.458</v>
      </c>
      <c r="K268" s="5" t="n">
        <v>34.714</v>
      </c>
      <c r="L268" s="5" t="n">
        <v>39.246</v>
      </c>
      <c r="M268" s="5" t="n">
        <v>4.482673530046696</v>
      </c>
    </row>
    <row r="269">
      <c r="A269" s="2" t="inlineStr">
        <is>
          <t>Sparks2_1000nit.mp4|Sparks2_1000nit_VTM_QP35.mp4|PQ|VTM</t>
        </is>
      </c>
      <c r="B269" s="2" t="inlineStr">
        <is>
          <t>Sparks2_1000nit.mp4</t>
        </is>
      </c>
      <c r="C269" s="2" t="inlineStr">
        <is>
          <t>Sparks2_1000nit_VTM_QP35.mp4</t>
        </is>
      </c>
      <c r="D269" s="2" t="inlineStr">
        <is>
          <t>PQ</t>
        </is>
      </c>
      <c r="E269" s="2" t="inlineStr">
        <is>
          <t>VTM</t>
        </is>
      </c>
      <c r="F269" s="5" t="n">
        <v>3.664425541416443</v>
      </c>
      <c r="G269" s="5" t="n">
        <v>42.631508</v>
      </c>
      <c r="H269" s="5" t="n">
        <v>7.846399784</v>
      </c>
      <c r="I269" s="5" t="n">
        <v>73.042699</v>
      </c>
      <c r="J269" s="5" t="n">
        <v>134.824</v>
      </c>
      <c r="K269" s="5" t="n">
        <v>33.724</v>
      </c>
      <c r="L269" s="5" t="n">
        <v>37.001</v>
      </c>
      <c r="M269" s="5" t="n">
        <v>3.104559863622081</v>
      </c>
    </row>
    <row r="270">
      <c r="A270" s="2" t="inlineStr">
        <is>
          <t>Sparks2_1000nit.mp4|Sparks2_1000nit_VTM_r1.mp4|PQ|VTM</t>
        </is>
      </c>
      <c r="B270" s="2" t="inlineStr">
        <is>
          <t>Sparks2_1000nit.mp4</t>
        </is>
      </c>
      <c r="C270" s="2" t="inlineStr">
        <is>
          <t>Sparks2_1000nit_VTM_r1.mp4</t>
        </is>
      </c>
      <c r="D270" s="2" t="inlineStr">
        <is>
          <t>PQ</t>
        </is>
      </c>
      <c r="E270" s="2" t="inlineStr">
        <is>
          <t>VTM</t>
        </is>
      </c>
      <c r="F270" s="5" t="n">
        <v>4.569063414480694</v>
      </c>
      <c r="G270" s="5" t="n">
        <v>44.071137</v>
      </c>
      <c r="H270" s="5" t="n">
        <v>9.185955048</v>
      </c>
      <c r="I270" s="5" t="n">
        <v>87.140698</v>
      </c>
      <c r="J270" s="5" t="n">
        <v>139.648</v>
      </c>
      <c r="K270" s="5" t="n">
        <v>34.363</v>
      </c>
      <c r="L270" s="5" t="n">
        <v>38.455</v>
      </c>
      <c r="M270" s="5" t="n">
        <v>4.18062873577697</v>
      </c>
    </row>
    <row r="271">
      <c r="A271" s="2" t="inlineStr">
        <is>
          <t>Sparks2_1000nit.mp4|Sparks2_1000nit_VTM_r2.mp4|PQ|VTM</t>
        </is>
      </c>
      <c r="B271" s="2" t="inlineStr">
        <is>
          <t>Sparks2_1000nit.mp4</t>
        </is>
      </c>
      <c r="C271" s="2" t="inlineStr">
        <is>
          <t>Sparks2_1000nit_VTM_r2.mp4</t>
        </is>
      </c>
      <c r="D271" s="2" t="inlineStr">
        <is>
          <t>PQ</t>
        </is>
      </c>
      <c r="E271" s="2" t="inlineStr">
        <is>
          <t>VTM</t>
        </is>
      </c>
      <c r="F271" s="5" t="n">
        <v>3.868426934227076</v>
      </c>
      <c r="G271" s="5" t="n">
        <v>43.18733</v>
      </c>
      <c r="H271" s="5" t="n">
        <v>8.431123734</v>
      </c>
      <c r="I271" s="5" t="n">
        <v>79.093447</v>
      </c>
      <c r="J271" s="5" t="n">
        <v>136.662</v>
      </c>
      <c r="K271" s="5" t="n">
        <v>33.962</v>
      </c>
      <c r="L271" s="5" t="n">
        <v>37.572</v>
      </c>
      <c r="M271" s="5" t="n">
        <v>3.598981669422365</v>
      </c>
    </row>
    <row r="272">
      <c r="A272" s="2" t="inlineStr">
        <is>
          <t>Sparks2_1000nit.mp4|Sparks2_1000nit_VTM_r3.mp4|PQ|VTM</t>
        </is>
      </c>
      <c r="B272" s="2" t="inlineStr">
        <is>
          <t>Sparks2_1000nit.mp4</t>
        </is>
      </c>
      <c r="C272" s="2" t="inlineStr">
        <is>
          <t>Sparks2_1000nit_VTM_r3.mp4</t>
        </is>
      </c>
      <c r="D272" s="2" t="inlineStr">
        <is>
          <t>PQ</t>
        </is>
      </c>
      <c r="E272" s="2" t="inlineStr">
        <is>
          <t>VTM</t>
        </is>
      </c>
      <c r="F272" s="5" t="n">
        <v>3.115592295109348</v>
      </c>
      <c r="G272" s="5" t="n">
        <v>42.140357</v>
      </c>
      <c r="H272" s="5" t="n">
        <v>7.396497726</v>
      </c>
      <c r="I272" s="5" t="n">
        <v>68.418136</v>
      </c>
      <c r="J272" s="5" t="n">
        <v>133.214</v>
      </c>
      <c r="K272" s="5" t="n">
        <v>33.493</v>
      </c>
      <c r="L272" s="5" t="n">
        <v>36.594</v>
      </c>
      <c r="M272" s="5" t="n">
        <v>2.724458727133165</v>
      </c>
    </row>
    <row r="273">
      <c r="A273" s="2" t="inlineStr">
        <is>
          <t>Sparks2_1000nit.mp4|Sparks2_1000nit_VTM_r4.mp4|PQ|VTM</t>
        </is>
      </c>
      <c r="B273" s="2" t="inlineStr">
        <is>
          <t>Sparks2_1000nit.mp4</t>
        </is>
      </c>
      <c r="C273" s="2" t="inlineStr">
        <is>
          <t>Sparks2_1000nit_VTM_r4.mp4</t>
        </is>
      </c>
      <c r="D273" s="2" t="inlineStr">
        <is>
          <t>PQ</t>
        </is>
      </c>
      <c r="E273" s="2" t="inlineStr">
        <is>
          <t>VTM</t>
        </is>
      </c>
      <c r="F273" s="5" t="n">
        <v>1.915308165942302</v>
      </c>
      <c r="G273" s="5" t="n">
        <v>41.122799</v>
      </c>
      <c r="H273" s="5" t="n">
        <v>6.212567329</v>
      </c>
      <c r="I273" s="5" t="n">
        <v>56.317993</v>
      </c>
      <c r="J273" s="5" t="n">
        <v>129.927</v>
      </c>
      <c r="K273" s="5" t="n">
        <v>33.027</v>
      </c>
      <c r="L273" s="5" t="n">
        <v>35.584</v>
      </c>
      <c r="M273" s="5" t="n">
        <v>2.016867883998001</v>
      </c>
    </row>
    <row r="274">
      <c r="A274" s="2" t="inlineStr">
        <is>
          <t>Sparks3_1000nit.mp4|Sparks3_1000nit_AlphaVC-P_r2.mp4|PQ|AlphaVC-P</t>
        </is>
      </c>
      <c r="B274" s="2" t="inlineStr">
        <is>
          <t>Sparks3_1000nit.mp4</t>
        </is>
      </c>
      <c r="C274" s="2" t="inlineStr">
        <is>
          <t>Sparks3_1000nit_AlphaVC-P_r2.mp4</t>
        </is>
      </c>
      <c r="D274" s="2" t="inlineStr">
        <is>
          <t>PQ</t>
        </is>
      </c>
      <c r="E274" s="2" t="inlineStr">
        <is>
          <t>AlphaVC-P</t>
        </is>
      </c>
      <c r="F274" s="5" t="n">
        <v>3.374798543216169</v>
      </c>
      <c r="G274" s="5" t="n">
        <v>44.204113</v>
      </c>
      <c r="H274" s="5" t="n">
        <v>8.864079475</v>
      </c>
      <c r="I274" s="5" t="n">
        <v>83.575092</v>
      </c>
      <c r="J274" s="5" t="n">
        <v>139.157</v>
      </c>
      <c r="K274" s="5" t="n">
        <v>33.035</v>
      </c>
      <c r="L274" s="5" t="n">
        <v>36.693</v>
      </c>
      <c r="M274" s="5" t="n">
        <v>4.134642926651518</v>
      </c>
    </row>
    <row r="275">
      <c r="A275" s="2" t="inlineStr">
        <is>
          <t>Sparks3_1000nit.mp4|Sparks3_1000nit_AlphaVC-P_r3.mp4|PQ|AlphaVC-P</t>
        </is>
      </c>
      <c r="B275" s="2" t="inlineStr">
        <is>
          <t>Sparks3_1000nit.mp4</t>
        </is>
      </c>
      <c r="C275" s="2" t="inlineStr">
        <is>
          <t>Sparks3_1000nit_AlphaVC-P_r3.mp4</t>
        </is>
      </c>
      <c r="D275" s="2" t="inlineStr">
        <is>
          <t>PQ</t>
        </is>
      </c>
      <c r="E275" s="2" t="inlineStr">
        <is>
          <t>AlphaVC-P</t>
        </is>
      </c>
      <c r="F275" s="5" t="n">
        <v>3.05304572303453</v>
      </c>
      <c r="G275" s="5" t="n">
        <v>43.919714</v>
      </c>
      <c r="H275" s="5" t="n">
        <v>8.665237426999999</v>
      </c>
      <c r="I275" s="5" t="n">
        <v>81.235058</v>
      </c>
      <c r="J275" s="5" t="n">
        <v>138.28</v>
      </c>
      <c r="K275" s="5" t="n">
        <v>32.938</v>
      </c>
      <c r="L275" s="5" t="n">
        <v>36.603</v>
      </c>
      <c r="M275" s="5" t="n">
        <v>3.987229876814239</v>
      </c>
    </row>
    <row r="276">
      <c r="A276" s="2" t="inlineStr">
        <is>
          <t>Sparks3_1000nit.mp4|Sparks3_1000nit_AVS3_r3.mp4|PQ|AVS</t>
        </is>
      </c>
      <c r="B276" s="2" t="inlineStr">
        <is>
          <t>Sparks3_1000nit.mp4</t>
        </is>
      </c>
      <c r="C276" s="2" t="inlineStr">
        <is>
          <t>Sparks3_1000nit_AVS3_r3.mp4</t>
        </is>
      </c>
      <c r="D276" s="2" t="inlineStr">
        <is>
          <t>PQ</t>
        </is>
      </c>
      <c r="E276" s="2" t="inlineStr">
        <is>
          <t>AVS</t>
        </is>
      </c>
      <c r="F276" s="5" t="n">
        <v>3.7307007513724</v>
      </c>
      <c r="G276" s="5" t="n">
        <v>45.633729</v>
      </c>
      <c r="H276" s="5" t="n">
        <v>9.100975037</v>
      </c>
      <c r="I276" s="5" t="n">
        <v>89.858954</v>
      </c>
      <c r="J276" s="5" t="n">
        <v>144.075</v>
      </c>
      <c r="K276" s="5" t="n">
        <v>34.161</v>
      </c>
      <c r="L276" s="5" t="n">
        <v>37.933</v>
      </c>
      <c r="M276" s="5" t="n">
        <v>4.132651562570567</v>
      </c>
    </row>
    <row r="277">
      <c r="A277" s="2" t="inlineStr">
        <is>
          <t>Sparks3_1000nit.mp4|Sparks3_1000nit_AVS3_r4.mp4|PQ|AVS</t>
        </is>
      </c>
      <c r="B277" s="2" t="inlineStr">
        <is>
          <t>Sparks3_1000nit.mp4</t>
        </is>
      </c>
      <c r="C277" s="2" t="inlineStr">
        <is>
          <t>Sparks3_1000nit_AVS3_r4.mp4</t>
        </is>
      </c>
      <c r="D277" s="2" t="inlineStr">
        <is>
          <t>PQ</t>
        </is>
      </c>
      <c r="E277" s="2" t="inlineStr">
        <is>
          <t>AVS</t>
        </is>
      </c>
      <c r="F277" s="5" t="n">
        <v>2.097432504109349</v>
      </c>
      <c r="G277" s="5" t="n">
        <v>44.590887</v>
      </c>
      <c r="H277" s="5" t="n">
        <v>8.396648407000001</v>
      </c>
      <c r="I277" s="5" t="n">
        <v>82.72025600000001</v>
      </c>
      <c r="J277" s="5" t="n">
        <v>140.692</v>
      </c>
      <c r="K277" s="5" t="n">
        <v>33.693</v>
      </c>
      <c r="L277" s="5" t="n">
        <v>36.846</v>
      </c>
      <c r="M277" s="5" t="n">
        <v>3.472451396839812</v>
      </c>
    </row>
    <row r="278">
      <c r="A278" s="2" t="inlineStr">
        <is>
          <t>Sparks3_1000nit.mp4|Sparks3_1000nit_EEM_r3.mp4|PQ|EEM</t>
        </is>
      </c>
      <c r="B278" s="2" t="inlineStr">
        <is>
          <t>Sparks3_1000nit.mp4</t>
        </is>
      </c>
      <c r="C278" s="2" t="inlineStr">
        <is>
          <t>Sparks3_1000nit_EEM_r3.mp4</t>
        </is>
      </c>
      <c r="D278" s="2" t="inlineStr">
        <is>
          <t>PQ</t>
        </is>
      </c>
      <c r="E278" s="2" t="inlineStr">
        <is>
          <t>EEM</t>
        </is>
      </c>
      <c r="F278" s="5" t="n">
        <v>1.64519478373824</v>
      </c>
      <c r="G278" s="5" t="n">
        <v>44.12685</v>
      </c>
      <c r="H278" s="5" t="n">
        <v>8.008641243</v>
      </c>
      <c r="I278" s="5" t="n">
        <v>81.58588399999999</v>
      </c>
      <c r="J278" s="5" t="n">
        <v>139.154</v>
      </c>
      <c r="K278" s="5" t="n">
        <v>33.46</v>
      </c>
      <c r="L278" s="5" t="n">
        <v>36.37</v>
      </c>
      <c r="M278" s="5" t="n">
        <v>3.254420607993888</v>
      </c>
    </row>
    <row r="279">
      <c r="A279" s="2" t="inlineStr">
        <is>
          <t>Sparks3_1000nit.mp4|Sparks3_1000nit_VTM_r1.mp4|PQ|VTM</t>
        </is>
      </c>
      <c r="B279" s="2" t="inlineStr">
        <is>
          <t>Sparks3_1000nit.mp4</t>
        </is>
      </c>
      <c r="C279" s="2" t="inlineStr">
        <is>
          <t>Sparks3_1000nit_VTM_r1.mp4</t>
        </is>
      </c>
      <c r="D279" s="2" t="inlineStr">
        <is>
          <t>PQ</t>
        </is>
      </c>
      <c r="E279" s="2" t="inlineStr">
        <is>
          <t>VTM</t>
        </is>
      </c>
      <c r="F279" s="5" t="n">
        <v>4.471858558219062</v>
      </c>
      <c r="G279" s="5" t="n">
        <v>45.928534</v>
      </c>
      <c r="H279" s="5" t="n">
        <v>9.350738525000001</v>
      </c>
      <c r="I279" s="5" t="n">
        <v>91.628614</v>
      </c>
      <c r="J279" s="5" t="n">
        <v>145.327</v>
      </c>
      <c r="K279" s="5" t="n">
        <v>34.489</v>
      </c>
      <c r="L279" s="5" t="n">
        <v>38.322</v>
      </c>
      <c r="M279" s="5" t="n">
        <v>4.290351737589221</v>
      </c>
    </row>
    <row r="280">
      <c r="A280" s="2" t="inlineStr">
        <is>
          <t>Sparks3_1000nit.mp4|Sparks3_1000nit_VTM_r4.mp4|PQ|VTM</t>
        </is>
      </c>
      <c r="B280" s="2" t="inlineStr">
        <is>
          <t>Sparks3_1000nit.mp4</t>
        </is>
      </c>
      <c r="C280" s="2" t="inlineStr">
        <is>
          <t>Sparks3_1000nit_VTM_r4.mp4</t>
        </is>
      </c>
      <c r="D280" s="2" t="inlineStr">
        <is>
          <t>PQ</t>
        </is>
      </c>
      <c r="E280" s="2" t="inlineStr">
        <is>
          <t>VTM</t>
        </is>
      </c>
      <c r="F280" s="5" t="n">
        <v>1.296256348587448</v>
      </c>
      <c r="G280" s="5" t="n">
        <v>43.421037</v>
      </c>
      <c r="H280" s="5" t="n">
        <v>6.714305878</v>
      </c>
      <c r="I280" s="5" t="n">
        <v>67.60254399999999</v>
      </c>
      <c r="J280" s="5" t="n">
        <v>137.339</v>
      </c>
      <c r="K280" s="5" t="n">
        <v>33.419</v>
      </c>
      <c r="L280" s="5" t="n">
        <v>35.562</v>
      </c>
      <c r="M280" s="5" t="n">
        <v>2.39859814726675</v>
      </c>
    </row>
    <row r="281">
      <c r="A281" s="2" t="inlineStr">
        <is>
          <t>TeaStall.mp4|TeaStall_AlphaVC-P_QP0.mp4|HLG|AlphaVC-P</t>
        </is>
      </c>
      <c r="B281" s="2" t="inlineStr">
        <is>
          <t>TeaStall.mp4</t>
        </is>
      </c>
      <c r="C281" s="2" t="inlineStr">
        <is>
          <t>TeaStall_AlphaVC-P_QP0.mp4</t>
        </is>
      </c>
      <c r="D281" s="2" t="inlineStr">
        <is>
          <t>HLG</t>
        </is>
      </c>
      <c r="E281" s="2" t="inlineStr">
        <is>
          <t>AlphaVC-P</t>
        </is>
      </c>
      <c r="F281" s="5" t="n">
        <v>4.529091729372118</v>
      </c>
      <c r="G281" s="5" t="n">
        <v>42.787566</v>
      </c>
      <c r="H281" s="5" t="n">
        <v>9.347983360000001</v>
      </c>
      <c r="I281" s="5" t="n">
        <v>90.104022</v>
      </c>
      <c r="J281" s="5" t="n">
        <v>125.86</v>
      </c>
      <c r="K281" s="5" t="n">
        <v>24.617</v>
      </c>
      <c r="L281" s="5" t="n">
        <v>26.56</v>
      </c>
      <c r="M281" s="5" t="n">
        <v>4.46588685029291</v>
      </c>
    </row>
    <row r="282">
      <c r="A282" s="2" t="inlineStr">
        <is>
          <t>TeaStall.mp4|TeaStall_AlphaVC-P_QP1.mp4|HLG|AlphaVC-P</t>
        </is>
      </c>
      <c r="B282" s="2" t="inlineStr">
        <is>
          <t>TeaStall.mp4</t>
        </is>
      </c>
      <c r="C282" s="2" t="inlineStr">
        <is>
          <t>TeaStall_AlphaVC-P_QP1.mp4</t>
        </is>
      </c>
      <c r="D282" s="2" t="inlineStr">
        <is>
          <t>HLG</t>
        </is>
      </c>
      <c r="E282" s="2" t="inlineStr">
        <is>
          <t>AlphaVC-P</t>
        </is>
      </c>
      <c r="F282" s="5" t="n">
        <v>4.119233291045745</v>
      </c>
      <c r="G282" s="5" t="n">
        <v>42.104941</v>
      </c>
      <c r="H282" s="5" t="n">
        <v>9.167151451000001</v>
      </c>
      <c r="I282" s="5" t="n">
        <v>86.960736</v>
      </c>
      <c r="J282" s="5" t="n">
        <v>123.596</v>
      </c>
      <c r="K282" s="5" t="n">
        <v>24.351</v>
      </c>
      <c r="L282" s="5" t="n">
        <v>26.159</v>
      </c>
      <c r="M282" s="5" t="n">
        <v>4.349814500505145</v>
      </c>
    </row>
    <row r="283">
      <c r="A283" s="2" t="inlineStr">
        <is>
          <t>TeaStall.mp4|TeaStall_AlphaVC-P_QP2.mp4|HLG|AlphaVC-P</t>
        </is>
      </c>
      <c r="B283" s="2" t="inlineStr">
        <is>
          <t>TeaStall.mp4</t>
        </is>
      </c>
      <c r="C283" s="2" t="inlineStr">
        <is>
          <t>TeaStall_AlphaVC-P_QP2.mp4</t>
        </is>
      </c>
      <c r="D283" s="2" t="inlineStr">
        <is>
          <t>HLG</t>
        </is>
      </c>
      <c r="E283" s="2" t="inlineStr">
        <is>
          <t>AlphaVC-P</t>
        </is>
      </c>
      <c r="F283" s="5" t="n">
        <v>4.406815898272785</v>
      </c>
      <c r="G283" s="5" t="n">
        <v>41.536909</v>
      </c>
      <c r="H283" s="5" t="n">
        <v>8.983901024</v>
      </c>
      <c r="I283" s="5" t="n">
        <v>84.074741</v>
      </c>
      <c r="J283" s="5" t="n">
        <v>121.746</v>
      </c>
      <c r="K283" s="5" t="n">
        <v>24.132</v>
      </c>
      <c r="L283" s="5" t="n">
        <v>25.847</v>
      </c>
      <c r="M283" s="5" t="n">
        <v>4.220892559254072</v>
      </c>
    </row>
    <row r="284">
      <c r="A284" s="2" t="inlineStr">
        <is>
          <t>TeaStall.mp4|TeaStall_AlphaVC-P_QP3.mp4|HLG|AlphaVC-P</t>
        </is>
      </c>
      <c r="B284" s="2" t="inlineStr">
        <is>
          <t>TeaStall.mp4</t>
        </is>
      </c>
      <c r="C284" s="2" t="inlineStr">
        <is>
          <t>TeaStall_AlphaVC-P_QP3.mp4</t>
        </is>
      </c>
      <c r="D284" s="2" t="inlineStr">
        <is>
          <t>HLG</t>
        </is>
      </c>
      <c r="E284" s="2" t="inlineStr">
        <is>
          <t>AlphaVC-P</t>
        </is>
      </c>
      <c r="F284" s="5" t="n">
        <v>3.415357980001545</v>
      </c>
      <c r="G284" s="5" t="n">
        <v>40.128552</v>
      </c>
      <c r="H284" s="5" t="n">
        <v>8.512040138</v>
      </c>
      <c r="I284" s="5" t="n">
        <v>78.173511</v>
      </c>
      <c r="J284" s="5" t="n">
        <v>117.227</v>
      </c>
      <c r="K284" s="5" t="n">
        <v>23.627</v>
      </c>
      <c r="L284" s="5" t="n">
        <v>25.149</v>
      </c>
      <c r="M284" s="5" t="n">
        <v>3.872656331870458</v>
      </c>
    </row>
    <row r="285">
      <c r="A285" s="2" t="inlineStr">
        <is>
          <t>TeaStall.mp4|TeaStall_AlphaVC-P_QP4.mp4|HLG|AlphaVC-P</t>
        </is>
      </c>
      <c r="B285" s="2" t="inlineStr">
        <is>
          <t>TeaStall.mp4</t>
        </is>
      </c>
      <c r="C285" s="2" t="inlineStr">
        <is>
          <t>TeaStall_AlphaVC-P_QP4.mp4</t>
        </is>
      </c>
      <c r="D285" s="2" t="inlineStr">
        <is>
          <t>HLG</t>
        </is>
      </c>
      <c r="E285" s="2" t="inlineStr">
        <is>
          <t>AlphaVC-P</t>
        </is>
      </c>
      <c r="F285" s="5" t="n">
        <v>2.954450322368403</v>
      </c>
      <c r="G285" s="5" t="n">
        <v>38.781396</v>
      </c>
      <c r="H285" s="5" t="n">
        <v>7.935486794</v>
      </c>
      <c r="I285" s="5" t="n">
        <v>71.269198</v>
      </c>
      <c r="J285" s="5" t="n">
        <v>112.895</v>
      </c>
      <c r="K285" s="5" t="n">
        <v>23.141</v>
      </c>
      <c r="L285" s="5" t="n">
        <v>24.456</v>
      </c>
      <c r="M285" s="5" t="n">
        <v>3.327736143119553</v>
      </c>
    </row>
    <row r="286">
      <c r="A286" s="2" t="inlineStr">
        <is>
          <t>TeaStall.mp4|TeaStall_AlphaVC-P_QP5.mp4|HLG|AlphaVC-P</t>
        </is>
      </c>
      <c r="B286" s="2" t="inlineStr">
        <is>
          <t>TeaStall.mp4</t>
        </is>
      </c>
      <c r="C286" s="2" t="inlineStr">
        <is>
          <t>TeaStall_AlphaVC-P_QP5.mp4</t>
        </is>
      </c>
      <c r="D286" s="2" t="inlineStr">
        <is>
          <t>HLG</t>
        </is>
      </c>
      <c r="E286" s="2" t="inlineStr">
        <is>
          <t>AlphaVC-P</t>
        </is>
      </c>
      <c r="F286" s="5" t="n">
        <v>2.264818095520173</v>
      </c>
      <c r="G286" s="5" t="n">
        <v>37.229046</v>
      </c>
      <c r="H286" s="5" t="n">
        <v>7.182243347</v>
      </c>
      <c r="I286" s="5" t="n">
        <v>63.190245</v>
      </c>
      <c r="J286" s="5" t="n">
        <v>108.01</v>
      </c>
      <c r="K286" s="5" t="n">
        <v>22.536</v>
      </c>
      <c r="L286" s="5" t="n">
        <v>23.655</v>
      </c>
      <c r="M286" s="5" t="n">
        <v>2.664044958481563</v>
      </c>
    </row>
    <row r="287">
      <c r="A287" s="2" t="inlineStr">
        <is>
          <t>TeaStall.mp4|TeaStall_AVS3_QP32.mp4|HLG|AVS</t>
        </is>
      </c>
      <c r="B287" s="2" t="inlineStr">
        <is>
          <t>TeaStall.mp4</t>
        </is>
      </c>
      <c r="C287" s="2" t="inlineStr">
        <is>
          <t>TeaStall_AVS3_QP32.mp4</t>
        </is>
      </c>
      <c r="D287" s="2" t="inlineStr">
        <is>
          <t>HLG</t>
        </is>
      </c>
      <c r="E287" s="2" t="inlineStr">
        <is>
          <t>AVS</t>
        </is>
      </c>
      <c r="F287" s="5" t="n">
        <v>4.728282903974384</v>
      </c>
      <c r="G287" s="5" t="n">
        <v>44.355293</v>
      </c>
      <c r="H287" s="5" t="n">
        <v>9.586984634</v>
      </c>
      <c r="I287" s="5" t="n">
        <v>94.819726</v>
      </c>
      <c r="J287" s="5" t="n">
        <v>131.713</v>
      </c>
      <c r="K287" s="5" t="n">
        <v>25.405</v>
      </c>
      <c r="L287" s="5" t="n">
        <v>27.654</v>
      </c>
      <c r="M287" s="5" t="n">
        <v>4.494982605968521</v>
      </c>
    </row>
    <row r="288">
      <c r="A288" s="2" t="inlineStr">
        <is>
          <t>TeaStall.mp4|TeaStall_AVS3_QP36.mp4|HLG|AVS</t>
        </is>
      </c>
      <c r="B288" s="2" t="inlineStr">
        <is>
          <t>TeaStall.mp4</t>
        </is>
      </c>
      <c r="C288" s="2" t="inlineStr">
        <is>
          <t>TeaStall_AVS3_QP36.mp4</t>
        </is>
      </c>
      <c r="D288" s="2" t="inlineStr">
        <is>
          <t>HLG</t>
        </is>
      </c>
      <c r="E288" s="2" t="inlineStr">
        <is>
          <t>AVS</t>
        </is>
      </c>
      <c r="F288" s="5" t="n">
        <v>4.670284487556323</v>
      </c>
      <c r="G288" s="5" t="n">
        <v>43.532167</v>
      </c>
      <c r="H288" s="5" t="n">
        <v>9.464694977000001</v>
      </c>
      <c r="I288" s="5" t="n">
        <v>93.22893999999999</v>
      </c>
      <c r="J288" s="5" t="n">
        <v>129.025</v>
      </c>
      <c r="K288" s="5" t="n">
        <v>25.046</v>
      </c>
      <c r="L288" s="5" t="n">
        <v>27.265</v>
      </c>
      <c r="M288" s="5" t="n">
        <v>4.398854829308105</v>
      </c>
    </row>
    <row r="289">
      <c r="A289" s="2" t="inlineStr">
        <is>
          <t>TeaStall.mp4|TeaStall_AVS3_QP40.mp4|HLG|AVS</t>
        </is>
      </c>
      <c r="B289" s="2" t="inlineStr">
        <is>
          <t>TeaStall.mp4</t>
        </is>
      </c>
      <c r="C289" s="2" t="inlineStr">
        <is>
          <t>TeaStall_AVS3_QP40.mp4</t>
        </is>
      </c>
      <c r="D289" s="2" t="inlineStr">
        <is>
          <t>HLG</t>
        </is>
      </c>
      <c r="E289" s="2" t="inlineStr">
        <is>
          <t>AVS</t>
        </is>
      </c>
      <c r="F289" s="5" t="n">
        <v>4.457316443724126</v>
      </c>
      <c r="G289" s="5" t="n">
        <v>42.698419</v>
      </c>
      <c r="H289" s="5" t="n">
        <v>9.291609764</v>
      </c>
      <c r="I289" s="5" t="n">
        <v>91.47111599999999</v>
      </c>
      <c r="J289" s="5" t="n">
        <v>126.251</v>
      </c>
      <c r="K289" s="5" t="n">
        <v>24.68</v>
      </c>
      <c r="L289" s="5" t="n">
        <v>26.868</v>
      </c>
      <c r="M289" s="5" t="n">
        <v>4.262937995716455</v>
      </c>
    </row>
    <row r="290">
      <c r="A290" s="2" t="inlineStr">
        <is>
          <t>TeaStall.mp4|TeaStall_AVS3_QP44.mp4|HLG|AVS</t>
        </is>
      </c>
      <c r="B290" s="2" t="inlineStr">
        <is>
          <t>TeaStall.mp4</t>
        </is>
      </c>
      <c r="C290" s="2" t="inlineStr">
        <is>
          <t>TeaStall_AVS3_QP44.mp4</t>
        </is>
      </c>
      <c r="D290" s="2" t="inlineStr">
        <is>
          <t>HLG</t>
        </is>
      </c>
      <c r="E290" s="2" t="inlineStr">
        <is>
          <t>AVS</t>
        </is>
      </c>
      <c r="F290" s="5" t="n">
        <v>4.291930724869738</v>
      </c>
      <c r="G290" s="5" t="n">
        <v>41.750899</v>
      </c>
      <c r="H290" s="5" t="n">
        <v>9.034582137999999</v>
      </c>
      <c r="I290" s="5" t="n">
        <v>88.849332</v>
      </c>
      <c r="J290" s="5" t="n">
        <v>123.145</v>
      </c>
      <c r="K290" s="5" t="n">
        <v>24.251</v>
      </c>
      <c r="L290" s="5" t="n">
        <v>26.38</v>
      </c>
      <c r="M290" s="5" t="n">
        <v>4.036733962606412</v>
      </c>
    </row>
    <row r="291">
      <c r="A291" s="2" t="inlineStr">
        <is>
          <t>TeaStall.mp4|TeaStall_AVS3_QP48.mp4|HLG|AVS</t>
        </is>
      </c>
      <c r="B291" s="2" t="inlineStr">
        <is>
          <t>TeaStall.mp4</t>
        </is>
      </c>
      <c r="C291" s="2" t="inlineStr">
        <is>
          <t>TeaStall_AVS3_QP48.mp4</t>
        </is>
      </c>
      <c r="D291" s="2" t="inlineStr">
        <is>
          <t>HLG</t>
        </is>
      </c>
      <c r="E291" s="2" t="inlineStr">
        <is>
          <t>AVS</t>
        </is>
      </c>
      <c r="F291" s="5" t="n">
        <v>3.953967017195471</v>
      </c>
      <c r="G291" s="5" t="n">
        <v>40.849603</v>
      </c>
      <c r="H291" s="5" t="n">
        <v>8.693811416999999</v>
      </c>
      <c r="I291" s="5" t="n">
        <v>85.345007</v>
      </c>
      <c r="J291" s="5" t="n">
        <v>120.198</v>
      </c>
      <c r="K291" s="5" t="n">
        <v>23.812</v>
      </c>
      <c r="L291" s="5" t="n">
        <v>25.829</v>
      </c>
      <c r="M291" s="5" t="n">
        <v>3.712391809669697</v>
      </c>
    </row>
    <row r="292">
      <c r="A292" s="2" t="inlineStr">
        <is>
          <t>TeaStall.mp4|TeaStall_DCVC-RT_QP13.mp4|HLG|DCVC-RT</t>
        </is>
      </c>
      <c r="B292" s="2" t="inlineStr">
        <is>
          <t>TeaStall.mp4</t>
        </is>
      </c>
      <c r="C292" s="2" t="inlineStr">
        <is>
          <t>TeaStall_DCVC-RT_QP13.mp4</t>
        </is>
      </c>
      <c r="D292" s="2" t="inlineStr">
        <is>
          <t>HLG</t>
        </is>
      </c>
      <c r="E292" s="2" t="inlineStr">
        <is>
          <t>DCVC-RT</t>
        </is>
      </c>
      <c r="F292" s="5" t="n">
        <v>4.132234642583419</v>
      </c>
      <c r="G292" s="5" t="n">
        <v>41.671167</v>
      </c>
      <c r="H292" s="5" t="n">
        <v>8.516294479000001</v>
      </c>
      <c r="I292" s="5" t="n">
        <v>82.936007</v>
      </c>
      <c r="J292" s="5" t="n">
        <v>122.513</v>
      </c>
      <c r="K292" s="5" t="n">
        <v>24.304</v>
      </c>
      <c r="L292" s="5" t="n">
        <v>25.52</v>
      </c>
      <c r="M292" s="5" t="n">
        <v>3.587412128282982</v>
      </c>
    </row>
    <row r="293">
      <c r="A293" s="2" t="inlineStr">
        <is>
          <t>TeaStall.mp4|TeaStall_DCVC-RT_QP21.mp4|HLG|DCVC-RT</t>
        </is>
      </c>
      <c r="B293" s="2" t="inlineStr">
        <is>
          <t>TeaStall.mp4</t>
        </is>
      </c>
      <c r="C293" s="2" t="inlineStr">
        <is>
          <t>TeaStall_DCVC-RT_QP21.mp4</t>
        </is>
      </c>
      <c r="D293" s="2" t="inlineStr">
        <is>
          <t>HLG</t>
        </is>
      </c>
      <c r="E293" s="2" t="inlineStr">
        <is>
          <t>DCVC-RT</t>
        </is>
      </c>
      <c r="F293" s="5" t="n">
        <v>4.396418057463571</v>
      </c>
      <c r="G293" s="5" t="n">
        <v>42.671249</v>
      </c>
      <c r="H293" s="5" t="n">
        <v>8.909520149</v>
      </c>
      <c r="I293" s="5" t="n">
        <v>87.19972300000001</v>
      </c>
      <c r="J293" s="5" t="n">
        <v>125.776</v>
      </c>
      <c r="K293" s="5" t="n">
        <v>24.753</v>
      </c>
      <c r="L293" s="5" t="n">
        <v>26.129</v>
      </c>
      <c r="M293" s="5" t="n">
        <v>3.951731637618078</v>
      </c>
    </row>
    <row r="294">
      <c r="A294" s="2" t="inlineStr">
        <is>
          <t>TeaStall.mp4|TeaStall_EEM_QP0.mp4|HLG|EEM</t>
        </is>
      </c>
      <c r="B294" s="2" t="inlineStr">
        <is>
          <t>TeaStall.mp4</t>
        </is>
      </c>
      <c r="C294" s="2" t="inlineStr">
        <is>
          <t>TeaStall_EEM_QP0.mp4</t>
        </is>
      </c>
      <c r="D294" s="2" t="inlineStr">
        <is>
          <t>HLG</t>
        </is>
      </c>
      <c r="E294" s="2" t="inlineStr">
        <is>
          <t>EEM</t>
        </is>
      </c>
      <c r="F294" s="5" t="n">
        <v>4.114775821540347</v>
      </c>
      <c r="G294" s="5" t="n">
        <v>44.577098</v>
      </c>
      <c r="H294" s="5" t="n">
        <v>9.556027412000001</v>
      </c>
      <c r="I294" s="5" t="n">
        <v>95.174874</v>
      </c>
      <c r="J294" s="5" t="n">
        <v>132.191</v>
      </c>
      <c r="K294" s="5" t="n">
        <v>25.3</v>
      </c>
      <c r="L294" s="5" t="n">
        <v>27.441</v>
      </c>
      <c r="M294" s="5" t="n">
        <v>4.471760117746053</v>
      </c>
    </row>
    <row r="295">
      <c r="A295" s="2" t="inlineStr">
        <is>
          <t>TeaStall.mp4|TeaStall_EEM_QP1.mp4|HLG|EEM</t>
        </is>
      </c>
      <c r="B295" s="2" t="inlineStr">
        <is>
          <t>TeaStall.mp4</t>
        </is>
      </c>
      <c r="C295" s="2" t="inlineStr">
        <is>
          <t>TeaStall_EEM_QP1.mp4</t>
        </is>
      </c>
      <c r="D295" s="2" t="inlineStr">
        <is>
          <t>HLG</t>
        </is>
      </c>
      <c r="E295" s="2" t="inlineStr">
        <is>
          <t>EEM</t>
        </is>
      </c>
      <c r="F295" s="5" t="n">
        <v>3.904607548037181</v>
      </c>
      <c r="G295" s="5" t="n">
        <v>43.193355</v>
      </c>
      <c r="H295" s="5" t="n">
        <v>9.289208412000001</v>
      </c>
      <c r="I295" s="5" t="n">
        <v>91.5795</v>
      </c>
      <c r="J295" s="5" t="n">
        <v>127.705</v>
      </c>
      <c r="K295" s="5" t="n">
        <v>24.817</v>
      </c>
      <c r="L295" s="5" t="n">
        <v>26.719</v>
      </c>
      <c r="M295" s="5" t="n">
        <v>4.268416185874609</v>
      </c>
    </row>
    <row r="296">
      <c r="A296" s="2" t="inlineStr">
        <is>
          <t>TeaStall.mp4|TeaStall_EEM_QP2.mp4|HLG|EEM</t>
        </is>
      </c>
      <c r="B296" s="2" t="inlineStr">
        <is>
          <t>TeaStall.mp4</t>
        </is>
      </c>
      <c r="C296" s="2" t="inlineStr">
        <is>
          <t>TeaStall_EEM_QP2.mp4</t>
        </is>
      </c>
      <c r="D296" s="2" t="inlineStr">
        <is>
          <t>HLG</t>
        </is>
      </c>
      <c r="E296" s="2" t="inlineStr">
        <is>
          <t>EEM</t>
        </is>
      </c>
      <c r="F296" s="5" t="n">
        <v>3.234706783054996</v>
      </c>
      <c r="G296" s="5" t="n">
        <v>42.362758</v>
      </c>
      <c r="H296" s="5" t="n">
        <v>9.068284035</v>
      </c>
      <c r="I296" s="5" t="n">
        <v>89.17832900000001</v>
      </c>
      <c r="J296" s="5" t="n">
        <v>124.975</v>
      </c>
      <c r="K296" s="5" t="n">
        <v>24.41</v>
      </c>
      <c r="L296" s="5" t="n">
        <v>26.289</v>
      </c>
      <c r="M296" s="5" t="n">
        <v>4.085711466196341</v>
      </c>
    </row>
    <row r="297">
      <c r="A297" s="2" t="inlineStr">
        <is>
          <t>TeaStall.mp4|TeaStall_EEM_QP3.mp4|HLG|EEM</t>
        </is>
      </c>
      <c r="B297" s="2" t="inlineStr">
        <is>
          <t>TeaStall.mp4</t>
        </is>
      </c>
      <c r="C297" s="2" t="inlineStr">
        <is>
          <t>TeaStall_EEM_QP3.mp4</t>
        </is>
      </c>
      <c r="D297" s="2" t="inlineStr">
        <is>
          <t>HLG</t>
        </is>
      </c>
      <c r="E297" s="2" t="inlineStr">
        <is>
          <t>EEM</t>
        </is>
      </c>
      <c r="F297" s="5" t="n">
        <v>2.588298866446522</v>
      </c>
      <c r="G297" s="5" t="n">
        <v>40.059229</v>
      </c>
      <c r="H297" s="5" t="n">
        <v>8.287216187</v>
      </c>
      <c r="I297" s="5" t="n">
        <v>81.193617</v>
      </c>
      <c r="J297" s="5" t="n">
        <v>117.466</v>
      </c>
      <c r="K297" s="5" t="n">
        <v>22.911</v>
      </c>
      <c r="L297" s="5" t="n">
        <v>25.137</v>
      </c>
      <c r="M297" s="5" t="n">
        <v>3.324091040321427</v>
      </c>
    </row>
    <row r="298">
      <c r="A298" s="2" t="inlineStr">
        <is>
          <t>TeaStall.mp4|TeaStall_LTM_QP25_3180.mp4|HLG|LTM</t>
        </is>
      </c>
      <c r="B298" s="2" t="inlineStr">
        <is>
          <t>TeaStall.mp4</t>
        </is>
      </c>
      <c r="C298" s="2" t="inlineStr">
        <is>
          <t>TeaStall_LTM_QP25_3180.mp4</t>
        </is>
      </c>
      <c r="D298" s="2" t="inlineStr">
        <is>
          <t>HLG</t>
        </is>
      </c>
      <c r="E298" s="2" t="inlineStr">
        <is>
          <t>LTM</t>
        </is>
      </c>
      <c r="F298" s="5" t="n">
        <v>4.320700151136768</v>
      </c>
      <c r="G298" s="5" t="n">
        <v>42.941171</v>
      </c>
      <c r="H298" s="5" t="n">
        <v>9.379232407</v>
      </c>
      <c r="I298" s="5" t="n">
        <v>93.47073399999999</v>
      </c>
      <c r="J298" s="5" t="n">
        <v>126.483</v>
      </c>
      <c r="K298" s="5" t="n">
        <v>24.964</v>
      </c>
      <c r="L298" s="5" t="n">
        <v>26.587</v>
      </c>
      <c r="M298" s="5" t="n">
        <v>4.221705827730643</v>
      </c>
    </row>
    <row r="299">
      <c r="A299" s="2" t="inlineStr">
        <is>
          <t>TeaStall.mp4|TeaStall_LTM_QP38_4059.mp4|HLG|LTM</t>
        </is>
      </c>
      <c r="B299" s="2" t="inlineStr">
        <is>
          <t>TeaStall.mp4</t>
        </is>
      </c>
      <c r="C299" s="2" t="inlineStr">
        <is>
          <t>TeaStall_LTM_QP38_4059.mp4</t>
        </is>
      </c>
      <c r="D299" s="2" t="inlineStr">
        <is>
          <t>HLG</t>
        </is>
      </c>
      <c r="E299" s="2" t="inlineStr">
        <is>
          <t>LTM</t>
        </is>
      </c>
      <c r="F299" s="5" t="n">
        <v>3.225776071909019</v>
      </c>
      <c r="G299" s="5" t="n">
        <v>39.437982</v>
      </c>
      <c r="H299" s="5" t="n">
        <v>8.08142662</v>
      </c>
      <c r="I299" s="5" t="n">
        <v>79.03138199999999</v>
      </c>
      <c r="J299" s="5" t="n">
        <v>115.32</v>
      </c>
      <c r="K299" s="5" t="n">
        <v>23.353</v>
      </c>
      <c r="L299" s="5" t="n">
        <v>24.832</v>
      </c>
      <c r="M299" s="5" t="n">
        <v>3.06981222987452</v>
      </c>
    </row>
    <row r="300">
      <c r="A300" s="2" t="inlineStr">
        <is>
          <t>TeaStall.mp4|TeaStall_NNVC_QP22.mp4|HLG|NNVC</t>
        </is>
      </c>
      <c r="B300" s="2" t="inlineStr">
        <is>
          <t>TeaStall.mp4</t>
        </is>
      </c>
      <c r="C300" s="2" t="inlineStr">
        <is>
          <t>TeaStall_NNVC_QP22.mp4</t>
        </is>
      </c>
      <c r="D300" s="2" t="inlineStr">
        <is>
          <t>HLG</t>
        </is>
      </c>
      <c r="E300" s="2" t="inlineStr">
        <is>
          <t>NNVC</t>
        </is>
      </c>
      <c r="F300" s="5" t="n">
        <v>4.680134708906441</v>
      </c>
      <c r="G300" s="5" t="n">
        <v>46.729551</v>
      </c>
      <c r="H300" s="5" t="n">
        <v>9.795482635000001</v>
      </c>
      <c r="I300" s="5" t="n">
        <v>99.034886</v>
      </c>
      <c r="J300" s="5" t="n">
        <v>139.295</v>
      </c>
      <c r="K300" s="5" t="n">
        <v>26.384</v>
      </c>
      <c r="L300" s="5" t="n">
        <v>28.956</v>
      </c>
      <c r="M300" s="5" t="n">
        <v>4.668372035625628</v>
      </c>
    </row>
    <row r="301">
      <c r="A301" s="2" t="inlineStr">
        <is>
          <t>TeaStall.mp4|TeaStall_NNVC_QP32.mp4|HLG|NNVC</t>
        </is>
      </c>
      <c r="B301" s="2" t="inlineStr">
        <is>
          <t>TeaStall.mp4</t>
        </is>
      </c>
      <c r="C301" s="2" t="inlineStr">
        <is>
          <t>TeaStall_NNVC_QP32.mp4</t>
        </is>
      </c>
      <c r="D301" s="2" t="inlineStr">
        <is>
          <t>HLG</t>
        </is>
      </c>
      <c r="E301" s="2" t="inlineStr">
        <is>
          <t>NNVC</t>
        </is>
      </c>
      <c r="F301" s="5" t="n">
        <v>4.627195978674159</v>
      </c>
      <c r="G301" s="5" t="n">
        <v>43.695635</v>
      </c>
      <c r="H301" s="5" t="n">
        <v>9.450429915999999</v>
      </c>
      <c r="I301" s="5" t="n">
        <v>93.218834</v>
      </c>
      <c r="J301" s="5" t="n">
        <v>129.671</v>
      </c>
      <c r="K301" s="5" t="n">
        <v>25.19</v>
      </c>
      <c r="L301" s="5" t="n">
        <v>27.304</v>
      </c>
      <c r="M301" s="5" t="n">
        <v>4.362003001307558</v>
      </c>
    </row>
    <row r="302">
      <c r="A302" s="2" t="inlineStr">
        <is>
          <t>TeaStall.mp4|TeaStall_NNVC_QP42.mp4|HLG|NNVC</t>
        </is>
      </c>
      <c r="B302" s="2" t="inlineStr">
        <is>
          <t>TeaStall.mp4</t>
        </is>
      </c>
      <c r="C302" s="2" t="inlineStr">
        <is>
          <t>TeaStall_NNVC_QP42.mp4</t>
        </is>
      </c>
      <c r="D302" s="2" t="inlineStr">
        <is>
          <t>HLG</t>
        </is>
      </c>
      <c r="E302" s="2" t="inlineStr">
        <is>
          <t>NNVC</t>
        </is>
      </c>
      <c r="F302" s="5" t="n">
        <v>4.049459402606869</v>
      </c>
      <c r="G302" s="5" t="n">
        <v>40.975516</v>
      </c>
      <c r="H302" s="5" t="n">
        <v>8.560995102</v>
      </c>
      <c r="I302" s="5" t="n">
        <v>84.07970400000001</v>
      </c>
      <c r="J302" s="5" t="n">
        <v>120.6</v>
      </c>
      <c r="K302" s="5" t="n">
        <v>23.943</v>
      </c>
      <c r="L302" s="5" t="n">
        <v>25.758</v>
      </c>
      <c r="M302" s="5" t="n">
        <v>3.59120671576336</v>
      </c>
    </row>
    <row r="303">
      <c r="A303" s="2" t="inlineStr">
        <is>
          <t>TeaStall.mp4|TeaStall_VTM_QP27.mp4|HLG|VTM</t>
        </is>
      </c>
      <c r="B303" s="2" t="inlineStr">
        <is>
          <t>TeaStall.mp4</t>
        </is>
      </c>
      <c r="C303" s="2" t="inlineStr">
        <is>
          <t>TeaStall_VTM_QP27.mp4</t>
        </is>
      </c>
      <c r="D303" s="2" t="inlineStr">
        <is>
          <t>HLG</t>
        </is>
      </c>
      <c r="E303" s="2" t="inlineStr">
        <is>
          <t>VTM</t>
        </is>
      </c>
      <c r="F303" s="5" t="n">
        <v>4.737790512122382</v>
      </c>
      <c r="G303" s="5" t="n">
        <v>44.625976</v>
      </c>
      <c r="H303" s="5" t="n">
        <v>9.62084198</v>
      </c>
      <c r="I303" s="5" t="n">
        <v>95.259207</v>
      </c>
      <c r="J303" s="5" t="n">
        <v>132.639</v>
      </c>
      <c r="K303" s="5" t="n">
        <v>25.588</v>
      </c>
      <c r="L303" s="5" t="n">
        <v>27.766</v>
      </c>
      <c r="M303" s="5" t="n">
        <v>4.506542691260901</v>
      </c>
    </row>
    <row r="304">
      <c r="A304" s="2" t="inlineStr">
        <is>
          <t>TeaStall.mp4|TeaStall_VTM_QP37.mp4|HLG|VTM</t>
        </is>
      </c>
      <c r="B304" s="2" t="inlineStr">
        <is>
          <t>TeaStall.mp4</t>
        </is>
      </c>
      <c r="C304" s="2" t="inlineStr">
        <is>
          <t>TeaStall_VTM_QP37.mp4</t>
        </is>
      </c>
      <c r="D304" s="2" t="inlineStr">
        <is>
          <t>HLG</t>
        </is>
      </c>
      <c r="E304" s="2" t="inlineStr">
        <is>
          <t>VTM</t>
        </is>
      </c>
      <c r="F304" s="5" t="n">
        <v>4.36691875512397</v>
      </c>
      <c r="G304" s="5" t="n">
        <v>42.161981</v>
      </c>
      <c r="H304" s="5" t="n">
        <v>9.033736229000001</v>
      </c>
      <c r="I304" s="5" t="n">
        <v>88.72560300000001</v>
      </c>
      <c r="J304" s="5" t="n">
        <v>124.354</v>
      </c>
      <c r="K304" s="5" t="n">
        <v>24.493</v>
      </c>
      <c r="L304" s="5" t="n">
        <v>26.409</v>
      </c>
      <c r="M304" s="5" t="n">
        <v>4.029109872559892</v>
      </c>
    </row>
    <row r="305">
      <c r="A305" s="2" t="inlineStr">
        <is>
          <t>TeaStall.mp4|TeaStall_VTM_QP42.mp4|HLG|VTM</t>
        </is>
      </c>
      <c r="B305" s="2" t="inlineStr">
        <is>
          <t>TeaStall.mp4</t>
        </is>
      </c>
      <c r="C305" s="2" t="inlineStr">
        <is>
          <t>TeaStall_VTM_QP42.mp4</t>
        </is>
      </c>
      <c r="D305" s="2" t="inlineStr">
        <is>
          <t>HLG</t>
        </is>
      </c>
      <c r="E305" s="2" t="inlineStr">
        <is>
          <t>VTM</t>
        </is>
      </c>
      <c r="F305" s="5" t="n">
        <v>3.773879026051543</v>
      </c>
      <c r="G305" s="5" t="n">
        <v>40.771242</v>
      </c>
      <c r="H305" s="5" t="n">
        <v>8.429880142</v>
      </c>
      <c r="I305" s="5" t="n">
        <v>82.5073</v>
      </c>
      <c r="J305" s="5" t="n">
        <v>119.77</v>
      </c>
      <c r="K305" s="5" t="n">
        <v>23.856</v>
      </c>
      <c r="L305" s="5" t="n">
        <v>25.475</v>
      </c>
      <c r="M305" s="5" t="n">
        <v>3.467984682983388</v>
      </c>
    </row>
    <row r="306">
      <c r="A306" s="2" t="inlineStr">
        <is>
          <t>TeaStall.mp4|TeaStall_VTM_QP47.mp4|HLG|VTM</t>
        </is>
      </c>
      <c r="B306" s="2" t="inlineStr">
        <is>
          <t>TeaStall.mp4</t>
        </is>
      </c>
      <c r="C306" s="2" t="inlineStr">
        <is>
          <t>TeaStall_VTM_QP47.mp4</t>
        </is>
      </c>
      <c r="D306" s="2" t="inlineStr">
        <is>
          <t>HLG</t>
        </is>
      </c>
      <c r="E306" s="2" t="inlineStr">
        <is>
          <t>VTM</t>
        </is>
      </c>
      <c r="F306" s="5" t="n">
        <v>2.419161838014833</v>
      </c>
      <c r="G306" s="5" t="n">
        <v>39.085416</v>
      </c>
      <c r="H306" s="5" t="n">
        <v>7.491704464</v>
      </c>
      <c r="I306" s="5" t="n">
        <v>72.92165199999999</v>
      </c>
      <c r="J306" s="5" t="n">
        <v>114.365</v>
      </c>
      <c r="K306" s="5" t="n">
        <v>23.068</v>
      </c>
      <c r="L306" s="5" t="n">
        <v>24.307</v>
      </c>
      <c r="M306" s="5" t="n">
        <v>2.671842539334932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5" customWidth="1" min="1" max="1"/>
    <col width="60" customWidth="1" min="2" max="2"/>
  </cols>
  <sheetData>
    <row r="1">
      <c r="A1" s="1" t="inlineStr">
        <is>
          <t>MOS-objective metric correlation workbook v0.2 (6 baseline FR operators)</t>
        </is>
      </c>
    </row>
    <row r="2">
      <c r="A2" s="2" t="inlineStr">
        <is>
          <t>用于HDR-VQA验证集，共 305 行视频、6 列客观模型（PSNR、ColorVideoVDP、VMAF、wPSNR、DeltaE、PSNRL100）。</t>
        </is>
      </c>
    </row>
    <row r="4">
      <c r="A4" s="2" t="inlineStr">
        <is>
          <t>用法</t>
        </is>
      </c>
      <c r="B4" s="2" t="inlineStr">
        <is>
          <t xml:space="preserve">将模型预测分数贴进Sheet "mos_metrics"的对应列里, 则Sheet "correlation"会自动计算该模型分数列与MOS列的相关性 </t>
        </is>
      </c>
    </row>
    <row r="5">
      <c r="B5" s="2" t="inlineStr">
        <is>
          <t>Sheet "calc" 是用于计算的中间结果表，无需修改</t>
        </is>
      </c>
    </row>
    <row r="7">
      <c r="A7" s="2" t="inlineStr">
        <is>
          <t>表格计算方式</t>
        </is>
      </c>
      <c r="B7" s="2" t="inlineStr">
        <is>
          <t>Sheet "correlation"中的ref_name和codec控制用于选择使用哪些源序列和编码器对应的视频序列参与相关性计算，将其值设为1则代表参与计算，全为1则代表使用全部序列计算</t>
        </is>
      </c>
    </row>
    <row r="8">
      <c r="B8" s="2" t="inlineStr">
        <is>
          <t>PLCC 和 RMSE计算前仅做一次线性拟合， Slope和Intercept是拟合参数。</t>
        </is>
      </c>
    </row>
    <row r="9">
      <c r="B9" s="2" t="inlineStr">
        <is>
          <t>Direction列代表客观模型分数与MOS分数的方向是否一致，值为1代表分数越大质量越好（与MOS含义一致），值为-1则相反（DeltaE为-1）。</t>
        </is>
      </c>
    </row>
    <row r="11">
      <c r="A11" s="2" t="inlineStr">
        <is>
          <t>包含的模型列:</t>
        </is>
      </c>
      <c r="B11" s="2" t="inlineStr">
        <is>
          <t>PSNR_avg, ColorVideoVDP, VMAF, WTPSNR, DeltaE, PSNR_L0100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2026-07-21T12:52:16Z</dcterms:created>
  <dcterms:modified xmlns:dcterms="http://purl.org/dc/terms/" xmlns:xsi="http://www.w3.org/2001/XMLSchema-instance" xsi:type="dcterms:W3CDTF">2026-07-29T16:10:52Z</dcterms:modified>
</cp:coreProperties>
</file>